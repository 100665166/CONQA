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8.xml" ContentType="application/vnd.openxmlformats-officedocument.spreadsheetml.table+xml"/>
  <Override PartName="/xl/queryTables/queryTable2.xml" ContentType="application/vnd.openxmlformats-officedocument.spreadsheetml.queryTable+xml"/>
  <Override PartName="/xl/slicers/slicer1.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namedSheetViews/namedSheetView1.xml" ContentType="application/vnd.ms-excel.namedsheetviews+xml"/>
  <Override PartName="/xl/tables/table9.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25"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A37D9444-5B12-4710-A27E-786A1717E2E6}" xr6:coauthVersionLast="47" xr6:coauthVersionMax="47" xr10:uidLastSave="{00000000-0000-0000-0000-000000000000}"/>
  <bookViews>
    <workbookView xWindow="-195" yWindow="-195" windowWidth="29190" windowHeight="18390" firstSheet="4" activeTab="4" xr2:uid="{EEA65DA6-4C7C-4143-845E-9770CC292BEF}"/>
    <workbookView xWindow="28680" yWindow="-120" windowWidth="29040" windowHeight="18240" firstSheet="3" activeTab="3" xr2:uid="{ECC2472B-53B4-4518-8859-4E7F7891F863}"/>
  </bookViews>
  <sheets>
    <sheet name="Ref" sheetId="8" r:id="rId1"/>
    <sheet name="Holdpoint_Workspace" sheetId="9" r:id="rId2"/>
    <sheet name="Master" sheetId="1" r:id="rId3"/>
    <sheet name="Checklists" sheetId="4" r:id="rId4"/>
    <sheet name="Changelog" sheetId="6" r:id="rId5"/>
  </sheets>
  <definedNames>
    <definedName name="ExternalData_1" localSheetId="3" hidden="1">Checklists!$C$5:$J$2729</definedName>
    <definedName name="ExternalData_1" localSheetId="1" hidden="1">Holdpoint_Workspace!$A$1:$G$1720</definedName>
    <definedName name="pivotChanges">#REF!,#REF!</definedName>
    <definedName name="sitelist">Ref!$P$1:$P$15</definedName>
    <definedName name="Slicer_Checklist">#N/A</definedName>
    <definedName name="Slicer_Discipline">#N/A</definedName>
    <definedName name="Slicer_Sites">#N/A</definedName>
    <definedName name="Slicer_User">#N/A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87" i="1" l="1"/>
  <c r="F2690" i="1"/>
  <c r="D2690" i="1" s="1" a="1"/>
  <c r="D2690" i="1" s="1"/>
  <c r="F2691" i="1"/>
  <c r="F2710" i="1"/>
  <c r="D2710" i="1" s="1" a="1"/>
  <c r="D2710" i="1" s="1"/>
  <c r="F2715" i="1"/>
  <c r="B2314" i="6"/>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286" i="6"/>
  <c r="B2287" i="6" s="1"/>
  <c r="B2288" i="6" s="1"/>
  <c r="B2289" i="6" s="1"/>
  <c r="B2290" i="6" s="1"/>
  <c r="B2291" i="6" s="1"/>
  <c r="B2292" i="6" s="1"/>
  <c r="B2293" i="6" s="1"/>
  <c r="B2294" i="6" s="1"/>
  <c r="B2295" i="6" s="1"/>
  <c r="B2296" i="6" s="1"/>
  <c r="B2298" i="6" s="1"/>
  <c r="B2299" i="6" s="1"/>
  <c r="B2300" i="6" s="1"/>
  <c r="B2301" i="6" s="1"/>
  <c r="B2302" i="6" s="1"/>
  <c r="B2303" i="6" s="1"/>
  <c r="B2304" i="6" s="1"/>
  <c r="B2305" i="6" s="1"/>
  <c r="B2306" i="6" s="1"/>
  <c r="B2307" i="6" s="1"/>
  <c r="B2308" i="6" s="1"/>
  <c r="B2309" i="6" s="1"/>
  <c r="B2310" i="6" s="1"/>
  <c r="B2311" i="6" s="1"/>
  <c r="B2312" i="6" s="1"/>
  <c r="B2313" i="6" s="1"/>
  <c r="B2269" i="6"/>
  <c r="B2251" i="6"/>
  <c r="B2252" i="6" s="1"/>
  <c r="B2253" i="6" s="1"/>
  <c r="B2254" i="6" s="1"/>
  <c r="B2255" i="6" s="1"/>
  <c r="B2256" i="6" s="1"/>
  <c r="B2257" i="6" s="1"/>
  <c r="B2258" i="6" s="1"/>
  <c r="B2259" i="6" s="1"/>
  <c r="B2260" i="6" s="1"/>
  <c r="B2261" i="6" s="1"/>
  <c r="B2262" i="6" s="1"/>
  <c r="B2263" i="6" s="1"/>
  <c r="B2264" i="6" s="1"/>
  <c r="B2265" i="6" s="1"/>
  <c r="B2266" i="6" s="1"/>
  <c r="B2267" i="6" s="1"/>
  <c r="B2268" i="6" s="1"/>
  <c r="F2654" i="1"/>
  <c r="E2654" i="1" s="1"/>
  <c r="F2666" i="1"/>
  <c r="E2666" i="1" s="1"/>
  <c r="B2217" i="6"/>
  <c r="B2218" i="6" s="1"/>
  <c r="B2219" i="6" s="1"/>
  <c r="B2220" i="6" s="1"/>
  <c r="B2221" i="6" s="1"/>
  <c r="B2222" i="6" s="1"/>
  <c r="B2223" i="6" s="1"/>
  <c r="B2229" i="6"/>
  <c r="B2230" i="6" s="1"/>
  <c r="B2231" i="6" s="1"/>
  <c r="B2232" i="6" s="1"/>
  <c r="B2233" i="6" s="1"/>
  <c r="B2234" i="6" s="1"/>
  <c r="B2235" i="6" s="1"/>
  <c r="B2236" i="6" s="1"/>
  <c r="B2237" i="6" s="1"/>
  <c r="B2201" i="6"/>
  <c r="B2202" i="6" s="1"/>
  <c r="B2203" i="6" s="1"/>
  <c r="B2204" i="6" s="1"/>
  <c r="B2205" i="6" s="1"/>
  <c r="B2206" i="6" s="1"/>
  <c r="B2207" i="6" s="1"/>
  <c r="B2208" i="6" s="1"/>
  <c r="F2612" i="1"/>
  <c r="E2612" i="1" s="1"/>
  <c r="F2565" i="1"/>
  <c r="D2565" i="1" s="1" a="1"/>
  <c r="D2565" i="1" s="1"/>
  <c r="F2585" i="1"/>
  <c r="D2585" i="1" s="1" a="1"/>
  <c r="D2585" i="1"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F2552" i="1"/>
  <c r="F2562" i="1"/>
  <c r="F2545" i="1"/>
  <c r="B2161" i="6"/>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F2534" i="1"/>
  <c r="D2534" i="1" s="1" a="1"/>
  <c r="D2534" i="1" s="1"/>
  <c r="F2526" i="1"/>
  <c r="D2526" i="1" s="1" a="1"/>
  <c r="D2526" i="1" s="1"/>
  <c r="F1050" i="1"/>
  <c r="F2391"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61" i="6"/>
  <c r="B2062"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48" i="6"/>
  <c r="B2149" i="6" s="1"/>
  <c r="B2150" i="6" s="1"/>
  <c r="B2151" i="6" s="1"/>
  <c r="B2152" i="6" s="1"/>
  <c r="B2153" i="6" s="1"/>
  <c r="B2154" i="6" s="1"/>
  <c r="B2155" i="6" s="1"/>
  <c r="B2156" i="6" s="1"/>
  <c r="B2157" i="6" s="1"/>
  <c r="B2158" i="6" s="1"/>
  <c r="B2159" i="6" s="1"/>
  <c r="B2160" i="6" s="1"/>
  <c r="F2711" i="1" l="1"/>
  <c r="E2690" i="1"/>
  <c r="E2710" i="1"/>
  <c r="E2715" i="1"/>
  <c r="F2716" i="1"/>
  <c r="D2715" i="1" a="1"/>
  <c r="D2715" i="1" s="1"/>
  <c r="E2691" i="1"/>
  <c r="F2692" i="1"/>
  <c r="D2691" i="1" a="1"/>
  <c r="D2691" i="1" s="1"/>
  <c r="E2711" i="1"/>
  <c r="F2712" i="1"/>
  <c r="D2711" i="1" a="1"/>
  <c r="D2711" i="1" s="1"/>
  <c r="E2687" i="1"/>
  <c r="F2688" i="1"/>
  <c r="D2687" i="1" a="1"/>
  <c r="D2687" i="1" s="1"/>
  <c r="B2297" i="6"/>
  <c r="B2270" i="6"/>
  <c r="B2271" i="6" s="1"/>
  <c r="B2272" i="6" s="1"/>
  <c r="B2273" i="6" s="1"/>
  <c r="B2274" i="6" s="1"/>
  <c r="B2275" i="6" s="1"/>
  <c r="B2276" i="6" s="1"/>
  <c r="B2277" i="6" s="1"/>
  <c r="B2278" i="6" s="1"/>
  <c r="B2279" i="6" s="1"/>
  <c r="B2280" i="6" s="1"/>
  <c r="B2281" i="6" s="1"/>
  <c r="B2282" i="6" s="1"/>
  <c r="B2283" i="6" s="1"/>
  <c r="B2284" i="6" s="1"/>
  <c r="B2285" i="6" s="1"/>
  <c r="B2209" i="6"/>
  <c r="F2667" i="1"/>
  <c r="F2655" i="1"/>
  <c r="D2666" i="1" a="1"/>
  <c r="D2666" i="1" s="1"/>
  <c r="D2654" i="1" a="1"/>
  <c r="D2654" i="1" s="1"/>
  <c r="B2238" i="6"/>
  <c r="B2224" i="6"/>
  <c r="B2225" i="6" s="1"/>
  <c r="E2534" i="1"/>
  <c r="F2613" i="1"/>
  <c r="D2613" i="1" s="1" a="1"/>
  <c r="D2613" i="1" s="1"/>
  <c r="E2526" i="1"/>
  <c r="F2563" i="1"/>
  <c r="F2564" i="1" s="1"/>
  <c r="D2562" i="1" a="1"/>
  <c r="D2562" i="1" s="1"/>
  <c r="D2552" i="1" a="1"/>
  <c r="D2552" i="1" s="1"/>
  <c r="E2552" i="1"/>
  <c r="E2562" i="1"/>
  <c r="D1050" i="1" a="1"/>
  <c r="D1050" i="1" s="1"/>
  <c r="E1050" i="1"/>
  <c r="D2545" i="1" a="1"/>
  <c r="D2545" i="1" s="1"/>
  <c r="E2545" i="1"/>
  <c r="F2392" i="1"/>
  <c r="D2391" i="1" a="1"/>
  <c r="D2391" i="1" s="1"/>
  <c r="E2565" i="1"/>
  <c r="E2391" i="1"/>
  <c r="D2612" i="1" a="1"/>
  <c r="D2612" i="1" s="1"/>
  <c r="E2613" i="1"/>
  <c r="E2585" i="1"/>
  <c r="F2586" i="1"/>
  <c r="F2566" i="1"/>
  <c r="F2553" i="1"/>
  <c r="F2546" i="1"/>
  <c r="F2535" i="1"/>
  <c r="F2527" i="1"/>
  <c r="B2115" i="6"/>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063" i="6"/>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44" i="6"/>
  <c r="B2045" i="6" s="1"/>
  <c r="B2046" i="6" s="1"/>
  <c r="B2047" i="6" s="1"/>
  <c r="F2366" i="1"/>
  <c r="F2384" i="1"/>
  <c r="F2397" i="1"/>
  <c r="F2430" i="1"/>
  <c r="F2436" i="1"/>
  <c r="F2438" i="1"/>
  <c r="F2455" i="1"/>
  <c r="F2461" i="1"/>
  <c r="F2476" i="1"/>
  <c r="F2501" i="1"/>
  <c r="F2507" i="1"/>
  <c r="D2688" i="1" l="1" a="1"/>
  <c r="D2688" i="1" s="1"/>
  <c r="E2688" i="1"/>
  <c r="F2689" i="1"/>
  <c r="D2712" i="1" a="1"/>
  <c r="D2712" i="1" s="1"/>
  <c r="E2712" i="1"/>
  <c r="F2713" i="1"/>
  <c r="D2692" i="1" a="1"/>
  <c r="D2692" i="1" s="1"/>
  <c r="E2692" i="1"/>
  <c r="F2693" i="1"/>
  <c r="D2716" i="1" a="1"/>
  <c r="D2716" i="1" s="1"/>
  <c r="E2716" i="1"/>
  <c r="F2717" i="1"/>
  <c r="B2210" i="6"/>
  <c r="B2211" i="6" s="1"/>
  <c r="B2212" i="6" s="1"/>
  <c r="B2213" i="6" s="1"/>
  <c r="B2214" i="6" s="1"/>
  <c r="B2215" i="6" s="1"/>
  <c r="B2216" i="6" s="1"/>
  <c r="D2655" i="1" a="1"/>
  <c r="D2655" i="1" s="1"/>
  <c r="E2655" i="1"/>
  <c r="F2656" i="1"/>
  <c r="D2667" i="1" a="1"/>
  <c r="D2667" i="1" s="1"/>
  <c r="E2667" i="1"/>
  <c r="F2668" i="1"/>
  <c r="B2226" i="6"/>
  <c r="B2227" i="6" s="1"/>
  <c r="B2228" i="6" s="1"/>
  <c r="B2239" i="6"/>
  <c r="F2614" i="1"/>
  <c r="E2614" i="1" s="1"/>
  <c r="D2455" i="1" a="1"/>
  <c r="D2455" i="1" s="1"/>
  <c r="E2455" i="1"/>
  <c r="E2397" i="1"/>
  <c r="D2397" i="1" a="1"/>
  <c r="D2397" i="1" s="1"/>
  <c r="D2546" i="1" a="1"/>
  <c r="D2546" i="1" s="1"/>
  <c r="E2546" i="1"/>
  <c r="D2566" i="1" a="1"/>
  <c r="D2566" i="1" s="1"/>
  <c r="E2566" i="1"/>
  <c r="F2385" i="1"/>
  <c r="F2386" i="1" s="1"/>
  <c r="D2384" i="1" a="1"/>
  <c r="D2384" i="1" s="1"/>
  <c r="E2384" i="1"/>
  <c r="D2476" i="1" a="1"/>
  <c r="D2476" i="1" s="1"/>
  <c r="E2476" i="1"/>
  <c r="D2436" i="1" a="1"/>
  <c r="D2436" i="1" s="1"/>
  <c r="E2436" i="1"/>
  <c r="D2366" i="1" a="1"/>
  <c r="D2366" i="1" s="1"/>
  <c r="E2366" i="1"/>
  <c r="D2527" i="1" a="1"/>
  <c r="D2527" i="1" s="1"/>
  <c r="E2527" i="1"/>
  <c r="D2564" i="1" a="1"/>
  <c r="D2564" i="1" s="1"/>
  <c r="E2564" i="1"/>
  <c r="D2563" i="1" a="1"/>
  <c r="D2563" i="1" s="1"/>
  <c r="E2563" i="1"/>
  <c r="D2507" i="1" a="1"/>
  <c r="D2507" i="1" s="1"/>
  <c r="E2507" i="1"/>
  <c r="F2502" i="1"/>
  <c r="F2503" i="1" s="1"/>
  <c r="D2501" i="1" a="1"/>
  <c r="D2501" i="1" s="1"/>
  <c r="E2501" i="1"/>
  <c r="D2438" i="1" a="1"/>
  <c r="D2438" i="1" s="1"/>
  <c r="E2438" i="1"/>
  <c r="D2553" i="1" a="1"/>
  <c r="D2553" i="1" s="1"/>
  <c r="E2553" i="1"/>
  <c r="D2392" i="1" a="1"/>
  <c r="D2392" i="1" s="1"/>
  <c r="E2392" i="1"/>
  <c r="F2462" i="1"/>
  <c r="F2463" i="1" s="1"/>
  <c r="D2461" i="1" a="1"/>
  <c r="D2461" i="1" s="1"/>
  <c r="E2461" i="1"/>
  <c r="D2430" i="1" a="1"/>
  <c r="D2430" i="1" s="1"/>
  <c r="E2430" i="1"/>
  <c r="D2535" i="1" a="1"/>
  <c r="D2535" i="1" s="1"/>
  <c r="E2535" i="1"/>
  <c r="F2567" i="1"/>
  <c r="F2568" i="1" s="1"/>
  <c r="D2586" i="1" a="1"/>
  <c r="D2586" i="1" s="1"/>
  <c r="E2586" i="1"/>
  <c r="F2587" i="1"/>
  <c r="F2554" i="1"/>
  <c r="F2547" i="1"/>
  <c r="F2536" i="1"/>
  <c r="F2528" i="1"/>
  <c r="B2048" i="6"/>
  <c r="B2049" i="6" s="1"/>
  <c r="B2050" i="6" s="1"/>
  <c r="B2051" i="6" s="1"/>
  <c r="B2052" i="6" s="1"/>
  <c r="B2053" i="6" s="1"/>
  <c r="B2054" i="6" s="1"/>
  <c r="B2055" i="6" s="1"/>
  <c r="B2056" i="6" s="1"/>
  <c r="B2057" i="6" s="1"/>
  <c r="B2058" i="6" s="1"/>
  <c r="B2059" i="6" s="1"/>
  <c r="B2060" i="6" s="1"/>
  <c r="F2431" i="1"/>
  <c r="F2508" i="1"/>
  <c r="F2439" i="1"/>
  <c r="F2456" i="1"/>
  <c r="F2393" i="1"/>
  <c r="F2437" i="1"/>
  <c r="F2477" i="1"/>
  <c r="F2398" i="1"/>
  <c r="F2367" i="1"/>
  <c r="D2717" i="1" l="1" a="1"/>
  <c r="D2717" i="1" s="1"/>
  <c r="E2717" i="1"/>
  <c r="F2718" i="1"/>
  <c r="D2693" i="1" a="1"/>
  <c r="D2693" i="1" s="1"/>
  <c r="E2693" i="1"/>
  <c r="F2694" i="1"/>
  <c r="D2713" i="1" a="1"/>
  <c r="D2713" i="1" s="1"/>
  <c r="E2713" i="1"/>
  <c r="F2714" i="1"/>
  <c r="D2689" i="1" a="1"/>
  <c r="D2689" i="1" s="1"/>
  <c r="E2689" i="1"/>
  <c r="F2669" i="1"/>
  <c r="D2668" i="1" a="1"/>
  <c r="D2668" i="1" s="1"/>
  <c r="E2668" i="1"/>
  <c r="F2657" i="1"/>
  <c r="D2656" i="1" a="1"/>
  <c r="D2656" i="1" s="1"/>
  <c r="E2656" i="1"/>
  <c r="B2240" i="6"/>
  <c r="B2241" i="6" s="1"/>
  <c r="B2242" i="6" s="1"/>
  <c r="B2243" i="6" s="1"/>
  <c r="B2244" i="6" s="1"/>
  <c r="B2245" i="6" s="1"/>
  <c r="B2246" i="6" s="1"/>
  <c r="B2247" i="6" s="1"/>
  <c r="B2248" i="6" s="1"/>
  <c r="B2249" i="6" s="1"/>
  <c r="D2614" i="1" a="1"/>
  <c r="D2614" i="1" s="1"/>
  <c r="F2615" i="1"/>
  <c r="E2615" i="1" s="1"/>
  <c r="D2439" i="1" a="1"/>
  <c r="D2439" i="1" s="1"/>
  <c r="E2439" i="1"/>
  <c r="D2463" i="1" a="1"/>
  <c r="D2463" i="1" s="1"/>
  <c r="E2463" i="1"/>
  <c r="D2536" i="1" a="1"/>
  <c r="D2536" i="1" s="1"/>
  <c r="E2536" i="1"/>
  <c r="D2462" i="1" a="1"/>
  <c r="D2462" i="1" s="1"/>
  <c r="E2462" i="1"/>
  <c r="D2367" i="1" a="1"/>
  <c r="D2367" i="1" s="1"/>
  <c r="E2367" i="1"/>
  <c r="E2393" i="1"/>
  <c r="D2393" i="1" a="1"/>
  <c r="D2393" i="1" s="1"/>
  <c r="F2432" i="1"/>
  <c r="F2433" i="1" s="1"/>
  <c r="D2431" i="1" a="1"/>
  <c r="D2431" i="1" s="1"/>
  <c r="E2431" i="1"/>
  <c r="F2387" i="1"/>
  <c r="D2386" i="1" a="1"/>
  <c r="D2386" i="1" s="1"/>
  <c r="E2386" i="1"/>
  <c r="D2554" i="1" a="1"/>
  <c r="D2554" i="1" s="1"/>
  <c r="E2554" i="1"/>
  <c r="D2567" i="1" a="1"/>
  <c r="D2567" i="1" s="1"/>
  <c r="E2567" i="1"/>
  <c r="D2502" i="1" a="1"/>
  <c r="D2502" i="1" s="1"/>
  <c r="E2502" i="1"/>
  <c r="D2477" i="1" a="1"/>
  <c r="D2477" i="1" s="1"/>
  <c r="E2477" i="1"/>
  <c r="D2437" i="1" a="1"/>
  <c r="D2437" i="1" s="1"/>
  <c r="E2437" i="1"/>
  <c r="F2509" i="1"/>
  <c r="F2510" i="1" s="1"/>
  <c r="D2508" i="1" a="1"/>
  <c r="D2508" i="1" s="1"/>
  <c r="E2508" i="1"/>
  <c r="D2547" i="1" a="1"/>
  <c r="D2547" i="1" s="1"/>
  <c r="E2547" i="1"/>
  <c r="D2398" i="1" a="1"/>
  <c r="D2398" i="1" s="1"/>
  <c r="E2398" i="1"/>
  <c r="F2457" i="1"/>
  <c r="F2458" i="1" s="1"/>
  <c r="D2456" i="1" a="1"/>
  <c r="D2456" i="1" s="1"/>
  <c r="E2456" i="1"/>
  <c r="D2503" i="1" a="1"/>
  <c r="D2503" i="1" s="1"/>
  <c r="E2503" i="1"/>
  <c r="D2528" i="1" a="1"/>
  <c r="D2528" i="1" s="1"/>
  <c r="E2528" i="1"/>
  <c r="D2568" i="1" a="1"/>
  <c r="D2568" i="1" s="1"/>
  <c r="E2568" i="1"/>
  <c r="D2385" i="1" a="1"/>
  <c r="D2385" i="1" s="1"/>
  <c r="E2385" i="1"/>
  <c r="E2587" i="1"/>
  <c r="D2587" i="1" a="1"/>
  <c r="D2587" i="1" s="1"/>
  <c r="F2588" i="1"/>
  <c r="F2569" i="1"/>
  <c r="F2570" i="1" s="1"/>
  <c r="F2571" i="1" s="1"/>
  <c r="F2555" i="1"/>
  <c r="F2548" i="1"/>
  <c r="F2537" i="1"/>
  <c r="F2529" i="1"/>
  <c r="F2464" i="1"/>
  <c r="F2504" i="1"/>
  <c r="F2440" i="1"/>
  <c r="F2399" i="1"/>
  <c r="F2478" i="1"/>
  <c r="F2394" i="1"/>
  <c r="F2368" i="1"/>
  <c r="F2616" i="1" l="1"/>
  <c r="D2615" i="1" a="1"/>
  <c r="D2615" i="1" s="1"/>
  <c r="D2714" i="1" a="1"/>
  <c r="D2714" i="1" s="1"/>
  <c r="E2714" i="1"/>
  <c r="D2694" i="1" a="1"/>
  <c r="D2694" i="1" s="1"/>
  <c r="E2694" i="1"/>
  <c r="F2695" i="1"/>
  <c r="D2718" i="1" a="1"/>
  <c r="D2718" i="1" s="1"/>
  <c r="F2719" i="1"/>
  <c r="E2718" i="1"/>
  <c r="D2657" i="1" a="1"/>
  <c r="D2657" i="1" s="1"/>
  <c r="F2658" i="1"/>
  <c r="E2657" i="1"/>
  <c r="D2669" i="1" a="1"/>
  <c r="D2669" i="1" s="1"/>
  <c r="F2670" i="1"/>
  <c r="E2669" i="1"/>
  <c r="E2570" i="1"/>
  <c r="D2570" i="1" a="1"/>
  <c r="D2570" i="1" s="1"/>
  <c r="D2458" i="1" a="1"/>
  <c r="D2458" i="1" s="1"/>
  <c r="E2458" i="1"/>
  <c r="D2537" i="1" a="1"/>
  <c r="D2537" i="1" s="1"/>
  <c r="E2537" i="1"/>
  <c r="D2457" i="1" a="1"/>
  <c r="D2457" i="1" s="1"/>
  <c r="E2457" i="1"/>
  <c r="F2388" i="1"/>
  <c r="D2387" i="1" a="1"/>
  <c r="D2387" i="1" s="1"/>
  <c r="E2387" i="1"/>
  <c r="D2478" i="1" a="1"/>
  <c r="D2478" i="1" s="1"/>
  <c r="E2478" i="1"/>
  <c r="F2434" i="1"/>
  <c r="D2433" i="1" a="1"/>
  <c r="D2433" i="1" s="1"/>
  <c r="E2433" i="1"/>
  <c r="D2394" i="1" a="1"/>
  <c r="D2394" i="1" s="1"/>
  <c r="E2394" i="1"/>
  <c r="D2399" i="1" a="1"/>
  <c r="D2399" i="1" s="1"/>
  <c r="E2399" i="1"/>
  <c r="D2464" i="1" a="1"/>
  <c r="D2464" i="1" s="1"/>
  <c r="E2464" i="1"/>
  <c r="D2555" i="1" a="1"/>
  <c r="D2555" i="1" s="1"/>
  <c r="E2555" i="1"/>
  <c r="D2504" i="1" a="1"/>
  <c r="D2504" i="1" s="1"/>
  <c r="E2504" i="1"/>
  <c r="D2368" i="1" a="1"/>
  <c r="D2368" i="1" s="1"/>
  <c r="E2368" i="1"/>
  <c r="D2548" i="1" a="1"/>
  <c r="D2548" i="1" s="1"/>
  <c r="E2548" i="1"/>
  <c r="D2510" i="1" a="1"/>
  <c r="D2510" i="1" s="1"/>
  <c r="E2510" i="1"/>
  <c r="E2440" i="1"/>
  <c r="D2440" i="1" a="1"/>
  <c r="D2440" i="1" s="1"/>
  <c r="D2529" i="1" a="1"/>
  <c r="D2529" i="1" s="1"/>
  <c r="E2529" i="1"/>
  <c r="D2569" i="1" a="1"/>
  <c r="D2569" i="1" s="1"/>
  <c r="E2569" i="1"/>
  <c r="D2509" i="1" a="1"/>
  <c r="D2509" i="1" s="1"/>
  <c r="E2509" i="1"/>
  <c r="D2432" i="1" a="1"/>
  <c r="D2432" i="1" s="1"/>
  <c r="E2432" i="1"/>
  <c r="E2588" i="1"/>
  <c r="D2588" i="1" a="1"/>
  <c r="D2588" i="1" s="1"/>
  <c r="D2616" i="1" a="1"/>
  <c r="D2616" i="1" s="1"/>
  <c r="E2616" i="1"/>
  <c r="F2589" i="1"/>
  <c r="F2617" i="1"/>
  <c r="F2556" i="1"/>
  <c r="F2549" i="1"/>
  <c r="F2538" i="1"/>
  <c r="F2530" i="1"/>
  <c r="F2465" i="1"/>
  <c r="F2505" i="1"/>
  <c r="F2441" i="1"/>
  <c r="F2511" i="1"/>
  <c r="F2400" i="1"/>
  <c r="F2369" i="1"/>
  <c r="F2395" i="1"/>
  <c r="F2459" i="1"/>
  <c r="F2479" i="1"/>
  <c r="E2695" i="1" l="1"/>
  <c r="F2696" i="1"/>
  <c r="D2695" i="1" a="1"/>
  <c r="D2695" i="1" s="1"/>
  <c r="E2719" i="1"/>
  <c r="F2720" i="1"/>
  <c r="D2719" i="1" a="1"/>
  <c r="D2719" i="1" s="1"/>
  <c r="E2670" i="1"/>
  <c r="D2670" i="1" a="1"/>
  <c r="D2670" i="1" s="1"/>
  <c r="F2671" i="1"/>
  <c r="E2658" i="1"/>
  <c r="D2658" i="1" a="1"/>
  <c r="D2658" i="1" s="1"/>
  <c r="F2659" i="1"/>
  <c r="D2459" i="1" a="1"/>
  <c r="D2459" i="1" s="1"/>
  <c r="E2459" i="1"/>
  <c r="D2511" i="1" a="1"/>
  <c r="D2511" i="1" s="1"/>
  <c r="E2511" i="1"/>
  <c r="D2465" i="1" a="1"/>
  <c r="D2465" i="1" s="1"/>
  <c r="E2465" i="1"/>
  <c r="D2556" i="1" a="1"/>
  <c r="D2556" i="1" s="1"/>
  <c r="E2556" i="1"/>
  <c r="D2434" i="1" a="1"/>
  <c r="D2434" i="1" s="1"/>
  <c r="E2434" i="1"/>
  <c r="D2395" i="1" a="1"/>
  <c r="D2395" i="1" s="1"/>
  <c r="E2395" i="1"/>
  <c r="F2435" i="1"/>
  <c r="D2530" i="1" a="1"/>
  <c r="D2530" i="1" s="1"/>
  <c r="E2530" i="1"/>
  <c r="D2571" i="1" a="1"/>
  <c r="D2571" i="1" s="1"/>
  <c r="E2571" i="1"/>
  <c r="F2389" i="1"/>
  <c r="D2388" i="1" a="1"/>
  <c r="D2388" i="1" s="1"/>
  <c r="E2388" i="1"/>
  <c r="E2369" i="1"/>
  <c r="D2369" i="1" a="1"/>
  <c r="D2369" i="1" s="1"/>
  <c r="D2441" i="1" a="1"/>
  <c r="D2441" i="1" s="1"/>
  <c r="E2441" i="1"/>
  <c r="D2538" i="1" a="1"/>
  <c r="D2538" i="1" s="1"/>
  <c r="E2538" i="1"/>
  <c r="D2479" i="1" a="1"/>
  <c r="D2479" i="1" s="1"/>
  <c r="E2479" i="1"/>
  <c r="D2400" i="1" a="1"/>
  <c r="D2400" i="1" s="1"/>
  <c r="E2400" i="1"/>
  <c r="D2505" i="1" a="1"/>
  <c r="D2505" i="1" s="1"/>
  <c r="E2505" i="1"/>
  <c r="D2549" i="1" a="1"/>
  <c r="D2549" i="1" s="1"/>
  <c r="E2549" i="1"/>
  <c r="D2589" i="1" a="1"/>
  <c r="D2589" i="1" s="1"/>
  <c r="E2589" i="1"/>
  <c r="D2617" i="1" a="1"/>
  <c r="D2617" i="1" s="1"/>
  <c r="E2617" i="1"/>
  <c r="F2590" i="1"/>
  <c r="F2618" i="1"/>
  <c r="F2572" i="1"/>
  <c r="F2557" i="1"/>
  <c r="F2550" i="1"/>
  <c r="F2539" i="1"/>
  <c r="F2531" i="1"/>
  <c r="F2466" i="1"/>
  <c r="F2506" i="1"/>
  <c r="F2442" i="1"/>
  <c r="F2480" i="1"/>
  <c r="F2512" i="1"/>
  <c r="F2401" i="1"/>
  <c r="F2460" i="1"/>
  <c r="F2370" i="1"/>
  <c r="F2396" i="1"/>
  <c r="D2720" i="1" l="1" a="1"/>
  <c r="D2720" i="1" s="1"/>
  <c r="E2720" i="1"/>
  <c r="F2721" i="1"/>
  <c r="D2696" i="1" a="1"/>
  <c r="D2696" i="1" s="1"/>
  <c r="E2696" i="1"/>
  <c r="F2697" i="1"/>
  <c r="D2659" i="1" a="1"/>
  <c r="D2659" i="1" s="1"/>
  <c r="E2659" i="1"/>
  <c r="F2660" i="1"/>
  <c r="D2671" i="1" a="1"/>
  <c r="D2671" i="1" s="1"/>
  <c r="E2671" i="1"/>
  <c r="F2672" i="1"/>
  <c r="D2442" i="1" a="1"/>
  <c r="D2442" i="1" s="1"/>
  <c r="E2442" i="1"/>
  <c r="D2539" i="1" a="1"/>
  <c r="D2539" i="1" s="1"/>
  <c r="E2539" i="1"/>
  <c r="E2401" i="1"/>
  <c r="D2401" i="1" a="1"/>
  <c r="D2401" i="1" s="1"/>
  <c r="D2506" i="1" a="1"/>
  <c r="D2506" i="1" s="1"/>
  <c r="E2506" i="1"/>
  <c r="D2550" i="1" a="1"/>
  <c r="D2550" i="1" s="1"/>
  <c r="E2550" i="1"/>
  <c r="D2396" i="1" a="1"/>
  <c r="D2396" i="1" s="1"/>
  <c r="E2396" i="1"/>
  <c r="D2512" i="1" a="1"/>
  <c r="D2512" i="1" s="1"/>
  <c r="E2512" i="1"/>
  <c r="D2466" i="1" a="1"/>
  <c r="D2466" i="1" s="1"/>
  <c r="E2466" i="1"/>
  <c r="D2557" i="1" a="1"/>
  <c r="D2557" i="1" s="1"/>
  <c r="E2557" i="1"/>
  <c r="F2390" i="1"/>
  <c r="D2389" i="1" a="1"/>
  <c r="D2389" i="1" s="1"/>
  <c r="E2389" i="1"/>
  <c r="D2460" i="1" a="1"/>
  <c r="D2460" i="1" s="1"/>
  <c r="E2460" i="1"/>
  <c r="D2370" i="1" a="1"/>
  <c r="D2370" i="1" s="1"/>
  <c r="E2370" i="1"/>
  <c r="D2480" i="1" a="1"/>
  <c r="D2480" i="1" s="1"/>
  <c r="E2480" i="1"/>
  <c r="D2531" i="1" a="1"/>
  <c r="D2531" i="1" s="1"/>
  <c r="E2531" i="1"/>
  <c r="D2572" i="1" a="1"/>
  <c r="D2572" i="1" s="1"/>
  <c r="E2572" i="1"/>
  <c r="D2435" i="1" a="1"/>
  <c r="D2435" i="1" s="1"/>
  <c r="E2435" i="1"/>
  <c r="D2618" i="1" a="1"/>
  <c r="D2618" i="1" s="1"/>
  <c r="E2618" i="1"/>
  <c r="D2590" i="1" a="1"/>
  <c r="D2590" i="1" s="1"/>
  <c r="E2590" i="1"/>
  <c r="F2619" i="1"/>
  <c r="F2591" i="1"/>
  <c r="F2573" i="1"/>
  <c r="F2558" i="1"/>
  <c r="F2551" i="1"/>
  <c r="F2540" i="1"/>
  <c r="F2532" i="1"/>
  <c r="F2467" i="1"/>
  <c r="F2443" i="1"/>
  <c r="F2481" i="1"/>
  <c r="F2513" i="1"/>
  <c r="F2402" i="1"/>
  <c r="F2371" i="1"/>
  <c r="D2697" i="1" l="1" a="1"/>
  <c r="D2697" i="1" s="1"/>
  <c r="E2697" i="1"/>
  <c r="F2698" i="1"/>
  <c r="D2721" i="1" a="1"/>
  <c r="D2721" i="1" s="1"/>
  <c r="E2721" i="1"/>
  <c r="F2722" i="1"/>
  <c r="F2673" i="1"/>
  <c r="D2672" i="1" a="1"/>
  <c r="D2672" i="1" s="1"/>
  <c r="E2672" i="1"/>
  <c r="F2661" i="1"/>
  <c r="D2660" i="1" a="1"/>
  <c r="D2660" i="1" s="1"/>
  <c r="E2660" i="1"/>
  <c r="D2513" i="1" a="1"/>
  <c r="D2513" i="1" s="1"/>
  <c r="E2513" i="1"/>
  <c r="D2481" i="1" a="1"/>
  <c r="D2481" i="1" s="1"/>
  <c r="E2481" i="1"/>
  <c r="D2540" i="1" a="1"/>
  <c r="D2540" i="1" s="1"/>
  <c r="E2540" i="1"/>
  <c r="D2390" i="1" a="1"/>
  <c r="D2390" i="1" s="1"/>
  <c r="E2390" i="1"/>
  <c r="D2371" i="1" a="1"/>
  <c r="D2371" i="1" s="1"/>
  <c r="E2371" i="1"/>
  <c r="D2443" i="1" a="1"/>
  <c r="D2443" i="1" s="1"/>
  <c r="E2443" i="1"/>
  <c r="E2551" i="1"/>
  <c r="D2551" i="1" a="1"/>
  <c r="D2551" i="1" s="1"/>
  <c r="D2532" i="1" a="1"/>
  <c r="D2532" i="1" s="1"/>
  <c r="E2532" i="1"/>
  <c r="D2573" i="1" a="1"/>
  <c r="D2573" i="1" s="1"/>
  <c r="E2573" i="1"/>
  <c r="D2402" i="1" a="1"/>
  <c r="D2402" i="1" s="1"/>
  <c r="E2402" i="1"/>
  <c r="D2467" i="1" a="1"/>
  <c r="D2467" i="1" s="1"/>
  <c r="E2467" i="1"/>
  <c r="D2558" i="1" a="1"/>
  <c r="D2558" i="1" s="1"/>
  <c r="E2558" i="1"/>
  <c r="D2591" i="1" a="1"/>
  <c r="D2591" i="1" s="1"/>
  <c r="E2591" i="1"/>
  <c r="D2619" i="1" a="1"/>
  <c r="D2619" i="1" s="1"/>
  <c r="E2619" i="1"/>
  <c r="F2592" i="1"/>
  <c r="F2620" i="1"/>
  <c r="F2574" i="1"/>
  <c r="F2559" i="1"/>
  <c r="F2541" i="1"/>
  <c r="F2533" i="1"/>
  <c r="F2468" i="1"/>
  <c r="F2444" i="1"/>
  <c r="F2403" i="1"/>
  <c r="F2372" i="1"/>
  <c r="F2482" i="1"/>
  <c r="F2514" i="1"/>
  <c r="D2722" i="1" l="1" a="1"/>
  <c r="D2722" i="1" s="1"/>
  <c r="E2722" i="1"/>
  <c r="F2723" i="1"/>
  <c r="D2698" i="1" a="1"/>
  <c r="D2698" i="1" s="1"/>
  <c r="F2699" i="1"/>
  <c r="E2698" i="1"/>
  <c r="D2661" i="1" a="1"/>
  <c r="D2661" i="1" s="1"/>
  <c r="F2662" i="1"/>
  <c r="E2661" i="1"/>
  <c r="D2673" i="1" a="1"/>
  <c r="D2673" i="1" s="1"/>
  <c r="F2674" i="1"/>
  <c r="E2673" i="1"/>
  <c r="D2444" i="1" a="1"/>
  <c r="D2444" i="1" s="1"/>
  <c r="E2444" i="1"/>
  <c r="D2468" i="1" a="1"/>
  <c r="D2468" i="1" s="1"/>
  <c r="E2468" i="1"/>
  <c r="E2372" i="1"/>
  <c r="D2372" i="1" a="1"/>
  <c r="D2372" i="1" s="1"/>
  <c r="D2533" i="1" a="1"/>
  <c r="D2533" i="1" s="1"/>
  <c r="E2533" i="1"/>
  <c r="D2514" i="1" a="1"/>
  <c r="D2514" i="1" s="1"/>
  <c r="E2514" i="1"/>
  <c r="D2559" i="1" a="1"/>
  <c r="D2559" i="1" s="1"/>
  <c r="E2559" i="1"/>
  <c r="D2482" i="1" a="1"/>
  <c r="D2482" i="1" s="1"/>
  <c r="E2482" i="1"/>
  <c r="D2574" i="1" a="1"/>
  <c r="D2574" i="1" s="1"/>
  <c r="E2574" i="1"/>
  <c r="D2403" i="1" a="1"/>
  <c r="D2403" i="1" s="1"/>
  <c r="E2403" i="1"/>
  <c r="D2541" i="1" a="1"/>
  <c r="D2541" i="1" s="1"/>
  <c r="E2541" i="1"/>
  <c r="E2620" i="1"/>
  <c r="D2620" i="1" a="1"/>
  <c r="D2620" i="1" s="1"/>
  <c r="E2592" i="1"/>
  <c r="D2592" i="1" a="1"/>
  <c r="D2592" i="1" s="1"/>
  <c r="F2621" i="1"/>
  <c r="F2593" i="1"/>
  <c r="F2575" i="1"/>
  <c r="F2560" i="1"/>
  <c r="F2542" i="1"/>
  <c r="F2469" i="1"/>
  <c r="F2445" i="1"/>
  <c r="F2404" i="1"/>
  <c r="F2373" i="1"/>
  <c r="F2515" i="1"/>
  <c r="F2483" i="1"/>
  <c r="E2723" i="1" l="1"/>
  <c r="F2724" i="1"/>
  <c r="D2723" i="1" a="1"/>
  <c r="D2723" i="1" s="1"/>
  <c r="E2699" i="1"/>
  <c r="F2700" i="1"/>
  <c r="D2699" i="1" a="1"/>
  <c r="D2699" i="1" s="1"/>
  <c r="E2674" i="1"/>
  <c r="D2674" i="1" a="1"/>
  <c r="D2674" i="1" s="1"/>
  <c r="F2675" i="1"/>
  <c r="E2662" i="1"/>
  <c r="D2662" i="1" a="1"/>
  <c r="D2662" i="1" s="1"/>
  <c r="F2663" i="1"/>
  <c r="D2560" i="1" a="1"/>
  <c r="D2560" i="1" s="1"/>
  <c r="E2560" i="1"/>
  <c r="E2483" i="1"/>
  <c r="D2483" i="1" a="1"/>
  <c r="D2483" i="1" s="1"/>
  <c r="D2445" i="1" a="1"/>
  <c r="D2445" i="1" s="1"/>
  <c r="E2445" i="1"/>
  <c r="D2575" i="1" a="1"/>
  <c r="D2575" i="1" s="1"/>
  <c r="E2575" i="1"/>
  <c r="D2515" i="1" a="1"/>
  <c r="D2515" i="1" s="1"/>
  <c r="E2515" i="1"/>
  <c r="D2469" i="1" a="1"/>
  <c r="D2469" i="1" s="1"/>
  <c r="E2469" i="1"/>
  <c r="D2404" i="1" a="1"/>
  <c r="D2404" i="1" s="1"/>
  <c r="E2404" i="1"/>
  <c r="D2373" i="1" a="1"/>
  <c r="D2373" i="1" s="1"/>
  <c r="E2373" i="1"/>
  <c r="D2542" i="1" a="1"/>
  <c r="D2542" i="1" s="1"/>
  <c r="E2542" i="1"/>
  <c r="D2593" i="1" a="1"/>
  <c r="D2593" i="1" s="1"/>
  <c r="E2593" i="1"/>
  <c r="E2621" i="1"/>
  <c r="D2621" i="1" a="1"/>
  <c r="D2621" i="1" s="1"/>
  <c r="F2594" i="1"/>
  <c r="F2622" i="1"/>
  <c r="F2576" i="1"/>
  <c r="F2561" i="1"/>
  <c r="F2543" i="1"/>
  <c r="F2470" i="1"/>
  <c r="F2446" i="1"/>
  <c r="F2516" i="1"/>
  <c r="F2374" i="1"/>
  <c r="F2405" i="1"/>
  <c r="F2484" i="1"/>
  <c r="D2700" i="1" l="1" a="1"/>
  <c r="D2700" i="1" s="1"/>
  <c r="E2700" i="1"/>
  <c r="F2701" i="1"/>
  <c r="D2724" i="1" a="1"/>
  <c r="D2724" i="1" s="1"/>
  <c r="E2724" i="1"/>
  <c r="F2725" i="1"/>
  <c r="D2663" i="1" a="1"/>
  <c r="D2663" i="1" s="1"/>
  <c r="E2663" i="1"/>
  <c r="F2664" i="1"/>
  <c r="D2675" i="1" a="1"/>
  <c r="D2675" i="1" s="1"/>
  <c r="E2675" i="1"/>
  <c r="F2676" i="1"/>
  <c r="D2405" i="1" a="1"/>
  <c r="D2405" i="1" s="1"/>
  <c r="E2405" i="1"/>
  <c r="D2543" i="1" a="1"/>
  <c r="D2543" i="1" s="1"/>
  <c r="E2543" i="1"/>
  <c r="D2470" i="1" a="1"/>
  <c r="D2470" i="1" s="1"/>
  <c r="E2470" i="1"/>
  <c r="D2374" i="1" a="1"/>
  <c r="D2374" i="1" s="1"/>
  <c r="E2374" i="1"/>
  <c r="D2516" i="1" a="1"/>
  <c r="D2516" i="1" s="1"/>
  <c r="E2516" i="1"/>
  <c r="D2561" i="1" a="1"/>
  <c r="D2561" i="1" s="1"/>
  <c r="E2561" i="1"/>
  <c r="D2484" i="1" a="1"/>
  <c r="D2484" i="1" s="1"/>
  <c r="E2484" i="1"/>
  <c r="D2446" i="1" a="1"/>
  <c r="D2446" i="1" s="1"/>
  <c r="E2446" i="1"/>
  <c r="D2576" i="1" a="1"/>
  <c r="D2576" i="1" s="1"/>
  <c r="E2576" i="1"/>
  <c r="D2622" i="1" a="1"/>
  <c r="D2622" i="1" s="1"/>
  <c r="E2622" i="1"/>
  <c r="D2594" i="1" a="1"/>
  <c r="D2594" i="1" s="1"/>
  <c r="E2594" i="1"/>
  <c r="F2623" i="1"/>
  <c r="F2595" i="1"/>
  <c r="F2577" i="1"/>
  <c r="F2544" i="1"/>
  <c r="F2471" i="1"/>
  <c r="F2447" i="1"/>
  <c r="F2517" i="1"/>
  <c r="F2406" i="1"/>
  <c r="F2375" i="1"/>
  <c r="F2485" i="1"/>
  <c r="D2725" i="1" l="1" a="1"/>
  <c r="D2725" i="1" s="1"/>
  <c r="E2725" i="1"/>
  <c r="D2701" i="1" a="1"/>
  <c r="D2701" i="1" s="1"/>
  <c r="E2701" i="1"/>
  <c r="F2702" i="1"/>
  <c r="F2677" i="1"/>
  <c r="D2676" i="1" a="1"/>
  <c r="D2676" i="1" s="1"/>
  <c r="E2676" i="1"/>
  <c r="F2665" i="1"/>
  <c r="D2664" i="1" a="1"/>
  <c r="D2664" i="1" s="1"/>
  <c r="E2664" i="1"/>
  <c r="D2485" i="1" a="1"/>
  <c r="D2485" i="1" s="1"/>
  <c r="E2485" i="1"/>
  <c r="D2375" i="1" a="1"/>
  <c r="D2375" i="1" s="1"/>
  <c r="E2375" i="1"/>
  <c r="D2471" i="1" a="1"/>
  <c r="D2471" i="1" s="1"/>
  <c r="E2471" i="1"/>
  <c r="E2406" i="1"/>
  <c r="D2406" i="1" a="1"/>
  <c r="D2406" i="1" s="1"/>
  <c r="D2544" i="1" a="1"/>
  <c r="D2544" i="1" s="1"/>
  <c r="E2544" i="1"/>
  <c r="D2447" i="1" a="1"/>
  <c r="D2447" i="1" s="1"/>
  <c r="E2447" i="1"/>
  <c r="D2517" i="1" a="1"/>
  <c r="D2517" i="1" s="1"/>
  <c r="E2517" i="1"/>
  <c r="D2577" i="1" a="1"/>
  <c r="D2577" i="1" s="1"/>
  <c r="E2577" i="1"/>
  <c r="D2595" i="1" a="1"/>
  <c r="D2595" i="1" s="1"/>
  <c r="E2595" i="1"/>
  <c r="D2623" i="1" a="1"/>
  <c r="D2623" i="1" s="1"/>
  <c r="E2623" i="1"/>
  <c r="F2596" i="1"/>
  <c r="F2624" i="1"/>
  <c r="F2578" i="1"/>
  <c r="F2472" i="1"/>
  <c r="F2448" i="1"/>
  <c r="F2486" i="1"/>
  <c r="F2376" i="1"/>
  <c r="F2407" i="1"/>
  <c r="F2518" i="1"/>
  <c r="D2702" i="1" l="1" a="1"/>
  <c r="D2702" i="1" s="1"/>
  <c r="E2702" i="1"/>
  <c r="F2703" i="1"/>
  <c r="D2665" i="1" a="1"/>
  <c r="D2665" i="1" s="1"/>
  <c r="E2665" i="1"/>
  <c r="D2677" i="1" a="1"/>
  <c r="D2677" i="1" s="1"/>
  <c r="F2678" i="1"/>
  <c r="E2677" i="1"/>
  <c r="D2407" i="1" a="1"/>
  <c r="D2407" i="1" s="1"/>
  <c r="E2407" i="1"/>
  <c r="D2472" i="1" a="1"/>
  <c r="D2472" i="1" s="1"/>
  <c r="E2472" i="1"/>
  <c r="D2376" i="1" a="1"/>
  <c r="D2376" i="1" s="1"/>
  <c r="E2376" i="1"/>
  <c r="D2486" i="1" a="1"/>
  <c r="D2486" i="1" s="1"/>
  <c r="E2486" i="1"/>
  <c r="D2578" i="1" a="1"/>
  <c r="D2578" i="1" s="1"/>
  <c r="E2578" i="1"/>
  <c r="F2519" i="1"/>
  <c r="F2520" i="1" s="1"/>
  <c r="D2518" i="1" a="1"/>
  <c r="D2518" i="1" s="1"/>
  <c r="E2518" i="1"/>
  <c r="D2448" i="1" a="1"/>
  <c r="D2448" i="1" s="1"/>
  <c r="E2448" i="1"/>
  <c r="D2624" i="1" a="1"/>
  <c r="D2624" i="1" s="1"/>
  <c r="E2624" i="1"/>
  <c r="E2596" i="1"/>
  <c r="D2596" i="1" a="1"/>
  <c r="D2596" i="1" s="1"/>
  <c r="F2625" i="1"/>
  <c r="F2597" i="1"/>
  <c r="F2579" i="1"/>
  <c r="F2473" i="1"/>
  <c r="F2449" i="1"/>
  <c r="F2377" i="1"/>
  <c r="F2408" i="1"/>
  <c r="F2487" i="1"/>
  <c r="E2703" i="1" l="1"/>
  <c r="F2704" i="1"/>
  <c r="D2703" i="1" a="1"/>
  <c r="D2703" i="1" s="1"/>
  <c r="E2678" i="1"/>
  <c r="D2678" i="1" a="1"/>
  <c r="D2678" i="1" s="1"/>
  <c r="F2679" i="1"/>
  <c r="D2487" i="1" a="1"/>
  <c r="D2487" i="1" s="1"/>
  <c r="E2487" i="1"/>
  <c r="D2519" i="1" a="1"/>
  <c r="D2519" i="1" s="1"/>
  <c r="E2519" i="1"/>
  <c r="D2579" i="1" a="1"/>
  <c r="D2579" i="1" s="1"/>
  <c r="E2579" i="1"/>
  <c r="D2473" i="1" a="1"/>
  <c r="D2473" i="1" s="1"/>
  <c r="E2473" i="1"/>
  <c r="D2408" i="1" a="1"/>
  <c r="D2408" i="1" s="1"/>
  <c r="E2408" i="1"/>
  <c r="D2520" i="1" a="1"/>
  <c r="D2520" i="1" s="1"/>
  <c r="E2520" i="1"/>
  <c r="D2377" i="1" a="1"/>
  <c r="D2377" i="1" s="1"/>
  <c r="E2377" i="1"/>
  <c r="D2449" i="1" a="1"/>
  <c r="D2449" i="1" s="1"/>
  <c r="E2449" i="1"/>
  <c r="D2597" i="1" a="1"/>
  <c r="D2597" i="1" s="1"/>
  <c r="E2597" i="1"/>
  <c r="E2625" i="1"/>
  <c r="D2625" i="1" a="1"/>
  <c r="D2625" i="1" s="1"/>
  <c r="F2626" i="1"/>
  <c r="F2598" i="1"/>
  <c r="F2580" i="1"/>
  <c r="F2521" i="1"/>
  <c r="F2474" i="1"/>
  <c r="F2450" i="1"/>
  <c r="F2409" i="1"/>
  <c r="F2378" i="1"/>
  <c r="F2488" i="1"/>
  <c r="D2704" i="1" l="1" a="1"/>
  <c r="D2704" i="1" s="1"/>
  <c r="E2704" i="1"/>
  <c r="F2705" i="1"/>
  <c r="D2679" i="1" a="1"/>
  <c r="D2679" i="1" s="1"/>
  <c r="E2679" i="1"/>
  <c r="F2680" i="1"/>
  <c r="E2409" i="1"/>
  <c r="D2409" i="1" a="1"/>
  <c r="D2409" i="1" s="1"/>
  <c r="D2580" i="1" a="1"/>
  <c r="D2580" i="1" s="1"/>
  <c r="E2580" i="1"/>
  <c r="D2450" i="1" a="1"/>
  <c r="D2450" i="1" s="1"/>
  <c r="E2450" i="1"/>
  <c r="D2378" i="1" a="1"/>
  <c r="D2378" i="1" s="1"/>
  <c r="E2378" i="1"/>
  <c r="D2521" i="1" a="1"/>
  <c r="D2521" i="1" s="1"/>
  <c r="E2521" i="1"/>
  <c r="D2488" i="1" a="1"/>
  <c r="D2488" i="1" s="1"/>
  <c r="E2488" i="1"/>
  <c r="D2474" i="1" a="1"/>
  <c r="D2474" i="1" s="1"/>
  <c r="E2474" i="1"/>
  <c r="D2598" i="1" a="1"/>
  <c r="D2598" i="1" s="1"/>
  <c r="E2598" i="1"/>
  <c r="D2626" i="1" a="1"/>
  <c r="D2626" i="1" s="1"/>
  <c r="E2626" i="1"/>
  <c r="F2627" i="1"/>
  <c r="F2599" i="1"/>
  <c r="F2581" i="1"/>
  <c r="F2522" i="1"/>
  <c r="F2475" i="1"/>
  <c r="F2451" i="1"/>
  <c r="F2489" i="1"/>
  <c r="F2379" i="1"/>
  <c r="F2410" i="1"/>
  <c r="D2705" i="1" l="1" a="1"/>
  <c r="D2705" i="1" s="1"/>
  <c r="E2705" i="1"/>
  <c r="F2706" i="1"/>
  <c r="F2681" i="1"/>
  <c r="D2680" i="1" a="1"/>
  <c r="D2680" i="1" s="1"/>
  <c r="E2680" i="1"/>
  <c r="D2410" i="1" a="1"/>
  <c r="D2410" i="1" s="1"/>
  <c r="E2410" i="1"/>
  <c r="D2451" i="1" a="1"/>
  <c r="D2451" i="1" s="1"/>
  <c r="E2451" i="1"/>
  <c r="D2475" i="1" a="1"/>
  <c r="D2475" i="1" s="1"/>
  <c r="E2475" i="1"/>
  <c r="D2379" i="1" a="1"/>
  <c r="D2379" i="1" s="1"/>
  <c r="E2379" i="1"/>
  <c r="D2522" i="1" a="1"/>
  <c r="D2522" i="1" s="1"/>
  <c r="E2522" i="1"/>
  <c r="D2489" i="1" a="1"/>
  <c r="D2489" i="1" s="1"/>
  <c r="E2489" i="1"/>
  <c r="D2581" i="1" a="1"/>
  <c r="D2581" i="1" s="1"/>
  <c r="E2581" i="1"/>
  <c r="D2599" i="1" a="1"/>
  <c r="D2599" i="1" s="1"/>
  <c r="E2599" i="1"/>
  <c r="D2627" i="1" a="1"/>
  <c r="D2627" i="1" s="1"/>
  <c r="E2627" i="1"/>
  <c r="F2600" i="1"/>
  <c r="F2628" i="1"/>
  <c r="F2582" i="1"/>
  <c r="F2523" i="1"/>
  <c r="F2452" i="1"/>
  <c r="F2411" i="1"/>
  <c r="F2380" i="1"/>
  <c r="F2490" i="1"/>
  <c r="D2706" i="1" l="1" a="1"/>
  <c r="D2706" i="1" s="1"/>
  <c r="E2706" i="1"/>
  <c r="F2707" i="1"/>
  <c r="D2681" i="1" a="1"/>
  <c r="D2681" i="1" s="1"/>
  <c r="F2682" i="1"/>
  <c r="E2681" i="1"/>
  <c r="D2411" i="1" a="1"/>
  <c r="D2411" i="1" s="1"/>
  <c r="E2411" i="1"/>
  <c r="D2452" i="1" a="1"/>
  <c r="D2452" i="1" s="1"/>
  <c r="E2452" i="1"/>
  <c r="D2490" i="1" a="1"/>
  <c r="D2490" i="1" s="1"/>
  <c r="E2490" i="1"/>
  <c r="D2523" i="1" a="1"/>
  <c r="D2523" i="1" s="1"/>
  <c r="E2523" i="1"/>
  <c r="D2380" i="1" a="1"/>
  <c r="D2380" i="1" s="1"/>
  <c r="E2380" i="1"/>
  <c r="D2582" i="1" a="1"/>
  <c r="D2582" i="1" s="1"/>
  <c r="E2582" i="1"/>
  <c r="E2628" i="1"/>
  <c r="D2628" i="1" a="1"/>
  <c r="D2628" i="1" s="1"/>
  <c r="E2600" i="1"/>
  <c r="D2600" i="1" a="1"/>
  <c r="D2600" i="1" s="1"/>
  <c r="F2601" i="1"/>
  <c r="F2629" i="1"/>
  <c r="F2583" i="1"/>
  <c r="F2524" i="1"/>
  <c r="F2453" i="1"/>
  <c r="F2412" i="1"/>
  <c r="F2381" i="1"/>
  <c r="F2491" i="1"/>
  <c r="E2707" i="1" l="1"/>
  <c r="F2708" i="1"/>
  <c r="D2707" i="1" a="1"/>
  <c r="D2707" i="1" s="1"/>
  <c r="E2682" i="1"/>
  <c r="D2682" i="1" a="1"/>
  <c r="D2682" i="1" s="1"/>
  <c r="F2683" i="1"/>
  <c r="D2583" i="1" a="1"/>
  <c r="D2583" i="1" s="1"/>
  <c r="E2583" i="1"/>
  <c r="D2491" i="1" a="1"/>
  <c r="D2491" i="1" s="1"/>
  <c r="E2491" i="1"/>
  <c r="D2524" i="1" a="1"/>
  <c r="D2524" i="1" s="1"/>
  <c r="E2524" i="1"/>
  <c r="D2381" i="1" a="1"/>
  <c r="D2381" i="1" s="1"/>
  <c r="E2381" i="1"/>
  <c r="D2412" i="1" a="1"/>
  <c r="D2412" i="1" s="1"/>
  <c r="E2412" i="1"/>
  <c r="D2453" i="1" a="1"/>
  <c r="D2453" i="1" s="1"/>
  <c r="E2453" i="1"/>
  <c r="E2629" i="1"/>
  <c r="D2629" i="1" a="1"/>
  <c r="D2629" i="1" s="1"/>
  <c r="E2601" i="1"/>
  <c r="D2601" i="1" a="1"/>
  <c r="D2601" i="1" s="1"/>
  <c r="F2602" i="1"/>
  <c r="F2630" i="1"/>
  <c r="F2584" i="1"/>
  <c r="F2525" i="1"/>
  <c r="F2454" i="1"/>
  <c r="F2413" i="1"/>
  <c r="F2382" i="1"/>
  <c r="F2492" i="1"/>
  <c r="D2708" i="1" l="1" a="1"/>
  <c r="D2708" i="1" s="1"/>
  <c r="E2708" i="1"/>
  <c r="F2709" i="1"/>
  <c r="D2683" i="1" a="1"/>
  <c r="D2683" i="1" s="1"/>
  <c r="E2683" i="1"/>
  <c r="F2684" i="1"/>
  <c r="D2492" i="1" a="1"/>
  <c r="D2492" i="1" s="1"/>
  <c r="E2492" i="1"/>
  <c r="D2525" i="1" a="1"/>
  <c r="D2525" i="1" s="1"/>
  <c r="E2525" i="1"/>
  <c r="E2413" i="1"/>
  <c r="D2413" i="1" a="1"/>
  <c r="D2413" i="1" s="1"/>
  <c r="D2382" i="1" a="1"/>
  <c r="D2382" i="1" s="1"/>
  <c r="E2382" i="1"/>
  <c r="D2584" i="1" a="1"/>
  <c r="D2584" i="1" s="1"/>
  <c r="E2584" i="1"/>
  <c r="D2454" i="1" a="1"/>
  <c r="D2454" i="1" s="1"/>
  <c r="E2454" i="1"/>
  <c r="D2630" i="1" a="1"/>
  <c r="D2630" i="1" s="1"/>
  <c r="E2630" i="1"/>
  <c r="D2602" i="1" a="1"/>
  <c r="D2602" i="1" s="1"/>
  <c r="E2602" i="1"/>
  <c r="F2631" i="1"/>
  <c r="F2603" i="1"/>
  <c r="F2493" i="1"/>
  <c r="F2383" i="1"/>
  <c r="F2414" i="1"/>
  <c r="D2709" i="1" l="1" a="1"/>
  <c r="D2709" i="1" s="1"/>
  <c r="E2709" i="1"/>
  <c r="F2685" i="1"/>
  <c r="D2684" i="1" a="1"/>
  <c r="D2684" i="1" s="1"/>
  <c r="E2684" i="1"/>
  <c r="D2383" i="1" a="1"/>
  <c r="D2383" i="1" s="1"/>
  <c r="E2383" i="1"/>
  <c r="D2493" i="1" a="1"/>
  <c r="D2493" i="1" s="1"/>
  <c r="E2493" i="1"/>
  <c r="D2414" i="1" a="1"/>
  <c r="D2414" i="1" s="1"/>
  <c r="E2414" i="1"/>
  <c r="D2603" i="1" a="1"/>
  <c r="D2603" i="1" s="1"/>
  <c r="E2603" i="1"/>
  <c r="D2631" i="1" a="1"/>
  <c r="D2631" i="1" s="1"/>
  <c r="E2631" i="1"/>
  <c r="F2604" i="1"/>
  <c r="F2632" i="1"/>
  <c r="F2415" i="1"/>
  <c r="F2494" i="1"/>
  <c r="D2685" i="1" l="1" a="1"/>
  <c r="D2685" i="1" s="1"/>
  <c r="F2686" i="1"/>
  <c r="E2685" i="1"/>
  <c r="D2494" i="1" a="1"/>
  <c r="D2494" i="1" s="1"/>
  <c r="E2494" i="1"/>
  <c r="D2415" i="1" a="1"/>
  <c r="D2415" i="1" s="1"/>
  <c r="E2415" i="1"/>
  <c r="D2632" i="1" a="1"/>
  <c r="D2632" i="1" s="1"/>
  <c r="E2632" i="1"/>
  <c r="E2604" i="1"/>
  <c r="D2604" i="1" a="1"/>
  <c r="D2604" i="1" s="1"/>
  <c r="F2605" i="1"/>
  <c r="F2633" i="1"/>
  <c r="F2495" i="1"/>
  <c r="F2416" i="1"/>
  <c r="E2686" i="1" l="1"/>
  <c r="D2686" i="1" a="1"/>
  <c r="D2686" i="1" s="1"/>
  <c r="D2495" i="1" a="1"/>
  <c r="D2495" i="1" s="1"/>
  <c r="E2495" i="1"/>
  <c r="D2416" i="1" a="1"/>
  <c r="D2416" i="1" s="1"/>
  <c r="E2416" i="1"/>
  <c r="D2633" i="1" a="1"/>
  <c r="D2633" i="1" s="1"/>
  <c r="E2633" i="1"/>
  <c r="D2605" i="1" a="1"/>
  <c r="D2605" i="1" s="1"/>
  <c r="E2605" i="1"/>
  <c r="F2634" i="1"/>
  <c r="F2606" i="1"/>
  <c r="F2496" i="1"/>
  <c r="F2417" i="1"/>
  <c r="D2417" i="1" l="1" a="1"/>
  <c r="D2417" i="1" s="1"/>
  <c r="E2417" i="1"/>
  <c r="D2496" i="1" a="1"/>
  <c r="D2496" i="1" s="1"/>
  <c r="E2496" i="1"/>
  <c r="D2606" i="1" a="1"/>
  <c r="D2606" i="1" s="1"/>
  <c r="E2606" i="1"/>
  <c r="D2634" i="1" a="1"/>
  <c r="D2634" i="1" s="1"/>
  <c r="E2634" i="1"/>
  <c r="F2635" i="1"/>
  <c r="F2607" i="1"/>
  <c r="F2418" i="1"/>
  <c r="F2497" i="1"/>
  <c r="D2497" i="1" l="1" a="1"/>
  <c r="D2497" i="1" s="1"/>
  <c r="E2497" i="1"/>
  <c r="D2418" i="1" a="1"/>
  <c r="D2418" i="1" s="1"/>
  <c r="E2418" i="1"/>
  <c r="E2607" i="1"/>
  <c r="D2607" i="1" a="1"/>
  <c r="D2607" i="1" s="1"/>
  <c r="D2635" i="1" a="1"/>
  <c r="D2635" i="1" s="1"/>
  <c r="E2635" i="1"/>
  <c r="F2608" i="1"/>
  <c r="F2636" i="1"/>
  <c r="F2498" i="1"/>
  <c r="F2419" i="1"/>
  <c r="D2419" i="1" l="1" a="1"/>
  <c r="D2419" i="1" s="1"/>
  <c r="E2419" i="1"/>
  <c r="D2498" i="1" a="1"/>
  <c r="D2498" i="1" s="1"/>
  <c r="E2498" i="1"/>
  <c r="E2636" i="1"/>
  <c r="D2636" i="1" a="1"/>
  <c r="D2636" i="1" s="1"/>
  <c r="D2608" i="1" a="1"/>
  <c r="D2608" i="1" s="1"/>
  <c r="E2608" i="1"/>
  <c r="F2609" i="1"/>
  <c r="F2637" i="1"/>
  <c r="F2638" i="1" s="1"/>
  <c r="F2639" i="1" s="1"/>
  <c r="F2420" i="1"/>
  <c r="F2499" i="1"/>
  <c r="D2499" i="1" l="1" a="1"/>
  <c r="D2499" i="1" s="1"/>
  <c r="E2499" i="1"/>
  <c r="D2420" i="1" a="1"/>
  <c r="D2420" i="1" s="1"/>
  <c r="E2420" i="1"/>
  <c r="E2638" i="1"/>
  <c r="D2638" i="1" a="1"/>
  <c r="D2638" i="1" s="1"/>
  <c r="E2637" i="1"/>
  <c r="D2637" i="1" a="1"/>
  <c r="D2637" i="1" s="1"/>
  <c r="D2609" i="1" a="1"/>
  <c r="D2609" i="1" s="1"/>
  <c r="E2609" i="1"/>
  <c r="F2610" i="1"/>
  <c r="F2421" i="1"/>
  <c r="F2500" i="1"/>
  <c r="D2500" i="1" l="1" a="1"/>
  <c r="D2500" i="1" s="1"/>
  <c r="E2500" i="1"/>
  <c r="D2421" i="1" a="1"/>
  <c r="D2421" i="1" s="1"/>
  <c r="E2421" i="1"/>
  <c r="D2639" i="1" a="1"/>
  <c r="D2639" i="1" s="1"/>
  <c r="E2639" i="1"/>
  <c r="E2610" i="1"/>
  <c r="D2610" i="1" a="1"/>
  <c r="D2610" i="1" s="1"/>
  <c r="F2640" i="1"/>
  <c r="F2611" i="1"/>
  <c r="F2422" i="1"/>
  <c r="D2422" i="1" l="1" a="1"/>
  <c r="D2422" i="1" s="1"/>
  <c r="E2422" i="1"/>
  <c r="D2611" i="1" a="1"/>
  <c r="D2611" i="1" s="1"/>
  <c r="E2611" i="1"/>
  <c r="E2640" i="1"/>
  <c r="D2640" i="1" a="1"/>
  <c r="D2640" i="1" s="1"/>
  <c r="F2641" i="1"/>
  <c r="F2423" i="1"/>
  <c r="D2423" i="1" l="1" a="1"/>
  <c r="D2423" i="1" s="1"/>
  <c r="E2423" i="1"/>
  <c r="D2641" i="1" a="1"/>
  <c r="D2641" i="1" s="1"/>
  <c r="E2641" i="1"/>
  <c r="F2642" i="1"/>
  <c r="F2424" i="1"/>
  <c r="D2424" i="1" l="1" a="1"/>
  <c r="D2424" i="1" s="1"/>
  <c r="E2424" i="1"/>
  <c r="D2642" i="1" a="1"/>
  <c r="D2642" i="1" s="1"/>
  <c r="E2642" i="1"/>
  <c r="F2643" i="1"/>
  <c r="F2425" i="1"/>
  <c r="D2425" i="1" l="1" a="1"/>
  <c r="D2425" i="1" s="1"/>
  <c r="E2425" i="1"/>
  <c r="D2643" i="1" a="1"/>
  <c r="D2643" i="1" s="1"/>
  <c r="E2643" i="1"/>
  <c r="F2644" i="1"/>
  <c r="F2426" i="1"/>
  <c r="D2426" i="1" l="1" a="1"/>
  <c r="D2426" i="1" s="1"/>
  <c r="E2426" i="1"/>
  <c r="D2644" i="1" a="1"/>
  <c r="D2644" i="1" s="1"/>
  <c r="E2644" i="1"/>
  <c r="F2645" i="1"/>
  <c r="F2427" i="1"/>
  <c r="D2427" i="1" l="1" a="1"/>
  <c r="D2427" i="1" s="1"/>
  <c r="E2427" i="1"/>
  <c r="E2645" i="1"/>
  <c r="D2645" i="1" a="1"/>
  <c r="D2645" i="1" s="1"/>
  <c r="F2646" i="1"/>
  <c r="F2428" i="1"/>
  <c r="D2428" i="1" l="1" a="1"/>
  <c r="D2428" i="1" s="1"/>
  <c r="E2428" i="1"/>
  <c r="E2646" i="1"/>
  <c r="D2646" i="1" a="1"/>
  <c r="D2646" i="1" s="1"/>
  <c r="F2647" i="1"/>
  <c r="F2429" i="1"/>
  <c r="D2429" i="1" l="1" a="1"/>
  <c r="D2429" i="1" s="1"/>
  <c r="E2429" i="1"/>
  <c r="D2647" i="1" a="1"/>
  <c r="D2647" i="1" s="1"/>
  <c r="E2647" i="1"/>
  <c r="F2648" i="1"/>
  <c r="E2648" i="1" l="1"/>
  <c r="D2648" i="1" a="1"/>
  <c r="D2648" i="1" s="1"/>
  <c r="F2649" i="1"/>
  <c r="F2" i="1"/>
  <c r="F7" i="1"/>
  <c r="E7" i="1" s="1"/>
  <c r="F12" i="1"/>
  <c r="F17" i="1"/>
  <c r="F22" i="1"/>
  <c r="F27" i="1"/>
  <c r="F32" i="1"/>
  <c r="F37" i="1"/>
  <c r="F41" i="1"/>
  <c r="F46" i="1"/>
  <c r="F52" i="1"/>
  <c r="F57" i="1"/>
  <c r="F62" i="1"/>
  <c r="F67" i="1"/>
  <c r="F72" i="1"/>
  <c r="F77" i="1"/>
  <c r="F82" i="1"/>
  <c r="F87" i="1"/>
  <c r="F92" i="1"/>
  <c r="F97" i="1"/>
  <c r="F105" i="1"/>
  <c r="F112" i="1"/>
  <c r="F117" i="1"/>
  <c r="F122" i="1"/>
  <c r="F127" i="1"/>
  <c r="F132" i="1"/>
  <c r="F137" i="1"/>
  <c r="F142" i="1"/>
  <c r="F163" i="1"/>
  <c r="F168" i="1"/>
  <c r="F173" i="1"/>
  <c r="F178" i="1"/>
  <c r="F191" i="1"/>
  <c r="F196" i="1"/>
  <c r="F201" i="1"/>
  <c r="F206" i="1"/>
  <c r="F211" i="1"/>
  <c r="F216" i="1"/>
  <c r="F221" i="1"/>
  <c r="F226" i="1"/>
  <c r="F231" i="1"/>
  <c r="F236" i="1"/>
  <c r="F241" i="1"/>
  <c r="F246" i="1"/>
  <c r="F253" i="1"/>
  <c r="F258" i="1"/>
  <c r="F263" i="1"/>
  <c r="F278" i="1"/>
  <c r="F297" i="1"/>
  <c r="F325" i="1"/>
  <c r="F340" i="1"/>
  <c r="F358" i="1"/>
  <c r="F392" i="1"/>
  <c r="F423" i="1"/>
  <c r="F438" i="1"/>
  <c r="F498" i="1"/>
  <c r="F514" i="1"/>
  <c r="F543" i="1"/>
  <c r="F545" i="1"/>
  <c r="F550" i="1"/>
  <c r="F555" i="1"/>
  <c r="F560" i="1"/>
  <c r="F565" i="1"/>
  <c r="F570" i="1"/>
  <c r="F575" i="1"/>
  <c r="F580" i="1"/>
  <c r="F586" i="1"/>
  <c r="F592" i="1"/>
  <c r="F597" i="1"/>
  <c r="F602" i="1"/>
  <c r="F607" i="1"/>
  <c r="F612" i="1"/>
  <c r="F617" i="1"/>
  <c r="F623" i="1"/>
  <c r="F632" i="1"/>
  <c r="F640" i="1"/>
  <c r="F646" i="1"/>
  <c r="F653" i="1"/>
  <c r="F658" i="1"/>
  <c r="F670" i="1"/>
  <c r="F683" i="1"/>
  <c r="F693" i="1"/>
  <c r="F702" i="1"/>
  <c r="F714" i="1"/>
  <c r="F725" i="1"/>
  <c r="F735" i="1"/>
  <c r="F821" i="1"/>
  <c r="F826" i="1"/>
  <c r="F834" i="1"/>
  <c r="F842" i="1"/>
  <c r="F854" i="1"/>
  <c r="F869" i="1"/>
  <c r="F921" i="1"/>
  <c r="F946" i="1"/>
  <c r="F964" i="1"/>
  <c r="F982" i="1"/>
  <c r="F989" i="1"/>
  <c r="F996" i="1"/>
  <c r="F1003" i="1"/>
  <c r="F1013" i="1"/>
  <c r="F1022" i="1"/>
  <c r="F1051" i="1"/>
  <c r="F1063" i="1"/>
  <c r="F1078" i="1"/>
  <c r="F1087" i="1"/>
  <c r="F1111" i="1"/>
  <c r="F1120" i="1"/>
  <c r="F1132" i="1"/>
  <c r="F1142" i="1"/>
  <c r="F1155" i="1"/>
  <c r="F1163" i="1"/>
  <c r="F1201" i="1"/>
  <c r="F1210" i="1"/>
  <c r="F1217" i="1"/>
  <c r="F1224" i="1"/>
  <c r="F1236" i="1"/>
  <c r="F1250" i="1"/>
  <c r="F1257" i="1"/>
  <c r="F1269" i="1"/>
  <c r="F1278" i="1"/>
  <c r="F1291" i="1"/>
  <c r="F1304" i="1"/>
  <c r="F1311" i="1"/>
  <c r="F1319" i="1"/>
  <c r="F1337" i="1"/>
  <c r="F1347" i="1"/>
  <c r="F1359" i="1"/>
  <c r="F1372" i="1"/>
  <c r="F1383" i="1"/>
  <c r="F1391" i="1"/>
  <c r="F1397" i="1"/>
  <c r="F1411" i="1"/>
  <c r="F1418" i="1"/>
  <c r="F1426" i="1"/>
  <c r="F1436" i="1"/>
  <c r="F1447" i="1"/>
  <c r="F1453" i="1"/>
  <c r="F1463" i="1"/>
  <c r="F1470" i="1"/>
  <c r="F1479" i="1"/>
  <c r="F1485" i="1"/>
  <c r="F1495" i="1"/>
  <c r="F1504" i="1"/>
  <c r="F1515" i="1"/>
  <c r="F1525" i="1"/>
  <c r="F1534" i="1"/>
  <c r="F1562" i="1"/>
  <c r="F1591" i="1"/>
  <c r="F1607" i="1"/>
  <c r="F1618" i="1"/>
  <c r="F1636" i="1"/>
  <c r="F1658" i="1"/>
  <c r="F1673" i="1"/>
  <c r="F1694" i="1"/>
  <c r="F1701" i="1"/>
  <c r="F1716" i="1"/>
  <c r="F1740" i="1"/>
  <c r="F1756" i="1"/>
  <c r="F1764" i="1"/>
  <c r="F1773" i="1"/>
  <c r="F1791" i="1"/>
  <c r="F1824" i="1"/>
  <c r="F1834" i="1"/>
  <c r="F1844" i="1"/>
  <c r="F1852" i="1"/>
  <c r="F1863" i="1"/>
  <c r="F1869" i="1"/>
  <c r="F1875" i="1"/>
  <c r="F1895" i="1"/>
  <c r="F1904" i="1"/>
  <c r="F1917" i="1"/>
  <c r="F1936" i="1"/>
  <c r="F1956" i="1"/>
  <c r="F1963" i="1"/>
  <c r="F1974" i="1"/>
  <c r="F1983" i="1"/>
  <c r="F1996" i="1"/>
  <c r="F2003" i="1"/>
  <c r="F2013" i="1"/>
  <c r="F2026" i="1"/>
  <c r="F2040" i="1"/>
  <c r="F2050" i="1"/>
  <c r="F2058" i="1"/>
  <c r="F2073" i="1"/>
  <c r="F2085" i="1"/>
  <c r="F2097" i="1"/>
  <c r="F2111" i="1"/>
  <c r="F2131" i="1"/>
  <c r="F2136" i="1"/>
  <c r="F2172" i="1"/>
  <c r="F2182" i="1"/>
  <c r="F2192" i="1"/>
  <c r="F2206" i="1"/>
  <c r="F2214" i="1"/>
  <c r="F2222" i="1"/>
  <c r="F2231" i="1"/>
  <c r="F2239" i="1"/>
  <c r="F2251" i="1"/>
  <c r="F2260" i="1"/>
  <c r="F2273" i="1"/>
  <c r="F2281" i="1"/>
  <c r="F2287" i="1"/>
  <c r="F2294" i="1"/>
  <c r="F2300" i="1"/>
  <c r="F2308" i="1"/>
  <c r="F2317" i="1"/>
  <c r="F2323" i="1"/>
  <c r="F2337" i="1"/>
  <c r="F2351" i="1"/>
  <c r="F2358" i="1"/>
  <c r="D2294" i="1" l="1" a="1"/>
  <c r="D2294" i="1" s="1"/>
  <c r="E2294" i="1"/>
  <c r="D2182" i="1" a="1"/>
  <c r="D2182" i="1" s="1"/>
  <c r="E2182" i="1"/>
  <c r="D2013" i="1" a="1"/>
  <c r="D2013" i="1" s="1"/>
  <c r="E2013" i="1"/>
  <c r="E1869" i="1"/>
  <c r="D1869" i="1" a="1"/>
  <c r="D1869" i="1" s="1"/>
  <c r="D1764" i="1" a="1"/>
  <c r="D1764" i="1" s="1"/>
  <c r="E1764" i="1"/>
  <c r="D1562" i="1" a="1"/>
  <c r="D1562" i="1" s="1"/>
  <c r="E1562" i="1"/>
  <c r="D1436" i="1" a="1"/>
  <c r="D1436" i="1" s="1"/>
  <c r="E1436" i="1"/>
  <c r="D1359" i="1" a="1"/>
  <c r="D1359" i="1" s="1"/>
  <c r="E1359" i="1"/>
  <c r="E1163" i="1"/>
  <c r="D1163" i="1" a="1"/>
  <c r="D1163" i="1" s="1"/>
  <c r="D1003" i="1" a="1"/>
  <c r="D1003" i="1" s="1"/>
  <c r="E1003" i="1"/>
  <c r="D821" i="1" a="1"/>
  <c r="D821" i="1" s="1"/>
  <c r="E821" i="1"/>
  <c r="D658" i="1" a="1"/>
  <c r="D658" i="1" s="1"/>
  <c r="E658" i="1"/>
  <c r="D597" i="1" a="1"/>
  <c r="D597" i="1" s="1"/>
  <c r="E597" i="1"/>
  <c r="D514" i="1" a="1"/>
  <c r="D514" i="1" s="1"/>
  <c r="E514" i="1"/>
  <c r="D297" i="1" a="1"/>
  <c r="D297" i="1" s="1"/>
  <c r="E297" i="1"/>
  <c r="D211" i="1" a="1"/>
  <c r="D211" i="1" s="1"/>
  <c r="E211" i="1"/>
  <c r="F128" i="1"/>
  <c r="D127" i="1" a="1"/>
  <c r="D127" i="1" s="1"/>
  <c r="E127" i="1"/>
  <c r="D82" i="1" a="1"/>
  <c r="D82" i="1" s="1"/>
  <c r="E82" i="1"/>
  <c r="D2" i="1" a="1"/>
  <c r="D2" i="1" s="1"/>
  <c r="E2" i="1"/>
  <c r="F2252" i="1"/>
  <c r="D2251" i="1" a="1"/>
  <c r="D2251" i="1" s="1"/>
  <c r="E2251" i="1"/>
  <c r="D2172" i="1" a="1"/>
  <c r="D2172" i="1" s="1"/>
  <c r="E2172" i="1"/>
  <c r="D2050" i="1" a="1"/>
  <c r="D2050" i="1" s="1"/>
  <c r="E2050" i="1"/>
  <c r="D1963" i="1" a="1"/>
  <c r="D1963" i="1" s="1"/>
  <c r="E1963" i="1"/>
  <c r="D1904" i="1" a="1"/>
  <c r="D1904" i="1" s="1"/>
  <c r="E1904" i="1"/>
  <c r="D1863" i="1" a="1"/>
  <c r="D1863" i="1" s="1"/>
  <c r="E1863" i="1"/>
  <c r="D1824" i="1" a="1"/>
  <c r="D1824" i="1" s="1"/>
  <c r="E1824" i="1"/>
  <c r="D1756" i="1" a="1"/>
  <c r="D1756" i="1" s="1"/>
  <c r="E1756" i="1"/>
  <c r="D1694" i="1" a="1"/>
  <c r="D1694" i="1" s="1"/>
  <c r="E1694" i="1"/>
  <c r="D1618" i="1" a="1"/>
  <c r="D1618" i="1" s="1"/>
  <c r="E1618" i="1"/>
  <c r="D1534" i="1" a="1"/>
  <c r="D1534" i="1" s="1"/>
  <c r="E1534" i="1"/>
  <c r="D1495" i="1" a="1"/>
  <c r="D1495" i="1" s="1"/>
  <c r="E1495" i="1"/>
  <c r="D1463" i="1" a="1"/>
  <c r="D1463" i="1" s="1"/>
  <c r="E1463" i="1"/>
  <c r="D1426" i="1" a="1"/>
  <c r="D1426" i="1" s="1"/>
  <c r="E1426" i="1"/>
  <c r="D1391" i="1" a="1"/>
  <c r="D1391" i="1" s="1"/>
  <c r="E1391" i="1"/>
  <c r="D1347" i="1" a="1"/>
  <c r="D1347" i="1" s="1"/>
  <c r="E1347" i="1"/>
  <c r="E1304" i="1"/>
  <c r="D1304" i="1" a="1"/>
  <c r="D1304" i="1" s="1"/>
  <c r="D1257" i="1" a="1"/>
  <c r="D1257" i="1" s="1"/>
  <c r="E1257" i="1"/>
  <c r="D1217" i="1" a="1"/>
  <c r="D1217" i="1" s="1"/>
  <c r="E1217" i="1"/>
  <c r="F1156" i="1"/>
  <c r="F1157" i="1" s="1"/>
  <c r="E1155" i="1"/>
  <c r="D1155" i="1" a="1"/>
  <c r="D1155" i="1" s="1"/>
  <c r="E1111" i="1"/>
  <c r="D1111" i="1" a="1"/>
  <c r="D1111" i="1" s="1"/>
  <c r="D1051" i="1" a="1"/>
  <c r="D1051" i="1" s="1"/>
  <c r="E1051" i="1"/>
  <c r="D996" i="1" a="1"/>
  <c r="D996" i="1" s="1"/>
  <c r="E996" i="1"/>
  <c r="D946" i="1" a="1"/>
  <c r="D946" i="1" s="1"/>
  <c r="E946" i="1"/>
  <c r="D842" i="1" a="1"/>
  <c r="D842" i="1" s="1"/>
  <c r="E842" i="1"/>
  <c r="D735" i="1" a="1"/>
  <c r="D735" i="1" s="1"/>
  <c r="E735" i="1"/>
  <c r="D693" i="1" a="1"/>
  <c r="D693" i="1" s="1"/>
  <c r="E693" i="1"/>
  <c r="D640" i="1" a="1"/>
  <c r="D640" i="1" s="1"/>
  <c r="E640" i="1"/>
  <c r="D612" i="1" a="1"/>
  <c r="D612" i="1" s="1"/>
  <c r="E612" i="1"/>
  <c r="E592" i="1"/>
  <c r="D592" i="1" a="1"/>
  <c r="D592" i="1" s="1"/>
  <c r="D570" i="1" a="1"/>
  <c r="D570" i="1" s="1"/>
  <c r="E570" i="1"/>
  <c r="D550" i="1" a="1"/>
  <c r="D550" i="1" s="1"/>
  <c r="E550" i="1"/>
  <c r="D498" i="1" a="1"/>
  <c r="D498" i="1" s="1"/>
  <c r="E498" i="1"/>
  <c r="D358" i="1" a="1"/>
  <c r="D358" i="1" s="1"/>
  <c r="E358" i="1"/>
  <c r="D278" i="1" a="1"/>
  <c r="D278" i="1" s="1"/>
  <c r="E278" i="1"/>
  <c r="D246" i="1" a="1"/>
  <c r="D246" i="1" s="1"/>
  <c r="E246" i="1"/>
  <c r="D226" i="1" a="1"/>
  <c r="D226" i="1" s="1"/>
  <c r="E226" i="1"/>
  <c r="D206" i="1" a="1"/>
  <c r="D206" i="1" s="1"/>
  <c r="E206" i="1"/>
  <c r="D178" i="1" a="1"/>
  <c r="D178" i="1" s="1"/>
  <c r="E178" i="1"/>
  <c r="D142" i="1" a="1"/>
  <c r="D142" i="1" s="1"/>
  <c r="E142" i="1"/>
  <c r="D122" i="1" a="1"/>
  <c r="D122" i="1" s="1"/>
  <c r="E122" i="1"/>
  <c r="D97" i="1" a="1"/>
  <c r="D97" i="1" s="1"/>
  <c r="E97" i="1"/>
  <c r="D77" i="1" a="1"/>
  <c r="D77" i="1" s="1"/>
  <c r="E77" i="1"/>
  <c r="D57" i="1" a="1"/>
  <c r="D57" i="1" s="1"/>
  <c r="E57" i="1"/>
  <c r="D37" i="1" a="1"/>
  <c r="D37" i="1" s="1"/>
  <c r="E37" i="1"/>
  <c r="D17" i="1" a="1"/>
  <c r="D17" i="1" s="1"/>
  <c r="E17" i="1"/>
  <c r="D2260" i="1" a="1"/>
  <c r="D2260" i="1" s="1"/>
  <c r="E2260" i="1"/>
  <c r="D2111" i="1" a="1"/>
  <c r="D2111" i="1" s="1"/>
  <c r="E2111" i="1"/>
  <c r="D1917" i="1" a="1"/>
  <c r="D1917" i="1" s="1"/>
  <c r="E1917" i="1"/>
  <c r="D1701" i="1" a="1"/>
  <c r="D1701" i="1" s="1"/>
  <c r="E1701" i="1"/>
  <c r="F1471" i="1"/>
  <c r="D1470" i="1" a="1"/>
  <c r="D1470" i="1" s="1"/>
  <c r="E1470" i="1"/>
  <c r="D1269" i="1" a="1"/>
  <c r="D1269" i="1" s="1"/>
  <c r="E1269" i="1"/>
  <c r="D1120" i="1" a="1"/>
  <c r="D1120" i="1" s="1"/>
  <c r="E1120" i="1"/>
  <c r="D854" i="1" a="1"/>
  <c r="D854" i="1" s="1"/>
  <c r="E854" i="1"/>
  <c r="D646" i="1" a="1"/>
  <c r="D646" i="1" s="1"/>
  <c r="E646" i="1"/>
  <c r="D575" i="1" a="1"/>
  <c r="D575" i="1" s="1"/>
  <c r="E575" i="1"/>
  <c r="D253" i="1" a="1"/>
  <c r="D253" i="1" s="1"/>
  <c r="E253" i="1"/>
  <c r="D191" i="1" a="1"/>
  <c r="D191" i="1" s="1"/>
  <c r="E191" i="1"/>
  <c r="D22" i="1" a="1"/>
  <c r="D22" i="1" s="1"/>
  <c r="E22" i="1"/>
  <c r="D2317" i="1" a="1"/>
  <c r="D2317" i="1" s="1"/>
  <c r="E2317" i="1"/>
  <c r="E2097" i="1"/>
  <c r="D2097" i="1" a="1"/>
  <c r="D2097" i="1" s="1"/>
  <c r="D2351" i="1" a="1"/>
  <c r="D2351" i="1" s="1"/>
  <c r="E2351" i="1"/>
  <c r="E2281" i="1"/>
  <c r="D2281" i="1" a="1"/>
  <c r="D2281" i="1" s="1"/>
  <c r="D2085" i="1" a="1"/>
  <c r="D2085" i="1" s="1"/>
  <c r="E2085" i="1"/>
  <c r="F1957" i="1"/>
  <c r="F1958" i="1" s="1"/>
  <c r="D1956" i="1" a="1"/>
  <c r="D1956" i="1" s="1"/>
  <c r="E1956" i="1"/>
  <c r="D1895" i="1" a="1"/>
  <c r="D1895" i="1" s="1"/>
  <c r="E1895" i="1"/>
  <c r="D1852" i="1" a="1"/>
  <c r="D1852" i="1" s="1"/>
  <c r="E1852" i="1"/>
  <c r="D1791" i="1" a="1"/>
  <c r="D1791" i="1" s="1"/>
  <c r="E1791" i="1"/>
  <c r="D1740" i="1" a="1"/>
  <c r="D1740" i="1" s="1"/>
  <c r="E1740" i="1"/>
  <c r="D1673" i="1" a="1"/>
  <c r="D1673" i="1" s="1"/>
  <c r="E1673" i="1"/>
  <c r="D1607" i="1" a="1"/>
  <c r="D1607" i="1" s="1"/>
  <c r="E1607" i="1"/>
  <c r="E1525" i="1"/>
  <c r="D1525" i="1" a="1"/>
  <c r="D1525" i="1" s="1"/>
  <c r="D1485" i="1" a="1"/>
  <c r="D1485" i="1" s="1"/>
  <c r="E1485" i="1"/>
  <c r="D1453" i="1" a="1"/>
  <c r="D1453" i="1" s="1"/>
  <c r="E1453" i="1"/>
  <c r="D1418" i="1" a="1"/>
  <c r="D1418" i="1" s="1"/>
  <c r="E1418" i="1"/>
  <c r="D1383" i="1" a="1"/>
  <c r="D1383" i="1" s="1"/>
  <c r="E1383" i="1"/>
  <c r="D1337" i="1" a="1"/>
  <c r="D1337" i="1" s="1"/>
  <c r="E1337" i="1"/>
  <c r="F1292" i="1"/>
  <c r="F1293" i="1" s="1"/>
  <c r="D1291" i="1" a="1"/>
  <c r="D1291" i="1" s="1"/>
  <c r="E1291" i="1"/>
  <c r="F1251" i="1"/>
  <c r="F1252" i="1" s="1"/>
  <c r="D1250" i="1" a="1"/>
  <c r="D1250" i="1" s="1"/>
  <c r="E1250" i="1"/>
  <c r="D1210" i="1" a="1"/>
  <c r="D1210" i="1" s="1"/>
  <c r="E1210" i="1"/>
  <c r="D1142" i="1" a="1"/>
  <c r="D1142" i="1" s="1"/>
  <c r="E1142" i="1"/>
  <c r="F1088" i="1"/>
  <c r="D1087" i="1" a="1"/>
  <c r="D1087" i="1" s="1"/>
  <c r="E1087" i="1"/>
  <c r="D1022" i="1" a="1"/>
  <c r="D1022" i="1" s="1"/>
  <c r="E1022" i="1"/>
  <c r="D989" i="1" a="1"/>
  <c r="D989" i="1" s="1"/>
  <c r="E989" i="1"/>
  <c r="D921" i="1" a="1"/>
  <c r="D921" i="1" s="1"/>
  <c r="E921" i="1"/>
  <c r="D834" i="1" a="1"/>
  <c r="D834" i="1" s="1"/>
  <c r="E834" i="1"/>
  <c r="D725" i="1" a="1"/>
  <c r="D725" i="1" s="1"/>
  <c r="E725" i="1"/>
  <c r="D683" i="1" a="1"/>
  <c r="D683" i="1" s="1"/>
  <c r="E683" i="1"/>
  <c r="D632" i="1" a="1"/>
  <c r="D632" i="1" s="1"/>
  <c r="E632" i="1"/>
  <c r="D607" i="1" a="1"/>
  <c r="D607" i="1" s="1"/>
  <c r="E607" i="1"/>
  <c r="D586" i="1" a="1"/>
  <c r="D586" i="1" s="1"/>
  <c r="E586" i="1"/>
  <c r="D565" i="1" a="1"/>
  <c r="D565" i="1" s="1"/>
  <c r="E565" i="1"/>
  <c r="D545" i="1" a="1"/>
  <c r="D545" i="1" s="1"/>
  <c r="E545" i="1"/>
  <c r="D438" i="1" a="1"/>
  <c r="D438" i="1" s="1"/>
  <c r="E438" i="1"/>
  <c r="D340" i="1" a="1"/>
  <c r="D340" i="1" s="1"/>
  <c r="E340" i="1"/>
  <c r="D263" i="1" a="1"/>
  <c r="D263" i="1" s="1"/>
  <c r="E263" i="1"/>
  <c r="D241" i="1" a="1"/>
  <c r="D241" i="1" s="1"/>
  <c r="E241" i="1"/>
  <c r="D221" i="1" a="1"/>
  <c r="D221" i="1" s="1"/>
  <c r="E221" i="1"/>
  <c r="D201" i="1" a="1"/>
  <c r="D201" i="1" s="1"/>
  <c r="E201" i="1"/>
  <c r="D173" i="1" a="1"/>
  <c r="D173" i="1" s="1"/>
  <c r="E173" i="1"/>
  <c r="D137" i="1" a="1"/>
  <c r="D137" i="1" s="1"/>
  <c r="E137" i="1"/>
  <c r="D117" i="1" a="1"/>
  <c r="D117" i="1" s="1"/>
  <c r="E117" i="1"/>
  <c r="D92" i="1" a="1"/>
  <c r="D92" i="1" s="1"/>
  <c r="E92" i="1"/>
  <c r="D72" i="1" a="1"/>
  <c r="D72" i="1" s="1"/>
  <c r="E72" i="1"/>
  <c r="D52" i="1" a="1"/>
  <c r="D52" i="1" s="1"/>
  <c r="E52" i="1"/>
  <c r="D32" i="1" a="1"/>
  <c r="D32" i="1" s="1"/>
  <c r="E32" i="1"/>
  <c r="D12" i="1" a="1"/>
  <c r="D12" i="1" s="1"/>
  <c r="E12" i="1"/>
  <c r="F2324" i="1"/>
  <c r="F2325" i="1" s="1"/>
  <c r="D2323" i="1" a="1"/>
  <c r="D2323" i="1" s="1"/>
  <c r="E2323" i="1"/>
  <c r="D2222" i="1" a="1"/>
  <c r="D2222" i="1" s="1"/>
  <c r="E2222" i="1"/>
  <c r="D2058" i="1" a="1"/>
  <c r="D2058" i="1" s="1"/>
  <c r="E2058" i="1"/>
  <c r="D1974" i="1" a="1"/>
  <c r="D1974" i="1" s="1"/>
  <c r="E1974" i="1"/>
  <c r="D1834" i="1" a="1"/>
  <c r="D1834" i="1" s="1"/>
  <c r="E1834" i="1"/>
  <c r="D1636" i="1" a="1"/>
  <c r="D1636" i="1" s="1"/>
  <c r="E1636" i="1"/>
  <c r="F1505" i="1"/>
  <c r="F1506" i="1" s="1"/>
  <c r="D1504" i="1" a="1"/>
  <c r="D1504" i="1" s="1"/>
  <c r="E1504" i="1"/>
  <c r="E1397" i="1"/>
  <c r="D1397" i="1" a="1"/>
  <c r="D1397" i="1" s="1"/>
  <c r="F1312" i="1"/>
  <c r="F1313" i="1" s="1"/>
  <c r="D1311" i="1" a="1"/>
  <c r="D1311" i="1" s="1"/>
  <c r="E1311" i="1"/>
  <c r="F1225" i="1"/>
  <c r="F1226" i="1" s="1"/>
  <c r="D1224" i="1" a="1"/>
  <c r="D1224" i="1" s="1"/>
  <c r="E1224" i="1"/>
  <c r="F1064" i="1"/>
  <c r="F1065" i="1" s="1"/>
  <c r="D1063" i="1" a="1"/>
  <c r="D1063" i="1" s="1"/>
  <c r="E1063" i="1"/>
  <c r="D964" i="1" a="1"/>
  <c r="D964" i="1" s="1"/>
  <c r="E964" i="1"/>
  <c r="D702" i="1" a="1"/>
  <c r="D702" i="1" s="1"/>
  <c r="E702" i="1"/>
  <c r="D617" i="1" a="1"/>
  <c r="D617" i="1" s="1"/>
  <c r="E617" i="1"/>
  <c r="D555" i="1" a="1"/>
  <c r="D555" i="1" s="1"/>
  <c r="E555" i="1"/>
  <c r="D392" i="1" a="1"/>
  <c r="D392" i="1" s="1"/>
  <c r="E392" i="1"/>
  <c r="D231" i="1" a="1"/>
  <c r="D231" i="1" s="1"/>
  <c r="E231" i="1"/>
  <c r="F164" i="1"/>
  <c r="F165" i="1" s="1"/>
  <c r="D163" i="1" a="1"/>
  <c r="D163" i="1" s="1"/>
  <c r="E163" i="1"/>
  <c r="D105" i="1" a="1"/>
  <c r="D105" i="1" s="1"/>
  <c r="E105" i="1"/>
  <c r="D62" i="1" a="1"/>
  <c r="D62" i="1" s="1"/>
  <c r="E62" i="1"/>
  <c r="D41" i="1" a="1"/>
  <c r="D41" i="1" s="1"/>
  <c r="E41" i="1"/>
  <c r="D2358" i="1" a="1"/>
  <c r="D2358" i="1" s="1"/>
  <c r="E2358" i="1"/>
  <c r="D2287" i="1" a="1"/>
  <c r="D2287" i="1" s="1"/>
  <c r="E2287" i="1"/>
  <c r="D2214" i="1" a="1"/>
  <c r="D2214" i="1" s="1"/>
  <c r="E2214" i="1"/>
  <c r="D2003" i="1" a="1"/>
  <c r="D2003" i="1" s="1"/>
  <c r="E2003" i="1"/>
  <c r="D2308" i="1" a="1"/>
  <c r="D2308" i="1" s="1"/>
  <c r="E2308" i="1"/>
  <c r="D2239" i="1" a="1"/>
  <c r="D2239" i="1" s="1"/>
  <c r="E2239" i="1"/>
  <c r="D2206" i="1" a="1"/>
  <c r="D2206" i="1" s="1"/>
  <c r="E2206" i="1"/>
  <c r="D2136" i="1" a="1"/>
  <c r="D2136" i="1" s="1"/>
  <c r="E2136" i="1"/>
  <c r="D2040" i="1" a="1"/>
  <c r="D2040" i="1" s="1"/>
  <c r="E2040" i="1"/>
  <c r="D1996" i="1" a="1"/>
  <c r="D1996" i="1" s="1"/>
  <c r="E1996" i="1"/>
  <c r="E2337" i="1"/>
  <c r="D2337" i="1" a="1"/>
  <c r="D2337" i="1" s="1"/>
  <c r="D2300" i="1" a="1"/>
  <c r="D2300" i="1" s="1"/>
  <c r="E2300" i="1"/>
  <c r="E2273" i="1"/>
  <c r="D2273" i="1" a="1"/>
  <c r="D2273" i="1" s="1"/>
  <c r="D2231" i="1" a="1"/>
  <c r="D2231" i="1" s="1"/>
  <c r="E2231" i="1"/>
  <c r="D2192" i="1" a="1"/>
  <c r="D2192" i="1" s="1"/>
  <c r="E2192" i="1"/>
  <c r="D2131" i="1" a="1"/>
  <c r="D2131" i="1" s="1"/>
  <c r="E2131" i="1"/>
  <c r="D2073" i="1" a="1"/>
  <c r="D2073" i="1" s="1"/>
  <c r="E2073" i="1"/>
  <c r="D2026" i="1" a="1"/>
  <c r="D2026" i="1" s="1"/>
  <c r="E2026" i="1"/>
  <c r="D1983" i="1" a="1"/>
  <c r="D1983" i="1" s="1"/>
  <c r="E1983" i="1"/>
  <c r="D1936" i="1" a="1"/>
  <c r="D1936" i="1" s="1"/>
  <c r="E1936" i="1"/>
  <c r="D1875" i="1" a="1"/>
  <c r="D1875" i="1" s="1"/>
  <c r="E1875" i="1"/>
  <c r="D1844" i="1" a="1"/>
  <c r="D1844" i="1" s="1"/>
  <c r="E1844" i="1"/>
  <c r="D1773" i="1" a="1"/>
  <c r="D1773" i="1" s="1"/>
  <c r="E1773" i="1"/>
  <c r="D1716" i="1" a="1"/>
  <c r="D1716" i="1" s="1"/>
  <c r="E1716" i="1"/>
  <c r="D1658" i="1" a="1"/>
  <c r="D1658" i="1" s="1"/>
  <c r="E1658" i="1"/>
  <c r="D1591" i="1" a="1"/>
  <c r="D1591" i="1" s="1"/>
  <c r="E1591" i="1"/>
  <c r="D1515" i="1" a="1"/>
  <c r="D1515" i="1" s="1"/>
  <c r="E1515" i="1"/>
  <c r="D1479" i="1" a="1"/>
  <c r="D1479" i="1" s="1"/>
  <c r="E1479" i="1"/>
  <c r="F1448" i="1"/>
  <c r="F1449" i="1" s="1"/>
  <c r="D1447" i="1" a="1"/>
  <c r="D1447" i="1" s="1"/>
  <c r="E1447" i="1"/>
  <c r="D1411" i="1" a="1"/>
  <c r="D1411" i="1" s="1"/>
  <c r="E1411" i="1"/>
  <c r="F1373" i="1"/>
  <c r="F1374" i="1" s="1"/>
  <c r="D1372" i="1" a="1"/>
  <c r="D1372" i="1" s="1"/>
  <c r="E1372" i="1"/>
  <c r="E1319" i="1"/>
  <c r="D1319" i="1" a="1"/>
  <c r="D1319" i="1" s="1"/>
  <c r="D1278" i="1" a="1"/>
  <c r="D1278" i="1" s="1"/>
  <c r="E1278" i="1"/>
  <c r="D1236" i="1" a="1"/>
  <c r="D1236" i="1" s="1"/>
  <c r="E1236" i="1"/>
  <c r="D1201" i="1" a="1"/>
  <c r="D1201" i="1" s="1"/>
  <c r="E1201" i="1"/>
  <c r="D1132" i="1" a="1"/>
  <c r="D1132" i="1" s="1"/>
  <c r="E1132" i="1"/>
  <c r="D1078" i="1" a="1"/>
  <c r="D1078" i="1" s="1"/>
  <c r="E1078" i="1"/>
  <c r="F1014" i="1"/>
  <c r="D1013" i="1" a="1"/>
  <c r="D1013" i="1" s="1"/>
  <c r="E1013" i="1"/>
  <c r="D982" i="1" a="1"/>
  <c r="D982" i="1" s="1"/>
  <c r="E982" i="1"/>
  <c r="D869" i="1" a="1"/>
  <c r="D869" i="1" s="1"/>
  <c r="E869" i="1"/>
  <c r="D826" i="1" a="1"/>
  <c r="D826" i="1" s="1"/>
  <c r="E826" i="1"/>
  <c r="D714" i="1" a="1"/>
  <c r="D714" i="1" s="1"/>
  <c r="E714" i="1"/>
  <c r="D670" i="1" a="1"/>
  <c r="D670" i="1" s="1"/>
  <c r="E670" i="1"/>
  <c r="D653" i="1" a="1"/>
  <c r="D653" i="1" s="1"/>
  <c r="E653" i="1"/>
  <c r="D623" i="1" a="1"/>
  <c r="D623" i="1" s="1"/>
  <c r="E623" i="1"/>
  <c r="D602" i="1" a="1"/>
  <c r="D602" i="1" s="1"/>
  <c r="E602" i="1"/>
  <c r="D580" i="1" a="1"/>
  <c r="D580" i="1" s="1"/>
  <c r="E580" i="1"/>
  <c r="D560" i="1" a="1"/>
  <c r="D560" i="1" s="1"/>
  <c r="E560" i="1"/>
  <c r="D543" i="1" a="1"/>
  <c r="D543" i="1" s="1"/>
  <c r="E543" i="1"/>
  <c r="D423" i="1" a="1"/>
  <c r="D423" i="1" s="1"/>
  <c r="E423" i="1"/>
  <c r="D325" i="1" a="1"/>
  <c r="D325" i="1" s="1"/>
  <c r="E325" i="1"/>
  <c r="D258" i="1" a="1"/>
  <c r="D258" i="1" s="1"/>
  <c r="E258" i="1"/>
  <c r="F237" i="1"/>
  <c r="D236" i="1" a="1"/>
  <c r="D236" i="1" s="1"/>
  <c r="E236" i="1"/>
  <c r="D216" i="1" a="1"/>
  <c r="D216" i="1" s="1"/>
  <c r="E216" i="1"/>
  <c r="D196" i="1" a="1"/>
  <c r="D196" i="1" s="1"/>
  <c r="E196" i="1"/>
  <c r="D168" i="1" a="1"/>
  <c r="D168" i="1" s="1"/>
  <c r="E168" i="1"/>
  <c r="D132" i="1" a="1"/>
  <c r="D132" i="1" s="1"/>
  <c r="E132" i="1"/>
  <c r="D112" i="1" a="1"/>
  <c r="D112" i="1" s="1"/>
  <c r="E112" i="1"/>
  <c r="D87" i="1" a="1"/>
  <c r="D87" i="1" s="1"/>
  <c r="E87" i="1"/>
  <c r="D67" i="1" a="1"/>
  <c r="D67" i="1" s="1"/>
  <c r="E67" i="1"/>
  <c r="D46" i="1" a="1"/>
  <c r="D46" i="1" s="1"/>
  <c r="E46" i="1"/>
  <c r="D27" i="1" a="1"/>
  <c r="D27" i="1" s="1"/>
  <c r="E27" i="1"/>
  <c r="D7" i="1" a="1"/>
  <c r="D7" i="1" s="1"/>
  <c r="D2649" i="1" a="1"/>
  <c r="D2649" i="1" s="1"/>
  <c r="E2649" i="1"/>
  <c r="F2650" i="1"/>
  <c r="F129" i="1"/>
  <c r="F2288" i="1"/>
  <c r="F2193" i="1"/>
  <c r="F2041" i="1"/>
  <c r="F1918" i="1"/>
  <c r="F1526" i="1"/>
  <c r="F1320" i="1"/>
  <c r="F1089" i="1"/>
  <c r="F1004" i="1"/>
  <c r="F870" i="1"/>
  <c r="F641" i="1"/>
  <c r="F556" i="1"/>
  <c r="F393" i="1"/>
  <c r="F264" i="1"/>
  <c r="F207" i="1"/>
  <c r="F138" i="1"/>
  <c r="F83" i="1"/>
  <c r="F63" i="1"/>
  <c r="F42" i="1"/>
  <c r="F2338" i="1"/>
  <c r="F2309" i="1"/>
  <c r="F2282" i="1"/>
  <c r="F2223" i="1"/>
  <c r="F2183" i="1"/>
  <c r="F2074" i="1"/>
  <c r="F2027" i="1"/>
  <c r="F1984" i="1"/>
  <c r="F1905" i="1"/>
  <c r="F1870" i="1"/>
  <c r="F1845" i="1"/>
  <c r="F1757" i="1"/>
  <c r="F1702" i="1"/>
  <c r="F1659" i="1"/>
  <c r="F1592" i="1"/>
  <c r="F1516" i="1"/>
  <c r="F1419" i="1"/>
  <c r="F1384" i="1"/>
  <c r="F1348" i="1"/>
  <c r="F1164" i="1"/>
  <c r="F1133" i="1"/>
  <c r="F997" i="1"/>
  <c r="F965" i="1"/>
  <c r="F855" i="1"/>
  <c r="F822" i="1"/>
  <c r="F703" i="1"/>
  <c r="F671" i="1"/>
  <c r="F633" i="1"/>
  <c r="F608" i="1"/>
  <c r="F587" i="1"/>
  <c r="F571" i="1"/>
  <c r="F551" i="1"/>
  <c r="F499" i="1"/>
  <c r="F359" i="1"/>
  <c r="F259" i="1"/>
  <c r="F222" i="1"/>
  <c r="F202" i="1"/>
  <c r="F179" i="1"/>
  <c r="F133" i="1"/>
  <c r="F118" i="1"/>
  <c r="F98" i="1"/>
  <c r="F78" i="1"/>
  <c r="F58" i="1"/>
  <c r="F38" i="1"/>
  <c r="F23" i="1"/>
  <c r="F8" i="1"/>
  <c r="F2086" i="1"/>
  <c r="F1792" i="1"/>
  <c r="F1674" i="1"/>
  <c r="F1496" i="1"/>
  <c r="F1360" i="1"/>
  <c r="F1258" i="1"/>
  <c r="F1143" i="1"/>
  <c r="F1023" i="1"/>
  <c r="F715" i="1"/>
  <c r="F593" i="1"/>
  <c r="F515" i="1"/>
  <c r="F227" i="1"/>
  <c r="F106" i="1"/>
  <c r="F2301" i="1"/>
  <c r="F2215" i="1"/>
  <c r="F2112" i="1"/>
  <c r="F2014" i="1"/>
  <c r="F1975" i="1"/>
  <c r="F1937" i="1"/>
  <c r="F1896" i="1"/>
  <c r="F1864" i="1"/>
  <c r="F1835" i="1"/>
  <c r="F1741" i="1"/>
  <c r="F1695" i="1"/>
  <c r="F1637" i="1"/>
  <c r="F1563" i="1"/>
  <c r="F1486" i="1"/>
  <c r="F1464" i="1"/>
  <c r="F1437" i="1"/>
  <c r="F1412" i="1"/>
  <c r="F1279" i="1"/>
  <c r="F1218" i="1"/>
  <c r="F1121" i="1"/>
  <c r="F1079" i="1"/>
  <c r="F1052" i="1"/>
  <c r="F990" i="1"/>
  <c r="F947" i="1"/>
  <c r="F843" i="1"/>
  <c r="F736" i="1"/>
  <c r="F694" i="1"/>
  <c r="F659" i="1"/>
  <c r="F654" i="1"/>
  <c r="F624" i="1"/>
  <c r="F603" i="1"/>
  <c r="F581" i="1"/>
  <c r="F566" i="1"/>
  <c r="F546" i="1"/>
  <c r="F439" i="1"/>
  <c r="F341" i="1"/>
  <c r="F298" i="1"/>
  <c r="F254" i="1"/>
  <c r="F217" i="1"/>
  <c r="F197" i="1"/>
  <c r="F174" i="1"/>
  <c r="F113" i="1"/>
  <c r="F93" i="1"/>
  <c r="F73" i="1"/>
  <c r="F53" i="1"/>
  <c r="F33" i="1"/>
  <c r="F18" i="1"/>
  <c r="F3" i="1"/>
  <c r="F2318" i="1"/>
  <c r="F1997" i="1"/>
  <c r="F1765" i="1"/>
  <c r="F1608" i="1"/>
  <c r="F1392" i="1"/>
  <c r="F1202" i="1"/>
  <c r="F827" i="1"/>
  <c r="F613" i="1"/>
  <c r="F576" i="1"/>
  <c r="F326" i="1"/>
  <c r="F242" i="1"/>
  <c r="F123" i="1"/>
  <c r="F2359" i="1"/>
  <c r="F2274" i="1"/>
  <c r="F2240" i="1"/>
  <c r="F2059" i="1"/>
  <c r="F2352" i="1"/>
  <c r="F2261" i="1"/>
  <c r="F2232" i="1"/>
  <c r="F2207" i="1"/>
  <c r="F2137" i="1"/>
  <c r="F2098" i="1"/>
  <c r="F2051" i="1"/>
  <c r="F2004" i="1"/>
  <c r="F1964" i="1"/>
  <c r="F1876" i="1"/>
  <c r="F1853" i="1"/>
  <c r="F1825" i="1"/>
  <c r="F1774" i="1"/>
  <c r="F1717" i="1"/>
  <c r="F1619" i="1"/>
  <c r="F1535" i="1"/>
  <c r="F1480" i="1"/>
  <c r="F1454" i="1"/>
  <c r="F1427" i="1"/>
  <c r="F1398" i="1"/>
  <c r="F1338" i="1"/>
  <c r="F1305" i="1"/>
  <c r="F1270" i="1"/>
  <c r="F1237" i="1"/>
  <c r="F1211" i="1"/>
  <c r="F1112" i="1"/>
  <c r="F983" i="1"/>
  <c r="F922" i="1"/>
  <c r="F835" i="1"/>
  <c r="F726" i="1"/>
  <c r="F684" i="1"/>
  <c r="F647" i="1"/>
  <c r="F618" i="1"/>
  <c r="F598" i="1"/>
  <c r="F561" i="1"/>
  <c r="F544" i="1"/>
  <c r="F424" i="1"/>
  <c r="F279" i="1"/>
  <c r="F247" i="1"/>
  <c r="F232" i="1"/>
  <c r="F212" i="1"/>
  <c r="F192" i="1"/>
  <c r="F169" i="1"/>
  <c r="F143" i="1"/>
  <c r="F88" i="1"/>
  <c r="F68" i="1"/>
  <c r="F47" i="1"/>
  <c r="F28" i="1"/>
  <c r="F13" i="1"/>
  <c r="F2173" i="1"/>
  <c r="F2132" i="1"/>
  <c r="F2295" i="1"/>
  <c r="D1293" i="1" l="1" a="1"/>
  <c r="D1293" i="1" s="1"/>
  <c r="E1293" i="1"/>
  <c r="D2132" i="1" a="1"/>
  <c r="D2132" i="1" s="1"/>
  <c r="E2132" i="1"/>
  <c r="D247" i="1" a="1"/>
  <c r="D247" i="1" s="1"/>
  <c r="E247" i="1"/>
  <c r="D922" i="1" a="1"/>
  <c r="D922" i="1" s="1"/>
  <c r="E922" i="1"/>
  <c r="D1480" i="1" a="1"/>
  <c r="D1480" i="1" s="1"/>
  <c r="E1480" i="1"/>
  <c r="D1964" i="1" a="1"/>
  <c r="D1964" i="1" s="1"/>
  <c r="E1964" i="1"/>
  <c r="D2325" i="1" a="1"/>
  <c r="D2325" i="1" s="1"/>
  <c r="E2325" i="1"/>
  <c r="D1608" i="1" a="1"/>
  <c r="D1608" i="1" s="1"/>
  <c r="E1608" i="1"/>
  <c r="D73" i="1" a="1"/>
  <c r="D73" i="1" s="1"/>
  <c r="E73" i="1"/>
  <c r="D581" i="1" a="1"/>
  <c r="D581" i="1" s="1"/>
  <c r="E581" i="1"/>
  <c r="D1121" i="1" a="1"/>
  <c r="D1121" i="1" s="1"/>
  <c r="E1121" i="1"/>
  <c r="E1486" i="1"/>
  <c r="D1486" i="1" a="1"/>
  <c r="D1486" i="1" s="1"/>
  <c r="D2112" i="1" a="1"/>
  <c r="D2112" i="1" s="1"/>
  <c r="E2112" i="1"/>
  <c r="D1496" i="1" a="1"/>
  <c r="D1496" i="1" s="1"/>
  <c r="E1496" i="1"/>
  <c r="D38" i="1" a="1"/>
  <c r="D38" i="1" s="1"/>
  <c r="E38" i="1"/>
  <c r="D222" i="1" a="1"/>
  <c r="D222" i="1" s="1"/>
  <c r="E222" i="1"/>
  <c r="D703" i="1" a="1"/>
  <c r="D703" i="1" s="1"/>
  <c r="E703" i="1"/>
  <c r="D1384" i="1" a="1"/>
  <c r="D1384" i="1" s="1"/>
  <c r="E1384" i="1"/>
  <c r="D1870" i="1" a="1"/>
  <c r="D1870" i="1" s="1"/>
  <c r="E1870" i="1"/>
  <c r="D2309" i="1" a="1"/>
  <c r="D2309" i="1" s="1"/>
  <c r="E2309" i="1"/>
  <c r="D393" i="1" a="1"/>
  <c r="D393" i="1" s="1"/>
  <c r="E393" i="1"/>
  <c r="E1449" i="1"/>
  <c r="D1449" i="1" a="1"/>
  <c r="D1449" i="1" s="1"/>
  <c r="D237" i="1" a="1"/>
  <c r="D237" i="1" s="1"/>
  <c r="E237" i="1"/>
  <c r="D1471" i="1" a="1"/>
  <c r="D1471" i="1" s="1"/>
  <c r="E1471" i="1"/>
  <c r="D2252" i="1" a="1"/>
  <c r="D2252" i="1" s="1"/>
  <c r="E2252" i="1"/>
  <c r="E2173" i="1"/>
  <c r="D2173" i="1" a="1"/>
  <c r="D2173" i="1" s="1"/>
  <c r="D68" i="1" a="1"/>
  <c r="D68" i="1" s="1"/>
  <c r="E68" i="1"/>
  <c r="D192" i="1" a="1"/>
  <c r="D192" i="1" s="1"/>
  <c r="E192" i="1"/>
  <c r="D279" i="1" a="1"/>
  <c r="D279" i="1" s="1"/>
  <c r="E279" i="1"/>
  <c r="D598" i="1" a="1"/>
  <c r="D598" i="1" s="1"/>
  <c r="E598" i="1"/>
  <c r="D684" i="1" a="1"/>
  <c r="D684" i="1" s="1"/>
  <c r="E684" i="1"/>
  <c r="E983" i="1"/>
  <c r="D983" i="1" a="1"/>
  <c r="D983" i="1" s="1"/>
  <c r="D1237" i="1" a="1"/>
  <c r="D1237" i="1" s="1"/>
  <c r="E1237" i="1"/>
  <c r="D1398" i="1" a="1"/>
  <c r="D1398" i="1" s="1"/>
  <c r="E1398" i="1"/>
  <c r="D1535" i="1" a="1"/>
  <c r="D1535" i="1" s="1"/>
  <c r="E1535" i="1"/>
  <c r="D1825" i="1" a="1"/>
  <c r="D1825" i="1" s="1"/>
  <c r="E1825" i="1"/>
  <c r="D2004" i="1" a="1"/>
  <c r="D2004" i="1" s="1"/>
  <c r="E2004" i="1"/>
  <c r="D2207" i="1" a="1"/>
  <c r="D2207" i="1" s="1"/>
  <c r="E2207" i="1"/>
  <c r="D2059" i="1" a="1"/>
  <c r="D2059" i="1" s="1"/>
  <c r="E2059" i="1"/>
  <c r="D2359" i="1" a="1"/>
  <c r="D2359" i="1" s="1"/>
  <c r="E2359" i="1"/>
  <c r="D576" i="1" a="1"/>
  <c r="D576" i="1" s="1"/>
  <c r="E576" i="1"/>
  <c r="D1765" i="1" a="1"/>
  <c r="D1765" i="1" s="1"/>
  <c r="E1765" i="1"/>
  <c r="D18" i="1" a="1"/>
  <c r="D18" i="1" s="1"/>
  <c r="E18" i="1"/>
  <c r="D93" i="1" a="1"/>
  <c r="D93" i="1" s="1"/>
  <c r="E93" i="1"/>
  <c r="D217" i="1" a="1"/>
  <c r="D217" i="1" s="1"/>
  <c r="E217" i="1"/>
  <c r="D439" i="1" a="1"/>
  <c r="D439" i="1" s="1"/>
  <c r="E439" i="1"/>
  <c r="D603" i="1" a="1"/>
  <c r="D603" i="1" s="1"/>
  <c r="E603" i="1"/>
  <c r="D694" i="1" a="1"/>
  <c r="D694" i="1" s="1"/>
  <c r="E694" i="1"/>
  <c r="D990" i="1" a="1"/>
  <c r="D990" i="1" s="1"/>
  <c r="E990" i="1"/>
  <c r="D1157" i="1" a="1"/>
  <c r="D1157" i="1" s="1"/>
  <c r="E1157" i="1"/>
  <c r="D1412" i="1" a="1"/>
  <c r="D1412" i="1" s="1"/>
  <c r="E1412" i="1"/>
  <c r="D1506" i="1" a="1"/>
  <c r="D1506" i="1" s="1"/>
  <c r="E1506" i="1"/>
  <c r="D1741" i="1" a="1"/>
  <c r="D1741" i="1" s="1"/>
  <c r="E1741" i="1"/>
  <c r="E1937" i="1"/>
  <c r="D1937" i="1" a="1"/>
  <c r="D1937" i="1" s="1"/>
  <c r="D2215" i="1" a="1"/>
  <c r="D2215" i="1" s="1"/>
  <c r="E2215" i="1"/>
  <c r="D515" i="1" a="1"/>
  <c r="D515" i="1" s="1"/>
  <c r="E515" i="1"/>
  <c r="D1143" i="1" a="1"/>
  <c r="D1143" i="1" s="1"/>
  <c r="E1143" i="1"/>
  <c r="D1674" i="1" a="1"/>
  <c r="D1674" i="1" s="1"/>
  <c r="E1674" i="1"/>
  <c r="F2253" i="1"/>
  <c r="F2254" i="1" s="1"/>
  <c r="D58" i="1" a="1"/>
  <c r="D58" i="1" s="1"/>
  <c r="E58" i="1"/>
  <c r="D133" i="1" a="1"/>
  <c r="D133" i="1" s="1"/>
  <c r="E133" i="1"/>
  <c r="F238" i="1"/>
  <c r="D551" i="1" a="1"/>
  <c r="D551" i="1" s="1"/>
  <c r="E551" i="1"/>
  <c r="D633" i="1" a="1"/>
  <c r="D633" i="1" s="1"/>
  <c r="E633" i="1"/>
  <c r="D822" i="1" a="1"/>
  <c r="D822" i="1" s="1"/>
  <c r="E822" i="1"/>
  <c r="D1133" i="1" a="1"/>
  <c r="D1133" i="1" s="1"/>
  <c r="E1133" i="1"/>
  <c r="D1419" i="1" a="1"/>
  <c r="D1419" i="1" s="1"/>
  <c r="E1419" i="1"/>
  <c r="D1702" i="1" a="1"/>
  <c r="D1702" i="1" s="1"/>
  <c r="E1702" i="1"/>
  <c r="D1905" i="1" a="1"/>
  <c r="D1905" i="1" s="1"/>
  <c r="E1905" i="1"/>
  <c r="D2183" i="1" a="1"/>
  <c r="D2183" i="1" s="1"/>
  <c r="E2183" i="1"/>
  <c r="D2338" i="1" a="1"/>
  <c r="D2338" i="1" s="1"/>
  <c r="E2338" i="1"/>
  <c r="D138" i="1" a="1"/>
  <c r="D138" i="1" s="1"/>
  <c r="E138" i="1"/>
  <c r="D556" i="1" a="1"/>
  <c r="D556" i="1" s="1"/>
  <c r="E556" i="1"/>
  <c r="D1089" i="1" a="1"/>
  <c r="D1089" i="1" s="1"/>
  <c r="E1089" i="1"/>
  <c r="D1526" i="1" a="1"/>
  <c r="D1526" i="1" s="1"/>
  <c r="E1526" i="1"/>
  <c r="D2288" i="1" a="1"/>
  <c r="D2288" i="1" s="1"/>
  <c r="E2288" i="1"/>
  <c r="D1313" i="1" a="1"/>
  <c r="D1313" i="1" s="1"/>
  <c r="E1313" i="1"/>
  <c r="D1312" i="1" a="1"/>
  <c r="D1312" i="1" s="1"/>
  <c r="E1312" i="1"/>
  <c r="E1251" i="1"/>
  <c r="D1251" i="1" a="1"/>
  <c r="D1251" i="1" s="1"/>
  <c r="D1156" i="1" a="1"/>
  <c r="D1156" i="1" s="1"/>
  <c r="E1156" i="1"/>
  <c r="D169" i="1" a="1"/>
  <c r="D169" i="1" s="1"/>
  <c r="E169" i="1"/>
  <c r="D1211" i="1" a="1"/>
  <c r="D1211" i="1" s="1"/>
  <c r="E1211" i="1"/>
  <c r="E2137" i="1"/>
  <c r="D2137" i="1" a="1"/>
  <c r="D2137" i="1" s="1"/>
  <c r="D1202" i="1" a="1"/>
  <c r="D1202" i="1" s="1"/>
  <c r="E1202" i="1"/>
  <c r="D197" i="1" a="1"/>
  <c r="D197" i="1" s="1"/>
  <c r="E197" i="1"/>
  <c r="E947" i="1"/>
  <c r="D947" i="1" a="1"/>
  <c r="D947" i="1" s="1"/>
  <c r="D1695" i="1" a="1"/>
  <c r="D1695" i="1" s="1"/>
  <c r="E1695" i="1"/>
  <c r="D1023" i="1" a="1"/>
  <c r="D1023" i="1" s="1"/>
  <c r="E1023" i="1"/>
  <c r="D499" i="1" a="1"/>
  <c r="D499" i="1" s="1"/>
  <c r="E499" i="1"/>
  <c r="D164" i="1" a="1"/>
  <c r="D164" i="1" s="1"/>
  <c r="E164" i="1"/>
  <c r="D1292" i="1" a="1"/>
  <c r="D1292" i="1" s="1"/>
  <c r="E1292" i="1"/>
  <c r="D13" i="1" a="1"/>
  <c r="D13" i="1" s="1"/>
  <c r="E13" i="1"/>
  <c r="D424" i="1" a="1"/>
  <c r="D424" i="1" s="1"/>
  <c r="E424" i="1"/>
  <c r="D1065" i="1" a="1"/>
  <c r="D1065" i="1" s="1"/>
  <c r="E1065" i="1"/>
  <c r="D1427" i="1" a="1"/>
  <c r="D1427" i="1" s="1"/>
  <c r="E1427" i="1"/>
  <c r="D1853" i="1" a="1"/>
  <c r="D1853" i="1" s="1"/>
  <c r="E1853" i="1"/>
  <c r="E2240" i="1"/>
  <c r="D2240" i="1" a="1"/>
  <c r="D2240" i="1" s="1"/>
  <c r="D1392" i="1" a="1"/>
  <c r="D1392" i="1" s="1"/>
  <c r="E1392" i="1"/>
  <c r="D33" i="1" a="1"/>
  <c r="D33" i="1" s="1"/>
  <c r="E33" i="1"/>
  <c r="D546" i="1" a="1"/>
  <c r="D546" i="1" s="1"/>
  <c r="E546" i="1"/>
  <c r="D736" i="1" a="1"/>
  <c r="D736" i="1" s="1"/>
  <c r="E736" i="1"/>
  <c r="D1218" i="1" a="1"/>
  <c r="D1218" i="1" s="1"/>
  <c r="E1218" i="1"/>
  <c r="D1835" i="1" a="1"/>
  <c r="D1835" i="1" s="1"/>
  <c r="E1835" i="1"/>
  <c r="E2301" i="1"/>
  <c r="D2301" i="1" a="1"/>
  <c r="D2301" i="1" s="1"/>
  <c r="D1792" i="1" a="1"/>
  <c r="D1792" i="1" s="1"/>
  <c r="E1792" i="1"/>
  <c r="D179" i="1" a="1"/>
  <c r="D179" i="1" s="1"/>
  <c r="E179" i="1"/>
  <c r="D571" i="1" a="1"/>
  <c r="D571" i="1" s="1"/>
  <c r="E571" i="1"/>
  <c r="D1164" i="1" a="1"/>
  <c r="D1164" i="1" s="1"/>
  <c r="E1164" i="1"/>
  <c r="D1516" i="1" a="1"/>
  <c r="D1516" i="1" s="1"/>
  <c r="E1516" i="1"/>
  <c r="E1757" i="1"/>
  <c r="D1757" i="1" a="1"/>
  <c r="D1757" i="1" s="1"/>
  <c r="D1984" i="1" a="1"/>
  <c r="D1984" i="1" s="1"/>
  <c r="E1984" i="1"/>
  <c r="D2223" i="1" a="1"/>
  <c r="D2223" i="1" s="1"/>
  <c r="E2223" i="1"/>
  <c r="D42" i="1" a="1"/>
  <c r="D42" i="1" s="1"/>
  <c r="E42" i="1"/>
  <c r="D207" i="1" a="1"/>
  <c r="D207" i="1" s="1"/>
  <c r="E207" i="1"/>
  <c r="D641" i="1" a="1"/>
  <c r="D641" i="1" s="1"/>
  <c r="E641" i="1"/>
  <c r="E1373" i="1"/>
  <c r="D1373" i="1" a="1"/>
  <c r="D1373" i="1" s="1"/>
  <c r="D1225" i="1" a="1"/>
  <c r="D1225" i="1" s="1"/>
  <c r="E1225" i="1"/>
  <c r="D1505" i="1" a="1"/>
  <c r="D1505" i="1" s="1"/>
  <c r="E1505" i="1"/>
  <c r="D1088" i="1" a="1"/>
  <c r="D1088" i="1" s="1"/>
  <c r="E1088" i="1"/>
  <c r="D47" i="1" a="1"/>
  <c r="D47" i="1" s="1"/>
  <c r="E47" i="1"/>
  <c r="D561" i="1" a="1"/>
  <c r="D561" i="1" s="1"/>
  <c r="E561" i="1"/>
  <c r="D1338" i="1" a="1"/>
  <c r="D1338" i="1" s="1"/>
  <c r="E1338" i="1"/>
  <c r="D1774" i="1" a="1"/>
  <c r="D1774" i="1" s="1"/>
  <c r="E1774" i="1"/>
  <c r="D2352" i="1" a="1"/>
  <c r="D2352" i="1" s="1"/>
  <c r="E2352" i="1"/>
  <c r="D326" i="1" a="1"/>
  <c r="D326" i="1" s="1"/>
  <c r="E326" i="1"/>
  <c r="D3" i="1" a="1"/>
  <c r="D3" i="1" s="1"/>
  <c r="E3" i="1"/>
  <c r="D341" i="1" a="1"/>
  <c r="D341" i="1" s="1"/>
  <c r="E341" i="1"/>
  <c r="D659" i="1" a="1"/>
  <c r="D659" i="1" s="1"/>
  <c r="E659" i="1"/>
  <c r="D1374" i="1" a="1"/>
  <c r="D1374" i="1" s="1"/>
  <c r="E1374" i="1"/>
  <c r="D1896" i="1" a="1"/>
  <c r="D1896" i="1" s="1"/>
  <c r="E1896" i="1"/>
  <c r="D227" i="1" a="1"/>
  <c r="D227" i="1" s="1"/>
  <c r="E227" i="1"/>
  <c r="D2086" i="1" a="1"/>
  <c r="D2086" i="1" s="1"/>
  <c r="E2086" i="1"/>
  <c r="D118" i="1" a="1"/>
  <c r="D118" i="1" s="1"/>
  <c r="E118" i="1"/>
  <c r="D608" i="1" a="1"/>
  <c r="D608" i="1" s="1"/>
  <c r="E608" i="1"/>
  <c r="D997" i="1" a="1"/>
  <c r="D997" i="1" s="1"/>
  <c r="E997" i="1"/>
  <c r="D1659" i="1" a="1"/>
  <c r="D1659" i="1" s="1"/>
  <c r="E1659" i="1"/>
  <c r="D2074" i="1" a="1"/>
  <c r="D2074" i="1" s="1"/>
  <c r="E2074" i="1"/>
  <c r="D83" i="1" a="1"/>
  <c r="D83" i="1" s="1"/>
  <c r="E83" i="1"/>
  <c r="D1004" i="1" a="1"/>
  <c r="D1004" i="1" s="1"/>
  <c r="E1004" i="1"/>
  <c r="D2193" i="1" a="1"/>
  <c r="D2193" i="1" s="1"/>
  <c r="E2193" i="1"/>
  <c r="D165" i="1" a="1"/>
  <c r="D165" i="1" s="1"/>
  <c r="E165" i="1"/>
  <c r="D88" i="1" a="1"/>
  <c r="D88" i="1" s="1"/>
  <c r="E88" i="1"/>
  <c r="D212" i="1" a="1"/>
  <c r="D212" i="1" s="1"/>
  <c r="E212" i="1"/>
  <c r="E618" i="1"/>
  <c r="D618" i="1" a="1"/>
  <c r="D618" i="1" s="1"/>
  <c r="D726" i="1" a="1"/>
  <c r="D726" i="1" s="1"/>
  <c r="E726" i="1"/>
  <c r="D1270" i="1" a="1"/>
  <c r="D1270" i="1" s="1"/>
  <c r="E1270" i="1"/>
  <c r="D1619" i="1" a="1"/>
  <c r="D1619" i="1" s="1"/>
  <c r="E1619" i="1"/>
  <c r="D2051" i="1" a="1"/>
  <c r="D2051" i="1" s="1"/>
  <c r="E2051" i="1"/>
  <c r="D2232" i="1" a="1"/>
  <c r="D2232" i="1" s="1"/>
  <c r="E2232" i="1"/>
  <c r="D123" i="1" a="1"/>
  <c r="D123" i="1" s="1"/>
  <c r="E123" i="1"/>
  <c r="D613" i="1" a="1"/>
  <c r="D613" i="1" s="1"/>
  <c r="E613" i="1"/>
  <c r="D1997" i="1" a="1"/>
  <c r="D1997" i="1" s="1"/>
  <c r="E1997" i="1"/>
  <c r="D113" i="1" a="1"/>
  <c r="D113" i="1" s="1"/>
  <c r="E113" i="1"/>
  <c r="D254" i="1" a="1"/>
  <c r="D254" i="1" s="1"/>
  <c r="E254" i="1"/>
  <c r="D624" i="1" a="1"/>
  <c r="D624" i="1" s="1"/>
  <c r="E624" i="1"/>
  <c r="D1052" i="1" a="1"/>
  <c r="D1052" i="1" s="1"/>
  <c r="E1052" i="1"/>
  <c r="D1437" i="1" a="1"/>
  <c r="D1437" i="1" s="1"/>
  <c r="E1437" i="1"/>
  <c r="D1563" i="1" a="1"/>
  <c r="D1563" i="1" s="1"/>
  <c r="E1563" i="1"/>
  <c r="D1975" i="1" a="1"/>
  <c r="D1975" i="1" s="1"/>
  <c r="E1975" i="1"/>
  <c r="D593" i="1" a="1"/>
  <c r="D593" i="1" s="1"/>
  <c r="E593" i="1"/>
  <c r="D1258" i="1" a="1"/>
  <c r="D1258" i="1" s="1"/>
  <c r="E1258" i="1"/>
  <c r="D8" i="1" a="1"/>
  <c r="D8" i="1" s="1"/>
  <c r="E8" i="1"/>
  <c r="D78" i="1" a="1"/>
  <c r="D78" i="1" s="1"/>
  <c r="E78" i="1"/>
  <c r="D259" i="1" a="1"/>
  <c r="D259" i="1" s="1"/>
  <c r="E259" i="1"/>
  <c r="D855" i="1" a="1"/>
  <c r="D855" i="1" s="1"/>
  <c r="E855" i="1"/>
  <c r="D1226" i="1" a="1"/>
  <c r="D1226" i="1" s="1"/>
  <c r="E1226" i="1"/>
  <c r="D1918" i="1" a="1"/>
  <c r="D1918" i="1" s="1"/>
  <c r="E1918" i="1"/>
  <c r="D1252" i="1" a="1"/>
  <c r="D1252" i="1" s="1"/>
  <c r="E1252" i="1"/>
  <c r="D2295" i="1" a="1"/>
  <c r="D2295" i="1" s="1"/>
  <c r="E2295" i="1"/>
  <c r="D28" i="1" a="1"/>
  <c r="D28" i="1" s="1"/>
  <c r="E28" i="1"/>
  <c r="D143" i="1" a="1"/>
  <c r="D143" i="1" s="1"/>
  <c r="E143" i="1"/>
  <c r="D232" i="1" a="1"/>
  <c r="D232" i="1" s="1"/>
  <c r="E232" i="1"/>
  <c r="D544" i="1" a="1"/>
  <c r="D544" i="1" s="1"/>
  <c r="E544" i="1"/>
  <c r="E647" i="1"/>
  <c r="D647" i="1" a="1"/>
  <c r="D647" i="1" s="1"/>
  <c r="D835" i="1" a="1"/>
  <c r="D835" i="1" s="1"/>
  <c r="E835" i="1"/>
  <c r="E1112" i="1"/>
  <c r="D1112" i="1" a="1"/>
  <c r="D1112" i="1" s="1"/>
  <c r="D1305" i="1" a="1"/>
  <c r="D1305" i="1" s="1"/>
  <c r="E1305" i="1"/>
  <c r="D1454" i="1" a="1"/>
  <c r="D1454" i="1" s="1"/>
  <c r="E1454" i="1"/>
  <c r="D1717" i="1" a="1"/>
  <c r="D1717" i="1" s="1"/>
  <c r="E1717" i="1"/>
  <c r="D1876" i="1" a="1"/>
  <c r="D1876" i="1" s="1"/>
  <c r="E1876" i="1"/>
  <c r="D2098" i="1" a="1"/>
  <c r="D2098" i="1" s="1"/>
  <c r="E2098" i="1"/>
  <c r="D2261" i="1" a="1"/>
  <c r="D2261" i="1" s="1"/>
  <c r="E2261" i="1"/>
  <c r="D2274" i="1" a="1"/>
  <c r="D2274" i="1" s="1"/>
  <c r="E2274" i="1"/>
  <c r="D242" i="1" a="1"/>
  <c r="D242" i="1" s="1"/>
  <c r="E242" i="1"/>
  <c r="D827" i="1" a="1"/>
  <c r="D827" i="1" s="1"/>
  <c r="E827" i="1"/>
  <c r="F1472" i="1"/>
  <c r="F1473" i="1" s="1"/>
  <c r="D2318" i="1" a="1"/>
  <c r="D2318" i="1" s="1"/>
  <c r="E2318" i="1"/>
  <c r="D53" i="1" a="1"/>
  <c r="D53" i="1" s="1"/>
  <c r="E53" i="1"/>
  <c r="D174" i="1" a="1"/>
  <c r="D174" i="1" s="1"/>
  <c r="E174" i="1"/>
  <c r="D298" i="1" a="1"/>
  <c r="D298" i="1" s="1"/>
  <c r="E298" i="1"/>
  <c r="D566" i="1" a="1"/>
  <c r="D566" i="1" s="1"/>
  <c r="E566" i="1"/>
  <c r="D654" i="1" a="1"/>
  <c r="D654" i="1" s="1"/>
  <c r="E654" i="1"/>
  <c r="E843" i="1"/>
  <c r="D843" i="1" a="1"/>
  <c r="D843" i="1" s="1"/>
  <c r="D1079" i="1" a="1"/>
  <c r="D1079" i="1" s="1"/>
  <c r="E1079" i="1"/>
  <c r="D1279" i="1" a="1"/>
  <c r="D1279" i="1" s="1"/>
  <c r="E1279" i="1"/>
  <c r="D1464" i="1" a="1"/>
  <c r="D1464" i="1" s="1"/>
  <c r="E1464" i="1"/>
  <c r="D1637" i="1" a="1"/>
  <c r="D1637" i="1" s="1"/>
  <c r="E1637" i="1"/>
  <c r="D1864" i="1" a="1"/>
  <c r="D1864" i="1" s="1"/>
  <c r="E1864" i="1"/>
  <c r="D2014" i="1" a="1"/>
  <c r="D2014" i="1" s="1"/>
  <c r="E2014" i="1"/>
  <c r="D106" i="1" a="1"/>
  <c r="D106" i="1" s="1"/>
  <c r="E106" i="1"/>
  <c r="D715" i="1" a="1"/>
  <c r="D715" i="1" s="1"/>
  <c r="E715" i="1"/>
  <c r="D1360" i="1" a="1"/>
  <c r="D1360" i="1" s="1"/>
  <c r="E1360" i="1"/>
  <c r="D1958" i="1" a="1"/>
  <c r="D1958" i="1" s="1"/>
  <c r="E1958" i="1"/>
  <c r="D23" i="1" a="1"/>
  <c r="D23" i="1" s="1"/>
  <c r="E23" i="1"/>
  <c r="D98" i="1" a="1"/>
  <c r="D98" i="1" s="1"/>
  <c r="E98" i="1"/>
  <c r="D202" i="1" a="1"/>
  <c r="D202" i="1" s="1"/>
  <c r="E202" i="1"/>
  <c r="D359" i="1" a="1"/>
  <c r="D359" i="1" s="1"/>
  <c r="E359" i="1"/>
  <c r="D587" i="1" a="1"/>
  <c r="D587" i="1" s="1"/>
  <c r="E587" i="1"/>
  <c r="D671" i="1" a="1"/>
  <c r="D671" i="1" s="1"/>
  <c r="E671" i="1"/>
  <c r="D965" i="1" a="1"/>
  <c r="D965" i="1" s="1"/>
  <c r="E965" i="1"/>
  <c r="D1348" i="1" a="1"/>
  <c r="D1348" i="1" s="1"/>
  <c r="E1348" i="1"/>
  <c r="D1592" i="1" a="1"/>
  <c r="D1592" i="1" s="1"/>
  <c r="E1592" i="1"/>
  <c r="D1845" i="1" a="1"/>
  <c r="D1845" i="1" s="1"/>
  <c r="E1845" i="1"/>
  <c r="D2027" i="1" a="1"/>
  <c r="D2027" i="1" s="1"/>
  <c r="E2027" i="1"/>
  <c r="D2282" i="1" a="1"/>
  <c r="D2282" i="1" s="1"/>
  <c r="E2282" i="1"/>
  <c r="D63" i="1" a="1"/>
  <c r="D63" i="1" s="1"/>
  <c r="E63" i="1"/>
  <c r="D264" i="1" a="1"/>
  <c r="D264" i="1" s="1"/>
  <c r="E264" i="1"/>
  <c r="D870" i="1" a="1"/>
  <c r="D870" i="1" s="1"/>
  <c r="E870" i="1"/>
  <c r="D1320" i="1" a="1"/>
  <c r="D1320" i="1" s="1"/>
  <c r="E1320" i="1"/>
  <c r="E2041" i="1"/>
  <c r="D2041" i="1" a="1"/>
  <c r="D2041" i="1" s="1"/>
  <c r="D129" i="1" a="1"/>
  <c r="D129" i="1" s="1"/>
  <c r="E129" i="1"/>
  <c r="F1015" i="1"/>
  <c r="D1014" i="1" a="1"/>
  <c r="D1014" i="1" s="1"/>
  <c r="E1014" i="1"/>
  <c r="D1448" i="1" a="1"/>
  <c r="D1448" i="1" s="1"/>
  <c r="E1448" i="1"/>
  <c r="D1064" i="1" a="1"/>
  <c r="D1064" i="1" s="1"/>
  <c r="E1064" i="1"/>
  <c r="D2324" i="1" a="1"/>
  <c r="D2324" i="1" s="1"/>
  <c r="E2324" i="1"/>
  <c r="D1957" i="1" a="1"/>
  <c r="D1957" i="1" s="1"/>
  <c r="E1957" i="1"/>
  <c r="D128" i="1" a="1"/>
  <c r="D128" i="1" s="1"/>
  <c r="E128" i="1"/>
  <c r="E2650" i="1"/>
  <c r="D2650" i="1" a="1"/>
  <c r="D2650" i="1" s="1"/>
  <c r="F2651" i="1"/>
  <c r="F1306" i="1"/>
  <c r="F1399" i="1"/>
  <c r="F1718" i="1"/>
  <c r="F1877" i="1"/>
  <c r="F2099" i="1"/>
  <c r="F2208" i="1"/>
  <c r="F2262" i="1"/>
  <c r="F2060" i="1"/>
  <c r="F2275" i="1"/>
  <c r="F577" i="1"/>
  <c r="F19" i="1"/>
  <c r="F94" i="1"/>
  <c r="F175" i="1"/>
  <c r="F440" i="1"/>
  <c r="F604" i="1"/>
  <c r="F695" i="1"/>
  <c r="F991" i="1"/>
  <c r="F1080" i="1"/>
  <c r="F1465" i="1"/>
  <c r="F1638" i="1"/>
  <c r="F1865" i="1"/>
  <c r="F2015" i="1"/>
  <c r="F107" i="1"/>
  <c r="F716" i="1"/>
  <c r="F1361" i="1"/>
  <c r="F1959" i="1"/>
  <c r="F59" i="1"/>
  <c r="F134" i="1"/>
  <c r="F239" i="1"/>
  <c r="F552" i="1"/>
  <c r="F634" i="1"/>
  <c r="F823" i="1"/>
  <c r="F1134" i="1"/>
  <c r="F1420" i="1"/>
  <c r="F1703" i="1"/>
  <c r="F1906" i="1"/>
  <c r="F2028" i="1"/>
  <c r="F2184" i="1"/>
  <c r="F2283" i="1"/>
  <c r="F139" i="1"/>
  <c r="F557" i="1"/>
  <c r="F871" i="1"/>
  <c r="F1321" i="1"/>
  <c r="F2289" i="1"/>
  <c r="F1314" i="1"/>
  <c r="F2296" i="1"/>
  <c r="F69" i="1"/>
  <c r="F193" i="1"/>
  <c r="F280" i="1"/>
  <c r="F48" i="1"/>
  <c r="F248" i="1"/>
  <c r="F562" i="1"/>
  <c r="F727" i="1"/>
  <c r="F1271" i="1"/>
  <c r="F1481" i="1"/>
  <c r="F1620" i="1"/>
  <c r="F2052" i="1"/>
  <c r="F2138" i="1"/>
  <c r="F2233" i="1"/>
  <c r="F2353" i="1"/>
  <c r="F2241" i="1"/>
  <c r="F124" i="1"/>
  <c r="F327" i="1"/>
  <c r="F1393" i="1"/>
  <c r="F4" i="1"/>
  <c r="F74" i="1"/>
  <c r="F342" i="1"/>
  <c r="F582" i="1"/>
  <c r="F660" i="1"/>
  <c r="F948" i="1"/>
  <c r="F1053" i="1"/>
  <c r="F1219" i="1"/>
  <c r="F1438" i="1"/>
  <c r="F1564" i="1"/>
  <c r="F1836" i="1"/>
  <c r="F1976" i="1"/>
  <c r="F2302" i="1"/>
  <c r="F594" i="1"/>
  <c r="F1259" i="1"/>
  <c r="F1793" i="1"/>
  <c r="F39" i="1"/>
  <c r="F119" i="1"/>
  <c r="F223" i="1"/>
  <c r="F500" i="1"/>
  <c r="F609" i="1"/>
  <c r="F704" i="1"/>
  <c r="F998" i="1"/>
  <c r="F1385" i="1"/>
  <c r="F1660" i="1"/>
  <c r="F1871" i="1"/>
  <c r="F1985" i="1"/>
  <c r="F84" i="1"/>
  <c r="F394" i="1"/>
  <c r="F1227" i="1"/>
  <c r="F2194" i="1"/>
  <c r="F144" i="1"/>
  <c r="F599" i="1"/>
  <c r="F836" i="1"/>
  <c r="F233" i="1"/>
  <c r="F648" i="1"/>
  <c r="F685" i="1"/>
  <c r="F984" i="1"/>
  <c r="F1113" i="1"/>
  <c r="F1238" i="1"/>
  <c r="F1455" i="1"/>
  <c r="F1536" i="1"/>
  <c r="F1826" i="1"/>
  <c r="F2005" i="1"/>
  <c r="F2360" i="1"/>
  <c r="F243" i="1"/>
  <c r="F828" i="1"/>
  <c r="F1294" i="1"/>
  <c r="F1766" i="1"/>
  <c r="F2319" i="1"/>
  <c r="F54" i="1"/>
  <c r="F218" i="1"/>
  <c r="F299" i="1"/>
  <c r="F567" i="1"/>
  <c r="F655" i="1"/>
  <c r="F844" i="1"/>
  <c r="F1158" i="1"/>
  <c r="F1280" i="1"/>
  <c r="F1413" i="1"/>
  <c r="F1507" i="1"/>
  <c r="F1742" i="1"/>
  <c r="F1938" i="1"/>
  <c r="F2216" i="1"/>
  <c r="F516" i="1"/>
  <c r="F1144" i="1"/>
  <c r="F1675" i="1"/>
  <c r="F24" i="1"/>
  <c r="F99" i="1"/>
  <c r="F203" i="1"/>
  <c r="F360" i="1"/>
  <c r="F588" i="1"/>
  <c r="F672" i="1"/>
  <c r="F966" i="1"/>
  <c r="F1349" i="1"/>
  <c r="F1593" i="1"/>
  <c r="F1846" i="1"/>
  <c r="F2339" i="1"/>
  <c r="F64" i="1"/>
  <c r="F265" i="1"/>
  <c r="F1090" i="1"/>
  <c r="F1527" i="1"/>
  <c r="F2042" i="1"/>
  <c r="F130" i="1"/>
  <c r="F2133" i="1"/>
  <c r="F2174" i="1"/>
  <c r="F29" i="1"/>
  <c r="F14" i="1"/>
  <c r="F89" i="1"/>
  <c r="F170" i="1"/>
  <c r="F213" i="1"/>
  <c r="F425" i="1"/>
  <c r="F619" i="1"/>
  <c r="F923" i="1"/>
  <c r="F1066" i="1"/>
  <c r="F1212" i="1"/>
  <c r="F1339" i="1"/>
  <c r="F1428" i="1"/>
  <c r="F1775" i="1"/>
  <c r="F1854" i="1"/>
  <c r="F1965" i="1"/>
  <c r="F2326" i="1"/>
  <c r="F614" i="1"/>
  <c r="F1203" i="1"/>
  <c r="F1609" i="1"/>
  <c r="F1998" i="1"/>
  <c r="F34" i="1"/>
  <c r="F114" i="1"/>
  <c r="F198" i="1"/>
  <c r="F255" i="1"/>
  <c r="F547" i="1"/>
  <c r="F625" i="1"/>
  <c r="F737" i="1"/>
  <c r="F1122" i="1"/>
  <c r="F1375" i="1"/>
  <c r="F1487" i="1"/>
  <c r="F1696" i="1"/>
  <c r="F1897" i="1"/>
  <c r="F2113" i="1"/>
  <c r="F228" i="1"/>
  <c r="F1024" i="1"/>
  <c r="F1497" i="1"/>
  <c r="F2087" i="1"/>
  <c r="F9" i="1"/>
  <c r="F79" i="1"/>
  <c r="F180" i="1"/>
  <c r="F260" i="1"/>
  <c r="F572" i="1"/>
  <c r="F856" i="1"/>
  <c r="F1165" i="1"/>
  <c r="F1517" i="1"/>
  <c r="F1758" i="1"/>
  <c r="F2075" i="1"/>
  <c r="F2224" i="1"/>
  <c r="F2310" i="1"/>
  <c r="F43" i="1"/>
  <c r="F208" i="1"/>
  <c r="F642" i="1"/>
  <c r="F1005" i="1"/>
  <c r="F1450" i="1"/>
  <c r="F1919" i="1"/>
  <c r="F166" i="1"/>
  <c r="F1253" i="1"/>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D2224" i="1" l="1" a="1"/>
  <c r="D2224" i="1" s="1"/>
  <c r="E2224" i="1"/>
  <c r="D2087" i="1" a="1"/>
  <c r="D2087" i="1" s="1"/>
  <c r="E2087" i="1"/>
  <c r="E547" i="1"/>
  <c r="D547" i="1" a="1"/>
  <c r="D547" i="1" s="1"/>
  <c r="D614" i="1" a="1"/>
  <c r="D614" i="1" s="1"/>
  <c r="E614" i="1"/>
  <c r="D14" i="1" a="1"/>
  <c r="D14" i="1" s="1"/>
  <c r="E14" i="1"/>
  <c r="D265" i="1" a="1"/>
  <c r="D265" i="1" s="1"/>
  <c r="E265" i="1"/>
  <c r="D24" i="1" a="1"/>
  <c r="D24" i="1" s="1"/>
  <c r="E24" i="1"/>
  <c r="D1507" i="1" a="1"/>
  <c r="D1507" i="1" s="1"/>
  <c r="E1507" i="1"/>
  <c r="D218" i="1" a="1"/>
  <c r="D218" i="1" s="1"/>
  <c r="E218" i="1"/>
  <c r="D1238" i="1" a="1"/>
  <c r="D1238" i="1" s="1"/>
  <c r="E1238" i="1"/>
  <c r="D84" i="1" a="1"/>
  <c r="D84" i="1" s="1"/>
  <c r="E84" i="1"/>
  <c r="D500" i="1" a="1"/>
  <c r="D500" i="1" s="1"/>
  <c r="E500" i="1"/>
  <c r="D1219" i="1" a="1"/>
  <c r="D1219" i="1" s="1"/>
  <c r="E1219" i="1"/>
  <c r="D1393" i="1" a="1"/>
  <c r="D1393" i="1" s="1"/>
  <c r="E1393" i="1"/>
  <c r="D193" i="1" a="1"/>
  <c r="D193" i="1" s="1"/>
  <c r="E193" i="1"/>
  <c r="D139" i="1" a="1"/>
  <c r="D139" i="1" s="1"/>
  <c r="E139" i="1"/>
  <c r="D823" i="1" a="1"/>
  <c r="D823" i="1" s="1"/>
  <c r="E823" i="1"/>
  <c r="D1638" i="1" a="1"/>
  <c r="D1638" i="1" s="1"/>
  <c r="E1638" i="1"/>
  <c r="D94" i="1" a="1"/>
  <c r="D94" i="1" s="1"/>
  <c r="E94" i="1"/>
  <c r="D2275" i="1" a="1"/>
  <c r="D2275" i="1" s="1"/>
  <c r="E2275" i="1"/>
  <c r="D1306" i="1" a="1"/>
  <c r="D1306" i="1" s="1"/>
  <c r="E1306" i="1"/>
  <c r="D1919" i="1" a="1"/>
  <c r="D1919" i="1" s="1"/>
  <c r="E1919" i="1"/>
  <c r="D208" i="1" a="1"/>
  <c r="D208" i="1" s="1"/>
  <c r="E208" i="1"/>
  <c r="D2075" i="1" a="1"/>
  <c r="D2075" i="1" s="1"/>
  <c r="E2075" i="1"/>
  <c r="D856" i="1" a="1"/>
  <c r="D856" i="1" s="1"/>
  <c r="E856" i="1"/>
  <c r="D180" i="1" a="1"/>
  <c r="D180" i="1" s="1"/>
  <c r="E180" i="1"/>
  <c r="D1497" i="1" a="1"/>
  <c r="D1497" i="1" s="1"/>
  <c r="E1497" i="1"/>
  <c r="E1897" i="1"/>
  <c r="D1897" i="1" a="1"/>
  <c r="D1897" i="1" s="1"/>
  <c r="D1122" i="1" a="1"/>
  <c r="D1122" i="1" s="1"/>
  <c r="E1122" i="1"/>
  <c r="D255" i="1" a="1"/>
  <c r="D255" i="1" s="1"/>
  <c r="E255" i="1"/>
  <c r="D1998" i="1" a="1"/>
  <c r="D1998" i="1" s="1"/>
  <c r="E1998" i="1"/>
  <c r="D2326" i="1" a="1"/>
  <c r="D2326" i="1" s="1"/>
  <c r="E2326" i="1"/>
  <c r="D1428" i="1" a="1"/>
  <c r="D1428" i="1" s="1"/>
  <c r="E1428" i="1"/>
  <c r="D923" i="1" a="1"/>
  <c r="D923" i="1" s="1"/>
  <c r="E923" i="1"/>
  <c r="D213" i="1" a="1"/>
  <c r="D213" i="1" s="1"/>
  <c r="E213" i="1"/>
  <c r="D29" i="1" a="1"/>
  <c r="D29" i="1" s="1"/>
  <c r="E29" i="1"/>
  <c r="D2042" i="1" a="1"/>
  <c r="D2042" i="1" s="1"/>
  <c r="E2042" i="1"/>
  <c r="D64" i="1" a="1"/>
  <c r="D64" i="1" s="1"/>
  <c r="E64" i="1"/>
  <c r="D1349" i="1" a="1"/>
  <c r="D1349" i="1" s="1"/>
  <c r="E1349" i="1"/>
  <c r="D360" i="1" a="1"/>
  <c r="D360" i="1" s="1"/>
  <c r="E360" i="1"/>
  <c r="D2254" i="1" a="1"/>
  <c r="D2254" i="1" s="1"/>
  <c r="E2254" i="1"/>
  <c r="D2216" i="1" a="1"/>
  <c r="D2216" i="1" s="1"/>
  <c r="E2216" i="1"/>
  <c r="E1413" i="1"/>
  <c r="D1413" i="1" a="1"/>
  <c r="D1413" i="1" s="1"/>
  <c r="D655" i="1" a="1"/>
  <c r="D655" i="1" s="1"/>
  <c r="E655" i="1"/>
  <c r="D54" i="1" a="1"/>
  <c r="D54" i="1" s="1"/>
  <c r="E54" i="1"/>
  <c r="D828" i="1" a="1"/>
  <c r="D828" i="1" s="1"/>
  <c r="E828" i="1"/>
  <c r="D1826" i="1" a="1"/>
  <c r="D1826" i="1" s="1"/>
  <c r="E1826" i="1"/>
  <c r="D1113" i="1" a="1"/>
  <c r="D1113" i="1" s="1"/>
  <c r="E1113" i="1"/>
  <c r="D233" i="1" a="1"/>
  <c r="D233" i="1" s="1"/>
  <c r="E233" i="1"/>
  <c r="D2194" i="1" a="1"/>
  <c r="D2194" i="1" s="1"/>
  <c r="E2194" i="1"/>
  <c r="D1985" i="1" a="1"/>
  <c r="D1985" i="1" s="1"/>
  <c r="E1985" i="1"/>
  <c r="D998" i="1" a="1"/>
  <c r="D998" i="1" s="1"/>
  <c r="E998" i="1"/>
  <c r="D223" i="1" a="1"/>
  <c r="D223" i="1" s="1"/>
  <c r="E223" i="1"/>
  <c r="E1259" i="1"/>
  <c r="D1259" i="1" a="1"/>
  <c r="D1259" i="1" s="1"/>
  <c r="D1836" i="1" a="1"/>
  <c r="D1836" i="1" s="1"/>
  <c r="E1836" i="1"/>
  <c r="D1053" i="1" a="1"/>
  <c r="D1053" i="1" s="1"/>
  <c r="E1053" i="1"/>
  <c r="D342" i="1" a="1"/>
  <c r="D342" i="1" s="1"/>
  <c r="E342" i="1"/>
  <c r="D327" i="1" a="1"/>
  <c r="D327" i="1" s="1"/>
  <c r="E327" i="1"/>
  <c r="E2233" i="1"/>
  <c r="D2233" i="1" a="1"/>
  <c r="D2233" i="1" s="1"/>
  <c r="D1481" i="1" a="1"/>
  <c r="D1481" i="1" s="1"/>
  <c r="E1481" i="1"/>
  <c r="D248" i="1" a="1"/>
  <c r="D248" i="1" s="1"/>
  <c r="E248" i="1"/>
  <c r="D69" i="1" a="1"/>
  <c r="D69" i="1" s="1"/>
  <c r="E69" i="1"/>
  <c r="D1321" i="1" a="1"/>
  <c r="D1321" i="1" s="1"/>
  <c r="E1321" i="1"/>
  <c r="D2283" i="1" a="1"/>
  <c r="D2283" i="1" s="1"/>
  <c r="E2283" i="1"/>
  <c r="D1703" i="1" a="1"/>
  <c r="D1703" i="1" s="1"/>
  <c r="E1703" i="1"/>
  <c r="D634" i="1" a="1"/>
  <c r="D634" i="1" s="1"/>
  <c r="E634" i="1"/>
  <c r="D59" i="1" a="1"/>
  <c r="D59" i="1" s="1"/>
  <c r="E59" i="1"/>
  <c r="D107" i="1" a="1"/>
  <c r="D107" i="1" s="1"/>
  <c r="E107" i="1"/>
  <c r="D1465" i="1" a="1"/>
  <c r="D1465" i="1" s="1"/>
  <c r="E1465" i="1"/>
  <c r="D604" i="1" a="1"/>
  <c r="D604" i="1" s="1"/>
  <c r="E604" i="1"/>
  <c r="D19" i="1" a="1"/>
  <c r="D19" i="1" s="1"/>
  <c r="E19" i="1"/>
  <c r="D2060" i="1" a="1"/>
  <c r="D2060" i="1" s="1"/>
  <c r="E2060" i="1"/>
  <c r="E1877" i="1"/>
  <c r="D1877" i="1" a="1"/>
  <c r="D1877" i="1" s="1"/>
  <c r="D260" i="1" a="1"/>
  <c r="D260" i="1" s="1"/>
  <c r="E260" i="1"/>
  <c r="D1375" i="1" a="1"/>
  <c r="D1375" i="1" s="1"/>
  <c r="E1375" i="1"/>
  <c r="D1066" i="1" a="1"/>
  <c r="D1066" i="1" s="1"/>
  <c r="E1066" i="1"/>
  <c r="D1593" i="1" a="1"/>
  <c r="D1593" i="1" s="1"/>
  <c r="E1593" i="1"/>
  <c r="E2005" i="1"/>
  <c r="D2005" i="1" a="1"/>
  <c r="D2005" i="1" s="1"/>
  <c r="D144" i="1" a="1"/>
  <c r="D144" i="1" s="1"/>
  <c r="E144" i="1"/>
  <c r="D1976" i="1" a="1"/>
  <c r="D1976" i="1" s="1"/>
  <c r="E1976" i="1"/>
  <c r="D1620" i="1" a="1"/>
  <c r="D1620" i="1" s="1"/>
  <c r="E1620" i="1"/>
  <c r="E2289" i="1"/>
  <c r="D2289" i="1" a="1"/>
  <c r="D2289" i="1" s="1"/>
  <c r="D134" i="1" a="1"/>
  <c r="D134" i="1" s="1"/>
  <c r="E134" i="1"/>
  <c r="D695" i="1" a="1"/>
  <c r="D695" i="1" s="1"/>
  <c r="E695" i="1"/>
  <c r="D2099" i="1" a="1"/>
  <c r="D2099" i="1" s="1"/>
  <c r="E2099" i="1"/>
  <c r="D1253" i="1" a="1"/>
  <c r="D1253" i="1" s="1"/>
  <c r="E1253" i="1"/>
  <c r="D1758" i="1" a="1"/>
  <c r="D1758" i="1" s="1"/>
  <c r="E1758" i="1"/>
  <c r="D79" i="1" a="1"/>
  <c r="D79" i="1" s="1"/>
  <c r="E79" i="1"/>
  <c r="D737" i="1" a="1"/>
  <c r="D737" i="1" s="1"/>
  <c r="E737" i="1"/>
  <c r="D1965" i="1" a="1"/>
  <c r="D1965" i="1" s="1"/>
  <c r="E1965" i="1"/>
  <c r="D1527" i="1" a="1"/>
  <c r="D1527" i="1" s="1"/>
  <c r="E1527" i="1"/>
  <c r="D203" i="1" a="1"/>
  <c r="D203" i="1" s="1"/>
  <c r="E203" i="1"/>
  <c r="D1280" i="1" a="1"/>
  <c r="D1280" i="1" s="1"/>
  <c r="E1280" i="1"/>
  <c r="D2319" i="1" a="1"/>
  <c r="D2319" i="1" s="1"/>
  <c r="E2319" i="1"/>
  <c r="E984" i="1"/>
  <c r="D984" i="1" a="1"/>
  <c r="D984" i="1" s="1"/>
  <c r="D1871" i="1" a="1"/>
  <c r="D1871" i="1" s="1"/>
  <c r="E1871" i="1"/>
  <c r="D594" i="1" a="1"/>
  <c r="D594" i="1" s="1"/>
  <c r="E594" i="1"/>
  <c r="D948" i="1" a="1"/>
  <c r="D948" i="1" s="1"/>
  <c r="E948" i="1"/>
  <c r="D2138" i="1" a="1"/>
  <c r="D2138" i="1" s="1"/>
  <c r="E2138" i="1"/>
  <c r="D2296" i="1" a="1"/>
  <c r="D2296" i="1" s="1"/>
  <c r="E2296" i="1"/>
  <c r="D2184" i="1" a="1"/>
  <c r="D2184" i="1" s="1"/>
  <c r="E2184" i="1"/>
  <c r="D1959" i="1" a="1"/>
  <c r="D1959" i="1" s="1"/>
  <c r="E1959" i="1"/>
  <c r="D440" i="1" a="1"/>
  <c r="D440" i="1" s="1"/>
  <c r="E440" i="1"/>
  <c r="D238" i="1" a="1"/>
  <c r="D238" i="1" s="1"/>
  <c r="E238" i="1"/>
  <c r="D642" i="1" a="1"/>
  <c r="D642" i="1" s="1"/>
  <c r="E642" i="1"/>
  <c r="D1165" i="1" a="1"/>
  <c r="D1165" i="1" s="1"/>
  <c r="E1165" i="1"/>
  <c r="E2113" i="1"/>
  <c r="D2113" i="1" a="1"/>
  <c r="D2113" i="1" s="1"/>
  <c r="D34" i="1" a="1"/>
  <c r="D34" i="1" s="1"/>
  <c r="E34" i="1"/>
  <c r="D1775" i="1" a="1"/>
  <c r="D1775" i="1" s="1"/>
  <c r="E1775" i="1"/>
  <c r="D425" i="1" a="1"/>
  <c r="D425" i="1" s="1"/>
  <c r="E425" i="1"/>
  <c r="D130" i="1" a="1"/>
  <c r="D130" i="1" s="1"/>
  <c r="E130" i="1"/>
  <c r="D588" i="1" a="1"/>
  <c r="D588" i="1" s="1"/>
  <c r="E588" i="1"/>
  <c r="D516" i="1" a="1"/>
  <c r="D516" i="1" s="1"/>
  <c r="E516" i="1"/>
  <c r="D844" i="1" a="1"/>
  <c r="D844" i="1" s="1"/>
  <c r="E844" i="1"/>
  <c r="D1294" i="1" a="1"/>
  <c r="D1294" i="1" s="1"/>
  <c r="E1294" i="1"/>
  <c r="D648" i="1" a="1"/>
  <c r="D648" i="1" s="1"/>
  <c r="E648" i="1"/>
  <c r="D1385" i="1" a="1"/>
  <c r="D1385" i="1" s="1"/>
  <c r="E1385" i="1"/>
  <c r="D1793" i="1" a="1"/>
  <c r="D1793" i="1" s="1"/>
  <c r="E1793" i="1"/>
  <c r="D582" i="1" a="1"/>
  <c r="D582" i="1" s="1"/>
  <c r="E582" i="1"/>
  <c r="E2353" i="1"/>
  <c r="D2353" i="1" a="1"/>
  <c r="D2353" i="1" s="1"/>
  <c r="D562" i="1" a="1"/>
  <c r="D562" i="1" s="1"/>
  <c r="E562" i="1"/>
  <c r="D1906" i="1" a="1"/>
  <c r="D1906" i="1" s="1"/>
  <c r="E1906" i="1"/>
  <c r="D716" i="1" a="1"/>
  <c r="D716" i="1" s="1"/>
  <c r="E716" i="1"/>
  <c r="D1015" i="1" a="1"/>
  <c r="D1015" i="1" s="1"/>
  <c r="E1015" i="1"/>
  <c r="F1016" i="1"/>
  <c r="D1450" i="1" a="1"/>
  <c r="D1450" i="1" s="1"/>
  <c r="E1450" i="1"/>
  <c r="D43" i="1" a="1"/>
  <c r="D43" i="1" s="1"/>
  <c r="E43" i="1"/>
  <c r="D1024" i="1" a="1"/>
  <c r="D1024" i="1" s="1"/>
  <c r="E1024" i="1"/>
  <c r="D1696" i="1" a="1"/>
  <c r="D1696" i="1" s="1"/>
  <c r="E1696" i="1"/>
  <c r="D198" i="1" a="1"/>
  <c r="D198" i="1" s="1"/>
  <c r="E198" i="1"/>
  <c r="E1609" i="1"/>
  <c r="D1609" i="1" a="1"/>
  <c r="D1609" i="1" s="1"/>
  <c r="D1339" i="1" a="1"/>
  <c r="D1339" i="1" s="1"/>
  <c r="E1339" i="1"/>
  <c r="D170" i="1" a="1"/>
  <c r="D170" i="1" s="1"/>
  <c r="E170" i="1"/>
  <c r="D2174" i="1" a="1"/>
  <c r="D2174" i="1" s="1"/>
  <c r="E2174" i="1"/>
  <c r="D2339" i="1" a="1"/>
  <c r="D2339" i="1" s="1"/>
  <c r="E2339" i="1"/>
  <c r="D966" i="1" a="1"/>
  <c r="D966" i="1" s="1"/>
  <c r="E966" i="1"/>
  <c r="D1675" i="1" a="1"/>
  <c r="D1675" i="1" s="1"/>
  <c r="E1675" i="1"/>
  <c r="D1938" i="1" a="1"/>
  <c r="D1938" i="1" s="1"/>
  <c r="E1938" i="1"/>
  <c r="D567" i="1" a="1"/>
  <c r="D567" i="1" s="1"/>
  <c r="E567" i="1"/>
  <c r="D243" i="1" a="1"/>
  <c r="D243" i="1" s="1"/>
  <c r="E243" i="1"/>
  <c r="D1536" i="1" a="1"/>
  <c r="D1536" i="1" s="1"/>
  <c r="E1536" i="1"/>
  <c r="D836" i="1" a="1"/>
  <c r="D836" i="1" s="1"/>
  <c r="E836" i="1"/>
  <c r="E1227" i="1"/>
  <c r="D1227" i="1" a="1"/>
  <c r="D1227" i="1" s="1"/>
  <c r="D704" i="1" a="1"/>
  <c r="D704" i="1" s="1"/>
  <c r="E704" i="1"/>
  <c r="D119" i="1" a="1"/>
  <c r="D119" i="1" s="1"/>
  <c r="E119" i="1"/>
  <c r="D1564" i="1" a="1"/>
  <c r="D1564" i="1" s="1"/>
  <c r="E1564" i="1"/>
  <c r="D74" i="1" a="1"/>
  <c r="D74" i="1" s="1"/>
  <c r="E74" i="1"/>
  <c r="D124" i="1" a="1"/>
  <c r="D124" i="1" s="1"/>
  <c r="E124" i="1"/>
  <c r="D1271" i="1" a="1"/>
  <c r="D1271" i="1" s="1"/>
  <c r="E1271" i="1"/>
  <c r="D48" i="1" a="1"/>
  <c r="D48" i="1" s="1"/>
  <c r="E48" i="1"/>
  <c r="E871" i="1"/>
  <c r="D871" i="1" a="1"/>
  <c r="D871" i="1" s="1"/>
  <c r="D1420" i="1" a="1"/>
  <c r="D1420" i="1" s="1"/>
  <c r="E1420" i="1"/>
  <c r="D552" i="1" a="1"/>
  <c r="D552" i="1" s="1"/>
  <c r="E552" i="1"/>
  <c r="D2015" i="1" a="1"/>
  <c r="D2015" i="1" s="1"/>
  <c r="E2015" i="1"/>
  <c r="D1080" i="1" a="1"/>
  <c r="D1080" i="1" s="1"/>
  <c r="E1080" i="1"/>
  <c r="D1473" i="1" a="1"/>
  <c r="D1473" i="1" s="1"/>
  <c r="E1473" i="1"/>
  <c r="D2262" i="1" a="1"/>
  <c r="D2262" i="1" s="1"/>
  <c r="E2262" i="1"/>
  <c r="D1718" i="1" a="1"/>
  <c r="D1718" i="1" s="1"/>
  <c r="E1718" i="1"/>
  <c r="D166" i="1" a="1"/>
  <c r="D166" i="1" s="1"/>
  <c r="E166" i="1"/>
  <c r="E1005" i="1"/>
  <c r="D1005" i="1" a="1"/>
  <c r="D1005" i="1" s="1"/>
  <c r="D2310" i="1" a="1"/>
  <c r="D2310" i="1" s="1"/>
  <c r="E2310" i="1"/>
  <c r="D1517" i="1" a="1"/>
  <c r="D1517" i="1" s="1"/>
  <c r="E1517" i="1"/>
  <c r="D572" i="1" a="1"/>
  <c r="D572" i="1" s="1"/>
  <c r="E572" i="1"/>
  <c r="D9" i="1" a="1"/>
  <c r="D9" i="1" s="1"/>
  <c r="E9" i="1"/>
  <c r="D228" i="1" a="1"/>
  <c r="D228" i="1" s="1"/>
  <c r="E228" i="1"/>
  <c r="D1487" i="1" a="1"/>
  <c r="D1487" i="1" s="1"/>
  <c r="E1487" i="1"/>
  <c r="D625" i="1" a="1"/>
  <c r="D625" i="1" s="1"/>
  <c r="E625" i="1"/>
  <c r="D114" i="1" a="1"/>
  <c r="D114" i="1" s="1"/>
  <c r="E114" i="1"/>
  <c r="E1203" i="1"/>
  <c r="D1203" i="1" a="1"/>
  <c r="D1203" i="1" s="1"/>
  <c r="D1854" i="1" a="1"/>
  <c r="D1854" i="1" s="1"/>
  <c r="E1854" i="1"/>
  <c r="D1212" i="1" a="1"/>
  <c r="D1212" i="1" s="1"/>
  <c r="E1212" i="1"/>
  <c r="D619" i="1" a="1"/>
  <c r="D619" i="1" s="1"/>
  <c r="E619" i="1"/>
  <c r="D89" i="1" a="1"/>
  <c r="D89" i="1" s="1"/>
  <c r="E89" i="1"/>
  <c r="D2133" i="1" a="1"/>
  <c r="D2133" i="1" s="1"/>
  <c r="E2133" i="1"/>
  <c r="D1090" i="1" a="1"/>
  <c r="D1090" i="1" s="1"/>
  <c r="E1090" i="1"/>
  <c r="D1846" i="1" a="1"/>
  <c r="D1846" i="1" s="1"/>
  <c r="E1846" i="1"/>
  <c r="D672" i="1" a="1"/>
  <c r="D672" i="1" s="1"/>
  <c r="E672" i="1"/>
  <c r="D99" i="1" a="1"/>
  <c r="D99" i="1" s="1"/>
  <c r="E99" i="1"/>
  <c r="D1144" i="1" a="1"/>
  <c r="D1144" i="1" s="1"/>
  <c r="E1144" i="1"/>
  <c r="D1742" i="1" a="1"/>
  <c r="D1742" i="1" s="1"/>
  <c r="E1742" i="1"/>
  <c r="D1158" i="1" a="1"/>
  <c r="D1158" i="1" s="1"/>
  <c r="E1158" i="1"/>
  <c r="D299" i="1" a="1"/>
  <c r="D299" i="1" s="1"/>
  <c r="E299" i="1"/>
  <c r="D1766" i="1" a="1"/>
  <c r="D1766" i="1" s="1"/>
  <c r="E1766" i="1"/>
  <c r="D2360" i="1" a="1"/>
  <c r="D2360" i="1" s="1"/>
  <c r="E2360" i="1"/>
  <c r="D1455" i="1" a="1"/>
  <c r="D1455" i="1" s="1"/>
  <c r="E1455" i="1"/>
  <c r="D685" i="1" a="1"/>
  <c r="D685" i="1" s="1"/>
  <c r="E685" i="1"/>
  <c r="D599" i="1" a="1"/>
  <c r="D599" i="1" s="1"/>
  <c r="E599" i="1"/>
  <c r="D394" i="1" a="1"/>
  <c r="D394" i="1" s="1"/>
  <c r="E394" i="1"/>
  <c r="D1660" i="1" a="1"/>
  <c r="D1660" i="1" s="1"/>
  <c r="E1660" i="1"/>
  <c r="D609" i="1" a="1"/>
  <c r="D609" i="1" s="1"/>
  <c r="E609" i="1"/>
  <c r="D39" i="1" a="1"/>
  <c r="D39" i="1" s="1"/>
  <c r="E39" i="1"/>
  <c r="D2302" i="1" a="1"/>
  <c r="D2302" i="1" s="1"/>
  <c r="E2302" i="1"/>
  <c r="D1438" i="1" a="1"/>
  <c r="D1438" i="1" s="1"/>
  <c r="E1438" i="1"/>
  <c r="D660" i="1" a="1"/>
  <c r="D660" i="1" s="1"/>
  <c r="E660" i="1"/>
  <c r="D4" i="1" a="1"/>
  <c r="D4" i="1" s="1"/>
  <c r="E4" i="1"/>
  <c r="D2241" i="1" a="1"/>
  <c r="D2241" i="1" s="1"/>
  <c r="E2241" i="1"/>
  <c r="D2052" i="1" a="1"/>
  <c r="D2052" i="1" s="1"/>
  <c r="E2052" i="1"/>
  <c r="D727" i="1" a="1"/>
  <c r="D727" i="1" s="1"/>
  <c r="E727" i="1"/>
  <c r="D280" i="1" a="1"/>
  <c r="D280" i="1" s="1"/>
  <c r="E280" i="1"/>
  <c r="E1314" i="1"/>
  <c r="D1314" i="1" a="1"/>
  <c r="D1314" i="1" s="1"/>
  <c r="D557" i="1" a="1"/>
  <c r="D557" i="1" s="1"/>
  <c r="E557" i="1"/>
  <c r="D2028" i="1" a="1"/>
  <c r="D2028" i="1" s="1"/>
  <c r="E2028" i="1"/>
  <c r="D1134" i="1" a="1"/>
  <c r="D1134" i="1" s="1"/>
  <c r="E1134" i="1"/>
  <c r="D239" i="1" a="1"/>
  <c r="D239" i="1" s="1"/>
  <c r="E239" i="1"/>
  <c r="E1361" i="1"/>
  <c r="D1361" i="1" a="1"/>
  <c r="D1361" i="1" s="1"/>
  <c r="D1865" i="1" a="1"/>
  <c r="D1865" i="1" s="1"/>
  <c r="E1865" i="1"/>
  <c r="E991" i="1"/>
  <c r="D991" i="1" a="1"/>
  <c r="D991" i="1" s="1"/>
  <c r="D175" i="1" a="1"/>
  <c r="D175" i="1" s="1"/>
  <c r="E175" i="1"/>
  <c r="D577" i="1" a="1"/>
  <c r="D577" i="1" s="1"/>
  <c r="E577" i="1"/>
  <c r="D2208" i="1" a="1"/>
  <c r="D2208" i="1" s="1"/>
  <c r="E2208" i="1"/>
  <c r="D1399" i="1" a="1"/>
  <c r="D1399" i="1" s="1"/>
  <c r="E1399" i="1"/>
  <c r="D1472" i="1" a="1"/>
  <c r="D1472" i="1" s="1"/>
  <c r="E1472" i="1"/>
  <c r="E2253" i="1"/>
  <c r="D2253" i="1" a="1"/>
  <c r="D2253" i="1" s="1"/>
  <c r="D2651" i="1" a="1"/>
  <c r="D2651" i="1" s="1"/>
  <c r="E2651" i="1"/>
  <c r="F2652" i="1"/>
  <c r="F1920" i="1"/>
  <c r="F209" i="1"/>
  <c r="F2076" i="1"/>
  <c r="F857" i="1"/>
  <c r="F181" i="1"/>
  <c r="F1498" i="1"/>
  <c r="F1898" i="1"/>
  <c r="F1123" i="1"/>
  <c r="F256" i="1"/>
  <c r="F1999" i="1"/>
  <c r="F2327" i="1"/>
  <c r="F1429" i="1"/>
  <c r="F924" i="1"/>
  <c r="F214" i="1"/>
  <c r="F30" i="1"/>
  <c r="F2043" i="1"/>
  <c r="F65" i="1"/>
  <c r="F1350" i="1"/>
  <c r="F361" i="1"/>
  <c r="F2255" i="1"/>
  <c r="F2217" i="1"/>
  <c r="F1414" i="1"/>
  <c r="F656" i="1"/>
  <c r="F55" i="1"/>
  <c r="F829" i="1"/>
  <c r="F1827" i="1"/>
  <c r="F1114" i="1"/>
  <c r="F600" i="1"/>
  <c r="F395" i="1"/>
  <c r="F1661" i="1"/>
  <c r="F610" i="1"/>
  <c r="F40" i="1"/>
  <c r="F2303" i="1"/>
  <c r="F1439" i="1"/>
  <c r="F661" i="1"/>
  <c r="F5" i="1"/>
  <c r="F2242" i="1"/>
  <c r="F2053" i="1"/>
  <c r="F728" i="1"/>
  <c r="F281" i="1"/>
  <c r="F1315" i="1"/>
  <c r="F558" i="1"/>
  <c r="F2029" i="1"/>
  <c r="F1135" i="1"/>
  <c r="F240" i="1"/>
  <c r="F1362" i="1"/>
  <c r="F1866" i="1"/>
  <c r="F992" i="1"/>
  <c r="F176" i="1"/>
  <c r="F2209" i="1"/>
  <c r="F1400" i="1"/>
  <c r="F643" i="1"/>
  <c r="F2225" i="1"/>
  <c r="F1166" i="1"/>
  <c r="F261" i="1"/>
  <c r="F2088" i="1"/>
  <c r="F2114" i="1"/>
  <c r="F1376" i="1"/>
  <c r="F548" i="1"/>
  <c r="F35" i="1"/>
  <c r="F615" i="1"/>
  <c r="F1067" i="1"/>
  <c r="F426" i="1"/>
  <c r="F15" i="1"/>
  <c r="F131" i="1"/>
  <c r="F266" i="1"/>
  <c r="F1594" i="1"/>
  <c r="F589" i="1"/>
  <c r="F25" i="1"/>
  <c r="F517" i="1"/>
  <c r="F1508" i="1"/>
  <c r="F845" i="1"/>
  <c r="F219" i="1"/>
  <c r="F1295" i="1"/>
  <c r="F2006" i="1"/>
  <c r="F1239" i="1"/>
  <c r="F649" i="1"/>
  <c r="F837" i="1"/>
  <c r="F1228" i="1"/>
  <c r="F1872" i="1"/>
  <c r="F705" i="1"/>
  <c r="F120" i="1"/>
  <c r="F595" i="1"/>
  <c r="F1565" i="1"/>
  <c r="F949" i="1"/>
  <c r="F75" i="1"/>
  <c r="F125" i="1"/>
  <c r="F2139" i="1"/>
  <c r="F1272" i="1"/>
  <c r="F49" i="1"/>
  <c r="F2297" i="1"/>
  <c r="F872" i="1"/>
  <c r="F2185" i="1"/>
  <c r="F1421" i="1"/>
  <c r="F553" i="1"/>
  <c r="F1960" i="1"/>
  <c r="F2016" i="1"/>
  <c r="F1081" i="1"/>
  <c r="F441" i="1"/>
  <c r="F1474" i="1"/>
  <c r="F2263" i="1"/>
  <c r="F1719" i="1"/>
  <c r="F167" i="1"/>
  <c r="F1006" i="1"/>
  <c r="F2311" i="1"/>
  <c r="F1518" i="1"/>
  <c r="F573" i="1"/>
  <c r="F10" i="1"/>
  <c r="F229" i="1"/>
  <c r="F1488" i="1"/>
  <c r="F626" i="1"/>
  <c r="F115" i="1"/>
  <c r="F1204" i="1"/>
  <c r="F1855" i="1"/>
  <c r="F1213" i="1"/>
  <c r="F620" i="1"/>
  <c r="F90" i="1"/>
  <c r="F2134" i="1"/>
  <c r="F1091" i="1"/>
  <c r="F1847" i="1"/>
  <c r="F673" i="1"/>
  <c r="F100" i="1"/>
  <c r="F1145" i="1"/>
  <c r="F1743" i="1"/>
  <c r="F1159" i="1"/>
  <c r="F300" i="1"/>
  <c r="F1767" i="1"/>
  <c r="F2361" i="1"/>
  <c r="F1456" i="1"/>
  <c r="F686" i="1"/>
  <c r="F234" i="1"/>
  <c r="F2195" i="1"/>
  <c r="F1986" i="1"/>
  <c r="F999" i="1"/>
  <c r="F224" i="1"/>
  <c r="F1260" i="1"/>
  <c r="F1837" i="1"/>
  <c r="F1054" i="1"/>
  <c r="F343" i="1"/>
  <c r="F328" i="1"/>
  <c r="F2234" i="1"/>
  <c r="F1482" i="1"/>
  <c r="F249" i="1"/>
  <c r="F70" i="1"/>
  <c r="F1322" i="1"/>
  <c r="F2284" i="1"/>
  <c r="F1704" i="1"/>
  <c r="F635" i="1"/>
  <c r="F60" i="1"/>
  <c r="F108" i="1"/>
  <c r="F1466" i="1"/>
  <c r="F605" i="1"/>
  <c r="F20" i="1"/>
  <c r="F578" i="1"/>
  <c r="F2061" i="1"/>
  <c r="F1878" i="1"/>
  <c r="F1254" i="1"/>
  <c r="F1451" i="1"/>
  <c r="F44" i="1"/>
  <c r="F1759" i="1"/>
  <c r="F80" i="1"/>
  <c r="F1025" i="1"/>
  <c r="F1697" i="1"/>
  <c r="F738" i="1"/>
  <c r="F199" i="1"/>
  <c r="F1610" i="1"/>
  <c r="F1966" i="1"/>
  <c r="F1776" i="1"/>
  <c r="F1340" i="1"/>
  <c r="F171" i="1"/>
  <c r="F2175" i="1"/>
  <c r="F1528" i="1"/>
  <c r="F2340" i="1"/>
  <c r="F967" i="1"/>
  <c r="F204" i="1"/>
  <c r="F1676" i="1"/>
  <c r="F1939" i="1"/>
  <c r="F1281" i="1"/>
  <c r="F568" i="1"/>
  <c r="F2320" i="1"/>
  <c r="F244" i="1"/>
  <c r="F1537" i="1"/>
  <c r="F985" i="1"/>
  <c r="F145" i="1"/>
  <c r="F85" i="1"/>
  <c r="F1386" i="1"/>
  <c r="F501" i="1"/>
  <c r="F1794" i="1"/>
  <c r="F1977" i="1"/>
  <c r="F1220" i="1"/>
  <c r="F583" i="1"/>
  <c r="F1394" i="1"/>
  <c r="F2354" i="1"/>
  <c r="F1621" i="1"/>
  <c r="F563" i="1"/>
  <c r="F194" i="1"/>
  <c r="F2290" i="1"/>
  <c r="F140" i="1"/>
  <c r="F1907" i="1"/>
  <c r="F824" i="1"/>
  <c r="F135" i="1"/>
  <c r="F717" i="1"/>
  <c r="F1639" i="1"/>
  <c r="F696" i="1"/>
  <c r="F95" i="1"/>
  <c r="F2276" i="1"/>
  <c r="F2100" i="1"/>
  <c r="F1307" i="1"/>
  <c r="A2" i="1"/>
  <c r="A3" i="1" s="1"/>
  <c r="A4" i="1" s="1"/>
  <c r="A5" i="1" s="1"/>
  <c r="A6" i="1" s="1"/>
  <c r="A7" i="1" s="1"/>
  <c r="A8" i="1" s="1"/>
  <c r="A9" i="1" s="1"/>
  <c r="A10" i="1" s="1"/>
  <c r="A11" i="1" s="1"/>
  <c r="A12" i="1" s="1"/>
  <c r="A13" i="1" s="1"/>
  <c r="A14" i="1" s="1"/>
  <c r="A15" i="1" s="1"/>
  <c r="A16" i="1" s="1"/>
  <c r="A17" i="1" s="1"/>
  <c r="A18" i="1" s="1"/>
  <c r="A19" i="1" s="1"/>
  <c r="A20" i="1" s="1"/>
  <c r="A21" i="1" s="1"/>
  <c r="D135" i="1" l="1" a="1"/>
  <c r="D135" i="1" s="1"/>
  <c r="E135" i="1"/>
  <c r="D2354" i="1" a="1"/>
  <c r="D2354" i="1" s="1"/>
  <c r="E2354" i="1"/>
  <c r="D244" i="1" a="1"/>
  <c r="D244" i="1" s="1"/>
  <c r="E244" i="1"/>
  <c r="D1610" i="1" a="1"/>
  <c r="D1610" i="1" s="1"/>
  <c r="E1610" i="1"/>
  <c r="E2061" i="1"/>
  <c r="D2061" i="1" a="1"/>
  <c r="D2061" i="1" s="1"/>
  <c r="D343" i="1" a="1"/>
  <c r="D343" i="1" s="1"/>
  <c r="E343" i="1"/>
  <c r="D1767" i="1" a="1"/>
  <c r="D1767" i="1" s="1"/>
  <c r="E1767" i="1"/>
  <c r="E1091" i="1"/>
  <c r="D1091" i="1" a="1"/>
  <c r="D1091" i="1" s="1"/>
  <c r="D626" i="1" a="1"/>
  <c r="D626" i="1" s="1"/>
  <c r="E626" i="1"/>
  <c r="D441" i="1" a="1"/>
  <c r="D441" i="1" s="1"/>
  <c r="E441" i="1"/>
  <c r="E2297" i="1"/>
  <c r="D2297" i="1" a="1"/>
  <c r="D2297" i="1" s="1"/>
  <c r="D2006" i="1" a="1"/>
  <c r="D2006" i="1" s="1"/>
  <c r="E2006" i="1"/>
  <c r="D426" i="1" a="1"/>
  <c r="D426" i="1" s="1"/>
  <c r="E426" i="1"/>
  <c r="D261" i="1" a="1"/>
  <c r="D261" i="1" s="1"/>
  <c r="E261" i="1"/>
  <c r="D992" i="1" a="1"/>
  <c r="D992" i="1" s="1"/>
  <c r="E992" i="1"/>
  <c r="D5" i="1" a="1"/>
  <c r="D5" i="1" s="1"/>
  <c r="E5" i="1"/>
  <c r="D55" i="1" a="1"/>
  <c r="D55" i="1" s="1"/>
  <c r="E55" i="1"/>
  <c r="D2043" i="1" a="1"/>
  <c r="D2043" i="1" s="1"/>
  <c r="E2043" i="1"/>
  <c r="D857" i="1" a="1"/>
  <c r="D857" i="1" s="1"/>
  <c r="E857" i="1"/>
  <c r="D1307" i="1" a="1"/>
  <c r="D1307" i="1" s="1"/>
  <c r="E1307" i="1"/>
  <c r="D696" i="1" a="1"/>
  <c r="D696" i="1" s="1"/>
  <c r="E696" i="1"/>
  <c r="E824" i="1"/>
  <c r="D824" i="1" a="1"/>
  <c r="D824" i="1" s="1"/>
  <c r="D194" i="1" a="1"/>
  <c r="D194" i="1" s="1"/>
  <c r="E194" i="1"/>
  <c r="D1394" i="1" a="1"/>
  <c r="D1394" i="1" s="1"/>
  <c r="E1394" i="1"/>
  <c r="D1794" i="1" a="1"/>
  <c r="D1794" i="1" s="1"/>
  <c r="E1794" i="1"/>
  <c r="F146" i="1"/>
  <c r="D145" i="1" a="1"/>
  <c r="D145" i="1" s="1"/>
  <c r="E145" i="1"/>
  <c r="D2320" i="1" a="1"/>
  <c r="D2320" i="1" s="1"/>
  <c r="E2320" i="1"/>
  <c r="D1676" i="1" a="1"/>
  <c r="D1676" i="1" s="1"/>
  <c r="E1676" i="1"/>
  <c r="D1528" i="1" a="1"/>
  <c r="D1528" i="1" s="1"/>
  <c r="E1528" i="1"/>
  <c r="D1340" i="1" a="1"/>
  <c r="D1340" i="1" s="1"/>
  <c r="E1340" i="1"/>
  <c r="D199" i="1" a="1"/>
  <c r="D199" i="1" s="1"/>
  <c r="E199" i="1"/>
  <c r="D80" i="1" a="1"/>
  <c r="D80" i="1" s="1"/>
  <c r="E80" i="1"/>
  <c r="D1451" i="1" a="1"/>
  <c r="D1451" i="1" s="1"/>
  <c r="E1451" i="1"/>
  <c r="D578" i="1" a="1"/>
  <c r="D578" i="1" s="1"/>
  <c r="E578" i="1"/>
  <c r="D108" i="1" a="1"/>
  <c r="D108" i="1" s="1"/>
  <c r="E108" i="1"/>
  <c r="D2284" i="1" a="1"/>
  <c r="D2284" i="1" s="1"/>
  <c r="E2284" i="1"/>
  <c r="D1482" i="1" a="1"/>
  <c r="D1482" i="1" s="1"/>
  <c r="E1482" i="1"/>
  <c r="D1054" i="1" a="1"/>
  <c r="D1054" i="1" s="1"/>
  <c r="E1054" i="1"/>
  <c r="D999" i="1" a="1"/>
  <c r="D999" i="1" s="1"/>
  <c r="E999" i="1"/>
  <c r="D686" i="1" a="1"/>
  <c r="D686" i="1" s="1"/>
  <c r="E686" i="1"/>
  <c r="D300" i="1" a="1"/>
  <c r="D300" i="1" s="1"/>
  <c r="E300" i="1"/>
  <c r="D100" i="1" a="1"/>
  <c r="D100" i="1" s="1"/>
  <c r="E100" i="1"/>
  <c r="D2134" i="1" a="1"/>
  <c r="D2134" i="1" s="1"/>
  <c r="E2134" i="1"/>
  <c r="D1855" i="1" a="1"/>
  <c r="D1855" i="1" s="1"/>
  <c r="E1855" i="1"/>
  <c r="D1488" i="1" a="1"/>
  <c r="D1488" i="1" s="1"/>
  <c r="E1488" i="1"/>
  <c r="E1518" i="1"/>
  <c r="D1518" i="1" a="1"/>
  <c r="D1518" i="1" s="1"/>
  <c r="D1719" i="1" a="1"/>
  <c r="D1719" i="1" s="1"/>
  <c r="E1719" i="1"/>
  <c r="D1081" i="1" a="1"/>
  <c r="D1081" i="1" s="1"/>
  <c r="E1081" i="1"/>
  <c r="D1421" i="1" a="1"/>
  <c r="D1421" i="1" s="1"/>
  <c r="E1421" i="1"/>
  <c r="D49" i="1" a="1"/>
  <c r="D49" i="1" s="1"/>
  <c r="E49" i="1"/>
  <c r="D75" i="1" a="1"/>
  <c r="D75" i="1" s="1"/>
  <c r="E75" i="1"/>
  <c r="D120" i="1" a="1"/>
  <c r="D120" i="1" s="1"/>
  <c r="E120" i="1"/>
  <c r="D837" i="1" a="1"/>
  <c r="D837" i="1" s="1"/>
  <c r="E837" i="1"/>
  <c r="E1295" i="1"/>
  <c r="D1295" i="1" a="1"/>
  <c r="D1295" i="1" s="1"/>
  <c r="D517" i="1" a="1"/>
  <c r="D517" i="1" s="1"/>
  <c r="E517" i="1"/>
  <c r="D266" i="1" a="1"/>
  <c r="D266" i="1" s="1"/>
  <c r="E266" i="1"/>
  <c r="D1067" i="1" a="1"/>
  <c r="D1067" i="1" s="1"/>
  <c r="E1067" i="1"/>
  <c r="D1376" i="1" a="1"/>
  <c r="D1376" i="1" s="1"/>
  <c r="E1376" i="1"/>
  <c r="D1166" i="1" a="1"/>
  <c r="D1166" i="1" s="1"/>
  <c r="E1166" i="1"/>
  <c r="D1400" i="1" a="1"/>
  <c r="D1400" i="1" s="1"/>
  <c r="E1400" i="1"/>
  <c r="D1866" i="1" a="1"/>
  <c r="D1866" i="1" s="1"/>
  <c r="E1866" i="1"/>
  <c r="D2029" i="1" a="1"/>
  <c r="D2029" i="1" s="1"/>
  <c r="E2029" i="1"/>
  <c r="D728" i="1" a="1"/>
  <c r="D728" i="1" s="1"/>
  <c r="E728" i="1"/>
  <c r="E661" i="1"/>
  <c r="D661" i="1" a="1"/>
  <c r="D661" i="1" s="1"/>
  <c r="D610" i="1" a="1"/>
  <c r="D610" i="1" s="1"/>
  <c r="E610" i="1"/>
  <c r="D1114" i="1" a="1"/>
  <c r="D1114" i="1" s="1"/>
  <c r="E1114" i="1"/>
  <c r="D656" i="1" a="1"/>
  <c r="D656" i="1" s="1"/>
  <c r="E656" i="1"/>
  <c r="D361" i="1" a="1"/>
  <c r="D361" i="1" s="1"/>
  <c r="E361" i="1"/>
  <c r="D30" i="1" a="1"/>
  <c r="D30" i="1" s="1"/>
  <c r="E30" i="1"/>
  <c r="D2327" i="1" a="1"/>
  <c r="D2327" i="1" s="1"/>
  <c r="E2327" i="1"/>
  <c r="D1898" i="1" a="1"/>
  <c r="D1898" i="1" s="1"/>
  <c r="E1898" i="1"/>
  <c r="D2076" i="1" a="1"/>
  <c r="D2076" i="1" s="1"/>
  <c r="E2076" i="1"/>
  <c r="D1016" i="1" a="1"/>
  <c r="D1016" i="1" s="1"/>
  <c r="E1016" i="1"/>
  <c r="F1017" i="1"/>
  <c r="D1977" i="1" a="1"/>
  <c r="D1977" i="1" s="1"/>
  <c r="E1977" i="1"/>
  <c r="D2340" i="1" a="1"/>
  <c r="D2340" i="1" s="1"/>
  <c r="E2340" i="1"/>
  <c r="D44" i="1" a="1"/>
  <c r="D44" i="1" s="1"/>
  <c r="E44" i="1"/>
  <c r="D1704" i="1" a="1"/>
  <c r="D1704" i="1" s="1"/>
  <c r="E1704" i="1"/>
  <c r="D224" i="1" a="1"/>
  <c r="D224" i="1" s="1"/>
  <c r="E224" i="1"/>
  <c r="D1213" i="1" a="1"/>
  <c r="D1213" i="1" s="1"/>
  <c r="E1213" i="1"/>
  <c r="D167" i="1" a="1"/>
  <c r="D167" i="1" s="1"/>
  <c r="E167" i="1"/>
  <c r="D595" i="1" a="1"/>
  <c r="D595" i="1" s="1"/>
  <c r="E595" i="1"/>
  <c r="D1508" i="1" a="1"/>
  <c r="D1508" i="1" s="1"/>
  <c r="E1508" i="1"/>
  <c r="D548" i="1" a="1"/>
  <c r="D548" i="1" s="1"/>
  <c r="E548" i="1"/>
  <c r="E1135" i="1"/>
  <c r="D1135" i="1" a="1"/>
  <c r="D1135" i="1" s="1"/>
  <c r="D600" i="1" a="1"/>
  <c r="D600" i="1" s="1"/>
  <c r="E600" i="1"/>
  <c r="D1123" i="1" a="1"/>
  <c r="D1123" i="1" s="1"/>
  <c r="E1123" i="1"/>
  <c r="D2100" i="1" a="1"/>
  <c r="D2100" i="1" s="1"/>
  <c r="E2100" i="1"/>
  <c r="D1639" i="1" a="1"/>
  <c r="D1639" i="1" s="1"/>
  <c r="E1639" i="1"/>
  <c r="D1907" i="1" a="1"/>
  <c r="D1907" i="1" s="1"/>
  <c r="E1907" i="1"/>
  <c r="D563" i="1" a="1"/>
  <c r="D563" i="1" s="1"/>
  <c r="E563" i="1"/>
  <c r="D583" i="1" a="1"/>
  <c r="D583" i="1" s="1"/>
  <c r="E583" i="1"/>
  <c r="D501" i="1" a="1"/>
  <c r="D501" i="1" s="1"/>
  <c r="E501" i="1"/>
  <c r="D985" i="1" a="1"/>
  <c r="D985" i="1" s="1"/>
  <c r="E985" i="1"/>
  <c r="D568" i="1" a="1"/>
  <c r="D568" i="1" s="1"/>
  <c r="E568" i="1"/>
  <c r="D204" i="1" a="1"/>
  <c r="D204" i="1" s="1"/>
  <c r="E204" i="1"/>
  <c r="E2175" i="1"/>
  <c r="D2175" i="1" a="1"/>
  <c r="D2175" i="1" s="1"/>
  <c r="D1776" i="1" a="1"/>
  <c r="D1776" i="1" s="1"/>
  <c r="E1776" i="1"/>
  <c r="D738" i="1" a="1"/>
  <c r="D738" i="1" s="1"/>
  <c r="E738" i="1"/>
  <c r="D1254" i="1" a="1"/>
  <c r="D1254" i="1" s="1"/>
  <c r="E1254" i="1"/>
  <c r="D20" i="1" a="1"/>
  <c r="D20" i="1" s="1"/>
  <c r="E20" i="1"/>
  <c r="D60" i="1" a="1"/>
  <c r="D60" i="1" s="1"/>
  <c r="E60" i="1"/>
  <c r="E1322" i="1"/>
  <c r="D1322" i="1" a="1"/>
  <c r="D1322" i="1" s="1"/>
  <c r="D2234" i="1" a="1"/>
  <c r="D2234" i="1" s="1"/>
  <c r="E2234" i="1"/>
  <c r="D1837" i="1" a="1"/>
  <c r="D1837" i="1" s="1"/>
  <c r="E1837" i="1"/>
  <c r="D1986" i="1" a="1"/>
  <c r="D1986" i="1" s="1"/>
  <c r="E1986" i="1"/>
  <c r="D1456" i="1" a="1"/>
  <c r="D1456" i="1" s="1"/>
  <c r="E1456" i="1"/>
  <c r="E1159" i="1"/>
  <c r="D1159" i="1" a="1"/>
  <c r="D1159" i="1" s="1"/>
  <c r="D673" i="1" a="1"/>
  <c r="D673" i="1" s="1"/>
  <c r="E673" i="1"/>
  <c r="D90" i="1" a="1"/>
  <c r="D90" i="1" s="1"/>
  <c r="E90" i="1"/>
  <c r="D1204" i="1" a="1"/>
  <c r="D1204" i="1" s="1"/>
  <c r="E1204" i="1"/>
  <c r="D229" i="1" a="1"/>
  <c r="D229" i="1" s="1"/>
  <c r="E229" i="1"/>
  <c r="D2311" i="1" a="1"/>
  <c r="D2311" i="1" s="1"/>
  <c r="E2311" i="1"/>
  <c r="D2263" i="1" a="1"/>
  <c r="D2263" i="1" s="1"/>
  <c r="E2263" i="1"/>
  <c r="D2016" i="1" a="1"/>
  <c r="D2016" i="1" s="1"/>
  <c r="E2016" i="1"/>
  <c r="D2185" i="1" a="1"/>
  <c r="D2185" i="1" s="1"/>
  <c r="E2185" i="1"/>
  <c r="D1272" i="1" a="1"/>
  <c r="D1272" i="1" s="1"/>
  <c r="E1272" i="1"/>
  <c r="D949" i="1" a="1"/>
  <c r="D949" i="1" s="1"/>
  <c r="E949" i="1"/>
  <c r="D705" i="1" a="1"/>
  <c r="D705" i="1" s="1"/>
  <c r="E705" i="1"/>
  <c r="D649" i="1" a="1"/>
  <c r="D649" i="1" s="1"/>
  <c r="E649" i="1"/>
  <c r="D219" i="1" a="1"/>
  <c r="D219" i="1" s="1"/>
  <c r="E219" i="1"/>
  <c r="D25" i="1" a="1"/>
  <c r="D25" i="1" s="1"/>
  <c r="E25" i="1"/>
  <c r="D131" i="1" a="1"/>
  <c r="D131" i="1" s="1"/>
  <c r="E131" i="1"/>
  <c r="D615" i="1" a="1"/>
  <c r="D615" i="1" s="1"/>
  <c r="E615" i="1"/>
  <c r="D2114" i="1" a="1"/>
  <c r="D2114" i="1" s="1"/>
  <c r="E2114" i="1"/>
  <c r="D2225" i="1" a="1"/>
  <c r="D2225" i="1" s="1"/>
  <c r="E2225" i="1"/>
  <c r="D2209" i="1" a="1"/>
  <c r="D2209" i="1" s="1"/>
  <c r="E2209" i="1"/>
  <c r="D1362" i="1" a="1"/>
  <c r="D1362" i="1" s="1"/>
  <c r="E1362" i="1"/>
  <c r="D558" i="1" a="1"/>
  <c r="D558" i="1" s="1"/>
  <c r="E558" i="1"/>
  <c r="E2053" i="1"/>
  <c r="D2053" i="1" a="1"/>
  <c r="D2053" i="1" s="1"/>
  <c r="D1439" i="1" a="1"/>
  <c r="D1439" i="1" s="1"/>
  <c r="E1439" i="1"/>
  <c r="E1661" i="1"/>
  <c r="D1661" i="1" a="1"/>
  <c r="D1661" i="1" s="1"/>
  <c r="D1827" i="1" a="1"/>
  <c r="D1827" i="1" s="1"/>
  <c r="E1827" i="1"/>
  <c r="D1414" i="1" a="1"/>
  <c r="D1414" i="1" s="1"/>
  <c r="E1414" i="1"/>
  <c r="D1350" i="1" a="1"/>
  <c r="D1350" i="1" s="1"/>
  <c r="E1350" i="1"/>
  <c r="D214" i="1" a="1"/>
  <c r="D214" i="1" s="1"/>
  <c r="E214" i="1"/>
  <c r="D1999" i="1" a="1"/>
  <c r="D1999" i="1" s="1"/>
  <c r="E1999" i="1"/>
  <c r="D1498" i="1" a="1"/>
  <c r="D1498" i="1" s="1"/>
  <c r="E1498" i="1"/>
  <c r="D209" i="1" a="1"/>
  <c r="D209" i="1" s="1"/>
  <c r="E209" i="1"/>
  <c r="D95" i="1" a="1"/>
  <c r="D95" i="1" s="1"/>
  <c r="E95" i="1"/>
  <c r="D2290" i="1" a="1"/>
  <c r="D2290" i="1" s="1"/>
  <c r="E2290" i="1"/>
  <c r="D85" i="1" a="1"/>
  <c r="D85" i="1" s="1"/>
  <c r="E85" i="1"/>
  <c r="D1939" i="1" a="1"/>
  <c r="D1939" i="1" s="1"/>
  <c r="E1939" i="1"/>
  <c r="D1025" i="1" a="1"/>
  <c r="D1025" i="1" s="1"/>
  <c r="E1025" i="1"/>
  <c r="D1466" i="1" a="1"/>
  <c r="D1466" i="1" s="1"/>
  <c r="E1466" i="1"/>
  <c r="D249" i="1" a="1"/>
  <c r="D249" i="1" s="1"/>
  <c r="E249" i="1"/>
  <c r="D234" i="1" a="1"/>
  <c r="D234" i="1" s="1"/>
  <c r="E234" i="1"/>
  <c r="D1145" i="1" a="1"/>
  <c r="D1145" i="1" s="1"/>
  <c r="E1145" i="1"/>
  <c r="D573" i="1" a="1"/>
  <c r="D573" i="1" s="1"/>
  <c r="E573" i="1"/>
  <c r="D553" i="1" a="1"/>
  <c r="D553" i="1" s="1"/>
  <c r="E553" i="1"/>
  <c r="D125" i="1" a="1"/>
  <c r="D125" i="1" s="1"/>
  <c r="E125" i="1"/>
  <c r="D1228" i="1" a="1"/>
  <c r="D1228" i="1" s="1"/>
  <c r="E1228" i="1"/>
  <c r="D1594" i="1" a="1"/>
  <c r="D1594" i="1" s="1"/>
  <c r="E1594" i="1"/>
  <c r="D281" i="1" a="1"/>
  <c r="D281" i="1" s="1"/>
  <c r="E281" i="1"/>
  <c r="D40" i="1" a="1"/>
  <c r="D40" i="1" s="1"/>
  <c r="E40" i="1"/>
  <c r="D2255" i="1" a="1"/>
  <c r="D2255" i="1" s="1"/>
  <c r="E2255" i="1"/>
  <c r="E1429" i="1"/>
  <c r="D1429" i="1" a="1"/>
  <c r="D1429" i="1" s="1"/>
  <c r="D2276" i="1" a="1"/>
  <c r="D2276" i="1" s="1"/>
  <c r="E2276" i="1"/>
  <c r="D717" i="1" a="1"/>
  <c r="D717" i="1" s="1"/>
  <c r="E717" i="1"/>
  <c r="D140" i="1" a="1"/>
  <c r="D140" i="1" s="1"/>
  <c r="E140" i="1"/>
  <c r="E1621" i="1"/>
  <c r="D1621" i="1" a="1"/>
  <c r="D1621" i="1" s="1"/>
  <c r="D1220" i="1" a="1"/>
  <c r="D1220" i="1" s="1"/>
  <c r="E1220" i="1"/>
  <c r="D1386" i="1" a="1"/>
  <c r="D1386" i="1" s="1"/>
  <c r="E1386" i="1"/>
  <c r="D1537" i="1" a="1"/>
  <c r="D1537" i="1" s="1"/>
  <c r="E1537" i="1"/>
  <c r="D1281" i="1" a="1"/>
  <c r="D1281" i="1" s="1"/>
  <c r="E1281" i="1"/>
  <c r="D967" i="1" a="1"/>
  <c r="D967" i="1" s="1"/>
  <c r="E967" i="1"/>
  <c r="D171" i="1" a="1"/>
  <c r="D171" i="1" s="1"/>
  <c r="E171" i="1"/>
  <c r="D1966" i="1" a="1"/>
  <c r="D1966" i="1" s="1"/>
  <c r="E1966" i="1"/>
  <c r="D1697" i="1" a="1"/>
  <c r="D1697" i="1" s="1"/>
  <c r="E1697" i="1"/>
  <c r="D1759" i="1" a="1"/>
  <c r="D1759" i="1" s="1"/>
  <c r="E1759" i="1"/>
  <c r="D1878" i="1" a="1"/>
  <c r="D1878" i="1" s="1"/>
  <c r="E1878" i="1"/>
  <c r="D605" i="1" a="1"/>
  <c r="D605" i="1" s="1"/>
  <c r="E605" i="1"/>
  <c r="D635" i="1" a="1"/>
  <c r="D635" i="1" s="1"/>
  <c r="E635" i="1"/>
  <c r="D70" i="1" a="1"/>
  <c r="D70" i="1" s="1"/>
  <c r="E70" i="1"/>
  <c r="D328" i="1" a="1"/>
  <c r="D328" i="1" s="1"/>
  <c r="E328" i="1"/>
  <c r="D1260" i="1" a="1"/>
  <c r="D1260" i="1" s="1"/>
  <c r="E1260" i="1"/>
  <c r="D2195" i="1" a="1"/>
  <c r="D2195" i="1" s="1"/>
  <c r="E2195" i="1"/>
  <c r="E2361" i="1"/>
  <c r="D2361" i="1" a="1"/>
  <c r="D2361" i="1" s="1"/>
  <c r="D1743" i="1" a="1"/>
  <c r="D1743" i="1" s="1"/>
  <c r="E1743" i="1"/>
  <c r="D1847" i="1" a="1"/>
  <c r="D1847" i="1" s="1"/>
  <c r="E1847" i="1"/>
  <c r="D620" i="1" a="1"/>
  <c r="D620" i="1" s="1"/>
  <c r="E620" i="1"/>
  <c r="D115" i="1" a="1"/>
  <c r="D115" i="1" s="1"/>
  <c r="E115" i="1"/>
  <c r="D10" i="1" a="1"/>
  <c r="D10" i="1" s="1"/>
  <c r="E10" i="1"/>
  <c r="D1006" i="1" a="1"/>
  <c r="D1006" i="1" s="1"/>
  <c r="E1006" i="1"/>
  <c r="D1474" i="1" a="1"/>
  <c r="D1474" i="1" s="1"/>
  <c r="E1474" i="1"/>
  <c r="D1960" i="1" a="1"/>
  <c r="D1960" i="1" s="1"/>
  <c r="E1960" i="1"/>
  <c r="D872" i="1" a="1"/>
  <c r="D872" i="1" s="1"/>
  <c r="E872" i="1"/>
  <c r="D2139" i="1" a="1"/>
  <c r="D2139" i="1" s="1"/>
  <c r="E2139" i="1"/>
  <c r="E1565" i="1"/>
  <c r="D1565" i="1" a="1"/>
  <c r="D1565" i="1" s="1"/>
  <c r="D1872" i="1" a="1"/>
  <c r="D1872" i="1" s="1"/>
  <c r="E1872" i="1"/>
  <c r="D1239" i="1" a="1"/>
  <c r="D1239" i="1" s="1"/>
  <c r="E1239" i="1"/>
  <c r="D845" i="1" a="1"/>
  <c r="D845" i="1" s="1"/>
  <c r="E845" i="1"/>
  <c r="D589" i="1" a="1"/>
  <c r="D589" i="1" s="1"/>
  <c r="E589" i="1"/>
  <c r="D15" i="1" a="1"/>
  <c r="D15" i="1" s="1"/>
  <c r="E15" i="1"/>
  <c r="D35" i="1" a="1"/>
  <c r="D35" i="1" s="1"/>
  <c r="E35" i="1"/>
  <c r="D2088" i="1" a="1"/>
  <c r="D2088" i="1" s="1"/>
  <c r="E2088" i="1"/>
  <c r="D643" i="1" a="1"/>
  <c r="D643" i="1" s="1"/>
  <c r="E643" i="1"/>
  <c r="D176" i="1" a="1"/>
  <c r="D176" i="1" s="1"/>
  <c r="E176" i="1"/>
  <c r="D240" i="1" a="1"/>
  <c r="D240" i="1" s="1"/>
  <c r="E240" i="1"/>
  <c r="D1315" i="1" a="1"/>
  <c r="D1315" i="1" s="1"/>
  <c r="E1315" i="1"/>
  <c r="D2242" i="1" a="1"/>
  <c r="D2242" i="1" s="1"/>
  <c r="E2242" i="1"/>
  <c r="D2303" i="1" a="1"/>
  <c r="D2303" i="1" s="1"/>
  <c r="E2303" i="1"/>
  <c r="D395" i="1" a="1"/>
  <c r="D395" i="1" s="1"/>
  <c r="E395" i="1"/>
  <c r="D829" i="1" a="1"/>
  <c r="D829" i="1" s="1"/>
  <c r="E829" i="1"/>
  <c r="E2217" i="1"/>
  <c r="D2217" i="1" a="1"/>
  <c r="D2217" i="1" s="1"/>
  <c r="D65" i="1" a="1"/>
  <c r="D65" i="1" s="1"/>
  <c r="E65" i="1"/>
  <c r="D924" i="1" a="1"/>
  <c r="D924" i="1" s="1"/>
  <c r="E924" i="1"/>
  <c r="D256" i="1" a="1"/>
  <c r="D256" i="1" s="1"/>
  <c r="E256" i="1"/>
  <c r="D181" i="1" a="1"/>
  <c r="D181" i="1" s="1"/>
  <c r="E181" i="1"/>
  <c r="D1920" i="1" a="1"/>
  <c r="D1920" i="1" s="1"/>
  <c r="E1920" i="1"/>
  <c r="D2652" i="1" a="1"/>
  <c r="D2652" i="1" s="1"/>
  <c r="E2652" i="1"/>
  <c r="F2653" i="1"/>
  <c r="F2101" i="1"/>
  <c r="F1640" i="1"/>
  <c r="F1908" i="1"/>
  <c r="F564" i="1"/>
  <c r="F584" i="1"/>
  <c r="F502" i="1"/>
  <c r="F986" i="1"/>
  <c r="F569" i="1"/>
  <c r="F205" i="1"/>
  <c r="F2176" i="1"/>
  <c r="F739" i="1"/>
  <c r="F1255" i="1"/>
  <c r="F21" i="1"/>
  <c r="F61" i="1"/>
  <c r="F1705" i="1"/>
  <c r="F1323" i="1"/>
  <c r="F2235" i="1"/>
  <c r="F1838" i="1"/>
  <c r="F1987" i="1"/>
  <c r="F1457" i="1"/>
  <c r="F1160" i="1"/>
  <c r="F674" i="1"/>
  <c r="F91" i="1"/>
  <c r="F1205" i="1"/>
  <c r="F230" i="1"/>
  <c r="F2312" i="1"/>
  <c r="F2264" i="1"/>
  <c r="F2017" i="1"/>
  <c r="F2186" i="1"/>
  <c r="F1273" i="1"/>
  <c r="F950" i="1"/>
  <c r="F706" i="1"/>
  <c r="F650" i="1"/>
  <c r="F220" i="1"/>
  <c r="F616" i="1"/>
  <c r="F2115" i="1"/>
  <c r="F2226" i="1"/>
  <c r="F2210" i="1"/>
  <c r="F1363" i="1"/>
  <c r="F559" i="1"/>
  <c r="F2054" i="1"/>
  <c r="F1440" i="1"/>
  <c r="F1662" i="1"/>
  <c r="F1828" i="1"/>
  <c r="F1415" i="1"/>
  <c r="F1351" i="1"/>
  <c r="F215" i="1"/>
  <c r="F2000" i="1"/>
  <c r="F1499" i="1"/>
  <c r="F210" i="1"/>
  <c r="F1308" i="1"/>
  <c r="F697" i="1"/>
  <c r="F825" i="1"/>
  <c r="F195" i="1"/>
  <c r="F1395" i="1"/>
  <c r="F1795" i="1"/>
  <c r="F2321" i="1"/>
  <c r="F968" i="1"/>
  <c r="F1529" i="1"/>
  <c r="F1341" i="1"/>
  <c r="F200" i="1"/>
  <c r="F81" i="1"/>
  <c r="F1452" i="1"/>
  <c r="F579" i="1"/>
  <c r="F109" i="1"/>
  <c r="F2285" i="1"/>
  <c r="F1483" i="1"/>
  <c r="F1055" i="1"/>
  <c r="F1000" i="1"/>
  <c r="F687" i="1"/>
  <c r="F301" i="1"/>
  <c r="F101" i="1"/>
  <c r="F2135" i="1"/>
  <c r="F1856" i="1"/>
  <c r="F1489" i="1"/>
  <c r="F1519" i="1"/>
  <c r="F1720" i="1"/>
  <c r="F1082" i="1"/>
  <c r="F50" i="1"/>
  <c r="F76" i="1"/>
  <c r="F121" i="1"/>
  <c r="F838" i="1"/>
  <c r="F1296" i="1"/>
  <c r="F518" i="1"/>
  <c r="F267" i="1"/>
  <c r="F1068" i="1"/>
  <c r="F1377" i="1"/>
  <c r="F1167" i="1"/>
  <c r="F1401" i="1"/>
  <c r="F1867" i="1"/>
  <c r="F2030" i="1"/>
  <c r="F729" i="1"/>
  <c r="F662" i="1"/>
  <c r="F611" i="1"/>
  <c r="F1115" i="1"/>
  <c r="F657" i="1"/>
  <c r="F362" i="1"/>
  <c r="F31" i="1"/>
  <c r="F2328" i="1"/>
  <c r="F1899" i="1"/>
  <c r="F2077" i="1"/>
  <c r="F96" i="1"/>
  <c r="F136" i="1"/>
  <c r="F2291" i="1"/>
  <c r="F2355" i="1"/>
  <c r="F1978" i="1"/>
  <c r="F86" i="1"/>
  <c r="F245" i="1"/>
  <c r="F1940" i="1"/>
  <c r="F2341" i="1"/>
  <c r="F1777" i="1"/>
  <c r="F1611" i="1"/>
  <c r="F1026" i="1"/>
  <c r="F45" i="1"/>
  <c r="F2062" i="1"/>
  <c r="F1467" i="1"/>
  <c r="F250" i="1"/>
  <c r="F344" i="1"/>
  <c r="F225" i="1"/>
  <c r="F235" i="1"/>
  <c r="F1768" i="1"/>
  <c r="F1146" i="1"/>
  <c r="F1092" i="1"/>
  <c r="F1214" i="1"/>
  <c r="F627" i="1"/>
  <c r="F574" i="1"/>
  <c r="F442" i="1"/>
  <c r="F554" i="1"/>
  <c r="F2298" i="1"/>
  <c r="F126" i="1"/>
  <c r="F596" i="1"/>
  <c r="F1229" i="1"/>
  <c r="F2007" i="1"/>
  <c r="F1509" i="1"/>
  <c r="F26" i="1"/>
  <c r="F1595" i="1"/>
  <c r="F427" i="1"/>
  <c r="F549" i="1"/>
  <c r="F262" i="1"/>
  <c r="F993" i="1"/>
  <c r="F1136" i="1"/>
  <c r="F282" i="1"/>
  <c r="F6" i="1"/>
  <c r="F601" i="1"/>
  <c r="F56" i="1"/>
  <c r="F2256" i="1"/>
  <c r="F2044" i="1"/>
  <c r="F1430" i="1"/>
  <c r="F1124" i="1"/>
  <c r="F858" i="1"/>
  <c r="F2277" i="1"/>
  <c r="F718" i="1"/>
  <c r="F141" i="1"/>
  <c r="F1622" i="1"/>
  <c r="F1221" i="1"/>
  <c r="F1387" i="1"/>
  <c r="F1538" i="1"/>
  <c r="F1282" i="1"/>
  <c r="F1677" i="1"/>
  <c r="F172" i="1"/>
  <c r="F1967" i="1"/>
  <c r="F1698" i="1"/>
  <c r="F1760" i="1"/>
  <c r="F1879" i="1"/>
  <c r="F606" i="1"/>
  <c r="F636" i="1"/>
  <c r="F71" i="1"/>
  <c r="F329" i="1"/>
  <c r="F1261" i="1"/>
  <c r="F2196" i="1"/>
  <c r="F2362" i="1"/>
  <c r="F1744" i="1"/>
  <c r="F1848" i="1"/>
  <c r="F621" i="1"/>
  <c r="F116" i="1"/>
  <c r="F11" i="1"/>
  <c r="F1007" i="1"/>
  <c r="F1475" i="1"/>
  <c r="F1961" i="1"/>
  <c r="F1422" i="1"/>
  <c r="F873" i="1"/>
  <c r="F2140" i="1"/>
  <c r="F1566" i="1"/>
  <c r="F1873" i="1"/>
  <c r="F1240" i="1"/>
  <c r="F846" i="1"/>
  <c r="F590" i="1"/>
  <c r="F16" i="1"/>
  <c r="F36" i="1"/>
  <c r="F2089" i="1"/>
  <c r="F644" i="1"/>
  <c r="F177" i="1"/>
  <c r="F1316" i="1"/>
  <c r="F2243" i="1"/>
  <c r="F2304" i="1"/>
  <c r="F396" i="1"/>
  <c r="F830" i="1"/>
  <c r="F2218" i="1"/>
  <c r="F66" i="1"/>
  <c r="F925" i="1"/>
  <c r="F257" i="1"/>
  <c r="F182" i="1"/>
  <c r="F1921" i="1"/>
  <c r="A22" i="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D2218" i="1" l="1" a="1"/>
  <c r="D2218" i="1" s="1"/>
  <c r="E2218" i="1"/>
  <c r="D2243" i="1" a="1"/>
  <c r="D2243" i="1" s="1"/>
  <c r="E2243" i="1"/>
  <c r="D2089" i="1" a="1"/>
  <c r="D2089" i="1" s="1"/>
  <c r="E2089" i="1"/>
  <c r="D846" i="1" a="1"/>
  <c r="D846" i="1" s="1"/>
  <c r="E846" i="1"/>
  <c r="D2140" i="1" a="1"/>
  <c r="D2140" i="1" s="1"/>
  <c r="E2140" i="1"/>
  <c r="D1475" i="1" a="1"/>
  <c r="D1475" i="1" s="1"/>
  <c r="E1475" i="1"/>
  <c r="D621" i="1" a="1"/>
  <c r="D621" i="1" s="1"/>
  <c r="E621" i="1"/>
  <c r="D2196" i="1" a="1"/>
  <c r="D2196" i="1" s="1"/>
  <c r="E2196" i="1"/>
  <c r="D636" i="1" a="1"/>
  <c r="D636" i="1" s="1"/>
  <c r="E636" i="1"/>
  <c r="E1282" i="1"/>
  <c r="D1282" i="1" a="1"/>
  <c r="D1282" i="1" s="1"/>
  <c r="D858" i="1" a="1"/>
  <c r="D858" i="1" s="1"/>
  <c r="E858" i="1"/>
  <c r="D262" i="1" a="1"/>
  <c r="D262" i="1" s="1"/>
  <c r="E262" i="1"/>
  <c r="D596" i="1" a="1"/>
  <c r="D596" i="1" s="1"/>
  <c r="E596" i="1"/>
  <c r="D1092" i="1" a="1"/>
  <c r="D1092" i="1" s="1"/>
  <c r="E1092" i="1"/>
  <c r="D1777" i="1" a="1"/>
  <c r="D1777" i="1" s="1"/>
  <c r="E1777" i="1"/>
  <c r="D2291" i="1" a="1"/>
  <c r="D2291" i="1" s="1"/>
  <c r="E2291" i="1"/>
  <c r="D1167" i="1" a="1"/>
  <c r="D1167" i="1" s="1"/>
  <c r="E1167" i="1"/>
  <c r="D1519" i="1" a="1"/>
  <c r="D1519" i="1" s="1"/>
  <c r="E1519" i="1"/>
  <c r="E1055" i="1"/>
  <c r="D1055" i="1" a="1"/>
  <c r="D1055" i="1" s="1"/>
  <c r="E1341" i="1"/>
  <c r="D1341" i="1" a="1"/>
  <c r="D1341" i="1" s="1"/>
  <c r="D697" i="1" a="1"/>
  <c r="D697" i="1" s="1"/>
  <c r="E697" i="1"/>
  <c r="D559" i="1" a="1"/>
  <c r="D559" i="1" s="1"/>
  <c r="E559" i="1"/>
  <c r="D706" i="1" a="1"/>
  <c r="D706" i="1" s="1"/>
  <c r="E706" i="1"/>
  <c r="D1205" i="1" a="1"/>
  <c r="D1205" i="1" s="1"/>
  <c r="E1205" i="1"/>
  <c r="E1255" i="1"/>
  <c r="D1255" i="1" a="1"/>
  <c r="D1255" i="1" s="1"/>
  <c r="D584" i="1" a="1"/>
  <c r="D584" i="1" s="1"/>
  <c r="E584" i="1"/>
  <c r="D257" i="1" a="1"/>
  <c r="D257" i="1" s="1"/>
  <c r="E257" i="1"/>
  <c r="D1316" i="1" a="1"/>
  <c r="D1316" i="1" s="1"/>
  <c r="E1316" i="1"/>
  <c r="D1240" i="1" a="1"/>
  <c r="D1240" i="1" s="1"/>
  <c r="E1240" i="1"/>
  <c r="D1007" i="1" a="1"/>
  <c r="D1007" i="1" s="1"/>
  <c r="E1007" i="1"/>
  <c r="D1261" i="1" a="1"/>
  <c r="D1261" i="1" s="1"/>
  <c r="E1261" i="1"/>
  <c r="D606" i="1" a="1"/>
  <c r="D606" i="1" s="1"/>
  <c r="E606" i="1"/>
  <c r="D1538" i="1" a="1"/>
  <c r="D1538" i="1" s="1"/>
  <c r="E1538" i="1"/>
  <c r="D141" i="1" a="1"/>
  <c r="D141" i="1" s="1"/>
  <c r="E141" i="1"/>
  <c r="D56" i="1" a="1"/>
  <c r="D56" i="1" s="1"/>
  <c r="E56" i="1"/>
  <c r="D1136" i="1" a="1"/>
  <c r="D1136" i="1" s="1"/>
  <c r="E1136" i="1"/>
  <c r="D1509" i="1" a="1"/>
  <c r="D1509" i="1" s="1"/>
  <c r="E1509" i="1"/>
  <c r="D574" i="1" a="1"/>
  <c r="D574" i="1" s="1"/>
  <c r="E574" i="1"/>
  <c r="D344" i="1" a="1"/>
  <c r="D344" i="1" s="1"/>
  <c r="E344" i="1"/>
  <c r="D45" i="1" a="1"/>
  <c r="D45" i="1" s="1"/>
  <c r="E45" i="1"/>
  <c r="D86" i="1" a="1"/>
  <c r="D86" i="1" s="1"/>
  <c r="E86" i="1"/>
  <c r="D2328" i="1" a="1"/>
  <c r="D2328" i="1" s="1"/>
  <c r="E2328" i="1"/>
  <c r="D1115" i="1" a="1"/>
  <c r="D1115" i="1" s="1"/>
  <c r="E1115" i="1"/>
  <c r="E1377" i="1"/>
  <c r="D1377" i="1" a="1"/>
  <c r="D1377" i="1" s="1"/>
  <c r="D50" i="1" a="1"/>
  <c r="D50" i="1" s="1"/>
  <c r="E50" i="1"/>
  <c r="E1489" i="1"/>
  <c r="D1489" i="1" a="1"/>
  <c r="D1489" i="1" s="1"/>
  <c r="D1483" i="1" a="1"/>
  <c r="D1483" i="1" s="1"/>
  <c r="E1483" i="1"/>
  <c r="D1529" i="1" a="1"/>
  <c r="D1529" i="1" s="1"/>
  <c r="E1529" i="1"/>
  <c r="D1395" i="1" a="1"/>
  <c r="D1395" i="1" s="1"/>
  <c r="E1395" i="1"/>
  <c r="D215" i="1" a="1"/>
  <c r="D215" i="1" s="1"/>
  <c r="E215" i="1"/>
  <c r="D1363" i="1" a="1"/>
  <c r="D1363" i="1" s="1"/>
  <c r="E1363" i="1"/>
  <c r="D950" i="1" a="1"/>
  <c r="D950" i="1" s="1"/>
  <c r="E950" i="1"/>
  <c r="D2264" i="1" a="1"/>
  <c r="D2264" i="1" s="1"/>
  <c r="E2264" i="1"/>
  <c r="D1987" i="1" a="1"/>
  <c r="D1987" i="1" s="1"/>
  <c r="E1987" i="1"/>
  <c r="D564" i="1" a="1"/>
  <c r="D564" i="1" s="1"/>
  <c r="E564" i="1"/>
  <c r="D925" i="1" a="1"/>
  <c r="D925" i="1" s="1"/>
  <c r="E925" i="1"/>
  <c r="D396" i="1" a="1"/>
  <c r="D396" i="1" s="1"/>
  <c r="E396" i="1"/>
  <c r="D177" i="1" a="1"/>
  <c r="D177" i="1" s="1"/>
  <c r="E177" i="1"/>
  <c r="D16" i="1" a="1"/>
  <c r="D16" i="1" s="1"/>
  <c r="E16" i="1"/>
  <c r="D1873" i="1" a="1"/>
  <c r="D1873" i="1" s="1"/>
  <c r="E1873" i="1"/>
  <c r="D1422" i="1" a="1"/>
  <c r="D1422" i="1" s="1"/>
  <c r="E1422" i="1"/>
  <c r="D11" i="1" a="1"/>
  <c r="D11" i="1" s="1"/>
  <c r="E11" i="1"/>
  <c r="D1744" i="1" a="1"/>
  <c r="D1744" i="1" s="1"/>
  <c r="E1744" i="1"/>
  <c r="D329" i="1" a="1"/>
  <c r="D329" i="1" s="1"/>
  <c r="E329" i="1"/>
  <c r="D1879" i="1" a="1"/>
  <c r="D1879" i="1" s="1"/>
  <c r="E1879" i="1"/>
  <c r="D172" i="1" a="1"/>
  <c r="D172" i="1" s="1"/>
  <c r="E172" i="1"/>
  <c r="D1387" i="1" a="1"/>
  <c r="D1387" i="1" s="1"/>
  <c r="E1387" i="1"/>
  <c r="D718" i="1" a="1"/>
  <c r="D718" i="1" s="1"/>
  <c r="E718" i="1"/>
  <c r="D1430" i="1" a="1"/>
  <c r="D1430" i="1" s="1"/>
  <c r="E1430" i="1"/>
  <c r="D601" i="1" a="1"/>
  <c r="D601" i="1" s="1"/>
  <c r="E601" i="1"/>
  <c r="D993" i="1" a="1"/>
  <c r="D993" i="1" s="1"/>
  <c r="E993" i="1"/>
  <c r="D427" i="1" a="1"/>
  <c r="D427" i="1" s="1"/>
  <c r="E427" i="1"/>
  <c r="D2007" i="1" a="1"/>
  <c r="D2007" i="1" s="1"/>
  <c r="E2007" i="1"/>
  <c r="D2298" i="1" a="1"/>
  <c r="D2298" i="1" s="1"/>
  <c r="E2298" i="1"/>
  <c r="D627" i="1" a="1"/>
  <c r="D627" i="1" s="1"/>
  <c r="E627" i="1"/>
  <c r="D1768" i="1" a="1"/>
  <c r="D1768" i="1" s="1"/>
  <c r="E1768" i="1"/>
  <c r="D250" i="1" a="1"/>
  <c r="D250" i="1" s="1"/>
  <c r="E250" i="1"/>
  <c r="E1026" i="1"/>
  <c r="D1026" i="1" a="1"/>
  <c r="D1026" i="1" s="1"/>
  <c r="D2341" i="1" a="1"/>
  <c r="D2341" i="1" s="1"/>
  <c r="E2341" i="1"/>
  <c r="D1978" i="1" a="1"/>
  <c r="D1978" i="1" s="1"/>
  <c r="E1978" i="1"/>
  <c r="D96" i="1" a="1"/>
  <c r="D96" i="1" s="1"/>
  <c r="E96" i="1"/>
  <c r="D31" i="1" a="1"/>
  <c r="D31" i="1" s="1"/>
  <c r="E31" i="1"/>
  <c r="D611" i="1" a="1"/>
  <c r="D611" i="1" s="1"/>
  <c r="E611" i="1"/>
  <c r="D1867" i="1" a="1"/>
  <c r="D1867" i="1" s="1"/>
  <c r="E1867" i="1"/>
  <c r="D1068" i="1" a="1"/>
  <c r="D1068" i="1" s="1"/>
  <c r="E1068" i="1"/>
  <c r="D838" i="1" a="1"/>
  <c r="D838" i="1" s="1"/>
  <c r="E838" i="1"/>
  <c r="D1082" i="1" a="1"/>
  <c r="D1082" i="1" s="1"/>
  <c r="E1082" i="1"/>
  <c r="D1856" i="1" a="1"/>
  <c r="D1856" i="1" s="1"/>
  <c r="E1856" i="1"/>
  <c r="D687" i="1" a="1"/>
  <c r="D687" i="1" s="1"/>
  <c r="E687" i="1"/>
  <c r="E2285" i="1"/>
  <c r="D2285" i="1" a="1"/>
  <c r="D2285" i="1" s="1"/>
  <c r="D81" i="1" a="1"/>
  <c r="D81" i="1" s="1"/>
  <c r="E81" i="1"/>
  <c r="D968" i="1" a="1"/>
  <c r="D968" i="1" s="1"/>
  <c r="E968" i="1"/>
  <c r="D195" i="1" a="1"/>
  <c r="D195" i="1" s="1"/>
  <c r="E195" i="1"/>
  <c r="D210" i="1" a="1"/>
  <c r="D210" i="1" s="1"/>
  <c r="E210" i="1"/>
  <c r="D1351" i="1" a="1"/>
  <c r="D1351" i="1" s="1"/>
  <c r="E1351" i="1"/>
  <c r="D1440" i="1" a="1"/>
  <c r="D1440" i="1" s="1"/>
  <c r="E1440" i="1"/>
  <c r="D2210" i="1" a="1"/>
  <c r="D2210" i="1" s="1"/>
  <c r="E2210" i="1"/>
  <c r="D220" i="1" a="1"/>
  <c r="D220" i="1" s="1"/>
  <c r="E220" i="1"/>
  <c r="E1273" i="1"/>
  <c r="D1273" i="1" a="1"/>
  <c r="D1273" i="1" s="1"/>
  <c r="D2312" i="1" a="1"/>
  <c r="D2312" i="1" s="1"/>
  <c r="E2312" i="1"/>
  <c r="D674" i="1" a="1"/>
  <c r="D674" i="1" s="1"/>
  <c r="E674" i="1"/>
  <c r="D1838" i="1" a="1"/>
  <c r="D1838" i="1" s="1"/>
  <c r="E1838" i="1"/>
  <c r="D61" i="1" a="1"/>
  <c r="D61" i="1" s="1"/>
  <c r="E61" i="1"/>
  <c r="E739" i="1"/>
  <c r="D739" i="1" a="1"/>
  <c r="D739" i="1" s="1"/>
  <c r="D986" i="1" a="1"/>
  <c r="D986" i="1" s="1"/>
  <c r="E986" i="1"/>
  <c r="D1908" i="1" a="1"/>
  <c r="D1908" i="1" s="1"/>
  <c r="E1908" i="1"/>
  <c r="D1017" i="1" a="1"/>
  <c r="D1017" i="1" s="1"/>
  <c r="E1017" i="1"/>
  <c r="F1018" i="1"/>
  <c r="D182" i="1" a="1"/>
  <c r="D182" i="1" s="1"/>
  <c r="E182" i="1"/>
  <c r="D1698" i="1" a="1"/>
  <c r="D1698" i="1" s="1"/>
  <c r="E1698" i="1"/>
  <c r="D1622" i="1" a="1"/>
  <c r="D1622" i="1" s="1"/>
  <c r="E1622" i="1"/>
  <c r="D2256" i="1" a="1"/>
  <c r="D2256" i="1" s="1"/>
  <c r="E2256" i="1"/>
  <c r="D282" i="1" a="1"/>
  <c r="D282" i="1" s="1"/>
  <c r="E282" i="1"/>
  <c r="D26" i="1" a="1"/>
  <c r="D26" i="1" s="1"/>
  <c r="E26" i="1"/>
  <c r="D442" i="1" a="1"/>
  <c r="D442" i="1" s="1"/>
  <c r="E442" i="1"/>
  <c r="D225" i="1" a="1"/>
  <c r="D225" i="1" s="1"/>
  <c r="E225" i="1"/>
  <c r="D2062" i="1" a="1"/>
  <c r="D2062" i="1" s="1"/>
  <c r="E2062" i="1"/>
  <c r="D245" i="1" a="1"/>
  <c r="D245" i="1" s="1"/>
  <c r="E245" i="1"/>
  <c r="D1899" i="1" a="1"/>
  <c r="D1899" i="1" s="1"/>
  <c r="E1899" i="1"/>
  <c r="D657" i="1" a="1"/>
  <c r="D657" i="1" s="1"/>
  <c r="E657" i="1"/>
  <c r="D729" i="1" a="1"/>
  <c r="D729" i="1" s="1"/>
  <c r="E729" i="1"/>
  <c r="D518" i="1" a="1"/>
  <c r="D518" i="1" s="1"/>
  <c r="E518" i="1"/>
  <c r="D76" i="1" a="1"/>
  <c r="D76" i="1" s="1"/>
  <c r="E76" i="1"/>
  <c r="D101" i="1" a="1"/>
  <c r="D101" i="1" s="1"/>
  <c r="E101" i="1"/>
  <c r="E579" i="1"/>
  <c r="D579" i="1" a="1"/>
  <c r="D579" i="1" s="1"/>
  <c r="D1795" i="1" a="1"/>
  <c r="D1795" i="1" s="1"/>
  <c r="E1795" i="1"/>
  <c r="D2000" i="1" a="1"/>
  <c r="D2000" i="1" s="1"/>
  <c r="E2000" i="1"/>
  <c r="D1828" i="1" a="1"/>
  <c r="D1828" i="1" s="1"/>
  <c r="E1828" i="1"/>
  <c r="D2115" i="1" a="1"/>
  <c r="D2115" i="1" s="1"/>
  <c r="E2115" i="1"/>
  <c r="D2017" i="1" a="1"/>
  <c r="D2017" i="1" s="1"/>
  <c r="E2017" i="1"/>
  <c r="D1457" i="1" a="1"/>
  <c r="D1457" i="1" s="1"/>
  <c r="E1457" i="1"/>
  <c r="E1323" i="1"/>
  <c r="D1323" i="1" a="1"/>
  <c r="D1323" i="1" s="1"/>
  <c r="D205" i="1" a="1"/>
  <c r="D205" i="1" s="1"/>
  <c r="E205" i="1"/>
  <c r="D2101" i="1" a="1"/>
  <c r="D2101" i="1" s="1"/>
  <c r="E2101" i="1"/>
  <c r="D830" i="1" a="1"/>
  <c r="D830" i="1" s="1"/>
  <c r="E830" i="1"/>
  <c r="D36" i="1" a="1"/>
  <c r="D36" i="1" s="1"/>
  <c r="E36" i="1"/>
  <c r="D873" i="1" a="1"/>
  <c r="D873" i="1" s="1"/>
  <c r="E873" i="1"/>
  <c r="D1848" i="1" a="1"/>
  <c r="D1848" i="1" s="1"/>
  <c r="E1848" i="1"/>
  <c r="D1967" i="1" a="1"/>
  <c r="D1967" i="1" s="1"/>
  <c r="E1967" i="1"/>
  <c r="D1124" i="1" a="1"/>
  <c r="D1124" i="1" s="1"/>
  <c r="E1124" i="1"/>
  <c r="D549" i="1" a="1"/>
  <c r="D549" i="1" s="1"/>
  <c r="E549" i="1"/>
  <c r="D126" i="1" a="1"/>
  <c r="D126" i="1" s="1"/>
  <c r="E126" i="1"/>
  <c r="D1146" i="1" a="1"/>
  <c r="D1146" i="1" s="1"/>
  <c r="E1146" i="1"/>
  <c r="D136" i="1" a="1"/>
  <c r="D136" i="1" s="1"/>
  <c r="E136" i="1"/>
  <c r="D2030" i="1" a="1"/>
  <c r="D2030" i="1" s="1"/>
  <c r="E2030" i="1"/>
  <c r="D1296" i="1" a="1"/>
  <c r="D1296" i="1" s="1"/>
  <c r="E1296" i="1"/>
  <c r="D301" i="1" a="1"/>
  <c r="D301" i="1" s="1"/>
  <c r="E301" i="1"/>
  <c r="D1452" i="1" a="1"/>
  <c r="D1452" i="1" s="1"/>
  <c r="E1452" i="1"/>
  <c r="D1308" i="1" a="1"/>
  <c r="D1308" i="1" s="1"/>
  <c r="E1308" i="1"/>
  <c r="D1662" i="1" a="1"/>
  <c r="D1662" i="1" s="1"/>
  <c r="E1662" i="1"/>
  <c r="D616" i="1" a="1"/>
  <c r="D616" i="1" s="1"/>
  <c r="E616" i="1"/>
  <c r="D91" i="1" a="1"/>
  <c r="D91" i="1" s="1"/>
  <c r="E91" i="1"/>
  <c r="D1705" i="1" a="1"/>
  <c r="D1705" i="1" s="1"/>
  <c r="E1705" i="1"/>
  <c r="D569" i="1" a="1"/>
  <c r="D569" i="1" s="1"/>
  <c r="E569" i="1"/>
  <c r="D1921" i="1" a="1"/>
  <c r="D1921" i="1" s="1"/>
  <c r="E1921" i="1"/>
  <c r="D66" i="1" a="1"/>
  <c r="D66" i="1" s="1"/>
  <c r="E66" i="1"/>
  <c r="E2304" i="1"/>
  <c r="D2304" i="1" a="1"/>
  <c r="D2304" i="1" s="1"/>
  <c r="D644" i="1" a="1"/>
  <c r="D644" i="1" s="1"/>
  <c r="E644" i="1"/>
  <c r="D590" i="1" a="1"/>
  <c r="D590" i="1" s="1"/>
  <c r="E590" i="1"/>
  <c r="D1566" i="1" a="1"/>
  <c r="D1566" i="1" s="1"/>
  <c r="E1566" i="1"/>
  <c r="D1961" i="1" a="1"/>
  <c r="D1961" i="1" s="1"/>
  <c r="E1961" i="1"/>
  <c r="D116" i="1" a="1"/>
  <c r="D116" i="1" s="1"/>
  <c r="E116" i="1"/>
  <c r="D2362" i="1" a="1"/>
  <c r="D2362" i="1" s="1"/>
  <c r="E2362" i="1"/>
  <c r="D71" i="1" a="1"/>
  <c r="D71" i="1" s="1"/>
  <c r="E71" i="1"/>
  <c r="D1760" i="1" a="1"/>
  <c r="D1760" i="1" s="1"/>
  <c r="E1760" i="1"/>
  <c r="D1677" i="1" a="1"/>
  <c r="D1677" i="1" s="1"/>
  <c r="E1677" i="1"/>
  <c r="D1221" i="1" a="1"/>
  <c r="D1221" i="1" s="1"/>
  <c r="E1221" i="1"/>
  <c r="D2277" i="1" a="1"/>
  <c r="D2277" i="1" s="1"/>
  <c r="E2277" i="1"/>
  <c r="D2044" i="1" a="1"/>
  <c r="D2044" i="1" s="1"/>
  <c r="E2044" i="1"/>
  <c r="D6" i="1" a="1"/>
  <c r="D6" i="1" s="1"/>
  <c r="E6" i="1"/>
  <c r="D1595" i="1" a="1"/>
  <c r="D1595" i="1" s="1"/>
  <c r="E1595" i="1"/>
  <c r="D1229" i="1" a="1"/>
  <c r="D1229" i="1" s="1"/>
  <c r="E1229" i="1"/>
  <c r="D554" i="1" a="1"/>
  <c r="D554" i="1" s="1"/>
  <c r="E554" i="1"/>
  <c r="D1214" i="1" a="1"/>
  <c r="D1214" i="1" s="1"/>
  <c r="E1214" i="1"/>
  <c r="D235" i="1" a="1"/>
  <c r="D235" i="1" s="1"/>
  <c r="E235" i="1"/>
  <c r="D1467" i="1" a="1"/>
  <c r="D1467" i="1" s="1"/>
  <c r="E1467" i="1"/>
  <c r="D1611" i="1" a="1"/>
  <c r="D1611" i="1" s="1"/>
  <c r="E1611" i="1"/>
  <c r="D1940" i="1" a="1"/>
  <c r="D1940" i="1" s="1"/>
  <c r="E1940" i="1"/>
  <c r="D2355" i="1" a="1"/>
  <c r="D2355" i="1" s="1"/>
  <c r="E2355" i="1"/>
  <c r="D2077" i="1" a="1"/>
  <c r="D2077" i="1" s="1"/>
  <c r="E2077" i="1"/>
  <c r="D362" i="1" a="1"/>
  <c r="D362" i="1" s="1"/>
  <c r="E362" i="1"/>
  <c r="D662" i="1" a="1"/>
  <c r="D662" i="1" s="1"/>
  <c r="E662" i="1"/>
  <c r="D1401" i="1" a="1"/>
  <c r="D1401" i="1" s="1"/>
  <c r="E1401" i="1"/>
  <c r="D267" i="1" a="1"/>
  <c r="D267" i="1" s="1"/>
  <c r="E267" i="1"/>
  <c r="D121" i="1" a="1"/>
  <c r="D121" i="1" s="1"/>
  <c r="E121" i="1"/>
  <c r="D1720" i="1" a="1"/>
  <c r="D1720" i="1" s="1"/>
  <c r="E1720" i="1"/>
  <c r="D2135" i="1" a="1"/>
  <c r="D2135" i="1" s="1"/>
  <c r="E2135" i="1"/>
  <c r="D1000" i="1" a="1"/>
  <c r="D1000" i="1" s="1"/>
  <c r="E1000" i="1"/>
  <c r="D109" i="1" a="1"/>
  <c r="D109" i="1" s="1"/>
  <c r="E109" i="1"/>
  <c r="D200" i="1" a="1"/>
  <c r="D200" i="1" s="1"/>
  <c r="E200" i="1"/>
  <c r="D2321" i="1" a="1"/>
  <c r="D2321" i="1" s="1"/>
  <c r="E2321" i="1"/>
  <c r="D825" i="1" a="1"/>
  <c r="D825" i="1" s="1"/>
  <c r="E825" i="1"/>
  <c r="D1499" i="1" a="1"/>
  <c r="D1499" i="1" s="1"/>
  <c r="E1499" i="1"/>
  <c r="D1415" i="1" a="1"/>
  <c r="D1415" i="1" s="1"/>
  <c r="E1415" i="1"/>
  <c r="D2054" i="1" a="1"/>
  <c r="D2054" i="1" s="1"/>
  <c r="E2054" i="1"/>
  <c r="D2226" i="1" a="1"/>
  <c r="D2226" i="1" s="1"/>
  <c r="E2226" i="1"/>
  <c r="D650" i="1" a="1"/>
  <c r="D650" i="1" s="1"/>
  <c r="E650" i="1"/>
  <c r="D2186" i="1" a="1"/>
  <c r="D2186" i="1" s="1"/>
  <c r="E2186" i="1"/>
  <c r="D230" i="1" a="1"/>
  <c r="D230" i="1" s="1"/>
  <c r="E230" i="1"/>
  <c r="D1160" i="1" a="1"/>
  <c r="D1160" i="1" s="1"/>
  <c r="E1160" i="1"/>
  <c r="D2235" i="1" a="1"/>
  <c r="D2235" i="1" s="1"/>
  <c r="E2235" i="1"/>
  <c r="D21" i="1" a="1"/>
  <c r="D21" i="1" s="1"/>
  <c r="E21" i="1"/>
  <c r="D2176" i="1" a="1"/>
  <c r="D2176" i="1" s="1"/>
  <c r="E2176" i="1"/>
  <c r="D502" i="1" a="1"/>
  <c r="D502" i="1" s="1"/>
  <c r="E502" i="1"/>
  <c r="D1640" i="1" a="1"/>
  <c r="D1640" i="1" s="1"/>
  <c r="E1640" i="1"/>
  <c r="F147" i="1"/>
  <c r="D146" i="1" a="1"/>
  <c r="D146" i="1" s="1"/>
  <c r="E146" i="1"/>
  <c r="E2653" i="1"/>
  <c r="D2653" i="1" a="1"/>
  <c r="D2653" i="1" s="1"/>
  <c r="F183" i="1"/>
  <c r="F2219" i="1"/>
  <c r="F2244" i="1"/>
  <c r="F1874" i="1"/>
  <c r="F1423" i="1"/>
  <c r="F1745" i="1"/>
  <c r="F1880" i="1"/>
  <c r="F1388" i="1"/>
  <c r="F719" i="1"/>
  <c r="F1431" i="1"/>
  <c r="F283" i="1"/>
  <c r="F443" i="1"/>
  <c r="F628" i="1"/>
  <c r="F1769" i="1"/>
  <c r="F251" i="1"/>
  <c r="F1027" i="1"/>
  <c r="F2342" i="1"/>
  <c r="F1979" i="1"/>
  <c r="F1868" i="1"/>
  <c r="F1069" i="1"/>
  <c r="F839" i="1"/>
  <c r="F1083" i="1"/>
  <c r="F1857" i="1"/>
  <c r="F688" i="1"/>
  <c r="F2286" i="1"/>
  <c r="F1342" i="1"/>
  <c r="F969" i="1"/>
  <c r="F1396" i="1"/>
  <c r="F1309" i="1"/>
  <c r="F1663" i="1"/>
  <c r="F1364" i="1"/>
  <c r="F651" i="1"/>
  <c r="F2187" i="1"/>
  <c r="F1161" i="1"/>
  <c r="F2236" i="1"/>
  <c r="F2177" i="1"/>
  <c r="F503" i="1"/>
  <c r="F1641" i="1"/>
  <c r="F926" i="1"/>
  <c r="F397" i="1"/>
  <c r="F1922" i="1"/>
  <c r="F1317" i="1"/>
  <c r="F645" i="1"/>
  <c r="F2305" i="1"/>
  <c r="F1241" i="1"/>
  <c r="F874" i="1"/>
  <c r="F1008" i="1"/>
  <c r="F1849" i="1"/>
  <c r="F1262" i="1"/>
  <c r="F1968" i="1"/>
  <c r="F1539" i="1"/>
  <c r="F1125" i="1"/>
  <c r="F1596" i="1"/>
  <c r="F1230" i="1"/>
  <c r="F1147" i="1"/>
  <c r="F345" i="1"/>
  <c r="F2329" i="1"/>
  <c r="F1116" i="1"/>
  <c r="F2031" i="1"/>
  <c r="F1378" i="1"/>
  <c r="F1297" i="1"/>
  <c r="F51" i="1"/>
  <c r="F1484" i="1"/>
  <c r="F110" i="1"/>
  <c r="F1530" i="1"/>
  <c r="F1796" i="1"/>
  <c r="F698" i="1"/>
  <c r="F2001" i="1"/>
  <c r="F1829" i="1"/>
  <c r="F2116" i="1"/>
  <c r="F1274" i="1"/>
  <c r="F2313" i="1"/>
  <c r="F675" i="1"/>
  <c r="F1839" i="1"/>
  <c r="F740" i="1"/>
  <c r="F987" i="1"/>
  <c r="F1909" i="1"/>
  <c r="F2090" i="1"/>
  <c r="F847" i="1"/>
  <c r="F2141" i="1"/>
  <c r="F1476" i="1"/>
  <c r="F622" i="1"/>
  <c r="F2197" i="1"/>
  <c r="F330" i="1"/>
  <c r="F637" i="1"/>
  <c r="F1699" i="1"/>
  <c r="F1283" i="1"/>
  <c r="F1623" i="1"/>
  <c r="F859" i="1"/>
  <c r="F2257" i="1"/>
  <c r="F994" i="1"/>
  <c r="F428" i="1"/>
  <c r="F2008" i="1"/>
  <c r="F2299" i="1"/>
  <c r="F1093" i="1"/>
  <c r="F2063" i="1"/>
  <c r="F1778" i="1"/>
  <c r="F2292" i="1"/>
  <c r="F1900" i="1"/>
  <c r="F730" i="1"/>
  <c r="F1168" i="1"/>
  <c r="F519" i="1"/>
  <c r="F1520" i="1"/>
  <c r="F102" i="1"/>
  <c r="F1056" i="1"/>
  <c r="F1500" i="1"/>
  <c r="F1416" i="1"/>
  <c r="F2055" i="1"/>
  <c r="F2227" i="1"/>
  <c r="F951" i="1"/>
  <c r="F2265" i="1"/>
  <c r="F1988" i="1"/>
  <c r="F1706" i="1"/>
  <c r="F831" i="1"/>
  <c r="F591" i="1"/>
  <c r="F1567" i="1"/>
  <c r="F1962" i="1"/>
  <c r="F2363" i="1"/>
  <c r="F1761" i="1"/>
  <c r="F1678" i="1"/>
  <c r="F1222" i="1"/>
  <c r="F2278" i="1"/>
  <c r="F2045" i="1"/>
  <c r="F1137" i="1"/>
  <c r="F1510" i="1"/>
  <c r="F1215" i="1"/>
  <c r="F1468" i="1"/>
  <c r="F1612" i="1"/>
  <c r="F1941" i="1"/>
  <c r="F2356" i="1"/>
  <c r="F2078" i="1"/>
  <c r="F363" i="1"/>
  <c r="F663" i="1"/>
  <c r="F1402" i="1"/>
  <c r="F268" i="1"/>
  <c r="F1721" i="1"/>
  <c r="F1490" i="1"/>
  <c r="F302" i="1"/>
  <c r="F1001" i="1"/>
  <c r="F2322" i="1"/>
  <c r="F1352" i="1"/>
  <c r="F1441" i="1"/>
  <c r="F2211" i="1"/>
  <c r="F707" i="1"/>
  <c r="F2018" i="1"/>
  <c r="F1206" i="1"/>
  <c r="F1458" i="1"/>
  <c r="F1324" i="1"/>
  <c r="F1256" i="1"/>
  <c r="F585" i="1"/>
  <c r="F2102" i="1"/>
  <c r="A118" i="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D2211" i="1" l="1" a="1"/>
  <c r="D2211" i="1" s="1"/>
  <c r="E2211" i="1"/>
  <c r="D2078" i="1" a="1"/>
  <c r="D2078" i="1" s="1"/>
  <c r="E2078" i="1"/>
  <c r="D1761" i="1" a="1"/>
  <c r="D1761" i="1" s="1"/>
  <c r="E1761" i="1"/>
  <c r="D2055" i="1" a="1"/>
  <c r="D2055" i="1" s="1"/>
  <c r="E2055" i="1"/>
  <c r="D2063" i="1" a="1"/>
  <c r="D2063" i="1" s="1"/>
  <c r="E2063" i="1"/>
  <c r="D330" i="1" a="1"/>
  <c r="D330" i="1" s="1"/>
  <c r="E330" i="1"/>
  <c r="D2313" i="1" a="1"/>
  <c r="D2313" i="1" s="1"/>
  <c r="E2313" i="1"/>
  <c r="D1378" i="1" a="1"/>
  <c r="D1378" i="1" s="1"/>
  <c r="E1378" i="1"/>
  <c r="D1968" i="1" a="1"/>
  <c r="D1968" i="1" s="1"/>
  <c r="E1968" i="1"/>
  <c r="E1641" i="1"/>
  <c r="D1641" i="1" a="1"/>
  <c r="D1641" i="1" s="1"/>
  <c r="D1342" i="1" a="1"/>
  <c r="D1342" i="1" s="1"/>
  <c r="E1342" i="1"/>
  <c r="D1769" i="1" a="1"/>
  <c r="D1769" i="1" s="1"/>
  <c r="E1769" i="1"/>
  <c r="D2219" i="1" a="1"/>
  <c r="D2219" i="1" s="1"/>
  <c r="E2219" i="1"/>
  <c r="D585" i="1" a="1"/>
  <c r="D585" i="1" s="1"/>
  <c r="E585" i="1"/>
  <c r="D1441" i="1" a="1"/>
  <c r="D1441" i="1" s="1"/>
  <c r="E1441" i="1"/>
  <c r="D1402" i="1" a="1"/>
  <c r="D1402" i="1" s="1"/>
  <c r="E1402" i="1"/>
  <c r="D1215" i="1" a="1"/>
  <c r="D1215" i="1" s="1"/>
  <c r="E1215" i="1"/>
  <c r="D2363" i="1" a="1"/>
  <c r="D2363" i="1" s="1"/>
  <c r="E2363" i="1"/>
  <c r="E2265" i="1"/>
  <c r="D2265" i="1" a="1"/>
  <c r="D2265" i="1" s="1"/>
  <c r="D1520" i="1" a="1"/>
  <c r="D1520" i="1" s="1"/>
  <c r="E1520" i="1"/>
  <c r="D994" i="1" a="1"/>
  <c r="D994" i="1" s="1"/>
  <c r="E994" i="1"/>
  <c r="E2197" i="1"/>
  <c r="D2197" i="1" a="1"/>
  <c r="D2197" i="1" s="1"/>
  <c r="D740" i="1" a="1"/>
  <c r="D740" i="1" s="1"/>
  <c r="E740" i="1"/>
  <c r="D698" i="1" a="1"/>
  <c r="D698" i="1" s="1"/>
  <c r="E698" i="1"/>
  <c r="D1484" i="1" a="1"/>
  <c r="D1484" i="1" s="1"/>
  <c r="E1484" i="1"/>
  <c r="D345" i="1" a="1"/>
  <c r="D345" i="1" s="1"/>
  <c r="E345" i="1"/>
  <c r="D1241" i="1" a="1"/>
  <c r="D1241" i="1" s="1"/>
  <c r="E1241" i="1"/>
  <c r="D503" i="1" a="1"/>
  <c r="D503" i="1" s="1"/>
  <c r="E503" i="1"/>
  <c r="D2187" i="1" a="1"/>
  <c r="D2187" i="1" s="1"/>
  <c r="E2187" i="1"/>
  <c r="D2286" i="1" a="1"/>
  <c r="D2286" i="1" s="1"/>
  <c r="E2286" i="1"/>
  <c r="D628" i="1" a="1"/>
  <c r="D628" i="1" s="1"/>
  <c r="E628" i="1"/>
  <c r="D1423" i="1" a="1"/>
  <c r="D1423" i="1" s="1"/>
  <c r="E1423" i="1"/>
  <c r="D183" i="1" a="1"/>
  <c r="D183" i="1" s="1"/>
  <c r="E183" i="1"/>
  <c r="D2102" i="1" a="1"/>
  <c r="D2102" i="1" s="1"/>
  <c r="E2102" i="1"/>
  <c r="D1001" i="1" a="1"/>
  <c r="D1001" i="1" s="1"/>
  <c r="E1001" i="1"/>
  <c r="D1468" i="1" a="1"/>
  <c r="D1468" i="1" s="1"/>
  <c r="E1468" i="1"/>
  <c r="D591" i="1" a="1"/>
  <c r="D591" i="1" s="1"/>
  <c r="E591" i="1"/>
  <c r="D102" i="1" a="1"/>
  <c r="D102" i="1" s="1"/>
  <c r="E102" i="1"/>
  <c r="D428" i="1" a="1"/>
  <c r="D428" i="1" s="1"/>
  <c r="E428" i="1"/>
  <c r="E2141" i="1"/>
  <c r="D2141" i="1" a="1"/>
  <c r="D2141" i="1" s="1"/>
  <c r="D2001" i="1" a="1"/>
  <c r="D2001" i="1" s="1"/>
  <c r="E2001" i="1"/>
  <c r="D874" i="1" a="1"/>
  <c r="D874" i="1" s="1"/>
  <c r="E874" i="1"/>
  <c r="D1161" i="1" a="1"/>
  <c r="D1161" i="1" s="1"/>
  <c r="E1161" i="1"/>
  <c r="E1083" i="1"/>
  <c r="D1083" i="1" a="1"/>
  <c r="D1083" i="1" s="1"/>
  <c r="D1431" i="1" a="1"/>
  <c r="D1431" i="1" s="1"/>
  <c r="E1431" i="1"/>
  <c r="D1745" i="1" a="1"/>
  <c r="D1745" i="1" s="1"/>
  <c r="E1745" i="1"/>
  <c r="D1206" i="1" a="1"/>
  <c r="D1206" i="1" s="1"/>
  <c r="E1206" i="1"/>
  <c r="D302" i="1" a="1"/>
  <c r="D302" i="1" s="1"/>
  <c r="E302" i="1"/>
  <c r="D2356" i="1" a="1"/>
  <c r="D2356" i="1" s="1"/>
  <c r="E2356" i="1"/>
  <c r="E2278" i="1"/>
  <c r="D2278" i="1" a="1"/>
  <c r="D2278" i="1" s="1"/>
  <c r="D831" i="1" a="1"/>
  <c r="D831" i="1" s="1"/>
  <c r="E831" i="1"/>
  <c r="E1416" i="1"/>
  <c r="D1416" i="1" a="1"/>
  <c r="D1416" i="1" s="1"/>
  <c r="E1900" i="1"/>
  <c r="D1900" i="1" a="1"/>
  <c r="D1900" i="1" s="1"/>
  <c r="D1093" i="1" a="1"/>
  <c r="D1093" i="1" s="1"/>
  <c r="E1093" i="1"/>
  <c r="D1283" i="1" a="1"/>
  <c r="D1283" i="1" s="1"/>
  <c r="E1283" i="1"/>
  <c r="D847" i="1" a="1"/>
  <c r="D847" i="1" s="1"/>
  <c r="E847" i="1"/>
  <c r="D1274" i="1" a="1"/>
  <c r="D1274" i="1" s="1"/>
  <c r="E1274" i="1"/>
  <c r="D2031" i="1" a="1"/>
  <c r="D2031" i="1" s="1"/>
  <c r="E2031" i="1"/>
  <c r="D1262" i="1" a="1"/>
  <c r="D1262" i="1" s="1"/>
  <c r="E1262" i="1"/>
  <c r="D1922" i="1" a="1"/>
  <c r="D1922" i="1" s="1"/>
  <c r="E1922" i="1"/>
  <c r="D1309" i="1" a="1"/>
  <c r="D1309" i="1" s="1"/>
  <c r="E1309" i="1"/>
  <c r="D839" i="1" a="1"/>
  <c r="D839" i="1" s="1"/>
  <c r="E839" i="1"/>
  <c r="D2342" i="1" a="1"/>
  <c r="D2342" i="1" s="1"/>
  <c r="E2342" i="1"/>
  <c r="E719" i="1"/>
  <c r="D719" i="1" a="1"/>
  <c r="D719" i="1" s="1"/>
  <c r="D1256" i="1" a="1"/>
  <c r="D1256" i="1" s="1"/>
  <c r="E1256" i="1"/>
  <c r="D2018" i="1" a="1"/>
  <c r="D2018" i="1" s="1"/>
  <c r="E2018" i="1"/>
  <c r="D1352" i="1" a="1"/>
  <c r="D1352" i="1" s="1"/>
  <c r="E1352" i="1"/>
  <c r="D1490" i="1" a="1"/>
  <c r="D1490" i="1" s="1"/>
  <c r="E1490" i="1"/>
  <c r="D663" i="1" a="1"/>
  <c r="D663" i="1" s="1"/>
  <c r="E663" i="1"/>
  <c r="E1941" i="1"/>
  <c r="D1941" i="1" a="1"/>
  <c r="D1941" i="1" s="1"/>
  <c r="D1510" i="1" a="1"/>
  <c r="D1510" i="1" s="1"/>
  <c r="E1510" i="1"/>
  <c r="E1222" i="1"/>
  <c r="D1222" i="1" a="1"/>
  <c r="D1222" i="1" s="1"/>
  <c r="D1962" i="1" a="1"/>
  <c r="D1962" i="1" s="1"/>
  <c r="E1962" i="1"/>
  <c r="D951" i="1" a="1"/>
  <c r="D951" i="1" s="1"/>
  <c r="E951" i="1"/>
  <c r="D1500" i="1" a="1"/>
  <c r="D1500" i="1" s="1"/>
  <c r="E1500" i="1"/>
  <c r="D519" i="1" a="1"/>
  <c r="D519" i="1" s="1"/>
  <c r="E519" i="1"/>
  <c r="D2292" i="1" a="1"/>
  <c r="D2292" i="1" s="1"/>
  <c r="E2292" i="1"/>
  <c r="D2299" i="1" a="1"/>
  <c r="D2299" i="1" s="1"/>
  <c r="E2299" i="1"/>
  <c r="D2257" i="1" a="1"/>
  <c r="D2257" i="1" s="1"/>
  <c r="E2257" i="1"/>
  <c r="D1699" i="1" a="1"/>
  <c r="D1699" i="1" s="1"/>
  <c r="E1699" i="1"/>
  <c r="D622" i="1" a="1"/>
  <c r="D622" i="1" s="1"/>
  <c r="E622" i="1"/>
  <c r="D2090" i="1" a="1"/>
  <c r="D2090" i="1" s="1"/>
  <c r="E2090" i="1"/>
  <c r="D1839" i="1" a="1"/>
  <c r="D1839" i="1" s="1"/>
  <c r="E1839" i="1"/>
  <c r="D2116" i="1" a="1"/>
  <c r="D2116" i="1" s="1"/>
  <c r="E2116" i="1"/>
  <c r="D1796" i="1" a="1"/>
  <c r="D1796" i="1" s="1"/>
  <c r="E1796" i="1"/>
  <c r="D51" i="1" a="1"/>
  <c r="D51" i="1" s="1"/>
  <c r="E51" i="1"/>
  <c r="D1116" i="1" a="1"/>
  <c r="D1116" i="1" s="1"/>
  <c r="E1116" i="1"/>
  <c r="D1147" i="1" a="1"/>
  <c r="D1147" i="1" s="1"/>
  <c r="E1147" i="1"/>
  <c r="D1125" i="1" a="1"/>
  <c r="D1125" i="1" s="1"/>
  <c r="E1125" i="1"/>
  <c r="D1849" i="1" a="1"/>
  <c r="D1849" i="1" s="1"/>
  <c r="E1849" i="1"/>
  <c r="E2305" i="1"/>
  <c r="D2305" i="1" a="1"/>
  <c r="D2305" i="1" s="1"/>
  <c r="D397" i="1" a="1"/>
  <c r="D397" i="1" s="1"/>
  <c r="E397" i="1"/>
  <c r="E2177" i="1"/>
  <c r="D2177" i="1" a="1"/>
  <c r="D2177" i="1" s="1"/>
  <c r="D651" i="1" a="1"/>
  <c r="D651" i="1" s="1"/>
  <c r="E651" i="1"/>
  <c r="D1396" i="1" a="1"/>
  <c r="D1396" i="1" s="1"/>
  <c r="E1396" i="1"/>
  <c r="D688" i="1" a="1"/>
  <c r="D688" i="1" s="1"/>
  <c r="E688" i="1"/>
  <c r="E1069" i="1"/>
  <c r="D1069" i="1" a="1"/>
  <c r="D1069" i="1" s="1"/>
  <c r="E1027" i="1"/>
  <c r="D1027" i="1" a="1"/>
  <c r="D1027" i="1" s="1"/>
  <c r="D443" i="1" a="1"/>
  <c r="D443" i="1" s="1"/>
  <c r="E443" i="1"/>
  <c r="D1388" i="1" a="1"/>
  <c r="D1388" i="1" s="1"/>
  <c r="E1388" i="1"/>
  <c r="D1874" i="1" a="1"/>
  <c r="D1874" i="1" s="1"/>
  <c r="E1874" i="1"/>
  <c r="F148" i="1"/>
  <c r="D147" i="1" a="1"/>
  <c r="D147" i="1" s="1"/>
  <c r="E147" i="1"/>
  <c r="D1458" i="1" a="1"/>
  <c r="D1458" i="1" s="1"/>
  <c r="E1458" i="1"/>
  <c r="D268" i="1" a="1"/>
  <c r="D268" i="1" s="1"/>
  <c r="E268" i="1"/>
  <c r="E2045" i="1"/>
  <c r="D2045" i="1" a="1"/>
  <c r="D2045" i="1" s="1"/>
  <c r="D1988" i="1" a="1"/>
  <c r="D1988" i="1" s="1"/>
  <c r="E1988" i="1"/>
  <c r="D730" i="1" a="1"/>
  <c r="D730" i="1" s="1"/>
  <c r="E730" i="1"/>
  <c r="D1623" i="1" a="1"/>
  <c r="D1623" i="1" s="1"/>
  <c r="E1623" i="1"/>
  <c r="D987" i="1" a="1"/>
  <c r="D987" i="1" s="1"/>
  <c r="E987" i="1"/>
  <c r="D110" i="1" a="1"/>
  <c r="D110" i="1" s="1"/>
  <c r="E110" i="1"/>
  <c r="D1596" i="1" a="1"/>
  <c r="D1596" i="1" s="1"/>
  <c r="E1596" i="1"/>
  <c r="D1317" i="1" a="1"/>
  <c r="D1317" i="1" s="1"/>
  <c r="E1317" i="1"/>
  <c r="D1663" i="1" a="1"/>
  <c r="D1663" i="1" s="1"/>
  <c r="E1663" i="1"/>
  <c r="D1979" i="1" a="1"/>
  <c r="D1979" i="1" s="1"/>
  <c r="E1979" i="1"/>
  <c r="D1324" i="1" a="1"/>
  <c r="D1324" i="1" s="1"/>
  <c r="E1324" i="1"/>
  <c r="D707" i="1" a="1"/>
  <c r="D707" i="1" s="1"/>
  <c r="E707" i="1"/>
  <c r="D2322" i="1" a="1"/>
  <c r="D2322" i="1" s="1"/>
  <c r="E2322" i="1"/>
  <c r="D1721" i="1" a="1"/>
  <c r="D1721" i="1" s="1"/>
  <c r="E1721" i="1"/>
  <c r="D363" i="1" a="1"/>
  <c r="D363" i="1" s="1"/>
  <c r="E363" i="1"/>
  <c r="D1612" i="1" a="1"/>
  <c r="D1612" i="1" s="1"/>
  <c r="E1612" i="1"/>
  <c r="D1137" i="1" a="1"/>
  <c r="D1137" i="1" s="1"/>
  <c r="E1137" i="1"/>
  <c r="D1678" i="1" a="1"/>
  <c r="D1678" i="1" s="1"/>
  <c r="E1678" i="1"/>
  <c r="D1567" i="1" a="1"/>
  <c r="D1567" i="1" s="1"/>
  <c r="E1567" i="1"/>
  <c r="D1706" i="1" a="1"/>
  <c r="D1706" i="1" s="1"/>
  <c r="E1706" i="1"/>
  <c r="D2227" i="1" a="1"/>
  <c r="D2227" i="1" s="1"/>
  <c r="E2227" i="1"/>
  <c r="D1056" i="1" a="1"/>
  <c r="D1056" i="1" s="1"/>
  <c r="E1056" i="1"/>
  <c r="D1168" i="1" a="1"/>
  <c r="D1168" i="1" s="1"/>
  <c r="E1168" i="1"/>
  <c r="D1778" i="1" a="1"/>
  <c r="D1778" i="1" s="1"/>
  <c r="E1778" i="1"/>
  <c r="D2008" i="1" a="1"/>
  <c r="D2008" i="1" s="1"/>
  <c r="E2008" i="1"/>
  <c r="D859" i="1" a="1"/>
  <c r="D859" i="1" s="1"/>
  <c r="E859" i="1"/>
  <c r="D637" i="1" a="1"/>
  <c r="D637" i="1" s="1"/>
  <c r="E637" i="1"/>
  <c r="E1476" i="1"/>
  <c r="D1476" i="1" a="1"/>
  <c r="D1476" i="1" s="1"/>
  <c r="D1909" i="1" a="1"/>
  <c r="D1909" i="1" s="1"/>
  <c r="E1909" i="1"/>
  <c r="D675" i="1" a="1"/>
  <c r="D675" i="1" s="1"/>
  <c r="E675" i="1"/>
  <c r="D1829" i="1" a="1"/>
  <c r="D1829" i="1" s="1"/>
  <c r="E1829" i="1"/>
  <c r="D1530" i="1" a="1"/>
  <c r="D1530" i="1" s="1"/>
  <c r="E1530" i="1"/>
  <c r="D1297" i="1" a="1"/>
  <c r="D1297" i="1" s="1"/>
  <c r="E1297" i="1"/>
  <c r="E2329" i="1"/>
  <c r="D2329" i="1" a="1"/>
  <c r="D2329" i="1" s="1"/>
  <c r="D1230" i="1" a="1"/>
  <c r="D1230" i="1" s="1"/>
  <c r="E1230" i="1"/>
  <c r="D1539" i="1" a="1"/>
  <c r="D1539" i="1" s="1"/>
  <c r="E1539" i="1"/>
  <c r="D1008" i="1" a="1"/>
  <c r="D1008" i="1" s="1"/>
  <c r="E1008" i="1"/>
  <c r="D645" i="1" a="1"/>
  <c r="D645" i="1" s="1"/>
  <c r="E645" i="1"/>
  <c r="D926" i="1" a="1"/>
  <c r="D926" i="1" s="1"/>
  <c r="E926" i="1"/>
  <c r="D2236" i="1" a="1"/>
  <c r="D2236" i="1" s="1"/>
  <c r="E2236" i="1"/>
  <c r="D1364" i="1" a="1"/>
  <c r="D1364" i="1" s="1"/>
  <c r="E1364" i="1"/>
  <c r="D969" i="1" a="1"/>
  <c r="D969" i="1" s="1"/>
  <c r="E969" i="1"/>
  <c r="E1857" i="1"/>
  <c r="D1857" i="1" a="1"/>
  <c r="D1857" i="1" s="1"/>
  <c r="D1868" i="1" a="1"/>
  <c r="D1868" i="1" s="1"/>
  <c r="E1868" i="1"/>
  <c r="D251" i="1" a="1"/>
  <c r="D251" i="1" s="1"/>
  <c r="E251" i="1"/>
  <c r="D283" i="1" a="1"/>
  <c r="D283" i="1" s="1"/>
  <c r="E283" i="1"/>
  <c r="D1880" i="1" a="1"/>
  <c r="D1880" i="1" s="1"/>
  <c r="E1880" i="1"/>
  <c r="D2244" i="1" a="1"/>
  <c r="D2244" i="1" s="1"/>
  <c r="E2244" i="1"/>
  <c r="D1018" i="1" a="1"/>
  <c r="D1018" i="1" s="1"/>
  <c r="E1018" i="1"/>
  <c r="F1019" i="1"/>
  <c r="A146" i="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F2103" i="1"/>
  <c r="F1459" i="1"/>
  <c r="F2212" i="1"/>
  <c r="F664" i="1"/>
  <c r="F1942" i="1"/>
  <c r="F1511" i="1"/>
  <c r="F2046" i="1"/>
  <c r="F1762" i="1"/>
  <c r="F2056" i="1"/>
  <c r="F731" i="1"/>
  <c r="F2293" i="1"/>
  <c r="F2064" i="1"/>
  <c r="F2258" i="1"/>
  <c r="F1700" i="1"/>
  <c r="F2091" i="1"/>
  <c r="F2314" i="1"/>
  <c r="F2117" i="1"/>
  <c r="F2002" i="1"/>
  <c r="F1117" i="1"/>
  <c r="F1597" i="1"/>
  <c r="F875" i="1"/>
  <c r="F2306" i="1"/>
  <c r="F1318" i="1"/>
  <c r="F1642" i="1"/>
  <c r="F1343" i="1"/>
  <c r="F689" i="1"/>
  <c r="F1070" i="1"/>
  <c r="F1980" i="1"/>
  <c r="F1770" i="1"/>
  <c r="F1432" i="1"/>
  <c r="F2220" i="1"/>
  <c r="F1325" i="1"/>
  <c r="F708" i="1"/>
  <c r="F303" i="1"/>
  <c r="F1722" i="1"/>
  <c r="F1403" i="1"/>
  <c r="F2357" i="1"/>
  <c r="F1138" i="1"/>
  <c r="F1679" i="1"/>
  <c r="F2364" i="1"/>
  <c r="F1568" i="1"/>
  <c r="F2228" i="1"/>
  <c r="F1521" i="1"/>
  <c r="F1169" i="1"/>
  <c r="F1901" i="1"/>
  <c r="F1779" i="1"/>
  <c r="F1094" i="1"/>
  <c r="F995" i="1"/>
  <c r="F1284" i="1"/>
  <c r="F2198" i="1"/>
  <c r="F848" i="1"/>
  <c r="F741" i="1"/>
  <c r="F676" i="1"/>
  <c r="F1830" i="1"/>
  <c r="F1531" i="1"/>
  <c r="F2032" i="1"/>
  <c r="F1231" i="1"/>
  <c r="F1009" i="1"/>
  <c r="F927" i="1"/>
  <c r="F970" i="1"/>
  <c r="F840" i="1"/>
  <c r="F252" i="1"/>
  <c r="F2245" i="1"/>
  <c r="F2019" i="1"/>
  <c r="F1353" i="1"/>
  <c r="F1002" i="1"/>
  <c r="F1491" i="1"/>
  <c r="F269" i="1"/>
  <c r="F2079" i="1"/>
  <c r="F1469" i="1"/>
  <c r="F1223" i="1"/>
  <c r="F1989" i="1"/>
  <c r="F952" i="1"/>
  <c r="F1501" i="1"/>
  <c r="F103" i="1"/>
  <c r="F520" i="1"/>
  <c r="F429" i="1"/>
  <c r="F1624" i="1"/>
  <c r="F331" i="1"/>
  <c r="F2142" i="1"/>
  <c r="F988" i="1"/>
  <c r="F1840" i="1"/>
  <c r="F1797" i="1"/>
  <c r="F111" i="1"/>
  <c r="F1379" i="1"/>
  <c r="F1148" i="1"/>
  <c r="F1126" i="1"/>
  <c r="F1969" i="1"/>
  <c r="F1850" i="1"/>
  <c r="F398" i="1"/>
  <c r="F2178" i="1"/>
  <c r="F1162" i="1"/>
  <c r="F652" i="1"/>
  <c r="F1664" i="1"/>
  <c r="F1084" i="1"/>
  <c r="F1028" i="1"/>
  <c r="F444" i="1"/>
  <c r="F1389" i="1"/>
  <c r="F1746" i="1"/>
  <c r="F1207" i="1"/>
  <c r="F1442" i="1"/>
  <c r="F364" i="1"/>
  <c r="F1613" i="1"/>
  <c r="F1216" i="1"/>
  <c r="F2279" i="1"/>
  <c r="F832" i="1"/>
  <c r="F1707" i="1"/>
  <c r="F2266" i="1"/>
  <c r="F1417" i="1"/>
  <c r="F1057" i="1"/>
  <c r="F2009" i="1"/>
  <c r="F860" i="1"/>
  <c r="F638" i="1"/>
  <c r="F1477" i="1"/>
  <c r="F1910" i="1"/>
  <c r="F1275" i="1"/>
  <c r="F699" i="1"/>
  <c r="F1298" i="1"/>
  <c r="F2330" i="1"/>
  <c r="F346" i="1"/>
  <c r="F1540" i="1"/>
  <c r="F1263" i="1"/>
  <c r="F1242" i="1"/>
  <c r="F1923" i="1"/>
  <c r="F504" i="1"/>
  <c r="F2237" i="1"/>
  <c r="F2188" i="1"/>
  <c r="F1365" i="1"/>
  <c r="F1310" i="1"/>
  <c r="F1858" i="1"/>
  <c r="F2343" i="1"/>
  <c r="F629" i="1"/>
  <c r="F284" i="1"/>
  <c r="F720" i="1"/>
  <c r="F1881" i="1"/>
  <c r="F1424" i="1"/>
  <c r="F184" i="1"/>
  <c r="E629" i="1" l="1"/>
  <c r="D629" i="1" a="1"/>
  <c r="D629" i="1" s="1"/>
  <c r="D1923" i="1" a="1"/>
  <c r="D1923" i="1" s="1"/>
  <c r="E1923" i="1"/>
  <c r="D638" i="1" a="1"/>
  <c r="D638" i="1" s="1"/>
  <c r="E638" i="1"/>
  <c r="D2279" i="1" a="1"/>
  <c r="D2279" i="1" s="1"/>
  <c r="E2279" i="1"/>
  <c r="D652" i="1" a="1"/>
  <c r="D652" i="1" s="1"/>
  <c r="E652" i="1"/>
  <c r="D1840" i="1" a="1"/>
  <c r="D1840" i="1" s="1"/>
  <c r="E1840" i="1"/>
  <c r="E1501" i="1"/>
  <c r="D1501" i="1" a="1"/>
  <c r="D1501" i="1" s="1"/>
  <c r="D252" i="1" a="1"/>
  <c r="D252" i="1" s="1"/>
  <c r="E252" i="1"/>
  <c r="D2228" i="1" a="1"/>
  <c r="D2228" i="1" s="1"/>
  <c r="E2228" i="1"/>
  <c r="D303" i="1" a="1"/>
  <c r="D303" i="1" s="1"/>
  <c r="E303" i="1"/>
  <c r="D1432" i="1" a="1"/>
  <c r="D1432" i="1" s="1"/>
  <c r="E1432" i="1"/>
  <c r="D1700" i="1" a="1"/>
  <c r="D1700" i="1" s="1"/>
  <c r="E1700" i="1"/>
  <c r="D2212" i="1" a="1"/>
  <c r="D2212" i="1" s="1"/>
  <c r="E2212" i="1"/>
  <c r="E1881" i="1"/>
  <c r="D1881" i="1" a="1"/>
  <c r="D1881" i="1" s="1"/>
  <c r="D2343" i="1" a="1"/>
  <c r="D2343" i="1" s="1"/>
  <c r="E2343" i="1"/>
  <c r="D2188" i="1" a="1"/>
  <c r="D2188" i="1" s="1"/>
  <c r="E2188" i="1"/>
  <c r="D1242" i="1" a="1"/>
  <c r="D1242" i="1" s="1"/>
  <c r="E1242" i="1"/>
  <c r="D346" i="1" a="1"/>
  <c r="D346" i="1" s="1"/>
  <c r="E346" i="1"/>
  <c r="D1275" i="1" a="1"/>
  <c r="D1275" i="1" s="1"/>
  <c r="E1275" i="1"/>
  <c r="D860" i="1" a="1"/>
  <c r="D860" i="1" s="1"/>
  <c r="E860" i="1"/>
  <c r="D2266" i="1" a="1"/>
  <c r="D2266" i="1" s="1"/>
  <c r="E2266" i="1"/>
  <c r="D1216" i="1" a="1"/>
  <c r="D1216" i="1" s="1"/>
  <c r="E1216" i="1"/>
  <c r="D1207" i="1" a="1"/>
  <c r="D1207" i="1" s="1"/>
  <c r="E1207" i="1"/>
  <c r="D1028" i="1" a="1"/>
  <c r="D1028" i="1" s="1"/>
  <c r="E1028" i="1"/>
  <c r="D1162" i="1" a="1"/>
  <c r="D1162" i="1" s="1"/>
  <c r="E1162" i="1"/>
  <c r="E1969" i="1"/>
  <c r="D1969" i="1" a="1"/>
  <c r="D1969" i="1" s="1"/>
  <c r="D1379" i="1" a="1"/>
  <c r="D1379" i="1" s="1"/>
  <c r="E1379" i="1"/>
  <c r="D988" i="1" a="1"/>
  <c r="D988" i="1" s="1"/>
  <c r="E988" i="1"/>
  <c r="D429" i="1" a="1"/>
  <c r="D429" i="1" s="1"/>
  <c r="E429" i="1"/>
  <c r="D952" i="1" a="1"/>
  <c r="D952" i="1" s="1"/>
  <c r="E952" i="1"/>
  <c r="D2079" i="1" a="1"/>
  <c r="D2079" i="1" s="1"/>
  <c r="E2079" i="1"/>
  <c r="D1353" i="1" a="1"/>
  <c r="D1353" i="1" s="1"/>
  <c r="E1353" i="1"/>
  <c r="D840" i="1" a="1"/>
  <c r="D840" i="1" s="1"/>
  <c r="E840" i="1"/>
  <c r="E1231" i="1"/>
  <c r="D1231" i="1" a="1"/>
  <c r="D1231" i="1" s="1"/>
  <c r="D676" i="1" a="1"/>
  <c r="D676" i="1" s="1"/>
  <c r="E676" i="1"/>
  <c r="D1284" i="1" a="1"/>
  <c r="D1284" i="1" s="1"/>
  <c r="E1284" i="1"/>
  <c r="D1901" i="1" a="1"/>
  <c r="D1901" i="1" s="1"/>
  <c r="E1901" i="1"/>
  <c r="D1568" i="1" a="1"/>
  <c r="D1568" i="1" s="1"/>
  <c r="E1568" i="1"/>
  <c r="D2357" i="1" a="1"/>
  <c r="D2357" i="1" s="1"/>
  <c r="E2357" i="1"/>
  <c r="D708" i="1" a="1"/>
  <c r="D708" i="1" s="1"/>
  <c r="E708" i="1"/>
  <c r="D1770" i="1" a="1"/>
  <c r="D1770" i="1" s="1"/>
  <c r="E1770" i="1"/>
  <c r="D1343" i="1" a="1"/>
  <c r="D1343" i="1" s="1"/>
  <c r="E1343" i="1"/>
  <c r="D875" i="1" a="1"/>
  <c r="D875" i="1" s="1"/>
  <c r="E875" i="1"/>
  <c r="E2117" i="1"/>
  <c r="D2117" i="1" a="1"/>
  <c r="D2117" i="1" s="1"/>
  <c r="D2258" i="1" a="1"/>
  <c r="D2258" i="1" s="1"/>
  <c r="E2258" i="1"/>
  <c r="D2056" i="1" a="1"/>
  <c r="D2056" i="1" s="1"/>
  <c r="E2056" i="1"/>
  <c r="D1511" i="1" a="1"/>
  <c r="D1511" i="1" s="1"/>
  <c r="E1511" i="1"/>
  <c r="D1459" i="1" a="1"/>
  <c r="D1459" i="1" s="1"/>
  <c r="E1459" i="1"/>
  <c r="F149" i="1"/>
  <c r="D148" i="1" a="1"/>
  <c r="D148" i="1" s="1"/>
  <c r="E148" i="1"/>
  <c r="E1365" i="1"/>
  <c r="D1365" i="1" a="1"/>
  <c r="D1365" i="1" s="1"/>
  <c r="D699" i="1" a="1"/>
  <c r="D699" i="1" s="1"/>
  <c r="E699" i="1"/>
  <c r="D1442" i="1" a="1"/>
  <c r="D1442" i="1" s="1"/>
  <c r="E1442" i="1"/>
  <c r="D1850" i="1" a="1"/>
  <c r="D1850" i="1" s="1"/>
  <c r="E1850" i="1"/>
  <c r="D1624" i="1" a="1"/>
  <c r="D1624" i="1" s="1"/>
  <c r="E1624" i="1"/>
  <c r="D1002" i="1" a="1"/>
  <c r="D1002" i="1" s="1"/>
  <c r="E1002" i="1"/>
  <c r="D1830" i="1" a="1"/>
  <c r="D1830" i="1" s="1"/>
  <c r="E1830" i="1"/>
  <c r="D2198" i="1" a="1"/>
  <c r="D2198" i="1" s="1"/>
  <c r="E2198" i="1"/>
  <c r="D1138" i="1" a="1"/>
  <c r="D1138" i="1" s="1"/>
  <c r="E1138" i="1"/>
  <c r="D689" i="1" a="1"/>
  <c r="D689" i="1" s="1"/>
  <c r="E689" i="1"/>
  <c r="D2002" i="1" a="1"/>
  <c r="D2002" i="1" s="1"/>
  <c r="E2002" i="1"/>
  <c r="D2046" i="1" a="1"/>
  <c r="D2046" i="1" s="1"/>
  <c r="E2046" i="1"/>
  <c r="D720" i="1" a="1"/>
  <c r="D720" i="1" s="1"/>
  <c r="E720" i="1"/>
  <c r="D1858" i="1" a="1"/>
  <c r="D1858" i="1" s="1"/>
  <c r="E1858" i="1"/>
  <c r="E2237" i="1"/>
  <c r="D2237" i="1" a="1"/>
  <c r="D2237" i="1" s="1"/>
  <c r="D1263" i="1" a="1"/>
  <c r="D1263" i="1" s="1"/>
  <c r="E1263" i="1"/>
  <c r="D2330" i="1" a="1"/>
  <c r="D2330" i="1" s="1"/>
  <c r="E2330" i="1"/>
  <c r="D1910" i="1" a="1"/>
  <c r="D1910" i="1" s="1"/>
  <c r="E1910" i="1"/>
  <c r="D2009" i="1" a="1"/>
  <c r="D2009" i="1" s="1"/>
  <c r="E2009" i="1"/>
  <c r="D1707" i="1" a="1"/>
  <c r="D1707" i="1" s="1"/>
  <c r="E1707" i="1"/>
  <c r="D1613" i="1" a="1"/>
  <c r="D1613" i="1" s="1"/>
  <c r="E1613" i="1"/>
  <c r="D1746" i="1" a="1"/>
  <c r="D1746" i="1" s="1"/>
  <c r="E1746" i="1"/>
  <c r="D1084" i="1" a="1"/>
  <c r="D1084" i="1" s="1"/>
  <c r="E1084" i="1"/>
  <c r="D2178" i="1" a="1"/>
  <c r="D2178" i="1" s="1"/>
  <c r="E2178" i="1"/>
  <c r="D1126" i="1" a="1"/>
  <c r="D1126" i="1" s="1"/>
  <c r="E1126" i="1"/>
  <c r="D111" i="1" a="1"/>
  <c r="D111" i="1" s="1"/>
  <c r="E111" i="1"/>
  <c r="D2142" i="1" a="1"/>
  <c r="D2142" i="1" s="1"/>
  <c r="E2142" i="1"/>
  <c r="D520" i="1" a="1"/>
  <c r="D520" i="1" s="1"/>
  <c r="E520" i="1"/>
  <c r="D1989" i="1" a="1"/>
  <c r="D1989" i="1" s="1"/>
  <c r="E1989" i="1"/>
  <c r="D269" i="1" a="1"/>
  <c r="D269" i="1" s="1"/>
  <c r="E269" i="1"/>
  <c r="D2019" i="1" a="1"/>
  <c r="D2019" i="1" s="1"/>
  <c r="E2019" i="1"/>
  <c r="D970" i="1" a="1"/>
  <c r="D970" i="1" s="1"/>
  <c r="E970" i="1"/>
  <c r="D2032" i="1" a="1"/>
  <c r="D2032" i="1" s="1"/>
  <c r="E2032" i="1"/>
  <c r="D741" i="1" a="1"/>
  <c r="D741" i="1" s="1"/>
  <c r="E741" i="1"/>
  <c r="D995" i="1" a="1"/>
  <c r="D995" i="1" s="1"/>
  <c r="E995" i="1"/>
  <c r="D1169" i="1" a="1"/>
  <c r="D1169" i="1" s="1"/>
  <c r="E1169" i="1"/>
  <c r="D2364" i="1" a="1"/>
  <c r="D2364" i="1" s="1"/>
  <c r="E2364" i="1"/>
  <c r="D1403" i="1" a="1"/>
  <c r="D1403" i="1" s="1"/>
  <c r="E1403" i="1"/>
  <c r="D1325" i="1" a="1"/>
  <c r="D1325" i="1" s="1"/>
  <c r="E1325" i="1"/>
  <c r="D1980" i="1" a="1"/>
  <c r="D1980" i="1" s="1"/>
  <c r="E1980" i="1"/>
  <c r="D1642" i="1" a="1"/>
  <c r="D1642" i="1" s="1"/>
  <c r="E1642" i="1"/>
  <c r="D1597" i="1" a="1"/>
  <c r="D1597" i="1" s="1"/>
  <c r="E1597" i="1"/>
  <c r="D2314" i="1" a="1"/>
  <c r="D2314" i="1" s="1"/>
  <c r="E2314" i="1"/>
  <c r="D2064" i="1" a="1"/>
  <c r="D2064" i="1" s="1"/>
  <c r="E2064" i="1"/>
  <c r="D1942" i="1" a="1"/>
  <c r="D1942" i="1" s="1"/>
  <c r="E1942" i="1"/>
  <c r="D2103" i="1" a="1"/>
  <c r="D2103" i="1" s="1"/>
  <c r="E2103" i="1"/>
  <c r="D1424" i="1" a="1"/>
  <c r="D1424" i="1" s="1"/>
  <c r="E1424" i="1"/>
  <c r="D1417" i="1" a="1"/>
  <c r="D1417" i="1" s="1"/>
  <c r="E1417" i="1"/>
  <c r="D444" i="1" a="1"/>
  <c r="D444" i="1" s="1"/>
  <c r="E444" i="1"/>
  <c r="D1469" i="1" a="1"/>
  <c r="D1469" i="1" s="1"/>
  <c r="E1469" i="1"/>
  <c r="D1009" i="1" a="1"/>
  <c r="D1009" i="1" s="1"/>
  <c r="E1009" i="1"/>
  <c r="D1779" i="1" a="1"/>
  <c r="D1779" i="1" s="1"/>
  <c r="E1779" i="1"/>
  <c r="D2306" i="1" a="1"/>
  <c r="D2306" i="1" s="1"/>
  <c r="E2306" i="1"/>
  <c r="D731" i="1" a="1"/>
  <c r="D731" i="1" s="1"/>
  <c r="E731" i="1"/>
  <c r="D1019" i="1" a="1"/>
  <c r="D1019" i="1" s="1"/>
  <c r="E1019" i="1"/>
  <c r="F1020" i="1"/>
  <c r="D184" i="1" a="1"/>
  <c r="D184" i="1" s="1"/>
  <c r="E184" i="1"/>
  <c r="D284" i="1" a="1"/>
  <c r="D284" i="1" s="1"/>
  <c r="E284" i="1"/>
  <c r="D1310" i="1" a="1"/>
  <c r="D1310" i="1" s="1"/>
  <c r="E1310" i="1"/>
  <c r="D504" i="1" a="1"/>
  <c r="D504" i="1" s="1"/>
  <c r="E504" i="1"/>
  <c r="D1540" i="1" a="1"/>
  <c r="D1540" i="1" s="1"/>
  <c r="E1540" i="1"/>
  <c r="D1298" i="1" a="1"/>
  <c r="D1298" i="1" s="1"/>
  <c r="E1298" i="1"/>
  <c r="D1477" i="1" a="1"/>
  <c r="D1477" i="1" s="1"/>
  <c r="E1477" i="1"/>
  <c r="D1057" i="1" a="1"/>
  <c r="D1057" i="1" s="1"/>
  <c r="E1057" i="1"/>
  <c r="D832" i="1" a="1"/>
  <c r="D832" i="1" s="1"/>
  <c r="E832" i="1"/>
  <c r="D364" i="1" a="1"/>
  <c r="D364" i="1" s="1"/>
  <c r="E364" i="1"/>
  <c r="E1389" i="1"/>
  <c r="D1389" i="1" a="1"/>
  <c r="D1389" i="1" s="1"/>
  <c r="D1664" i="1" a="1"/>
  <c r="D1664" i="1" s="1"/>
  <c r="E1664" i="1"/>
  <c r="D398" i="1" a="1"/>
  <c r="D398" i="1" s="1"/>
  <c r="E398" i="1"/>
  <c r="D1148" i="1" a="1"/>
  <c r="D1148" i="1" s="1"/>
  <c r="E1148" i="1"/>
  <c r="E1797" i="1"/>
  <c r="D1797" i="1" a="1"/>
  <c r="D1797" i="1" s="1"/>
  <c r="D331" i="1" a="1"/>
  <c r="D331" i="1" s="1"/>
  <c r="E331" i="1"/>
  <c r="D103" i="1" a="1"/>
  <c r="D103" i="1" s="1"/>
  <c r="E103" i="1"/>
  <c r="D1223" i="1" a="1"/>
  <c r="D1223" i="1" s="1"/>
  <c r="E1223" i="1"/>
  <c r="D1491" i="1" a="1"/>
  <c r="D1491" i="1" s="1"/>
  <c r="E1491" i="1"/>
  <c r="E2245" i="1"/>
  <c r="D2245" i="1" a="1"/>
  <c r="D2245" i="1" s="1"/>
  <c r="E927" i="1"/>
  <c r="D927" i="1" a="1"/>
  <c r="D927" i="1" s="1"/>
  <c r="D1531" i="1" a="1"/>
  <c r="D1531" i="1" s="1"/>
  <c r="E1531" i="1"/>
  <c r="D848" i="1" a="1"/>
  <c r="D848" i="1" s="1"/>
  <c r="E848" i="1"/>
  <c r="D1094" i="1" a="1"/>
  <c r="D1094" i="1" s="1"/>
  <c r="E1094" i="1"/>
  <c r="D1521" i="1" a="1"/>
  <c r="D1521" i="1" s="1"/>
  <c r="E1521" i="1"/>
  <c r="D1679" i="1" a="1"/>
  <c r="D1679" i="1" s="1"/>
  <c r="E1679" i="1"/>
  <c r="E1722" i="1"/>
  <c r="D1722" i="1" a="1"/>
  <c r="D1722" i="1" s="1"/>
  <c r="D2220" i="1" a="1"/>
  <c r="D2220" i="1" s="1"/>
  <c r="E2220" i="1"/>
  <c r="D1070" i="1" a="1"/>
  <c r="D1070" i="1" s="1"/>
  <c r="E1070" i="1"/>
  <c r="D1318" i="1" a="1"/>
  <c r="D1318" i="1" s="1"/>
  <c r="E1318" i="1"/>
  <c r="D1117" i="1" a="1"/>
  <c r="D1117" i="1" s="1"/>
  <c r="E1117" i="1"/>
  <c r="D2091" i="1" a="1"/>
  <c r="D2091" i="1" s="1"/>
  <c r="E2091" i="1"/>
  <c r="D2293" i="1" a="1"/>
  <c r="D2293" i="1" s="1"/>
  <c r="E2293" i="1"/>
  <c r="D1762" i="1" a="1"/>
  <c r="D1762" i="1" s="1"/>
  <c r="E1762" i="1"/>
  <c r="D664" i="1" a="1"/>
  <c r="D664" i="1" s="1"/>
  <c r="E664" i="1"/>
  <c r="F1425" i="1"/>
  <c r="F630" i="1"/>
  <c r="F185" i="1"/>
  <c r="F285" i="1"/>
  <c r="F1243" i="1"/>
  <c r="F1882" i="1"/>
  <c r="F2344" i="1"/>
  <c r="F505" i="1"/>
  <c r="F1541" i="1"/>
  <c r="F1299" i="1"/>
  <c r="F1478" i="1"/>
  <c r="F1058" i="1"/>
  <c r="F833" i="1"/>
  <c r="F365" i="1"/>
  <c r="F1029" i="1"/>
  <c r="F1665" i="1"/>
  <c r="F399" i="1"/>
  <c r="F1149" i="1"/>
  <c r="F1798" i="1"/>
  <c r="F332" i="1"/>
  <c r="F104" i="1"/>
  <c r="F2080" i="1"/>
  <c r="F1354" i="1"/>
  <c r="F2246" i="1"/>
  <c r="F1285" i="1"/>
  <c r="F1902" i="1"/>
  <c r="F1569" i="1"/>
  <c r="F1771" i="1"/>
  <c r="F1344" i="1"/>
  <c r="F876" i="1"/>
  <c r="F2092" i="1"/>
  <c r="F2259" i="1"/>
  <c r="F1512" i="1"/>
  <c r="F1460" i="1"/>
  <c r="F2238" i="1"/>
  <c r="F1264" i="1"/>
  <c r="F2331" i="1"/>
  <c r="F1911" i="1"/>
  <c r="F2010" i="1"/>
  <c r="F1708" i="1"/>
  <c r="F1614" i="1"/>
  <c r="F445" i="1"/>
  <c r="F2179" i="1"/>
  <c r="F1127" i="1"/>
  <c r="F2143" i="1"/>
  <c r="F521" i="1"/>
  <c r="F1990" i="1"/>
  <c r="F2033" i="1"/>
  <c r="F1831" i="1"/>
  <c r="F2199" i="1"/>
  <c r="F1780" i="1"/>
  <c r="F2229" i="1"/>
  <c r="F1139" i="1"/>
  <c r="F304" i="1"/>
  <c r="F1326" i="1"/>
  <c r="F1433" i="1"/>
  <c r="F690" i="1"/>
  <c r="F2307" i="1"/>
  <c r="F2315" i="1"/>
  <c r="F2065" i="1"/>
  <c r="F2047" i="1"/>
  <c r="F2213" i="1"/>
  <c r="F1859" i="1"/>
  <c r="F2189" i="1"/>
  <c r="F347" i="1"/>
  <c r="F1276" i="1"/>
  <c r="F861" i="1"/>
  <c r="F2267" i="1"/>
  <c r="F1208" i="1"/>
  <c r="F1390" i="1"/>
  <c r="F1970" i="1"/>
  <c r="F1380" i="1"/>
  <c r="F430" i="1"/>
  <c r="F953" i="1"/>
  <c r="F1492" i="1"/>
  <c r="F841" i="1"/>
  <c r="F928" i="1"/>
  <c r="F1232" i="1"/>
  <c r="F1532" i="1"/>
  <c r="F677" i="1"/>
  <c r="F849" i="1"/>
  <c r="F1095" i="1"/>
  <c r="F1522" i="1"/>
  <c r="F1680" i="1"/>
  <c r="F1723" i="1"/>
  <c r="F709" i="1"/>
  <c r="F2221" i="1"/>
  <c r="F1071" i="1"/>
  <c r="F1118" i="1"/>
  <c r="F2118" i="1"/>
  <c r="F2057" i="1"/>
  <c r="F1763" i="1"/>
  <c r="F665" i="1"/>
  <c r="F721" i="1"/>
  <c r="F1366" i="1"/>
  <c r="F1924" i="1"/>
  <c r="F700" i="1"/>
  <c r="F639" i="1"/>
  <c r="F2280" i="1"/>
  <c r="F1443" i="1"/>
  <c r="F1747" i="1"/>
  <c r="F1085" i="1"/>
  <c r="F1851" i="1"/>
  <c r="F1841" i="1"/>
  <c r="F1625" i="1"/>
  <c r="F1502" i="1"/>
  <c r="F270" i="1"/>
  <c r="F2020" i="1"/>
  <c r="F971" i="1"/>
  <c r="F1010" i="1"/>
  <c r="F742" i="1"/>
  <c r="F1170" i="1"/>
  <c r="F2365" i="1"/>
  <c r="F1404" i="1"/>
  <c r="F1981" i="1"/>
  <c r="F1643" i="1"/>
  <c r="F1598" i="1"/>
  <c r="F732" i="1"/>
  <c r="F1943" i="1"/>
  <c r="F2104" i="1"/>
  <c r="A504" i="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l="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D1404" i="1" a="1"/>
  <c r="D1404" i="1" s="1"/>
  <c r="E1404" i="1"/>
  <c r="D1502" i="1" a="1"/>
  <c r="D1502" i="1" s="1"/>
  <c r="E1502" i="1"/>
  <c r="D2280" i="1" a="1"/>
  <c r="D2280" i="1" s="1"/>
  <c r="E2280" i="1"/>
  <c r="D2057" i="1" a="1"/>
  <c r="D2057" i="1" s="1"/>
  <c r="E2057" i="1"/>
  <c r="D1522" i="1" a="1"/>
  <c r="D1522" i="1" s="1"/>
  <c r="E1522" i="1"/>
  <c r="D1859" i="1" a="1"/>
  <c r="D1859" i="1" s="1"/>
  <c r="E1859" i="1"/>
  <c r="D1598" i="1" a="1"/>
  <c r="D1598" i="1" s="1"/>
  <c r="E1598" i="1"/>
  <c r="E2365" i="1"/>
  <c r="D2365" i="1" a="1"/>
  <c r="D2365" i="1" s="1"/>
  <c r="D971" i="1" a="1"/>
  <c r="D971" i="1" s="1"/>
  <c r="E971" i="1"/>
  <c r="E1625" i="1"/>
  <c r="D1625" i="1" a="1"/>
  <c r="D1625" i="1" s="1"/>
  <c r="D1085" i="1" a="1"/>
  <c r="D1085" i="1" s="1"/>
  <c r="E1085" i="1"/>
  <c r="E639" i="1"/>
  <c r="D639" i="1" a="1"/>
  <c r="D639" i="1" s="1"/>
  <c r="D721" i="1" a="1"/>
  <c r="D721" i="1" s="1"/>
  <c r="E721" i="1"/>
  <c r="D2118" i="1" a="1"/>
  <c r="D2118" i="1" s="1"/>
  <c r="E2118" i="1"/>
  <c r="D709" i="1" a="1"/>
  <c r="D709" i="1" s="1"/>
  <c r="E709" i="1"/>
  <c r="D1095" i="1" a="1"/>
  <c r="D1095" i="1" s="1"/>
  <c r="E1095" i="1"/>
  <c r="D1232" i="1" a="1"/>
  <c r="D1232" i="1" s="1"/>
  <c r="E1232" i="1"/>
  <c r="D953" i="1" a="1"/>
  <c r="D953" i="1" s="1"/>
  <c r="E953" i="1"/>
  <c r="D1390" i="1" a="1"/>
  <c r="D1390" i="1" s="1"/>
  <c r="E1390" i="1"/>
  <c r="D1276" i="1" a="1"/>
  <c r="D1276" i="1" s="1"/>
  <c r="E1276" i="1"/>
  <c r="E2213" i="1"/>
  <c r="D2213" i="1" a="1"/>
  <c r="D2213" i="1" s="1"/>
  <c r="D2315" i="1" a="1"/>
  <c r="D2315" i="1" s="1"/>
  <c r="E2315" i="1"/>
  <c r="D1326" i="1" a="1"/>
  <c r="D1326" i="1" s="1"/>
  <c r="E1326" i="1"/>
  <c r="D1780" i="1" a="1"/>
  <c r="D1780" i="1" s="1"/>
  <c r="E1780" i="1"/>
  <c r="D1990" i="1" a="1"/>
  <c r="D1990" i="1" s="1"/>
  <c r="E1990" i="1"/>
  <c r="D2179" i="1" a="1"/>
  <c r="D2179" i="1" s="1"/>
  <c r="E2179" i="1"/>
  <c r="E2010" i="1"/>
  <c r="D2010" i="1" a="1"/>
  <c r="D2010" i="1" s="1"/>
  <c r="D2238" i="1" a="1"/>
  <c r="D2238" i="1" s="1"/>
  <c r="E2238" i="1"/>
  <c r="D2092" i="1" a="1"/>
  <c r="D2092" i="1" s="1"/>
  <c r="E2092" i="1"/>
  <c r="D1569" i="1" a="1"/>
  <c r="D1569" i="1" s="1"/>
  <c r="E1569" i="1"/>
  <c r="D1354" i="1" a="1"/>
  <c r="D1354" i="1" s="1"/>
  <c r="E1354" i="1"/>
  <c r="D1798" i="1" a="1"/>
  <c r="D1798" i="1" s="1"/>
  <c r="E1798" i="1"/>
  <c r="D1029" i="1" a="1"/>
  <c r="D1029" i="1" s="1"/>
  <c r="E1029" i="1"/>
  <c r="D1478" i="1" a="1"/>
  <c r="D1478" i="1" s="1"/>
  <c r="E1478" i="1"/>
  <c r="D2344" i="1" a="1"/>
  <c r="D2344" i="1" s="1"/>
  <c r="E2344" i="1"/>
  <c r="D185" i="1" a="1"/>
  <c r="D185" i="1" s="1"/>
  <c r="E185" i="1"/>
  <c r="D2104" i="1" a="1"/>
  <c r="D2104" i="1" s="1"/>
  <c r="E2104" i="1"/>
  <c r="D1643" i="1" a="1"/>
  <c r="D1643" i="1" s="1"/>
  <c r="E1643" i="1"/>
  <c r="D1170" i="1" a="1"/>
  <c r="D1170" i="1" s="1"/>
  <c r="E1170" i="1"/>
  <c r="D2020" i="1" a="1"/>
  <c r="D2020" i="1" s="1"/>
  <c r="E2020" i="1"/>
  <c r="D1841" i="1" a="1"/>
  <c r="D1841" i="1" s="1"/>
  <c r="E1841" i="1"/>
  <c r="D1747" i="1" a="1"/>
  <c r="D1747" i="1" s="1"/>
  <c r="E1747" i="1"/>
  <c r="D700" i="1" a="1"/>
  <c r="D700" i="1" s="1"/>
  <c r="E700" i="1"/>
  <c r="D665" i="1" a="1"/>
  <c r="D665" i="1" s="1"/>
  <c r="E665" i="1"/>
  <c r="D1118" i="1" a="1"/>
  <c r="D1118" i="1" s="1"/>
  <c r="E1118" i="1"/>
  <c r="D1723" i="1" a="1"/>
  <c r="D1723" i="1" s="1"/>
  <c r="E1723" i="1"/>
  <c r="D849" i="1" a="1"/>
  <c r="D849" i="1" s="1"/>
  <c r="E849" i="1"/>
  <c r="D928" i="1" a="1"/>
  <c r="D928" i="1" s="1"/>
  <c r="E928" i="1"/>
  <c r="D430" i="1" a="1"/>
  <c r="D430" i="1" s="1"/>
  <c r="E430" i="1"/>
  <c r="D1208" i="1" a="1"/>
  <c r="D1208" i="1" s="1"/>
  <c r="E1208" i="1"/>
  <c r="D347" i="1" a="1"/>
  <c r="D347" i="1" s="1"/>
  <c r="E347" i="1"/>
  <c r="D2047" i="1" a="1"/>
  <c r="D2047" i="1" s="1"/>
  <c r="E2047" i="1"/>
  <c r="D2307" i="1" a="1"/>
  <c r="D2307" i="1" s="1"/>
  <c r="E2307" i="1"/>
  <c r="D304" i="1" a="1"/>
  <c r="D304" i="1" s="1"/>
  <c r="E304" i="1"/>
  <c r="D2199" i="1" a="1"/>
  <c r="D2199" i="1" s="1"/>
  <c r="E2199" i="1"/>
  <c r="D521" i="1" a="1"/>
  <c r="D521" i="1" s="1"/>
  <c r="E521" i="1"/>
  <c r="D445" i="1" a="1"/>
  <c r="D445" i="1" s="1"/>
  <c r="E445" i="1"/>
  <c r="D1911" i="1" a="1"/>
  <c r="D1911" i="1" s="1"/>
  <c r="E1911" i="1"/>
  <c r="D1460" i="1" a="1"/>
  <c r="D1460" i="1" s="1"/>
  <c r="E1460" i="1"/>
  <c r="D876" i="1" a="1"/>
  <c r="D876" i="1" s="1"/>
  <c r="E876" i="1"/>
  <c r="D1902" i="1" a="1"/>
  <c r="D1902" i="1" s="1"/>
  <c r="E1902" i="1"/>
  <c r="D2080" i="1" a="1"/>
  <c r="D2080" i="1" s="1"/>
  <c r="E2080" i="1"/>
  <c r="D1149" i="1" a="1"/>
  <c r="D1149" i="1" s="1"/>
  <c r="E1149" i="1"/>
  <c r="D365" i="1" a="1"/>
  <c r="D365" i="1" s="1"/>
  <c r="E365" i="1"/>
  <c r="D1299" i="1" a="1"/>
  <c r="D1299" i="1" s="1"/>
  <c r="E1299" i="1"/>
  <c r="D1882" i="1" a="1"/>
  <c r="D1882" i="1" s="1"/>
  <c r="E1882" i="1"/>
  <c r="D630" i="1" a="1"/>
  <c r="D630" i="1" s="1"/>
  <c r="E630" i="1"/>
  <c r="D1020" i="1" a="1"/>
  <c r="D1020" i="1" s="1"/>
  <c r="E1020" i="1"/>
  <c r="F1021" i="1"/>
  <c r="D732" i="1" a="1"/>
  <c r="D732" i="1" s="1"/>
  <c r="E732" i="1"/>
  <c r="D1010" i="1" a="1"/>
  <c r="D1010" i="1" s="1"/>
  <c r="E1010" i="1"/>
  <c r="D1851" i="1" a="1"/>
  <c r="D1851" i="1" s="1"/>
  <c r="E1851" i="1"/>
  <c r="D1366" i="1" a="1"/>
  <c r="D1366" i="1" s="1"/>
  <c r="E1366" i="1"/>
  <c r="E2221" i="1"/>
  <c r="D2221" i="1" a="1"/>
  <c r="D2221" i="1" s="1"/>
  <c r="D1532" i="1" a="1"/>
  <c r="D1532" i="1" s="1"/>
  <c r="E1532" i="1"/>
  <c r="D1492" i="1" a="1"/>
  <c r="D1492" i="1" s="1"/>
  <c r="E1492" i="1"/>
  <c r="D1970" i="1" a="1"/>
  <c r="D1970" i="1" s="1"/>
  <c r="E1970" i="1"/>
  <c r="E861" i="1"/>
  <c r="D861" i="1" a="1"/>
  <c r="D861" i="1" s="1"/>
  <c r="E2065" i="1"/>
  <c r="D2065" i="1" a="1"/>
  <c r="D2065" i="1" s="1"/>
  <c r="E1433" i="1"/>
  <c r="D1433" i="1" a="1"/>
  <c r="D1433" i="1" s="1"/>
  <c r="E2229" i="1"/>
  <c r="D2229" i="1" a="1"/>
  <c r="D2229" i="1" s="1"/>
  <c r="E2033" i="1"/>
  <c r="D2033" i="1" a="1"/>
  <c r="D2033" i="1" s="1"/>
  <c r="E1127" i="1"/>
  <c r="D1127" i="1" a="1"/>
  <c r="D1127" i="1" s="1"/>
  <c r="D1708" i="1" a="1"/>
  <c r="D1708" i="1" s="1"/>
  <c r="E1708" i="1"/>
  <c r="D1264" i="1" a="1"/>
  <c r="D1264" i="1" s="1"/>
  <c r="E1264" i="1"/>
  <c r="D2259" i="1" a="1"/>
  <c r="D2259" i="1" s="1"/>
  <c r="E2259" i="1"/>
  <c r="D1771" i="1" a="1"/>
  <c r="D1771" i="1" s="1"/>
  <c r="E1771" i="1"/>
  <c r="D2246" i="1" a="1"/>
  <c r="D2246" i="1" s="1"/>
  <c r="E2246" i="1"/>
  <c r="D332" i="1" a="1"/>
  <c r="D332" i="1" s="1"/>
  <c r="E332" i="1"/>
  <c r="D1665" i="1" a="1"/>
  <c r="D1665" i="1" s="1"/>
  <c r="E1665" i="1"/>
  <c r="D1058" i="1" a="1"/>
  <c r="D1058" i="1" s="1"/>
  <c r="E1058" i="1"/>
  <c r="D505" i="1" a="1"/>
  <c r="D505" i="1" s="1"/>
  <c r="E505" i="1"/>
  <c r="D285" i="1" a="1"/>
  <c r="D285" i="1" s="1"/>
  <c r="E285" i="1"/>
  <c r="D1943" i="1" a="1"/>
  <c r="D1943" i="1" s="1"/>
  <c r="E1943" i="1"/>
  <c r="D1981" i="1" a="1"/>
  <c r="D1981" i="1" s="1"/>
  <c r="E1981" i="1"/>
  <c r="D742" i="1" a="1"/>
  <c r="D742" i="1" s="1"/>
  <c r="E742" i="1"/>
  <c r="D270" i="1" a="1"/>
  <c r="D270" i="1" s="1"/>
  <c r="E270" i="1"/>
  <c r="D1443" i="1" a="1"/>
  <c r="D1443" i="1" s="1"/>
  <c r="E1443" i="1"/>
  <c r="D1924" i="1" a="1"/>
  <c r="D1924" i="1" s="1"/>
  <c r="E1924" i="1"/>
  <c r="D1763" i="1" a="1"/>
  <c r="D1763" i="1" s="1"/>
  <c r="E1763" i="1"/>
  <c r="D1071" i="1" a="1"/>
  <c r="D1071" i="1" s="1"/>
  <c r="E1071" i="1"/>
  <c r="D1680" i="1" a="1"/>
  <c r="D1680" i="1" s="1"/>
  <c r="E1680" i="1"/>
  <c r="D677" i="1" a="1"/>
  <c r="D677" i="1" s="1"/>
  <c r="E677" i="1"/>
  <c r="D841" i="1" a="1"/>
  <c r="D841" i="1" s="1"/>
  <c r="E841" i="1"/>
  <c r="D1380" i="1" a="1"/>
  <c r="D1380" i="1" s="1"/>
  <c r="E1380" i="1"/>
  <c r="D2267" i="1" a="1"/>
  <c r="D2267" i="1" s="1"/>
  <c r="E2267" i="1"/>
  <c r="D2189" i="1" a="1"/>
  <c r="D2189" i="1" s="1"/>
  <c r="E2189" i="1"/>
  <c r="D690" i="1" a="1"/>
  <c r="D690" i="1" s="1"/>
  <c r="E690" i="1"/>
  <c r="E1139" i="1"/>
  <c r="D1139" i="1" a="1"/>
  <c r="D1139" i="1" s="1"/>
  <c r="D1831" i="1" a="1"/>
  <c r="D1831" i="1" s="1"/>
  <c r="E1831" i="1"/>
  <c r="D2143" i="1" a="1"/>
  <c r="D2143" i="1" s="1"/>
  <c r="E2143" i="1"/>
  <c r="D1614" i="1" a="1"/>
  <c r="D1614" i="1" s="1"/>
  <c r="E1614" i="1"/>
  <c r="D2331" i="1" a="1"/>
  <c r="D2331" i="1" s="1"/>
  <c r="E2331" i="1"/>
  <c r="D1512" i="1" a="1"/>
  <c r="D1512" i="1" s="1"/>
  <c r="E1512" i="1"/>
  <c r="D1344" i="1" a="1"/>
  <c r="D1344" i="1" s="1"/>
  <c r="E1344" i="1"/>
  <c r="D1285" i="1" a="1"/>
  <c r="D1285" i="1" s="1"/>
  <c r="E1285" i="1"/>
  <c r="D104" i="1" a="1"/>
  <c r="D104" i="1" s="1"/>
  <c r="E104" i="1"/>
  <c r="D399" i="1" a="1"/>
  <c r="D399" i="1" s="1"/>
  <c r="E399" i="1"/>
  <c r="D833" i="1" a="1"/>
  <c r="D833" i="1" s="1"/>
  <c r="E833" i="1"/>
  <c r="D1541" i="1" a="1"/>
  <c r="D1541" i="1" s="1"/>
  <c r="E1541" i="1"/>
  <c r="D1243" i="1" a="1"/>
  <c r="D1243" i="1" s="1"/>
  <c r="E1243" i="1"/>
  <c r="D1425" i="1" a="1"/>
  <c r="D1425" i="1" s="1"/>
  <c r="E1425" i="1"/>
  <c r="F150" i="1"/>
  <c r="D149" i="1" a="1"/>
  <c r="D149" i="1" s="1"/>
  <c r="E149" i="1"/>
  <c r="F2105" i="1"/>
  <c r="F1405" i="1"/>
  <c r="F1503" i="1"/>
  <c r="F1748" i="1"/>
  <c r="F666" i="1"/>
  <c r="F1119" i="1"/>
  <c r="F1523" i="1"/>
  <c r="F1533" i="1"/>
  <c r="F1493" i="1"/>
  <c r="F431" i="1"/>
  <c r="F1971" i="1"/>
  <c r="F1209" i="1"/>
  <c r="F862" i="1"/>
  <c r="F1860" i="1"/>
  <c r="F2066" i="1"/>
  <c r="F305" i="1"/>
  <c r="F2200" i="1"/>
  <c r="F522" i="1"/>
  <c r="F1128" i="1"/>
  <c r="F1709" i="1"/>
  <c r="F1265" i="1"/>
  <c r="F877" i="1"/>
  <c r="F2247" i="1"/>
  <c r="F333" i="1"/>
  <c r="F1666" i="1"/>
  <c r="F1059" i="1"/>
  <c r="F506" i="1"/>
  <c r="F1883" i="1"/>
  <c r="F631" i="1"/>
  <c r="F1982" i="1"/>
  <c r="F972" i="1"/>
  <c r="F271" i="1"/>
  <c r="F1086" i="1"/>
  <c r="F722" i="1"/>
  <c r="F2119" i="1"/>
  <c r="F1072" i="1"/>
  <c r="F1681" i="1"/>
  <c r="F678" i="1"/>
  <c r="F954" i="1"/>
  <c r="F1381" i="1"/>
  <c r="F2268" i="1"/>
  <c r="F2190" i="1"/>
  <c r="F2316" i="1"/>
  <c r="F1327" i="1"/>
  <c r="F1781" i="1"/>
  <c r="F1991" i="1"/>
  <c r="F1615" i="1"/>
  <c r="F2332" i="1"/>
  <c r="F1513" i="1"/>
  <c r="F2093" i="1"/>
  <c r="F1286" i="1"/>
  <c r="F400" i="1"/>
  <c r="F1542" i="1"/>
  <c r="F2345" i="1"/>
  <c r="F186" i="1"/>
  <c r="F733" i="1"/>
  <c r="F1644" i="1"/>
  <c r="F1171" i="1"/>
  <c r="F1011" i="1"/>
  <c r="F2021" i="1"/>
  <c r="F1842" i="1"/>
  <c r="F701" i="1"/>
  <c r="F1367" i="1"/>
  <c r="F1724" i="1"/>
  <c r="F850" i="1"/>
  <c r="F929" i="1"/>
  <c r="F348" i="1"/>
  <c r="F2048" i="1"/>
  <c r="F1434" i="1"/>
  <c r="F2230" i="1"/>
  <c r="F2034" i="1"/>
  <c r="F446" i="1"/>
  <c r="F1912" i="1"/>
  <c r="F1461" i="1"/>
  <c r="F1772" i="1"/>
  <c r="F1903" i="1"/>
  <c r="F2081" i="1"/>
  <c r="F1150" i="1"/>
  <c r="F366" i="1"/>
  <c r="F1300" i="1"/>
  <c r="F286" i="1"/>
  <c r="F1944" i="1"/>
  <c r="F1599" i="1"/>
  <c r="F743" i="1"/>
  <c r="F1626" i="1"/>
  <c r="F1444" i="1"/>
  <c r="F1925" i="1"/>
  <c r="F710" i="1"/>
  <c r="F1096" i="1"/>
  <c r="F1233" i="1"/>
  <c r="F1277" i="1"/>
  <c r="F691" i="1"/>
  <c r="F1140" i="1"/>
  <c r="F1832" i="1"/>
  <c r="F2144" i="1"/>
  <c r="F2180" i="1"/>
  <c r="F2011" i="1"/>
  <c r="F1345" i="1"/>
  <c r="F1570" i="1"/>
  <c r="F1355" i="1"/>
  <c r="F1799" i="1"/>
  <c r="F1030" i="1"/>
  <c r="F1244" i="1"/>
  <c r="D1277" i="1" l="1" a="1"/>
  <c r="D1277" i="1" s="1"/>
  <c r="E1277" i="1"/>
  <c r="D1772" i="1" a="1"/>
  <c r="D1772" i="1" s="1"/>
  <c r="E1772" i="1"/>
  <c r="D1367" i="1" a="1"/>
  <c r="D1367" i="1" s="1"/>
  <c r="E1367" i="1"/>
  <c r="E1286" i="1"/>
  <c r="D1286" i="1" a="1"/>
  <c r="D1286" i="1" s="1"/>
  <c r="D1265" i="1" a="1"/>
  <c r="D1265" i="1" s="1"/>
  <c r="E1265" i="1"/>
  <c r="E2105" i="1"/>
  <c r="D2105" i="1" a="1"/>
  <c r="D2105" i="1" s="1"/>
  <c r="D1244" i="1" a="1"/>
  <c r="D1244" i="1" s="1"/>
  <c r="E1244" i="1"/>
  <c r="E1925" i="1"/>
  <c r="D1925" i="1" a="1"/>
  <c r="D1925" i="1" s="1"/>
  <c r="D366" i="1" a="1"/>
  <c r="D366" i="1" s="1"/>
  <c r="E366" i="1"/>
  <c r="D348" i="1" a="1"/>
  <c r="D348" i="1" s="1"/>
  <c r="E348" i="1"/>
  <c r="D186" i="1" a="1"/>
  <c r="D186" i="1" s="1"/>
  <c r="E186" i="1"/>
  <c r="D1615" i="1" a="1"/>
  <c r="D1615" i="1" s="1"/>
  <c r="E1615" i="1"/>
  <c r="D1381" i="1" a="1"/>
  <c r="D1381" i="1" s="1"/>
  <c r="E1381" i="1"/>
  <c r="D631" i="1" a="1"/>
  <c r="D631" i="1" s="1"/>
  <c r="E631" i="1"/>
  <c r="D2200" i="1" a="1"/>
  <c r="D2200" i="1" s="1"/>
  <c r="E2200" i="1"/>
  <c r="E1493" i="1"/>
  <c r="D1493" i="1" a="1"/>
  <c r="D1493" i="1" s="1"/>
  <c r="F151" i="1"/>
  <c r="D150" i="1" a="1"/>
  <c r="D150" i="1" s="1"/>
  <c r="E150" i="1"/>
  <c r="D1030" i="1" a="1"/>
  <c r="D1030" i="1" s="1"/>
  <c r="E1030" i="1"/>
  <c r="D1832" i="1" a="1"/>
  <c r="D1832" i="1" s="1"/>
  <c r="E1832" i="1"/>
  <c r="D1444" i="1" a="1"/>
  <c r="D1444" i="1" s="1"/>
  <c r="E1444" i="1"/>
  <c r="D1944" i="1" a="1"/>
  <c r="D1944" i="1" s="1"/>
  <c r="E1944" i="1"/>
  <c r="D1461" i="1" a="1"/>
  <c r="D1461" i="1" s="1"/>
  <c r="E1461" i="1"/>
  <c r="D929" i="1" a="1"/>
  <c r="D929" i="1" s="1"/>
  <c r="E929" i="1"/>
  <c r="D1171" i="1" a="1"/>
  <c r="D1171" i="1" s="1"/>
  <c r="E1171" i="1"/>
  <c r="D2093" i="1" a="1"/>
  <c r="D2093" i="1" s="1"/>
  <c r="E2093" i="1"/>
  <c r="D1991" i="1" a="1"/>
  <c r="D1991" i="1" s="1"/>
  <c r="E1991" i="1"/>
  <c r="D954" i="1" a="1"/>
  <c r="D954" i="1" s="1"/>
  <c r="E954" i="1"/>
  <c r="D271" i="1" a="1"/>
  <c r="D271" i="1" s="1"/>
  <c r="E271" i="1"/>
  <c r="D333" i="1" a="1"/>
  <c r="D333" i="1" s="1"/>
  <c r="E333" i="1"/>
  <c r="D305" i="1" a="1"/>
  <c r="D305" i="1" s="1"/>
  <c r="E305" i="1"/>
  <c r="D1533" i="1" a="1"/>
  <c r="D1533" i="1" s="1"/>
  <c r="E1533" i="1"/>
  <c r="D1799" i="1" a="1"/>
  <c r="D1799" i="1" s="1"/>
  <c r="E1799" i="1"/>
  <c r="D1140" i="1" a="1"/>
  <c r="D1140" i="1" s="1"/>
  <c r="E1140" i="1"/>
  <c r="D1096" i="1" a="1"/>
  <c r="D1096" i="1" s="1"/>
  <c r="E1096" i="1"/>
  <c r="D1626" i="1" a="1"/>
  <c r="D1626" i="1" s="1"/>
  <c r="E1626" i="1"/>
  <c r="D286" i="1" a="1"/>
  <c r="D286" i="1" s="1"/>
  <c r="E286" i="1"/>
  <c r="D2081" i="1" a="1"/>
  <c r="D2081" i="1" s="1"/>
  <c r="E2081" i="1"/>
  <c r="D1912" i="1" a="1"/>
  <c r="D1912" i="1" s="1"/>
  <c r="E1912" i="1"/>
  <c r="D1434" i="1" a="1"/>
  <c r="D1434" i="1" s="1"/>
  <c r="E1434" i="1"/>
  <c r="D850" i="1" a="1"/>
  <c r="D850" i="1" s="1"/>
  <c r="E850" i="1"/>
  <c r="D1842" i="1" a="1"/>
  <c r="D1842" i="1" s="1"/>
  <c r="E1842" i="1"/>
  <c r="D1644" i="1" a="1"/>
  <c r="D1644" i="1" s="1"/>
  <c r="E1644" i="1"/>
  <c r="D1542" i="1" a="1"/>
  <c r="D1542" i="1" s="1"/>
  <c r="E1542" i="1"/>
  <c r="E1513" i="1"/>
  <c r="D1513" i="1" a="1"/>
  <c r="D1513" i="1" s="1"/>
  <c r="D1781" i="1" a="1"/>
  <c r="D1781" i="1" s="1"/>
  <c r="E1781" i="1"/>
  <c r="D2190" i="1" a="1"/>
  <c r="D2190" i="1" s="1"/>
  <c r="E2190" i="1"/>
  <c r="D678" i="1" a="1"/>
  <c r="D678" i="1" s="1"/>
  <c r="E678" i="1"/>
  <c r="D722" i="1" a="1"/>
  <c r="D722" i="1" s="1"/>
  <c r="E722" i="1"/>
  <c r="D972" i="1" a="1"/>
  <c r="D972" i="1" s="1"/>
  <c r="E972" i="1"/>
  <c r="D506" i="1" a="1"/>
  <c r="D506" i="1" s="1"/>
  <c r="E506" i="1"/>
  <c r="D2247" i="1" a="1"/>
  <c r="D2247" i="1" s="1"/>
  <c r="E2247" i="1"/>
  <c r="D1128" i="1" a="1"/>
  <c r="D1128" i="1" s="1"/>
  <c r="E1128" i="1"/>
  <c r="D2066" i="1" a="1"/>
  <c r="D2066" i="1" s="1"/>
  <c r="E2066" i="1"/>
  <c r="D1971" i="1" a="1"/>
  <c r="D1971" i="1" s="1"/>
  <c r="E1971" i="1"/>
  <c r="D1523" i="1" a="1"/>
  <c r="D1523" i="1" s="1"/>
  <c r="E1523" i="1"/>
  <c r="D1503" i="1" a="1"/>
  <c r="D1503" i="1" s="1"/>
  <c r="E1503" i="1"/>
  <c r="D1570" i="1" a="1"/>
  <c r="D1570" i="1" s="1"/>
  <c r="E1570" i="1"/>
  <c r="D2144" i="1" a="1"/>
  <c r="D2144" i="1" s="1"/>
  <c r="E2144" i="1"/>
  <c r="D1599" i="1" a="1"/>
  <c r="D1599" i="1" s="1"/>
  <c r="E1599" i="1"/>
  <c r="D2034" i="1" a="1"/>
  <c r="D2034" i="1" s="1"/>
  <c r="E2034" i="1"/>
  <c r="D1011" i="1" a="1"/>
  <c r="D1011" i="1" s="1"/>
  <c r="E1011" i="1"/>
  <c r="D2316" i="1" a="1"/>
  <c r="D2316" i="1" s="1"/>
  <c r="E2316" i="1"/>
  <c r="D1072" i="1" a="1"/>
  <c r="D1072" i="1" s="1"/>
  <c r="E1072" i="1"/>
  <c r="D1666" i="1" a="1"/>
  <c r="D1666" i="1" s="1"/>
  <c r="E1666" i="1"/>
  <c r="D862" i="1" a="1"/>
  <c r="D862" i="1" s="1"/>
  <c r="E862" i="1"/>
  <c r="D666" i="1" a="1"/>
  <c r="D666" i="1" s="1"/>
  <c r="E666" i="1"/>
  <c r="D1345" i="1" a="1"/>
  <c r="D1345" i="1" s="1"/>
  <c r="E1345" i="1"/>
  <c r="D1233" i="1" a="1"/>
  <c r="D1233" i="1" s="1"/>
  <c r="E1233" i="1"/>
  <c r="D1150" i="1" a="1"/>
  <c r="D1150" i="1" s="1"/>
  <c r="E1150" i="1"/>
  <c r="D2230" i="1" a="1"/>
  <c r="D2230" i="1" s="1"/>
  <c r="E2230" i="1"/>
  <c r="D701" i="1" a="1"/>
  <c r="D701" i="1" s="1"/>
  <c r="E701" i="1"/>
  <c r="E2345" i="1"/>
  <c r="D2345" i="1" a="1"/>
  <c r="D2345" i="1" s="1"/>
  <c r="D2119" i="1" a="1"/>
  <c r="D2119" i="1" s="1"/>
  <c r="E2119" i="1"/>
  <c r="D1883" i="1" a="1"/>
  <c r="D1883" i="1" s="1"/>
  <c r="E1883" i="1"/>
  <c r="E1709" i="1"/>
  <c r="D1709" i="1" a="1"/>
  <c r="D1709" i="1" s="1"/>
  <c r="D1209" i="1" a="1"/>
  <c r="D1209" i="1" s="1"/>
  <c r="E1209" i="1"/>
  <c r="D1748" i="1" a="1"/>
  <c r="D1748" i="1" s="1"/>
  <c r="E1748" i="1"/>
  <c r="D2011" i="1" a="1"/>
  <c r="D2011" i="1" s="1"/>
  <c r="E2011" i="1"/>
  <c r="D1355" i="1" a="1"/>
  <c r="D1355" i="1" s="1"/>
  <c r="E1355" i="1"/>
  <c r="D2180" i="1" a="1"/>
  <c r="D2180" i="1" s="1"/>
  <c r="E2180" i="1"/>
  <c r="E691" i="1"/>
  <c r="D691" i="1" a="1"/>
  <c r="D691" i="1" s="1"/>
  <c r="D710" i="1" a="1"/>
  <c r="D710" i="1" s="1"/>
  <c r="E710" i="1"/>
  <c r="D743" i="1" a="1"/>
  <c r="D743" i="1" s="1"/>
  <c r="E743" i="1"/>
  <c r="D1300" i="1" a="1"/>
  <c r="D1300" i="1" s="1"/>
  <c r="E1300" i="1"/>
  <c r="D1903" i="1" a="1"/>
  <c r="D1903" i="1" s="1"/>
  <c r="E1903" i="1"/>
  <c r="D446" i="1" a="1"/>
  <c r="D446" i="1" s="1"/>
  <c r="E446" i="1"/>
  <c r="D2048" i="1" a="1"/>
  <c r="D2048" i="1" s="1"/>
  <c r="E2048" i="1"/>
  <c r="D1724" i="1" a="1"/>
  <c r="D1724" i="1" s="1"/>
  <c r="E1724" i="1"/>
  <c r="D2021" i="1" a="1"/>
  <c r="D2021" i="1" s="1"/>
  <c r="E2021" i="1"/>
  <c r="D733" i="1" a="1"/>
  <c r="D733" i="1" s="1"/>
  <c r="E733" i="1"/>
  <c r="D400" i="1" a="1"/>
  <c r="D400" i="1" s="1"/>
  <c r="E400" i="1"/>
  <c r="D2332" i="1" a="1"/>
  <c r="D2332" i="1" s="1"/>
  <c r="E2332" i="1"/>
  <c r="E1327" i="1"/>
  <c r="D1327" i="1" a="1"/>
  <c r="D1327" i="1" s="1"/>
  <c r="D2268" i="1" a="1"/>
  <c r="D2268" i="1" s="1"/>
  <c r="E2268" i="1"/>
  <c r="D1681" i="1" a="1"/>
  <c r="D1681" i="1" s="1"/>
  <c r="E1681" i="1"/>
  <c r="D1086" i="1" a="1"/>
  <c r="D1086" i="1" s="1"/>
  <c r="E1086" i="1"/>
  <c r="D1982" i="1" a="1"/>
  <c r="D1982" i="1" s="1"/>
  <c r="E1982" i="1"/>
  <c r="D1059" i="1" a="1"/>
  <c r="D1059" i="1" s="1"/>
  <c r="E1059" i="1"/>
  <c r="D877" i="1" a="1"/>
  <c r="D877" i="1" s="1"/>
  <c r="E877" i="1"/>
  <c r="E522" i="1"/>
  <c r="D522" i="1" a="1"/>
  <c r="D522" i="1" s="1"/>
  <c r="D1860" i="1" a="1"/>
  <c r="D1860" i="1" s="1"/>
  <c r="E1860" i="1"/>
  <c r="D431" i="1" a="1"/>
  <c r="D431" i="1" s="1"/>
  <c r="E431" i="1"/>
  <c r="E1119" i="1"/>
  <c r="D1119" i="1" a="1"/>
  <c r="D1119" i="1" s="1"/>
  <c r="D1405" i="1" a="1"/>
  <c r="D1405" i="1" s="1"/>
  <c r="E1405" i="1"/>
  <c r="D1021" i="1" a="1"/>
  <c r="D1021" i="1" s="1"/>
  <c r="E1021" i="1"/>
  <c r="F2181" i="1"/>
  <c r="F1301" i="1"/>
  <c r="F930" i="1"/>
  <c r="F1172" i="1"/>
  <c r="F2346" i="1"/>
  <c r="F401" i="1"/>
  <c r="F2094" i="1"/>
  <c r="F1992" i="1"/>
  <c r="F272" i="1"/>
  <c r="F1710" i="1"/>
  <c r="F306" i="1"/>
  <c r="F1861" i="1"/>
  <c r="F1749" i="1"/>
  <c r="F1406" i="1"/>
  <c r="F1571" i="1"/>
  <c r="F2012" i="1"/>
  <c r="F1141" i="1"/>
  <c r="F287" i="1"/>
  <c r="F2082" i="1"/>
  <c r="F2035" i="1"/>
  <c r="F349" i="1"/>
  <c r="F1012" i="1"/>
  <c r="F187" i="1"/>
  <c r="F1287" i="1"/>
  <c r="F1616" i="1"/>
  <c r="F1073" i="1"/>
  <c r="F1667" i="1"/>
  <c r="F1266" i="1"/>
  <c r="F2201" i="1"/>
  <c r="F2067" i="1"/>
  <c r="F1972" i="1"/>
  <c r="F1524" i="1"/>
  <c r="F667" i="1"/>
  <c r="F692" i="1"/>
  <c r="F1234" i="1"/>
  <c r="F1445" i="1"/>
  <c r="F2120" i="1"/>
  <c r="F1884" i="1"/>
  <c r="F334" i="1"/>
  <c r="F432" i="1"/>
  <c r="F1356" i="1"/>
  <c r="F1833" i="1"/>
  <c r="F711" i="1"/>
  <c r="F744" i="1"/>
  <c r="F1945" i="1"/>
  <c r="F1151" i="1"/>
  <c r="F447" i="1"/>
  <c r="F2049" i="1"/>
  <c r="F1725" i="1"/>
  <c r="F2022" i="1"/>
  <c r="F734" i="1"/>
  <c r="F2333" i="1"/>
  <c r="F1328" i="1"/>
  <c r="F2269" i="1"/>
  <c r="F955" i="1"/>
  <c r="F1682" i="1"/>
  <c r="F1060" i="1"/>
  <c r="F878" i="1"/>
  <c r="F523" i="1"/>
  <c r="F1031" i="1"/>
  <c r="F1346" i="1"/>
  <c r="F1462" i="1"/>
  <c r="F1245" i="1"/>
  <c r="F1800" i="1"/>
  <c r="F2145" i="1"/>
  <c r="F1097" i="1"/>
  <c r="F1926" i="1"/>
  <c r="F1627" i="1"/>
  <c r="F1600" i="1"/>
  <c r="F367" i="1"/>
  <c r="F1913" i="1"/>
  <c r="F1435" i="1"/>
  <c r="F851" i="1"/>
  <c r="F1368" i="1"/>
  <c r="F1843" i="1"/>
  <c r="F1645" i="1"/>
  <c r="F1543" i="1"/>
  <c r="F1514" i="1"/>
  <c r="F1782" i="1"/>
  <c r="F2191" i="1"/>
  <c r="F1382" i="1"/>
  <c r="F679" i="1"/>
  <c r="F723" i="1"/>
  <c r="F973" i="1"/>
  <c r="F507" i="1"/>
  <c r="F2248" i="1"/>
  <c r="F1129" i="1"/>
  <c r="F863" i="1"/>
  <c r="F1494" i="1"/>
  <c r="F2106" i="1"/>
  <c r="A1461" i="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D1843" i="1" l="1" a="1"/>
  <c r="D1843" i="1" s="1"/>
  <c r="E1843" i="1"/>
  <c r="E1245" i="1"/>
  <c r="D1245" i="1" a="1"/>
  <c r="D1245" i="1" s="1"/>
  <c r="D734" i="1" a="1"/>
  <c r="D734" i="1" s="1"/>
  <c r="E734" i="1"/>
  <c r="D334" i="1" a="1"/>
  <c r="D334" i="1" s="1"/>
  <c r="E334" i="1"/>
  <c r="D1266" i="1" a="1"/>
  <c r="D1266" i="1" s="1"/>
  <c r="E1266" i="1"/>
  <c r="D1141" i="1" a="1"/>
  <c r="D1141" i="1" s="1"/>
  <c r="E1141" i="1"/>
  <c r="D272" i="1" a="1"/>
  <c r="D272" i="1" s="1"/>
  <c r="E272" i="1"/>
  <c r="D2106" i="1" a="1"/>
  <c r="D2106" i="1" s="1"/>
  <c r="E2106" i="1"/>
  <c r="D2248" i="1" a="1"/>
  <c r="D2248" i="1" s="1"/>
  <c r="E2248" i="1"/>
  <c r="D679" i="1" a="1"/>
  <c r="D679" i="1" s="1"/>
  <c r="E679" i="1"/>
  <c r="D1514" i="1" a="1"/>
  <c r="D1514" i="1" s="1"/>
  <c r="E1514" i="1"/>
  <c r="D1368" i="1" a="1"/>
  <c r="D1368" i="1" s="1"/>
  <c r="E1368" i="1"/>
  <c r="D367" i="1" a="1"/>
  <c r="D367" i="1" s="1"/>
  <c r="E367" i="1"/>
  <c r="D1097" i="1" a="1"/>
  <c r="D1097" i="1" s="1"/>
  <c r="E1097" i="1"/>
  <c r="D1462" i="1" a="1"/>
  <c r="D1462" i="1" s="1"/>
  <c r="E1462" i="1"/>
  <c r="D878" i="1" a="1"/>
  <c r="D878" i="1" s="1"/>
  <c r="E878" i="1"/>
  <c r="E2269" i="1"/>
  <c r="D2269" i="1" a="1"/>
  <c r="D2269" i="1" s="1"/>
  <c r="D2022" i="1" a="1"/>
  <c r="D2022" i="1" s="1"/>
  <c r="E2022" i="1"/>
  <c r="D1151" i="1" a="1"/>
  <c r="D1151" i="1" s="1"/>
  <c r="E1151" i="1"/>
  <c r="D1833" i="1" a="1"/>
  <c r="D1833" i="1" s="1"/>
  <c r="E1833" i="1"/>
  <c r="D1884" i="1" a="1"/>
  <c r="D1884" i="1" s="1"/>
  <c r="E1884" i="1"/>
  <c r="D1234" i="1" a="1"/>
  <c r="D1234" i="1" s="1"/>
  <c r="E1234" i="1"/>
  <c r="E1972" i="1"/>
  <c r="D1972" i="1" a="1"/>
  <c r="D1972" i="1" s="1"/>
  <c r="D1667" i="1" a="1"/>
  <c r="D1667" i="1" s="1"/>
  <c r="E1667" i="1"/>
  <c r="D1287" i="1" a="1"/>
  <c r="D1287" i="1" s="1"/>
  <c r="E1287" i="1"/>
  <c r="D2035" i="1" a="1"/>
  <c r="D2035" i="1" s="1"/>
  <c r="E2035" i="1"/>
  <c r="D2012" i="1" a="1"/>
  <c r="D2012" i="1" s="1"/>
  <c r="E2012" i="1"/>
  <c r="E1861" i="1"/>
  <c r="D1861" i="1" a="1"/>
  <c r="D1861" i="1" s="1"/>
  <c r="D1992" i="1" a="1"/>
  <c r="D1992" i="1" s="1"/>
  <c r="E1992" i="1"/>
  <c r="D1172" i="1" a="1"/>
  <c r="D1172" i="1" s="1"/>
  <c r="E1172" i="1"/>
  <c r="F152" i="1"/>
  <c r="D151" i="1" a="1"/>
  <c r="D151" i="1" s="1"/>
  <c r="E151" i="1"/>
  <c r="D1129" i="1" a="1"/>
  <c r="D1129" i="1" s="1"/>
  <c r="E1129" i="1"/>
  <c r="D1782" i="1" a="1"/>
  <c r="D1782" i="1" s="1"/>
  <c r="E1782" i="1"/>
  <c r="D1926" i="1" a="1"/>
  <c r="D1926" i="1" s="1"/>
  <c r="E1926" i="1"/>
  <c r="D955" i="1" a="1"/>
  <c r="D955" i="1" s="1"/>
  <c r="E955" i="1"/>
  <c r="D447" i="1" a="1"/>
  <c r="D447" i="1" s="1"/>
  <c r="E447" i="1"/>
  <c r="D1445" i="1" a="1"/>
  <c r="D1445" i="1" s="1"/>
  <c r="E1445" i="1"/>
  <c r="D349" i="1" a="1"/>
  <c r="D349" i="1" s="1"/>
  <c r="E349" i="1"/>
  <c r="E2346" i="1"/>
  <c r="D2346" i="1" a="1"/>
  <c r="D2346" i="1" s="1"/>
  <c r="D507" i="1" a="1"/>
  <c r="D507" i="1" s="1"/>
  <c r="E507" i="1"/>
  <c r="E851" i="1"/>
  <c r="D851" i="1" a="1"/>
  <c r="D851" i="1" s="1"/>
  <c r="E2145" i="1"/>
  <c r="D2145" i="1" a="1"/>
  <c r="D2145" i="1" s="1"/>
  <c r="D1060" i="1" a="1"/>
  <c r="D1060" i="1" s="1"/>
  <c r="E1060" i="1"/>
  <c r="D1328" i="1" a="1"/>
  <c r="D1328" i="1" s="1"/>
  <c r="E1328" i="1"/>
  <c r="E1945" i="1"/>
  <c r="D1945" i="1" a="1"/>
  <c r="D1945" i="1" s="1"/>
  <c r="D1356" i="1" a="1"/>
  <c r="D1356" i="1" s="1"/>
  <c r="E1356" i="1"/>
  <c r="D2120" i="1" a="1"/>
  <c r="D2120" i="1" s="1"/>
  <c r="E2120" i="1"/>
  <c r="D692" i="1" a="1"/>
  <c r="D692" i="1" s="1"/>
  <c r="E692" i="1"/>
  <c r="D2067" i="1" a="1"/>
  <c r="D2067" i="1" s="1"/>
  <c r="E2067" i="1"/>
  <c r="D187" i="1" a="1"/>
  <c r="D187" i="1" s="1"/>
  <c r="E187" i="1"/>
  <c r="D2082" i="1" a="1"/>
  <c r="D2082" i="1" s="1"/>
  <c r="E2082" i="1"/>
  <c r="D1571" i="1" a="1"/>
  <c r="D1571" i="1" s="1"/>
  <c r="E1571" i="1"/>
  <c r="D306" i="1" a="1"/>
  <c r="D306" i="1" s="1"/>
  <c r="E306" i="1"/>
  <c r="D2094" i="1" a="1"/>
  <c r="D2094" i="1" s="1"/>
  <c r="E2094" i="1"/>
  <c r="D930" i="1" a="1"/>
  <c r="D930" i="1" s="1"/>
  <c r="E930" i="1"/>
  <c r="D723" i="1" a="1"/>
  <c r="D723" i="1" s="1"/>
  <c r="E723" i="1"/>
  <c r="D1913" i="1" a="1"/>
  <c r="D1913" i="1" s="1"/>
  <c r="E1913" i="1"/>
  <c r="D523" i="1" a="1"/>
  <c r="D523" i="1" s="1"/>
  <c r="E523" i="1"/>
  <c r="D711" i="1" a="1"/>
  <c r="D711" i="1" s="1"/>
  <c r="E711" i="1"/>
  <c r="D1524" i="1" a="1"/>
  <c r="D1524" i="1" s="1"/>
  <c r="E1524" i="1"/>
  <c r="D1616" i="1" a="1"/>
  <c r="D1616" i="1" s="1"/>
  <c r="E1616" i="1"/>
  <c r="D1749" i="1" a="1"/>
  <c r="D1749" i="1" s="1"/>
  <c r="E1749" i="1"/>
  <c r="D2181" i="1" a="1"/>
  <c r="D2181" i="1" s="1"/>
  <c r="E2181" i="1"/>
  <c r="D1494" i="1" a="1"/>
  <c r="D1494" i="1" s="1"/>
  <c r="E1494" i="1"/>
  <c r="D1382" i="1" a="1"/>
  <c r="D1382" i="1" s="1"/>
  <c r="E1382" i="1"/>
  <c r="D1543" i="1" a="1"/>
  <c r="D1543" i="1" s="1"/>
  <c r="E1543" i="1"/>
  <c r="D1600" i="1" a="1"/>
  <c r="D1600" i="1" s="1"/>
  <c r="E1600" i="1"/>
  <c r="D1346" i="1" a="1"/>
  <c r="D1346" i="1" s="1"/>
  <c r="E1346" i="1"/>
  <c r="D1725" i="1" a="1"/>
  <c r="D1725" i="1" s="1"/>
  <c r="E1725" i="1"/>
  <c r="D863" i="1" a="1"/>
  <c r="D863" i="1" s="1"/>
  <c r="E863" i="1"/>
  <c r="D973" i="1" a="1"/>
  <c r="D973" i="1" s="1"/>
  <c r="E973" i="1"/>
  <c r="D2191" i="1" a="1"/>
  <c r="D2191" i="1" s="1"/>
  <c r="E2191" i="1"/>
  <c r="D1645" i="1" a="1"/>
  <c r="D1645" i="1" s="1"/>
  <c r="E1645" i="1"/>
  <c r="D1435" i="1" a="1"/>
  <c r="D1435" i="1" s="1"/>
  <c r="E1435" i="1"/>
  <c r="D1627" i="1" a="1"/>
  <c r="D1627" i="1" s="1"/>
  <c r="E1627" i="1"/>
  <c r="D1800" i="1" a="1"/>
  <c r="D1800" i="1" s="1"/>
  <c r="E1800" i="1"/>
  <c r="D1031" i="1" a="1"/>
  <c r="D1031" i="1" s="1"/>
  <c r="E1031" i="1"/>
  <c r="D1682" i="1" a="1"/>
  <c r="D1682" i="1" s="1"/>
  <c r="E1682" i="1"/>
  <c r="E2333" i="1"/>
  <c r="D2333" i="1" a="1"/>
  <c r="D2333" i="1" s="1"/>
  <c r="E2049" i="1"/>
  <c r="D2049" i="1" a="1"/>
  <c r="D2049" i="1" s="1"/>
  <c r="D744" i="1" a="1"/>
  <c r="D744" i="1" s="1"/>
  <c r="E744" i="1"/>
  <c r="D432" i="1" a="1"/>
  <c r="D432" i="1" s="1"/>
  <c r="E432" i="1"/>
  <c r="D667" i="1" a="1"/>
  <c r="D667" i="1" s="1"/>
  <c r="E667" i="1"/>
  <c r="E2201" i="1"/>
  <c r="D2201" i="1" a="1"/>
  <c r="D2201" i="1" s="1"/>
  <c r="D1073" i="1" a="1"/>
  <c r="D1073" i="1" s="1"/>
  <c r="E1073" i="1"/>
  <c r="D1012" i="1" a="1"/>
  <c r="D1012" i="1" s="1"/>
  <c r="E1012" i="1"/>
  <c r="D287" i="1" a="1"/>
  <c r="D287" i="1" s="1"/>
  <c r="E287" i="1"/>
  <c r="D1406" i="1" a="1"/>
  <c r="D1406" i="1" s="1"/>
  <c r="E1406" i="1"/>
  <c r="D1710" i="1" a="1"/>
  <c r="D1710" i="1" s="1"/>
  <c r="E1710" i="1"/>
  <c r="D401" i="1" a="1"/>
  <c r="D401" i="1" s="1"/>
  <c r="E401" i="1"/>
  <c r="D1301" i="1" a="1"/>
  <c r="D1301" i="1" s="1"/>
  <c r="E1301" i="1"/>
  <c r="F680" i="1"/>
  <c r="F1369" i="1"/>
  <c r="F1628" i="1"/>
  <c r="F1801" i="1"/>
  <c r="F745" i="1"/>
  <c r="F433" i="1"/>
  <c r="F1235" i="1"/>
  <c r="F668" i="1"/>
  <c r="F2202" i="1"/>
  <c r="F288" i="1"/>
  <c r="F1862" i="1"/>
  <c r="F1993" i="1"/>
  <c r="F1173" i="1"/>
  <c r="F1302" i="1"/>
  <c r="F1130" i="1"/>
  <c r="F724" i="1"/>
  <c r="F1783" i="1"/>
  <c r="F1914" i="1"/>
  <c r="F1601" i="1"/>
  <c r="F2146" i="1"/>
  <c r="F524" i="1"/>
  <c r="F956" i="1"/>
  <c r="F1726" i="1"/>
  <c r="F1946" i="1"/>
  <c r="F1357" i="1"/>
  <c r="F2121" i="1"/>
  <c r="F1446" i="1"/>
  <c r="F2068" i="1"/>
  <c r="F188" i="1"/>
  <c r="F2083" i="1"/>
  <c r="F1750" i="1"/>
  <c r="F273" i="1"/>
  <c r="F2347" i="1"/>
  <c r="F2107" i="1"/>
  <c r="F2249" i="1"/>
  <c r="F1032" i="1"/>
  <c r="F879" i="1"/>
  <c r="F2270" i="1"/>
  <c r="F2023" i="1"/>
  <c r="F864" i="1"/>
  <c r="F974" i="1"/>
  <c r="F1646" i="1"/>
  <c r="F368" i="1"/>
  <c r="F1098" i="1"/>
  <c r="F1683" i="1"/>
  <c r="F2334" i="1"/>
  <c r="F1152" i="1"/>
  <c r="F1885" i="1"/>
  <c r="F1973" i="1"/>
  <c r="F1668" i="1"/>
  <c r="F1074" i="1"/>
  <c r="F1288" i="1"/>
  <c r="F2036" i="1"/>
  <c r="F1407" i="1"/>
  <c r="F1711" i="1"/>
  <c r="F402" i="1"/>
  <c r="F508" i="1"/>
  <c r="F1544" i="1"/>
  <c r="F852" i="1"/>
  <c r="F1927" i="1"/>
  <c r="F1246" i="1"/>
  <c r="F1061" i="1"/>
  <c r="F1329" i="1"/>
  <c r="F448" i="1"/>
  <c r="F712" i="1"/>
  <c r="F335" i="1"/>
  <c r="F1267" i="1"/>
  <c r="F1617" i="1"/>
  <c r="F350" i="1"/>
  <c r="F1572" i="1"/>
  <c r="F307" i="1"/>
  <c r="F2095" i="1"/>
  <c r="F931" i="1"/>
  <c r="A1576" i="1"/>
  <c r="A1575" i="1"/>
  <c r="A1583" i="1"/>
  <c r="A1577" i="1"/>
  <c r="A1585" i="1"/>
  <c r="A1584" i="1"/>
  <c r="A1587" i="1"/>
  <c r="A1586" i="1"/>
  <c r="D712" i="1" l="1" a="1"/>
  <c r="D712" i="1" s="1"/>
  <c r="E712" i="1"/>
  <c r="D1973" i="1" a="1"/>
  <c r="D1973" i="1" s="1"/>
  <c r="E1973" i="1"/>
  <c r="D2347" i="1" a="1"/>
  <c r="D2347" i="1" s="1"/>
  <c r="E2347" i="1"/>
  <c r="D524" i="1" a="1"/>
  <c r="D524" i="1" s="1"/>
  <c r="E524" i="1"/>
  <c r="D745" i="1" a="1"/>
  <c r="D745" i="1" s="1"/>
  <c r="E745" i="1"/>
  <c r="D448" i="1" a="1"/>
  <c r="D448" i="1" s="1"/>
  <c r="E448" i="1"/>
  <c r="D1885" i="1" a="1"/>
  <c r="D1885" i="1" s="1"/>
  <c r="E1885" i="1"/>
  <c r="D2068" i="1" a="1"/>
  <c r="D2068" i="1" s="1"/>
  <c r="E2068" i="1"/>
  <c r="D668" i="1" a="1"/>
  <c r="D668" i="1" s="1"/>
  <c r="E668" i="1"/>
  <c r="E1617" i="1"/>
  <c r="D1617" i="1" a="1"/>
  <c r="D1617" i="1" s="1"/>
  <c r="D508" i="1" a="1"/>
  <c r="D508" i="1" s="1"/>
  <c r="E508" i="1"/>
  <c r="D1683" i="1" a="1"/>
  <c r="D1683" i="1" s="1"/>
  <c r="E1683" i="1"/>
  <c r="D879" i="1" a="1"/>
  <c r="D879" i="1" s="1"/>
  <c r="E879" i="1"/>
  <c r="D1357" i="1" a="1"/>
  <c r="D1357" i="1" s="1"/>
  <c r="E1357" i="1"/>
  <c r="D1173" i="1" a="1"/>
  <c r="D1173" i="1" s="1"/>
  <c r="E1173" i="1"/>
  <c r="E680" i="1"/>
  <c r="D680" i="1" a="1"/>
  <c r="D680" i="1" s="1"/>
  <c r="D402" i="1" a="1"/>
  <c r="D402" i="1" s="1"/>
  <c r="E402" i="1"/>
  <c r="D1098" i="1" a="1"/>
  <c r="D1098" i="1" s="1"/>
  <c r="E1098" i="1"/>
  <c r="D1032" i="1" a="1"/>
  <c r="D1032" i="1" s="1"/>
  <c r="E1032" i="1"/>
  <c r="D1946" i="1" a="1"/>
  <c r="D1946" i="1" s="1"/>
  <c r="E1946" i="1"/>
  <c r="D724" i="1" a="1"/>
  <c r="D724" i="1" s="1"/>
  <c r="E724" i="1"/>
  <c r="D1801" i="1" a="1"/>
  <c r="D1801" i="1" s="1"/>
  <c r="E1801" i="1"/>
  <c r="D1572" i="1" a="1"/>
  <c r="D1572" i="1" s="1"/>
  <c r="E1572" i="1"/>
  <c r="D1267" i="1" a="1"/>
  <c r="D1267" i="1" s="1"/>
  <c r="E1267" i="1"/>
  <c r="D1329" i="1" a="1"/>
  <c r="D1329" i="1" s="1"/>
  <c r="E1329" i="1"/>
  <c r="D852" i="1" a="1"/>
  <c r="D852" i="1" s="1"/>
  <c r="E852" i="1"/>
  <c r="D1711" i="1" a="1"/>
  <c r="D1711" i="1" s="1"/>
  <c r="E1711" i="1"/>
  <c r="D1074" i="1" a="1"/>
  <c r="D1074" i="1" s="1"/>
  <c r="E1074" i="1"/>
  <c r="D1152" i="1" a="1"/>
  <c r="D1152" i="1" s="1"/>
  <c r="E1152" i="1"/>
  <c r="D368" i="1" a="1"/>
  <c r="D368" i="1" s="1"/>
  <c r="E368" i="1"/>
  <c r="D2023" i="1" a="1"/>
  <c r="D2023" i="1" s="1"/>
  <c r="E2023" i="1"/>
  <c r="E2249" i="1"/>
  <c r="D2249" i="1" a="1"/>
  <c r="D2249" i="1" s="1"/>
  <c r="D1750" i="1" a="1"/>
  <c r="D1750" i="1" s="1"/>
  <c r="E1750" i="1"/>
  <c r="D1446" i="1" a="1"/>
  <c r="D1446" i="1" s="1"/>
  <c r="E1446" i="1"/>
  <c r="D1726" i="1" a="1"/>
  <c r="D1726" i="1" s="1"/>
  <c r="E1726" i="1"/>
  <c r="D1601" i="1" a="1"/>
  <c r="D1601" i="1" s="1"/>
  <c r="E1601" i="1"/>
  <c r="D1130" i="1" a="1"/>
  <c r="D1130" i="1" s="1"/>
  <c r="E1130" i="1"/>
  <c r="D1862" i="1" a="1"/>
  <c r="D1862" i="1" s="1"/>
  <c r="E1862" i="1"/>
  <c r="D1235" i="1" a="1"/>
  <c r="D1235" i="1" s="1"/>
  <c r="E1235" i="1"/>
  <c r="D1628" i="1" a="1"/>
  <c r="D1628" i="1" s="1"/>
  <c r="E1628" i="1"/>
  <c r="E2095" i="1"/>
  <c r="D2095" i="1" a="1"/>
  <c r="D2095" i="1" s="1"/>
  <c r="D1246" i="1" a="1"/>
  <c r="D1246" i="1" s="1"/>
  <c r="E1246" i="1"/>
  <c r="D2036" i="1" a="1"/>
  <c r="D2036" i="1" s="1"/>
  <c r="E2036" i="1"/>
  <c r="D974" i="1" a="1"/>
  <c r="D974" i="1" s="1"/>
  <c r="E974" i="1"/>
  <c r="D188" i="1" a="1"/>
  <c r="D188" i="1" s="1"/>
  <c r="E188" i="1"/>
  <c r="D1783" i="1" a="1"/>
  <c r="D1783" i="1" s="1"/>
  <c r="E1783" i="1"/>
  <c r="D2202" i="1" a="1"/>
  <c r="D2202" i="1" s="1"/>
  <c r="E2202" i="1"/>
  <c r="D307" i="1" a="1"/>
  <c r="D307" i="1" s="1"/>
  <c r="E307" i="1"/>
  <c r="D1927" i="1" a="1"/>
  <c r="D1927" i="1" s="1"/>
  <c r="E1927" i="1"/>
  <c r="D1288" i="1" a="1"/>
  <c r="D1288" i="1" s="1"/>
  <c r="E1288" i="1"/>
  <c r="D864" i="1" a="1"/>
  <c r="D864" i="1" s="1"/>
  <c r="E864" i="1"/>
  <c r="D273" i="1" a="1"/>
  <c r="D273" i="1" s="1"/>
  <c r="E273" i="1"/>
  <c r="D2146" i="1" a="1"/>
  <c r="D2146" i="1" s="1"/>
  <c r="E2146" i="1"/>
  <c r="D1993" i="1" a="1"/>
  <c r="D1993" i="1" s="1"/>
  <c r="E1993" i="1"/>
  <c r="D931" i="1" a="1"/>
  <c r="D931" i="1" s="1"/>
  <c r="E931" i="1"/>
  <c r="D350" i="1" a="1"/>
  <c r="D350" i="1" s="1"/>
  <c r="E350" i="1"/>
  <c r="D335" i="1" a="1"/>
  <c r="D335" i="1" s="1"/>
  <c r="E335" i="1"/>
  <c r="D1061" i="1" a="1"/>
  <c r="D1061" i="1" s="1"/>
  <c r="E1061" i="1"/>
  <c r="D1544" i="1" a="1"/>
  <c r="D1544" i="1" s="1"/>
  <c r="E1544" i="1"/>
  <c r="D1407" i="1" a="1"/>
  <c r="D1407" i="1" s="1"/>
  <c r="E1407" i="1"/>
  <c r="D1668" i="1" a="1"/>
  <c r="D1668" i="1" s="1"/>
  <c r="E1668" i="1"/>
  <c r="D2334" i="1" a="1"/>
  <c r="D2334" i="1" s="1"/>
  <c r="E2334" i="1"/>
  <c r="D1646" i="1" a="1"/>
  <c r="D1646" i="1" s="1"/>
  <c r="E1646" i="1"/>
  <c r="D2270" i="1" a="1"/>
  <c r="D2270" i="1" s="1"/>
  <c r="E2270" i="1"/>
  <c r="D2107" i="1" a="1"/>
  <c r="D2107" i="1" s="1"/>
  <c r="E2107" i="1"/>
  <c r="D2083" i="1" a="1"/>
  <c r="D2083" i="1" s="1"/>
  <c r="E2083" i="1"/>
  <c r="D2121" i="1" a="1"/>
  <c r="D2121" i="1" s="1"/>
  <c r="E2121" i="1"/>
  <c r="D956" i="1" a="1"/>
  <c r="D956" i="1" s="1"/>
  <c r="E956" i="1"/>
  <c r="D1914" i="1" a="1"/>
  <c r="D1914" i="1" s="1"/>
  <c r="E1914" i="1"/>
  <c r="D1302" i="1" a="1"/>
  <c r="D1302" i="1" s="1"/>
  <c r="E1302" i="1"/>
  <c r="D288" i="1" a="1"/>
  <c r="D288" i="1" s="1"/>
  <c r="E288" i="1"/>
  <c r="D433" i="1" a="1"/>
  <c r="D433" i="1" s="1"/>
  <c r="E433" i="1"/>
  <c r="D1369" i="1" a="1"/>
  <c r="D1369" i="1" s="1"/>
  <c r="E1369" i="1"/>
  <c r="F153" i="1"/>
  <c r="D152" i="1" a="1"/>
  <c r="D152" i="1" s="1"/>
  <c r="E152" i="1"/>
  <c r="F308" i="1"/>
  <c r="F449" i="1"/>
  <c r="F1928" i="1"/>
  <c r="F403" i="1"/>
  <c r="F1289" i="1"/>
  <c r="F1886" i="1"/>
  <c r="F2335" i="1"/>
  <c r="F1099" i="1"/>
  <c r="F1647" i="1"/>
  <c r="F865" i="1"/>
  <c r="F2271" i="1"/>
  <c r="F2108" i="1"/>
  <c r="F2069" i="1"/>
  <c r="F1947" i="1"/>
  <c r="F957" i="1"/>
  <c r="F2147" i="1"/>
  <c r="F1303" i="1"/>
  <c r="F289" i="1"/>
  <c r="F1802" i="1"/>
  <c r="F2096" i="1"/>
  <c r="F713" i="1"/>
  <c r="F1247" i="1"/>
  <c r="F2037" i="1"/>
  <c r="F1153" i="1"/>
  <c r="F975" i="1"/>
  <c r="F2024" i="1"/>
  <c r="F2250" i="1"/>
  <c r="F1751" i="1"/>
  <c r="F189" i="1"/>
  <c r="F1358" i="1"/>
  <c r="F1131" i="1"/>
  <c r="F746" i="1"/>
  <c r="F932" i="1"/>
  <c r="F351" i="1"/>
  <c r="F336" i="1"/>
  <c r="F1062" i="1"/>
  <c r="F1545" i="1"/>
  <c r="F1408" i="1"/>
  <c r="F1669" i="1"/>
  <c r="F1033" i="1"/>
  <c r="F274" i="1"/>
  <c r="F2084" i="1"/>
  <c r="F2122" i="1"/>
  <c r="F1915" i="1"/>
  <c r="F1994" i="1"/>
  <c r="F669" i="1"/>
  <c r="F434" i="1"/>
  <c r="F1370" i="1"/>
  <c r="F1573" i="1"/>
  <c r="F1268" i="1"/>
  <c r="F1330" i="1"/>
  <c r="F853" i="1"/>
  <c r="F509" i="1"/>
  <c r="F1712" i="1"/>
  <c r="F1075" i="1"/>
  <c r="F1684" i="1"/>
  <c r="F369" i="1"/>
  <c r="F880" i="1"/>
  <c r="F2348" i="1"/>
  <c r="F1727" i="1"/>
  <c r="F525" i="1"/>
  <c r="F1602" i="1"/>
  <c r="F1784" i="1"/>
  <c r="F1174" i="1"/>
  <c r="F2203" i="1"/>
  <c r="F1629" i="1"/>
  <c r="F681" i="1"/>
  <c r="A1578" i="1"/>
  <c r="A1580" i="1"/>
  <c r="A1579" i="1"/>
  <c r="A1582" i="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1581" i="1"/>
  <c r="A2570" i="1" l="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D2203" i="1" a="1"/>
  <c r="D2203" i="1" s="1"/>
  <c r="E2203" i="1"/>
  <c r="D525" i="1" a="1"/>
  <c r="D525" i="1" s="1"/>
  <c r="E525" i="1"/>
  <c r="D1174" i="1" a="1"/>
  <c r="D1174" i="1" s="1"/>
  <c r="E1174" i="1"/>
  <c r="D1727" i="1" a="1"/>
  <c r="D1727" i="1" s="1"/>
  <c r="E1727" i="1"/>
  <c r="D1684" i="1" a="1"/>
  <c r="D1684" i="1" s="1"/>
  <c r="E1684" i="1"/>
  <c r="D853" i="1" a="1"/>
  <c r="D853" i="1" s="1"/>
  <c r="E853" i="1"/>
  <c r="D1370" i="1" a="1"/>
  <c r="D1370" i="1" s="1"/>
  <c r="E1370" i="1"/>
  <c r="D1915" i="1" a="1"/>
  <c r="D1915" i="1" s="1"/>
  <c r="E1915" i="1"/>
  <c r="D1033" i="1" a="1"/>
  <c r="D1033" i="1" s="1"/>
  <c r="E1033" i="1"/>
  <c r="E1062" i="1"/>
  <c r="D1062" i="1" a="1"/>
  <c r="D1062" i="1" s="1"/>
  <c r="D746" i="1" a="1"/>
  <c r="D746" i="1" s="1"/>
  <c r="E746" i="1"/>
  <c r="D1751" i="1" a="1"/>
  <c r="D1751" i="1" s="1"/>
  <c r="E1751" i="1"/>
  <c r="D1153" i="1" a="1"/>
  <c r="D1153" i="1" s="1"/>
  <c r="E1153" i="1"/>
  <c r="D2096" i="1" a="1"/>
  <c r="D2096" i="1" s="1"/>
  <c r="E2096" i="1"/>
  <c r="D2147" i="1" a="1"/>
  <c r="D2147" i="1" s="1"/>
  <c r="E2147" i="1"/>
  <c r="D2108" i="1" a="1"/>
  <c r="D2108" i="1" s="1"/>
  <c r="E2108" i="1"/>
  <c r="D1099" i="1" a="1"/>
  <c r="D1099" i="1" s="1"/>
  <c r="E1099" i="1"/>
  <c r="D403" i="1" a="1"/>
  <c r="D403" i="1" s="1"/>
  <c r="E403" i="1"/>
  <c r="D308" i="1" a="1"/>
  <c r="D308" i="1" s="1"/>
  <c r="E308" i="1"/>
  <c r="D681" i="1" a="1"/>
  <c r="D681" i="1" s="1"/>
  <c r="E681" i="1"/>
  <c r="D1784" i="1" a="1"/>
  <c r="D1784" i="1" s="1"/>
  <c r="E1784" i="1"/>
  <c r="D2348" i="1" a="1"/>
  <c r="D2348" i="1" s="1"/>
  <c r="E2348" i="1"/>
  <c r="D1075" i="1" a="1"/>
  <c r="D1075" i="1" s="1"/>
  <c r="E1075" i="1"/>
  <c r="E1330" i="1"/>
  <c r="D1330" i="1" a="1"/>
  <c r="D1330" i="1" s="1"/>
  <c r="D434" i="1" a="1"/>
  <c r="D434" i="1" s="1"/>
  <c r="E434" i="1"/>
  <c r="D2122" i="1" a="1"/>
  <c r="D2122" i="1" s="1"/>
  <c r="E2122" i="1"/>
  <c r="D1669" i="1" a="1"/>
  <c r="D1669" i="1" s="1"/>
  <c r="E1669" i="1"/>
  <c r="D336" i="1" a="1"/>
  <c r="D336" i="1" s="1"/>
  <c r="E336" i="1"/>
  <c r="D1131" i="1" a="1"/>
  <c r="D1131" i="1" s="1"/>
  <c r="E1131" i="1"/>
  <c r="D2250" i="1" a="1"/>
  <c r="D2250" i="1" s="1"/>
  <c r="E2250" i="1"/>
  <c r="E2037" i="1"/>
  <c r="D2037" i="1" a="1"/>
  <c r="D2037" i="1" s="1"/>
  <c r="D1802" i="1" a="1"/>
  <c r="D1802" i="1" s="1"/>
  <c r="E1802" i="1"/>
  <c r="D957" i="1" a="1"/>
  <c r="D957" i="1" s="1"/>
  <c r="E957" i="1"/>
  <c r="D2271" i="1" a="1"/>
  <c r="D2271" i="1" s="1"/>
  <c r="E2271" i="1"/>
  <c r="D2335" i="1" a="1"/>
  <c r="D2335" i="1" s="1"/>
  <c r="E2335" i="1"/>
  <c r="D1928" i="1" a="1"/>
  <c r="D1928" i="1" s="1"/>
  <c r="E1928" i="1"/>
  <c r="D1629" i="1" a="1"/>
  <c r="D1629" i="1" s="1"/>
  <c r="E1629" i="1"/>
  <c r="D1602" i="1" a="1"/>
  <c r="D1602" i="1" s="1"/>
  <c r="E1602" i="1"/>
  <c r="D880" i="1" a="1"/>
  <c r="D880" i="1" s="1"/>
  <c r="E880" i="1"/>
  <c r="D1712" i="1" a="1"/>
  <c r="D1712" i="1" s="1"/>
  <c r="E1712" i="1"/>
  <c r="D1268" i="1" a="1"/>
  <c r="D1268" i="1" s="1"/>
  <c r="E1268" i="1"/>
  <c r="D669" i="1" a="1"/>
  <c r="D669" i="1" s="1"/>
  <c r="E669" i="1"/>
  <c r="D2084" i="1" a="1"/>
  <c r="D2084" i="1" s="1"/>
  <c r="E2084" i="1"/>
  <c r="D1408" i="1" a="1"/>
  <c r="D1408" i="1" s="1"/>
  <c r="E1408" i="1"/>
  <c r="D351" i="1" a="1"/>
  <c r="D351" i="1" s="1"/>
  <c r="E351" i="1"/>
  <c r="D1358" i="1" a="1"/>
  <c r="D1358" i="1" s="1"/>
  <c r="E1358" i="1"/>
  <c r="D2024" i="1" a="1"/>
  <c r="D2024" i="1" s="1"/>
  <c r="E2024" i="1"/>
  <c r="D1247" i="1" a="1"/>
  <c r="D1247" i="1" s="1"/>
  <c r="E1247" i="1"/>
  <c r="D289" i="1" a="1"/>
  <c r="D289" i="1" s="1"/>
  <c r="E289" i="1"/>
  <c r="D1947" i="1" a="1"/>
  <c r="D1947" i="1" s="1"/>
  <c r="E1947" i="1"/>
  <c r="D865" i="1" a="1"/>
  <c r="D865" i="1" s="1"/>
  <c r="E865" i="1"/>
  <c r="D1886" i="1" a="1"/>
  <c r="D1886" i="1" s="1"/>
  <c r="E1886" i="1"/>
  <c r="D449" i="1" a="1"/>
  <c r="D449" i="1" s="1"/>
  <c r="E449" i="1"/>
  <c r="D369" i="1" a="1"/>
  <c r="D369" i="1" s="1"/>
  <c r="E369" i="1"/>
  <c r="D509" i="1" a="1"/>
  <c r="D509" i="1" s="1"/>
  <c r="E509" i="1"/>
  <c r="D1573" i="1" a="1"/>
  <c r="D1573" i="1" s="1"/>
  <c r="E1573" i="1"/>
  <c r="D1994" i="1" a="1"/>
  <c r="D1994" i="1" s="1"/>
  <c r="E1994" i="1"/>
  <c r="D274" i="1" a="1"/>
  <c r="D274" i="1" s="1"/>
  <c r="E274" i="1"/>
  <c r="D1545" i="1" a="1"/>
  <c r="D1545" i="1" s="1"/>
  <c r="E1545" i="1"/>
  <c r="D932" i="1" a="1"/>
  <c r="D932" i="1" s="1"/>
  <c r="E932" i="1"/>
  <c r="D189" i="1" a="1"/>
  <c r="D189" i="1" s="1"/>
  <c r="E189" i="1"/>
  <c r="E975" i="1"/>
  <c r="D975" i="1" a="1"/>
  <c r="D975" i="1" s="1"/>
  <c r="D713" i="1" a="1"/>
  <c r="D713" i="1" s="1"/>
  <c r="E713" i="1"/>
  <c r="D1303" i="1" a="1"/>
  <c r="D1303" i="1" s="1"/>
  <c r="E1303" i="1"/>
  <c r="D2069" i="1" a="1"/>
  <c r="D2069" i="1" s="1"/>
  <c r="E2069" i="1"/>
  <c r="D1647" i="1" a="1"/>
  <c r="D1647" i="1" s="1"/>
  <c r="E1647" i="1"/>
  <c r="D1289" i="1" a="1"/>
  <c r="D1289" i="1" s="1"/>
  <c r="E1289" i="1"/>
  <c r="F154" i="1"/>
  <c r="D153" i="1" a="1"/>
  <c r="D153" i="1" s="1"/>
  <c r="E153" i="1"/>
  <c r="F526" i="1"/>
  <c r="F933" i="1"/>
  <c r="F190" i="1"/>
  <c r="F976" i="1"/>
  <c r="F2038" i="1"/>
  <c r="F2070" i="1"/>
  <c r="F1290" i="1"/>
  <c r="F1603" i="1"/>
  <c r="F1409" i="1"/>
  <c r="F352" i="1"/>
  <c r="F290" i="1"/>
  <c r="F866" i="1"/>
  <c r="F450" i="1"/>
  <c r="F682" i="1"/>
  <c r="F1785" i="1"/>
  <c r="F370" i="1"/>
  <c r="F510" i="1"/>
  <c r="F1574" i="1"/>
  <c r="F1995" i="1"/>
  <c r="F2123" i="1"/>
  <c r="F1670" i="1"/>
  <c r="F337" i="1"/>
  <c r="F1803" i="1"/>
  <c r="F958" i="1"/>
  <c r="F2272" i="1"/>
  <c r="F2336" i="1"/>
  <c r="F1929" i="1"/>
  <c r="F2204" i="1"/>
  <c r="F2349" i="1"/>
  <c r="F1076" i="1"/>
  <c r="F1331" i="1"/>
  <c r="F435" i="1"/>
  <c r="F275" i="1"/>
  <c r="F1546" i="1"/>
  <c r="F1648" i="1"/>
  <c r="F1630" i="1"/>
  <c r="F1685" i="1"/>
  <c r="F1371" i="1"/>
  <c r="F2025" i="1"/>
  <c r="F1948" i="1"/>
  <c r="F1887" i="1"/>
  <c r="F1175" i="1"/>
  <c r="F1728" i="1"/>
  <c r="F881" i="1"/>
  <c r="F1713" i="1"/>
  <c r="F1916" i="1"/>
  <c r="F1034" i="1"/>
  <c r="F747" i="1"/>
  <c r="F1752" i="1"/>
  <c r="F1154" i="1"/>
  <c r="F1248" i="1"/>
  <c r="F2148" i="1"/>
  <c r="F2109" i="1"/>
  <c r="F1100" i="1"/>
  <c r="F404" i="1"/>
  <c r="F309" i="1"/>
  <c r="D309" i="1" l="1" a="1"/>
  <c r="D309" i="1" s="1"/>
  <c r="E309" i="1"/>
  <c r="D1100" i="1" a="1"/>
  <c r="D1100" i="1" s="1"/>
  <c r="E1100" i="1"/>
  <c r="D1154" i="1" a="1"/>
  <c r="D1154" i="1" s="1"/>
  <c r="E1154" i="1"/>
  <c r="D1916" i="1" a="1"/>
  <c r="D1916" i="1" s="1"/>
  <c r="E1916" i="1"/>
  <c r="E1175" i="1"/>
  <c r="D1175" i="1" a="1"/>
  <c r="D1175" i="1" s="1"/>
  <c r="D1371" i="1" a="1"/>
  <c r="D1371" i="1" s="1"/>
  <c r="E1371" i="1"/>
  <c r="D1546" i="1" a="1"/>
  <c r="D1546" i="1" s="1"/>
  <c r="E1546" i="1"/>
  <c r="D1076" i="1" a="1"/>
  <c r="D1076" i="1" s="1"/>
  <c r="E1076" i="1"/>
  <c r="D2336" i="1" a="1"/>
  <c r="D2336" i="1" s="1"/>
  <c r="E2336" i="1"/>
  <c r="D337" i="1" a="1"/>
  <c r="D337" i="1" s="1"/>
  <c r="E337" i="1"/>
  <c r="D1574" i="1" a="1"/>
  <c r="D1574" i="1" s="1"/>
  <c r="E1574" i="1"/>
  <c r="E682" i="1"/>
  <c r="D682" i="1" a="1"/>
  <c r="D682" i="1" s="1"/>
  <c r="D352" i="1" a="1"/>
  <c r="D352" i="1" s="1"/>
  <c r="E352" i="1"/>
  <c r="D1290" i="1" a="1"/>
  <c r="D1290" i="1" s="1"/>
  <c r="E1290" i="1"/>
  <c r="D190" i="1" a="1"/>
  <c r="D190" i="1" s="1"/>
  <c r="E190" i="1"/>
  <c r="D1248" i="1" a="1"/>
  <c r="D1248" i="1" s="1"/>
  <c r="E1248" i="1"/>
  <c r="E2109" i="1"/>
  <c r="D2109" i="1" a="1"/>
  <c r="D2109" i="1" s="1"/>
  <c r="D1752" i="1" a="1"/>
  <c r="D1752" i="1" s="1"/>
  <c r="E1752" i="1"/>
  <c r="D1713" i="1" a="1"/>
  <c r="D1713" i="1" s="1"/>
  <c r="E1713" i="1"/>
  <c r="D1887" i="1" a="1"/>
  <c r="D1887" i="1" s="1"/>
  <c r="E1887" i="1"/>
  <c r="D1685" i="1" a="1"/>
  <c r="D1685" i="1" s="1"/>
  <c r="E1685" i="1"/>
  <c r="D275" i="1" a="1"/>
  <c r="D275" i="1" s="1"/>
  <c r="E275" i="1"/>
  <c r="E2349" i="1"/>
  <c r="D2349" i="1" a="1"/>
  <c r="D2349" i="1" s="1"/>
  <c r="D2272" i="1" a="1"/>
  <c r="D2272" i="1" s="1"/>
  <c r="E2272" i="1"/>
  <c r="D1670" i="1" a="1"/>
  <c r="D1670" i="1" s="1"/>
  <c r="E1670" i="1"/>
  <c r="D510" i="1" a="1"/>
  <c r="D510" i="1" s="1"/>
  <c r="E510" i="1"/>
  <c r="D450" i="1" a="1"/>
  <c r="D450" i="1" s="1"/>
  <c r="E450" i="1"/>
  <c r="D1409" i="1" a="1"/>
  <c r="D1409" i="1" s="1"/>
  <c r="E1409" i="1"/>
  <c r="D2070" i="1" a="1"/>
  <c r="D2070" i="1" s="1"/>
  <c r="E2070" i="1"/>
  <c r="D933" i="1" a="1"/>
  <c r="D933" i="1" s="1"/>
  <c r="E933" i="1"/>
  <c r="F155" i="1"/>
  <c r="D154" i="1" a="1"/>
  <c r="D154" i="1" s="1"/>
  <c r="E154" i="1"/>
  <c r="D2148" i="1" a="1"/>
  <c r="D2148" i="1" s="1"/>
  <c r="E2148" i="1"/>
  <c r="D747" i="1" a="1"/>
  <c r="D747" i="1" s="1"/>
  <c r="E747" i="1"/>
  <c r="D881" i="1" a="1"/>
  <c r="D881" i="1" s="1"/>
  <c r="E881" i="1"/>
  <c r="D1948" i="1" a="1"/>
  <c r="D1948" i="1" s="1"/>
  <c r="E1948" i="1"/>
  <c r="D1630" i="1" a="1"/>
  <c r="D1630" i="1" s="1"/>
  <c r="E1630" i="1"/>
  <c r="D435" i="1" a="1"/>
  <c r="D435" i="1" s="1"/>
  <c r="E435" i="1"/>
  <c r="D2204" i="1" a="1"/>
  <c r="D2204" i="1" s="1"/>
  <c r="E2204" i="1"/>
  <c r="D958" i="1" a="1"/>
  <c r="D958" i="1" s="1"/>
  <c r="E958" i="1"/>
  <c r="D2123" i="1" a="1"/>
  <c r="D2123" i="1" s="1"/>
  <c r="E2123" i="1"/>
  <c r="D370" i="1" a="1"/>
  <c r="D370" i="1" s="1"/>
  <c r="E370" i="1"/>
  <c r="D866" i="1" a="1"/>
  <c r="D866" i="1" s="1"/>
  <c r="E866" i="1"/>
  <c r="D1603" i="1" a="1"/>
  <c r="D1603" i="1" s="1"/>
  <c r="E1603" i="1"/>
  <c r="D2038" i="1" a="1"/>
  <c r="D2038" i="1" s="1"/>
  <c r="E2038" i="1"/>
  <c r="D526" i="1" a="1"/>
  <c r="D526" i="1" s="1"/>
  <c r="E526" i="1"/>
  <c r="D404" i="1" a="1"/>
  <c r="D404" i="1" s="1"/>
  <c r="E404" i="1"/>
  <c r="D1034" i="1" a="1"/>
  <c r="D1034" i="1" s="1"/>
  <c r="E1034" i="1"/>
  <c r="D1728" i="1" a="1"/>
  <c r="D1728" i="1" s="1"/>
  <c r="E1728" i="1"/>
  <c r="D2025" i="1" a="1"/>
  <c r="D2025" i="1" s="1"/>
  <c r="E2025" i="1"/>
  <c r="D1648" i="1" a="1"/>
  <c r="D1648" i="1" s="1"/>
  <c r="E1648" i="1"/>
  <c r="D1331" i="1" a="1"/>
  <c r="D1331" i="1" s="1"/>
  <c r="E1331" i="1"/>
  <c r="D1929" i="1" a="1"/>
  <c r="D1929" i="1" s="1"/>
  <c r="E1929" i="1"/>
  <c r="D1803" i="1" a="1"/>
  <c r="D1803" i="1" s="1"/>
  <c r="E1803" i="1"/>
  <c r="D1995" i="1" a="1"/>
  <c r="D1995" i="1" s="1"/>
  <c r="E1995" i="1"/>
  <c r="D1785" i="1" a="1"/>
  <c r="D1785" i="1" s="1"/>
  <c r="E1785" i="1"/>
  <c r="D290" i="1" a="1"/>
  <c r="D290" i="1" s="1"/>
  <c r="E290" i="1"/>
  <c r="D976" i="1" a="1"/>
  <c r="D976" i="1" s="1"/>
  <c r="E976" i="1"/>
  <c r="F405" i="1"/>
  <c r="F1686" i="1"/>
  <c r="F276" i="1"/>
  <c r="F1786" i="1"/>
  <c r="F291" i="1"/>
  <c r="F1410" i="1"/>
  <c r="F934" i="1"/>
  <c r="F310" i="1"/>
  <c r="F2149" i="1"/>
  <c r="F882" i="1"/>
  <c r="F1949" i="1"/>
  <c r="F1547" i="1"/>
  <c r="F1077" i="1"/>
  <c r="F2124" i="1"/>
  <c r="F371" i="1"/>
  <c r="F867" i="1"/>
  <c r="F353" i="1"/>
  <c r="F1604" i="1"/>
  <c r="F2110" i="1"/>
  <c r="F1249" i="1"/>
  <c r="F1714" i="1"/>
  <c r="F1888" i="1"/>
  <c r="F1649" i="1"/>
  <c r="F1332" i="1"/>
  <c r="F1930" i="1"/>
  <c r="F1804" i="1"/>
  <c r="F1671" i="1"/>
  <c r="F511" i="1"/>
  <c r="F451" i="1"/>
  <c r="F2071" i="1"/>
  <c r="F977" i="1"/>
  <c r="F1753" i="1"/>
  <c r="F1035" i="1"/>
  <c r="F1729" i="1"/>
  <c r="F2350" i="1"/>
  <c r="F1101" i="1"/>
  <c r="F748" i="1"/>
  <c r="F1176" i="1"/>
  <c r="F1631" i="1"/>
  <c r="F436" i="1"/>
  <c r="F2205" i="1"/>
  <c r="F959" i="1"/>
  <c r="F338" i="1"/>
  <c r="F1575" i="1"/>
  <c r="F2039" i="1"/>
  <c r="F527" i="1"/>
  <c r="E2205" i="1" l="1"/>
  <c r="D2205" i="1" a="1"/>
  <c r="D2205" i="1" s="1"/>
  <c r="D1575" i="1" a="1"/>
  <c r="D1575" i="1" s="1"/>
  <c r="E1575" i="1"/>
  <c r="E1753" i="1"/>
  <c r="D1753" i="1" a="1"/>
  <c r="D1753" i="1" s="1"/>
  <c r="D527" i="1" a="1"/>
  <c r="D527" i="1" s="1"/>
  <c r="E527" i="1"/>
  <c r="D959" i="1" a="1"/>
  <c r="D959" i="1" s="1"/>
  <c r="E959" i="1"/>
  <c r="D1176" i="1" a="1"/>
  <c r="D1176" i="1" s="1"/>
  <c r="E1176" i="1"/>
  <c r="E1729" i="1"/>
  <c r="D1729" i="1" a="1"/>
  <c r="D1729" i="1" s="1"/>
  <c r="D2071" i="1" a="1"/>
  <c r="D2071" i="1" s="1"/>
  <c r="E2071" i="1"/>
  <c r="D1804" i="1" a="1"/>
  <c r="D1804" i="1" s="1"/>
  <c r="E1804" i="1"/>
  <c r="D1888" i="1" a="1"/>
  <c r="D1888" i="1" s="1"/>
  <c r="E1888" i="1"/>
  <c r="D1604" i="1" a="1"/>
  <c r="D1604" i="1" s="1"/>
  <c r="E1604" i="1"/>
  <c r="D2124" i="1" a="1"/>
  <c r="D2124" i="1" s="1"/>
  <c r="E2124" i="1"/>
  <c r="D882" i="1" a="1"/>
  <c r="D882" i="1" s="1"/>
  <c r="E882" i="1"/>
  <c r="D276" i="1" a="1"/>
  <c r="D276" i="1" s="1"/>
  <c r="E276" i="1"/>
  <c r="D1035" i="1" a="1"/>
  <c r="D1035" i="1" s="1"/>
  <c r="E1035" i="1"/>
  <c r="D451" i="1" a="1"/>
  <c r="D451" i="1" s="1"/>
  <c r="E451" i="1"/>
  <c r="D1930" i="1" a="1"/>
  <c r="D1930" i="1" s="1"/>
  <c r="E1930" i="1"/>
  <c r="D1714" i="1" a="1"/>
  <c r="D1714" i="1" s="1"/>
  <c r="E1714" i="1"/>
  <c r="D353" i="1" a="1"/>
  <c r="D353" i="1" s="1"/>
  <c r="E353" i="1"/>
  <c r="D1077" i="1" a="1"/>
  <c r="D1077" i="1" s="1"/>
  <c r="E1077" i="1"/>
  <c r="D2149" i="1" a="1"/>
  <c r="D2149" i="1" s="1"/>
  <c r="E2149" i="1"/>
  <c r="D1410" i="1" a="1"/>
  <c r="D1410" i="1" s="1"/>
  <c r="E1410" i="1"/>
  <c r="D1686" i="1" a="1"/>
  <c r="D1686" i="1" s="1"/>
  <c r="E1686" i="1"/>
  <c r="D2039" i="1" a="1"/>
  <c r="D2039" i="1" s="1"/>
  <c r="E2039" i="1"/>
  <c r="D1101" i="1" a="1"/>
  <c r="D1101" i="1" s="1"/>
  <c r="E1101" i="1"/>
  <c r="E1332" i="1"/>
  <c r="D1332" i="1" a="1"/>
  <c r="D1332" i="1" s="1"/>
  <c r="D1249" i="1" a="1"/>
  <c r="D1249" i="1" s="1"/>
  <c r="E1249" i="1"/>
  <c r="D867" i="1" a="1"/>
  <c r="D867" i="1" s="1"/>
  <c r="E867" i="1"/>
  <c r="D1547" i="1" a="1"/>
  <c r="D1547" i="1" s="1"/>
  <c r="E1547" i="1"/>
  <c r="D310" i="1" a="1"/>
  <c r="D310" i="1" s="1"/>
  <c r="E310" i="1"/>
  <c r="D291" i="1" a="1"/>
  <c r="D291" i="1" s="1"/>
  <c r="E291" i="1"/>
  <c r="D405" i="1" a="1"/>
  <c r="D405" i="1" s="1"/>
  <c r="E405" i="1"/>
  <c r="D748" i="1" a="1"/>
  <c r="D748" i="1" s="1"/>
  <c r="E748" i="1"/>
  <c r="D436" i="1" a="1"/>
  <c r="D436" i="1" s="1"/>
  <c r="E436" i="1"/>
  <c r="D511" i="1" a="1"/>
  <c r="D511" i="1" s="1"/>
  <c r="E511" i="1"/>
  <c r="D338" i="1" a="1"/>
  <c r="D338" i="1" s="1"/>
  <c r="E338" i="1"/>
  <c r="D1631" i="1" a="1"/>
  <c r="D1631" i="1" s="1"/>
  <c r="E1631" i="1"/>
  <c r="D2350" i="1" a="1"/>
  <c r="D2350" i="1" s="1"/>
  <c r="E2350" i="1"/>
  <c r="D977" i="1" a="1"/>
  <c r="D977" i="1" s="1"/>
  <c r="E977" i="1"/>
  <c r="D1671" i="1" a="1"/>
  <c r="D1671" i="1" s="1"/>
  <c r="E1671" i="1"/>
  <c r="E1649" i="1"/>
  <c r="D1649" i="1" a="1"/>
  <c r="D1649" i="1" s="1"/>
  <c r="D2110" i="1" a="1"/>
  <c r="D2110" i="1" s="1"/>
  <c r="E2110" i="1"/>
  <c r="D371" i="1" a="1"/>
  <c r="D371" i="1" s="1"/>
  <c r="E371" i="1"/>
  <c r="D1949" i="1" a="1"/>
  <c r="D1949" i="1" s="1"/>
  <c r="E1949" i="1"/>
  <c r="D934" i="1" a="1"/>
  <c r="D934" i="1" s="1"/>
  <c r="E934" i="1"/>
  <c r="D1786" i="1" a="1"/>
  <c r="D1786" i="1" s="1"/>
  <c r="E1786" i="1"/>
  <c r="F156" i="1"/>
  <c r="D155" i="1" a="1"/>
  <c r="D155" i="1" s="1"/>
  <c r="E155" i="1"/>
  <c r="F1754" i="1"/>
  <c r="F2150" i="1"/>
  <c r="F1036" i="1"/>
  <c r="F452" i="1"/>
  <c r="F1931" i="1"/>
  <c r="F1715" i="1"/>
  <c r="F1605" i="1"/>
  <c r="F2125" i="1"/>
  <c r="F1548" i="1"/>
  <c r="F277" i="1"/>
  <c r="F354" i="1"/>
  <c r="F1950" i="1"/>
  <c r="F1576" i="1"/>
  <c r="F437" i="1"/>
  <c r="F1177" i="1"/>
  <c r="F1102" i="1"/>
  <c r="F1730" i="1"/>
  <c r="F2072" i="1"/>
  <c r="F1805" i="1"/>
  <c r="F1889" i="1"/>
  <c r="F372" i="1"/>
  <c r="F935" i="1"/>
  <c r="F1787" i="1"/>
  <c r="F528" i="1"/>
  <c r="F960" i="1"/>
  <c r="F512" i="1"/>
  <c r="F1333" i="1"/>
  <c r="F1687" i="1"/>
  <c r="F339" i="1"/>
  <c r="F1632" i="1"/>
  <c r="F749" i="1"/>
  <c r="F978" i="1"/>
  <c r="F1672" i="1"/>
  <c r="F1650" i="1"/>
  <c r="F868" i="1"/>
  <c r="F883" i="1"/>
  <c r="F311" i="1"/>
  <c r="F292" i="1"/>
  <c r="F406" i="1"/>
  <c r="D1650" i="1" l="1" a="1"/>
  <c r="D1650" i="1" s="1"/>
  <c r="E1650" i="1"/>
  <c r="D2072" i="1" a="1"/>
  <c r="D2072" i="1" s="1"/>
  <c r="E2072" i="1"/>
  <c r="D883" i="1" a="1"/>
  <c r="D883" i="1" s="1"/>
  <c r="E883" i="1"/>
  <c r="D1687" i="1" a="1"/>
  <c r="D1687" i="1" s="1"/>
  <c r="E1687" i="1"/>
  <c r="D1889" i="1" a="1"/>
  <c r="D1889" i="1" s="1"/>
  <c r="E1889" i="1"/>
  <c r="D406" i="1" a="1"/>
  <c r="D406" i="1" s="1"/>
  <c r="E406" i="1"/>
  <c r="D868" i="1" a="1"/>
  <c r="D868" i="1" s="1"/>
  <c r="E868" i="1"/>
  <c r="D749" i="1" a="1"/>
  <c r="D749" i="1" s="1"/>
  <c r="E749" i="1"/>
  <c r="D1333" i="1" a="1"/>
  <c r="D1333" i="1" s="1"/>
  <c r="E1333" i="1"/>
  <c r="D1787" i="1" a="1"/>
  <c r="D1787" i="1" s="1"/>
  <c r="E1787" i="1"/>
  <c r="D1805" i="1" a="1"/>
  <c r="D1805" i="1" s="1"/>
  <c r="E1805" i="1"/>
  <c r="D1177" i="1" a="1"/>
  <c r="D1177" i="1" s="1"/>
  <c r="E1177" i="1"/>
  <c r="D354" i="1" a="1"/>
  <c r="D354" i="1" s="1"/>
  <c r="E354" i="1"/>
  <c r="E1605" i="1"/>
  <c r="D1605" i="1" a="1"/>
  <c r="D1605" i="1" s="1"/>
  <c r="D1036" i="1" a="1"/>
  <c r="D1036" i="1" s="1"/>
  <c r="E1036" i="1"/>
  <c r="D512" i="1" a="1"/>
  <c r="D512" i="1" s="1"/>
  <c r="E512" i="1"/>
  <c r="D437" i="1" a="1"/>
  <c r="D437" i="1" s="1"/>
  <c r="E437" i="1"/>
  <c r="D277" i="1" a="1"/>
  <c r="D277" i="1" s="1"/>
  <c r="E277" i="1"/>
  <c r="D1715" i="1" a="1"/>
  <c r="D1715" i="1" s="1"/>
  <c r="E1715" i="1"/>
  <c r="D2150" i="1" a="1"/>
  <c r="D2150" i="1" s="1"/>
  <c r="E2150" i="1"/>
  <c r="F157" i="1"/>
  <c r="D156" i="1" a="1"/>
  <c r="D156" i="1" s="1"/>
  <c r="E156" i="1"/>
  <c r="D292" i="1" a="1"/>
  <c r="D292" i="1" s="1"/>
  <c r="E292" i="1"/>
  <c r="D311" i="1" a="1"/>
  <c r="D311" i="1" s="1"/>
  <c r="E311" i="1"/>
  <c r="D1672" i="1" a="1"/>
  <c r="D1672" i="1" s="1"/>
  <c r="E1672" i="1"/>
  <c r="D339" i="1" a="1"/>
  <c r="D339" i="1" s="1"/>
  <c r="E339" i="1"/>
  <c r="D960" i="1" a="1"/>
  <c r="D960" i="1" s="1"/>
  <c r="E960" i="1"/>
  <c r="D372" i="1" a="1"/>
  <c r="D372" i="1" s="1"/>
  <c r="E372" i="1"/>
  <c r="D1730" i="1" a="1"/>
  <c r="D1730" i="1" s="1"/>
  <c r="E1730" i="1"/>
  <c r="D1576" i="1" a="1"/>
  <c r="D1576" i="1" s="1"/>
  <c r="E1576" i="1"/>
  <c r="D1548" i="1" a="1"/>
  <c r="D1548" i="1" s="1"/>
  <c r="E1548" i="1"/>
  <c r="D1931" i="1" a="1"/>
  <c r="D1931" i="1" s="1"/>
  <c r="E1931" i="1"/>
  <c r="D1754" i="1" a="1"/>
  <c r="D1754" i="1" s="1"/>
  <c r="E1754" i="1"/>
  <c r="D1632" i="1" a="1"/>
  <c r="D1632" i="1" s="1"/>
  <c r="E1632" i="1"/>
  <c r="D935" i="1" a="1"/>
  <c r="D935" i="1" s="1"/>
  <c r="E935" i="1"/>
  <c r="D978" i="1" a="1"/>
  <c r="D978" i="1" s="1"/>
  <c r="E978" i="1"/>
  <c r="D528" i="1" a="1"/>
  <c r="D528" i="1" s="1"/>
  <c r="E528" i="1"/>
  <c r="D1102" i="1" a="1"/>
  <c r="D1102" i="1" s="1"/>
  <c r="E1102" i="1"/>
  <c r="D1950" i="1" a="1"/>
  <c r="D1950" i="1" s="1"/>
  <c r="E1950" i="1"/>
  <c r="E2125" i="1"/>
  <c r="D2125" i="1" a="1"/>
  <c r="D2125" i="1" s="1"/>
  <c r="D452" i="1" a="1"/>
  <c r="D452" i="1" s="1"/>
  <c r="E452" i="1"/>
  <c r="F1037" i="1"/>
  <c r="F293" i="1"/>
  <c r="F1688" i="1"/>
  <c r="F1890" i="1"/>
  <c r="F1103" i="1"/>
  <c r="F2151" i="1"/>
  <c r="F407" i="1"/>
  <c r="F1334" i="1"/>
  <c r="F1788" i="1"/>
  <c r="F373" i="1"/>
  <c r="F1577" i="1"/>
  <c r="F355" i="1"/>
  <c r="F1549" i="1"/>
  <c r="F1932" i="1"/>
  <c r="F1633" i="1"/>
  <c r="F529" i="1"/>
  <c r="F1951" i="1"/>
  <c r="F979" i="1"/>
  <c r="F513" i="1"/>
  <c r="F936" i="1"/>
  <c r="F2126" i="1"/>
  <c r="F453" i="1"/>
  <c r="F1731" i="1"/>
  <c r="F884" i="1"/>
  <c r="F1651" i="1"/>
  <c r="F312" i="1"/>
  <c r="F750" i="1"/>
  <c r="F961" i="1"/>
  <c r="F1806" i="1"/>
  <c r="F1178" i="1"/>
  <c r="F1606" i="1"/>
  <c r="F1755" i="1"/>
  <c r="D1606" i="1" l="1" a="1"/>
  <c r="D1606" i="1" s="1"/>
  <c r="E1606" i="1"/>
  <c r="D750" i="1" a="1"/>
  <c r="D750" i="1" s="1"/>
  <c r="E750" i="1"/>
  <c r="D1731" i="1" a="1"/>
  <c r="D1731" i="1" s="1"/>
  <c r="E1731" i="1"/>
  <c r="D513" i="1" a="1"/>
  <c r="D513" i="1" s="1"/>
  <c r="E513" i="1"/>
  <c r="D1633" i="1" a="1"/>
  <c r="D1633" i="1" s="1"/>
  <c r="E1633" i="1"/>
  <c r="D1577" i="1" a="1"/>
  <c r="D1577" i="1" s="1"/>
  <c r="E1577" i="1"/>
  <c r="E407" i="1"/>
  <c r="D407" i="1" a="1"/>
  <c r="D407" i="1" s="1"/>
  <c r="D1688" i="1" a="1"/>
  <c r="D1688" i="1" s="1"/>
  <c r="E1688" i="1"/>
  <c r="D312" i="1" a="1"/>
  <c r="D312" i="1" s="1"/>
  <c r="E312" i="1"/>
  <c r="D453" i="1" a="1"/>
  <c r="D453" i="1" s="1"/>
  <c r="E453" i="1"/>
  <c r="D979" i="1" a="1"/>
  <c r="D979" i="1" s="1"/>
  <c r="E979" i="1"/>
  <c r="D1932" i="1" a="1"/>
  <c r="D1932" i="1" s="1"/>
  <c r="E1932" i="1"/>
  <c r="D373" i="1" a="1"/>
  <c r="D373" i="1" s="1"/>
  <c r="E373" i="1"/>
  <c r="D2151" i="1" a="1"/>
  <c r="D2151" i="1" s="1"/>
  <c r="E2151" i="1"/>
  <c r="D293" i="1" a="1"/>
  <c r="D293" i="1" s="1"/>
  <c r="E293" i="1"/>
  <c r="D1178" i="1" a="1"/>
  <c r="D1178" i="1" s="1"/>
  <c r="E1178" i="1"/>
  <c r="D1806" i="1" a="1"/>
  <c r="D1806" i="1" s="1"/>
  <c r="E1806" i="1"/>
  <c r="D1651" i="1" a="1"/>
  <c r="D1651" i="1" s="1"/>
  <c r="E1651" i="1"/>
  <c r="D2126" i="1" a="1"/>
  <c r="D2126" i="1" s="1"/>
  <c r="E2126" i="1"/>
  <c r="D1951" i="1" a="1"/>
  <c r="D1951" i="1" s="1"/>
  <c r="E1951" i="1"/>
  <c r="E1549" i="1"/>
  <c r="D1549" i="1" a="1"/>
  <c r="D1549" i="1" s="1"/>
  <c r="D1788" i="1" a="1"/>
  <c r="D1788" i="1" s="1"/>
  <c r="E1788" i="1"/>
  <c r="D1103" i="1" a="1"/>
  <c r="D1103" i="1" s="1"/>
  <c r="E1103" i="1"/>
  <c r="F1038" i="1"/>
  <c r="D1037" i="1" a="1"/>
  <c r="D1037" i="1" s="1"/>
  <c r="E1037" i="1"/>
  <c r="D1755" i="1" a="1"/>
  <c r="D1755" i="1" s="1"/>
  <c r="E1755" i="1"/>
  <c r="D961" i="1" a="1"/>
  <c r="D961" i="1" s="1"/>
  <c r="E961" i="1"/>
  <c r="D884" i="1" a="1"/>
  <c r="D884" i="1" s="1"/>
  <c r="E884" i="1"/>
  <c r="D936" i="1" a="1"/>
  <c r="D936" i="1" s="1"/>
  <c r="E936" i="1"/>
  <c r="D529" i="1" a="1"/>
  <c r="D529" i="1" s="1"/>
  <c r="E529" i="1"/>
  <c r="D355" i="1" a="1"/>
  <c r="D355" i="1" s="1"/>
  <c r="E355" i="1"/>
  <c r="D1334" i="1" a="1"/>
  <c r="D1334" i="1" s="1"/>
  <c r="E1334" i="1"/>
  <c r="D1890" i="1" a="1"/>
  <c r="D1890" i="1" s="1"/>
  <c r="E1890" i="1"/>
  <c r="F158" i="1"/>
  <c r="D157" i="1" a="1"/>
  <c r="D157" i="1" s="1"/>
  <c r="E157" i="1"/>
  <c r="F1952" i="1"/>
  <c r="F1550" i="1"/>
  <c r="F1789" i="1"/>
  <c r="F1104" i="1"/>
  <c r="F1179" i="1"/>
  <c r="F313" i="1"/>
  <c r="F1634" i="1"/>
  <c r="F408" i="1"/>
  <c r="F1689" i="1"/>
  <c r="F751" i="1"/>
  <c r="F1732" i="1"/>
  <c r="F2127" i="1"/>
  <c r="F980" i="1"/>
  <c r="F530" i="1"/>
  <c r="F356" i="1"/>
  <c r="F1335" i="1"/>
  <c r="F1891" i="1"/>
  <c r="F962" i="1"/>
  <c r="F885" i="1"/>
  <c r="F454" i="1"/>
  <c r="F1807" i="1"/>
  <c r="F1652" i="1"/>
  <c r="F937" i="1"/>
  <c r="F1933" i="1"/>
  <c r="F374" i="1"/>
  <c r="F2152" i="1"/>
  <c r="F294" i="1"/>
  <c r="D2152" i="1" l="1" a="1"/>
  <c r="D2152" i="1" s="1"/>
  <c r="E2152" i="1"/>
  <c r="D1933" i="1" a="1"/>
  <c r="D1933" i="1" s="1"/>
  <c r="E1933" i="1"/>
  <c r="D454" i="1" a="1"/>
  <c r="D454" i="1" s="1"/>
  <c r="E454" i="1"/>
  <c r="D1335" i="1" a="1"/>
  <c r="D1335" i="1" s="1"/>
  <c r="E1335" i="1"/>
  <c r="D2127" i="1" a="1"/>
  <c r="D2127" i="1" s="1"/>
  <c r="E2127" i="1"/>
  <c r="D408" i="1" a="1"/>
  <c r="D408" i="1" s="1"/>
  <c r="E408" i="1"/>
  <c r="D1104" i="1" a="1"/>
  <c r="D1104" i="1" s="1"/>
  <c r="E1104" i="1"/>
  <c r="D937" i="1" a="1"/>
  <c r="D937" i="1" s="1"/>
  <c r="E937" i="1"/>
  <c r="D885" i="1" a="1"/>
  <c r="D885" i="1" s="1"/>
  <c r="E885" i="1"/>
  <c r="D356" i="1" a="1"/>
  <c r="D356" i="1" s="1"/>
  <c r="E356" i="1"/>
  <c r="D1732" i="1" a="1"/>
  <c r="D1732" i="1" s="1"/>
  <c r="E1732" i="1"/>
  <c r="D1634" i="1" a="1"/>
  <c r="D1634" i="1" s="1"/>
  <c r="E1634" i="1"/>
  <c r="D1789" i="1" a="1"/>
  <c r="D1789" i="1" s="1"/>
  <c r="E1789" i="1"/>
  <c r="F1039" i="1"/>
  <c r="D1038" i="1" a="1"/>
  <c r="D1038" i="1" s="1"/>
  <c r="E1038" i="1"/>
  <c r="D1652" i="1" a="1"/>
  <c r="D1652" i="1" s="1"/>
  <c r="E1652" i="1"/>
  <c r="D962" i="1" a="1"/>
  <c r="D962" i="1" s="1"/>
  <c r="E962" i="1"/>
  <c r="D530" i="1" a="1"/>
  <c r="D530" i="1" s="1"/>
  <c r="E530" i="1"/>
  <c r="D751" i="1" a="1"/>
  <c r="D751" i="1" s="1"/>
  <c r="E751" i="1"/>
  <c r="D313" i="1" a="1"/>
  <c r="D313" i="1" s="1"/>
  <c r="E313" i="1"/>
  <c r="D1550" i="1" a="1"/>
  <c r="D1550" i="1" s="1"/>
  <c r="E1550" i="1"/>
  <c r="F159" i="1"/>
  <c r="D158" i="1" a="1"/>
  <c r="D158" i="1" s="1"/>
  <c r="E158" i="1"/>
  <c r="D294" i="1" a="1"/>
  <c r="D294" i="1" s="1"/>
  <c r="E294" i="1"/>
  <c r="D374" i="1" a="1"/>
  <c r="D374" i="1" s="1"/>
  <c r="E374" i="1"/>
  <c r="D1807" i="1" a="1"/>
  <c r="D1807" i="1" s="1"/>
  <c r="E1807" i="1"/>
  <c r="D1891" i="1" a="1"/>
  <c r="D1891" i="1" s="1"/>
  <c r="E1891" i="1"/>
  <c r="D980" i="1" a="1"/>
  <c r="D980" i="1" s="1"/>
  <c r="E980" i="1"/>
  <c r="D1689" i="1" a="1"/>
  <c r="D1689" i="1" s="1"/>
  <c r="E1689" i="1"/>
  <c r="D1179" i="1" a="1"/>
  <c r="D1179" i="1" s="1"/>
  <c r="E1179" i="1"/>
  <c r="D1952" i="1" a="1"/>
  <c r="D1952" i="1" s="1"/>
  <c r="E1952" i="1"/>
  <c r="F295" i="1"/>
  <c r="F1635" i="1"/>
  <c r="F375" i="1"/>
  <c r="F1808" i="1"/>
  <c r="F1892" i="1"/>
  <c r="F981" i="1"/>
  <c r="F1551" i="1"/>
  <c r="F938" i="1"/>
  <c r="F886" i="1"/>
  <c r="F357" i="1"/>
  <c r="F1733" i="1"/>
  <c r="F1690" i="1"/>
  <c r="F314" i="1"/>
  <c r="F1105" i="1"/>
  <c r="F1934" i="1"/>
  <c r="F455" i="1"/>
  <c r="F1336" i="1"/>
  <c r="F2128" i="1"/>
  <c r="F1953" i="1"/>
  <c r="F2153" i="1"/>
  <c r="F1653" i="1"/>
  <c r="F963" i="1"/>
  <c r="F531" i="1"/>
  <c r="F752" i="1"/>
  <c r="F409" i="1"/>
  <c r="F1180" i="1"/>
  <c r="F1790" i="1"/>
  <c r="E1953" i="1" l="1"/>
  <c r="D1953" i="1" a="1"/>
  <c r="D1953" i="1" s="1"/>
  <c r="D963" i="1" a="1"/>
  <c r="D963" i="1" s="1"/>
  <c r="E963" i="1"/>
  <c r="D752" i="1" a="1"/>
  <c r="D752" i="1" s="1"/>
  <c r="E752" i="1"/>
  <c r="E2153" i="1"/>
  <c r="D2153" i="1" a="1"/>
  <c r="D2153" i="1" s="1"/>
  <c r="D455" i="1" a="1"/>
  <c r="D455" i="1" s="1"/>
  <c r="E455" i="1"/>
  <c r="D1690" i="1" a="1"/>
  <c r="D1690" i="1" s="1"/>
  <c r="E1690" i="1"/>
  <c r="E938" i="1"/>
  <c r="D938" i="1" a="1"/>
  <c r="D938" i="1" s="1"/>
  <c r="D1808" i="1" a="1"/>
  <c r="D1808" i="1" s="1"/>
  <c r="E1808" i="1"/>
  <c r="D1934" i="1" a="1"/>
  <c r="D1934" i="1" s="1"/>
  <c r="E1934" i="1"/>
  <c r="D1733" i="1" a="1"/>
  <c r="D1733" i="1" s="1"/>
  <c r="E1733" i="1"/>
  <c r="D1551" i="1" a="1"/>
  <c r="D1551" i="1" s="1"/>
  <c r="E1551" i="1"/>
  <c r="D375" i="1" a="1"/>
  <c r="D375" i="1" s="1"/>
  <c r="E375" i="1"/>
  <c r="F1040" i="1"/>
  <c r="D1039" i="1" a="1"/>
  <c r="D1039" i="1" s="1"/>
  <c r="E1039" i="1"/>
  <c r="D531" i="1" a="1"/>
  <c r="D531" i="1" s="1"/>
  <c r="E531" i="1"/>
  <c r="D2128" i="1" a="1"/>
  <c r="D2128" i="1" s="1"/>
  <c r="E2128" i="1"/>
  <c r="D1105" i="1" a="1"/>
  <c r="D1105" i="1" s="1"/>
  <c r="E1105" i="1"/>
  <c r="D357" i="1" a="1"/>
  <c r="D357" i="1" s="1"/>
  <c r="E357" i="1"/>
  <c r="D981" i="1" a="1"/>
  <c r="D981" i="1" s="1"/>
  <c r="E981" i="1"/>
  <c r="E1635" i="1"/>
  <c r="D1635" i="1" a="1"/>
  <c r="D1635" i="1" s="1"/>
  <c r="F160" i="1"/>
  <c r="D159" i="1" a="1"/>
  <c r="D159" i="1" s="1"/>
  <c r="E159" i="1"/>
  <c r="D1790" i="1" a="1"/>
  <c r="D1790" i="1" s="1"/>
  <c r="E1790" i="1"/>
  <c r="D1180" i="1" a="1"/>
  <c r="D1180" i="1" s="1"/>
  <c r="E1180" i="1"/>
  <c r="D409" i="1" a="1"/>
  <c r="D409" i="1" s="1"/>
  <c r="E409" i="1"/>
  <c r="D1653" i="1" a="1"/>
  <c r="D1653" i="1" s="1"/>
  <c r="E1653" i="1"/>
  <c r="D1336" i="1" a="1"/>
  <c r="D1336" i="1" s="1"/>
  <c r="E1336" i="1"/>
  <c r="D314" i="1" a="1"/>
  <c r="D314" i="1" s="1"/>
  <c r="E314" i="1"/>
  <c r="D886" i="1" a="1"/>
  <c r="D886" i="1" s="1"/>
  <c r="E886" i="1"/>
  <c r="D1892" i="1" a="1"/>
  <c r="D1892" i="1" s="1"/>
  <c r="E1892" i="1"/>
  <c r="D295" i="1" a="1"/>
  <c r="D295" i="1" s="1"/>
  <c r="E295" i="1"/>
  <c r="F2129" i="1"/>
  <c r="F1106" i="1"/>
  <c r="F376" i="1"/>
  <c r="F532" i="1"/>
  <c r="F1954" i="1"/>
  <c r="F1935" i="1"/>
  <c r="F1734" i="1"/>
  <c r="F1552" i="1"/>
  <c r="F1809" i="1"/>
  <c r="F753" i="1"/>
  <c r="F2154" i="1"/>
  <c r="F456" i="1"/>
  <c r="F1691" i="1"/>
  <c r="F939" i="1"/>
  <c r="F1893" i="1"/>
  <c r="F1181" i="1"/>
  <c r="F410" i="1"/>
  <c r="F1654" i="1"/>
  <c r="F315" i="1"/>
  <c r="F887" i="1"/>
  <c r="F296" i="1"/>
  <c r="D887" i="1" l="1" a="1"/>
  <c r="D887" i="1" s="1"/>
  <c r="E887" i="1"/>
  <c r="E1181" i="1"/>
  <c r="D1181" i="1" a="1"/>
  <c r="D1181" i="1" s="1"/>
  <c r="D456" i="1" a="1"/>
  <c r="D456" i="1" s="1"/>
  <c r="E456" i="1"/>
  <c r="D1552" i="1" a="1"/>
  <c r="D1552" i="1" s="1"/>
  <c r="E1552" i="1"/>
  <c r="D532" i="1" a="1"/>
  <c r="D532" i="1" s="1"/>
  <c r="E532" i="1"/>
  <c r="F161" i="1"/>
  <c r="D160" i="1" a="1"/>
  <c r="D160" i="1" s="1"/>
  <c r="E160" i="1"/>
  <c r="D315" i="1" a="1"/>
  <c r="D315" i="1" s="1"/>
  <c r="E315" i="1"/>
  <c r="D1893" i="1" a="1"/>
  <c r="D1893" i="1" s="1"/>
  <c r="E1893" i="1"/>
  <c r="D2154" i="1" a="1"/>
  <c r="D2154" i="1" s="1"/>
  <c r="E2154" i="1"/>
  <c r="D1734" i="1" a="1"/>
  <c r="D1734" i="1" s="1"/>
  <c r="E1734" i="1"/>
  <c r="D376" i="1" a="1"/>
  <c r="D376" i="1" s="1"/>
  <c r="E376" i="1"/>
  <c r="D1654" i="1" a="1"/>
  <c r="D1654" i="1" s="1"/>
  <c r="E1654" i="1"/>
  <c r="D939" i="1" a="1"/>
  <c r="D939" i="1" s="1"/>
  <c r="E939" i="1"/>
  <c r="D753" i="1" a="1"/>
  <c r="D753" i="1" s="1"/>
  <c r="E753" i="1"/>
  <c r="D1935" i="1" a="1"/>
  <c r="D1935" i="1" s="1"/>
  <c r="E1935" i="1"/>
  <c r="D1106" i="1" a="1"/>
  <c r="D1106" i="1" s="1"/>
  <c r="E1106" i="1"/>
  <c r="D296" i="1" a="1"/>
  <c r="D296" i="1" s="1"/>
  <c r="E296" i="1"/>
  <c r="D410" i="1" a="1"/>
  <c r="D410" i="1" s="1"/>
  <c r="E410" i="1"/>
  <c r="D1691" i="1" a="1"/>
  <c r="D1691" i="1" s="1"/>
  <c r="E1691" i="1"/>
  <c r="E1809" i="1"/>
  <c r="D1809" i="1" a="1"/>
  <c r="D1809" i="1" s="1"/>
  <c r="D1954" i="1" a="1"/>
  <c r="D1954" i="1" s="1"/>
  <c r="E1954" i="1"/>
  <c r="D2129" i="1" a="1"/>
  <c r="D2129" i="1" s="1"/>
  <c r="E2129" i="1"/>
  <c r="F1041" i="1"/>
  <c r="D1040" i="1" a="1"/>
  <c r="D1040" i="1" s="1"/>
  <c r="E1040" i="1"/>
  <c r="F377" i="1"/>
  <c r="F1107" i="1"/>
  <c r="F1735" i="1"/>
  <c r="F754" i="1"/>
  <c r="F1553" i="1"/>
  <c r="F533" i="1"/>
  <c r="F1692" i="1"/>
  <c r="F940" i="1"/>
  <c r="F316" i="1"/>
  <c r="F411" i="1"/>
  <c r="F1894" i="1"/>
  <c r="F2155" i="1"/>
  <c r="F1810" i="1"/>
  <c r="F1955" i="1"/>
  <c r="F888" i="1"/>
  <c r="F1655" i="1"/>
  <c r="F1182" i="1"/>
  <c r="F457" i="1"/>
  <c r="F2130" i="1"/>
  <c r="D2155" i="1" l="1" a="1"/>
  <c r="D2155" i="1" s="1"/>
  <c r="E2155" i="1"/>
  <c r="D2130" i="1" a="1"/>
  <c r="D2130" i="1" s="1"/>
  <c r="E2130" i="1"/>
  <c r="D888" i="1" a="1"/>
  <c r="D888" i="1" s="1"/>
  <c r="E888" i="1"/>
  <c r="D1894" i="1" a="1"/>
  <c r="D1894" i="1" s="1"/>
  <c r="E1894" i="1"/>
  <c r="D1692" i="1" a="1"/>
  <c r="D1692" i="1" s="1"/>
  <c r="E1692" i="1"/>
  <c r="D1735" i="1" a="1"/>
  <c r="D1735" i="1" s="1"/>
  <c r="E1735" i="1"/>
  <c r="F162" i="1"/>
  <c r="D161" i="1" a="1"/>
  <c r="D161" i="1" s="1"/>
  <c r="E161" i="1"/>
  <c r="D940" i="1" a="1"/>
  <c r="D940" i="1" s="1"/>
  <c r="E940" i="1"/>
  <c r="D457" i="1" a="1"/>
  <c r="D457" i="1" s="1"/>
  <c r="E457" i="1"/>
  <c r="D1107" i="1" a="1"/>
  <c r="D1107" i="1" s="1"/>
  <c r="E1107" i="1"/>
  <c r="D1655" i="1" a="1"/>
  <c r="D1655" i="1" s="1"/>
  <c r="E1655" i="1"/>
  <c r="D754" i="1" a="1"/>
  <c r="D754" i="1" s="1"/>
  <c r="E754" i="1"/>
  <c r="D1955" i="1" a="1"/>
  <c r="D1955" i="1" s="1"/>
  <c r="E1955" i="1"/>
  <c r="D411" i="1" a="1"/>
  <c r="D411" i="1" s="1"/>
  <c r="E411" i="1"/>
  <c r="D533" i="1" a="1"/>
  <c r="D533" i="1" s="1"/>
  <c r="E533" i="1"/>
  <c r="F1042" i="1"/>
  <c r="D1041" i="1" a="1"/>
  <c r="D1041" i="1" s="1"/>
  <c r="E1041" i="1"/>
  <c r="D1182" i="1" a="1"/>
  <c r="D1182" i="1" s="1"/>
  <c r="E1182" i="1"/>
  <c r="D1810" i="1" a="1"/>
  <c r="D1810" i="1" s="1"/>
  <c r="E1810" i="1"/>
  <c r="D316" i="1" a="1"/>
  <c r="D316" i="1" s="1"/>
  <c r="E316" i="1"/>
  <c r="D1553" i="1" a="1"/>
  <c r="D1553" i="1" s="1"/>
  <c r="E1553" i="1"/>
  <c r="D377" i="1" a="1"/>
  <c r="D377" i="1" s="1"/>
  <c r="E377" i="1"/>
  <c r="F458" i="1"/>
  <c r="F412" i="1"/>
  <c r="F534" i="1"/>
  <c r="F1183" i="1"/>
  <c r="F1811" i="1"/>
  <c r="F317" i="1"/>
  <c r="F1554" i="1"/>
  <c r="F378" i="1"/>
  <c r="F1108" i="1"/>
  <c r="F889" i="1"/>
  <c r="F1693" i="1"/>
  <c r="F1736" i="1"/>
  <c r="F1656" i="1"/>
  <c r="F2156" i="1"/>
  <c r="F941" i="1"/>
  <c r="F755" i="1"/>
  <c r="D941" i="1" l="1" a="1"/>
  <c r="D941" i="1" s="1"/>
  <c r="E941" i="1"/>
  <c r="D1554" i="1" a="1"/>
  <c r="D1554" i="1" s="1"/>
  <c r="E1554" i="1"/>
  <c r="D534" i="1" a="1"/>
  <c r="D534" i="1" s="1"/>
  <c r="E534" i="1"/>
  <c r="D755" i="1" a="1"/>
  <c r="D755" i="1" s="1"/>
  <c r="E755" i="1"/>
  <c r="D1736" i="1" a="1"/>
  <c r="D1736" i="1" s="1"/>
  <c r="E1736" i="1"/>
  <c r="D378" i="1" a="1"/>
  <c r="D378" i="1" s="1"/>
  <c r="E378" i="1"/>
  <c r="D1183" i="1" a="1"/>
  <c r="D1183" i="1" s="1"/>
  <c r="E1183" i="1"/>
  <c r="F1043" i="1"/>
  <c r="D1042" i="1" a="1"/>
  <c r="D1042" i="1" s="1"/>
  <c r="E1042" i="1"/>
  <c r="D2156" i="1" a="1"/>
  <c r="D2156" i="1" s="1"/>
  <c r="E2156" i="1"/>
  <c r="E889" i="1"/>
  <c r="D889" i="1" a="1"/>
  <c r="D889" i="1" s="1"/>
  <c r="D317" i="1" a="1"/>
  <c r="D317" i="1" s="1"/>
  <c r="E317" i="1"/>
  <c r="D412" i="1" a="1"/>
  <c r="D412" i="1" s="1"/>
  <c r="E412" i="1"/>
  <c r="D1693" i="1" a="1"/>
  <c r="D1693" i="1" s="1"/>
  <c r="E1693" i="1"/>
  <c r="D1656" i="1" a="1"/>
  <c r="D1656" i="1" s="1"/>
  <c r="E1656" i="1"/>
  <c r="D1108" i="1" a="1"/>
  <c r="D1108" i="1" s="1"/>
  <c r="E1108" i="1"/>
  <c r="D1811" i="1" a="1"/>
  <c r="D1811" i="1" s="1"/>
  <c r="E1811" i="1"/>
  <c r="D458" i="1" a="1"/>
  <c r="D458" i="1" s="1"/>
  <c r="E458" i="1"/>
  <c r="D162" i="1" a="1"/>
  <c r="D162" i="1" s="1"/>
  <c r="E162" i="1"/>
  <c r="F942" i="1"/>
  <c r="F756" i="1"/>
  <c r="F1737" i="1"/>
  <c r="F890" i="1"/>
  <c r="F379" i="1"/>
  <c r="F1184" i="1"/>
  <c r="F1109" i="1"/>
  <c r="F1657" i="1"/>
  <c r="F1812" i="1"/>
  <c r="F413" i="1"/>
  <c r="F1555" i="1"/>
  <c r="F2157" i="1"/>
  <c r="F318" i="1"/>
  <c r="F535" i="1"/>
  <c r="F459" i="1"/>
  <c r="D459" i="1" l="1" a="1"/>
  <c r="D459" i="1" s="1"/>
  <c r="E459" i="1"/>
  <c r="D1737" i="1" a="1"/>
  <c r="D1737" i="1" s="1"/>
  <c r="E1737" i="1"/>
  <c r="E535" i="1"/>
  <c r="D535" i="1" a="1"/>
  <c r="D535" i="1" s="1"/>
  <c r="F1044" i="1"/>
  <c r="D1043" i="1" a="1"/>
  <c r="D1043" i="1" s="1"/>
  <c r="E1043" i="1"/>
  <c r="D1555" i="1" a="1"/>
  <c r="D1555" i="1" s="1"/>
  <c r="E1555" i="1"/>
  <c r="D413" i="1" a="1"/>
  <c r="D413" i="1" s="1"/>
  <c r="E413" i="1"/>
  <c r="D1184" i="1" a="1"/>
  <c r="D1184" i="1" s="1"/>
  <c r="E1184" i="1"/>
  <c r="D756" i="1" a="1"/>
  <c r="D756" i="1" s="1"/>
  <c r="E756" i="1"/>
  <c r="D318" i="1" a="1"/>
  <c r="D318" i="1" s="1"/>
  <c r="E318" i="1"/>
  <c r="D1812" i="1" a="1"/>
  <c r="D1812" i="1" s="1"/>
  <c r="E1812" i="1"/>
  <c r="D379" i="1" a="1"/>
  <c r="D379" i="1" s="1"/>
  <c r="E379" i="1"/>
  <c r="D942" i="1" a="1"/>
  <c r="D942" i="1" s="1"/>
  <c r="E942" i="1"/>
  <c r="D1109" i="1" a="1"/>
  <c r="D1109" i="1" s="1"/>
  <c r="E1109" i="1"/>
  <c r="E2157" i="1"/>
  <c r="D2157" i="1" a="1"/>
  <c r="D2157" i="1" s="1"/>
  <c r="E1657" i="1"/>
  <c r="D1657" i="1" a="1"/>
  <c r="D1657" i="1" s="1"/>
  <c r="D890" i="1" a="1"/>
  <c r="D890" i="1" s="1"/>
  <c r="E890" i="1"/>
  <c r="F460" i="1"/>
  <c r="F1556" i="1"/>
  <c r="F1738" i="1"/>
  <c r="F2158" i="1"/>
  <c r="F891" i="1"/>
  <c r="F1110" i="1"/>
  <c r="F536" i="1"/>
  <c r="F319" i="1"/>
  <c r="F1813" i="1"/>
  <c r="F380" i="1"/>
  <c r="F414" i="1"/>
  <c r="F1185" i="1"/>
  <c r="F757" i="1"/>
  <c r="F943" i="1"/>
  <c r="D380" i="1" l="1" a="1"/>
  <c r="D380" i="1" s="1"/>
  <c r="E380" i="1"/>
  <c r="D414" i="1" a="1"/>
  <c r="D414" i="1" s="1"/>
  <c r="E414" i="1"/>
  <c r="D536" i="1" a="1"/>
  <c r="D536" i="1" s="1"/>
  <c r="E536" i="1"/>
  <c r="D1738" i="1" a="1"/>
  <c r="D1738" i="1" s="1"/>
  <c r="E1738" i="1"/>
  <c r="D1110" i="1" a="1"/>
  <c r="D1110" i="1" s="1"/>
  <c r="E1110" i="1"/>
  <c r="D1556" i="1" a="1"/>
  <c r="D1556" i="1" s="1"/>
  <c r="E1556" i="1"/>
  <c r="F1045" i="1"/>
  <c r="D1044" i="1" a="1"/>
  <c r="D1044" i="1" s="1"/>
  <c r="E1044" i="1"/>
  <c r="D943" i="1" a="1"/>
  <c r="D943" i="1" s="1"/>
  <c r="E943" i="1"/>
  <c r="D757" i="1" a="1"/>
  <c r="D757" i="1" s="1"/>
  <c r="E757" i="1"/>
  <c r="D1813" i="1" a="1"/>
  <c r="D1813" i="1" s="1"/>
  <c r="E1813" i="1"/>
  <c r="D891" i="1" a="1"/>
  <c r="D891" i="1" s="1"/>
  <c r="E891" i="1"/>
  <c r="D460" i="1" a="1"/>
  <c r="D460" i="1" s="1"/>
  <c r="E460" i="1"/>
  <c r="D1185" i="1" a="1"/>
  <c r="D1185" i="1" s="1"/>
  <c r="E1185" i="1"/>
  <c r="D319" i="1" a="1"/>
  <c r="D319" i="1" s="1"/>
  <c r="E319" i="1"/>
  <c r="D2158" i="1" a="1"/>
  <c r="D2158" i="1" s="1"/>
  <c r="E2158" i="1"/>
  <c r="F415" i="1"/>
  <c r="F320" i="1"/>
  <c r="F1557" i="1"/>
  <c r="F1186" i="1"/>
  <c r="F1814" i="1"/>
  <c r="F892" i="1"/>
  <c r="F1739" i="1"/>
  <c r="F381" i="1"/>
  <c r="F2159" i="1"/>
  <c r="F758" i="1"/>
  <c r="F944" i="1"/>
  <c r="F537" i="1"/>
  <c r="F461" i="1"/>
  <c r="D461" i="1" l="1" a="1"/>
  <c r="D461" i="1" s="1"/>
  <c r="E461" i="1"/>
  <c r="D2159" i="1" a="1"/>
  <c r="D2159" i="1" s="1"/>
  <c r="E2159" i="1"/>
  <c r="D1814" i="1" a="1"/>
  <c r="D1814" i="1" s="1"/>
  <c r="E1814" i="1"/>
  <c r="D415" i="1" a="1"/>
  <c r="D415" i="1" s="1"/>
  <c r="E415" i="1"/>
  <c r="D537" i="1" a="1"/>
  <c r="D537" i="1" s="1"/>
  <c r="E537" i="1"/>
  <c r="D381" i="1" a="1"/>
  <c r="D381" i="1" s="1"/>
  <c r="E381" i="1"/>
  <c r="D1186" i="1" a="1"/>
  <c r="D1186" i="1" s="1"/>
  <c r="E1186" i="1"/>
  <c r="D1739" i="1" a="1"/>
  <c r="D1739" i="1" s="1"/>
  <c r="E1739" i="1"/>
  <c r="D1557" i="1" a="1"/>
  <c r="D1557" i="1" s="1"/>
  <c r="E1557" i="1"/>
  <c r="D944" i="1" a="1"/>
  <c r="D944" i="1" s="1"/>
  <c r="E944" i="1"/>
  <c r="D758" i="1" a="1"/>
  <c r="D758" i="1" s="1"/>
  <c r="E758" i="1"/>
  <c r="D892" i="1" a="1"/>
  <c r="D892" i="1" s="1"/>
  <c r="E892" i="1"/>
  <c r="D320" i="1" a="1"/>
  <c r="D320" i="1" s="1"/>
  <c r="E320" i="1"/>
  <c r="F1046" i="1"/>
  <c r="D1045" i="1" a="1"/>
  <c r="D1045" i="1" s="1"/>
  <c r="E1045" i="1"/>
  <c r="F2160" i="1"/>
  <c r="F1558" i="1"/>
  <c r="F893" i="1"/>
  <c r="F538" i="1"/>
  <c r="F462" i="1"/>
  <c r="F759" i="1"/>
  <c r="F382" i="1"/>
  <c r="F1187" i="1"/>
  <c r="F321" i="1"/>
  <c r="F945" i="1"/>
  <c r="F1815" i="1"/>
  <c r="F416" i="1"/>
  <c r="D382" i="1" l="1" a="1"/>
  <c r="D382" i="1" s="1"/>
  <c r="E382" i="1"/>
  <c r="D893" i="1" a="1"/>
  <c r="D893" i="1" s="1"/>
  <c r="E893" i="1"/>
  <c r="D945" i="1" a="1"/>
  <c r="D945" i="1" s="1"/>
  <c r="E945" i="1"/>
  <c r="D759" i="1" a="1"/>
  <c r="D759" i="1" s="1"/>
  <c r="E759" i="1"/>
  <c r="D1558" i="1" a="1"/>
  <c r="D1558" i="1" s="1"/>
  <c r="E1558" i="1"/>
  <c r="F1047" i="1"/>
  <c r="D1046" i="1" a="1"/>
  <c r="D1046" i="1" s="1"/>
  <c r="E1046" i="1"/>
  <c r="D1815" i="1" a="1"/>
  <c r="D1815" i="1" s="1"/>
  <c r="E1815" i="1"/>
  <c r="D321" i="1" a="1"/>
  <c r="D321" i="1" s="1"/>
  <c r="E321" i="1"/>
  <c r="D462" i="1" a="1"/>
  <c r="D462" i="1" s="1"/>
  <c r="E462" i="1"/>
  <c r="D2160" i="1" a="1"/>
  <c r="D2160" i="1" s="1"/>
  <c r="E2160" i="1"/>
  <c r="D416" i="1" a="1"/>
  <c r="D416" i="1" s="1"/>
  <c r="E416" i="1"/>
  <c r="D1187" i="1" a="1"/>
  <c r="D1187" i="1" s="1"/>
  <c r="E1187" i="1"/>
  <c r="D538" i="1" a="1"/>
  <c r="D538" i="1" s="1"/>
  <c r="E538" i="1"/>
  <c r="F539" i="1"/>
  <c r="F417" i="1"/>
  <c r="F463" i="1"/>
  <c r="F1816" i="1"/>
  <c r="F1188" i="1"/>
  <c r="F322" i="1"/>
  <c r="F760" i="1"/>
  <c r="F1559" i="1"/>
  <c r="F383" i="1"/>
  <c r="F894" i="1"/>
  <c r="F2161" i="1"/>
  <c r="F1048" i="1" l="1"/>
  <c r="D1047" i="1" a="1"/>
  <c r="D1047" i="1" s="1"/>
  <c r="E1047" i="1"/>
  <c r="E383" i="1"/>
  <c r="D383" i="1" a="1"/>
  <c r="D383" i="1" s="1"/>
  <c r="D1188" i="1" a="1"/>
  <c r="D1188" i="1" s="1"/>
  <c r="E1188" i="1"/>
  <c r="D539" i="1" a="1"/>
  <c r="D539" i="1" s="1"/>
  <c r="E539" i="1"/>
  <c r="D760" i="1" a="1"/>
  <c r="D760" i="1" s="1"/>
  <c r="E760" i="1"/>
  <c r="E463" i="1"/>
  <c r="D463" i="1" a="1"/>
  <c r="D463" i="1" s="1"/>
  <c r="D1559" i="1" a="1"/>
  <c r="D1559" i="1" s="1"/>
  <c r="E1559" i="1"/>
  <c r="D1816" i="1" a="1"/>
  <c r="D1816" i="1" s="1"/>
  <c r="E1816" i="1"/>
  <c r="E2161" i="1"/>
  <c r="D2161" i="1" a="1"/>
  <c r="D2161" i="1" s="1"/>
  <c r="D894" i="1" a="1"/>
  <c r="D894" i="1" s="1"/>
  <c r="E894" i="1"/>
  <c r="D322" i="1" a="1"/>
  <c r="D322" i="1" s="1"/>
  <c r="E322" i="1"/>
  <c r="D417" i="1" a="1"/>
  <c r="D417" i="1" s="1"/>
  <c r="E417" i="1"/>
  <c r="F1189" i="1"/>
  <c r="F418" i="1"/>
  <c r="F323" i="1"/>
  <c r="F2162" i="1"/>
  <c r="F761" i="1"/>
  <c r="F464" i="1"/>
  <c r="F384" i="1"/>
  <c r="F895" i="1"/>
  <c r="F1560" i="1"/>
  <c r="F1817" i="1"/>
  <c r="F540" i="1"/>
  <c r="D323" i="1" l="1" a="1"/>
  <c r="D323" i="1" s="1"/>
  <c r="E323" i="1"/>
  <c r="D540" i="1" a="1"/>
  <c r="D540" i="1" s="1"/>
  <c r="E540" i="1"/>
  <c r="E1817" i="1"/>
  <c r="D1817" i="1" a="1"/>
  <c r="D1817" i="1" s="1"/>
  <c r="D464" i="1" a="1"/>
  <c r="D464" i="1" s="1"/>
  <c r="E464" i="1"/>
  <c r="D418" i="1" a="1"/>
  <c r="D418" i="1" s="1"/>
  <c r="E418" i="1"/>
  <c r="D384" i="1" a="1"/>
  <c r="D384" i="1" s="1"/>
  <c r="E384" i="1"/>
  <c r="D1560" i="1" a="1"/>
  <c r="D1560" i="1" s="1"/>
  <c r="E1560" i="1"/>
  <c r="D761" i="1" a="1"/>
  <c r="D761" i="1" s="1"/>
  <c r="E761" i="1"/>
  <c r="D1189" i="1" a="1"/>
  <c r="D1189" i="1" s="1"/>
  <c r="E1189" i="1"/>
  <c r="D895" i="1" a="1"/>
  <c r="D895" i="1" s="1"/>
  <c r="E895" i="1"/>
  <c r="D2162" i="1" a="1"/>
  <c r="D2162" i="1" s="1"/>
  <c r="E2162" i="1"/>
  <c r="F1049" i="1"/>
  <c r="D1048" i="1" a="1"/>
  <c r="D1048" i="1" s="1"/>
  <c r="E1048" i="1"/>
  <c r="F1561" i="1"/>
  <c r="F762" i="1"/>
  <c r="F1818" i="1"/>
  <c r="F465" i="1"/>
  <c r="F324" i="1"/>
  <c r="F541" i="1"/>
  <c r="F385" i="1"/>
  <c r="F419" i="1"/>
  <c r="F896" i="1"/>
  <c r="F2163" i="1"/>
  <c r="F1190" i="1"/>
  <c r="D1190" i="1" l="1" a="1"/>
  <c r="D1190" i="1" s="1"/>
  <c r="E1190" i="1"/>
  <c r="D1818" i="1" a="1"/>
  <c r="D1818" i="1" s="1"/>
  <c r="E1818" i="1"/>
  <c r="D385" i="1" a="1"/>
  <c r="D385" i="1" s="1"/>
  <c r="E385" i="1"/>
  <c r="D2163" i="1" a="1"/>
  <c r="D2163" i="1" s="1"/>
  <c r="E2163" i="1"/>
  <c r="D541" i="1" a="1"/>
  <c r="D541" i="1" s="1"/>
  <c r="E541" i="1"/>
  <c r="D762" i="1" a="1"/>
  <c r="D762" i="1" s="1"/>
  <c r="E762" i="1"/>
  <c r="D1049" i="1" a="1"/>
  <c r="D1049" i="1" s="1"/>
  <c r="E1049" i="1"/>
  <c r="D324" i="1" a="1"/>
  <c r="D324" i="1" s="1"/>
  <c r="E324" i="1"/>
  <c r="D1561" i="1" a="1"/>
  <c r="D1561" i="1" s="1"/>
  <c r="E1561" i="1"/>
  <c r="D896" i="1" a="1"/>
  <c r="D896" i="1" s="1"/>
  <c r="E896" i="1"/>
  <c r="D419" i="1" a="1"/>
  <c r="D419" i="1" s="1"/>
  <c r="E419" i="1"/>
  <c r="D465" i="1" a="1"/>
  <c r="D465" i="1" s="1"/>
  <c r="E465" i="1"/>
  <c r="F897" i="1"/>
  <c r="F763" i="1"/>
  <c r="F386" i="1"/>
  <c r="F1819" i="1"/>
  <c r="F1191" i="1"/>
  <c r="F466" i="1"/>
  <c r="F542" i="1"/>
  <c r="F2164" i="1"/>
  <c r="F420" i="1"/>
  <c r="D466" i="1" l="1" a="1"/>
  <c r="D466" i="1" s="1"/>
  <c r="E466" i="1"/>
  <c r="D420" i="1" a="1"/>
  <c r="D420" i="1" s="1"/>
  <c r="E420" i="1"/>
  <c r="D1191" i="1" a="1"/>
  <c r="D1191" i="1" s="1"/>
  <c r="E1191" i="1"/>
  <c r="D2164" i="1" a="1"/>
  <c r="D2164" i="1" s="1"/>
  <c r="E2164" i="1"/>
  <c r="D1819" i="1" a="1"/>
  <c r="D1819" i="1" s="1"/>
  <c r="E1819" i="1"/>
  <c r="D542" i="1" a="1"/>
  <c r="D542" i="1" s="1"/>
  <c r="E542" i="1"/>
  <c r="D386" i="1" a="1"/>
  <c r="D386" i="1" s="1"/>
  <c r="E386" i="1"/>
  <c r="D763" i="1" a="1"/>
  <c r="D763" i="1" s="1"/>
  <c r="E763" i="1"/>
  <c r="D897" i="1" a="1"/>
  <c r="D897" i="1" s="1"/>
  <c r="E897" i="1"/>
  <c r="F467" i="1"/>
  <c r="F387" i="1"/>
  <c r="F1820" i="1"/>
  <c r="F421" i="1"/>
  <c r="F764" i="1"/>
  <c r="F2165" i="1"/>
  <c r="F1192" i="1"/>
  <c r="F898" i="1"/>
  <c r="D764" i="1" l="1" a="1"/>
  <c r="D764" i="1" s="1"/>
  <c r="E764" i="1"/>
  <c r="D2165" i="1" a="1"/>
  <c r="D2165" i="1" s="1"/>
  <c r="E2165" i="1"/>
  <c r="D387" i="1" a="1"/>
  <c r="D387" i="1" s="1"/>
  <c r="E387" i="1"/>
  <c r="D467" i="1" a="1"/>
  <c r="D467" i="1" s="1"/>
  <c r="E467" i="1"/>
  <c r="D898" i="1" a="1"/>
  <c r="D898" i="1" s="1"/>
  <c r="E898" i="1"/>
  <c r="D421" i="1" a="1"/>
  <c r="D421" i="1" s="1"/>
  <c r="E421" i="1"/>
  <c r="D1192" i="1" a="1"/>
  <c r="D1192" i="1" s="1"/>
  <c r="E1192" i="1"/>
  <c r="D1820" i="1" a="1"/>
  <c r="D1820" i="1" s="1"/>
  <c r="E1820" i="1"/>
  <c r="F1193" i="1"/>
  <c r="F1821" i="1"/>
  <c r="F468" i="1"/>
  <c r="F2166" i="1"/>
  <c r="F899" i="1"/>
  <c r="F422" i="1"/>
  <c r="F388" i="1"/>
  <c r="F765" i="1"/>
  <c r="D2166" i="1" l="1" a="1"/>
  <c r="D2166" i="1" s="1"/>
  <c r="E2166" i="1"/>
  <c r="D468" i="1" a="1"/>
  <c r="D468" i="1" s="1"/>
  <c r="E468" i="1"/>
  <c r="D765" i="1" a="1"/>
  <c r="D765" i="1" s="1"/>
  <c r="E765" i="1"/>
  <c r="D422" i="1" a="1"/>
  <c r="D422" i="1" s="1"/>
  <c r="E422" i="1"/>
  <c r="E1821" i="1"/>
  <c r="D1821" i="1" a="1"/>
  <c r="D1821" i="1" s="1"/>
  <c r="D388" i="1" a="1"/>
  <c r="D388" i="1" s="1"/>
  <c r="E388" i="1"/>
  <c r="D899" i="1" a="1"/>
  <c r="D899" i="1" s="1"/>
  <c r="E899" i="1"/>
  <c r="D1193" i="1" a="1"/>
  <c r="D1193" i="1" s="1"/>
  <c r="E1193" i="1"/>
  <c r="F389" i="1"/>
  <c r="F469" i="1"/>
  <c r="F766" i="1"/>
  <c r="F2167" i="1"/>
  <c r="F1822" i="1"/>
  <c r="F900" i="1"/>
  <c r="F1194" i="1"/>
  <c r="D2167" i="1" l="1" a="1"/>
  <c r="D2167" i="1" s="1"/>
  <c r="E2167" i="1"/>
  <c r="D1194" i="1" a="1"/>
  <c r="D1194" i="1" s="1"/>
  <c r="E1194" i="1"/>
  <c r="D766" i="1" a="1"/>
  <c r="D766" i="1" s="1"/>
  <c r="E766" i="1"/>
  <c r="D900" i="1" a="1"/>
  <c r="D900" i="1" s="1"/>
  <c r="E900" i="1"/>
  <c r="D469" i="1" a="1"/>
  <c r="D469" i="1" s="1"/>
  <c r="E469" i="1"/>
  <c r="D1822" i="1" a="1"/>
  <c r="D1822" i="1" s="1"/>
  <c r="E1822" i="1"/>
  <c r="D389" i="1" a="1"/>
  <c r="D389" i="1" s="1"/>
  <c r="E389" i="1"/>
  <c r="F470" i="1"/>
  <c r="F1823" i="1"/>
  <c r="F767" i="1"/>
  <c r="F901" i="1"/>
  <c r="F2168" i="1"/>
  <c r="F1195" i="1"/>
  <c r="F390" i="1"/>
  <c r="D390" i="1" l="1" a="1"/>
  <c r="D390" i="1" s="1"/>
  <c r="E390" i="1"/>
  <c r="E767" i="1"/>
  <c r="D767" i="1" a="1"/>
  <c r="D767" i="1" s="1"/>
  <c r="E1195" i="1"/>
  <c r="D1195" i="1" a="1"/>
  <c r="D1195" i="1" s="1"/>
  <c r="D1823" i="1" a="1"/>
  <c r="D1823" i="1" s="1"/>
  <c r="E1823" i="1"/>
  <c r="D2168" i="1" a="1"/>
  <c r="D2168" i="1" s="1"/>
  <c r="E2168" i="1"/>
  <c r="D470" i="1" a="1"/>
  <c r="D470" i="1" s="1"/>
  <c r="E470" i="1"/>
  <c r="D901" i="1" a="1"/>
  <c r="D901" i="1" s="1"/>
  <c r="E901" i="1"/>
  <c r="F391" i="1"/>
  <c r="F768" i="1"/>
  <c r="F902" i="1"/>
  <c r="F1196" i="1"/>
  <c r="F2169" i="1"/>
  <c r="F471" i="1"/>
  <c r="D471" i="1" l="1" a="1"/>
  <c r="D471" i="1" s="1"/>
  <c r="E471" i="1"/>
  <c r="D768" i="1" a="1"/>
  <c r="D768" i="1" s="1"/>
  <c r="E768" i="1"/>
  <c r="D391" i="1" a="1"/>
  <c r="D391" i="1" s="1"/>
  <c r="E391" i="1"/>
  <c r="E2169" i="1"/>
  <c r="D2169" i="1" a="1"/>
  <c r="D2169" i="1" s="1"/>
  <c r="D1196" i="1" a="1"/>
  <c r="D1196" i="1" s="1"/>
  <c r="E1196" i="1"/>
  <c r="D902" i="1" a="1"/>
  <c r="D902" i="1" s="1"/>
  <c r="E902" i="1"/>
  <c r="F2170" i="1"/>
  <c r="F903" i="1"/>
  <c r="F769" i="1"/>
  <c r="F472" i="1"/>
  <c r="F1197" i="1"/>
  <c r="D472" i="1" l="1" a="1"/>
  <c r="D472" i="1" s="1"/>
  <c r="E472" i="1"/>
  <c r="D1197" i="1" a="1"/>
  <c r="D1197" i="1" s="1"/>
  <c r="E1197" i="1"/>
  <c r="D769" i="1" a="1"/>
  <c r="D769" i="1" s="1"/>
  <c r="E769" i="1"/>
  <c r="D903" i="1" a="1"/>
  <c r="D903" i="1" s="1"/>
  <c r="E903" i="1"/>
  <c r="D2170" i="1" a="1"/>
  <c r="D2170" i="1" s="1"/>
  <c r="E2170" i="1"/>
  <c r="F904" i="1"/>
  <c r="F770" i="1"/>
  <c r="F473" i="1"/>
  <c r="F1198" i="1"/>
  <c r="F2171" i="1"/>
  <c r="D770" i="1" l="1" a="1"/>
  <c r="D770" i="1" s="1"/>
  <c r="E770" i="1"/>
  <c r="D2171" i="1" a="1"/>
  <c r="D2171" i="1" s="1"/>
  <c r="E2171" i="1"/>
  <c r="D904" i="1" a="1"/>
  <c r="D904" i="1" s="1"/>
  <c r="E904" i="1"/>
  <c r="D1198" i="1" a="1"/>
  <c r="D1198" i="1" s="1"/>
  <c r="E1198" i="1"/>
  <c r="D473" i="1" a="1"/>
  <c r="D473" i="1" s="1"/>
  <c r="E473" i="1"/>
  <c r="F771" i="1"/>
  <c r="F474" i="1"/>
  <c r="F1199" i="1"/>
  <c r="F905" i="1"/>
  <c r="D905" i="1" l="1" a="1"/>
  <c r="D905" i="1" s="1"/>
  <c r="E905" i="1"/>
  <c r="E1199" i="1"/>
  <c r="D1199" i="1" a="1"/>
  <c r="D1199" i="1" s="1"/>
  <c r="D474" i="1" a="1"/>
  <c r="D474" i="1" s="1"/>
  <c r="E474" i="1"/>
  <c r="D771" i="1" a="1"/>
  <c r="D771" i="1" s="1"/>
  <c r="E771" i="1"/>
  <c r="F475" i="1"/>
  <c r="F1200" i="1"/>
  <c r="F906" i="1"/>
  <c r="F772" i="1"/>
  <c r="D772" i="1" l="1" a="1"/>
  <c r="D772" i="1" s="1"/>
  <c r="E772" i="1"/>
  <c r="D906" i="1" a="1"/>
  <c r="D906" i="1" s="1"/>
  <c r="E906" i="1"/>
  <c r="D1200" i="1" a="1"/>
  <c r="D1200" i="1" s="1"/>
  <c r="E1200" i="1"/>
  <c r="D475" i="1" a="1"/>
  <c r="D475" i="1" s="1"/>
  <c r="E475" i="1"/>
  <c r="F907" i="1"/>
  <c r="F773" i="1"/>
  <c r="F476" i="1"/>
  <c r="D476" i="1" l="1" a="1"/>
  <c r="D476" i="1" s="1"/>
  <c r="E476" i="1"/>
  <c r="D773" i="1" a="1"/>
  <c r="D773" i="1" s="1"/>
  <c r="E773" i="1"/>
  <c r="D907" i="1" a="1"/>
  <c r="D907" i="1" s="1"/>
  <c r="E907" i="1"/>
  <c r="F908" i="1"/>
  <c r="F774" i="1"/>
  <c r="F477" i="1"/>
  <c r="D477" i="1" l="1" a="1"/>
  <c r="D477" i="1" s="1"/>
  <c r="E477" i="1"/>
  <c r="D774" i="1" a="1"/>
  <c r="D774" i="1" s="1"/>
  <c r="E774" i="1"/>
  <c r="D908" i="1" a="1"/>
  <c r="D908" i="1" s="1"/>
  <c r="E908" i="1"/>
  <c r="F478" i="1"/>
  <c r="F775" i="1"/>
  <c r="F909" i="1"/>
  <c r="E909" i="1" l="1"/>
  <c r="D909" i="1" a="1"/>
  <c r="D909" i="1" s="1"/>
  <c r="E775" i="1"/>
  <c r="D775" i="1" a="1"/>
  <c r="D775" i="1" s="1"/>
  <c r="D478" i="1" a="1"/>
  <c r="D478" i="1" s="1"/>
  <c r="E478" i="1"/>
  <c r="F910" i="1"/>
  <c r="F776" i="1"/>
  <c r="F479" i="1"/>
  <c r="E776" i="1" l="1"/>
  <c r="D776" i="1" a="1"/>
  <c r="D776" i="1" s="1"/>
  <c r="D479" i="1" a="1"/>
  <c r="D479" i="1" s="1"/>
  <c r="E479" i="1"/>
  <c r="D910" i="1" a="1"/>
  <c r="D910" i="1" s="1"/>
  <c r="E910" i="1"/>
  <c r="F777" i="1"/>
  <c r="F480" i="1"/>
  <c r="F911" i="1"/>
  <c r="D480" i="1" l="1" a="1"/>
  <c r="D480" i="1" s="1"/>
  <c r="E480" i="1"/>
  <c r="D777" i="1" a="1"/>
  <c r="D777" i="1" s="1"/>
  <c r="E777" i="1"/>
  <c r="D911" i="1" a="1"/>
  <c r="D911" i="1" s="1"/>
  <c r="E911" i="1"/>
  <c r="F912" i="1"/>
  <c r="F481" i="1"/>
  <c r="F778" i="1"/>
  <c r="D778" i="1" l="1" a="1"/>
  <c r="D778" i="1" s="1"/>
  <c r="E778" i="1"/>
  <c r="D481" i="1" a="1"/>
  <c r="D481" i="1" s="1"/>
  <c r="E481" i="1"/>
  <c r="D912" i="1" a="1"/>
  <c r="D912" i="1" s="1"/>
  <c r="E912" i="1"/>
  <c r="F482" i="1"/>
  <c r="F779" i="1"/>
  <c r="F913" i="1"/>
  <c r="D779" i="1" l="1" a="1"/>
  <c r="D779" i="1" s="1"/>
  <c r="E779" i="1"/>
  <c r="D482" i="1" a="1"/>
  <c r="D482" i="1" s="1"/>
  <c r="E482" i="1"/>
  <c r="D913" i="1" a="1"/>
  <c r="D913" i="1" s="1"/>
  <c r="E913" i="1"/>
  <c r="F914" i="1"/>
  <c r="F780" i="1"/>
  <c r="F483" i="1"/>
  <c r="D780" i="1" l="1" a="1"/>
  <c r="D780" i="1" s="1"/>
  <c r="E780" i="1"/>
  <c r="D914" i="1" a="1"/>
  <c r="D914" i="1" s="1"/>
  <c r="E914" i="1"/>
  <c r="D483" i="1" a="1"/>
  <c r="D483" i="1" s="1"/>
  <c r="E483" i="1"/>
  <c r="F781" i="1"/>
  <c r="F484" i="1"/>
  <c r="F915" i="1"/>
  <c r="D915" i="1" l="1" a="1"/>
  <c r="D915" i="1" s="1"/>
  <c r="E915" i="1"/>
  <c r="D484" i="1" a="1"/>
  <c r="D484" i="1" s="1"/>
  <c r="E484" i="1"/>
  <c r="D781" i="1" a="1"/>
  <c r="D781" i="1" s="1"/>
  <c r="E781" i="1"/>
  <c r="F485" i="1"/>
  <c r="F916" i="1"/>
  <c r="F782" i="1"/>
  <c r="D916" i="1" l="1" a="1"/>
  <c r="D916" i="1" s="1"/>
  <c r="E916" i="1"/>
  <c r="D485" i="1" a="1"/>
  <c r="D485" i="1" s="1"/>
  <c r="E485" i="1"/>
  <c r="D782" i="1" a="1"/>
  <c r="D782" i="1" s="1"/>
  <c r="E782" i="1"/>
  <c r="F917" i="1"/>
  <c r="F783" i="1"/>
  <c r="F486" i="1"/>
  <c r="D783" i="1" l="1" a="1"/>
  <c r="D783" i="1" s="1"/>
  <c r="E783" i="1"/>
  <c r="D917" i="1" a="1"/>
  <c r="D917" i="1" s="1"/>
  <c r="E917" i="1"/>
  <c r="D486" i="1" a="1"/>
  <c r="D486" i="1" s="1"/>
  <c r="E486" i="1"/>
  <c r="F784" i="1"/>
  <c r="F487" i="1"/>
  <c r="F918" i="1"/>
  <c r="D918" i="1" l="1" a="1"/>
  <c r="D918" i="1" s="1"/>
  <c r="E918" i="1"/>
  <c r="D487" i="1" a="1"/>
  <c r="D487" i="1" s="1"/>
  <c r="E487" i="1"/>
  <c r="D784" i="1" a="1"/>
  <c r="D784" i="1" s="1"/>
  <c r="E784" i="1"/>
  <c r="F919" i="1"/>
  <c r="F488" i="1"/>
  <c r="F785" i="1"/>
  <c r="D785" i="1" l="1" a="1"/>
  <c r="D785" i="1" s="1"/>
  <c r="E785" i="1"/>
  <c r="D488" i="1" a="1"/>
  <c r="D488" i="1" s="1"/>
  <c r="E488" i="1"/>
  <c r="D919" i="1" a="1"/>
  <c r="D919" i="1" s="1"/>
  <c r="E919" i="1"/>
  <c r="F786" i="1"/>
  <c r="F489" i="1"/>
  <c r="F920" i="1"/>
  <c r="D920" i="1" l="1" a="1"/>
  <c r="D920" i="1" s="1"/>
  <c r="E920" i="1"/>
  <c r="D489" i="1" a="1"/>
  <c r="D489" i="1" s="1"/>
  <c r="E489" i="1"/>
  <c r="E786" i="1"/>
  <c r="D786" i="1" a="1"/>
  <c r="D786" i="1" s="1"/>
  <c r="F490" i="1"/>
  <c r="F787" i="1"/>
  <c r="D787" i="1" l="1" a="1"/>
  <c r="D787" i="1" s="1"/>
  <c r="E787" i="1"/>
  <c r="D490" i="1" a="1"/>
  <c r="D490" i="1" s="1"/>
  <c r="E490" i="1"/>
  <c r="F491" i="1"/>
  <c r="F788" i="1"/>
  <c r="D788" i="1" l="1" a="1"/>
  <c r="D788" i="1" s="1"/>
  <c r="E788" i="1"/>
  <c r="D491" i="1" a="1"/>
  <c r="D491" i="1" s="1"/>
  <c r="E491" i="1"/>
  <c r="F789" i="1"/>
  <c r="F492" i="1"/>
  <c r="D492" i="1" l="1" a="1"/>
  <c r="D492" i="1" s="1"/>
  <c r="E492" i="1"/>
  <c r="D789" i="1" a="1"/>
  <c r="D789" i="1" s="1"/>
  <c r="E789" i="1"/>
  <c r="F493" i="1"/>
  <c r="F790" i="1"/>
  <c r="D493" i="1" l="1" a="1"/>
  <c r="D493" i="1" s="1"/>
  <c r="E493" i="1"/>
  <c r="D790" i="1" a="1"/>
  <c r="D790" i="1" s="1"/>
  <c r="E790" i="1"/>
  <c r="F791" i="1"/>
  <c r="F494" i="1"/>
  <c r="D791" i="1" l="1" a="1"/>
  <c r="D791" i="1" s="1"/>
  <c r="E791" i="1"/>
  <c r="D494" i="1" a="1"/>
  <c r="D494" i="1" s="1"/>
  <c r="E494" i="1"/>
  <c r="F495" i="1"/>
  <c r="F792" i="1"/>
  <c r="D792" i="1" l="1" a="1"/>
  <c r="D792" i="1" s="1"/>
  <c r="E792" i="1"/>
  <c r="D495" i="1" a="1"/>
  <c r="D495" i="1" s="1"/>
  <c r="E495" i="1"/>
  <c r="F793" i="1"/>
  <c r="F496" i="1"/>
  <c r="D496" i="1" l="1" a="1"/>
  <c r="D496" i="1" s="1"/>
  <c r="E496" i="1"/>
  <c r="D793" i="1" a="1"/>
  <c r="D793" i="1" s="1"/>
  <c r="E793" i="1"/>
  <c r="F497" i="1"/>
  <c r="F794" i="1"/>
  <c r="D497" i="1" l="1" a="1"/>
  <c r="D497" i="1" s="1"/>
  <c r="E497" i="1"/>
  <c r="D794" i="1" a="1"/>
  <c r="D794" i="1" s="1"/>
  <c r="E794" i="1"/>
  <c r="F795" i="1"/>
  <c r="D795" i="1" l="1" a="1"/>
  <c r="D795" i="1" s="1"/>
  <c r="E795" i="1"/>
  <c r="F796" i="1"/>
  <c r="D796" i="1" l="1" a="1"/>
  <c r="D796" i="1" s="1"/>
  <c r="E796" i="1"/>
  <c r="F797" i="1"/>
  <c r="D797" i="1" l="1" a="1"/>
  <c r="D797" i="1" s="1"/>
  <c r="E797" i="1"/>
  <c r="F798" i="1"/>
  <c r="D798" i="1" l="1" a="1"/>
  <c r="D798" i="1" s="1"/>
  <c r="E798" i="1"/>
  <c r="F799" i="1"/>
  <c r="D799" i="1" l="1" a="1"/>
  <c r="D799" i="1" s="1"/>
  <c r="E799" i="1"/>
  <c r="F800" i="1"/>
  <c r="D800" i="1" l="1" a="1"/>
  <c r="D800" i="1" s="1"/>
  <c r="E800" i="1"/>
  <c r="F801" i="1"/>
  <c r="D801" i="1" l="1" a="1"/>
  <c r="D801" i="1" s="1"/>
  <c r="E801" i="1"/>
  <c r="F802" i="1"/>
  <c r="D802" i="1" l="1" a="1"/>
  <c r="D802" i="1" s="1"/>
  <c r="E802" i="1"/>
  <c r="F803" i="1"/>
  <c r="D803" i="1" l="1" a="1"/>
  <c r="D803" i="1" s="1"/>
  <c r="E803" i="1"/>
  <c r="F804" i="1"/>
  <c r="D804" i="1" l="1" a="1"/>
  <c r="D804" i="1" s="1"/>
  <c r="E804" i="1"/>
  <c r="F805" i="1"/>
  <c r="D805" i="1" l="1" a="1"/>
  <c r="D805" i="1" s="1"/>
  <c r="E805" i="1"/>
  <c r="F806" i="1"/>
  <c r="D806" i="1" l="1" a="1"/>
  <c r="D806" i="1" s="1"/>
  <c r="E806" i="1"/>
  <c r="F807" i="1"/>
  <c r="D807" i="1" l="1" a="1"/>
  <c r="D807" i="1" s="1"/>
  <c r="E807" i="1"/>
  <c r="F808" i="1"/>
  <c r="D808" i="1" l="1" a="1"/>
  <c r="D808" i="1" s="1"/>
  <c r="E808" i="1"/>
  <c r="F809" i="1"/>
  <c r="D809" i="1" l="1" a="1"/>
  <c r="D809" i="1" s="1"/>
  <c r="E809" i="1"/>
  <c r="F810" i="1"/>
  <c r="D810" i="1" l="1" a="1"/>
  <c r="D810" i="1" s="1"/>
  <c r="E810" i="1"/>
  <c r="F811" i="1"/>
  <c r="D811" i="1" l="1" a="1"/>
  <c r="D811" i="1" s="1"/>
  <c r="E811" i="1"/>
  <c r="F812" i="1"/>
  <c r="D812" i="1" l="1" a="1"/>
  <c r="D812" i="1" s="1"/>
  <c r="E812" i="1"/>
  <c r="F813" i="1"/>
  <c r="E813" i="1" l="1"/>
  <c r="D813" i="1" a="1"/>
  <c r="D813" i="1" s="1"/>
  <c r="F814" i="1"/>
  <c r="D814" i="1" l="1" a="1"/>
  <c r="D814" i="1" s="1"/>
  <c r="E814" i="1"/>
  <c r="F815" i="1"/>
  <c r="D815" i="1" l="1" a="1"/>
  <c r="D815" i="1" s="1"/>
  <c r="E815" i="1"/>
  <c r="F816" i="1"/>
  <c r="D816" i="1" l="1" a="1"/>
  <c r="D816" i="1" s="1"/>
  <c r="E816" i="1"/>
  <c r="F817" i="1"/>
  <c r="D817" i="1" l="1" a="1"/>
  <c r="D817" i="1" s="1"/>
  <c r="E817" i="1"/>
  <c r="F818" i="1"/>
  <c r="D818" i="1" l="1" a="1"/>
  <c r="D818" i="1" s="1"/>
  <c r="E818" i="1"/>
  <c r="F819" i="1"/>
  <c r="D819" i="1" l="1" a="1"/>
  <c r="D819" i="1" s="1"/>
  <c r="E819" i="1"/>
  <c r="F820" i="1"/>
  <c r="D820" i="1" l="1" a="1"/>
  <c r="D820" i="1" s="1"/>
  <c r="E820" i="1"/>
  <c r="F1578" i="1"/>
  <c r="F1579" i="1" l="1"/>
  <c r="F1580" i="1" s="1"/>
  <c r="D1578" i="1" a="1"/>
  <c r="D1578" i="1" s="1"/>
  <c r="E1578" i="1"/>
  <c r="D1580" i="1" l="1" a="1"/>
  <c r="D1580" i="1" s="1"/>
  <c r="E1580" i="1"/>
  <c r="D1579" i="1" a="1"/>
  <c r="D1579" i="1" s="1"/>
  <c r="E1579" i="1"/>
  <c r="F1581" i="1"/>
  <c r="D1581" i="1" l="1" a="1"/>
  <c r="D1581" i="1" s="1"/>
  <c r="E1581" i="1"/>
  <c r="F1582" i="1"/>
  <c r="D1582" i="1" l="1" a="1"/>
  <c r="D1582" i="1" s="1"/>
  <c r="E1582" i="1"/>
  <c r="F1583" i="1"/>
  <c r="E1583" i="1" l="1"/>
  <c r="D1583" i="1" a="1"/>
  <c r="D1583" i="1" s="1"/>
  <c r="F1584" i="1"/>
  <c r="D1584" i="1" l="1" a="1"/>
  <c r="D1584" i="1" s="1"/>
  <c r="E1584" i="1"/>
  <c r="F1585" i="1"/>
  <c r="D1585" i="1" l="1" a="1"/>
  <c r="D1585" i="1" s="1"/>
  <c r="E1585" i="1"/>
  <c r="F1586" i="1"/>
  <c r="D1586" i="1" l="1" a="1"/>
  <c r="D1586" i="1" s="1"/>
  <c r="E1586" i="1"/>
  <c r="F1587" i="1"/>
  <c r="D1587" i="1" l="1" a="1"/>
  <c r="D1587" i="1" s="1"/>
  <c r="E1587" i="1"/>
  <c r="F1588" i="1"/>
  <c r="D1588" i="1" l="1" a="1"/>
  <c r="D1588" i="1" s="1"/>
  <c r="E1588" i="1"/>
  <c r="F1589" i="1"/>
  <c r="E1589" i="1" l="1"/>
  <c r="D1589" i="1" a="1"/>
  <c r="D1589" i="1" s="1"/>
  <c r="F1590" i="1"/>
  <c r="D1590" i="1" l="1" a="1"/>
  <c r="D1590" i="1" s="1"/>
  <c r="E1590" i="1"/>
  <c r="A2" i="8" a="1"/>
  <c r="A2" i="8" l="1"/>
  <c r="B2" i="8" l="1"/>
  <c r="B3" i="8" s="1"/>
  <c r="B4" i="8" s="1"/>
  <c r="B5" i="8" s="1"/>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B76" i="8" s="1"/>
  <c r="B77" i="8" s="1"/>
  <c r="B78" i="8" s="1"/>
  <c r="B79" i="8" s="1"/>
  <c r="B80" i="8" s="1"/>
  <c r="B81" i="8" s="1"/>
  <c r="J94" i="1"/>
  <c r="J108" i="1"/>
  <c r="J236" i="1"/>
  <c r="J296" i="1"/>
  <c r="J27" i="1"/>
  <c r="J91" i="1"/>
  <c r="J145" i="1"/>
  <c r="J161" i="1"/>
  <c r="J209" i="1"/>
  <c r="J225" i="1"/>
  <c r="J273" i="1"/>
  <c r="J289" i="1"/>
  <c r="J337" i="1"/>
  <c r="J353" i="1"/>
  <c r="J118" i="1"/>
  <c r="J134" i="1"/>
  <c r="J182" i="1"/>
  <c r="J198" i="1"/>
  <c r="J246" i="1"/>
  <c r="J262" i="1"/>
  <c r="J310" i="1"/>
  <c r="J35" i="1"/>
  <c r="J131" i="1"/>
  <c r="J147" i="1"/>
  <c r="J195" i="1"/>
  <c r="J239" i="1"/>
  <c r="J366" i="1"/>
  <c r="J382" i="1"/>
  <c r="J430" i="1"/>
  <c r="J446" i="1"/>
  <c r="J494" i="1"/>
  <c r="J510" i="1"/>
  <c r="J538" i="1"/>
  <c r="J542" i="1"/>
  <c r="J558" i="1"/>
  <c r="J566" i="1"/>
  <c r="J582" i="1"/>
  <c r="J586" i="1"/>
  <c r="J602" i="1"/>
  <c r="J606" i="1"/>
  <c r="J622" i="1"/>
  <c r="J630" i="1"/>
  <c r="J634" i="1"/>
  <c r="J638" i="1"/>
  <c r="J646" i="1"/>
  <c r="J211" i="1"/>
  <c r="J227" i="1"/>
  <c r="J259" i="1"/>
  <c r="J275" i="1"/>
  <c r="J291" i="1"/>
  <c r="J319" i="1"/>
  <c r="J327" i="1"/>
  <c r="J335" i="1"/>
  <c r="J351" i="1"/>
  <c r="J359" i="1"/>
  <c r="J363" i="1"/>
  <c r="J367" i="1"/>
  <c r="J371" i="1"/>
  <c r="J375" i="1"/>
  <c r="J379" i="1"/>
  <c r="J383" i="1"/>
  <c r="J387" i="1"/>
  <c r="J391" i="1"/>
  <c r="J395" i="1"/>
  <c r="J399" i="1"/>
  <c r="J403" i="1"/>
  <c r="J407" i="1"/>
  <c r="J411" i="1"/>
  <c r="J415" i="1"/>
  <c r="J419" i="1"/>
  <c r="J423" i="1"/>
  <c r="J427" i="1"/>
  <c r="J431" i="1"/>
  <c r="J435" i="1"/>
  <c r="J439" i="1"/>
  <c r="J443" i="1"/>
  <c r="J447" i="1"/>
  <c r="J451" i="1"/>
  <c r="J455" i="1"/>
  <c r="J459" i="1"/>
  <c r="J463" i="1"/>
  <c r="J467" i="1"/>
  <c r="J471" i="1"/>
  <c r="J475" i="1"/>
  <c r="J479" i="1"/>
  <c r="J483" i="1"/>
  <c r="J487" i="1"/>
  <c r="J491" i="1"/>
  <c r="J495" i="1"/>
  <c r="J499" i="1"/>
  <c r="J503" i="1"/>
  <c r="J507" i="1"/>
  <c r="J511" i="1"/>
  <c r="J515" i="1"/>
  <c r="J519" i="1"/>
  <c r="J523" i="1"/>
  <c r="J527" i="1"/>
  <c r="J531" i="1"/>
  <c r="J535" i="1"/>
  <c r="J539" i="1"/>
  <c r="J543" i="1"/>
  <c r="J547" i="1"/>
  <c r="J551" i="1"/>
  <c r="J555" i="1"/>
  <c r="J559" i="1"/>
  <c r="J563" i="1"/>
  <c r="J567" i="1"/>
  <c r="J571" i="1"/>
  <c r="J575" i="1"/>
  <c r="J579" i="1"/>
  <c r="J583" i="1"/>
  <c r="J587" i="1"/>
  <c r="J591" i="1"/>
  <c r="J595" i="1"/>
  <c r="J599" i="1"/>
  <c r="J603" i="1"/>
  <c r="J607" i="1"/>
  <c r="J611" i="1"/>
  <c r="J615" i="1"/>
  <c r="J619" i="1"/>
  <c r="J623" i="1"/>
  <c r="J627" i="1"/>
  <c r="J631" i="1"/>
  <c r="J635" i="1"/>
  <c r="J215" i="1"/>
  <c r="J231" i="1"/>
  <c r="J247" i="1"/>
  <c r="J263" i="1"/>
  <c r="J279" i="1"/>
  <c r="J295" i="1"/>
  <c r="J311" i="1"/>
  <c r="J322" i="1"/>
  <c r="J330" i="1"/>
  <c r="J338" i="1"/>
  <c r="J346" i="1"/>
  <c r="J354" i="1"/>
  <c r="J360" i="1"/>
  <c r="J364" i="1"/>
  <c r="J368" i="1"/>
  <c r="J372" i="1"/>
  <c r="J376" i="1"/>
  <c r="J380" i="1"/>
  <c r="J384" i="1"/>
  <c r="J388" i="1"/>
  <c r="J392" i="1"/>
  <c r="J396" i="1"/>
  <c r="J400" i="1"/>
  <c r="J404" i="1"/>
  <c r="J408" i="1"/>
  <c r="J412" i="1"/>
  <c r="J416" i="1"/>
  <c r="J420" i="1"/>
  <c r="J424" i="1"/>
  <c r="J428" i="1"/>
  <c r="J432" i="1"/>
  <c r="J436" i="1"/>
  <c r="J440" i="1"/>
  <c r="J444" i="1"/>
  <c r="J448" i="1"/>
  <c r="J452" i="1"/>
  <c r="J456" i="1"/>
  <c r="J460" i="1"/>
  <c r="J464" i="1"/>
  <c r="J468" i="1"/>
  <c r="J472" i="1"/>
  <c r="J476" i="1"/>
  <c r="J480" i="1"/>
  <c r="J484" i="1"/>
  <c r="J488" i="1"/>
  <c r="J492" i="1"/>
  <c r="J496" i="1"/>
  <c r="J500" i="1"/>
  <c r="J504" i="1"/>
  <c r="J508" i="1"/>
  <c r="J512" i="1"/>
  <c r="J516" i="1"/>
  <c r="J520" i="1"/>
  <c r="J524" i="1"/>
  <c r="J528" i="1"/>
  <c r="J532" i="1"/>
  <c r="J536" i="1"/>
  <c r="J540" i="1"/>
  <c r="J544" i="1"/>
  <c r="J548" i="1"/>
  <c r="J552" i="1"/>
  <c r="J556" i="1"/>
  <c r="J560" i="1"/>
  <c r="J564" i="1"/>
  <c r="J568" i="1"/>
  <c r="J572" i="1"/>
  <c r="J576" i="1"/>
  <c r="J580" i="1"/>
  <c r="J584" i="1"/>
  <c r="J588" i="1"/>
  <c r="J592" i="1"/>
  <c r="J596" i="1"/>
  <c r="J600" i="1"/>
  <c r="J604" i="1"/>
  <c r="J608" i="1"/>
  <c r="J612" i="1"/>
  <c r="J616" i="1"/>
  <c r="J620" i="1"/>
  <c r="J624" i="1"/>
  <c r="J628" i="1"/>
  <c r="J632" i="1"/>
  <c r="J636" i="1"/>
  <c r="J203" i="1"/>
  <c r="J219" i="1"/>
  <c r="J235" i="1"/>
  <c r="J251" i="1"/>
  <c r="J267" i="1"/>
  <c r="J283" i="1"/>
  <c r="J299" i="1"/>
  <c r="J315" i="1"/>
  <c r="J323" i="1"/>
  <c r="J331" i="1"/>
  <c r="J339" i="1"/>
  <c r="J347" i="1"/>
  <c r="J355" i="1"/>
  <c r="J361" i="1"/>
  <c r="J365" i="1"/>
  <c r="J369" i="1"/>
  <c r="J373" i="1"/>
  <c r="J377" i="1"/>
  <c r="J381" i="1"/>
  <c r="J385" i="1"/>
  <c r="J389" i="1"/>
  <c r="J393" i="1"/>
  <c r="J397" i="1"/>
  <c r="J401" i="1"/>
  <c r="J405" i="1"/>
  <c r="J409" i="1"/>
  <c r="J413" i="1"/>
  <c r="J417" i="1"/>
  <c r="J421" i="1"/>
  <c r="J425" i="1"/>
  <c r="J429" i="1"/>
  <c r="J433" i="1"/>
  <c r="J437" i="1"/>
  <c r="J441" i="1"/>
  <c r="J445" i="1"/>
  <c r="J449" i="1"/>
  <c r="J453" i="1"/>
  <c r="J457" i="1"/>
  <c r="J461" i="1"/>
  <c r="J465" i="1"/>
  <c r="J469" i="1"/>
  <c r="J473" i="1"/>
  <c r="J477" i="1"/>
  <c r="J481" i="1"/>
  <c r="J485" i="1"/>
  <c r="J489" i="1"/>
  <c r="J493" i="1"/>
  <c r="J497" i="1"/>
  <c r="J501" i="1"/>
  <c r="J505" i="1"/>
  <c r="J509" i="1"/>
  <c r="J513" i="1"/>
  <c r="J517" i="1"/>
  <c r="J521" i="1"/>
  <c r="J525" i="1"/>
  <c r="J529" i="1"/>
  <c r="J533" i="1"/>
  <c r="J537" i="1"/>
  <c r="J541" i="1"/>
  <c r="J545" i="1"/>
  <c r="J549" i="1"/>
  <c r="J553" i="1"/>
  <c r="J557" i="1"/>
  <c r="J561" i="1"/>
  <c r="J565" i="1"/>
  <c r="J569" i="1"/>
  <c r="J573" i="1"/>
  <c r="J577" i="1"/>
  <c r="J581" i="1"/>
  <c r="J585" i="1"/>
  <c r="J589" i="1"/>
  <c r="J593" i="1"/>
  <c r="J597" i="1"/>
  <c r="J601" i="1"/>
  <c r="J605" i="1"/>
  <c r="J609" i="1"/>
  <c r="J613" i="1"/>
  <c r="J617" i="1"/>
  <c r="J621" i="1"/>
  <c r="J625" i="1"/>
  <c r="J629" i="1"/>
  <c r="J633" i="1"/>
  <c r="J637" i="1"/>
  <c r="J641" i="1"/>
  <c r="J645" i="1"/>
  <c r="J640" i="1"/>
  <c r="J648" i="1"/>
  <c r="J652" i="1"/>
  <c r="J656" i="1"/>
  <c r="J643" i="1"/>
  <c r="J649" i="1"/>
  <c r="J653" i="1"/>
  <c r="J657" i="1"/>
  <c r="J644" i="1"/>
  <c r="J650" i="1"/>
  <c r="J654" i="1"/>
  <c r="J639" i="1"/>
  <c r="J647" i="1"/>
  <c r="J651" i="1"/>
  <c r="J655" i="1"/>
  <c r="J618" i="1" l="1"/>
  <c r="J598" i="1"/>
  <c r="J574" i="1"/>
  <c r="J554" i="1"/>
  <c r="J526" i="1"/>
  <c r="J478" i="1"/>
  <c r="J414" i="1"/>
  <c r="J342" i="1"/>
  <c r="J179" i="1"/>
  <c r="J115" i="1"/>
  <c r="J294" i="1"/>
  <c r="J230" i="1"/>
  <c r="J166" i="1"/>
  <c r="J100" i="1"/>
  <c r="J321" i="1"/>
  <c r="J257" i="1"/>
  <c r="J193" i="1"/>
  <c r="J129" i="1"/>
  <c r="J332" i="1"/>
  <c r="J204" i="1"/>
  <c r="J50" i="1"/>
  <c r="J614" i="1"/>
  <c r="J590" i="1"/>
  <c r="J570" i="1"/>
  <c r="J550" i="1"/>
  <c r="J522" i="1"/>
  <c r="J462" i="1"/>
  <c r="J398" i="1"/>
  <c r="J303" i="1"/>
  <c r="J163" i="1"/>
  <c r="J95" i="1"/>
  <c r="J278" i="1"/>
  <c r="J214" i="1"/>
  <c r="J150" i="1"/>
  <c r="J47" i="1"/>
  <c r="J305" i="1"/>
  <c r="J241" i="1"/>
  <c r="J177" i="1"/>
  <c r="J113" i="1"/>
  <c r="J316" i="1"/>
  <c r="J172" i="1"/>
  <c r="J65" i="1"/>
  <c r="B82" i="8"/>
  <c r="J348" i="1"/>
  <c r="J268" i="1"/>
  <c r="J140" i="1"/>
  <c r="J10" i="1"/>
  <c r="J506" i="1"/>
  <c r="J490" i="1"/>
  <c r="J474" i="1"/>
  <c r="J458" i="1"/>
  <c r="J442" i="1"/>
  <c r="J426" i="1"/>
  <c r="J410" i="1"/>
  <c r="J394" i="1"/>
  <c r="J378" i="1"/>
  <c r="J362" i="1"/>
  <c r="J334" i="1"/>
  <c r="J287" i="1"/>
  <c r="J223" i="1"/>
  <c r="J191" i="1"/>
  <c r="J175" i="1"/>
  <c r="J159" i="1"/>
  <c r="J143" i="1"/>
  <c r="J127" i="1"/>
  <c r="J111" i="1"/>
  <c r="J83" i="1"/>
  <c r="J19" i="1"/>
  <c r="J306" i="1"/>
  <c r="J290" i="1"/>
  <c r="J274" i="1"/>
  <c r="J258" i="1"/>
  <c r="J242" i="1"/>
  <c r="J226" i="1"/>
  <c r="J210" i="1"/>
  <c r="J194" i="1"/>
  <c r="J178" i="1"/>
  <c r="J162" i="1"/>
  <c r="J146" i="1"/>
  <c r="J130" i="1"/>
  <c r="J114" i="1"/>
  <c r="J92" i="1"/>
  <c r="J31" i="1"/>
  <c r="J349" i="1"/>
  <c r="J333" i="1"/>
  <c r="J317" i="1"/>
  <c r="J301" i="1"/>
  <c r="J285" i="1"/>
  <c r="J269" i="1"/>
  <c r="J253" i="1"/>
  <c r="J237" i="1"/>
  <c r="J221" i="1"/>
  <c r="J205" i="1"/>
  <c r="J189" i="1"/>
  <c r="J173" i="1"/>
  <c r="J157" i="1"/>
  <c r="J141" i="1"/>
  <c r="J125" i="1"/>
  <c r="J109" i="1"/>
  <c r="J75" i="1"/>
  <c r="J11" i="1"/>
  <c r="J344" i="1"/>
  <c r="J328" i="1"/>
  <c r="J312" i="1"/>
  <c r="J292" i="1"/>
  <c r="J260" i="1"/>
  <c r="J228" i="1"/>
  <c r="J196" i="1"/>
  <c r="J164" i="1"/>
  <c r="J132" i="1"/>
  <c r="J87" i="1"/>
  <c r="J82" i="1"/>
  <c r="J42" i="1"/>
  <c r="J101" i="1"/>
  <c r="J49" i="1"/>
  <c r="J534" i="1"/>
  <c r="J518" i="1"/>
  <c r="J502" i="1"/>
  <c r="J486" i="1"/>
  <c r="J470" i="1"/>
  <c r="J454" i="1"/>
  <c r="J438" i="1"/>
  <c r="J422" i="1"/>
  <c r="J406" i="1"/>
  <c r="J390" i="1"/>
  <c r="J374" i="1"/>
  <c r="J358" i="1"/>
  <c r="J326" i="1"/>
  <c r="J271" i="1"/>
  <c r="J207" i="1"/>
  <c r="J187" i="1"/>
  <c r="J171" i="1"/>
  <c r="J155" i="1"/>
  <c r="J139" i="1"/>
  <c r="J123" i="1"/>
  <c r="J107" i="1"/>
  <c r="J67" i="1"/>
  <c r="J3" i="1"/>
  <c r="J302" i="1"/>
  <c r="J286" i="1"/>
  <c r="J270" i="1"/>
  <c r="J254" i="1"/>
  <c r="J238" i="1"/>
  <c r="J222" i="1"/>
  <c r="J206" i="1"/>
  <c r="J190" i="1"/>
  <c r="J174" i="1"/>
  <c r="J158" i="1"/>
  <c r="J142" i="1"/>
  <c r="J126" i="1"/>
  <c r="J110" i="1"/>
  <c r="J79" i="1"/>
  <c r="J15" i="1"/>
  <c r="J345" i="1"/>
  <c r="J329" i="1"/>
  <c r="J313" i="1"/>
  <c r="J297" i="1"/>
  <c r="J281" i="1"/>
  <c r="J265" i="1"/>
  <c r="J249" i="1"/>
  <c r="J233" i="1"/>
  <c r="J217" i="1"/>
  <c r="J201" i="1"/>
  <c r="J185" i="1"/>
  <c r="J169" i="1"/>
  <c r="J153" i="1"/>
  <c r="J137" i="1"/>
  <c r="J121" i="1"/>
  <c r="J105" i="1"/>
  <c r="J59" i="1"/>
  <c r="J356" i="1"/>
  <c r="J340" i="1"/>
  <c r="J324" i="1"/>
  <c r="J308" i="1"/>
  <c r="J284" i="1"/>
  <c r="J252" i="1"/>
  <c r="J220" i="1"/>
  <c r="J188" i="1"/>
  <c r="J156" i="1"/>
  <c r="J124" i="1"/>
  <c r="J39" i="1"/>
  <c r="J74" i="1"/>
  <c r="J30" i="1"/>
  <c r="J89" i="1"/>
  <c r="J33" i="1"/>
  <c r="J343" i="1"/>
  <c r="J307" i="1"/>
  <c r="J243" i="1"/>
  <c r="J642" i="1"/>
  <c r="J626" i="1"/>
  <c r="J610" i="1"/>
  <c r="J594" i="1"/>
  <c r="J578" i="1"/>
  <c r="J562" i="1"/>
  <c r="J546" i="1"/>
  <c r="J530" i="1"/>
  <c r="J514" i="1"/>
  <c r="J498" i="1"/>
  <c r="J482" i="1"/>
  <c r="J466" i="1"/>
  <c r="J450" i="1"/>
  <c r="J434" i="1"/>
  <c r="J418" i="1"/>
  <c r="J402" i="1"/>
  <c r="J386" i="1"/>
  <c r="J370" i="1"/>
  <c r="J350" i="1"/>
  <c r="J318" i="1"/>
  <c r="J255" i="1"/>
  <c r="J199" i="1"/>
  <c r="J183" i="1"/>
  <c r="J167" i="1"/>
  <c r="J151" i="1"/>
  <c r="J135" i="1"/>
  <c r="J119" i="1"/>
  <c r="J103" i="1"/>
  <c r="J51" i="1"/>
  <c r="J314" i="1"/>
  <c r="J298" i="1"/>
  <c r="J282" i="1"/>
  <c r="J266" i="1"/>
  <c r="J250" i="1"/>
  <c r="J234" i="1"/>
  <c r="J218" i="1"/>
  <c r="J202" i="1"/>
  <c r="J186" i="1"/>
  <c r="J170" i="1"/>
  <c r="J154" i="1"/>
  <c r="J138" i="1"/>
  <c r="J122" i="1"/>
  <c r="J106" i="1"/>
  <c r="J63" i="1"/>
  <c r="J357" i="1"/>
  <c r="J341" i="1"/>
  <c r="J325" i="1"/>
  <c r="J309" i="1"/>
  <c r="J293" i="1"/>
  <c r="J277" i="1"/>
  <c r="J261" i="1"/>
  <c r="J245" i="1"/>
  <c r="J229" i="1"/>
  <c r="J213" i="1"/>
  <c r="J197" i="1"/>
  <c r="J181" i="1"/>
  <c r="J165" i="1"/>
  <c r="J149" i="1"/>
  <c r="J133" i="1"/>
  <c r="J117" i="1"/>
  <c r="J99" i="1"/>
  <c r="J43" i="1"/>
  <c r="J352" i="1"/>
  <c r="J336" i="1"/>
  <c r="J320" i="1"/>
  <c r="J300" i="1"/>
  <c r="J276" i="1"/>
  <c r="J244" i="1"/>
  <c r="J212" i="1"/>
  <c r="J180" i="1"/>
  <c r="J148" i="1"/>
  <c r="J116" i="1"/>
  <c r="J7" i="1"/>
  <c r="J62" i="1"/>
  <c r="J18" i="1"/>
  <c r="J81" i="1"/>
  <c r="J17" i="1"/>
  <c r="J304" i="1"/>
  <c r="J288" i="1"/>
  <c r="J272" i="1"/>
  <c r="J256" i="1"/>
  <c r="J240" i="1"/>
  <c r="J224" i="1"/>
  <c r="J208" i="1"/>
  <c r="J192" i="1"/>
  <c r="J176" i="1"/>
  <c r="J160" i="1"/>
  <c r="J144" i="1"/>
  <c r="J128" i="1"/>
  <c r="J112" i="1"/>
  <c r="J71" i="1"/>
  <c r="J98" i="1"/>
  <c r="J78" i="1"/>
  <c r="J58" i="1"/>
  <c r="J34" i="1"/>
  <c r="J14" i="1"/>
  <c r="J97" i="1"/>
  <c r="J73" i="1"/>
  <c r="J41" i="1"/>
  <c r="J9" i="1"/>
  <c r="J280" i="1"/>
  <c r="J264" i="1"/>
  <c r="J248" i="1"/>
  <c r="J232" i="1"/>
  <c r="J216" i="1"/>
  <c r="J200" i="1"/>
  <c r="J184" i="1"/>
  <c r="J168" i="1"/>
  <c r="J152" i="1"/>
  <c r="J136" i="1"/>
  <c r="J120" i="1"/>
  <c r="J96" i="1"/>
  <c r="J23" i="1"/>
  <c r="J90" i="1"/>
  <c r="J66" i="1"/>
  <c r="J46" i="1"/>
  <c r="J26" i="1"/>
  <c r="J2" i="1"/>
  <c r="K2" i="1" s="1"/>
  <c r="B2" i="1" s="1"/>
  <c r="J85" i="1"/>
  <c r="J57" i="1"/>
  <c r="J25" i="1"/>
  <c r="J69" i="1"/>
  <c r="J53" i="1"/>
  <c r="J37" i="1"/>
  <c r="J21" i="1"/>
  <c r="J5" i="1"/>
  <c r="J104" i="1"/>
  <c r="J55" i="1"/>
  <c r="J102" i="1"/>
  <c r="J86" i="1"/>
  <c r="J70" i="1"/>
  <c r="J54" i="1"/>
  <c r="J38" i="1"/>
  <c r="J22" i="1"/>
  <c r="J6" i="1"/>
  <c r="J93" i="1"/>
  <c r="J77" i="1"/>
  <c r="J61" i="1"/>
  <c r="J45" i="1"/>
  <c r="J29" i="1"/>
  <c r="J13" i="1"/>
  <c r="J80" i="1"/>
  <c r="J64" i="1"/>
  <c r="J48" i="1"/>
  <c r="J32" i="1"/>
  <c r="J16" i="1"/>
  <c r="J76" i="1"/>
  <c r="J60" i="1"/>
  <c r="J44" i="1"/>
  <c r="J28" i="1"/>
  <c r="J12" i="1"/>
  <c r="J88" i="1"/>
  <c r="J72" i="1"/>
  <c r="J56" i="1"/>
  <c r="J40" i="1"/>
  <c r="J24" i="1"/>
  <c r="J8" i="1"/>
  <c r="J84" i="1"/>
  <c r="J68" i="1"/>
  <c r="J52" i="1"/>
  <c r="J36" i="1"/>
  <c r="J20" i="1"/>
  <c r="J4" i="1"/>
  <c r="K3" i="1" l="1"/>
  <c r="B3" i="1" s="1"/>
  <c r="B83" i="8"/>
  <c r="J660" i="1"/>
  <c r="J664" i="1"/>
  <c r="J668" i="1"/>
  <c r="J661" i="1"/>
  <c r="J665" i="1"/>
  <c r="J669" i="1"/>
  <c r="J658" i="1"/>
  <c r="K658" i="1" s="1"/>
  <c r="B658" i="1" s="1"/>
  <c r="J662" i="1"/>
  <c r="J666" i="1"/>
  <c r="J659" i="1"/>
  <c r="J663" i="1"/>
  <c r="J667" i="1"/>
  <c r="K68" i="1"/>
  <c r="B68" i="1" s="1"/>
  <c r="K62" i="1"/>
  <c r="B62" i="1" s="1"/>
  <c r="K119" i="1"/>
  <c r="B119" i="1" s="1"/>
  <c r="K418" i="1"/>
  <c r="B418" i="1" s="1"/>
  <c r="K591" i="1"/>
  <c r="B591" i="1" s="1"/>
  <c r="K456" i="1"/>
  <c r="B456" i="1" s="1"/>
  <c r="K573" i="1"/>
  <c r="B573" i="1" s="1"/>
  <c r="K40" i="1"/>
  <c r="B40" i="1" s="1"/>
  <c r="K9" i="1"/>
  <c r="B9" i="1" s="1"/>
  <c r="K73" i="1"/>
  <c r="B73" i="1" s="1"/>
  <c r="K50" i="1"/>
  <c r="B50" i="1" s="1"/>
  <c r="K39" i="1"/>
  <c r="B39" i="1" s="1"/>
  <c r="K148" i="1"/>
  <c r="B148" i="1" s="1"/>
  <c r="K212" i="1"/>
  <c r="B212" i="1" s="1"/>
  <c r="K276" i="1"/>
  <c r="B276" i="1" s="1"/>
  <c r="K340" i="1"/>
  <c r="B340" i="1" s="1"/>
  <c r="K121" i="1"/>
  <c r="B121" i="1" s="1"/>
  <c r="K185" i="1"/>
  <c r="B185" i="1" s="1"/>
  <c r="K249" i="1"/>
  <c r="B249" i="1" s="1"/>
  <c r="K313" i="1"/>
  <c r="B313" i="1" s="1"/>
  <c r="K79" i="1"/>
  <c r="B79" i="1" s="1"/>
  <c r="K158" i="1"/>
  <c r="B158" i="1" s="1"/>
  <c r="K222" i="1"/>
  <c r="B222" i="1" s="1"/>
  <c r="K286" i="1"/>
  <c r="B286" i="1" s="1"/>
  <c r="K123" i="1"/>
  <c r="B123" i="1" s="1"/>
  <c r="K187" i="1"/>
  <c r="B187" i="1" s="1"/>
  <c r="K358" i="1"/>
  <c r="B358" i="1" s="1"/>
  <c r="K422" i="1"/>
  <c r="B422" i="1" s="1"/>
  <c r="K486" i="1"/>
  <c r="B486" i="1" s="1"/>
  <c r="K550" i="1"/>
  <c r="B550" i="1" s="1"/>
  <c r="K614" i="1"/>
  <c r="B614" i="1" s="1"/>
  <c r="K319" i="1"/>
  <c r="B319" i="1" s="1"/>
  <c r="K403" i="1"/>
  <c r="B403" i="1" s="1"/>
  <c r="K467" i="1"/>
  <c r="B467" i="1" s="1"/>
  <c r="K531" i="1"/>
  <c r="B531" i="1" s="1"/>
  <c r="K595" i="1"/>
  <c r="B595" i="1" s="1"/>
  <c r="K295" i="1"/>
  <c r="B295" i="1" s="1"/>
  <c r="K396" i="1"/>
  <c r="B396" i="1" s="1"/>
  <c r="K460" i="1"/>
  <c r="B460" i="1" s="1"/>
  <c r="K524" i="1"/>
  <c r="B524" i="1" s="1"/>
  <c r="K588" i="1"/>
  <c r="B588" i="1" s="1"/>
  <c r="K251" i="1"/>
  <c r="B251" i="1" s="1"/>
  <c r="K385" i="1"/>
  <c r="B385" i="1" s="1"/>
  <c r="K449" i="1"/>
  <c r="B449" i="1" s="1"/>
  <c r="K513" i="1"/>
  <c r="B513" i="1" s="1"/>
  <c r="K577" i="1"/>
  <c r="B577" i="1" s="1"/>
  <c r="K641" i="1"/>
  <c r="B641" i="1" s="1"/>
  <c r="K60" i="1"/>
  <c r="B60" i="1" s="1"/>
  <c r="K13" i="1"/>
  <c r="B13" i="1" s="1"/>
  <c r="K77" i="1"/>
  <c r="B77" i="1" s="1"/>
  <c r="K38" i="1"/>
  <c r="B38" i="1" s="1"/>
  <c r="K102" i="1"/>
  <c r="B102" i="1" s="1"/>
  <c r="K136" i="1"/>
  <c r="B136" i="1" s="1"/>
  <c r="K200" i="1"/>
  <c r="B200" i="1" s="1"/>
  <c r="K264" i="1"/>
  <c r="B264" i="1" s="1"/>
  <c r="K328" i="1"/>
  <c r="B328" i="1" s="1"/>
  <c r="K109" i="1"/>
  <c r="B109" i="1" s="1"/>
  <c r="K173" i="1"/>
  <c r="B173" i="1" s="1"/>
  <c r="K237" i="1"/>
  <c r="B237" i="1" s="1"/>
  <c r="K301" i="1"/>
  <c r="B301" i="1" s="1"/>
  <c r="K31" i="1"/>
  <c r="B31" i="1" s="1"/>
  <c r="K146" i="1"/>
  <c r="B146" i="1" s="1"/>
  <c r="K210" i="1"/>
  <c r="B210" i="1" s="1"/>
  <c r="K274" i="1"/>
  <c r="B274" i="1" s="1"/>
  <c r="K83" i="1"/>
  <c r="B83" i="1" s="1"/>
  <c r="K159" i="1"/>
  <c r="B159" i="1" s="1"/>
  <c r="K287" i="1"/>
  <c r="B287" i="1" s="1"/>
  <c r="K394" i="1"/>
  <c r="B394" i="1" s="1"/>
  <c r="K458" i="1"/>
  <c r="B458" i="1" s="1"/>
  <c r="K522" i="1"/>
  <c r="B522" i="1" s="1"/>
  <c r="K586" i="1"/>
  <c r="B586" i="1" s="1"/>
  <c r="K211" i="1"/>
  <c r="B211" i="1" s="1"/>
  <c r="K375" i="1"/>
  <c r="B375" i="1" s="1"/>
  <c r="K439" i="1"/>
  <c r="B439" i="1" s="1"/>
  <c r="K503" i="1"/>
  <c r="B503" i="1" s="1"/>
  <c r="K567" i="1"/>
  <c r="B567" i="1" s="1"/>
  <c r="K631" i="1"/>
  <c r="B631" i="1" s="1"/>
  <c r="K368" i="1"/>
  <c r="B368" i="1" s="1"/>
  <c r="K432" i="1"/>
  <c r="B432" i="1" s="1"/>
  <c r="K496" i="1"/>
  <c r="B496" i="1" s="1"/>
  <c r="K560" i="1"/>
  <c r="B560" i="1" s="1"/>
  <c r="K624" i="1"/>
  <c r="B624" i="1" s="1"/>
  <c r="K355" i="1"/>
  <c r="B355" i="1" s="1"/>
  <c r="K421" i="1"/>
  <c r="B421" i="1" s="1"/>
  <c r="K485" i="1"/>
  <c r="B485" i="1" s="1"/>
  <c r="K549" i="1"/>
  <c r="B549" i="1" s="1"/>
  <c r="K613" i="1"/>
  <c r="B613" i="1" s="1"/>
  <c r="K651" i="1"/>
  <c r="B651" i="1" s="1"/>
  <c r="K16" i="1"/>
  <c r="B16" i="1" s="1"/>
  <c r="K80" i="1"/>
  <c r="B80" i="1" s="1"/>
  <c r="K49" i="1"/>
  <c r="B49" i="1" s="1"/>
  <c r="K10" i="1"/>
  <c r="B10" i="1" s="1"/>
  <c r="K74" i="1"/>
  <c r="B74" i="1" s="1"/>
  <c r="K108" i="1"/>
  <c r="B108" i="1" s="1"/>
  <c r="K172" i="1"/>
  <c r="B172" i="1" s="1"/>
  <c r="K236" i="1"/>
  <c r="B236" i="1" s="1"/>
  <c r="K300" i="1"/>
  <c r="B300" i="1" s="1"/>
  <c r="K27" i="1"/>
  <c r="B27" i="1" s="1"/>
  <c r="K145" i="1"/>
  <c r="B145" i="1" s="1"/>
  <c r="K209" i="1"/>
  <c r="B209" i="1" s="1"/>
  <c r="K273" i="1"/>
  <c r="B273" i="1" s="1"/>
  <c r="K337" i="1"/>
  <c r="B337" i="1" s="1"/>
  <c r="K118" i="1"/>
  <c r="B118" i="1" s="1"/>
  <c r="K182" i="1"/>
  <c r="B182" i="1" s="1"/>
  <c r="K246" i="1"/>
  <c r="B246" i="1" s="1"/>
  <c r="K310" i="1"/>
  <c r="B310" i="1" s="1"/>
  <c r="K131" i="1"/>
  <c r="B131" i="1" s="1"/>
  <c r="K195" i="1"/>
  <c r="B195" i="1" s="1"/>
  <c r="K366" i="1"/>
  <c r="B366" i="1" s="1"/>
  <c r="K430" i="1"/>
  <c r="B430" i="1" s="1"/>
  <c r="K494" i="1"/>
  <c r="B494" i="1" s="1"/>
  <c r="K558" i="1"/>
  <c r="B558" i="1" s="1"/>
  <c r="K622" i="1"/>
  <c r="B622" i="1" s="1"/>
  <c r="K335" i="1"/>
  <c r="B335" i="1" s="1"/>
  <c r="K411" i="1"/>
  <c r="B411" i="1" s="1"/>
  <c r="K475" i="1"/>
  <c r="B475" i="1" s="1"/>
  <c r="K539" i="1"/>
  <c r="B539" i="1" s="1"/>
  <c r="K603" i="1"/>
  <c r="B603" i="1" s="1"/>
  <c r="K322" i="1"/>
  <c r="B322" i="1" s="1"/>
  <c r="K404" i="1"/>
  <c r="B404" i="1" s="1"/>
  <c r="K468" i="1"/>
  <c r="B468" i="1" s="1"/>
  <c r="K532" i="1"/>
  <c r="B532" i="1" s="1"/>
  <c r="K596" i="1"/>
  <c r="B596" i="1" s="1"/>
  <c r="K283" i="1"/>
  <c r="B283" i="1" s="1"/>
  <c r="K393" i="1"/>
  <c r="B393" i="1" s="1"/>
  <c r="K457" i="1"/>
  <c r="B457" i="1" s="1"/>
  <c r="K521" i="1"/>
  <c r="B521" i="1" s="1"/>
  <c r="K585" i="1"/>
  <c r="B585" i="1" s="1"/>
  <c r="K640" i="1"/>
  <c r="B640" i="1" s="1"/>
  <c r="K644" i="1"/>
  <c r="B644" i="1" s="1"/>
  <c r="K663" i="1"/>
  <c r="B663" i="1" s="1"/>
  <c r="K101" i="1"/>
  <c r="B101" i="1" s="1"/>
  <c r="K160" i="1"/>
  <c r="B160" i="1" s="1"/>
  <c r="K352" i="1"/>
  <c r="B352" i="1" s="1"/>
  <c r="K261" i="1"/>
  <c r="B261" i="1" s="1"/>
  <c r="K106" i="1"/>
  <c r="B106" i="1" s="1"/>
  <c r="K298" i="1"/>
  <c r="B298" i="1" s="1"/>
  <c r="K350" i="1"/>
  <c r="B350" i="1" s="1"/>
  <c r="K482" i="1"/>
  <c r="B482" i="1" s="1"/>
  <c r="K527" i="1"/>
  <c r="B527" i="1" s="1"/>
  <c r="K279" i="1"/>
  <c r="B279" i="1" s="1"/>
  <c r="K392" i="1"/>
  <c r="B392" i="1" s="1"/>
  <c r="K235" i="1"/>
  <c r="B235" i="1" s="1"/>
  <c r="K637" i="1"/>
  <c r="B637" i="1" s="1"/>
  <c r="K20" i="1"/>
  <c r="B20" i="1" s="1"/>
  <c r="K84" i="1"/>
  <c r="B84" i="1" s="1"/>
  <c r="K53" i="1"/>
  <c r="B53" i="1" s="1"/>
  <c r="K14" i="1"/>
  <c r="B14" i="1" s="1"/>
  <c r="K78" i="1"/>
  <c r="B78" i="1" s="1"/>
  <c r="K112" i="1"/>
  <c r="B112" i="1" s="1"/>
  <c r="K176" i="1"/>
  <c r="B176" i="1" s="1"/>
  <c r="K240" i="1"/>
  <c r="B240" i="1" s="1"/>
  <c r="K304" i="1"/>
  <c r="B304" i="1" s="1"/>
  <c r="K43" i="1"/>
  <c r="B43" i="1" s="1"/>
  <c r="K149" i="1"/>
  <c r="B149" i="1" s="1"/>
  <c r="K213" i="1"/>
  <c r="B213" i="1" s="1"/>
  <c r="K277" i="1"/>
  <c r="B277" i="1" s="1"/>
  <c r="K341" i="1"/>
  <c r="B341" i="1" s="1"/>
  <c r="K122" i="1"/>
  <c r="B122" i="1" s="1"/>
  <c r="K186" i="1"/>
  <c r="B186" i="1" s="1"/>
  <c r="K250" i="1"/>
  <c r="B250" i="1" s="1"/>
  <c r="K314" i="1"/>
  <c r="B314" i="1" s="1"/>
  <c r="K135" i="1"/>
  <c r="B135" i="1" s="1"/>
  <c r="K199" i="1"/>
  <c r="B199" i="1" s="1"/>
  <c r="K370" i="1"/>
  <c r="B370" i="1" s="1"/>
  <c r="K434" i="1"/>
  <c r="B434" i="1" s="1"/>
  <c r="K498" i="1"/>
  <c r="B498" i="1" s="1"/>
  <c r="K562" i="1"/>
  <c r="B562" i="1" s="1"/>
  <c r="K626" i="1"/>
  <c r="B626" i="1" s="1"/>
  <c r="K343" i="1"/>
  <c r="B343" i="1" s="1"/>
  <c r="K415" i="1"/>
  <c r="B415" i="1" s="1"/>
  <c r="K479" i="1"/>
  <c r="B479" i="1" s="1"/>
  <c r="K543" i="1"/>
  <c r="B543" i="1" s="1"/>
  <c r="K607" i="1"/>
  <c r="B607" i="1" s="1"/>
  <c r="K330" i="1"/>
  <c r="B330" i="1" s="1"/>
  <c r="K408" i="1"/>
  <c r="B408" i="1" s="1"/>
  <c r="K472" i="1"/>
  <c r="B472" i="1" s="1"/>
  <c r="K536" i="1"/>
  <c r="B536" i="1" s="1"/>
  <c r="K600" i="1"/>
  <c r="B600" i="1" s="1"/>
  <c r="K299" i="1"/>
  <c r="B299" i="1" s="1"/>
  <c r="K397" i="1"/>
  <c r="B397" i="1" s="1"/>
  <c r="K461" i="1"/>
  <c r="B461" i="1" s="1"/>
  <c r="K525" i="1"/>
  <c r="B525" i="1" s="1"/>
  <c r="K589" i="1"/>
  <c r="B589" i="1" s="1"/>
  <c r="K648" i="1"/>
  <c r="B648" i="1" s="1"/>
  <c r="K650" i="1"/>
  <c r="B650" i="1" s="1"/>
  <c r="K56" i="1"/>
  <c r="B56" i="1" s="1"/>
  <c r="K25" i="1"/>
  <c r="B25" i="1" s="1"/>
  <c r="K89" i="1"/>
  <c r="B89" i="1" s="1"/>
  <c r="K66" i="1"/>
  <c r="B66" i="1" s="1"/>
  <c r="K96" i="1"/>
  <c r="B96" i="1" s="1"/>
  <c r="K164" i="1"/>
  <c r="B164" i="1" s="1"/>
  <c r="K228" i="1"/>
  <c r="B228" i="1" s="1"/>
  <c r="K292" i="1"/>
  <c r="B292" i="1" s="1"/>
  <c r="K356" i="1"/>
  <c r="B356" i="1" s="1"/>
  <c r="K137" i="1"/>
  <c r="B137" i="1" s="1"/>
  <c r="K201" i="1"/>
  <c r="B201" i="1" s="1"/>
  <c r="K265" i="1"/>
  <c r="B265" i="1" s="1"/>
  <c r="K329" i="1"/>
  <c r="B329" i="1" s="1"/>
  <c r="K110" i="1"/>
  <c r="B110" i="1" s="1"/>
  <c r="K174" i="1"/>
  <c r="B174" i="1" s="1"/>
  <c r="K238" i="1"/>
  <c r="B238" i="1" s="1"/>
  <c r="K302" i="1"/>
  <c r="B302" i="1" s="1"/>
  <c r="K139" i="1"/>
  <c r="B139" i="1" s="1"/>
  <c r="K207" i="1"/>
  <c r="B207" i="1" s="1"/>
  <c r="K374" i="1"/>
  <c r="B374" i="1" s="1"/>
  <c r="K438" i="1"/>
  <c r="B438" i="1" s="1"/>
  <c r="K502" i="1"/>
  <c r="B502" i="1" s="1"/>
  <c r="K566" i="1"/>
  <c r="B566" i="1" s="1"/>
  <c r="K630" i="1"/>
  <c r="B630" i="1" s="1"/>
  <c r="K351" i="1"/>
  <c r="B351" i="1" s="1"/>
  <c r="K419" i="1"/>
  <c r="B419" i="1" s="1"/>
  <c r="K483" i="1"/>
  <c r="B483" i="1" s="1"/>
  <c r="K547" i="1"/>
  <c r="B547" i="1" s="1"/>
  <c r="K611" i="1"/>
  <c r="B611" i="1" s="1"/>
  <c r="K338" i="1"/>
  <c r="B338" i="1" s="1"/>
  <c r="K412" i="1"/>
  <c r="B412" i="1" s="1"/>
  <c r="K476" i="1"/>
  <c r="B476" i="1" s="1"/>
  <c r="K540" i="1"/>
  <c r="B540" i="1" s="1"/>
  <c r="K604" i="1"/>
  <c r="B604" i="1" s="1"/>
  <c r="K315" i="1"/>
  <c r="B315" i="1" s="1"/>
  <c r="K401" i="1"/>
  <c r="B401" i="1" s="1"/>
  <c r="K465" i="1"/>
  <c r="B465" i="1" s="1"/>
  <c r="K529" i="1"/>
  <c r="B529" i="1" s="1"/>
  <c r="K593" i="1"/>
  <c r="B593" i="1" s="1"/>
  <c r="K652" i="1"/>
  <c r="B652" i="1" s="1"/>
  <c r="K654" i="1"/>
  <c r="B654" i="1" s="1"/>
  <c r="K12" i="1"/>
  <c r="B12" i="1" s="1"/>
  <c r="K76" i="1"/>
  <c r="B76" i="1" s="1"/>
  <c r="K29" i="1"/>
  <c r="B29" i="1" s="1"/>
  <c r="K93" i="1"/>
  <c r="B93" i="1" s="1"/>
  <c r="K54" i="1"/>
  <c r="B54" i="1" s="1"/>
  <c r="K55" i="1"/>
  <c r="B55" i="1" s="1"/>
  <c r="K152" i="1"/>
  <c r="B152" i="1" s="1"/>
  <c r="K216" i="1"/>
  <c r="B216" i="1" s="1"/>
  <c r="K280" i="1"/>
  <c r="B280" i="1" s="1"/>
  <c r="K344" i="1"/>
  <c r="B344" i="1" s="1"/>
  <c r="K125" i="1"/>
  <c r="B125" i="1" s="1"/>
  <c r="K189" i="1"/>
  <c r="B189" i="1" s="1"/>
  <c r="K253" i="1"/>
  <c r="B253" i="1" s="1"/>
  <c r="K317" i="1"/>
  <c r="B317" i="1" s="1"/>
  <c r="K92" i="1"/>
  <c r="B92" i="1" s="1"/>
  <c r="K162" i="1"/>
  <c r="B162" i="1" s="1"/>
  <c r="K226" i="1"/>
  <c r="B226" i="1" s="1"/>
  <c r="K290" i="1"/>
  <c r="B290" i="1" s="1"/>
  <c r="K111" i="1"/>
  <c r="B111" i="1" s="1"/>
  <c r="K175" i="1"/>
  <c r="B175" i="1" s="1"/>
  <c r="K334" i="1"/>
  <c r="B334" i="1" s="1"/>
  <c r="K410" i="1"/>
  <c r="B410" i="1" s="1"/>
  <c r="K474" i="1"/>
  <c r="B474" i="1" s="1"/>
  <c r="K538" i="1"/>
  <c r="B538" i="1" s="1"/>
  <c r="K602" i="1"/>
  <c r="B602" i="1" s="1"/>
  <c r="K275" i="1"/>
  <c r="B275" i="1" s="1"/>
  <c r="K391" i="1"/>
  <c r="B391" i="1" s="1"/>
  <c r="K455" i="1"/>
  <c r="B455" i="1" s="1"/>
  <c r="K519" i="1"/>
  <c r="B519" i="1" s="1"/>
  <c r="K583" i="1"/>
  <c r="B583" i="1" s="1"/>
  <c r="K247" i="1"/>
  <c r="B247" i="1" s="1"/>
  <c r="K384" i="1"/>
  <c r="B384" i="1" s="1"/>
  <c r="K448" i="1"/>
  <c r="B448" i="1" s="1"/>
  <c r="K512" i="1"/>
  <c r="B512" i="1" s="1"/>
  <c r="K576" i="1"/>
  <c r="B576" i="1" s="1"/>
  <c r="K203" i="1"/>
  <c r="B203" i="1" s="1"/>
  <c r="K373" i="1"/>
  <c r="B373" i="1" s="1"/>
  <c r="K437" i="1"/>
  <c r="B437" i="1" s="1"/>
  <c r="K501" i="1"/>
  <c r="B501" i="1" s="1"/>
  <c r="K565" i="1"/>
  <c r="B565" i="1" s="1"/>
  <c r="K629" i="1"/>
  <c r="B629" i="1" s="1"/>
  <c r="K657" i="1"/>
  <c r="B657" i="1" s="1"/>
  <c r="K32" i="1"/>
  <c r="B32" i="1" s="1"/>
  <c r="K65" i="1"/>
  <c r="B65" i="1" s="1"/>
  <c r="K26" i="1"/>
  <c r="B26" i="1" s="1"/>
  <c r="K90" i="1"/>
  <c r="B90" i="1" s="1"/>
  <c r="K124" i="1"/>
  <c r="B124" i="1" s="1"/>
  <c r="K188" i="1"/>
  <c r="B188" i="1" s="1"/>
  <c r="K252" i="1"/>
  <c r="B252" i="1" s="1"/>
  <c r="K316" i="1"/>
  <c r="B316" i="1" s="1"/>
  <c r="K91" i="1"/>
  <c r="B91" i="1" s="1"/>
  <c r="K161" i="1"/>
  <c r="B161" i="1" s="1"/>
  <c r="K225" i="1"/>
  <c r="B225" i="1" s="1"/>
  <c r="K289" i="1"/>
  <c r="B289" i="1" s="1"/>
  <c r="K353" i="1"/>
  <c r="B353" i="1" s="1"/>
  <c r="K134" i="1"/>
  <c r="B134" i="1" s="1"/>
  <c r="K198" i="1"/>
  <c r="B198" i="1" s="1"/>
  <c r="K262" i="1"/>
  <c r="B262" i="1" s="1"/>
  <c r="K35" i="1"/>
  <c r="B35" i="1" s="1"/>
  <c r="K147" i="1"/>
  <c r="B147" i="1" s="1"/>
  <c r="K239" i="1"/>
  <c r="B239" i="1" s="1"/>
  <c r="K382" i="1"/>
  <c r="B382" i="1" s="1"/>
  <c r="K446" i="1"/>
  <c r="B446" i="1" s="1"/>
  <c r="K510" i="1"/>
  <c r="B510" i="1" s="1"/>
  <c r="K574" i="1"/>
  <c r="B574" i="1" s="1"/>
  <c r="K638" i="1"/>
  <c r="B638" i="1" s="1"/>
  <c r="K363" i="1"/>
  <c r="B363" i="1" s="1"/>
  <c r="K427" i="1"/>
  <c r="B427" i="1" s="1"/>
  <c r="K491" i="1"/>
  <c r="B491" i="1" s="1"/>
  <c r="K555" i="1"/>
  <c r="B555" i="1" s="1"/>
  <c r="K619" i="1"/>
  <c r="B619" i="1" s="1"/>
  <c r="K354" i="1"/>
  <c r="B354" i="1" s="1"/>
  <c r="K420" i="1"/>
  <c r="B420" i="1" s="1"/>
  <c r="K484" i="1"/>
  <c r="B484" i="1" s="1"/>
  <c r="K548" i="1"/>
  <c r="B548" i="1" s="1"/>
  <c r="K612" i="1"/>
  <c r="B612" i="1" s="1"/>
  <c r="K331" i="1"/>
  <c r="B331" i="1" s="1"/>
  <c r="K409" i="1"/>
  <c r="B409" i="1" s="1"/>
  <c r="K473" i="1"/>
  <c r="B473" i="1" s="1"/>
  <c r="K537" i="1"/>
  <c r="B537" i="1" s="1"/>
  <c r="K601" i="1"/>
  <c r="B601" i="1" s="1"/>
  <c r="K87" i="1"/>
  <c r="B87" i="1" s="1"/>
  <c r="K288" i="1"/>
  <c r="B288" i="1" s="1"/>
  <c r="K133" i="1"/>
  <c r="B133" i="1" s="1"/>
  <c r="K325" i="1"/>
  <c r="B325" i="1" s="1"/>
  <c r="K234" i="1"/>
  <c r="B234" i="1" s="1"/>
  <c r="K183" i="1"/>
  <c r="B183" i="1" s="1"/>
  <c r="K610" i="1"/>
  <c r="B610" i="1" s="1"/>
  <c r="K399" i="1"/>
  <c r="B399" i="1" s="1"/>
  <c r="K520" i="1"/>
  <c r="B520" i="1" s="1"/>
  <c r="K445" i="1"/>
  <c r="B445" i="1" s="1"/>
  <c r="K5" i="1"/>
  <c r="B5" i="1" s="1"/>
  <c r="K30" i="1"/>
  <c r="B30" i="1" s="1"/>
  <c r="K128" i="1"/>
  <c r="B128" i="1" s="1"/>
  <c r="K256" i="1"/>
  <c r="B256" i="1" s="1"/>
  <c r="K99" i="1"/>
  <c r="B99" i="1" s="1"/>
  <c r="K229" i="1"/>
  <c r="B229" i="1" s="1"/>
  <c r="K357" i="1"/>
  <c r="B357" i="1" s="1"/>
  <c r="K202" i="1"/>
  <c r="B202" i="1" s="1"/>
  <c r="K151" i="1"/>
  <c r="B151" i="1" s="1"/>
  <c r="K386" i="1"/>
  <c r="B386" i="1" s="1"/>
  <c r="K514" i="1"/>
  <c r="B514" i="1" s="1"/>
  <c r="K642" i="1"/>
  <c r="B642" i="1" s="1"/>
  <c r="K431" i="1"/>
  <c r="B431" i="1" s="1"/>
  <c r="K559" i="1"/>
  <c r="B559" i="1" s="1"/>
  <c r="K360" i="1"/>
  <c r="B360" i="1" s="1"/>
  <c r="K424" i="1"/>
  <c r="B424" i="1" s="1"/>
  <c r="K488" i="1"/>
  <c r="B488" i="1" s="1"/>
  <c r="K552" i="1"/>
  <c r="B552" i="1" s="1"/>
  <c r="K339" i="1"/>
  <c r="B339" i="1" s="1"/>
  <c r="K413" i="1"/>
  <c r="B413" i="1" s="1"/>
  <c r="K541" i="1"/>
  <c r="B541" i="1" s="1"/>
  <c r="K605" i="1"/>
  <c r="B605" i="1" s="1"/>
  <c r="K639" i="1"/>
  <c r="B639" i="1" s="1"/>
  <c r="K8" i="1"/>
  <c r="B8" i="1" s="1"/>
  <c r="K72" i="1"/>
  <c r="B72" i="1" s="1"/>
  <c r="K41" i="1"/>
  <c r="B41" i="1" s="1"/>
  <c r="K18" i="1"/>
  <c r="B18" i="1" s="1"/>
  <c r="K82" i="1"/>
  <c r="B82" i="1" s="1"/>
  <c r="K116" i="1"/>
  <c r="B116" i="1" s="1"/>
  <c r="K180" i="1"/>
  <c r="B180" i="1" s="1"/>
  <c r="K244" i="1"/>
  <c r="B244" i="1" s="1"/>
  <c r="K308" i="1"/>
  <c r="B308" i="1" s="1"/>
  <c r="K59" i="1"/>
  <c r="B59" i="1" s="1"/>
  <c r="K153" i="1"/>
  <c r="B153" i="1" s="1"/>
  <c r="K217" i="1"/>
  <c r="B217" i="1" s="1"/>
  <c r="K281" i="1"/>
  <c r="B281" i="1" s="1"/>
  <c r="K345" i="1"/>
  <c r="B345" i="1" s="1"/>
  <c r="K126" i="1"/>
  <c r="B126" i="1" s="1"/>
  <c r="K190" i="1"/>
  <c r="B190" i="1" s="1"/>
  <c r="K254" i="1"/>
  <c r="B254" i="1" s="1"/>
  <c r="K67" i="1"/>
  <c r="B67" i="1" s="1"/>
  <c r="K155" i="1"/>
  <c r="B155" i="1" s="1"/>
  <c r="K271" i="1"/>
  <c r="B271" i="1" s="1"/>
  <c r="K390" i="1"/>
  <c r="B390" i="1" s="1"/>
  <c r="K454" i="1"/>
  <c r="B454" i="1" s="1"/>
  <c r="K518" i="1"/>
  <c r="B518" i="1" s="1"/>
  <c r="K582" i="1"/>
  <c r="B582" i="1" s="1"/>
  <c r="K646" i="1"/>
  <c r="B646" i="1" s="1"/>
  <c r="K371" i="1"/>
  <c r="B371" i="1" s="1"/>
  <c r="K435" i="1"/>
  <c r="B435" i="1" s="1"/>
  <c r="K499" i="1"/>
  <c r="B499" i="1" s="1"/>
  <c r="K563" i="1"/>
  <c r="B563" i="1" s="1"/>
  <c r="K627" i="1"/>
  <c r="B627" i="1" s="1"/>
  <c r="K364" i="1"/>
  <c r="B364" i="1" s="1"/>
  <c r="K428" i="1"/>
  <c r="B428" i="1" s="1"/>
  <c r="K492" i="1"/>
  <c r="B492" i="1" s="1"/>
  <c r="K556" i="1"/>
  <c r="B556" i="1" s="1"/>
  <c r="K620" i="1"/>
  <c r="B620" i="1" s="1"/>
  <c r="K347" i="1"/>
  <c r="B347" i="1" s="1"/>
  <c r="K417" i="1"/>
  <c r="B417" i="1" s="1"/>
  <c r="K481" i="1"/>
  <c r="B481" i="1" s="1"/>
  <c r="K545" i="1"/>
  <c r="B545" i="1" s="1"/>
  <c r="K609" i="1"/>
  <c r="B609" i="1" s="1"/>
  <c r="K647" i="1"/>
  <c r="B647" i="1" s="1"/>
  <c r="K28" i="1"/>
  <c r="B28" i="1" s="1"/>
  <c r="K45" i="1"/>
  <c r="B45" i="1" s="1"/>
  <c r="K6" i="1"/>
  <c r="B6" i="1" s="1"/>
  <c r="K70" i="1"/>
  <c r="B70" i="1" s="1"/>
  <c r="K104" i="1"/>
  <c r="B104" i="1" s="1"/>
  <c r="K168" i="1"/>
  <c r="B168" i="1" s="1"/>
  <c r="K232" i="1"/>
  <c r="B232" i="1" s="1"/>
  <c r="K296" i="1"/>
  <c r="B296" i="1" s="1"/>
  <c r="K11" i="1"/>
  <c r="B11" i="1" s="1"/>
  <c r="K141" i="1"/>
  <c r="B141" i="1" s="1"/>
  <c r="K205" i="1"/>
  <c r="B205" i="1" s="1"/>
  <c r="K269" i="1"/>
  <c r="B269" i="1" s="1"/>
  <c r="K333" i="1"/>
  <c r="B333" i="1" s="1"/>
  <c r="K114" i="1"/>
  <c r="B114" i="1" s="1"/>
  <c r="K178" i="1"/>
  <c r="B178" i="1" s="1"/>
  <c r="K242" i="1"/>
  <c r="B242" i="1" s="1"/>
  <c r="K306" i="1"/>
  <c r="B306" i="1" s="1"/>
  <c r="K127" i="1"/>
  <c r="B127" i="1" s="1"/>
  <c r="K191" i="1"/>
  <c r="B191" i="1" s="1"/>
  <c r="K362" i="1"/>
  <c r="B362" i="1" s="1"/>
  <c r="K426" i="1"/>
  <c r="B426" i="1" s="1"/>
  <c r="K490" i="1"/>
  <c r="B490" i="1" s="1"/>
  <c r="K554" i="1"/>
  <c r="B554" i="1" s="1"/>
  <c r="K618" i="1"/>
  <c r="B618" i="1" s="1"/>
  <c r="K327" i="1"/>
  <c r="B327" i="1" s="1"/>
  <c r="K407" i="1"/>
  <c r="B407" i="1" s="1"/>
  <c r="K471" i="1"/>
  <c r="B471" i="1" s="1"/>
  <c r="K535" i="1"/>
  <c r="B535" i="1" s="1"/>
  <c r="K599" i="1"/>
  <c r="B599" i="1" s="1"/>
  <c r="K311" i="1"/>
  <c r="B311" i="1" s="1"/>
  <c r="K400" i="1"/>
  <c r="B400" i="1" s="1"/>
  <c r="K464" i="1"/>
  <c r="B464" i="1" s="1"/>
  <c r="K528" i="1"/>
  <c r="B528" i="1" s="1"/>
  <c r="K592" i="1"/>
  <c r="B592" i="1" s="1"/>
  <c r="K267" i="1"/>
  <c r="B267" i="1" s="1"/>
  <c r="K389" i="1"/>
  <c r="B389" i="1" s="1"/>
  <c r="K453" i="1"/>
  <c r="B453" i="1" s="1"/>
  <c r="K517" i="1"/>
  <c r="B517" i="1" s="1"/>
  <c r="K581" i="1"/>
  <c r="B581" i="1" s="1"/>
  <c r="K645" i="1"/>
  <c r="B645" i="1" s="1"/>
  <c r="K48" i="1"/>
  <c r="B48" i="1" s="1"/>
  <c r="K17" i="1"/>
  <c r="B17" i="1" s="1"/>
  <c r="K81" i="1"/>
  <c r="B81" i="1" s="1"/>
  <c r="K42" i="1"/>
  <c r="B42" i="1" s="1"/>
  <c r="K7" i="1"/>
  <c r="B7" i="1" s="1"/>
  <c r="K140" i="1"/>
  <c r="B140" i="1" s="1"/>
  <c r="K204" i="1"/>
  <c r="B204" i="1" s="1"/>
  <c r="K268" i="1"/>
  <c r="B268" i="1" s="1"/>
  <c r="K332" i="1"/>
  <c r="B332" i="1" s="1"/>
  <c r="K113" i="1"/>
  <c r="B113" i="1" s="1"/>
  <c r="K177" i="1"/>
  <c r="B177" i="1" s="1"/>
  <c r="K241" i="1"/>
  <c r="B241" i="1" s="1"/>
  <c r="K305" i="1"/>
  <c r="B305" i="1" s="1"/>
  <c r="K47" i="1"/>
  <c r="B47" i="1" s="1"/>
  <c r="K150" i="1"/>
  <c r="B150" i="1" s="1"/>
  <c r="K214" i="1"/>
  <c r="B214" i="1" s="1"/>
  <c r="K278" i="1"/>
  <c r="B278" i="1" s="1"/>
  <c r="K95" i="1"/>
  <c r="B95" i="1" s="1"/>
  <c r="K163" i="1"/>
  <c r="B163" i="1" s="1"/>
  <c r="K303" i="1"/>
  <c r="B303" i="1" s="1"/>
  <c r="K398" i="1"/>
  <c r="B398" i="1" s="1"/>
  <c r="K462" i="1"/>
  <c r="B462" i="1" s="1"/>
  <c r="K526" i="1"/>
  <c r="B526" i="1" s="1"/>
  <c r="K590" i="1"/>
  <c r="B590" i="1" s="1"/>
  <c r="K227" i="1"/>
  <c r="B227" i="1" s="1"/>
  <c r="K379" i="1"/>
  <c r="B379" i="1" s="1"/>
  <c r="K443" i="1"/>
  <c r="B443" i="1" s="1"/>
  <c r="K507" i="1"/>
  <c r="B507" i="1" s="1"/>
  <c r="K571" i="1"/>
  <c r="B571" i="1" s="1"/>
  <c r="K635" i="1"/>
  <c r="B635" i="1" s="1"/>
  <c r="K372" i="1"/>
  <c r="B372" i="1" s="1"/>
  <c r="K436" i="1"/>
  <c r="B436" i="1" s="1"/>
  <c r="K500" i="1"/>
  <c r="B500" i="1" s="1"/>
  <c r="K564" i="1"/>
  <c r="B564" i="1" s="1"/>
  <c r="K628" i="1"/>
  <c r="B628" i="1" s="1"/>
  <c r="K361" i="1"/>
  <c r="B361" i="1" s="1"/>
  <c r="K425" i="1"/>
  <c r="B425" i="1" s="1"/>
  <c r="K489" i="1"/>
  <c r="B489" i="1" s="1"/>
  <c r="K553" i="1"/>
  <c r="B553" i="1" s="1"/>
  <c r="K617" i="1"/>
  <c r="B617" i="1" s="1"/>
  <c r="K643" i="1"/>
  <c r="B643" i="1" s="1"/>
  <c r="K655" i="1"/>
  <c r="B655" i="1" s="1"/>
  <c r="K4" i="1"/>
  <c r="B4" i="1" s="1"/>
  <c r="K37" i="1"/>
  <c r="B37" i="1" s="1"/>
  <c r="K224" i="1"/>
  <c r="B224" i="1" s="1"/>
  <c r="K197" i="1"/>
  <c r="B197" i="1" s="1"/>
  <c r="K170" i="1"/>
  <c r="B170" i="1" s="1"/>
  <c r="K546" i="1"/>
  <c r="B546" i="1" s="1"/>
  <c r="K307" i="1"/>
  <c r="B307" i="1" s="1"/>
  <c r="K463" i="1"/>
  <c r="B463" i="1" s="1"/>
  <c r="K584" i="1"/>
  <c r="B584" i="1" s="1"/>
  <c r="K381" i="1"/>
  <c r="B381" i="1" s="1"/>
  <c r="K509" i="1"/>
  <c r="B509" i="1" s="1"/>
  <c r="K36" i="1"/>
  <c r="B36" i="1" s="1"/>
  <c r="K69" i="1"/>
  <c r="B69" i="1" s="1"/>
  <c r="K94" i="1"/>
  <c r="B94" i="1" s="1"/>
  <c r="K192" i="1"/>
  <c r="B192" i="1" s="1"/>
  <c r="K320" i="1"/>
  <c r="B320" i="1" s="1"/>
  <c r="K165" i="1"/>
  <c r="B165" i="1" s="1"/>
  <c r="K293" i="1"/>
  <c r="B293" i="1" s="1"/>
  <c r="K138" i="1"/>
  <c r="B138" i="1" s="1"/>
  <c r="K266" i="1"/>
  <c r="B266" i="1" s="1"/>
  <c r="K51" i="1"/>
  <c r="B51" i="1" s="1"/>
  <c r="K255" i="1"/>
  <c r="B255" i="1" s="1"/>
  <c r="K450" i="1"/>
  <c r="B450" i="1" s="1"/>
  <c r="K578" i="1"/>
  <c r="B578" i="1" s="1"/>
  <c r="K367" i="1"/>
  <c r="B367" i="1" s="1"/>
  <c r="K495" i="1"/>
  <c r="B495" i="1" s="1"/>
  <c r="K623" i="1"/>
  <c r="B623" i="1" s="1"/>
  <c r="K616" i="1"/>
  <c r="B616" i="1" s="1"/>
  <c r="K477" i="1"/>
  <c r="B477" i="1" s="1"/>
  <c r="K52" i="1"/>
  <c r="B52" i="1" s="1"/>
  <c r="K21" i="1"/>
  <c r="B21" i="1" s="1"/>
  <c r="K85" i="1"/>
  <c r="B85" i="1" s="1"/>
  <c r="K46" i="1"/>
  <c r="B46" i="1" s="1"/>
  <c r="K23" i="1"/>
  <c r="B23" i="1" s="1"/>
  <c r="K144" i="1"/>
  <c r="B144" i="1" s="1"/>
  <c r="K208" i="1"/>
  <c r="B208" i="1" s="1"/>
  <c r="K272" i="1"/>
  <c r="B272" i="1" s="1"/>
  <c r="K336" i="1"/>
  <c r="B336" i="1" s="1"/>
  <c r="K117" i="1"/>
  <c r="B117" i="1" s="1"/>
  <c r="K181" i="1"/>
  <c r="B181" i="1" s="1"/>
  <c r="K245" i="1"/>
  <c r="B245" i="1" s="1"/>
  <c r="K309" i="1"/>
  <c r="B309" i="1" s="1"/>
  <c r="K63" i="1"/>
  <c r="B63" i="1" s="1"/>
  <c r="K154" i="1"/>
  <c r="B154" i="1" s="1"/>
  <c r="K218" i="1"/>
  <c r="B218" i="1" s="1"/>
  <c r="K282" i="1"/>
  <c r="B282" i="1" s="1"/>
  <c r="K103" i="1"/>
  <c r="B103" i="1" s="1"/>
  <c r="K167" i="1"/>
  <c r="B167" i="1" s="1"/>
  <c r="K318" i="1"/>
  <c r="B318" i="1" s="1"/>
  <c r="K402" i="1"/>
  <c r="B402" i="1" s="1"/>
  <c r="K466" i="1"/>
  <c r="B466" i="1" s="1"/>
  <c r="K530" i="1"/>
  <c r="B530" i="1" s="1"/>
  <c r="K594" i="1"/>
  <c r="B594" i="1" s="1"/>
  <c r="K243" i="1"/>
  <c r="B243" i="1" s="1"/>
  <c r="K383" i="1"/>
  <c r="B383" i="1" s="1"/>
  <c r="K447" i="1"/>
  <c r="B447" i="1" s="1"/>
  <c r="K511" i="1"/>
  <c r="B511" i="1" s="1"/>
  <c r="K575" i="1"/>
  <c r="B575" i="1" s="1"/>
  <c r="K215" i="1"/>
  <c r="B215" i="1" s="1"/>
  <c r="K376" i="1"/>
  <c r="B376" i="1" s="1"/>
  <c r="K440" i="1"/>
  <c r="B440" i="1" s="1"/>
  <c r="K504" i="1"/>
  <c r="B504" i="1" s="1"/>
  <c r="K568" i="1"/>
  <c r="B568" i="1" s="1"/>
  <c r="K632" i="1"/>
  <c r="B632" i="1" s="1"/>
  <c r="K365" i="1"/>
  <c r="B365" i="1" s="1"/>
  <c r="K429" i="1"/>
  <c r="B429" i="1" s="1"/>
  <c r="K493" i="1"/>
  <c r="B493" i="1" s="1"/>
  <c r="K557" i="1"/>
  <c r="B557" i="1" s="1"/>
  <c r="K621" i="1"/>
  <c r="B621" i="1" s="1"/>
  <c r="K649" i="1"/>
  <c r="B649" i="1" s="1"/>
  <c r="K24" i="1"/>
  <c r="B24" i="1" s="1"/>
  <c r="K88" i="1"/>
  <c r="B88" i="1" s="1"/>
  <c r="K57" i="1"/>
  <c r="B57" i="1" s="1"/>
  <c r="K34" i="1"/>
  <c r="B34" i="1" s="1"/>
  <c r="K98" i="1"/>
  <c r="B98" i="1" s="1"/>
  <c r="K132" i="1"/>
  <c r="B132" i="1" s="1"/>
  <c r="K196" i="1"/>
  <c r="B196" i="1" s="1"/>
  <c r="K260" i="1"/>
  <c r="B260" i="1" s="1"/>
  <c r="K324" i="1"/>
  <c r="B324" i="1" s="1"/>
  <c r="K105" i="1"/>
  <c r="B105" i="1" s="1"/>
  <c r="K169" i="1"/>
  <c r="B169" i="1" s="1"/>
  <c r="K233" i="1"/>
  <c r="B233" i="1" s="1"/>
  <c r="K297" i="1"/>
  <c r="B297" i="1" s="1"/>
  <c r="K15" i="1"/>
  <c r="B15" i="1" s="1"/>
  <c r="K142" i="1"/>
  <c r="B142" i="1" s="1"/>
  <c r="K206" i="1"/>
  <c r="B206" i="1" s="1"/>
  <c r="K270" i="1"/>
  <c r="B270" i="1" s="1"/>
  <c r="K107" i="1"/>
  <c r="B107" i="1" s="1"/>
  <c r="K171" i="1"/>
  <c r="B171" i="1" s="1"/>
  <c r="K326" i="1"/>
  <c r="B326" i="1" s="1"/>
  <c r="K406" i="1"/>
  <c r="B406" i="1" s="1"/>
  <c r="K470" i="1"/>
  <c r="B470" i="1" s="1"/>
  <c r="K534" i="1"/>
  <c r="B534" i="1" s="1"/>
  <c r="K598" i="1"/>
  <c r="B598" i="1" s="1"/>
  <c r="K259" i="1"/>
  <c r="B259" i="1" s="1"/>
  <c r="K387" i="1"/>
  <c r="B387" i="1" s="1"/>
  <c r="K451" i="1"/>
  <c r="B451" i="1" s="1"/>
  <c r="K515" i="1"/>
  <c r="B515" i="1" s="1"/>
  <c r="K579" i="1"/>
  <c r="B579" i="1" s="1"/>
  <c r="K231" i="1"/>
  <c r="B231" i="1" s="1"/>
  <c r="K380" i="1"/>
  <c r="B380" i="1" s="1"/>
  <c r="K444" i="1"/>
  <c r="B444" i="1" s="1"/>
  <c r="K508" i="1"/>
  <c r="B508" i="1" s="1"/>
  <c r="K572" i="1"/>
  <c r="B572" i="1" s="1"/>
  <c r="K636" i="1"/>
  <c r="B636" i="1" s="1"/>
  <c r="K369" i="1"/>
  <c r="B369" i="1" s="1"/>
  <c r="K433" i="1"/>
  <c r="B433" i="1" s="1"/>
  <c r="K497" i="1"/>
  <c r="B497" i="1" s="1"/>
  <c r="K561" i="1"/>
  <c r="B561" i="1" s="1"/>
  <c r="K625" i="1"/>
  <c r="B625" i="1" s="1"/>
  <c r="K660" i="1"/>
  <c r="B660" i="1" s="1"/>
  <c r="K653" i="1"/>
  <c r="B653" i="1" s="1"/>
  <c r="K44" i="1"/>
  <c r="B44" i="1" s="1"/>
  <c r="K61" i="1"/>
  <c r="B61" i="1" s="1"/>
  <c r="K22" i="1"/>
  <c r="B22" i="1" s="1"/>
  <c r="K86" i="1"/>
  <c r="B86" i="1" s="1"/>
  <c r="K120" i="1"/>
  <c r="B120" i="1" s="1"/>
  <c r="K184" i="1"/>
  <c r="B184" i="1" s="1"/>
  <c r="K248" i="1"/>
  <c r="B248" i="1" s="1"/>
  <c r="K312" i="1"/>
  <c r="B312" i="1" s="1"/>
  <c r="K75" i="1"/>
  <c r="B75" i="1" s="1"/>
  <c r="K157" i="1"/>
  <c r="B157" i="1" s="1"/>
  <c r="K221" i="1"/>
  <c r="B221" i="1" s="1"/>
  <c r="K285" i="1"/>
  <c r="B285" i="1" s="1"/>
  <c r="K349" i="1"/>
  <c r="B349" i="1" s="1"/>
  <c r="K130" i="1"/>
  <c r="B130" i="1" s="1"/>
  <c r="K194" i="1"/>
  <c r="B194" i="1" s="1"/>
  <c r="K258" i="1"/>
  <c r="B258" i="1" s="1"/>
  <c r="K19" i="1"/>
  <c r="B19" i="1" s="1"/>
  <c r="K143" i="1"/>
  <c r="B143" i="1" s="1"/>
  <c r="K223" i="1"/>
  <c r="B223" i="1" s="1"/>
  <c r="K378" i="1"/>
  <c r="B378" i="1" s="1"/>
  <c r="K442" i="1"/>
  <c r="B442" i="1" s="1"/>
  <c r="K506" i="1"/>
  <c r="B506" i="1" s="1"/>
  <c r="K570" i="1"/>
  <c r="B570" i="1" s="1"/>
  <c r="K634" i="1"/>
  <c r="B634" i="1" s="1"/>
  <c r="K359" i="1"/>
  <c r="B359" i="1" s="1"/>
  <c r="K423" i="1"/>
  <c r="B423" i="1" s="1"/>
  <c r="K487" i="1"/>
  <c r="B487" i="1" s="1"/>
  <c r="K551" i="1"/>
  <c r="B551" i="1" s="1"/>
  <c r="K615" i="1"/>
  <c r="B615" i="1" s="1"/>
  <c r="K346" i="1"/>
  <c r="B346" i="1" s="1"/>
  <c r="K416" i="1"/>
  <c r="B416" i="1" s="1"/>
  <c r="K480" i="1"/>
  <c r="B480" i="1" s="1"/>
  <c r="K544" i="1"/>
  <c r="B544" i="1" s="1"/>
  <c r="K608" i="1"/>
  <c r="B608" i="1" s="1"/>
  <c r="K323" i="1"/>
  <c r="B323" i="1" s="1"/>
  <c r="K405" i="1"/>
  <c r="B405" i="1" s="1"/>
  <c r="K469" i="1"/>
  <c r="B469" i="1" s="1"/>
  <c r="K533" i="1"/>
  <c r="B533" i="1" s="1"/>
  <c r="K597" i="1"/>
  <c r="B597" i="1" s="1"/>
  <c r="K656" i="1"/>
  <c r="B656" i="1" s="1"/>
  <c r="K64" i="1"/>
  <c r="B64" i="1" s="1"/>
  <c r="K33" i="1"/>
  <c r="B33" i="1" s="1"/>
  <c r="K97" i="1"/>
  <c r="B97" i="1" s="1"/>
  <c r="K58" i="1"/>
  <c r="B58" i="1" s="1"/>
  <c r="K71" i="1"/>
  <c r="B71" i="1" s="1"/>
  <c r="K156" i="1"/>
  <c r="B156" i="1" s="1"/>
  <c r="K220" i="1"/>
  <c r="B220" i="1" s="1"/>
  <c r="K284" i="1"/>
  <c r="B284" i="1" s="1"/>
  <c r="K348" i="1"/>
  <c r="B348" i="1" s="1"/>
  <c r="K129" i="1"/>
  <c r="B129" i="1" s="1"/>
  <c r="K193" i="1"/>
  <c r="B193" i="1" s="1"/>
  <c r="K257" i="1"/>
  <c r="B257" i="1" s="1"/>
  <c r="K321" i="1"/>
  <c r="B321" i="1" s="1"/>
  <c r="K100" i="1"/>
  <c r="B100" i="1" s="1"/>
  <c r="K166" i="1"/>
  <c r="B166" i="1" s="1"/>
  <c r="K230" i="1"/>
  <c r="B230" i="1" s="1"/>
  <c r="K294" i="1"/>
  <c r="B294" i="1" s="1"/>
  <c r="K115" i="1"/>
  <c r="B115" i="1" s="1"/>
  <c r="K179" i="1"/>
  <c r="B179" i="1" s="1"/>
  <c r="K342" i="1"/>
  <c r="B342" i="1" s="1"/>
  <c r="K414" i="1"/>
  <c r="B414" i="1" s="1"/>
  <c r="K478" i="1"/>
  <c r="B478" i="1" s="1"/>
  <c r="K542" i="1"/>
  <c r="B542" i="1" s="1"/>
  <c r="K606" i="1"/>
  <c r="B606" i="1" s="1"/>
  <c r="K291" i="1"/>
  <c r="B291" i="1" s="1"/>
  <c r="K395" i="1"/>
  <c r="B395" i="1" s="1"/>
  <c r="K459" i="1"/>
  <c r="B459" i="1" s="1"/>
  <c r="K523" i="1"/>
  <c r="B523" i="1" s="1"/>
  <c r="K587" i="1"/>
  <c r="B587" i="1" s="1"/>
  <c r="K263" i="1"/>
  <c r="B263" i="1" s="1"/>
  <c r="K388" i="1"/>
  <c r="B388" i="1" s="1"/>
  <c r="K452" i="1"/>
  <c r="B452" i="1" s="1"/>
  <c r="K516" i="1"/>
  <c r="B516" i="1" s="1"/>
  <c r="K580" i="1"/>
  <c r="B580" i="1" s="1"/>
  <c r="K219" i="1"/>
  <c r="B219" i="1" s="1"/>
  <c r="K377" i="1"/>
  <c r="B377" i="1" s="1"/>
  <c r="K441" i="1"/>
  <c r="B441" i="1" s="1"/>
  <c r="K505" i="1"/>
  <c r="B505" i="1" s="1"/>
  <c r="K569" i="1"/>
  <c r="B569" i="1" s="1"/>
  <c r="K633" i="1"/>
  <c r="B633" i="1" s="1"/>
  <c r="K668" i="1" l="1"/>
  <c r="B668" i="1" s="1"/>
  <c r="K659" i="1"/>
  <c r="B659" i="1" s="1"/>
  <c r="K667" i="1"/>
  <c r="B667" i="1" s="1"/>
  <c r="K662" i="1"/>
  <c r="B662" i="1" s="1"/>
  <c r="K666" i="1"/>
  <c r="B666" i="1" s="1"/>
  <c r="K664" i="1"/>
  <c r="B664" i="1" s="1"/>
  <c r="K665" i="1"/>
  <c r="B665" i="1" s="1"/>
  <c r="K661" i="1"/>
  <c r="B661" i="1" s="1"/>
  <c r="K669" i="1"/>
  <c r="B669" i="1" s="1"/>
  <c r="B84" i="8"/>
  <c r="J672" i="1"/>
  <c r="J676" i="1"/>
  <c r="J680" i="1"/>
  <c r="J673" i="1"/>
  <c r="J677" i="1"/>
  <c r="J681" i="1"/>
  <c r="J670" i="1"/>
  <c r="K670" i="1" s="1"/>
  <c r="B670" i="1" s="1"/>
  <c r="J674" i="1"/>
  <c r="J678" i="1"/>
  <c r="J682" i="1"/>
  <c r="J671" i="1"/>
  <c r="J675" i="1"/>
  <c r="J679" i="1"/>
  <c r="K679" i="1" l="1"/>
  <c r="B679" i="1" s="1"/>
  <c r="K675" i="1"/>
  <c r="B675" i="1" s="1"/>
  <c r="K671" i="1"/>
  <c r="B671" i="1" s="1"/>
  <c r="K682" i="1"/>
  <c r="B682" i="1" s="1"/>
  <c r="K678" i="1"/>
  <c r="B678" i="1" s="1"/>
  <c r="K674" i="1"/>
  <c r="B674" i="1" s="1"/>
  <c r="K681" i="1"/>
  <c r="B681" i="1" s="1"/>
  <c r="K677" i="1"/>
  <c r="B677" i="1" s="1"/>
  <c r="K673" i="1"/>
  <c r="B673" i="1" s="1"/>
  <c r="K680" i="1"/>
  <c r="B680" i="1" s="1"/>
  <c r="K676" i="1"/>
  <c r="B676" i="1" s="1"/>
  <c r="K672" i="1"/>
  <c r="B672" i="1" s="1"/>
  <c r="B85" i="8"/>
  <c r="J684" i="1"/>
  <c r="J688" i="1"/>
  <c r="J692" i="1"/>
  <c r="J685" i="1"/>
  <c r="J689" i="1"/>
  <c r="J686" i="1"/>
  <c r="J690" i="1"/>
  <c r="J683" i="1"/>
  <c r="K683" i="1" s="1"/>
  <c r="B683" i="1" s="1"/>
  <c r="J687" i="1"/>
  <c r="J691" i="1"/>
  <c r="K691" i="1" l="1"/>
  <c r="B691" i="1" s="1"/>
  <c r="K687" i="1"/>
  <c r="B687" i="1" s="1"/>
  <c r="K690" i="1"/>
  <c r="B690" i="1" s="1"/>
  <c r="K686" i="1"/>
  <c r="B686" i="1" s="1"/>
  <c r="K689" i="1"/>
  <c r="B689" i="1" s="1"/>
  <c r="K685" i="1"/>
  <c r="B685" i="1" s="1"/>
  <c r="K692" i="1"/>
  <c r="B692" i="1" s="1"/>
  <c r="K688" i="1"/>
  <c r="B688" i="1" s="1"/>
  <c r="K684" i="1"/>
  <c r="B684" i="1" s="1"/>
  <c r="B86" i="8"/>
  <c r="J696" i="1"/>
  <c r="J700" i="1"/>
  <c r="J693" i="1"/>
  <c r="K693" i="1" s="1"/>
  <c r="B693" i="1" s="1"/>
  <c r="J697" i="1"/>
  <c r="J701" i="1"/>
  <c r="J694" i="1"/>
  <c r="J698" i="1"/>
  <c r="J695" i="1"/>
  <c r="J699" i="1"/>
  <c r="K694" i="1" l="1"/>
  <c r="B694" i="1" s="1"/>
  <c r="K695" i="1"/>
  <c r="B695" i="1" s="1"/>
  <c r="K699" i="1"/>
  <c r="B699" i="1" s="1"/>
  <c r="K698" i="1"/>
  <c r="B698" i="1" s="1"/>
  <c r="K701" i="1"/>
  <c r="B701" i="1" s="1"/>
  <c r="K697" i="1"/>
  <c r="B697" i="1" s="1"/>
  <c r="K700" i="1"/>
  <c r="B700" i="1" s="1"/>
  <c r="K696" i="1"/>
  <c r="B696" i="1" s="1"/>
  <c r="B87" i="8"/>
  <c r="J704" i="1"/>
  <c r="J708" i="1"/>
  <c r="J712" i="1"/>
  <c r="J705" i="1"/>
  <c r="J709" i="1"/>
  <c r="J713" i="1"/>
  <c r="J702" i="1"/>
  <c r="J706" i="1"/>
  <c r="J710" i="1"/>
  <c r="J703" i="1"/>
  <c r="J707" i="1"/>
  <c r="J711" i="1"/>
  <c r="K703" i="1" l="1"/>
  <c r="B703" i="1" s="1"/>
  <c r="K707" i="1"/>
  <c r="B707" i="1" s="1"/>
  <c r="K711" i="1"/>
  <c r="B711" i="1" s="1"/>
  <c r="K710" i="1"/>
  <c r="B710" i="1" s="1"/>
  <c r="K706" i="1"/>
  <c r="B706" i="1" s="1"/>
  <c r="K702" i="1"/>
  <c r="B702" i="1" s="1"/>
  <c r="K713" i="1"/>
  <c r="B713" i="1" s="1"/>
  <c r="K709" i="1"/>
  <c r="B709" i="1" s="1"/>
  <c r="K705" i="1"/>
  <c r="B705" i="1" s="1"/>
  <c r="K712" i="1"/>
  <c r="B712" i="1" s="1"/>
  <c r="K708" i="1"/>
  <c r="B708" i="1" s="1"/>
  <c r="K704" i="1"/>
  <c r="B704" i="1" s="1"/>
  <c r="B88" i="8"/>
  <c r="J716" i="1"/>
  <c r="J720" i="1"/>
  <c r="J724" i="1"/>
  <c r="J717" i="1"/>
  <c r="J721" i="1"/>
  <c r="J714" i="1"/>
  <c r="J718" i="1"/>
  <c r="J722" i="1"/>
  <c r="J715" i="1"/>
  <c r="J719" i="1"/>
  <c r="J723" i="1"/>
  <c r="K715" i="1" l="1"/>
  <c r="B715" i="1" s="1"/>
  <c r="K723" i="1"/>
  <c r="B723" i="1" s="1"/>
  <c r="K719" i="1"/>
  <c r="B719" i="1" s="1"/>
  <c r="K722" i="1"/>
  <c r="B722" i="1" s="1"/>
  <c r="K718" i="1"/>
  <c r="B718" i="1" s="1"/>
  <c r="K714" i="1"/>
  <c r="B714" i="1" s="1"/>
  <c r="K721" i="1"/>
  <c r="B721" i="1" s="1"/>
  <c r="K717" i="1"/>
  <c r="B717" i="1" s="1"/>
  <c r="K724" i="1"/>
  <c r="B724" i="1" s="1"/>
  <c r="K720" i="1"/>
  <c r="B720" i="1" s="1"/>
  <c r="K716" i="1"/>
  <c r="B716" i="1" s="1"/>
  <c r="B89" i="8"/>
  <c r="J728" i="1"/>
  <c r="J732" i="1"/>
  <c r="J725" i="1"/>
  <c r="J729" i="1"/>
  <c r="J733" i="1"/>
  <c r="J726" i="1"/>
  <c r="J730" i="1"/>
  <c r="J734" i="1"/>
  <c r="J727" i="1"/>
  <c r="J731" i="1"/>
  <c r="K726" i="1" l="1"/>
  <c r="B726" i="1" s="1"/>
  <c r="K727" i="1"/>
  <c r="B727" i="1" s="1"/>
  <c r="K731" i="1"/>
  <c r="B731" i="1" s="1"/>
  <c r="K734" i="1"/>
  <c r="B734" i="1" s="1"/>
  <c r="K730" i="1"/>
  <c r="B730" i="1" s="1"/>
  <c r="K733" i="1"/>
  <c r="B733" i="1" s="1"/>
  <c r="K729" i="1"/>
  <c r="B729" i="1" s="1"/>
  <c r="K725" i="1"/>
  <c r="B725" i="1" s="1"/>
  <c r="K732" i="1"/>
  <c r="B732" i="1" s="1"/>
  <c r="K728" i="1"/>
  <c r="B728" i="1" s="1"/>
  <c r="B90" i="8"/>
  <c r="J736" i="1"/>
  <c r="J740" i="1"/>
  <c r="J744" i="1"/>
  <c r="J748" i="1"/>
  <c r="J752" i="1"/>
  <c r="J756" i="1"/>
  <c r="J760" i="1"/>
  <c r="J764" i="1"/>
  <c r="J768" i="1"/>
  <c r="J772" i="1"/>
  <c r="J776" i="1"/>
  <c r="J780" i="1"/>
  <c r="J784" i="1"/>
  <c r="J788" i="1"/>
  <c r="J792" i="1"/>
  <c r="J796" i="1"/>
  <c r="J800" i="1"/>
  <c r="J804" i="1"/>
  <c r="J808" i="1"/>
  <c r="J812" i="1"/>
  <c r="J816" i="1"/>
  <c r="J820" i="1"/>
  <c r="J737" i="1"/>
  <c r="J741" i="1"/>
  <c r="J745" i="1"/>
  <c r="J749" i="1"/>
  <c r="J753" i="1"/>
  <c r="J757" i="1"/>
  <c r="J761" i="1"/>
  <c r="J765" i="1"/>
  <c r="J769" i="1"/>
  <c r="J773" i="1"/>
  <c r="J777" i="1"/>
  <c r="J781" i="1"/>
  <c r="J785" i="1"/>
  <c r="J789" i="1"/>
  <c r="J793" i="1"/>
  <c r="J797" i="1"/>
  <c r="J801" i="1"/>
  <c r="J805" i="1"/>
  <c r="J809" i="1"/>
  <c r="J813" i="1"/>
  <c r="J817" i="1"/>
  <c r="J738" i="1"/>
  <c r="J742" i="1"/>
  <c r="J746" i="1"/>
  <c r="J750" i="1"/>
  <c r="J754" i="1"/>
  <c r="J758" i="1"/>
  <c r="J762" i="1"/>
  <c r="J766" i="1"/>
  <c r="J770" i="1"/>
  <c r="J774" i="1"/>
  <c r="J778" i="1"/>
  <c r="J782" i="1"/>
  <c r="J786" i="1"/>
  <c r="J790" i="1"/>
  <c r="J794" i="1"/>
  <c r="J798" i="1"/>
  <c r="J802" i="1"/>
  <c r="J806" i="1"/>
  <c r="J810" i="1"/>
  <c r="J814" i="1"/>
  <c r="J818" i="1"/>
  <c r="J735" i="1"/>
  <c r="J739" i="1"/>
  <c r="J743" i="1"/>
  <c r="J747" i="1"/>
  <c r="J751" i="1"/>
  <c r="J755" i="1"/>
  <c r="J759" i="1"/>
  <c r="J763" i="1"/>
  <c r="J767" i="1"/>
  <c r="J771" i="1"/>
  <c r="J775" i="1"/>
  <c r="J779" i="1"/>
  <c r="J783" i="1"/>
  <c r="J787" i="1"/>
  <c r="J791" i="1"/>
  <c r="J795" i="1"/>
  <c r="J799" i="1"/>
  <c r="J803" i="1"/>
  <c r="J807" i="1"/>
  <c r="J811" i="1"/>
  <c r="J815" i="1"/>
  <c r="J819" i="1"/>
  <c r="K811" i="1" l="1"/>
  <c r="B811" i="1" s="1"/>
  <c r="K747" i="1"/>
  <c r="B747" i="1" s="1"/>
  <c r="K779" i="1"/>
  <c r="B779" i="1" s="1"/>
  <c r="K795" i="1"/>
  <c r="B795" i="1" s="1"/>
  <c r="K763" i="1"/>
  <c r="B763" i="1" s="1"/>
  <c r="K807" i="1"/>
  <c r="B807" i="1" s="1"/>
  <c r="K791" i="1"/>
  <c r="B791" i="1" s="1"/>
  <c r="K775" i="1"/>
  <c r="B775" i="1" s="1"/>
  <c r="K759" i="1"/>
  <c r="B759" i="1" s="1"/>
  <c r="K743" i="1"/>
  <c r="B743" i="1" s="1"/>
  <c r="K819" i="1"/>
  <c r="B819" i="1" s="1"/>
  <c r="K803" i="1"/>
  <c r="B803" i="1" s="1"/>
  <c r="K787" i="1"/>
  <c r="B787" i="1" s="1"/>
  <c r="K771" i="1"/>
  <c r="B771" i="1" s="1"/>
  <c r="K755" i="1"/>
  <c r="B755" i="1" s="1"/>
  <c r="K739" i="1"/>
  <c r="B739" i="1" s="1"/>
  <c r="K815" i="1"/>
  <c r="B815" i="1" s="1"/>
  <c r="K799" i="1"/>
  <c r="B799" i="1" s="1"/>
  <c r="K783" i="1"/>
  <c r="B783" i="1" s="1"/>
  <c r="K767" i="1"/>
  <c r="B767" i="1" s="1"/>
  <c r="K751" i="1"/>
  <c r="B751" i="1" s="1"/>
  <c r="K735" i="1"/>
  <c r="B735" i="1" s="1"/>
  <c r="K818" i="1"/>
  <c r="B818" i="1" s="1"/>
  <c r="K814" i="1"/>
  <c r="B814" i="1" s="1"/>
  <c r="K810" i="1"/>
  <c r="B810" i="1" s="1"/>
  <c r="K806" i="1"/>
  <c r="B806" i="1" s="1"/>
  <c r="K802" i="1"/>
  <c r="B802" i="1" s="1"/>
  <c r="K798" i="1"/>
  <c r="B798" i="1" s="1"/>
  <c r="K794" i="1"/>
  <c r="B794" i="1" s="1"/>
  <c r="K790" i="1"/>
  <c r="B790" i="1" s="1"/>
  <c r="K786" i="1"/>
  <c r="B786" i="1" s="1"/>
  <c r="K782" i="1"/>
  <c r="B782" i="1" s="1"/>
  <c r="K778" i="1"/>
  <c r="B778" i="1" s="1"/>
  <c r="K774" i="1"/>
  <c r="B774" i="1" s="1"/>
  <c r="K770" i="1"/>
  <c r="B770" i="1" s="1"/>
  <c r="K766" i="1"/>
  <c r="B766" i="1" s="1"/>
  <c r="K762" i="1"/>
  <c r="B762" i="1" s="1"/>
  <c r="K758" i="1"/>
  <c r="B758" i="1" s="1"/>
  <c r="K754" i="1"/>
  <c r="B754" i="1" s="1"/>
  <c r="K750" i="1"/>
  <c r="B750" i="1" s="1"/>
  <c r="K746" i="1"/>
  <c r="B746" i="1" s="1"/>
  <c r="K742" i="1"/>
  <c r="B742" i="1" s="1"/>
  <c r="K738" i="1"/>
  <c r="B738" i="1" s="1"/>
  <c r="K817" i="1"/>
  <c r="B817" i="1" s="1"/>
  <c r="K813" i="1"/>
  <c r="B813" i="1" s="1"/>
  <c r="K809" i="1"/>
  <c r="B809" i="1" s="1"/>
  <c r="K805" i="1"/>
  <c r="B805" i="1" s="1"/>
  <c r="K801" i="1"/>
  <c r="B801" i="1" s="1"/>
  <c r="K797" i="1"/>
  <c r="B797" i="1" s="1"/>
  <c r="K793" i="1"/>
  <c r="B793" i="1" s="1"/>
  <c r="K789" i="1"/>
  <c r="B789" i="1" s="1"/>
  <c r="K785" i="1"/>
  <c r="B785" i="1" s="1"/>
  <c r="K781" i="1"/>
  <c r="B781" i="1" s="1"/>
  <c r="K777" i="1"/>
  <c r="B777" i="1" s="1"/>
  <c r="K773" i="1"/>
  <c r="B773" i="1" s="1"/>
  <c r="K769" i="1"/>
  <c r="B769" i="1" s="1"/>
  <c r="K765" i="1"/>
  <c r="B765" i="1" s="1"/>
  <c r="K761" i="1"/>
  <c r="B761" i="1" s="1"/>
  <c r="K757" i="1"/>
  <c r="B757" i="1" s="1"/>
  <c r="K753" i="1"/>
  <c r="B753" i="1" s="1"/>
  <c r="K749" i="1"/>
  <c r="B749" i="1" s="1"/>
  <c r="K745" i="1"/>
  <c r="B745" i="1" s="1"/>
  <c r="K741" i="1"/>
  <c r="B741" i="1" s="1"/>
  <c r="K737" i="1"/>
  <c r="B737" i="1" s="1"/>
  <c r="K820" i="1"/>
  <c r="B820" i="1" s="1"/>
  <c r="K816" i="1"/>
  <c r="B816" i="1" s="1"/>
  <c r="K812" i="1"/>
  <c r="B812" i="1" s="1"/>
  <c r="K808" i="1"/>
  <c r="B808" i="1" s="1"/>
  <c r="K804" i="1"/>
  <c r="B804" i="1" s="1"/>
  <c r="K800" i="1"/>
  <c r="B800" i="1" s="1"/>
  <c r="K796" i="1"/>
  <c r="B796" i="1" s="1"/>
  <c r="K792" i="1"/>
  <c r="B792" i="1" s="1"/>
  <c r="K788" i="1"/>
  <c r="B788" i="1" s="1"/>
  <c r="K784" i="1"/>
  <c r="B784" i="1" s="1"/>
  <c r="K780" i="1"/>
  <c r="B780" i="1" s="1"/>
  <c r="K776" i="1"/>
  <c r="B776" i="1" s="1"/>
  <c r="K772" i="1"/>
  <c r="B772" i="1" s="1"/>
  <c r="K768" i="1"/>
  <c r="B768" i="1" s="1"/>
  <c r="K764" i="1"/>
  <c r="B764" i="1" s="1"/>
  <c r="K760" i="1"/>
  <c r="B760" i="1" s="1"/>
  <c r="K756" i="1"/>
  <c r="B756" i="1" s="1"/>
  <c r="K752" i="1"/>
  <c r="B752" i="1" s="1"/>
  <c r="K748" i="1"/>
  <c r="B748" i="1" s="1"/>
  <c r="K744" i="1"/>
  <c r="B744" i="1" s="1"/>
  <c r="K740" i="1"/>
  <c r="B740" i="1" s="1"/>
  <c r="K736" i="1"/>
  <c r="B736" i="1" s="1"/>
  <c r="B91" i="8"/>
  <c r="J824" i="1"/>
  <c r="J821" i="1"/>
  <c r="J825" i="1"/>
  <c r="J822" i="1"/>
  <c r="J823" i="1"/>
  <c r="K823" i="1" l="1"/>
  <c r="B823" i="1" s="1"/>
  <c r="K822" i="1"/>
  <c r="B822" i="1" s="1"/>
  <c r="K825" i="1"/>
  <c r="B825" i="1" s="1"/>
  <c r="K821" i="1"/>
  <c r="B821" i="1" s="1"/>
  <c r="K824" i="1"/>
  <c r="B824" i="1" s="1"/>
  <c r="B92" i="8"/>
  <c r="J828" i="1"/>
  <c r="J832" i="1"/>
  <c r="J829" i="1"/>
  <c r="J833" i="1"/>
  <c r="J826" i="1"/>
  <c r="J830" i="1"/>
  <c r="J827" i="1"/>
  <c r="K827" i="1" s="1"/>
  <c r="B827" i="1" s="1"/>
  <c r="J831" i="1"/>
  <c r="K831" i="1" l="1"/>
  <c r="B831" i="1" s="1"/>
  <c r="K830" i="1"/>
  <c r="B830" i="1" s="1"/>
  <c r="K826" i="1"/>
  <c r="B826" i="1" s="1"/>
  <c r="K833" i="1"/>
  <c r="B833" i="1" s="1"/>
  <c r="K829" i="1"/>
  <c r="B829" i="1" s="1"/>
  <c r="K832" i="1"/>
  <c r="B832" i="1" s="1"/>
  <c r="K828" i="1"/>
  <c r="B828" i="1" s="1"/>
  <c r="B93" i="8"/>
  <c r="J836" i="1"/>
  <c r="J840" i="1"/>
  <c r="J837" i="1"/>
  <c r="J841" i="1"/>
  <c r="J834" i="1"/>
  <c r="J838" i="1"/>
  <c r="J835" i="1"/>
  <c r="K835" i="1" s="1"/>
  <c r="B835" i="1" s="1"/>
  <c r="J839" i="1"/>
  <c r="K839" i="1" l="1"/>
  <c r="B839" i="1" s="1"/>
  <c r="K838" i="1"/>
  <c r="B838" i="1" s="1"/>
  <c r="K834" i="1"/>
  <c r="B834" i="1" s="1"/>
  <c r="K841" i="1"/>
  <c r="B841" i="1" s="1"/>
  <c r="K837" i="1"/>
  <c r="B837" i="1" s="1"/>
  <c r="K840" i="1"/>
  <c r="B840" i="1" s="1"/>
  <c r="K836" i="1"/>
  <c r="B836" i="1" s="1"/>
  <c r="B94" i="8"/>
  <c r="J844" i="1"/>
  <c r="J848" i="1"/>
  <c r="J852" i="1"/>
  <c r="J845" i="1"/>
  <c r="J849" i="1"/>
  <c r="J853" i="1"/>
  <c r="J842" i="1"/>
  <c r="J846" i="1"/>
  <c r="J850" i="1"/>
  <c r="J843" i="1"/>
  <c r="J847" i="1"/>
  <c r="J851" i="1"/>
  <c r="K851" i="1" l="1"/>
  <c r="B851" i="1" s="1"/>
  <c r="K843" i="1"/>
  <c r="B843" i="1" s="1"/>
  <c r="K847" i="1"/>
  <c r="B847" i="1" s="1"/>
  <c r="K850" i="1"/>
  <c r="B850" i="1" s="1"/>
  <c r="K846" i="1"/>
  <c r="B846" i="1" s="1"/>
  <c r="K842" i="1"/>
  <c r="B842" i="1" s="1"/>
  <c r="K853" i="1"/>
  <c r="B853" i="1" s="1"/>
  <c r="K849" i="1"/>
  <c r="B849" i="1" s="1"/>
  <c r="K845" i="1"/>
  <c r="B845" i="1" s="1"/>
  <c r="K852" i="1"/>
  <c r="B852" i="1" s="1"/>
  <c r="K848" i="1"/>
  <c r="B848" i="1" s="1"/>
  <c r="K844" i="1"/>
  <c r="B844" i="1" s="1"/>
  <c r="B95" i="8"/>
  <c r="J856" i="1"/>
  <c r="J860" i="1"/>
  <c r="J864" i="1"/>
  <c r="J868" i="1"/>
  <c r="J857" i="1"/>
  <c r="J861" i="1"/>
  <c r="J865" i="1"/>
  <c r="J854" i="1"/>
  <c r="J858" i="1"/>
  <c r="J862" i="1"/>
  <c r="J866" i="1"/>
  <c r="J855" i="1"/>
  <c r="K855" i="1" s="1"/>
  <c r="B855" i="1" s="1"/>
  <c r="J859" i="1"/>
  <c r="K859" i="1" s="1"/>
  <c r="B859" i="1" s="1"/>
  <c r="J863" i="1"/>
  <c r="J867" i="1"/>
  <c r="K867" i="1" l="1"/>
  <c r="B867" i="1" s="1"/>
  <c r="K863" i="1"/>
  <c r="B863" i="1" s="1"/>
  <c r="K866" i="1"/>
  <c r="B866" i="1" s="1"/>
  <c r="K862" i="1"/>
  <c r="B862" i="1" s="1"/>
  <c r="K858" i="1"/>
  <c r="B858" i="1" s="1"/>
  <c r="K854" i="1"/>
  <c r="B854" i="1" s="1"/>
  <c r="K865" i="1"/>
  <c r="B865" i="1" s="1"/>
  <c r="K861" i="1"/>
  <c r="B861" i="1" s="1"/>
  <c r="K857" i="1"/>
  <c r="B857" i="1" s="1"/>
  <c r="K868" i="1"/>
  <c r="B868" i="1" s="1"/>
  <c r="K864" i="1"/>
  <c r="B864" i="1" s="1"/>
  <c r="K860" i="1"/>
  <c r="B860" i="1" s="1"/>
  <c r="K856" i="1"/>
  <c r="B856" i="1" s="1"/>
  <c r="B96" i="8"/>
  <c r="J872" i="1"/>
  <c r="J876" i="1"/>
  <c r="J880" i="1"/>
  <c r="J884" i="1"/>
  <c r="J888" i="1"/>
  <c r="J892" i="1"/>
  <c r="J896" i="1"/>
  <c r="J900" i="1"/>
  <c r="J904" i="1"/>
  <c r="J908" i="1"/>
  <c r="J912" i="1"/>
  <c r="J916" i="1"/>
  <c r="J920" i="1"/>
  <c r="J869" i="1"/>
  <c r="J873" i="1"/>
  <c r="J877" i="1"/>
  <c r="J881" i="1"/>
  <c r="J885" i="1"/>
  <c r="J889" i="1"/>
  <c r="J893" i="1"/>
  <c r="J897" i="1"/>
  <c r="J901" i="1"/>
  <c r="J905" i="1"/>
  <c r="J909" i="1"/>
  <c r="J913" i="1"/>
  <c r="J917" i="1"/>
  <c r="J870" i="1"/>
  <c r="J874" i="1"/>
  <c r="J878" i="1"/>
  <c r="J882" i="1"/>
  <c r="J886" i="1"/>
  <c r="J890" i="1"/>
  <c r="J894" i="1"/>
  <c r="J898" i="1"/>
  <c r="J902" i="1"/>
  <c r="J906" i="1"/>
  <c r="J910" i="1"/>
  <c r="J914" i="1"/>
  <c r="J918" i="1"/>
  <c r="J871" i="1"/>
  <c r="J875" i="1"/>
  <c r="J879" i="1"/>
  <c r="J883" i="1"/>
  <c r="J887" i="1"/>
  <c r="J891" i="1"/>
  <c r="J895" i="1"/>
  <c r="J899" i="1"/>
  <c r="J903" i="1"/>
  <c r="J907" i="1"/>
  <c r="J911" i="1"/>
  <c r="J915" i="1"/>
  <c r="J919" i="1"/>
  <c r="K870" i="1" l="1"/>
  <c r="B870" i="1" s="1"/>
  <c r="K907" i="1"/>
  <c r="B907" i="1" s="1"/>
  <c r="K915" i="1"/>
  <c r="B915" i="1" s="1"/>
  <c r="K871" i="1"/>
  <c r="B871" i="1" s="1"/>
  <c r="K891" i="1"/>
  <c r="B891" i="1" s="1"/>
  <c r="K875" i="1"/>
  <c r="B875" i="1" s="1"/>
  <c r="K919" i="1"/>
  <c r="B919" i="1" s="1"/>
  <c r="K903" i="1"/>
  <c r="B903" i="1" s="1"/>
  <c r="K887" i="1"/>
  <c r="B887" i="1" s="1"/>
  <c r="K899" i="1"/>
  <c r="B899" i="1" s="1"/>
  <c r="K883" i="1"/>
  <c r="B883" i="1" s="1"/>
  <c r="K911" i="1"/>
  <c r="B911" i="1" s="1"/>
  <c r="K895" i="1"/>
  <c r="B895" i="1" s="1"/>
  <c r="K879" i="1"/>
  <c r="B879" i="1" s="1"/>
  <c r="K918" i="1"/>
  <c r="B918" i="1" s="1"/>
  <c r="K914" i="1"/>
  <c r="B914" i="1" s="1"/>
  <c r="K910" i="1"/>
  <c r="B910" i="1" s="1"/>
  <c r="K906" i="1"/>
  <c r="B906" i="1" s="1"/>
  <c r="K902" i="1"/>
  <c r="B902" i="1" s="1"/>
  <c r="K898" i="1"/>
  <c r="B898" i="1" s="1"/>
  <c r="K894" i="1"/>
  <c r="B894" i="1" s="1"/>
  <c r="K890" i="1"/>
  <c r="B890" i="1" s="1"/>
  <c r="K886" i="1"/>
  <c r="B886" i="1" s="1"/>
  <c r="K882" i="1"/>
  <c r="B882" i="1" s="1"/>
  <c r="K878" i="1"/>
  <c r="B878" i="1" s="1"/>
  <c r="K874" i="1"/>
  <c r="B874" i="1" s="1"/>
  <c r="K917" i="1"/>
  <c r="B917" i="1" s="1"/>
  <c r="K913" i="1"/>
  <c r="B913" i="1" s="1"/>
  <c r="K909" i="1"/>
  <c r="B909" i="1" s="1"/>
  <c r="K905" i="1"/>
  <c r="B905" i="1" s="1"/>
  <c r="K901" i="1"/>
  <c r="B901" i="1" s="1"/>
  <c r="K897" i="1"/>
  <c r="B897" i="1" s="1"/>
  <c r="K893" i="1"/>
  <c r="B893" i="1" s="1"/>
  <c r="K889" i="1"/>
  <c r="B889" i="1" s="1"/>
  <c r="K885" i="1"/>
  <c r="B885" i="1" s="1"/>
  <c r="K881" i="1"/>
  <c r="B881" i="1" s="1"/>
  <c r="K877" i="1"/>
  <c r="B877" i="1" s="1"/>
  <c r="K873" i="1"/>
  <c r="B873" i="1" s="1"/>
  <c r="K869" i="1"/>
  <c r="B869" i="1" s="1"/>
  <c r="K920" i="1"/>
  <c r="B920" i="1" s="1"/>
  <c r="K916" i="1"/>
  <c r="B916" i="1" s="1"/>
  <c r="K912" i="1"/>
  <c r="B912" i="1" s="1"/>
  <c r="K908" i="1"/>
  <c r="B908" i="1" s="1"/>
  <c r="K904" i="1"/>
  <c r="B904" i="1" s="1"/>
  <c r="K900" i="1"/>
  <c r="B900" i="1" s="1"/>
  <c r="K896" i="1"/>
  <c r="B896" i="1" s="1"/>
  <c r="K892" i="1"/>
  <c r="B892" i="1" s="1"/>
  <c r="K888" i="1"/>
  <c r="B888" i="1" s="1"/>
  <c r="K884" i="1"/>
  <c r="B884" i="1" s="1"/>
  <c r="K880" i="1"/>
  <c r="B880" i="1" s="1"/>
  <c r="K876" i="1"/>
  <c r="B876" i="1" s="1"/>
  <c r="K872" i="1"/>
  <c r="B872" i="1" s="1"/>
  <c r="B97" i="8"/>
  <c r="J924" i="1"/>
  <c r="J928" i="1"/>
  <c r="J932" i="1"/>
  <c r="J936" i="1"/>
  <c r="J940" i="1"/>
  <c r="J944" i="1"/>
  <c r="J921" i="1"/>
  <c r="J925" i="1"/>
  <c r="J929" i="1"/>
  <c r="J933" i="1"/>
  <c r="J937" i="1"/>
  <c r="J941" i="1"/>
  <c r="J945" i="1"/>
  <c r="J922" i="1"/>
  <c r="J926" i="1"/>
  <c r="J930" i="1"/>
  <c r="J934" i="1"/>
  <c r="J938" i="1"/>
  <c r="J942" i="1"/>
  <c r="J923" i="1"/>
  <c r="J927" i="1"/>
  <c r="J931" i="1"/>
  <c r="J935" i="1"/>
  <c r="J939" i="1"/>
  <c r="J943" i="1"/>
  <c r="K939" i="1" l="1"/>
  <c r="B939" i="1" s="1"/>
  <c r="K922" i="1"/>
  <c r="B922" i="1" s="1"/>
  <c r="K931" i="1"/>
  <c r="B931" i="1" s="1"/>
  <c r="K943" i="1"/>
  <c r="B943" i="1" s="1"/>
  <c r="K927" i="1"/>
  <c r="B927" i="1" s="1"/>
  <c r="K923" i="1"/>
  <c r="B923" i="1" s="1"/>
  <c r="K935" i="1"/>
  <c r="B935" i="1" s="1"/>
  <c r="K942" i="1"/>
  <c r="B942" i="1" s="1"/>
  <c r="K938" i="1"/>
  <c r="B938" i="1" s="1"/>
  <c r="K934" i="1"/>
  <c r="B934" i="1" s="1"/>
  <c r="K930" i="1"/>
  <c r="B930" i="1" s="1"/>
  <c r="K926" i="1"/>
  <c r="B926" i="1" s="1"/>
  <c r="K945" i="1"/>
  <c r="B945" i="1" s="1"/>
  <c r="K941" i="1"/>
  <c r="B941" i="1" s="1"/>
  <c r="K937" i="1"/>
  <c r="B937" i="1" s="1"/>
  <c r="K933" i="1"/>
  <c r="B933" i="1" s="1"/>
  <c r="K929" i="1"/>
  <c r="B929" i="1" s="1"/>
  <c r="K925" i="1"/>
  <c r="B925" i="1" s="1"/>
  <c r="K921" i="1"/>
  <c r="B921" i="1" s="1"/>
  <c r="K944" i="1"/>
  <c r="B944" i="1" s="1"/>
  <c r="K940" i="1"/>
  <c r="B940" i="1" s="1"/>
  <c r="K936" i="1"/>
  <c r="B936" i="1" s="1"/>
  <c r="K932" i="1"/>
  <c r="B932" i="1" s="1"/>
  <c r="K928" i="1"/>
  <c r="B928" i="1" s="1"/>
  <c r="K924" i="1"/>
  <c r="B924" i="1" s="1"/>
  <c r="B98" i="8"/>
  <c r="J948" i="1"/>
  <c r="J952" i="1"/>
  <c r="J956" i="1"/>
  <c r="J960" i="1"/>
  <c r="J949" i="1"/>
  <c r="J953" i="1"/>
  <c r="J957" i="1"/>
  <c r="J961" i="1"/>
  <c r="J946" i="1"/>
  <c r="J950" i="1"/>
  <c r="J954" i="1"/>
  <c r="J958" i="1"/>
  <c r="J947" i="1"/>
  <c r="J951" i="1"/>
  <c r="J955" i="1"/>
  <c r="J959" i="1"/>
  <c r="J963" i="1"/>
  <c r="J962" i="1"/>
  <c r="K955" i="1" l="1"/>
  <c r="B955" i="1" s="1"/>
  <c r="K962" i="1"/>
  <c r="B962" i="1" s="1"/>
  <c r="K959" i="1"/>
  <c r="B959" i="1" s="1"/>
  <c r="K951" i="1"/>
  <c r="B951" i="1" s="1"/>
  <c r="K947" i="1"/>
  <c r="B947" i="1" s="1"/>
  <c r="K963" i="1"/>
  <c r="B963" i="1" s="1"/>
  <c r="K958" i="1"/>
  <c r="B958" i="1" s="1"/>
  <c r="K954" i="1"/>
  <c r="B954" i="1" s="1"/>
  <c r="K950" i="1"/>
  <c r="B950" i="1" s="1"/>
  <c r="K946" i="1"/>
  <c r="B946" i="1" s="1"/>
  <c r="K961" i="1"/>
  <c r="B961" i="1" s="1"/>
  <c r="K957" i="1"/>
  <c r="B957" i="1" s="1"/>
  <c r="K953" i="1"/>
  <c r="B953" i="1" s="1"/>
  <c r="K949" i="1"/>
  <c r="B949" i="1" s="1"/>
  <c r="K960" i="1"/>
  <c r="B960" i="1" s="1"/>
  <c r="K956" i="1"/>
  <c r="B956" i="1" s="1"/>
  <c r="K952" i="1"/>
  <c r="B952" i="1" s="1"/>
  <c r="K948" i="1"/>
  <c r="B948" i="1" s="1"/>
  <c r="B99" i="8"/>
  <c r="J964" i="1"/>
  <c r="J968" i="1"/>
  <c r="J965" i="1"/>
  <c r="J969" i="1"/>
  <c r="J966" i="1"/>
  <c r="J972" i="1"/>
  <c r="J976" i="1"/>
  <c r="J980" i="1"/>
  <c r="J967" i="1"/>
  <c r="J973" i="1"/>
  <c r="J977" i="1"/>
  <c r="J981" i="1"/>
  <c r="J970" i="1"/>
  <c r="J974" i="1"/>
  <c r="J978" i="1"/>
  <c r="J971" i="1"/>
  <c r="J975" i="1"/>
  <c r="J979" i="1"/>
  <c r="K967" i="1" l="1"/>
  <c r="B967" i="1" s="1"/>
  <c r="K971" i="1"/>
  <c r="B971" i="1" s="1"/>
  <c r="K965" i="1"/>
  <c r="B965" i="1" s="1"/>
  <c r="K979" i="1"/>
  <c r="B979" i="1" s="1"/>
  <c r="K975" i="1"/>
  <c r="B975" i="1" s="1"/>
  <c r="K966" i="1"/>
  <c r="B966" i="1" s="1"/>
  <c r="K970" i="1"/>
  <c r="B970" i="1" s="1"/>
  <c r="K978" i="1"/>
  <c r="B978" i="1" s="1"/>
  <c r="K974" i="1"/>
  <c r="B974" i="1" s="1"/>
  <c r="K981" i="1"/>
  <c r="B981" i="1" s="1"/>
  <c r="K977" i="1"/>
  <c r="B977" i="1" s="1"/>
  <c r="K973" i="1"/>
  <c r="B973" i="1" s="1"/>
  <c r="K980" i="1"/>
  <c r="B980" i="1" s="1"/>
  <c r="K976" i="1"/>
  <c r="B976" i="1" s="1"/>
  <c r="K972" i="1"/>
  <c r="B972" i="1" s="1"/>
  <c r="K969" i="1"/>
  <c r="B969" i="1" s="1"/>
  <c r="K968" i="1"/>
  <c r="B968" i="1" s="1"/>
  <c r="K964" i="1"/>
  <c r="B964" i="1" s="1"/>
  <c r="B100" i="8"/>
  <c r="J984" i="1"/>
  <c r="J988" i="1"/>
  <c r="J985" i="1"/>
  <c r="J982" i="1"/>
  <c r="J986" i="1"/>
  <c r="J983" i="1"/>
  <c r="J987" i="1"/>
  <c r="K987" i="1" l="1"/>
  <c r="B987" i="1" s="1"/>
  <c r="K983" i="1"/>
  <c r="B983" i="1" s="1"/>
  <c r="K986" i="1"/>
  <c r="B986" i="1" s="1"/>
  <c r="K982" i="1"/>
  <c r="B982" i="1" s="1"/>
  <c r="K985" i="1"/>
  <c r="B985" i="1" s="1"/>
  <c r="K988" i="1"/>
  <c r="B988" i="1" s="1"/>
  <c r="K984" i="1"/>
  <c r="B984" i="1" s="1"/>
  <c r="B101" i="8"/>
  <c r="J992" i="1"/>
  <c r="J989" i="1"/>
  <c r="J993" i="1"/>
  <c r="J990" i="1"/>
  <c r="J994" i="1"/>
  <c r="J991" i="1"/>
  <c r="J995" i="1"/>
  <c r="K995" i="1" l="1"/>
  <c r="B995" i="1" s="1"/>
  <c r="K990" i="1"/>
  <c r="B990" i="1" s="1"/>
  <c r="K991" i="1"/>
  <c r="B991" i="1" s="1"/>
  <c r="K994" i="1"/>
  <c r="B994" i="1" s="1"/>
  <c r="K993" i="1"/>
  <c r="B993" i="1" s="1"/>
  <c r="K989" i="1"/>
  <c r="B989" i="1" s="1"/>
  <c r="K992" i="1"/>
  <c r="B992" i="1" s="1"/>
  <c r="B102" i="8"/>
  <c r="J996" i="1"/>
  <c r="J1000" i="1"/>
  <c r="J997" i="1"/>
  <c r="K997" i="1" s="1"/>
  <c r="B997" i="1" s="1"/>
  <c r="J1001" i="1"/>
  <c r="J998" i="1"/>
  <c r="J1002" i="1"/>
  <c r="J999" i="1"/>
  <c r="K999" i="1" l="1"/>
  <c r="B999" i="1" s="1"/>
  <c r="K998" i="1"/>
  <c r="B998" i="1" s="1"/>
  <c r="K1002" i="1"/>
  <c r="B1002" i="1" s="1"/>
  <c r="K1001" i="1"/>
  <c r="B1001" i="1" s="1"/>
  <c r="K1000" i="1"/>
  <c r="B1000" i="1" s="1"/>
  <c r="K996" i="1"/>
  <c r="B996" i="1" s="1"/>
  <c r="B103" i="8"/>
  <c r="J1004" i="1"/>
  <c r="J1008" i="1"/>
  <c r="J1012" i="1"/>
  <c r="J1005" i="1"/>
  <c r="J1009" i="1"/>
  <c r="J1006" i="1"/>
  <c r="J1010" i="1"/>
  <c r="J1003" i="1"/>
  <c r="J1007" i="1"/>
  <c r="J1011" i="1"/>
  <c r="K1011" i="1" l="1"/>
  <c r="B1011" i="1" s="1"/>
  <c r="K1007" i="1"/>
  <c r="B1007" i="1" s="1"/>
  <c r="K1003" i="1"/>
  <c r="B1003" i="1" s="1"/>
  <c r="K1010" i="1"/>
  <c r="B1010" i="1" s="1"/>
  <c r="K1006" i="1"/>
  <c r="B1006" i="1" s="1"/>
  <c r="K1009" i="1"/>
  <c r="B1009" i="1" s="1"/>
  <c r="K1005" i="1"/>
  <c r="B1005" i="1" s="1"/>
  <c r="K1012" i="1"/>
  <c r="B1012" i="1" s="1"/>
  <c r="K1008" i="1"/>
  <c r="B1008" i="1" s="1"/>
  <c r="K1004" i="1"/>
  <c r="B1004" i="1" s="1"/>
  <c r="B104" i="8"/>
  <c r="J1016" i="1"/>
  <c r="J1020" i="1"/>
  <c r="J1013" i="1"/>
  <c r="J1017" i="1"/>
  <c r="J1021" i="1"/>
  <c r="J1014" i="1"/>
  <c r="K1014" i="1" s="1"/>
  <c r="B1014" i="1" s="1"/>
  <c r="J1018" i="1"/>
  <c r="J1015" i="1"/>
  <c r="J1019" i="1"/>
  <c r="K1015" i="1" l="1"/>
  <c r="B1015" i="1" s="1"/>
  <c r="K1018" i="1"/>
  <c r="B1018" i="1" s="1"/>
  <c r="K1017" i="1"/>
  <c r="B1017" i="1" s="1"/>
  <c r="K1016" i="1"/>
  <c r="B1016" i="1" s="1"/>
  <c r="K1019" i="1"/>
  <c r="B1019" i="1" s="1"/>
  <c r="K1013" i="1"/>
  <c r="B1013" i="1" s="1"/>
  <c r="B105" i="8"/>
  <c r="J1024" i="1"/>
  <c r="J1028" i="1"/>
  <c r="J1032" i="1"/>
  <c r="J1036" i="1"/>
  <c r="J1040" i="1"/>
  <c r="J1044" i="1"/>
  <c r="J1048" i="1"/>
  <c r="J1025" i="1"/>
  <c r="J1029" i="1"/>
  <c r="J1033" i="1"/>
  <c r="J1037" i="1"/>
  <c r="J1041" i="1"/>
  <c r="J1045" i="1"/>
  <c r="J1049" i="1"/>
  <c r="J1022" i="1"/>
  <c r="K1022" i="1" s="1"/>
  <c r="B1022" i="1" s="1"/>
  <c r="J1026" i="1"/>
  <c r="J1030" i="1"/>
  <c r="J1034" i="1"/>
  <c r="J1038" i="1"/>
  <c r="J1042" i="1"/>
  <c r="J1046" i="1"/>
  <c r="J1023" i="1"/>
  <c r="J1027" i="1"/>
  <c r="J1031" i="1"/>
  <c r="J1035" i="1"/>
  <c r="J1039" i="1"/>
  <c r="J1043" i="1"/>
  <c r="J1047" i="1"/>
  <c r="K1021" i="1"/>
  <c r="B1021" i="1" s="1"/>
  <c r="K1020" i="1"/>
  <c r="B1020" i="1" s="1"/>
  <c r="K1043" i="1" l="1"/>
  <c r="B1043" i="1" s="1"/>
  <c r="K1031" i="1"/>
  <c r="B1031" i="1" s="1"/>
  <c r="K1029" i="1"/>
  <c r="B1029" i="1" s="1"/>
  <c r="K1032" i="1"/>
  <c r="B1032" i="1" s="1"/>
  <c r="B106" i="8"/>
  <c r="J1052" i="1"/>
  <c r="J1056" i="1"/>
  <c r="J1060" i="1"/>
  <c r="J1053" i="1"/>
  <c r="J1057" i="1"/>
  <c r="J1061" i="1"/>
  <c r="J1050" i="1"/>
  <c r="K1050" i="1" s="1"/>
  <c r="B1050" i="1" s="1"/>
  <c r="J1054" i="1"/>
  <c r="J1058" i="1"/>
  <c r="J1062" i="1"/>
  <c r="J1051" i="1"/>
  <c r="J1055" i="1"/>
  <c r="J1059" i="1"/>
  <c r="K1046" i="1"/>
  <c r="B1046" i="1" s="1"/>
  <c r="K1041" i="1"/>
  <c r="B1041" i="1" s="1"/>
  <c r="K1044" i="1"/>
  <c r="B1044" i="1" s="1"/>
  <c r="K1039" i="1"/>
  <c r="B1039" i="1" s="1"/>
  <c r="K1027" i="1"/>
  <c r="B1027" i="1" s="1"/>
  <c r="K1042" i="1"/>
  <c r="B1042" i="1" s="1"/>
  <c r="K1030" i="1"/>
  <c r="B1030" i="1" s="1"/>
  <c r="K1049" i="1"/>
  <c r="B1049" i="1" s="1"/>
  <c r="K1037" i="1"/>
  <c r="B1037" i="1" s="1"/>
  <c r="K1025" i="1"/>
  <c r="B1025" i="1" s="1"/>
  <c r="K1040" i="1"/>
  <c r="B1040" i="1" s="1"/>
  <c r="K1028" i="1"/>
  <c r="B1028" i="1" s="1"/>
  <c r="K1034" i="1"/>
  <c r="B1034" i="1" s="1"/>
  <c r="K1047" i="1"/>
  <c r="B1047" i="1" s="1"/>
  <c r="K1035" i="1"/>
  <c r="B1035" i="1" s="1"/>
  <c r="K1023" i="1"/>
  <c r="B1023" i="1" s="1"/>
  <c r="K1038" i="1"/>
  <c r="B1038" i="1" s="1"/>
  <c r="K1026" i="1"/>
  <c r="B1026" i="1" s="1"/>
  <c r="K1045" i="1"/>
  <c r="B1045" i="1" s="1"/>
  <c r="K1033" i="1"/>
  <c r="B1033" i="1" s="1"/>
  <c r="K1048" i="1"/>
  <c r="B1048" i="1" s="1"/>
  <c r="K1036" i="1"/>
  <c r="B1036" i="1" s="1"/>
  <c r="K1024" i="1"/>
  <c r="B1024" i="1" s="1"/>
  <c r="K1051" i="1" l="1"/>
  <c r="B1051" i="1" s="1"/>
  <c r="K1055" i="1"/>
  <c r="B1055" i="1" s="1"/>
  <c r="K1059" i="1"/>
  <c r="B1059" i="1" s="1"/>
  <c r="K1062" i="1"/>
  <c r="B1062" i="1" s="1"/>
  <c r="K1053" i="1"/>
  <c r="B1053" i="1" s="1"/>
  <c r="K1052" i="1"/>
  <c r="B1052" i="1" s="1"/>
  <c r="K1058" i="1"/>
  <c r="B1058" i="1" s="1"/>
  <c r="K1061" i="1"/>
  <c r="B1061" i="1" s="1"/>
  <c r="K1060" i="1"/>
  <c r="B1060" i="1" s="1"/>
  <c r="B107" i="8"/>
  <c r="J1064" i="1"/>
  <c r="J1068" i="1"/>
  <c r="J1072" i="1"/>
  <c r="J1076" i="1"/>
  <c r="J1065" i="1"/>
  <c r="J1069" i="1"/>
  <c r="J1073" i="1"/>
  <c r="J1077" i="1"/>
  <c r="J1066" i="1"/>
  <c r="J1070" i="1"/>
  <c r="J1074" i="1"/>
  <c r="J1063" i="1"/>
  <c r="K1063" i="1" s="1"/>
  <c r="B1063" i="1" s="1"/>
  <c r="J1067" i="1"/>
  <c r="J1071" i="1"/>
  <c r="J1075" i="1"/>
  <c r="K1054" i="1"/>
  <c r="B1054" i="1" s="1"/>
  <c r="K1057" i="1"/>
  <c r="B1057" i="1" s="1"/>
  <c r="K1056" i="1"/>
  <c r="B1056" i="1" s="1"/>
  <c r="K1075" i="1" l="1"/>
  <c r="B1075" i="1" s="1"/>
  <c r="K1071" i="1"/>
  <c r="B1071" i="1" s="1"/>
  <c r="K1067" i="1"/>
  <c r="B1067" i="1" s="1"/>
  <c r="K1074" i="1"/>
  <c r="B1074" i="1" s="1"/>
  <c r="K1077" i="1"/>
  <c r="B1077" i="1" s="1"/>
  <c r="K1065" i="1"/>
  <c r="B1065" i="1" s="1"/>
  <c r="K1068" i="1"/>
  <c r="B1068" i="1" s="1"/>
  <c r="K1070" i="1"/>
  <c r="B1070" i="1" s="1"/>
  <c r="K1073" i="1"/>
  <c r="B1073" i="1" s="1"/>
  <c r="K1076" i="1"/>
  <c r="B1076" i="1" s="1"/>
  <c r="K1064" i="1"/>
  <c r="B1064" i="1" s="1"/>
  <c r="K1066" i="1"/>
  <c r="B1066" i="1" s="1"/>
  <c r="K1069" i="1"/>
  <c r="B1069" i="1" s="1"/>
  <c r="K1072" i="1"/>
  <c r="B1072" i="1" s="1"/>
  <c r="B108" i="8"/>
  <c r="J1080" i="1"/>
  <c r="J1084" i="1"/>
  <c r="J1081" i="1"/>
  <c r="J1085" i="1"/>
  <c r="J1078" i="1"/>
  <c r="K1078" i="1" s="1"/>
  <c r="B1078" i="1" s="1"/>
  <c r="J1082" i="1"/>
  <c r="J1086" i="1"/>
  <c r="J1079" i="1"/>
  <c r="J1083" i="1"/>
  <c r="K1079" i="1" l="1"/>
  <c r="B1079" i="1" s="1"/>
  <c r="K1083" i="1"/>
  <c r="B1083" i="1" s="1"/>
  <c r="K1086" i="1"/>
  <c r="B1086" i="1" s="1"/>
  <c r="K1085" i="1"/>
  <c r="B1085" i="1" s="1"/>
  <c r="K1082" i="1"/>
  <c r="B1082" i="1" s="1"/>
  <c r="K1081" i="1"/>
  <c r="B1081" i="1" s="1"/>
  <c r="B109" i="8"/>
  <c r="J1088" i="1"/>
  <c r="J1092" i="1"/>
  <c r="J1096" i="1"/>
  <c r="J1100" i="1"/>
  <c r="J1104" i="1"/>
  <c r="J1108" i="1"/>
  <c r="J1089" i="1"/>
  <c r="J1093" i="1"/>
  <c r="J1097" i="1"/>
  <c r="J1101" i="1"/>
  <c r="J1105" i="1"/>
  <c r="J1109" i="1"/>
  <c r="J1090" i="1"/>
  <c r="J1094" i="1"/>
  <c r="J1098" i="1"/>
  <c r="J1102" i="1"/>
  <c r="J1106" i="1"/>
  <c r="J1110" i="1"/>
  <c r="J1087" i="1"/>
  <c r="K1087" i="1" s="1"/>
  <c r="B1087" i="1" s="1"/>
  <c r="J1091" i="1"/>
  <c r="J1095" i="1"/>
  <c r="J1099" i="1"/>
  <c r="J1103" i="1"/>
  <c r="J1107" i="1"/>
  <c r="K1084" i="1"/>
  <c r="B1084" i="1" s="1"/>
  <c r="K1080" i="1"/>
  <c r="B1080" i="1" s="1"/>
  <c r="K1103" i="1" l="1"/>
  <c r="B1103" i="1" s="1"/>
  <c r="K1099" i="1"/>
  <c r="B1099" i="1" s="1"/>
  <c r="K1107" i="1"/>
  <c r="B1107" i="1" s="1"/>
  <c r="K1095" i="1"/>
  <c r="B1095" i="1" s="1"/>
  <c r="K1091" i="1"/>
  <c r="B1091" i="1" s="1"/>
  <c r="K1110" i="1"/>
  <c r="B1110" i="1" s="1"/>
  <c r="K1098" i="1"/>
  <c r="B1098" i="1" s="1"/>
  <c r="K1109" i="1"/>
  <c r="B1109" i="1" s="1"/>
  <c r="K1097" i="1"/>
  <c r="B1097" i="1" s="1"/>
  <c r="K1108" i="1"/>
  <c r="B1108" i="1" s="1"/>
  <c r="K1096" i="1"/>
  <c r="B1096" i="1" s="1"/>
  <c r="B110" i="8"/>
  <c r="J1112" i="1"/>
  <c r="J1116" i="1"/>
  <c r="J1113" i="1"/>
  <c r="J1117" i="1"/>
  <c r="J1114" i="1"/>
  <c r="J1118" i="1"/>
  <c r="J1111" i="1"/>
  <c r="K1111" i="1" s="1"/>
  <c r="B1111" i="1" s="1"/>
  <c r="J1115" i="1"/>
  <c r="J1119" i="1"/>
  <c r="K1106" i="1"/>
  <c r="B1106" i="1" s="1"/>
  <c r="K1094" i="1"/>
  <c r="B1094" i="1" s="1"/>
  <c r="K1105" i="1"/>
  <c r="B1105" i="1" s="1"/>
  <c r="K1093" i="1"/>
  <c r="B1093" i="1" s="1"/>
  <c r="K1104" i="1"/>
  <c r="B1104" i="1" s="1"/>
  <c r="K1092" i="1"/>
  <c r="B1092" i="1" s="1"/>
  <c r="K1102" i="1"/>
  <c r="B1102" i="1" s="1"/>
  <c r="K1090" i="1"/>
  <c r="B1090" i="1" s="1"/>
  <c r="K1101" i="1"/>
  <c r="B1101" i="1" s="1"/>
  <c r="K1089" i="1"/>
  <c r="B1089" i="1" s="1"/>
  <c r="K1100" i="1"/>
  <c r="B1100" i="1" s="1"/>
  <c r="K1088" i="1"/>
  <c r="B1088" i="1" s="1"/>
  <c r="K1119" i="1" l="1"/>
  <c r="B1119" i="1" s="1"/>
  <c r="K1115" i="1"/>
  <c r="B1115" i="1" s="1"/>
  <c r="K1114" i="1"/>
  <c r="B1114" i="1" s="1"/>
  <c r="K1116" i="1"/>
  <c r="B1116" i="1" s="1"/>
  <c r="K1117" i="1"/>
  <c r="B1117" i="1" s="1"/>
  <c r="K1112" i="1"/>
  <c r="B1112" i="1" s="1"/>
  <c r="K1118" i="1"/>
  <c r="B1118" i="1" s="1"/>
  <c r="K1113" i="1"/>
  <c r="B1113" i="1" s="1"/>
  <c r="B111" i="8"/>
  <c r="J1120" i="1"/>
  <c r="K1120" i="1" s="1"/>
  <c r="B1120" i="1" s="1"/>
  <c r="J1124" i="1"/>
  <c r="J1128" i="1"/>
  <c r="J1121" i="1"/>
  <c r="K1121" i="1" s="1"/>
  <c r="B1121" i="1" s="1"/>
  <c r="J1125" i="1"/>
  <c r="J1129" i="1"/>
  <c r="J1122" i="1"/>
  <c r="K1122" i="1" s="1"/>
  <c r="B1122" i="1" s="1"/>
  <c r="J1126" i="1"/>
  <c r="J1130" i="1"/>
  <c r="J1123" i="1"/>
  <c r="J1127" i="1"/>
  <c r="J1131" i="1"/>
  <c r="K1123" i="1" l="1"/>
  <c r="B1123" i="1" s="1"/>
  <c r="K1127" i="1"/>
  <c r="B1127" i="1" s="1"/>
  <c r="K1131" i="1"/>
  <c r="B1131" i="1" s="1"/>
  <c r="K1130" i="1"/>
  <c r="B1130" i="1" s="1"/>
  <c r="K1126" i="1"/>
  <c r="B1126" i="1" s="1"/>
  <c r="K1129" i="1"/>
  <c r="B1129" i="1" s="1"/>
  <c r="K1128" i="1"/>
  <c r="B1128" i="1" s="1"/>
  <c r="B112" i="8"/>
  <c r="J1132" i="1"/>
  <c r="K1132" i="1" s="1"/>
  <c r="B1132" i="1" s="1"/>
  <c r="J1136" i="1"/>
  <c r="J1140" i="1"/>
  <c r="J1133" i="1"/>
  <c r="J1137" i="1"/>
  <c r="J1141" i="1"/>
  <c r="J1134" i="1"/>
  <c r="J1138" i="1"/>
  <c r="J1135" i="1"/>
  <c r="J1139" i="1"/>
  <c r="K1125" i="1"/>
  <c r="B1125" i="1" s="1"/>
  <c r="K1124" i="1"/>
  <c r="B1124" i="1" s="1"/>
  <c r="K1133" i="1" l="1"/>
  <c r="B1133" i="1" s="1"/>
  <c r="K1139" i="1"/>
  <c r="B1139" i="1" s="1"/>
  <c r="K1134" i="1"/>
  <c r="B1134" i="1" s="1"/>
  <c r="K1135" i="1"/>
  <c r="B1135" i="1" s="1"/>
  <c r="K1138" i="1"/>
  <c r="B1138" i="1" s="1"/>
  <c r="K1137" i="1"/>
  <c r="B1137" i="1" s="1"/>
  <c r="K1136" i="1"/>
  <c r="B1136" i="1" s="1"/>
  <c r="K1141" i="1"/>
  <c r="B1141" i="1" s="1"/>
  <c r="K1140" i="1"/>
  <c r="B1140" i="1" s="1"/>
  <c r="B113" i="8"/>
  <c r="J1144" i="1"/>
  <c r="J1148" i="1"/>
  <c r="J1152" i="1"/>
  <c r="J1145" i="1"/>
  <c r="J1149" i="1"/>
  <c r="J1153" i="1"/>
  <c r="J1142" i="1"/>
  <c r="K1142" i="1" s="1"/>
  <c r="B1142" i="1" s="1"/>
  <c r="J1146" i="1"/>
  <c r="J1150" i="1"/>
  <c r="J1154" i="1"/>
  <c r="J1143" i="1"/>
  <c r="J1147" i="1"/>
  <c r="J1151" i="1"/>
  <c r="K1143" i="1" l="1"/>
  <c r="B1143" i="1" s="1"/>
  <c r="K1147" i="1"/>
  <c r="B1147" i="1" s="1"/>
  <c r="K1151" i="1"/>
  <c r="B1151" i="1" s="1"/>
  <c r="K1146" i="1"/>
  <c r="B1146" i="1" s="1"/>
  <c r="K1149" i="1"/>
  <c r="B1149" i="1" s="1"/>
  <c r="K1148" i="1"/>
  <c r="B1148" i="1" s="1"/>
  <c r="K1154" i="1"/>
  <c r="B1154" i="1" s="1"/>
  <c r="K1145" i="1"/>
  <c r="B1145" i="1" s="1"/>
  <c r="K1144" i="1"/>
  <c r="B1144" i="1" s="1"/>
  <c r="K1150" i="1"/>
  <c r="B1150" i="1" s="1"/>
  <c r="K1153" i="1"/>
  <c r="B1153" i="1" s="1"/>
  <c r="K1152" i="1"/>
  <c r="B1152" i="1" s="1"/>
  <c r="B114" i="8"/>
  <c r="J1156" i="1"/>
  <c r="J1160" i="1"/>
  <c r="J1157" i="1"/>
  <c r="J1161" i="1"/>
  <c r="J1158" i="1"/>
  <c r="J1162" i="1"/>
  <c r="J1155" i="1"/>
  <c r="K1155" i="1" s="1"/>
  <c r="B1155" i="1" s="1"/>
  <c r="J1159" i="1"/>
  <c r="K1159" i="1" l="1"/>
  <c r="B1159" i="1" s="1"/>
  <c r="K1158" i="1"/>
  <c r="B1158" i="1" s="1"/>
  <c r="K1160" i="1"/>
  <c r="B1160" i="1" s="1"/>
  <c r="K1161" i="1"/>
  <c r="B1161" i="1" s="1"/>
  <c r="K1156" i="1"/>
  <c r="B1156" i="1" s="1"/>
  <c r="K1162" i="1"/>
  <c r="B1162" i="1" s="1"/>
  <c r="K1157" i="1"/>
  <c r="B1157" i="1" s="1"/>
  <c r="B115" i="8"/>
  <c r="J1164" i="1"/>
  <c r="J1168" i="1"/>
  <c r="J1172" i="1"/>
  <c r="J1176" i="1"/>
  <c r="J1180" i="1"/>
  <c r="J1184" i="1"/>
  <c r="J1188" i="1"/>
  <c r="J1192" i="1"/>
  <c r="J1196" i="1"/>
  <c r="J1200" i="1"/>
  <c r="J1165" i="1"/>
  <c r="J1169" i="1"/>
  <c r="J1173" i="1"/>
  <c r="J1177" i="1"/>
  <c r="J1181" i="1"/>
  <c r="J1185" i="1"/>
  <c r="J1189" i="1"/>
  <c r="J1193" i="1"/>
  <c r="J1197" i="1"/>
  <c r="J1166" i="1"/>
  <c r="J1170" i="1"/>
  <c r="J1174" i="1"/>
  <c r="J1178" i="1"/>
  <c r="J1182" i="1"/>
  <c r="J1186" i="1"/>
  <c r="J1190" i="1"/>
  <c r="J1194" i="1"/>
  <c r="J1198" i="1"/>
  <c r="J1163" i="1"/>
  <c r="K1163" i="1" s="1"/>
  <c r="B1163" i="1" s="1"/>
  <c r="J1167" i="1"/>
  <c r="J1171" i="1"/>
  <c r="J1175" i="1"/>
  <c r="J1179" i="1"/>
  <c r="J1183" i="1"/>
  <c r="J1187" i="1"/>
  <c r="J1191" i="1"/>
  <c r="J1195" i="1"/>
  <c r="J1199" i="1"/>
  <c r="K1187" i="1" l="1"/>
  <c r="B1187" i="1" s="1"/>
  <c r="K1199" i="1"/>
  <c r="B1199" i="1" s="1"/>
  <c r="K1175" i="1"/>
  <c r="B1175" i="1" s="1"/>
  <c r="K1195" i="1"/>
  <c r="B1195" i="1" s="1"/>
  <c r="K1183" i="1"/>
  <c r="B1183" i="1" s="1"/>
  <c r="K1171" i="1"/>
  <c r="B1171" i="1" s="1"/>
  <c r="K1191" i="1"/>
  <c r="B1191" i="1" s="1"/>
  <c r="K1179" i="1"/>
  <c r="B1179" i="1" s="1"/>
  <c r="K1167" i="1"/>
  <c r="B1167" i="1" s="1"/>
  <c r="K1194" i="1"/>
  <c r="B1194" i="1" s="1"/>
  <c r="K1182" i="1"/>
  <c r="B1182" i="1" s="1"/>
  <c r="K1170" i="1"/>
  <c r="B1170" i="1" s="1"/>
  <c r="K1193" i="1"/>
  <c r="B1193" i="1" s="1"/>
  <c r="K1181" i="1"/>
  <c r="B1181" i="1" s="1"/>
  <c r="K1169" i="1"/>
  <c r="B1169" i="1" s="1"/>
  <c r="K1196" i="1"/>
  <c r="B1196" i="1" s="1"/>
  <c r="K1184" i="1"/>
  <c r="B1184" i="1" s="1"/>
  <c r="K1172" i="1"/>
  <c r="B1172" i="1" s="1"/>
  <c r="B116" i="8"/>
  <c r="J1204" i="1"/>
  <c r="J1208" i="1"/>
  <c r="J1201" i="1"/>
  <c r="K1201" i="1" s="1"/>
  <c r="B1201" i="1" s="1"/>
  <c r="J1205" i="1"/>
  <c r="J1209" i="1"/>
  <c r="J1202" i="1"/>
  <c r="J1206" i="1"/>
  <c r="J1203" i="1"/>
  <c r="J1207" i="1"/>
  <c r="K1190" i="1"/>
  <c r="B1190" i="1" s="1"/>
  <c r="K1178" i="1"/>
  <c r="B1178" i="1" s="1"/>
  <c r="K1166" i="1"/>
  <c r="B1166" i="1" s="1"/>
  <c r="K1189" i="1"/>
  <c r="B1189" i="1" s="1"/>
  <c r="K1177" i="1"/>
  <c r="B1177" i="1" s="1"/>
  <c r="K1165" i="1"/>
  <c r="B1165" i="1" s="1"/>
  <c r="K1192" i="1"/>
  <c r="B1192" i="1" s="1"/>
  <c r="K1180" i="1"/>
  <c r="B1180" i="1" s="1"/>
  <c r="K1168" i="1"/>
  <c r="B1168" i="1" s="1"/>
  <c r="K1198" i="1"/>
  <c r="B1198" i="1" s="1"/>
  <c r="K1186" i="1"/>
  <c r="B1186" i="1" s="1"/>
  <c r="K1174" i="1"/>
  <c r="B1174" i="1" s="1"/>
  <c r="K1197" i="1"/>
  <c r="B1197" i="1" s="1"/>
  <c r="K1185" i="1"/>
  <c r="B1185" i="1" s="1"/>
  <c r="K1173" i="1"/>
  <c r="B1173" i="1" s="1"/>
  <c r="K1200" i="1"/>
  <c r="B1200" i="1" s="1"/>
  <c r="K1188" i="1"/>
  <c r="B1188" i="1" s="1"/>
  <c r="K1176" i="1"/>
  <c r="B1176" i="1" s="1"/>
  <c r="K1164" i="1"/>
  <c r="B1164" i="1" s="1"/>
  <c r="K1202" i="1" l="1"/>
  <c r="B1202" i="1" s="1"/>
  <c r="K1203" i="1"/>
  <c r="B1203" i="1" s="1"/>
  <c r="K1209" i="1"/>
  <c r="B1209" i="1" s="1"/>
  <c r="K1208" i="1"/>
  <c r="B1208" i="1" s="1"/>
  <c r="K1206" i="1"/>
  <c r="B1206" i="1" s="1"/>
  <c r="K1205" i="1"/>
  <c r="B1205" i="1" s="1"/>
  <c r="K1204" i="1"/>
  <c r="B1204" i="1" s="1"/>
  <c r="K1207" i="1"/>
  <c r="B1207" i="1" s="1"/>
  <c r="B117" i="8"/>
  <c r="J1212" i="1"/>
  <c r="J1216" i="1"/>
  <c r="J1213" i="1"/>
  <c r="J1210" i="1"/>
  <c r="K1210" i="1" s="1"/>
  <c r="B1210" i="1" s="1"/>
  <c r="J1214" i="1"/>
  <c r="J1211" i="1"/>
  <c r="J1215" i="1"/>
  <c r="K1215" i="1" l="1"/>
  <c r="B1215" i="1" s="1"/>
  <c r="K1211" i="1"/>
  <c r="B1211" i="1" s="1"/>
  <c r="K1214" i="1"/>
  <c r="B1214" i="1" s="1"/>
  <c r="K1216" i="1"/>
  <c r="B1216" i="1" s="1"/>
  <c r="K1212" i="1"/>
  <c r="B1212" i="1" s="1"/>
  <c r="K1213" i="1"/>
  <c r="B1213" i="1" s="1"/>
  <c r="B118" i="8"/>
  <c r="J1220" i="1"/>
  <c r="J1217" i="1"/>
  <c r="K1217" i="1" s="1"/>
  <c r="B1217" i="1" s="1"/>
  <c r="J1221" i="1"/>
  <c r="J1218" i="1"/>
  <c r="J1222" i="1"/>
  <c r="J1219" i="1"/>
  <c r="J1223" i="1"/>
  <c r="K1219" i="1" l="1"/>
  <c r="B1219" i="1" s="1"/>
  <c r="K1223" i="1"/>
  <c r="B1223" i="1" s="1"/>
  <c r="K1218" i="1"/>
  <c r="B1218" i="1" s="1"/>
  <c r="K1222" i="1"/>
  <c r="B1222" i="1" s="1"/>
  <c r="K1220" i="1"/>
  <c r="B1220" i="1" s="1"/>
  <c r="K1221" i="1"/>
  <c r="B1221" i="1" s="1"/>
  <c r="B119" i="8"/>
  <c r="J1224" i="1"/>
  <c r="K1224" i="1" s="1"/>
  <c r="B1224" i="1" s="1"/>
  <c r="J1228" i="1"/>
  <c r="J1232" i="1"/>
  <c r="J1225" i="1"/>
  <c r="K1225" i="1" s="1"/>
  <c r="B1225" i="1" s="1"/>
  <c r="J1229" i="1"/>
  <c r="J1233" i="1"/>
  <c r="J1226" i="1"/>
  <c r="K1226" i="1" s="1"/>
  <c r="B1226" i="1" s="1"/>
  <c r="J1230" i="1"/>
  <c r="J1234" i="1"/>
  <c r="J1227" i="1"/>
  <c r="J1231" i="1"/>
  <c r="J1235" i="1"/>
  <c r="K1227" i="1" l="1"/>
  <c r="B1227" i="1" s="1"/>
  <c r="K1235" i="1"/>
  <c r="B1235" i="1" s="1"/>
  <c r="K1231" i="1"/>
  <c r="B1231" i="1" s="1"/>
  <c r="K1234" i="1"/>
  <c r="B1234" i="1" s="1"/>
  <c r="K1233" i="1"/>
  <c r="B1233" i="1" s="1"/>
  <c r="K1232" i="1"/>
  <c r="B1232" i="1" s="1"/>
  <c r="B120" i="8"/>
  <c r="J1236" i="1"/>
  <c r="K1236" i="1" s="1"/>
  <c r="B1236" i="1" s="1"/>
  <c r="J1240" i="1"/>
  <c r="J1244" i="1"/>
  <c r="J1248" i="1"/>
  <c r="J1237" i="1"/>
  <c r="J1241" i="1"/>
  <c r="J1245" i="1"/>
  <c r="J1249" i="1"/>
  <c r="J1238" i="1"/>
  <c r="J1242" i="1"/>
  <c r="J1246" i="1"/>
  <c r="J1239" i="1"/>
  <c r="J1243" i="1"/>
  <c r="J1247" i="1"/>
  <c r="K1230" i="1"/>
  <c r="B1230" i="1" s="1"/>
  <c r="K1229" i="1"/>
  <c r="B1229" i="1" s="1"/>
  <c r="K1228" i="1"/>
  <c r="B1228" i="1" s="1"/>
  <c r="K1247" i="1" l="1"/>
  <c r="B1247" i="1" s="1"/>
  <c r="K1237" i="1"/>
  <c r="B1237" i="1" s="1"/>
  <c r="K1243" i="1"/>
  <c r="B1243" i="1" s="1"/>
  <c r="K1239" i="1"/>
  <c r="B1239" i="1" s="1"/>
  <c r="K1238" i="1"/>
  <c r="B1238" i="1" s="1"/>
  <c r="K1246" i="1"/>
  <c r="B1246" i="1" s="1"/>
  <c r="K1242" i="1"/>
  <c r="B1242" i="1" s="1"/>
  <c r="K1249" i="1"/>
  <c r="B1249" i="1" s="1"/>
  <c r="K1240" i="1"/>
  <c r="B1240" i="1" s="1"/>
  <c r="K1245" i="1"/>
  <c r="B1245" i="1" s="1"/>
  <c r="K1248" i="1"/>
  <c r="B1248" i="1" s="1"/>
  <c r="K1241" i="1"/>
  <c r="B1241" i="1" s="1"/>
  <c r="K1244" i="1"/>
  <c r="B1244" i="1" s="1"/>
  <c r="B121" i="8"/>
  <c r="J1252" i="1"/>
  <c r="J1256" i="1"/>
  <c r="J1253" i="1"/>
  <c r="J1250" i="1"/>
  <c r="K1250" i="1" s="1"/>
  <c r="B1250" i="1" s="1"/>
  <c r="J1254" i="1"/>
  <c r="J1251" i="1"/>
  <c r="J1255" i="1"/>
  <c r="K1255" i="1" l="1"/>
  <c r="B1255" i="1" s="1"/>
  <c r="K1251" i="1"/>
  <c r="B1251" i="1" s="1"/>
  <c r="K1254" i="1"/>
  <c r="B1254" i="1" s="1"/>
  <c r="K1256" i="1"/>
  <c r="B1256" i="1" s="1"/>
  <c r="K1252" i="1"/>
  <c r="B1252" i="1" s="1"/>
  <c r="K1253" i="1"/>
  <c r="B1253" i="1" s="1"/>
  <c r="B122" i="8"/>
  <c r="J1260" i="1"/>
  <c r="J1264" i="1"/>
  <c r="J1268" i="1"/>
  <c r="J1257" i="1"/>
  <c r="K1257" i="1" s="1"/>
  <c r="B1257" i="1" s="1"/>
  <c r="J1261" i="1"/>
  <c r="J1265" i="1"/>
  <c r="J1258" i="1"/>
  <c r="K1258" i="1" s="1"/>
  <c r="B1258" i="1" s="1"/>
  <c r="J1262" i="1"/>
  <c r="J1266" i="1"/>
  <c r="J1259" i="1"/>
  <c r="K1259" i="1" s="1"/>
  <c r="B1259" i="1" s="1"/>
  <c r="J1263" i="1"/>
  <c r="J1267" i="1"/>
  <c r="K1263" i="1" l="1"/>
  <c r="B1263" i="1" s="1"/>
  <c r="K1262" i="1"/>
  <c r="B1262" i="1" s="1"/>
  <c r="K1261" i="1"/>
  <c r="B1261" i="1" s="1"/>
  <c r="K1264" i="1"/>
  <c r="B1264" i="1" s="1"/>
  <c r="K1260" i="1"/>
  <c r="B1260" i="1" s="1"/>
  <c r="K1267" i="1"/>
  <c r="B1267" i="1" s="1"/>
  <c r="K1266" i="1"/>
  <c r="B1266" i="1" s="1"/>
  <c r="K1265" i="1"/>
  <c r="B1265" i="1" s="1"/>
  <c r="K1268" i="1"/>
  <c r="B1268" i="1" s="1"/>
  <c r="B123" i="8"/>
  <c r="J1272" i="1"/>
  <c r="J1276" i="1"/>
  <c r="J1269" i="1"/>
  <c r="K1269" i="1" s="1"/>
  <c r="B1269" i="1" s="1"/>
  <c r="J1273" i="1"/>
  <c r="J1277" i="1"/>
  <c r="J1270" i="1"/>
  <c r="J1274" i="1"/>
  <c r="J1271" i="1"/>
  <c r="J1275" i="1"/>
  <c r="K1270" i="1" l="1"/>
  <c r="B1270" i="1" s="1"/>
  <c r="K1275" i="1"/>
  <c r="B1275" i="1" s="1"/>
  <c r="K1271" i="1"/>
  <c r="B1271" i="1" s="1"/>
  <c r="K1274" i="1"/>
  <c r="B1274" i="1" s="1"/>
  <c r="B124" i="8"/>
  <c r="J1280" i="1"/>
  <c r="J1284" i="1"/>
  <c r="J1288" i="1"/>
  <c r="J1281" i="1"/>
  <c r="J1285" i="1"/>
  <c r="J1289" i="1"/>
  <c r="J1278" i="1"/>
  <c r="K1278" i="1" s="1"/>
  <c r="B1278" i="1" s="1"/>
  <c r="J1282" i="1"/>
  <c r="J1286" i="1"/>
  <c r="J1290" i="1"/>
  <c r="J1279" i="1"/>
  <c r="J1283" i="1"/>
  <c r="J1287" i="1"/>
  <c r="K1277" i="1"/>
  <c r="B1277" i="1" s="1"/>
  <c r="K1276" i="1"/>
  <c r="B1276" i="1" s="1"/>
  <c r="K1273" i="1"/>
  <c r="B1273" i="1" s="1"/>
  <c r="K1272" i="1"/>
  <c r="B1272" i="1" s="1"/>
  <c r="K1279" i="1" l="1"/>
  <c r="B1279" i="1" s="1"/>
  <c r="K1283" i="1"/>
  <c r="B1283" i="1" s="1"/>
  <c r="K1287" i="1"/>
  <c r="B1287" i="1" s="1"/>
  <c r="K1282" i="1"/>
  <c r="B1282" i="1" s="1"/>
  <c r="K1285" i="1"/>
  <c r="B1285" i="1" s="1"/>
  <c r="K1284" i="1"/>
  <c r="B1284" i="1" s="1"/>
  <c r="K1290" i="1"/>
  <c r="B1290" i="1" s="1"/>
  <c r="K1281" i="1"/>
  <c r="B1281" i="1" s="1"/>
  <c r="K1280" i="1"/>
  <c r="B1280" i="1" s="1"/>
  <c r="K1286" i="1"/>
  <c r="B1286" i="1" s="1"/>
  <c r="K1289" i="1"/>
  <c r="B1289" i="1" s="1"/>
  <c r="K1288" i="1"/>
  <c r="B1288" i="1" s="1"/>
  <c r="B125" i="8"/>
  <c r="J1292" i="1"/>
  <c r="J1296" i="1"/>
  <c r="J1300" i="1"/>
  <c r="J1293" i="1"/>
  <c r="J1297" i="1"/>
  <c r="J1301" i="1"/>
  <c r="J1294" i="1"/>
  <c r="J1298" i="1"/>
  <c r="J1302" i="1"/>
  <c r="J1291" i="1"/>
  <c r="K1291" i="1" s="1"/>
  <c r="B1291" i="1" s="1"/>
  <c r="J1295" i="1"/>
  <c r="J1299" i="1"/>
  <c r="J1303" i="1"/>
  <c r="K1303" i="1" l="1"/>
  <c r="B1303" i="1" s="1"/>
  <c r="K1295" i="1"/>
  <c r="B1295" i="1" s="1"/>
  <c r="K1299" i="1"/>
  <c r="B1299" i="1" s="1"/>
  <c r="K1298" i="1"/>
  <c r="B1298" i="1" s="1"/>
  <c r="K1297" i="1"/>
  <c r="B1297" i="1" s="1"/>
  <c r="K1296" i="1"/>
  <c r="B1296" i="1" s="1"/>
  <c r="K1294" i="1"/>
  <c r="B1294" i="1" s="1"/>
  <c r="K1293" i="1"/>
  <c r="B1293" i="1" s="1"/>
  <c r="K1292" i="1"/>
  <c r="B1292" i="1" s="1"/>
  <c r="K1302" i="1"/>
  <c r="B1302" i="1" s="1"/>
  <c r="K1301" i="1"/>
  <c r="B1301" i="1" s="1"/>
  <c r="K1300" i="1"/>
  <c r="B1300" i="1" s="1"/>
  <c r="B126" i="8"/>
  <c r="J1304" i="1"/>
  <c r="K1304" i="1" s="1"/>
  <c r="B1304" i="1" s="1"/>
  <c r="J1308" i="1"/>
  <c r="J1305" i="1"/>
  <c r="J1309" i="1"/>
  <c r="J1306" i="1"/>
  <c r="J1310" i="1"/>
  <c r="J1307" i="1"/>
  <c r="K1307" i="1" l="1"/>
  <c r="B1307" i="1" s="1"/>
  <c r="K1306" i="1"/>
  <c r="B1306" i="1" s="1"/>
  <c r="K1305" i="1"/>
  <c r="B1305" i="1" s="1"/>
  <c r="K1308" i="1"/>
  <c r="B1308" i="1" s="1"/>
  <c r="K1309" i="1"/>
  <c r="B1309" i="1" s="1"/>
  <c r="K1310" i="1"/>
  <c r="B1310" i="1" s="1"/>
  <c r="B127" i="8"/>
  <c r="J1312" i="1"/>
  <c r="J1316" i="1"/>
  <c r="J1313" i="1"/>
  <c r="J1317" i="1"/>
  <c r="J1314" i="1"/>
  <c r="J1318" i="1"/>
  <c r="J1311" i="1"/>
  <c r="K1311" i="1" s="1"/>
  <c r="B1311" i="1" s="1"/>
  <c r="J1315" i="1"/>
  <c r="K1315" i="1" l="1"/>
  <c r="B1315" i="1" s="1"/>
  <c r="K1314" i="1"/>
  <c r="B1314" i="1" s="1"/>
  <c r="K1316" i="1"/>
  <c r="B1316" i="1" s="1"/>
  <c r="K1317" i="1"/>
  <c r="B1317" i="1" s="1"/>
  <c r="K1312" i="1"/>
  <c r="B1312" i="1" s="1"/>
  <c r="K1318" i="1"/>
  <c r="B1318" i="1" s="1"/>
  <c r="K1313" i="1"/>
  <c r="B1313" i="1" s="1"/>
  <c r="B128" i="8"/>
  <c r="J1320" i="1"/>
  <c r="J1324" i="1"/>
  <c r="J1328" i="1"/>
  <c r="J1332" i="1"/>
  <c r="J1336" i="1"/>
  <c r="J1321" i="1"/>
  <c r="J1325" i="1"/>
  <c r="J1329" i="1"/>
  <c r="J1333" i="1"/>
  <c r="J1322" i="1"/>
  <c r="J1326" i="1"/>
  <c r="J1330" i="1"/>
  <c r="J1334" i="1"/>
  <c r="J1319" i="1"/>
  <c r="K1319" i="1" s="1"/>
  <c r="B1319" i="1" s="1"/>
  <c r="J1323" i="1"/>
  <c r="J1327" i="1"/>
  <c r="J1331" i="1"/>
  <c r="J1335" i="1"/>
  <c r="K1331" i="1" l="1"/>
  <c r="B1331" i="1" s="1"/>
  <c r="K1335" i="1"/>
  <c r="B1335" i="1" s="1"/>
  <c r="K1323" i="1"/>
  <c r="B1323" i="1" s="1"/>
  <c r="K1327" i="1"/>
  <c r="B1327" i="1" s="1"/>
  <c r="K1330" i="1"/>
  <c r="B1330" i="1" s="1"/>
  <c r="K1333" i="1"/>
  <c r="B1333" i="1" s="1"/>
  <c r="K1321" i="1"/>
  <c r="B1321" i="1" s="1"/>
  <c r="K1328" i="1"/>
  <c r="B1328" i="1" s="1"/>
  <c r="B129" i="8"/>
  <c r="J1340" i="1"/>
  <c r="J1344" i="1"/>
  <c r="J1337" i="1"/>
  <c r="K1337" i="1" s="1"/>
  <c r="B1337" i="1" s="1"/>
  <c r="J1341" i="1"/>
  <c r="J1345" i="1"/>
  <c r="J1338" i="1"/>
  <c r="J1342" i="1"/>
  <c r="J1346" i="1"/>
  <c r="J1339" i="1"/>
  <c r="J1343" i="1"/>
  <c r="K1326" i="1"/>
  <c r="B1326" i="1" s="1"/>
  <c r="K1329" i="1"/>
  <c r="B1329" i="1" s="1"/>
  <c r="K1336" i="1"/>
  <c r="B1336" i="1" s="1"/>
  <c r="K1324" i="1"/>
  <c r="B1324" i="1" s="1"/>
  <c r="K1334" i="1"/>
  <c r="B1334" i="1" s="1"/>
  <c r="K1322" i="1"/>
  <c r="B1322" i="1" s="1"/>
  <c r="K1325" i="1"/>
  <c r="B1325" i="1" s="1"/>
  <c r="K1332" i="1"/>
  <c r="B1332" i="1" s="1"/>
  <c r="K1320" i="1"/>
  <c r="B1320" i="1" s="1"/>
  <c r="K1338" i="1" l="1"/>
  <c r="B1338" i="1" s="1"/>
  <c r="K1339" i="1"/>
  <c r="B1339" i="1" s="1"/>
  <c r="K1343" i="1"/>
  <c r="B1343" i="1" s="1"/>
  <c r="K1346" i="1"/>
  <c r="B1346" i="1" s="1"/>
  <c r="K1342" i="1"/>
  <c r="B1342" i="1" s="1"/>
  <c r="K1341" i="1"/>
  <c r="B1341" i="1" s="1"/>
  <c r="K1340" i="1"/>
  <c r="B1340" i="1" s="1"/>
  <c r="B130" i="8"/>
  <c r="J1348" i="1"/>
  <c r="J1352" i="1"/>
  <c r="J1356" i="1"/>
  <c r="J1349" i="1"/>
  <c r="J1353" i="1"/>
  <c r="J1357" i="1"/>
  <c r="J1350" i="1"/>
  <c r="J1354" i="1"/>
  <c r="J1358" i="1"/>
  <c r="J1347" i="1"/>
  <c r="K1347" i="1" s="1"/>
  <c r="B1347" i="1" s="1"/>
  <c r="J1351" i="1"/>
  <c r="J1355" i="1"/>
  <c r="K1345" i="1"/>
  <c r="B1345" i="1" s="1"/>
  <c r="K1344" i="1"/>
  <c r="B1344" i="1" s="1"/>
  <c r="K1351" i="1" l="1"/>
  <c r="B1351" i="1" s="1"/>
  <c r="K1355" i="1"/>
  <c r="B1355" i="1" s="1"/>
  <c r="K1350" i="1"/>
  <c r="B1350" i="1" s="1"/>
  <c r="K1349" i="1"/>
  <c r="B1349" i="1" s="1"/>
  <c r="K1348" i="1"/>
  <c r="B1348" i="1" s="1"/>
  <c r="K1358" i="1"/>
  <c r="B1358" i="1" s="1"/>
  <c r="K1357" i="1"/>
  <c r="B1357" i="1" s="1"/>
  <c r="K1356" i="1"/>
  <c r="B1356" i="1" s="1"/>
  <c r="B131" i="8"/>
  <c r="J1360" i="1"/>
  <c r="J1364" i="1"/>
  <c r="J1368" i="1"/>
  <c r="J1361" i="1"/>
  <c r="J1365" i="1"/>
  <c r="J1369" i="1"/>
  <c r="J1362" i="1"/>
  <c r="J1366" i="1"/>
  <c r="J1370" i="1"/>
  <c r="J1359" i="1"/>
  <c r="K1359" i="1" s="1"/>
  <c r="B1359" i="1" s="1"/>
  <c r="J1363" i="1"/>
  <c r="J1367" i="1"/>
  <c r="J1371" i="1"/>
  <c r="K1354" i="1"/>
  <c r="B1354" i="1" s="1"/>
  <c r="K1353" i="1"/>
  <c r="B1353" i="1" s="1"/>
  <c r="K1352" i="1"/>
  <c r="B1352" i="1" s="1"/>
  <c r="K1363" i="1" l="1"/>
  <c r="B1363" i="1" s="1"/>
  <c r="K1371" i="1"/>
  <c r="B1371" i="1" s="1"/>
  <c r="K1367" i="1"/>
  <c r="B1367" i="1" s="1"/>
  <c r="K1366" i="1"/>
  <c r="B1366" i="1" s="1"/>
  <c r="K1365" i="1"/>
  <c r="B1365" i="1" s="1"/>
  <c r="K1364" i="1"/>
  <c r="B1364" i="1" s="1"/>
  <c r="K1362" i="1"/>
  <c r="B1362" i="1" s="1"/>
  <c r="K1361" i="1"/>
  <c r="B1361" i="1" s="1"/>
  <c r="K1360" i="1"/>
  <c r="B1360" i="1" s="1"/>
  <c r="K1370" i="1"/>
  <c r="B1370" i="1" s="1"/>
  <c r="K1369" i="1"/>
  <c r="B1369" i="1" s="1"/>
  <c r="K1368" i="1"/>
  <c r="B1368" i="1" s="1"/>
  <c r="B132" i="8"/>
  <c r="J1372" i="1"/>
  <c r="K1372" i="1" s="1"/>
  <c r="B1372" i="1" s="1"/>
  <c r="J1376" i="1"/>
  <c r="J1380" i="1"/>
  <c r="J1373" i="1"/>
  <c r="K1373" i="1" s="1"/>
  <c r="B1373" i="1" s="1"/>
  <c r="J1377" i="1"/>
  <c r="J1381" i="1"/>
  <c r="J1374" i="1"/>
  <c r="K1374" i="1" s="1"/>
  <c r="B1374" i="1" s="1"/>
  <c r="J1378" i="1"/>
  <c r="J1382" i="1"/>
  <c r="J1375" i="1"/>
  <c r="J1379" i="1"/>
  <c r="K1375" i="1" l="1"/>
  <c r="B1375" i="1" s="1"/>
  <c r="K1379" i="1"/>
  <c r="B1379" i="1" s="1"/>
  <c r="K1378" i="1"/>
  <c r="B1378" i="1" s="1"/>
  <c r="K1377" i="1"/>
  <c r="B1377" i="1" s="1"/>
  <c r="K1376" i="1"/>
  <c r="B1376" i="1" s="1"/>
  <c r="K1382" i="1"/>
  <c r="B1382" i="1" s="1"/>
  <c r="K1381" i="1"/>
  <c r="B1381" i="1" s="1"/>
  <c r="K1380" i="1"/>
  <c r="B1380" i="1" s="1"/>
  <c r="B133" i="8"/>
  <c r="J1384" i="1"/>
  <c r="J1388" i="1"/>
  <c r="J1385" i="1"/>
  <c r="J1389" i="1"/>
  <c r="J1386" i="1"/>
  <c r="J1390" i="1"/>
  <c r="J1383" i="1"/>
  <c r="K1383" i="1" s="1"/>
  <c r="B1383" i="1" s="1"/>
  <c r="J1387" i="1"/>
  <c r="K1387" i="1" l="1"/>
  <c r="B1387" i="1" s="1"/>
  <c r="K1386" i="1"/>
  <c r="B1386" i="1" s="1"/>
  <c r="K1390" i="1"/>
  <c r="B1390" i="1" s="1"/>
  <c r="K1385" i="1"/>
  <c r="B1385" i="1" s="1"/>
  <c r="B134" i="8"/>
  <c r="J1392" i="1"/>
  <c r="J1396" i="1"/>
  <c r="J1393" i="1"/>
  <c r="J1394" i="1"/>
  <c r="J1391" i="1"/>
  <c r="K1391" i="1" s="1"/>
  <c r="B1391" i="1" s="1"/>
  <c r="J1395" i="1"/>
  <c r="K1388" i="1"/>
  <c r="B1388" i="1" s="1"/>
  <c r="K1389" i="1"/>
  <c r="B1389" i="1" s="1"/>
  <c r="K1384" i="1"/>
  <c r="B1384" i="1" s="1"/>
  <c r="K1394" i="1" l="1"/>
  <c r="B1394" i="1" s="1"/>
  <c r="K1395" i="1"/>
  <c r="B1395" i="1" s="1"/>
  <c r="K1393" i="1"/>
  <c r="B1393" i="1" s="1"/>
  <c r="B135" i="8"/>
  <c r="J1400" i="1"/>
  <c r="J1404" i="1"/>
  <c r="J1408" i="1"/>
  <c r="J1397" i="1"/>
  <c r="K1397" i="1" s="1"/>
  <c r="B1397" i="1" s="1"/>
  <c r="J1401" i="1"/>
  <c r="J1405" i="1"/>
  <c r="J1409" i="1"/>
  <c r="J1398" i="1"/>
  <c r="J1402" i="1"/>
  <c r="J1406" i="1"/>
  <c r="J1410" i="1"/>
  <c r="J1399" i="1"/>
  <c r="J1403" i="1"/>
  <c r="J1407" i="1"/>
  <c r="K1396" i="1"/>
  <c r="B1396" i="1" s="1"/>
  <c r="K1392" i="1"/>
  <c r="B1392" i="1" s="1"/>
  <c r="K1403" i="1" l="1"/>
  <c r="B1403" i="1" s="1"/>
  <c r="K1398" i="1"/>
  <c r="B1398" i="1" s="1"/>
  <c r="K1407" i="1"/>
  <c r="B1407" i="1" s="1"/>
  <c r="K1399" i="1"/>
  <c r="B1399" i="1" s="1"/>
  <c r="K1402" i="1"/>
  <c r="B1402" i="1" s="1"/>
  <c r="K1405" i="1"/>
  <c r="B1405" i="1" s="1"/>
  <c r="K1408" i="1"/>
  <c r="B1408" i="1" s="1"/>
  <c r="B136" i="8"/>
  <c r="J1412" i="1"/>
  <c r="J1416" i="1"/>
  <c r="J1413" i="1"/>
  <c r="J1417" i="1"/>
  <c r="J1414" i="1"/>
  <c r="J1411" i="1"/>
  <c r="K1411" i="1" s="1"/>
  <c r="B1411" i="1" s="1"/>
  <c r="J1415" i="1"/>
  <c r="K1410" i="1"/>
  <c r="B1410" i="1" s="1"/>
  <c r="K1401" i="1"/>
  <c r="B1401" i="1" s="1"/>
  <c r="K1404" i="1"/>
  <c r="B1404" i="1" s="1"/>
  <c r="K1406" i="1"/>
  <c r="B1406" i="1" s="1"/>
  <c r="K1409" i="1"/>
  <c r="B1409" i="1" s="1"/>
  <c r="K1400" i="1"/>
  <c r="B1400" i="1" s="1"/>
  <c r="K1415" i="1" l="1"/>
  <c r="B1415" i="1" s="1"/>
  <c r="K1414" i="1"/>
  <c r="B1414" i="1" s="1"/>
  <c r="K1416" i="1"/>
  <c r="B1416" i="1" s="1"/>
  <c r="K1417" i="1"/>
  <c r="B1417" i="1" s="1"/>
  <c r="K1412" i="1"/>
  <c r="B1412" i="1" s="1"/>
  <c r="K1413" i="1"/>
  <c r="B1413" i="1" s="1"/>
  <c r="B137" i="8"/>
  <c r="J1420" i="1"/>
  <c r="J1424" i="1"/>
  <c r="J1421" i="1"/>
  <c r="J1425" i="1"/>
  <c r="J1418" i="1"/>
  <c r="K1418" i="1" s="1"/>
  <c r="B1418" i="1" s="1"/>
  <c r="J1422" i="1"/>
  <c r="J1419" i="1"/>
  <c r="J1423" i="1"/>
  <c r="K1423" i="1" l="1"/>
  <c r="B1423" i="1" s="1"/>
  <c r="K1419" i="1"/>
  <c r="B1419" i="1" s="1"/>
  <c r="K1425" i="1"/>
  <c r="B1425" i="1" s="1"/>
  <c r="K1420" i="1"/>
  <c r="B1420" i="1" s="1"/>
  <c r="K1422" i="1"/>
  <c r="B1422" i="1" s="1"/>
  <c r="K1421" i="1"/>
  <c r="B1421" i="1" s="1"/>
  <c r="B138" i="8"/>
  <c r="J1428" i="1"/>
  <c r="J1432" i="1"/>
  <c r="J1429" i="1"/>
  <c r="J1433" i="1"/>
  <c r="J1426" i="1"/>
  <c r="K1426" i="1" s="1"/>
  <c r="B1426" i="1" s="1"/>
  <c r="J1430" i="1"/>
  <c r="J1434" i="1"/>
  <c r="J1427" i="1"/>
  <c r="J1431" i="1"/>
  <c r="J1435" i="1"/>
  <c r="K1424" i="1"/>
  <c r="B1424" i="1" s="1"/>
  <c r="K1427" i="1" l="1"/>
  <c r="B1427" i="1" s="1"/>
  <c r="K1435" i="1"/>
  <c r="B1435" i="1" s="1"/>
  <c r="K1431" i="1"/>
  <c r="B1431" i="1" s="1"/>
  <c r="K1434" i="1"/>
  <c r="B1434" i="1" s="1"/>
  <c r="K1433" i="1"/>
  <c r="B1433" i="1" s="1"/>
  <c r="K1428" i="1"/>
  <c r="B1428" i="1" s="1"/>
  <c r="K1430" i="1"/>
  <c r="B1430" i="1" s="1"/>
  <c r="K1429" i="1"/>
  <c r="B1429" i="1" s="1"/>
  <c r="B139" i="8"/>
  <c r="J1436" i="1"/>
  <c r="K1436" i="1" s="1"/>
  <c r="B1436" i="1" s="1"/>
  <c r="J1440" i="1"/>
  <c r="J1444" i="1"/>
  <c r="J1437" i="1"/>
  <c r="J1441" i="1"/>
  <c r="J1445" i="1"/>
  <c r="J1438" i="1"/>
  <c r="K1438" i="1" s="1"/>
  <c r="B1438" i="1" s="1"/>
  <c r="J1442" i="1"/>
  <c r="J1446" i="1"/>
  <c r="J1439" i="1"/>
  <c r="J1443" i="1"/>
  <c r="K1432" i="1"/>
  <c r="B1432" i="1" s="1"/>
  <c r="K1437" i="1" l="1"/>
  <c r="B1437" i="1" s="1"/>
  <c r="K1439" i="1"/>
  <c r="B1439" i="1" s="1"/>
  <c r="K1443" i="1"/>
  <c r="B1443" i="1" s="1"/>
  <c r="K1442" i="1"/>
  <c r="B1442" i="1" s="1"/>
  <c r="K1446" i="1"/>
  <c r="B1446" i="1" s="1"/>
  <c r="K1445" i="1"/>
  <c r="B1445" i="1" s="1"/>
  <c r="K1444" i="1"/>
  <c r="B1444" i="1" s="1"/>
  <c r="B140" i="8"/>
  <c r="J1448" i="1"/>
  <c r="J1452" i="1"/>
  <c r="J1449" i="1"/>
  <c r="J1450" i="1"/>
  <c r="J1447" i="1"/>
  <c r="K1447" i="1" s="1"/>
  <c r="B1447" i="1" s="1"/>
  <c r="J1451" i="1"/>
  <c r="K1441" i="1"/>
  <c r="B1441" i="1" s="1"/>
  <c r="K1440" i="1"/>
  <c r="B1440" i="1" s="1"/>
  <c r="K1451" i="1" l="1"/>
  <c r="B1451" i="1" s="1"/>
  <c r="K1450" i="1"/>
  <c r="B1450" i="1" s="1"/>
  <c r="K1452" i="1"/>
  <c r="B1452" i="1" s="1"/>
  <c r="K1448" i="1"/>
  <c r="B1448" i="1" s="1"/>
  <c r="K1449" i="1"/>
  <c r="B1449" i="1" s="1"/>
  <c r="B141" i="8"/>
  <c r="J1456" i="1"/>
  <c r="J1460" i="1"/>
  <c r="J1453" i="1"/>
  <c r="K1453" i="1" s="1"/>
  <c r="B1453" i="1" s="1"/>
  <c r="J1457" i="1"/>
  <c r="J1461" i="1"/>
  <c r="J1454" i="1"/>
  <c r="K1454" i="1" s="1"/>
  <c r="B1454" i="1" s="1"/>
  <c r="J1458" i="1"/>
  <c r="J1462" i="1"/>
  <c r="J1455" i="1"/>
  <c r="J1459" i="1"/>
  <c r="K1455" i="1" l="1"/>
  <c r="B1455" i="1" s="1"/>
  <c r="K1459" i="1"/>
  <c r="B1459" i="1" s="1"/>
  <c r="K1462" i="1"/>
  <c r="B1462" i="1" s="1"/>
  <c r="K1458" i="1"/>
  <c r="B1458" i="1" s="1"/>
  <c r="K1461" i="1"/>
  <c r="B1461" i="1" s="1"/>
  <c r="K1460" i="1"/>
  <c r="B1460" i="1" s="1"/>
  <c r="K1457" i="1"/>
  <c r="B1457" i="1" s="1"/>
  <c r="K1456" i="1"/>
  <c r="B1456" i="1" s="1"/>
  <c r="B142" i="8"/>
  <c r="J1464" i="1"/>
  <c r="J1468" i="1"/>
  <c r="J1465" i="1"/>
  <c r="J1469" i="1"/>
  <c r="J1466" i="1"/>
  <c r="J1463" i="1"/>
  <c r="K1463" i="1" s="1"/>
  <c r="B1463" i="1" s="1"/>
  <c r="J1467" i="1"/>
  <c r="K1467" i="1" l="1"/>
  <c r="B1467" i="1" s="1"/>
  <c r="K1466" i="1"/>
  <c r="B1466" i="1" s="1"/>
  <c r="K1469" i="1"/>
  <c r="B1469" i="1" s="1"/>
  <c r="K1464" i="1"/>
  <c r="B1464" i="1" s="1"/>
  <c r="K1465" i="1"/>
  <c r="B1465" i="1" s="1"/>
  <c r="B143" i="8"/>
  <c r="J1472" i="1"/>
  <c r="J1476" i="1"/>
  <c r="J1473" i="1"/>
  <c r="J1477" i="1"/>
  <c r="J1470" i="1"/>
  <c r="K1470" i="1" s="1"/>
  <c r="B1470" i="1" s="1"/>
  <c r="J1474" i="1"/>
  <c r="J1478" i="1"/>
  <c r="J1471" i="1"/>
  <c r="J1475" i="1"/>
  <c r="K1468" i="1"/>
  <c r="B1468" i="1" s="1"/>
  <c r="K1471" i="1" l="1"/>
  <c r="B1471" i="1" s="1"/>
  <c r="K1475" i="1"/>
  <c r="B1475" i="1" s="1"/>
  <c r="K1478" i="1"/>
  <c r="B1478" i="1" s="1"/>
  <c r="K1477" i="1"/>
  <c r="B1477" i="1" s="1"/>
  <c r="K1472" i="1"/>
  <c r="B1472" i="1" s="1"/>
  <c r="K1474" i="1"/>
  <c r="B1474" i="1" s="1"/>
  <c r="K1473" i="1"/>
  <c r="B1473" i="1" s="1"/>
  <c r="B144" i="8"/>
  <c r="J1480" i="1"/>
  <c r="J1484" i="1"/>
  <c r="J1481" i="1"/>
  <c r="J1482" i="1"/>
  <c r="J1479" i="1"/>
  <c r="K1479" i="1" s="1"/>
  <c r="B1479" i="1" s="1"/>
  <c r="J1483" i="1"/>
  <c r="K1476" i="1"/>
  <c r="B1476" i="1" s="1"/>
  <c r="K1483" i="1" l="1"/>
  <c r="B1483" i="1" s="1"/>
  <c r="K1482" i="1"/>
  <c r="B1482" i="1" s="1"/>
  <c r="K1480" i="1"/>
  <c r="B1480" i="1" s="1"/>
  <c r="K1481" i="1"/>
  <c r="B1481" i="1" s="1"/>
  <c r="B145" i="8"/>
  <c r="J1488" i="1"/>
  <c r="J1492" i="1"/>
  <c r="J1485" i="1"/>
  <c r="K1485" i="1" s="1"/>
  <c r="B1485" i="1" s="1"/>
  <c r="J1489" i="1"/>
  <c r="J1493" i="1"/>
  <c r="J1486" i="1"/>
  <c r="J1490" i="1"/>
  <c r="J1494" i="1"/>
  <c r="J1487" i="1"/>
  <c r="J1491" i="1"/>
  <c r="K1484" i="1"/>
  <c r="B1484" i="1" s="1"/>
  <c r="K1486" i="1" l="1"/>
  <c r="B1486" i="1" s="1"/>
  <c r="K1487" i="1"/>
  <c r="B1487" i="1" s="1"/>
  <c r="K1491" i="1"/>
  <c r="B1491" i="1" s="1"/>
  <c r="K1494" i="1"/>
  <c r="B1494" i="1" s="1"/>
  <c r="K1490" i="1"/>
  <c r="B1490" i="1" s="1"/>
  <c r="K1489" i="1"/>
  <c r="B1489" i="1" s="1"/>
  <c r="B146" i="8"/>
  <c r="J1496" i="1"/>
  <c r="J1500" i="1"/>
  <c r="J1497" i="1"/>
  <c r="J1501" i="1"/>
  <c r="J1498" i="1"/>
  <c r="J1502" i="1"/>
  <c r="J1495" i="1"/>
  <c r="K1495" i="1" s="1"/>
  <c r="B1495" i="1" s="1"/>
  <c r="J1499" i="1"/>
  <c r="J1503" i="1"/>
  <c r="K1493" i="1"/>
  <c r="B1493" i="1" s="1"/>
  <c r="K1492" i="1"/>
  <c r="B1492" i="1" s="1"/>
  <c r="K1488" i="1"/>
  <c r="B1488" i="1" s="1"/>
  <c r="K1499" i="1" l="1"/>
  <c r="B1499" i="1" s="1"/>
  <c r="K1503" i="1"/>
  <c r="B1503" i="1" s="1"/>
  <c r="K1502" i="1"/>
  <c r="B1502" i="1" s="1"/>
  <c r="K1498" i="1"/>
  <c r="B1498" i="1" s="1"/>
  <c r="K1500" i="1"/>
  <c r="B1500" i="1" s="1"/>
  <c r="K1501" i="1"/>
  <c r="B1501" i="1" s="1"/>
  <c r="K1496" i="1"/>
  <c r="B1496" i="1" s="1"/>
  <c r="K1497" i="1"/>
  <c r="B1497" i="1" s="1"/>
  <c r="B147" i="8"/>
  <c r="J1504" i="1"/>
  <c r="K1504" i="1" s="1"/>
  <c r="B1504" i="1" s="1"/>
  <c r="J1508" i="1"/>
  <c r="J1512" i="1"/>
  <c r="J1505" i="1"/>
  <c r="K1505" i="1" s="1"/>
  <c r="B1505" i="1" s="1"/>
  <c r="J1509" i="1"/>
  <c r="J1513" i="1"/>
  <c r="J1506" i="1"/>
  <c r="J1510" i="1"/>
  <c r="J1514" i="1"/>
  <c r="J1507" i="1"/>
  <c r="J1511" i="1"/>
  <c r="K1506" i="1" l="1"/>
  <c r="B1506" i="1" s="1"/>
  <c r="K1507" i="1"/>
  <c r="B1507" i="1" s="1"/>
  <c r="K1511" i="1"/>
  <c r="B1511" i="1" s="1"/>
  <c r="K1510" i="1"/>
  <c r="B1510" i="1" s="1"/>
  <c r="K1514" i="1"/>
  <c r="B1514" i="1" s="1"/>
  <c r="K1513" i="1"/>
  <c r="B1513" i="1" s="1"/>
  <c r="K1512" i="1"/>
  <c r="B1512" i="1" s="1"/>
  <c r="B148" i="8"/>
  <c r="J1516" i="1"/>
  <c r="J1520" i="1"/>
  <c r="J1524" i="1"/>
  <c r="J1517" i="1"/>
  <c r="J1521" i="1"/>
  <c r="J1518" i="1"/>
  <c r="J1522" i="1"/>
  <c r="J1515" i="1"/>
  <c r="K1515" i="1" s="1"/>
  <c r="B1515" i="1" s="1"/>
  <c r="J1519" i="1"/>
  <c r="J1523" i="1"/>
  <c r="K1509" i="1"/>
  <c r="B1509" i="1" s="1"/>
  <c r="K1508" i="1"/>
  <c r="B1508" i="1" s="1"/>
  <c r="K1519" i="1" l="1"/>
  <c r="B1519" i="1" s="1"/>
  <c r="K1523" i="1"/>
  <c r="B1523" i="1" s="1"/>
  <c r="K1522" i="1"/>
  <c r="B1522" i="1" s="1"/>
  <c r="K1521" i="1"/>
  <c r="B1521" i="1" s="1"/>
  <c r="K1520" i="1"/>
  <c r="B1520" i="1" s="1"/>
  <c r="K1517" i="1"/>
  <c r="B1517" i="1" s="1"/>
  <c r="K1516" i="1"/>
  <c r="B1516" i="1" s="1"/>
  <c r="K1518" i="1"/>
  <c r="B1518" i="1" s="1"/>
  <c r="K1524" i="1"/>
  <c r="B1524" i="1" s="1"/>
  <c r="B149" i="8"/>
  <c r="J1528" i="1"/>
  <c r="J1532" i="1"/>
  <c r="J1525" i="1"/>
  <c r="K1525" i="1" s="1"/>
  <c r="B1525" i="1" s="1"/>
  <c r="J1529" i="1"/>
  <c r="J1533" i="1"/>
  <c r="J1526" i="1"/>
  <c r="K1526" i="1" s="1"/>
  <c r="B1526" i="1" s="1"/>
  <c r="J1530" i="1"/>
  <c r="J1527" i="1"/>
  <c r="J1531" i="1"/>
  <c r="K1527" i="1" l="1"/>
  <c r="B1527" i="1" s="1"/>
  <c r="K1531" i="1"/>
  <c r="B1531" i="1" s="1"/>
  <c r="K1530" i="1"/>
  <c r="B1530" i="1" s="1"/>
  <c r="K1533" i="1"/>
  <c r="B1533" i="1" s="1"/>
  <c r="K1532" i="1"/>
  <c r="B1532" i="1" s="1"/>
  <c r="K1529" i="1"/>
  <c r="B1529" i="1" s="1"/>
  <c r="K1528" i="1"/>
  <c r="B1528" i="1" s="1"/>
  <c r="B150" i="8"/>
  <c r="J1536" i="1"/>
  <c r="J1540" i="1"/>
  <c r="J1544" i="1"/>
  <c r="J1548" i="1"/>
  <c r="J1552" i="1"/>
  <c r="J1556" i="1"/>
  <c r="J1560" i="1"/>
  <c r="J1537" i="1"/>
  <c r="J1541" i="1"/>
  <c r="J1545" i="1"/>
  <c r="J1549" i="1"/>
  <c r="J1553" i="1"/>
  <c r="J1557" i="1"/>
  <c r="J1561" i="1"/>
  <c r="J1534" i="1"/>
  <c r="K1534" i="1" s="1"/>
  <c r="B1534" i="1" s="1"/>
  <c r="J1538" i="1"/>
  <c r="J1542" i="1"/>
  <c r="J1546" i="1"/>
  <c r="J1550" i="1"/>
  <c r="J1554" i="1"/>
  <c r="J1558" i="1"/>
  <c r="J1535" i="1"/>
  <c r="J1539" i="1"/>
  <c r="J1543" i="1"/>
  <c r="J1547" i="1"/>
  <c r="J1551" i="1"/>
  <c r="J1555" i="1"/>
  <c r="J1559" i="1"/>
  <c r="K1559" i="1" l="1"/>
  <c r="B1559" i="1" s="1"/>
  <c r="K1547" i="1"/>
  <c r="B1547" i="1" s="1"/>
  <c r="K1535" i="1"/>
  <c r="B1535" i="1" s="1"/>
  <c r="K1551" i="1"/>
  <c r="B1551" i="1" s="1"/>
  <c r="K1539" i="1"/>
  <c r="B1539" i="1" s="1"/>
  <c r="K1550" i="1"/>
  <c r="B1550" i="1" s="1"/>
  <c r="K1538" i="1"/>
  <c r="B1538" i="1" s="1"/>
  <c r="K1557" i="1"/>
  <c r="B1557" i="1" s="1"/>
  <c r="K1545" i="1"/>
  <c r="B1545" i="1" s="1"/>
  <c r="K1560" i="1"/>
  <c r="B1560" i="1" s="1"/>
  <c r="K1548" i="1"/>
  <c r="B1548" i="1" s="1"/>
  <c r="K1536" i="1"/>
  <c r="B1536" i="1" s="1"/>
  <c r="K1555" i="1"/>
  <c r="B1555" i="1" s="1"/>
  <c r="K1543" i="1"/>
  <c r="B1543" i="1" s="1"/>
  <c r="K1558" i="1"/>
  <c r="B1558" i="1" s="1"/>
  <c r="K1546" i="1"/>
  <c r="B1546" i="1" s="1"/>
  <c r="K1553" i="1"/>
  <c r="B1553" i="1" s="1"/>
  <c r="K1541" i="1"/>
  <c r="B1541" i="1" s="1"/>
  <c r="K1556" i="1"/>
  <c r="B1556" i="1" s="1"/>
  <c r="K1544" i="1"/>
  <c r="B1544" i="1" s="1"/>
  <c r="B151" i="8"/>
  <c r="J1564" i="1"/>
  <c r="J1568" i="1"/>
  <c r="J1572" i="1"/>
  <c r="J1576" i="1"/>
  <c r="J1565" i="1"/>
  <c r="J1569" i="1"/>
  <c r="J1573" i="1"/>
  <c r="J1577" i="1"/>
  <c r="J1562" i="1"/>
  <c r="K1562" i="1" s="1"/>
  <c r="B1562" i="1" s="1"/>
  <c r="J1566" i="1"/>
  <c r="J1570" i="1"/>
  <c r="J1574" i="1"/>
  <c r="J1578" i="1"/>
  <c r="J1563" i="1"/>
  <c r="J1567" i="1"/>
  <c r="J1571" i="1"/>
  <c r="J1575" i="1"/>
  <c r="J1579" i="1"/>
  <c r="J1580" i="1"/>
  <c r="J1581" i="1"/>
  <c r="J1582" i="1"/>
  <c r="J1583" i="1"/>
  <c r="J1584" i="1"/>
  <c r="J1585" i="1"/>
  <c r="J1586" i="1"/>
  <c r="J1587" i="1"/>
  <c r="J1588" i="1"/>
  <c r="J1589" i="1"/>
  <c r="J1590" i="1"/>
  <c r="K1554" i="1"/>
  <c r="B1554" i="1" s="1"/>
  <c r="K1542" i="1"/>
  <c r="B1542" i="1" s="1"/>
  <c r="K1561" i="1"/>
  <c r="B1561" i="1" s="1"/>
  <c r="K1549" i="1"/>
  <c r="B1549" i="1" s="1"/>
  <c r="K1537" i="1"/>
  <c r="B1537" i="1" s="1"/>
  <c r="K1552" i="1"/>
  <c r="B1552" i="1" s="1"/>
  <c r="K1540" i="1"/>
  <c r="B1540" i="1" s="1"/>
  <c r="K1582" i="1" l="1"/>
  <c r="B1582" i="1" s="1"/>
  <c r="K1579" i="1"/>
  <c r="B1579" i="1" s="1"/>
  <c r="K1567" i="1"/>
  <c r="B1567" i="1" s="1"/>
  <c r="K1581" i="1"/>
  <c r="B1581" i="1" s="1"/>
  <c r="K1575" i="1"/>
  <c r="B1575" i="1" s="1"/>
  <c r="K1563" i="1"/>
  <c r="B1563" i="1" s="1"/>
  <c r="K1589" i="1"/>
  <c r="B1589" i="1" s="1"/>
  <c r="K1586" i="1"/>
  <c r="B1586" i="1" s="1"/>
  <c r="K1583" i="1"/>
  <c r="B1583" i="1" s="1"/>
  <c r="K1580" i="1"/>
  <c r="B1580" i="1" s="1"/>
  <c r="K1571" i="1"/>
  <c r="B1571" i="1" s="1"/>
  <c r="K1590" i="1"/>
  <c r="B1590" i="1" s="1"/>
  <c r="K1587" i="1"/>
  <c r="B1587" i="1" s="1"/>
  <c r="K1584" i="1"/>
  <c r="B1584" i="1" s="1"/>
  <c r="K1588" i="1"/>
  <c r="B1588" i="1" s="1"/>
  <c r="K1585" i="1"/>
  <c r="B1585" i="1" s="1"/>
  <c r="K1570" i="1"/>
  <c r="B1570" i="1" s="1"/>
  <c r="K1577" i="1"/>
  <c r="B1577" i="1" s="1"/>
  <c r="K1565" i="1"/>
  <c r="B1565" i="1" s="1"/>
  <c r="K1568" i="1"/>
  <c r="B1568" i="1" s="1"/>
  <c r="K1578" i="1"/>
  <c r="B1578" i="1" s="1"/>
  <c r="K1566" i="1"/>
  <c r="B1566" i="1" s="1"/>
  <c r="K1573" i="1"/>
  <c r="B1573" i="1" s="1"/>
  <c r="K1576" i="1"/>
  <c r="B1576" i="1" s="1"/>
  <c r="K1564" i="1"/>
  <c r="B1564" i="1" s="1"/>
  <c r="K1574" i="1"/>
  <c r="B1574" i="1" s="1"/>
  <c r="K1569" i="1"/>
  <c r="B1569" i="1" s="1"/>
  <c r="K1572" i="1"/>
  <c r="B1572" i="1" s="1"/>
  <c r="B152" i="8"/>
  <c r="J1592" i="1"/>
  <c r="J1596" i="1"/>
  <c r="J1600" i="1"/>
  <c r="J1604" i="1"/>
  <c r="J1593" i="1"/>
  <c r="J1597" i="1"/>
  <c r="J1601" i="1"/>
  <c r="J1605" i="1"/>
  <c r="J1594" i="1"/>
  <c r="J1598" i="1"/>
  <c r="J1602" i="1"/>
  <c r="J1606" i="1"/>
  <c r="J1591" i="1"/>
  <c r="K1591" i="1" s="1"/>
  <c r="B1591" i="1" s="1"/>
  <c r="J1595" i="1"/>
  <c r="J1599" i="1"/>
  <c r="J1603" i="1"/>
  <c r="K1595" i="1" l="1"/>
  <c r="B1595" i="1" s="1"/>
  <c r="K1603" i="1"/>
  <c r="B1603" i="1" s="1"/>
  <c r="K1602" i="1"/>
  <c r="B1602" i="1" s="1"/>
  <c r="K1605" i="1"/>
  <c r="B1605" i="1" s="1"/>
  <c r="K1593" i="1"/>
  <c r="B1593" i="1" s="1"/>
  <c r="K1596" i="1"/>
  <c r="B1596" i="1" s="1"/>
  <c r="K1598" i="1"/>
  <c r="B1598" i="1" s="1"/>
  <c r="K1601" i="1"/>
  <c r="B1601" i="1" s="1"/>
  <c r="K1604" i="1"/>
  <c r="B1604" i="1" s="1"/>
  <c r="K1592" i="1"/>
  <c r="B1592" i="1" s="1"/>
  <c r="K1599" i="1"/>
  <c r="B1599" i="1" s="1"/>
  <c r="K1606" i="1"/>
  <c r="B1606" i="1" s="1"/>
  <c r="K1594" i="1"/>
  <c r="B1594" i="1" s="1"/>
  <c r="K1597" i="1"/>
  <c r="B1597" i="1" s="1"/>
  <c r="K1600" i="1"/>
  <c r="B1600" i="1" s="1"/>
  <c r="B153" i="8"/>
  <c r="J1608" i="1"/>
  <c r="J1612" i="1"/>
  <c r="J1616" i="1"/>
  <c r="J1609" i="1"/>
  <c r="J1613" i="1"/>
  <c r="J1617" i="1"/>
  <c r="J1610" i="1"/>
  <c r="J1614" i="1"/>
  <c r="J1607" i="1"/>
  <c r="K1607" i="1" s="1"/>
  <c r="B1607" i="1" s="1"/>
  <c r="J1611" i="1"/>
  <c r="J1615" i="1"/>
  <c r="K1611" i="1" l="1"/>
  <c r="B1611" i="1" s="1"/>
  <c r="K1615" i="1"/>
  <c r="B1615" i="1" s="1"/>
  <c r="K1614" i="1"/>
  <c r="B1614" i="1" s="1"/>
  <c r="K1610" i="1"/>
  <c r="B1610" i="1" s="1"/>
  <c r="K1613" i="1"/>
  <c r="B1613" i="1" s="1"/>
  <c r="K1612" i="1"/>
  <c r="B1612" i="1" s="1"/>
  <c r="K1609" i="1"/>
  <c r="B1609" i="1" s="1"/>
  <c r="K1608" i="1"/>
  <c r="B1608" i="1" s="1"/>
  <c r="K1617" i="1"/>
  <c r="B1617" i="1" s="1"/>
  <c r="K1616" i="1"/>
  <c r="B1616" i="1" s="1"/>
  <c r="B154" i="8"/>
  <c r="J1620" i="1"/>
  <c r="J1624" i="1"/>
  <c r="J1628" i="1"/>
  <c r="J1632" i="1"/>
  <c r="J1621" i="1"/>
  <c r="J1625" i="1"/>
  <c r="J1629" i="1"/>
  <c r="J1633" i="1"/>
  <c r="J1618" i="1"/>
  <c r="K1618" i="1" s="1"/>
  <c r="B1618" i="1" s="1"/>
  <c r="J1622" i="1"/>
  <c r="J1626" i="1"/>
  <c r="J1630" i="1"/>
  <c r="J1634" i="1"/>
  <c r="J1619" i="1"/>
  <c r="J1623" i="1"/>
  <c r="J1627" i="1"/>
  <c r="J1631" i="1"/>
  <c r="J1635" i="1"/>
  <c r="K1619" i="1" l="1"/>
  <c r="B1619" i="1" s="1"/>
  <c r="K1627" i="1"/>
  <c r="B1627" i="1" s="1"/>
  <c r="K1631" i="1"/>
  <c r="B1631" i="1" s="1"/>
  <c r="K1635" i="1"/>
  <c r="B1635" i="1" s="1"/>
  <c r="K1623" i="1"/>
  <c r="B1623" i="1" s="1"/>
  <c r="K1634" i="1"/>
  <c r="B1634" i="1" s="1"/>
  <c r="K1622" i="1"/>
  <c r="B1622" i="1" s="1"/>
  <c r="K1629" i="1"/>
  <c r="B1629" i="1" s="1"/>
  <c r="K1632" i="1"/>
  <c r="B1632" i="1" s="1"/>
  <c r="K1620" i="1"/>
  <c r="B1620" i="1" s="1"/>
  <c r="K1630" i="1"/>
  <c r="B1630" i="1" s="1"/>
  <c r="K1625" i="1"/>
  <c r="B1625" i="1" s="1"/>
  <c r="K1628" i="1"/>
  <c r="B1628" i="1" s="1"/>
  <c r="B155" i="8"/>
  <c r="J1636" i="1"/>
  <c r="K1636" i="1" s="1"/>
  <c r="B1636" i="1" s="1"/>
  <c r="J1640" i="1"/>
  <c r="J1644" i="1"/>
  <c r="J1637" i="1"/>
  <c r="J1638" i="1"/>
  <c r="J1639" i="1"/>
  <c r="J1643" i="1"/>
  <c r="J1642" i="1"/>
  <c r="J1648" i="1"/>
  <c r="J1652" i="1"/>
  <c r="J1656" i="1"/>
  <c r="J1645" i="1"/>
  <c r="J1649" i="1"/>
  <c r="J1653" i="1"/>
  <c r="J1657" i="1"/>
  <c r="J1646" i="1"/>
  <c r="J1650" i="1"/>
  <c r="J1654" i="1"/>
  <c r="J1641" i="1"/>
  <c r="J1647" i="1"/>
  <c r="J1651" i="1"/>
  <c r="J1655" i="1"/>
  <c r="K1626" i="1"/>
  <c r="B1626" i="1" s="1"/>
  <c r="K1633" i="1"/>
  <c r="B1633" i="1" s="1"/>
  <c r="K1621" i="1"/>
  <c r="B1621" i="1" s="1"/>
  <c r="K1624" i="1"/>
  <c r="B1624" i="1" s="1"/>
  <c r="K1637" i="1" l="1"/>
  <c r="B1637" i="1" s="1"/>
  <c r="K1641" i="1"/>
  <c r="B1641" i="1" s="1"/>
  <c r="K1647" i="1"/>
  <c r="B1647" i="1" s="1"/>
  <c r="K1638" i="1"/>
  <c r="B1638" i="1" s="1"/>
  <c r="K1655" i="1"/>
  <c r="B1655" i="1" s="1"/>
  <c r="K1651" i="1"/>
  <c r="B1651" i="1" s="1"/>
  <c r="K1639" i="1"/>
  <c r="B1639" i="1" s="1"/>
  <c r="K1654" i="1"/>
  <c r="B1654" i="1" s="1"/>
  <c r="K1657" i="1"/>
  <c r="B1657" i="1" s="1"/>
  <c r="K1645" i="1"/>
  <c r="B1645" i="1" s="1"/>
  <c r="K1648" i="1"/>
  <c r="B1648" i="1" s="1"/>
  <c r="K1644" i="1"/>
  <c r="B1644" i="1" s="1"/>
  <c r="B156" i="8"/>
  <c r="J1660" i="1"/>
  <c r="J1664" i="1"/>
  <c r="J1668" i="1"/>
  <c r="J1672" i="1"/>
  <c r="J1661" i="1"/>
  <c r="J1665" i="1"/>
  <c r="J1669" i="1"/>
  <c r="J1658" i="1"/>
  <c r="K1658" i="1" s="1"/>
  <c r="B1658" i="1" s="1"/>
  <c r="J1662" i="1"/>
  <c r="J1666" i="1"/>
  <c r="J1670" i="1"/>
  <c r="J1659" i="1"/>
  <c r="J1663" i="1"/>
  <c r="J1667" i="1"/>
  <c r="J1671" i="1"/>
  <c r="K1650" i="1"/>
  <c r="B1650" i="1" s="1"/>
  <c r="K1653" i="1"/>
  <c r="B1653" i="1" s="1"/>
  <c r="K1656" i="1"/>
  <c r="B1656" i="1" s="1"/>
  <c r="K1642" i="1"/>
  <c r="B1642" i="1" s="1"/>
  <c r="K1640" i="1"/>
  <c r="B1640" i="1" s="1"/>
  <c r="K1646" i="1"/>
  <c r="B1646" i="1" s="1"/>
  <c r="K1649" i="1"/>
  <c r="B1649" i="1" s="1"/>
  <c r="K1652" i="1"/>
  <c r="B1652" i="1" s="1"/>
  <c r="K1643" i="1"/>
  <c r="B1643" i="1" s="1"/>
  <c r="K1663" i="1" l="1"/>
  <c r="B1663" i="1" s="1"/>
  <c r="K1659" i="1"/>
  <c r="B1659" i="1" s="1"/>
  <c r="K1671" i="1"/>
  <c r="B1671" i="1" s="1"/>
  <c r="K1667" i="1"/>
  <c r="B1667" i="1" s="1"/>
  <c r="K1662" i="1"/>
  <c r="B1662" i="1" s="1"/>
  <c r="K1665" i="1"/>
  <c r="B1665" i="1" s="1"/>
  <c r="K1668" i="1"/>
  <c r="B1668" i="1" s="1"/>
  <c r="B157" i="8"/>
  <c r="J1676" i="1"/>
  <c r="J1680" i="1"/>
  <c r="J1684" i="1"/>
  <c r="J1688" i="1"/>
  <c r="J1692" i="1"/>
  <c r="J1673" i="1"/>
  <c r="K1673" i="1" s="1"/>
  <c r="B1673" i="1" s="1"/>
  <c r="J1677" i="1"/>
  <c r="J1681" i="1"/>
  <c r="J1685" i="1"/>
  <c r="J1689" i="1"/>
  <c r="J1693" i="1"/>
  <c r="J1674" i="1"/>
  <c r="K1674" i="1" s="1"/>
  <c r="B1674" i="1" s="1"/>
  <c r="J1678" i="1"/>
  <c r="J1682" i="1"/>
  <c r="J1686" i="1"/>
  <c r="J1690" i="1"/>
  <c r="J1675" i="1"/>
  <c r="J1679" i="1"/>
  <c r="J1683" i="1"/>
  <c r="J1687" i="1"/>
  <c r="J1691" i="1"/>
  <c r="K1670" i="1"/>
  <c r="B1670" i="1" s="1"/>
  <c r="K1661" i="1"/>
  <c r="B1661" i="1" s="1"/>
  <c r="K1664" i="1"/>
  <c r="B1664" i="1" s="1"/>
  <c r="K1666" i="1"/>
  <c r="B1666" i="1" s="1"/>
  <c r="K1669" i="1"/>
  <c r="B1669" i="1" s="1"/>
  <c r="K1672" i="1"/>
  <c r="B1672" i="1" s="1"/>
  <c r="K1660" i="1"/>
  <c r="B1660" i="1" s="1"/>
  <c r="K1675" i="1" l="1"/>
  <c r="B1675" i="1" s="1"/>
  <c r="K1691" i="1"/>
  <c r="B1691" i="1" s="1"/>
  <c r="K1679" i="1"/>
  <c r="B1679" i="1" s="1"/>
  <c r="K1687" i="1"/>
  <c r="B1687" i="1" s="1"/>
  <c r="K1683" i="1"/>
  <c r="B1683" i="1" s="1"/>
  <c r="K1682" i="1"/>
  <c r="B1682" i="1" s="1"/>
  <c r="K1693" i="1"/>
  <c r="B1693" i="1" s="1"/>
  <c r="K1681" i="1"/>
  <c r="B1681" i="1" s="1"/>
  <c r="K1692" i="1"/>
  <c r="B1692" i="1" s="1"/>
  <c r="K1680" i="1"/>
  <c r="B1680" i="1" s="1"/>
  <c r="K1690" i="1"/>
  <c r="B1690" i="1" s="1"/>
  <c r="K1678" i="1"/>
  <c r="B1678" i="1" s="1"/>
  <c r="K1689" i="1"/>
  <c r="B1689" i="1" s="1"/>
  <c r="K1677" i="1"/>
  <c r="B1677" i="1" s="1"/>
  <c r="K1688" i="1"/>
  <c r="B1688" i="1" s="1"/>
  <c r="K1676" i="1"/>
  <c r="B1676" i="1" s="1"/>
  <c r="K1686" i="1"/>
  <c r="B1686" i="1" s="1"/>
  <c r="K1685" i="1"/>
  <c r="B1685" i="1" s="1"/>
  <c r="K1684" i="1"/>
  <c r="B1684" i="1" s="1"/>
  <c r="B158" i="8"/>
  <c r="J1696" i="1"/>
  <c r="J1700" i="1"/>
  <c r="J1697" i="1"/>
  <c r="J1694" i="1"/>
  <c r="K1694" i="1" s="1"/>
  <c r="B1694" i="1" s="1"/>
  <c r="J1698" i="1"/>
  <c r="J1695" i="1"/>
  <c r="J1699" i="1"/>
  <c r="K1698" i="1" l="1"/>
  <c r="B1698" i="1" s="1"/>
  <c r="K1699" i="1"/>
  <c r="B1699" i="1" s="1"/>
  <c r="K1695" i="1"/>
  <c r="B1695" i="1" s="1"/>
  <c r="K1697" i="1"/>
  <c r="B1697" i="1" s="1"/>
  <c r="B159" i="8"/>
  <c r="J1704" i="1"/>
  <c r="J1708" i="1"/>
  <c r="J1712" i="1"/>
  <c r="J1701" i="1"/>
  <c r="K1701" i="1" s="1"/>
  <c r="B1701" i="1" s="1"/>
  <c r="J1705" i="1"/>
  <c r="J1709" i="1"/>
  <c r="J1713" i="1"/>
  <c r="J1702" i="1"/>
  <c r="J1706" i="1"/>
  <c r="J1710" i="1"/>
  <c r="J1714" i="1"/>
  <c r="J1703" i="1"/>
  <c r="J1707" i="1"/>
  <c r="J1711" i="1"/>
  <c r="J1715" i="1"/>
  <c r="K1700" i="1"/>
  <c r="B1700" i="1" s="1"/>
  <c r="K1696" i="1"/>
  <c r="B1696" i="1" s="1"/>
  <c r="K1711" i="1" l="1"/>
  <c r="B1711" i="1" s="1"/>
  <c r="K1702" i="1"/>
  <c r="B1702" i="1" s="1"/>
  <c r="K1707" i="1"/>
  <c r="B1707" i="1" s="1"/>
  <c r="K1703" i="1"/>
  <c r="B1703" i="1" s="1"/>
  <c r="K1710" i="1"/>
  <c r="B1710" i="1" s="1"/>
  <c r="K1713" i="1"/>
  <c r="B1713" i="1" s="1"/>
  <c r="K1704" i="1"/>
  <c r="B1704" i="1" s="1"/>
  <c r="K1715" i="1"/>
  <c r="B1715" i="1" s="1"/>
  <c r="K1706" i="1"/>
  <c r="B1706" i="1" s="1"/>
  <c r="K1709" i="1"/>
  <c r="B1709" i="1" s="1"/>
  <c r="K1712" i="1"/>
  <c r="B1712" i="1" s="1"/>
  <c r="B160" i="8"/>
  <c r="J1716" i="1"/>
  <c r="K1716" i="1" s="1"/>
  <c r="B1716" i="1" s="1"/>
  <c r="J1720" i="1"/>
  <c r="J1724" i="1"/>
  <c r="J1728" i="1"/>
  <c r="J1732" i="1"/>
  <c r="J1736" i="1"/>
  <c r="J1717" i="1"/>
  <c r="K1717" i="1" s="1"/>
  <c r="B1717" i="1" s="1"/>
  <c r="J1721" i="1"/>
  <c r="J1725" i="1"/>
  <c r="J1729" i="1"/>
  <c r="J1733" i="1"/>
  <c r="J1737" i="1"/>
  <c r="J1718" i="1"/>
  <c r="J1722" i="1"/>
  <c r="J1726" i="1"/>
  <c r="J1730" i="1"/>
  <c r="J1734" i="1"/>
  <c r="J1738" i="1"/>
  <c r="J1719" i="1"/>
  <c r="J1723" i="1"/>
  <c r="J1727" i="1"/>
  <c r="J1731" i="1"/>
  <c r="J1735" i="1"/>
  <c r="J1739" i="1"/>
  <c r="K1714" i="1"/>
  <c r="B1714" i="1" s="1"/>
  <c r="K1705" i="1"/>
  <c r="B1705" i="1" s="1"/>
  <c r="K1708" i="1"/>
  <c r="B1708" i="1" s="1"/>
  <c r="K1718" i="1" l="1"/>
  <c r="B1718" i="1" s="1"/>
  <c r="K1719" i="1"/>
  <c r="B1719" i="1" s="1"/>
  <c r="K1731" i="1"/>
  <c r="B1731" i="1" s="1"/>
  <c r="K1735" i="1"/>
  <c r="B1735" i="1" s="1"/>
  <c r="K1723" i="1"/>
  <c r="B1723" i="1" s="1"/>
  <c r="K1730" i="1"/>
  <c r="B1730" i="1" s="1"/>
  <c r="K1729" i="1"/>
  <c r="B1729" i="1" s="1"/>
  <c r="K1728" i="1"/>
  <c r="B1728" i="1" s="1"/>
  <c r="K1739" i="1"/>
  <c r="B1739" i="1" s="1"/>
  <c r="K1727" i="1"/>
  <c r="B1727" i="1" s="1"/>
  <c r="K1738" i="1"/>
  <c r="B1738" i="1" s="1"/>
  <c r="K1726" i="1"/>
  <c r="B1726" i="1" s="1"/>
  <c r="K1737" i="1"/>
  <c r="B1737" i="1" s="1"/>
  <c r="K1725" i="1"/>
  <c r="B1725" i="1" s="1"/>
  <c r="K1736" i="1"/>
  <c r="B1736" i="1" s="1"/>
  <c r="K1724" i="1"/>
  <c r="B1724" i="1" s="1"/>
  <c r="B161" i="8"/>
  <c r="J1740" i="1"/>
  <c r="K1740" i="1" s="1"/>
  <c r="B1740" i="1" s="1"/>
  <c r="J1744" i="1"/>
  <c r="J1748" i="1"/>
  <c r="J1752" i="1"/>
  <c r="J1741" i="1"/>
  <c r="J1745" i="1"/>
  <c r="J1749" i="1"/>
  <c r="J1753" i="1"/>
  <c r="J1742" i="1"/>
  <c r="J1746" i="1"/>
  <c r="J1750" i="1"/>
  <c r="J1754" i="1"/>
  <c r="J1743" i="1"/>
  <c r="J1747" i="1"/>
  <c r="J1751" i="1"/>
  <c r="J1755" i="1"/>
  <c r="K1734" i="1"/>
  <c r="B1734" i="1" s="1"/>
  <c r="K1722" i="1"/>
  <c r="B1722" i="1" s="1"/>
  <c r="K1733" i="1"/>
  <c r="B1733" i="1" s="1"/>
  <c r="K1721" i="1"/>
  <c r="B1721" i="1" s="1"/>
  <c r="K1732" i="1"/>
  <c r="B1732" i="1" s="1"/>
  <c r="K1720" i="1"/>
  <c r="B1720" i="1" s="1"/>
  <c r="K1747" i="1" l="1"/>
  <c r="B1747" i="1" s="1"/>
  <c r="K1741" i="1"/>
  <c r="B1741" i="1" s="1"/>
  <c r="K1755" i="1"/>
  <c r="B1755" i="1" s="1"/>
  <c r="K1743" i="1"/>
  <c r="B1743" i="1" s="1"/>
  <c r="K1751" i="1"/>
  <c r="B1751" i="1" s="1"/>
  <c r="K1742" i="1"/>
  <c r="B1742" i="1" s="1"/>
  <c r="K1754" i="1"/>
  <c r="B1754" i="1" s="1"/>
  <c r="K1745" i="1"/>
  <c r="B1745" i="1" s="1"/>
  <c r="K1748" i="1"/>
  <c r="B1748" i="1" s="1"/>
  <c r="B162" i="8"/>
  <c r="J1756" i="1"/>
  <c r="K1756" i="1" s="1"/>
  <c r="B1756" i="1" s="1"/>
  <c r="J1760" i="1"/>
  <c r="J1757" i="1"/>
  <c r="J1761" i="1"/>
  <c r="J1758" i="1"/>
  <c r="J1762" i="1"/>
  <c r="J1759" i="1"/>
  <c r="J1763" i="1"/>
  <c r="K1750" i="1"/>
  <c r="B1750" i="1" s="1"/>
  <c r="K1753" i="1"/>
  <c r="B1753" i="1" s="1"/>
  <c r="K1744" i="1"/>
  <c r="B1744" i="1" s="1"/>
  <c r="K1746" i="1"/>
  <c r="B1746" i="1" s="1"/>
  <c r="K1749" i="1"/>
  <c r="B1749" i="1" s="1"/>
  <c r="K1752" i="1"/>
  <c r="B1752" i="1" s="1"/>
  <c r="K1763" i="1" l="1"/>
  <c r="B1763" i="1" s="1"/>
  <c r="K1758" i="1"/>
  <c r="B1758" i="1" s="1"/>
  <c r="K1759" i="1"/>
  <c r="B1759" i="1" s="1"/>
  <c r="K1757" i="1"/>
  <c r="B1757" i="1" s="1"/>
  <c r="K1760" i="1"/>
  <c r="B1760" i="1" s="1"/>
  <c r="K1761" i="1"/>
  <c r="B1761" i="1" s="1"/>
  <c r="K1762" i="1"/>
  <c r="B1762" i="1" s="1"/>
  <c r="B163" i="8"/>
  <c r="J1764" i="1"/>
  <c r="K1764" i="1" s="1"/>
  <c r="B1764" i="1" s="1"/>
  <c r="J1768" i="1"/>
  <c r="J1772" i="1"/>
  <c r="J1765" i="1"/>
  <c r="J1769" i="1"/>
  <c r="J1766" i="1"/>
  <c r="J1770" i="1"/>
  <c r="J1767" i="1"/>
  <c r="J1771" i="1"/>
  <c r="K1765" i="1" l="1"/>
  <c r="B1765" i="1" s="1"/>
  <c r="K1770" i="1"/>
  <c r="B1770" i="1" s="1"/>
  <c r="K1767" i="1"/>
  <c r="B1767" i="1" s="1"/>
  <c r="K1771" i="1"/>
  <c r="B1771" i="1" s="1"/>
  <c r="K1766" i="1"/>
  <c r="B1766" i="1" s="1"/>
  <c r="K1769" i="1"/>
  <c r="B1769" i="1" s="1"/>
  <c r="K1768" i="1"/>
  <c r="B1768" i="1" s="1"/>
  <c r="K1772" i="1"/>
  <c r="B1772" i="1" s="1"/>
  <c r="B164" i="8"/>
  <c r="J1776" i="1"/>
  <c r="J1780" i="1"/>
  <c r="J1784" i="1"/>
  <c r="J1788" i="1"/>
  <c r="J1773" i="1"/>
  <c r="K1773" i="1" s="1"/>
  <c r="B1773" i="1" s="1"/>
  <c r="J1777" i="1"/>
  <c r="J1781" i="1"/>
  <c r="J1785" i="1"/>
  <c r="J1789" i="1"/>
  <c r="J1774" i="1"/>
  <c r="J1778" i="1"/>
  <c r="J1782" i="1"/>
  <c r="J1786" i="1"/>
  <c r="J1790" i="1"/>
  <c r="J1775" i="1"/>
  <c r="J1779" i="1"/>
  <c r="J1783" i="1"/>
  <c r="J1787" i="1"/>
  <c r="K1783" i="1" l="1"/>
  <c r="B1783" i="1" s="1"/>
  <c r="K1774" i="1"/>
  <c r="B1774" i="1" s="1"/>
  <c r="K1779" i="1"/>
  <c r="B1779" i="1" s="1"/>
  <c r="K1778" i="1"/>
  <c r="B1778" i="1" s="1"/>
  <c r="K1775" i="1"/>
  <c r="B1775" i="1" s="1"/>
  <c r="K1787" i="1"/>
  <c r="B1787" i="1" s="1"/>
  <c r="K1790" i="1"/>
  <c r="B1790" i="1" s="1"/>
  <c r="K1785" i="1"/>
  <c r="B1785" i="1" s="1"/>
  <c r="K1780" i="1"/>
  <c r="B1780" i="1" s="1"/>
  <c r="K1786" i="1"/>
  <c r="B1786" i="1" s="1"/>
  <c r="K1781" i="1"/>
  <c r="B1781" i="1" s="1"/>
  <c r="K1788" i="1"/>
  <c r="B1788" i="1" s="1"/>
  <c r="K1776" i="1"/>
  <c r="B1776" i="1" s="1"/>
  <c r="K1782" i="1"/>
  <c r="B1782" i="1" s="1"/>
  <c r="K1789" i="1"/>
  <c r="B1789" i="1" s="1"/>
  <c r="K1777" i="1"/>
  <c r="B1777" i="1" s="1"/>
  <c r="K1784" i="1"/>
  <c r="B1784" i="1" s="1"/>
  <c r="B165" i="8"/>
  <c r="J1792" i="1"/>
  <c r="J1796" i="1"/>
  <c r="J1800" i="1"/>
  <c r="J1804" i="1"/>
  <c r="J1808" i="1"/>
  <c r="J1812" i="1"/>
  <c r="J1816" i="1"/>
  <c r="J1820" i="1"/>
  <c r="J1793" i="1"/>
  <c r="J1797" i="1"/>
  <c r="J1801" i="1"/>
  <c r="J1805" i="1"/>
  <c r="J1809" i="1"/>
  <c r="J1813" i="1"/>
  <c r="J1817" i="1"/>
  <c r="J1821" i="1"/>
  <c r="J1794" i="1"/>
  <c r="J1798" i="1"/>
  <c r="J1802" i="1"/>
  <c r="J1806" i="1"/>
  <c r="J1810" i="1"/>
  <c r="J1814" i="1"/>
  <c r="J1818" i="1"/>
  <c r="J1822" i="1"/>
  <c r="J1791" i="1"/>
  <c r="K1791" i="1" s="1"/>
  <c r="B1791" i="1" s="1"/>
  <c r="J1795" i="1"/>
  <c r="J1799" i="1"/>
  <c r="J1803" i="1"/>
  <c r="J1807" i="1"/>
  <c r="J1811" i="1"/>
  <c r="J1815" i="1"/>
  <c r="J1819" i="1"/>
  <c r="J1823" i="1"/>
  <c r="K1819" i="1" l="1"/>
  <c r="B1819" i="1" s="1"/>
  <c r="K1823" i="1"/>
  <c r="B1823" i="1" s="1"/>
  <c r="K1811" i="1"/>
  <c r="B1811" i="1" s="1"/>
  <c r="K1807" i="1"/>
  <c r="B1807" i="1" s="1"/>
  <c r="K1795" i="1"/>
  <c r="B1795" i="1" s="1"/>
  <c r="K1799" i="1"/>
  <c r="B1799" i="1" s="1"/>
  <c r="K1815" i="1"/>
  <c r="B1815" i="1" s="1"/>
  <c r="K1803" i="1"/>
  <c r="B1803" i="1" s="1"/>
  <c r="K1822" i="1"/>
  <c r="B1822" i="1" s="1"/>
  <c r="K1810" i="1"/>
  <c r="B1810" i="1" s="1"/>
  <c r="K1798" i="1"/>
  <c r="B1798" i="1" s="1"/>
  <c r="K1817" i="1"/>
  <c r="B1817" i="1" s="1"/>
  <c r="K1805" i="1"/>
  <c r="B1805" i="1" s="1"/>
  <c r="K1793" i="1"/>
  <c r="B1793" i="1" s="1"/>
  <c r="K1812" i="1"/>
  <c r="B1812" i="1" s="1"/>
  <c r="K1800" i="1"/>
  <c r="B1800" i="1" s="1"/>
  <c r="B166" i="8"/>
  <c r="J1824" i="1"/>
  <c r="K1824" i="1" s="1"/>
  <c r="B1824" i="1" s="1"/>
  <c r="J1828" i="1"/>
  <c r="J1832" i="1"/>
  <c r="J1825" i="1"/>
  <c r="J1829" i="1"/>
  <c r="J1833" i="1"/>
  <c r="J1826" i="1"/>
  <c r="J1830" i="1"/>
  <c r="J1827" i="1"/>
  <c r="J1831" i="1"/>
  <c r="K1818" i="1"/>
  <c r="B1818" i="1" s="1"/>
  <c r="K1806" i="1"/>
  <c r="B1806" i="1" s="1"/>
  <c r="K1794" i="1"/>
  <c r="B1794" i="1" s="1"/>
  <c r="K1813" i="1"/>
  <c r="B1813" i="1" s="1"/>
  <c r="K1801" i="1"/>
  <c r="B1801" i="1" s="1"/>
  <c r="K1820" i="1"/>
  <c r="B1820" i="1" s="1"/>
  <c r="K1808" i="1"/>
  <c r="B1808" i="1" s="1"/>
  <c r="K1796" i="1"/>
  <c r="B1796" i="1" s="1"/>
  <c r="K1814" i="1"/>
  <c r="B1814" i="1" s="1"/>
  <c r="K1802" i="1"/>
  <c r="B1802" i="1" s="1"/>
  <c r="K1821" i="1"/>
  <c r="B1821" i="1" s="1"/>
  <c r="K1809" i="1"/>
  <c r="B1809" i="1" s="1"/>
  <c r="K1797" i="1"/>
  <c r="B1797" i="1" s="1"/>
  <c r="K1816" i="1"/>
  <c r="B1816" i="1" s="1"/>
  <c r="K1804" i="1"/>
  <c r="B1804" i="1" s="1"/>
  <c r="K1792" i="1"/>
  <c r="B1792" i="1" s="1"/>
  <c r="K1825" i="1" l="1"/>
  <c r="B1825" i="1" s="1"/>
  <c r="K1826" i="1"/>
  <c r="B1826" i="1" s="1"/>
  <c r="K1831" i="1"/>
  <c r="B1831" i="1" s="1"/>
  <c r="K1830" i="1"/>
  <c r="B1830" i="1" s="1"/>
  <c r="K1827" i="1"/>
  <c r="B1827" i="1" s="1"/>
  <c r="K1833" i="1"/>
  <c r="B1833" i="1" s="1"/>
  <c r="K1832" i="1"/>
  <c r="B1832" i="1" s="1"/>
  <c r="B167" i="8"/>
  <c r="J1836" i="1"/>
  <c r="J1840" i="1"/>
  <c r="J1837" i="1"/>
  <c r="J1841" i="1"/>
  <c r="J1834" i="1"/>
  <c r="K1834" i="1" s="1"/>
  <c r="B1834" i="1" s="1"/>
  <c r="J1838" i="1"/>
  <c r="J1842" i="1"/>
  <c r="J1835" i="1"/>
  <c r="J1839" i="1"/>
  <c r="J1843" i="1"/>
  <c r="K1829" i="1"/>
  <c r="B1829" i="1" s="1"/>
  <c r="K1828" i="1"/>
  <c r="B1828" i="1" s="1"/>
  <c r="K1835" i="1" l="1"/>
  <c r="B1835" i="1" s="1"/>
  <c r="K1843" i="1"/>
  <c r="B1843" i="1" s="1"/>
  <c r="K1842" i="1"/>
  <c r="B1842" i="1" s="1"/>
  <c r="K1839" i="1"/>
  <c r="B1839" i="1" s="1"/>
  <c r="K1838" i="1"/>
  <c r="B1838" i="1" s="1"/>
  <c r="K1837" i="1"/>
  <c r="B1837" i="1" s="1"/>
  <c r="B168" i="8"/>
  <c r="J1844" i="1"/>
  <c r="K1844" i="1" s="1"/>
  <c r="B1844" i="1" s="1"/>
  <c r="J1848" i="1"/>
  <c r="J1845" i="1"/>
  <c r="J1849" i="1"/>
  <c r="J1846" i="1"/>
  <c r="J1850" i="1"/>
  <c r="J1847" i="1"/>
  <c r="J1851" i="1"/>
  <c r="K1840" i="1"/>
  <c r="B1840" i="1" s="1"/>
  <c r="K1841" i="1"/>
  <c r="B1841" i="1" s="1"/>
  <c r="K1836" i="1"/>
  <c r="B1836" i="1" s="1"/>
  <c r="K1851" i="1" l="1"/>
  <c r="B1851" i="1" s="1"/>
  <c r="K1847" i="1"/>
  <c r="B1847" i="1" s="1"/>
  <c r="K1845" i="1"/>
  <c r="B1845" i="1" s="1"/>
  <c r="K1846" i="1"/>
  <c r="B1846" i="1" s="1"/>
  <c r="K1850" i="1"/>
  <c r="B1850" i="1" s="1"/>
  <c r="B169" i="8"/>
  <c r="J1852" i="1"/>
  <c r="K1852" i="1" s="1"/>
  <c r="B1852" i="1" s="1"/>
  <c r="J1856" i="1"/>
  <c r="J1860" i="1"/>
  <c r="J1853" i="1"/>
  <c r="K1853" i="1" s="1"/>
  <c r="B1853" i="1" s="1"/>
  <c r="J1857" i="1"/>
  <c r="J1861" i="1"/>
  <c r="J1854" i="1"/>
  <c r="J1858" i="1"/>
  <c r="J1862" i="1"/>
  <c r="J1855" i="1"/>
  <c r="J1859" i="1"/>
  <c r="K1848" i="1"/>
  <c r="B1848" i="1" s="1"/>
  <c r="K1849" i="1"/>
  <c r="B1849" i="1" s="1"/>
  <c r="K1855" i="1" l="1"/>
  <c r="B1855" i="1" s="1"/>
  <c r="K1854" i="1"/>
  <c r="B1854" i="1" s="1"/>
  <c r="K1859" i="1"/>
  <c r="B1859" i="1" s="1"/>
  <c r="K1858" i="1"/>
  <c r="B1858" i="1" s="1"/>
  <c r="K1862" i="1"/>
  <c r="B1862" i="1" s="1"/>
  <c r="K1861" i="1"/>
  <c r="B1861" i="1" s="1"/>
  <c r="K1860" i="1"/>
  <c r="B1860" i="1" s="1"/>
  <c r="B170" i="8"/>
  <c r="J1864" i="1"/>
  <c r="J1868" i="1"/>
  <c r="J1865" i="1"/>
  <c r="J1866" i="1"/>
  <c r="J1863" i="1"/>
  <c r="K1863" i="1" s="1"/>
  <c r="B1863" i="1" s="1"/>
  <c r="J1867" i="1"/>
  <c r="K1857" i="1"/>
  <c r="B1857" i="1" s="1"/>
  <c r="K1856" i="1"/>
  <c r="B1856" i="1" s="1"/>
  <c r="K1866" i="1" l="1"/>
  <c r="B1866" i="1" s="1"/>
  <c r="K1867" i="1"/>
  <c r="B1867" i="1" s="1"/>
  <c r="K1868" i="1"/>
  <c r="B1868" i="1" s="1"/>
  <c r="K1864" i="1"/>
  <c r="B1864" i="1" s="1"/>
  <c r="K1865" i="1"/>
  <c r="B1865" i="1" s="1"/>
  <c r="B171" i="8"/>
  <c r="J1872" i="1"/>
  <c r="J1869" i="1"/>
  <c r="K1869" i="1" s="1"/>
  <c r="B1869" i="1" s="1"/>
  <c r="J1873" i="1"/>
  <c r="J1870" i="1"/>
  <c r="J1874" i="1"/>
  <c r="J1871" i="1"/>
  <c r="K1874" i="1" l="1"/>
  <c r="B1874" i="1" s="1"/>
  <c r="K1870" i="1"/>
  <c r="B1870" i="1" s="1"/>
  <c r="K1871" i="1"/>
  <c r="B1871" i="1" s="1"/>
  <c r="K1872" i="1"/>
  <c r="B1872" i="1" s="1"/>
  <c r="K1873" i="1"/>
  <c r="B1873" i="1" s="1"/>
  <c r="B172" i="8"/>
  <c r="J1876" i="1"/>
  <c r="J1880" i="1"/>
  <c r="J1884" i="1"/>
  <c r="J1888" i="1"/>
  <c r="J1892" i="1"/>
  <c r="J1877" i="1"/>
  <c r="J1881" i="1"/>
  <c r="J1885" i="1"/>
  <c r="J1889" i="1"/>
  <c r="J1893" i="1"/>
  <c r="J1878" i="1"/>
  <c r="J1882" i="1"/>
  <c r="J1886" i="1"/>
  <c r="J1890" i="1"/>
  <c r="J1894" i="1"/>
  <c r="J1875" i="1"/>
  <c r="K1875" i="1" s="1"/>
  <c r="B1875" i="1" s="1"/>
  <c r="J1879" i="1"/>
  <c r="J1883" i="1"/>
  <c r="J1887" i="1"/>
  <c r="J1891" i="1"/>
  <c r="K1891" i="1" l="1"/>
  <c r="B1891" i="1" s="1"/>
  <c r="K1879" i="1"/>
  <c r="B1879" i="1" s="1"/>
  <c r="K1887" i="1"/>
  <c r="B1887" i="1" s="1"/>
  <c r="K1883" i="1"/>
  <c r="B1883" i="1" s="1"/>
  <c r="K1894" i="1"/>
  <c r="B1894" i="1" s="1"/>
  <c r="K1882" i="1"/>
  <c r="B1882" i="1" s="1"/>
  <c r="K1889" i="1"/>
  <c r="B1889" i="1" s="1"/>
  <c r="K1877" i="1"/>
  <c r="B1877" i="1" s="1"/>
  <c r="K1884" i="1"/>
  <c r="B1884" i="1" s="1"/>
  <c r="B173" i="8"/>
  <c r="J1896" i="1"/>
  <c r="J1900" i="1"/>
  <c r="J1897" i="1"/>
  <c r="J1901" i="1"/>
  <c r="J1898" i="1"/>
  <c r="J1902" i="1"/>
  <c r="J1895" i="1"/>
  <c r="K1895" i="1" s="1"/>
  <c r="B1895" i="1" s="1"/>
  <c r="J1899" i="1"/>
  <c r="J1903" i="1"/>
  <c r="K1890" i="1"/>
  <c r="B1890" i="1" s="1"/>
  <c r="K1878" i="1"/>
  <c r="B1878" i="1" s="1"/>
  <c r="K1885" i="1"/>
  <c r="B1885" i="1" s="1"/>
  <c r="K1892" i="1"/>
  <c r="B1892" i="1" s="1"/>
  <c r="K1880" i="1"/>
  <c r="B1880" i="1" s="1"/>
  <c r="K1886" i="1"/>
  <c r="B1886" i="1" s="1"/>
  <c r="K1893" i="1"/>
  <c r="B1893" i="1" s="1"/>
  <c r="K1881" i="1"/>
  <c r="B1881" i="1" s="1"/>
  <c r="K1888" i="1"/>
  <c r="B1888" i="1" s="1"/>
  <c r="K1876" i="1"/>
  <c r="B1876" i="1" s="1"/>
  <c r="K1899" i="1" l="1"/>
  <c r="B1899" i="1" s="1"/>
  <c r="K1898" i="1"/>
  <c r="B1898" i="1" s="1"/>
  <c r="K1903" i="1"/>
  <c r="B1903" i="1" s="1"/>
  <c r="K1902" i="1"/>
  <c r="B1902" i="1" s="1"/>
  <c r="K1897" i="1"/>
  <c r="B1897" i="1" s="1"/>
  <c r="B174" i="8"/>
  <c r="J1904" i="1"/>
  <c r="K1904" i="1" s="1"/>
  <c r="B1904" i="1" s="1"/>
  <c r="J1908" i="1"/>
  <c r="J1912" i="1"/>
  <c r="J1916" i="1"/>
  <c r="J1905" i="1"/>
  <c r="J1909" i="1"/>
  <c r="J1913" i="1"/>
  <c r="J1906" i="1"/>
  <c r="J1910" i="1"/>
  <c r="J1914" i="1"/>
  <c r="J1907" i="1"/>
  <c r="J1911" i="1"/>
  <c r="J1915" i="1"/>
  <c r="K1900" i="1"/>
  <c r="B1900" i="1" s="1"/>
  <c r="K1901" i="1"/>
  <c r="B1901" i="1" s="1"/>
  <c r="K1896" i="1"/>
  <c r="B1896" i="1" s="1"/>
  <c r="K1907" i="1" l="1"/>
  <c r="B1907" i="1" s="1"/>
  <c r="K1906" i="1"/>
  <c r="B1906" i="1" s="1"/>
  <c r="K1905" i="1"/>
  <c r="B1905" i="1" s="1"/>
  <c r="K1914" i="1"/>
  <c r="B1914" i="1" s="1"/>
  <c r="K1915" i="1"/>
  <c r="B1915" i="1" s="1"/>
  <c r="K1911" i="1"/>
  <c r="B1911" i="1" s="1"/>
  <c r="K1910" i="1"/>
  <c r="B1910" i="1" s="1"/>
  <c r="K1909" i="1"/>
  <c r="B1909" i="1" s="1"/>
  <c r="K1912" i="1"/>
  <c r="B1912" i="1" s="1"/>
  <c r="B175" i="8"/>
  <c r="J1920" i="1"/>
  <c r="J1924" i="1"/>
  <c r="J1928" i="1"/>
  <c r="J1932" i="1"/>
  <c r="J1917" i="1"/>
  <c r="K1917" i="1" s="1"/>
  <c r="B1917" i="1" s="1"/>
  <c r="J1921" i="1"/>
  <c r="J1925" i="1"/>
  <c r="J1929" i="1"/>
  <c r="J1933" i="1"/>
  <c r="J1918" i="1"/>
  <c r="J1922" i="1"/>
  <c r="J1926" i="1"/>
  <c r="J1930" i="1"/>
  <c r="J1934" i="1"/>
  <c r="J1919" i="1"/>
  <c r="J1923" i="1"/>
  <c r="J1927" i="1"/>
  <c r="J1931" i="1"/>
  <c r="J1935" i="1"/>
  <c r="K1908" i="1"/>
  <c r="B1908" i="1" s="1"/>
  <c r="K1913" i="1"/>
  <c r="B1913" i="1" s="1"/>
  <c r="K1916" i="1"/>
  <c r="B1916" i="1" s="1"/>
  <c r="K1918" i="1" l="1"/>
  <c r="B1918" i="1" s="1"/>
  <c r="K1919" i="1"/>
  <c r="B1919" i="1" s="1"/>
  <c r="K1935" i="1"/>
  <c r="B1935" i="1" s="1"/>
  <c r="K1923" i="1"/>
  <c r="B1923" i="1" s="1"/>
  <c r="K1927" i="1"/>
  <c r="B1927" i="1" s="1"/>
  <c r="K1922" i="1"/>
  <c r="B1922" i="1" s="1"/>
  <c r="K1934" i="1"/>
  <c r="B1934" i="1" s="1"/>
  <c r="K1929" i="1"/>
  <c r="B1929" i="1" s="1"/>
  <c r="K1924" i="1"/>
  <c r="B1924" i="1" s="1"/>
  <c r="K1930" i="1"/>
  <c r="B1930" i="1" s="1"/>
  <c r="K1925" i="1"/>
  <c r="B1925" i="1" s="1"/>
  <c r="K1932" i="1"/>
  <c r="B1932" i="1" s="1"/>
  <c r="K1920" i="1"/>
  <c r="B1920" i="1" s="1"/>
  <c r="K1931" i="1"/>
  <c r="B1931" i="1" s="1"/>
  <c r="K1926" i="1"/>
  <c r="B1926" i="1" s="1"/>
  <c r="K1933" i="1"/>
  <c r="B1933" i="1" s="1"/>
  <c r="K1921" i="1"/>
  <c r="B1921" i="1" s="1"/>
  <c r="K1928" i="1"/>
  <c r="B1928" i="1" s="1"/>
  <c r="B176" i="8"/>
  <c r="J1936" i="1"/>
  <c r="K1936" i="1" s="1"/>
  <c r="B1936" i="1" s="1"/>
  <c r="J1940" i="1"/>
  <c r="J1944" i="1"/>
  <c r="J1948" i="1"/>
  <c r="J1952" i="1"/>
  <c r="J1937" i="1"/>
  <c r="J1941" i="1"/>
  <c r="J1945" i="1"/>
  <c r="J1949" i="1"/>
  <c r="J1953" i="1"/>
  <c r="J1938" i="1"/>
  <c r="J1942" i="1"/>
  <c r="J1946" i="1"/>
  <c r="J1950" i="1"/>
  <c r="J1954" i="1"/>
  <c r="J1939" i="1"/>
  <c r="J1943" i="1"/>
  <c r="J1947" i="1"/>
  <c r="J1951" i="1"/>
  <c r="J1955" i="1"/>
  <c r="K1938" i="1" l="1"/>
  <c r="B1938" i="1" s="1"/>
  <c r="K1937" i="1"/>
  <c r="B1937" i="1" s="1"/>
  <c r="K1943" i="1"/>
  <c r="B1943" i="1" s="1"/>
  <c r="K1955" i="1"/>
  <c r="B1955" i="1" s="1"/>
  <c r="K1951" i="1"/>
  <c r="B1951" i="1" s="1"/>
  <c r="K1939" i="1"/>
  <c r="B1939" i="1" s="1"/>
  <c r="K1950" i="1"/>
  <c r="B1950" i="1" s="1"/>
  <c r="K1945" i="1"/>
  <c r="B1945" i="1" s="1"/>
  <c r="K1952" i="1"/>
  <c r="B1952" i="1" s="1"/>
  <c r="K1940" i="1"/>
  <c r="B1940" i="1" s="1"/>
  <c r="K1946" i="1"/>
  <c r="B1946" i="1" s="1"/>
  <c r="K1953" i="1"/>
  <c r="B1953" i="1" s="1"/>
  <c r="K1941" i="1"/>
  <c r="B1941" i="1" s="1"/>
  <c r="K1948" i="1"/>
  <c r="B1948" i="1" s="1"/>
  <c r="K1947" i="1"/>
  <c r="B1947" i="1" s="1"/>
  <c r="K1954" i="1"/>
  <c r="B1954" i="1" s="1"/>
  <c r="K1942" i="1"/>
  <c r="B1942" i="1" s="1"/>
  <c r="K1949" i="1"/>
  <c r="B1949" i="1" s="1"/>
  <c r="K1944" i="1"/>
  <c r="B1944" i="1" s="1"/>
  <c r="B177" i="8"/>
  <c r="J1956" i="1"/>
  <c r="K1956" i="1" s="1"/>
  <c r="B1956" i="1" s="1"/>
  <c r="J1960" i="1"/>
  <c r="J1957" i="1"/>
  <c r="J1961" i="1"/>
  <c r="J1958" i="1"/>
  <c r="J1962" i="1"/>
  <c r="J1959" i="1"/>
  <c r="K1959" i="1" l="1"/>
  <c r="B1959" i="1" s="1"/>
  <c r="K1957" i="1"/>
  <c r="B1957" i="1" s="1"/>
  <c r="K1958" i="1"/>
  <c r="B1958" i="1" s="1"/>
  <c r="K1960" i="1"/>
  <c r="B1960" i="1" s="1"/>
  <c r="K1961" i="1"/>
  <c r="B1961" i="1" s="1"/>
  <c r="K1962" i="1"/>
  <c r="B1962" i="1" s="1"/>
  <c r="B178" i="8"/>
  <c r="J1964" i="1"/>
  <c r="J1968" i="1"/>
  <c r="J1972" i="1"/>
  <c r="J1965" i="1"/>
  <c r="J1969" i="1"/>
  <c r="J1973" i="1"/>
  <c r="J1966" i="1"/>
  <c r="J1970" i="1"/>
  <c r="J1963" i="1"/>
  <c r="K1963" i="1" s="1"/>
  <c r="B1963" i="1" s="1"/>
  <c r="J1967" i="1"/>
  <c r="J1971" i="1"/>
  <c r="K1967" i="1" l="1"/>
  <c r="B1967" i="1" s="1"/>
  <c r="K1971" i="1"/>
  <c r="B1971" i="1" s="1"/>
  <c r="K1970" i="1"/>
  <c r="B1970" i="1" s="1"/>
  <c r="K1966" i="1"/>
  <c r="B1966" i="1" s="1"/>
  <c r="K1969" i="1"/>
  <c r="B1969" i="1" s="1"/>
  <c r="K1968" i="1"/>
  <c r="B1968" i="1" s="1"/>
  <c r="K1965" i="1"/>
  <c r="B1965" i="1" s="1"/>
  <c r="K1964" i="1"/>
  <c r="B1964" i="1" s="1"/>
  <c r="K1973" i="1"/>
  <c r="B1973" i="1" s="1"/>
  <c r="K1972" i="1"/>
  <c r="B1972" i="1" s="1"/>
  <c r="B179" i="8"/>
  <c r="J1976" i="1"/>
  <c r="J1980" i="1"/>
  <c r="J1977" i="1"/>
  <c r="J1981" i="1"/>
  <c r="J1974" i="1"/>
  <c r="K1974" i="1" s="1"/>
  <c r="B1974" i="1" s="1"/>
  <c r="J1978" i="1"/>
  <c r="J1982" i="1"/>
  <c r="J1975" i="1"/>
  <c r="J1979" i="1"/>
  <c r="K1975" i="1" l="1"/>
  <c r="B1975" i="1" s="1"/>
  <c r="K1980" i="1"/>
  <c r="B1980" i="1" s="1"/>
  <c r="K1982" i="1"/>
  <c r="B1982" i="1" s="1"/>
  <c r="K1981" i="1"/>
  <c r="B1981" i="1" s="1"/>
  <c r="K1976" i="1"/>
  <c r="B1976" i="1" s="1"/>
  <c r="K1979" i="1"/>
  <c r="B1979" i="1" s="1"/>
  <c r="K1978" i="1"/>
  <c r="B1978" i="1" s="1"/>
  <c r="K1977" i="1"/>
  <c r="B1977" i="1" s="1"/>
  <c r="B180" i="8"/>
  <c r="J1984" i="1"/>
  <c r="J1988" i="1"/>
  <c r="J1992" i="1"/>
  <c r="J1985" i="1"/>
  <c r="J1989" i="1"/>
  <c r="J1993" i="1"/>
  <c r="J1986" i="1"/>
  <c r="J1990" i="1"/>
  <c r="J1994" i="1"/>
  <c r="J1983" i="1"/>
  <c r="K1983" i="1" s="1"/>
  <c r="B1983" i="1" s="1"/>
  <c r="J1987" i="1"/>
  <c r="J1991" i="1"/>
  <c r="J1995" i="1"/>
  <c r="K1986" i="1" l="1"/>
  <c r="B1986" i="1" s="1"/>
  <c r="K1995" i="1"/>
  <c r="B1995" i="1" s="1"/>
  <c r="K1984" i="1"/>
  <c r="B1984" i="1" s="1"/>
  <c r="K1991" i="1"/>
  <c r="B1991" i="1" s="1"/>
  <c r="K1994" i="1"/>
  <c r="B1994" i="1" s="1"/>
  <c r="K1993" i="1"/>
  <c r="B1993" i="1" s="1"/>
  <c r="K1992" i="1"/>
  <c r="B1992" i="1" s="1"/>
  <c r="B181" i="8"/>
  <c r="J1996" i="1"/>
  <c r="K1996" i="1" s="1"/>
  <c r="B1996" i="1" s="1"/>
  <c r="J2000" i="1"/>
  <c r="J1997" i="1"/>
  <c r="J2001" i="1"/>
  <c r="J1998" i="1"/>
  <c r="J2002" i="1"/>
  <c r="J1999" i="1"/>
  <c r="K1985" i="1"/>
  <c r="B1985" i="1" s="1"/>
  <c r="K1987" i="1"/>
  <c r="B1987" i="1" s="1"/>
  <c r="K1990" i="1"/>
  <c r="B1990" i="1" s="1"/>
  <c r="K1989" i="1"/>
  <c r="B1989" i="1" s="1"/>
  <c r="K1988" i="1"/>
  <c r="B1988" i="1" s="1"/>
  <c r="K1999" i="1" l="1"/>
  <c r="B1999" i="1" s="1"/>
  <c r="K1998" i="1"/>
  <c r="B1998" i="1" s="1"/>
  <c r="K1997" i="1"/>
  <c r="B1997" i="1" s="1"/>
  <c r="K2002" i="1"/>
  <c r="B2002" i="1" s="1"/>
  <c r="B182" i="8"/>
  <c r="J2004" i="1"/>
  <c r="J2008" i="1"/>
  <c r="J2012" i="1"/>
  <c r="J2005" i="1"/>
  <c r="J2009" i="1"/>
  <c r="J2006" i="1"/>
  <c r="J2010" i="1"/>
  <c r="J2003" i="1"/>
  <c r="K2003" i="1" s="1"/>
  <c r="B2003" i="1" s="1"/>
  <c r="J2007" i="1"/>
  <c r="J2011" i="1"/>
  <c r="K2000" i="1"/>
  <c r="B2000" i="1" s="1"/>
  <c r="K2001" i="1"/>
  <c r="B2001" i="1" s="1"/>
  <c r="K2011" i="1" l="1"/>
  <c r="B2011" i="1" s="1"/>
  <c r="K2007" i="1"/>
  <c r="B2007" i="1" s="1"/>
  <c r="K2010" i="1"/>
  <c r="B2010" i="1" s="1"/>
  <c r="K2005" i="1"/>
  <c r="B2005" i="1" s="1"/>
  <c r="K2004" i="1"/>
  <c r="B2004" i="1" s="1"/>
  <c r="K2006" i="1"/>
  <c r="B2006" i="1" s="1"/>
  <c r="K2012" i="1"/>
  <c r="B2012" i="1" s="1"/>
  <c r="B183" i="8"/>
  <c r="J2016" i="1"/>
  <c r="J2020" i="1"/>
  <c r="J2024" i="1"/>
  <c r="J2013" i="1"/>
  <c r="K2013" i="1" s="1"/>
  <c r="B2013" i="1" s="1"/>
  <c r="J2017" i="1"/>
  <c r="J2021" i="1"/>
  <c r="J2025" i="1"/>
  <c r="J2014" i="1"/>
  <c r="J2018" i="1"/>
  <c r="J2022" i="1"/>
  <c r="J2015" i="1"/>
  <c r="J2019" i="1"/>
  <c r="J2023" i="1"/>
  <c r="K2009" i="1"/>
  <c r="B2009" i="1" s="1"/>
  <c r="K2008" i="1"/>
  <c r="B2008" i="1" s="1"/>
  <c r="K2023" i="1" l="1"/>
  <c r="B2023" i="1" s="1"/>
  <c r="K2022" i="1"/>
  <c r="B2022" i="1" s="1"/>
  <c r="K2025" i="1"/>
  <c r="B2025" i="1" s="1"/>
  <c r="K2016" i="1"/>
  <c r="B2016" i="1" s="1"/>
  <c r="K2019" i="1"/>
  <c r="B2019" i="1" s="1"/>
  <c r="K2018" i="1"/>
  <c r="B2018" i="1" s="1"/>
  <c r="K2021" i="1"/>
  <c r="B2021" i="1" s="1"/>
  <c r="K2024" i="1"/>
  <c r="B2024" i="1" s="1"/>
  <c r="B184" i="8"/>
  <c r="J2028" i="1"/>
  <c r="J2032" i="1"/>
  <c r="J2036" i="1"/>
  <c r="J2029" i="1"/>
  <c r="J2033" i="1"/>
  <c r="J2037" i="1"/>
  <c r="J2026" i="1"/>
  <c r="K2026" i="1" s="1"/>
  <c r="B2026" i="1" s="1"/>
  <c r="J2030" i="1"/>
  <c r="J2034" i="1"/>
  <c r="J2038" i="1"/>
  <c r="J2027" i="1"/>
  <c r="J2031" i="1"/>
  <c r="J2035" i="1"/>
  <c r="J2039" i="1"/>
  <c r="K2015" i="1"/>
  <c r="B2015" i="1" s="1"/>
  <c r="K2014" i="1"/>
  <c r="B2014" i="1" s="1"/>
  <c r="K2017" i="1"/>
  <c r="B2017" i="1" s="1"/>
  <c r="K2020" i="1"/>
  <c r="B2020" i="1" s="1"/>
  <c r="K2035" i="1" l="1"/>
  <c r="B2035" i="1" s="1"/>
  <c r="K2039" i="1"/>
  <c r="B2039" i="1" s="1"/>
  <c r="K2027" i="1"/>
  <c r="B2027" i="1" s="1"/>
  <c r="K2038" i="1"/>
  <c r="B2038" i="1" s="1"/>
  <c r="K2029" i="1"/>
  <c r="B2029" i="1" s="1"/>
  <c r="K2028" i="1"/>
  <c r="B2028" i="1" s="1"/>
  <c r="K2031" i="1"/>
  <c r="B2031" i="1" s="1"/>
  <c r="K2034" i="1"/>
  <c r="B2034" i="1" s="1"/>
  <c r="K2037" i="1"/>
  <c r="B2037" i="1" s="1"/>
  <c r="K2036" i="1"/>
  <c r="B2036" i="1" s="1"/>
  <c r="B185" i="8"/>
  <c r="J2040" i="1"/>
  <c r="K2040" i="1" s="1"/>
  <c r="B2040" i="1" s="1"/>
  <c r="J2044" i="1"/>
  <c r="J2048" i="1"/>
  <c r="J2041" i="1"/>
  <c r="J2045" i="1"/>
  <c r="J2049" i="1"/>
  <c r="J2042" i="1"/>
  <c r="J2046" i="1"/>
  <c r="J2043" i="1"/>
  <c r="J2047" i="1"/>
  <c r="K2030" i="1"/>
  <c r="B2030" i="1" s="1"/>
  <c r="K2033" i="1"/>
  <c r="B2033" i="1" s="1"/>
  <c r="K2032" i="1"/>
  <c r="B2032" i="1" s="1"/>
  <c r="K2041" i="1" l="1"/>
  <c r="B2041" i="1" s="1"/>
  <c r="K2042" i="1"/>
  <c r="B2042" i="1" s="1"/>
  <c r="K2047" i="1"/>
  <c r="B2047" i="1" s="1"/>
  <c r="K2043" i="1"/>
  <c r="B2043" i="1" s="1"/>
  <c r="K2046" i="1"/>
  <c r="B2046" i="1" s="1"/>
  <c r="K2045" i="1"/>
  <c r="B2045" i="1" s="1"/>
  <c r="K2049" i="1"/>
  <c r="B2049" i="1" s="1"/>
  <c r="K2048" i="1"/>
  <c r="B2048" i="1" s="1"/>
  <c r="B186" i="8"/>
  <c r="J2052" i="1"/>
  <c r="J2056" i="1"/>
  <c r="J2053" i="1"/>
  <c r="J2057" i="1"/>
  <c r="J2050" i="1"/>
  <c r="K2050" i="1" s="1"/>
  <c r="B2050" i="1" s="1"/>
  <c r="J2054" i="1"/>
  <c r="J2051" i="1"/>
  <c r="J2055" i="1"/>
  <c r="K2044" i="1"/>
  <c r="B2044" i="1" s="1"/>
  <c r="K2055" i="1" l="1"/>
  <c r="B2055" i="1" s="1"/>
  <c r="K2051" i="1"/>
  <c r="B2051" i="1" s="1"/>
  <c r="K2054" i="1"/>
  <c r="B2054" i="1" s="1"/>
  <c r="K2053" i="1"/>
  <c r="B2053" i="1" s="1"/>
  <c r="B187" i="8"/>
  <c r="J2060" i="1"/>
  <c r="J2064" i="1"/>
  <c r="J2068" i="1"/>
  <c r="J2072" i="1"/>
  <c r="J2061" i="1"/>
  <c r="J2065" i="1"/>
  <c r="J2069" i="1"/>
  <c r="J2058" i="1"/>
  <c r="K2058" i="1" s="1"/>
  <c r="B2058" i="1" s="1"/>
  <c r="J2062" i="1"/>
  <c r="J2066" i="1"/>
  <c r="J2070" i="1"/>
  <c r="J2059" i="1"/>
  <c r="J2063" i="1"/>
  <c r="J2067" i="1"/>
  <c r="J2071" i="1"/>
  <c r="K2056" i="1"/>
  <c r="B2056" i="1" s="1"/>
  <c r="K2057" i="1"/>
  <c r="B2057" i="1" s="1"/>
  <c r="K2052" i="1"/>
  <c r="B2052" i="1" s="1"/>
  <c r="K2071" i="1" l="1"/>
  <c r="B2071" i="1" s="1"/>
  <c r="K2059" i="1"/>
  <c r="B2059" i="1" s="1"/>
  <c r="K2067" i="1"/>
  <c r="B2067" i="1" s="1"/>
  <c r="K2063" i="1"/>
  <c r="B2063" i="1" s="1"/>
  <c r="K2062" i="1"/>
  <c r="B2062" i="1" s="1"/>
  <c r="K2065" i="1"/>
  <c r="B2065" i="1" s="1"/>
  <c r="K2068" i="1"/>
  <c r="B2068" i="1" s="1"/>
  <c r="B188" i="8"/>
  <c r="J2076" i="1"/>
  <c r="J2080" i="1"/>
  <c r="J2084" i="1"/>
  <c r="J2073" i="1"/>
  <c r="K2073" i="1" s="1"/>
  <c r="B2073" i="1" s="1"/>
  <c r="J2077" i="1"/>
  <c r="J2081" i="1"/>
  <c r="J2074" i="1"/>
  <c r="J2078" i="1"/>
  <c r="J2082" i="1"/>
  <c r="J2075" i="1"/>
  <c r="J2079" i="1"/>
  <c r="J2083" i="1"/>
  <c r="K2070" i="1"/>
  <c r="B2070" i="1" s="1"/>
  <c r="K2061" i="1"/>
  <c r="B2061" i="1" s="1"/>
  <c r="K2064" i="1"/>
  <c r="B2064" i="1" s="1"/>
  <c r="K2066" i="1"/>
  <c r="B2066" i="1" s="1"/>
  <c r="K2069" i="1"/>
  <c r="B2069" i="1" s="1"/>
  <c r="K2072" i="1"/>
  <c r="B2072" i="1" s="1"/>
  <c r="K2060" i="1"/>
  <c r="B2060" i="1" s="1"/>
  <c r="K2074" i="1" l="1"/>
  <c r="B2074" i="1" s="1"/>
  <c r="K2075" i="1"/>
  <c r="B2075" i="1" s="1"/>
  <c r="K2079" i="1"/>
  <c r="B2079" i="1" s="1"/>
  <c r="K2078" i="1"/>
  <c r="B2078" i="1" s="1"/>
  <c r="K2083" i="1"/>
  <c r="B2083" i="1" s="1"/>
  <c r="K2077" i="1"/>
  <c r="B2077" i="1" s="1"/>
  <c r="K2080" i="1"/>
  <c r="B2080" i="1" s="1"/>
  <c r="K2076" i="1"/>
  <c r="B2076" i="1" s="1"/>
  <c r="K2082" i="1"/>
  <c r="B2082" i="1" s="1"/>
  <c r="K2081" i="1"/>
  <c r="B2081" i="1" s="1"/>
  <c r="K2084" i="1"/>
  <c r="B2084" i="1" s="1"/>
  <c r="B189" i="8"/>
  <c r="J2088" i="1"/>
  <c r="J2092" i="1"/>
  <c r="J2096" i="1"/>
  <c r="J2085" i="1"/>
  <c r="K2085" i="1" s="1"/>
  <c r="B2085" i="1" s="1"/>
  <c r="J2089" i="1"/>
  <c r="J2093" i="1"/>
  <c r="J2086" i="1"/>
  <c r="K2086" i="1" s="1"/>
  <c r="B2086" i="1" s="1"/>
  <c r="J2090" i="1"/>
  <c r="J2094" i="1"/>
  <c r="J2087" i="1"/>
  <c r="J2091" i="1"/>
  <c r="J2095" i="1"/>
  <c r="K2087" i="1" l="1"/>
  <c r="B2087" i="1" s="1"/>
  <c r="K2091" i="1"/>
  <c r="B2091" i="1" s="1"/>
  <c r="K2090" i="1"/>
  <c r="B2090" i="1" s="1"/>
  <c r="K2095" i="1"/>
  <c r="B2095" i="1" s="1"/>
  <c r="K2089" i="1"/>
  <c r="B2089" i="1" s="1"/>
  <c r="K2092" i="1"/>
  <c r="B2092" i="1" s="1"/>
  <c r="K2088" i="1"/>
  <c r="B2088" i="1" s="1"/>
  <c r="K2094" i="1"/>
  <c r="B2094" i="1" s="1"/>
  <c r="K2093" i="1"/>
  <c r="B2093" i="1" s="1"/>
  <c r="K2096" i="1"/>
  <c r="B2096" i="1" s="1"/>
  <c r="B190" i="8"/>
  <c r="J2100" i="1"/>
  <c r="J2104" i="1"/>
  <c r="J2108" i="1"/>
  <c r="J2097" i="1"/>
  <c r="K2097" i="1" s="1"/>
  <c r="B2097" i="1" s="1"/>
  <c r="J2101" i="1"/>
  <c r="J2105" i="1"/>
  <c r="J2109" i="1"/>
  <c r="J2098" i="1"/>
  <c r="J2102" i="1"/>
  <c r="J2106" i="1"/>
  <c r="J2110" i="1"/>
  <c r="J2099" i="1"/>
  <c r="J2103" i="1"/>
  <c r="J2107" i="1"/>
  <c r="K2098" i="1" l="1"/>
  <c r="B2098" i="1" s="1"/>
  <c r="K2107" i="1"/>
  <c r="B2107" i="1" s="1"/>
  <c r="K2110" i="1"/>
  <c r="B2110" i="1" s="1"/>
  <c r="K2101" i="1"/>
  <c r="B2101" i="1" s="1"/>
  <c r="K2103" i="1"/>
  <c r="B2103" i="1" s="1"/>
  <c r="K2104" i="1"/>
  <c r="B2104" i="1" s="1"/>
  <c r="K2106" i="1"/>
  <c r="B2106" i="1" s="1"/>
  <c r="K2109" i="1"/>
  <c r="B2109" i="1" s="1"/>
  <c r="K2100" i="1"/>
  <c r="B2100" i="1" s="1"/>
  <c r="K2099" i="1"/>
  <c r="B2099" i="1" s="1"/>
  <c r="K2102" i="1"/>
  <c r="B2102" i="1" s="1"/>
  <c r="K2105" i="1"/>
  <c r="B2105" i="1" s="1"/>
  <c r="K2108" i="1"/>
  <c r="B2108" i="1" s="1"/>
  <c r="B191" i="8"/>
  <c r="J2112" i="1"/>
  <c r="J2116" i="1"/>
  <c r="J2120" i="1"/>
  <c r="J2124" i="1"/>
  <c r="J2128" i="1"/>
  <c r="J2113" i="1"/>
  <c r="J2117" i="1"/>
  <c r="J2121" i="1"/>
  <c r="J2125" i="1"/>
  <c r="J2129" i="1"/>
  <c r="J2114" i="1"/>
  <c r="J2118" i="1"/>
  <c r="J2122" i="1"/>
  <c r="J2126" i="1"/>
  <c r="J2130" i="1"/>
  <c r="J2111" i="1"/>
  <c r="K2111" i="1" s="1"/>
  <c r="B2111" i="1" s="1"/>
  <c r="J2115" i="1"/>
  <c r="J2119" i="1"/>
  <c r="J2123" i="1"/>
  <c r="J2127" i="1"/>
  <c r="K2123" i="1" l="1"/>
  <c r="B2123" i="1" s="1"/>
  <c r="K2127" i="1"/>
  <c r="B2127" i="1" s="1"/>
  <c r="K2115" i="1"/>
  <c r="B2115" i="1" s="1"/>
  <c r="K2119" i="1"/>
  <c r="B2119" i="1" s="1"/>
  <c r="K2130" i="1"/>
  <c r="B2130" i="1" s="1"/>
  <c r="K2118" i="1"/>
  <c r="B2118" i="1" s="1"/>
  <c r="K2125" i="1"/>
  <c r="B2125" i="1" s="1"/>
  <c r="K2113" i="1"/>
  <c r="B2113" i="1" s="1"/>
  <c r="K2120" i="1"/>
  <c r="B2120" i="1" s="1"/>
  <c r="B192" i="8"/>
  <c r="J2132" i="1"/>
  <c r="J2133" i="1"/>
  <c r="J2134" i="1"/>
  <c r="J2131" i="1"/>
  <c r="K2131" i="1" s="1"/>
  <c r="B2131" i="1" s="1"/>
  <c r="J2135" i="1"/>
  <c r="K2126" i="1"/>
  <c r="B2126" i="1" s="1"/>
  <c r="K2114" i="1"/>
  <c r="B2114" i="1" s="1"/>
  <c r="K2121" i="1"/>
  <c r="B2121" i="1" s="1"/>
  <c r="K2128" i="1"/>
  <c r="B2128" i="1" s="1"/>
  <c r="K2116" i="1"/>
  <c r="B2116" i="1" s="1"/>
  <c r="K2122" i="1"/>
  <c r="B2122" i="1" s="1"/>
  <c r="K2129" i="1"/>
  <c r="B2129" i="1" s="1"/>
  <c r="K2117" i="1"/>
  <c r="B2117" i="1" s="1"/>
  <c r="K2124" i="1"/>
  <c r="B2124" i="1" s="1"/>
  <c r="K2112" i="1"/>
  <c r="B2112" i="1" s="1"/>
  <c r="K2135" i="1" l="1"/>
  <c r="B2135" i="1" s="1"/>
  <c r="K2134" i="1"/>
  <c r="B2134" i="1" s="1"/>
  <c r="B193" i="8"/>
  <c r="J2136" i="1"/>
  <c r="K2136" i="1" s="1"/>
  <c r="B2136" i="1" s="1"/>
  <c r="J2140" i="1"/>
  <c r="J2144" i="1"/>
  <c r="J2148" i="1"/>
  <c r="J2152" i="1"/>
  <c r="J2156" i="1"/>
  <c r="J2160" i="1"/>
  <c r="J2164" i="1"/>
  <c r="J2168" i="1"/>
  <c r="J2137" i="1"/>
  <c r="J2141" i="1"/>
  <c r="J2145" i="1"/>
  <c r="J2149" i="1"/>
  <c r="J2153" i="1"/>
  <c r="J2157" i="1"/>
  <c r="J2161" i="1"/>
  <c r="J2165" i="1"/>
  <c r="J2169" i="1"/>
  <c r="J2138" i="1"/>
  <c r="J2142" i="1"/>
  <c r="J2146" i="1"/>
  <c r="J2150" i="1"/>
  <c r="J2154" i="1"/>
  <c r="J2158" i="1"/>
  <c r="J2162" i="1"/>
  <c r="J2166" i="1"/>
  <c r="J2170" i="1"/>
  <c r="J2139" i="1"/>
  <c r="J2143" i="1"/>
  <c r="J2147" i="1"/>
  <c r="J2151" i="1"/>
  <c r="J2155" i="1"/>
  <c r="J2159" i="1"/>
  <c r="J2163" i="1"/>
  <c r="J2167" i="1"/>
  <c r="J2171" i="1"/>
  <c r="K2133" i="1"/>
  <c r="B2133" i="1" s="1"/>
  <c r="K2132" i="1"/>
  <c r="B2132" i="1" s="1"/>
  <c r="K2137" i="1" l="1"/>
  <c r="B2137" i="1" s="1"/>
  <c r="K2138" i="1"/>
  <c r="B2138" i="1" s="1"/>
  <c r="K2139" i="1"/>
  <c r="B2139" i="1" s="1"/>
  <c r="K2151" i="1"/>
  <c r="B2151" i="1" s="1"/>
  <c r="K2163" i="1"/>
  <c r="B2163" i="1" s="1"/>
  <c r="K2167" i="1"/>
  <c r="B2167" i="1" s="1"/>
  <c r="K2155" i="1"/>
  <c r="B2155" i="1" s="1"/>
  <c r="K2143" i="1"/>
  <c r="B2143" i="1" s="1"/>
  <c r="K2162" i="1"/>
  <c r="B2162" i="1" s="1"/>
  <c r="K2150" i="1"/>
  <c r="B2150" i="1" s="1"/>
  <c r="K2161" i="1"/>
  <c r="B2161" i="1" s="1"/>
  <c r="K2149" i="1"/>
  <c r="B2149" i="1" s="1"/>
  <c r="K2160" i="1"/>
  <c r="B2160" i="1" s="1"/>
  <c r="K2148" i="1"/>
  <c r="B2148" i="1" s="1"/>
  <c r="K2171" i="1"/>
  <c r="B2171" i="1" s="1"/>
  <c r="K2159" i="1"/>
  <c r="B2159" i="1" s="1"/>
  <c r="K2147" i="1"/>
  <c r="B2147" i="1" s="1"/>
  <c r="K2170" i="1"/>
  <c r="B2170" i="1" s="1"/>
  <c r="K2158" i="1"/>
  <c r="B2158" i="1" s="1"/>
  <c r="K2146" i="1"/>
  <c r="B2146" i="1" s="1"/>
  <c r="K2169" i="1"/>
  <c r="B2169" i="1" s="1"/>
  <c r="K2157" i="1"/>
  <c r="B2157" i="1" s="1"/>
  <c r="K2145" i="1"/>
  <c r="B2145" i="1" s="1"/>
  <c r="K2168" i="1"/>
  <c r="B2168" i="1" s="1"/>
  <c r="K2156" i="1"/>
  <c r="B2156" i="1" s="1"/>
  <c r="K2144" i="1"/>
  <c r="B2144" i="1" s="1"/>
  <c r="B194" i="8"/>
  <c r="J2172" i="1"/>
  <c r="K2172" i="1" s="1"/>
  <c r="B2172" i="1" s="1"/>
  <c r="J2176" i="1"/>
  <c r="J2180" i="1"/>
  <c r="J2173" i="1"/>
  <c r="J2177" i="1"/>
  <c r="J2181" i="1"/>
  <c r="J2174" i="1"/>
  <c r="J2178" i="1"/>
  <c r="J2175" i="1"/>
  <c r="J2179" i="1"/>
  <c r="K2166" i="1"/>
  <c r="B2166" i="1" s="1"/>
  <c r="K2154" i="1"/>
  <c r="B2154" i="1" s="1"/>
  <c r="K2142" i="1"/>
  <c r="B2142" i="1" s="1"/>
  <c r="K2165" i="1"/>
  <c r="B2165" i="1" s="1"/>
  <c r="K2153" i="1"/>
  <c r="B2153" i="1" s="1"/>
  <c r="K2141" i="1"/>
  <c r="B2141" i="1" s="1"/>
  <c r="K2164" i="1"/>
  <c r="B2164" i="1" s="1"/>
  <c r="K2152" i="1"/>
  <c r="B2152" i="1" s="1"/>
  <c r="K2140" i="1"/>
  <c r="B2140" i="1" s="1"/>
  <c r="K2174" i="1" l="1"/>
  <c r="B2174" i="1" s="1"/>
  <c r="K2173" i="1"/>
  <c r="B2173" i="1" s="1"/>
  <c r="K2179" i="1"/>
  <c r="B2179" i="1" s="1"/>
  <c r="K2178" i="1"/>
  <c r="B2178" i="1" s="1"/>
  <c r="K2177" i="1"/>
  <c r="B2177" i="1" s="1"/>
  <c r="K2175" i="1"/>
  <c r="B2175" i="1" s="1"/>
  <c r="K2176" i="1"/>
  <c r="B2176" i="1" s="1"/>
  <c r="K2181" i="1"/>
  <c r="B2181" i="1" s="1"/>
  <c r="K2180" i="1"/>
  <c r="B2180" i="1" s="1"/>
  <c r="B195" i="8"/>
  <c r="J2184" i="1"/>
  <c r="J2188" i="1"/>
  <c r="J2185" i="1"/>
  <c r="J2189" i="1"/>
  <c r="J2182" i="1"/>
  <c r="K2182" i="1" s="1"/>
  <c r="B2182" i="1" s="1"/>
  <c r="J2186" i="1"/>
  <c r="J2190" i="1"/>
  <c r="J2183" i="1"/>
  <c r="J2187" i="1"/>
  <c r="J2191" i="1"/>
  <c r="K2183" i="1" l="1"/>
  <c r="B2183" i="1" s="1"/>
  <c r="K2191" i="1"/>
  <c r="B2191" i="1" s="1"/>
  <c r="K2187" i="1"/>
  <c r="B2187" i="1" s="1"/>
  <c r="K2190" i="1"/>
  <c r="B2190" i="1" s="1"/>
  <c r="K2188" i="1"/>
  <c r="B2188" i="1" s="1"/>
  <c r="K2189" i="1"/>
  <c r="B2189" i="1" s="1"/>
  <c r="K2184" i="1"/>
  <c r="B2184" i="1" s="1"/>
  <c r="K2186" i="1"/>
  <c r="B2186" i="1" s="1"/>
  <c r="K2185" i="1"/>
  <c r="B2185" i="1" s="1"/>
  <c r="B196" i="8"/>
  <c r="J2192" i="1"/>
  <c r="K2192" i="1" s="1"/>
  <c r="B2192" i="1" s="1"/>
  <c r="J2196" i="1"/>
  <c r="J2200" i="1"/>
  <c r="J2204" i="1"/>
  <c r="J2193" i="1"/>
  <c r="J2197" i="1"/>
  <c r="J2201" i="1"/>
  <c r="J2205" i="1"/>
  <c r="J2194" i="1"/>
  <c r="J2198" i="1"/>
  <c r="J2202" i="1"/>
  <c r="J2195" i="1"/>
  <c r="J2199" i="1"/>
  <c r="J2203" i="1"/>
  <c r="K2203" i="1" l="1"/>
  <c r="B2203" i="1" s="1"/>
  <c r="K2193" i="1"/>
  <c r="B2193" i="1" s="1"/>
  <c r="K2199" i="1"/>
  <c r="B2199" i="1" s="1"/>
  <c r="K2202" i="1"/>
  <c r="B2202" i="1" s="1"/>
  <c r="K2195" i="1"/>
  <c r="B2195" i="1" s="1"/>
  <c r="K2198" i="1"/>
  <c r="B2198" i="1" s="1"/>
  <c r="K2194" i="1"/>
  <c r="B2194" i="1" s="1"/>
  <c r="K2197" i="1"/>
  <c r="B2197" i="1" s="1"/>
  <c r="K2200" i="1"/>
  <c r="B2200" i="1" s="1"/>
  <c r="B197" i="8"/>
  <c r="J2208" i="1"/>
  <c r="J2212" i="1"/>
  <c r="J2209" i="1"/>
  <c r="J2213" i="1"/>
  <c r="J2206" i="1"/>
  <c r="K2206" i="1" s="1"/>
  <c r="B2206" i="1" s="1"/>
  <c r="J2210" i="1"/>
  <c r="J2207" i="1"/>
  <c r="J2211" i="1"/>
  <c r="K2205" i="1"/>
  <c r="B2205" i="1" s="1"/>
  <c r="K2196" i="1"/>
  <c r="B2196" i="1" s="1"/>
  <c r="K2201" i="1"/>
  <c r="B2201" i="1" s="1"/>
  <c r="K2204" i="1"/>
  <c r="B2204" i="1" s="1"/>
  <c r="K2211" i="1" l="1"/>
  <c r="B2211" i="1" s="1"/>
  <c r="K2207" i="1"/>
  <c r="B2207" i="1" s="1"/>
  <c r="K2210" i="1"/>
  <c r="B2210" i="1" s="1"/>
  <c r="K2209" i="1"/>
  <c r="B2209" i="1" s="1"/>
  <c r="B198" i="8"/>
  <c r="J2216" i="1"/>
  <c r="J2220" i="1"/>
  <c r="J2217" i="1"/>
  <c r="J2221" i="1"/>
  <c r="J2214" i="1"/>
  <c r="K2214" i="1" s="1"/>
  <c r="B2214" i="1" s="1"/>
  <c r="J2218" i="1"/>
  <c r="J2215" i="1"/>
  <c r="J2219" i="1"/>
  <c r="K2212" i="1"/>
  <c r="B2212" i="1" s="1"/>
  <c r="K2213" i="1"/>
  <c r="B2213" i="1" s="1"/>
  <c r="K2208" i="1"/>
  <c r="B2208" i="1" s="1"/>
  <c r="K2215" i="1" l="1"/>
  <c r="B2215" i="1" s="1"/>
  <c r="K2219" i="1"/>
  <c r="B2219" i="1" s="1"/>
  <c r="K2218" i="1"/>
  <c r="B2218" i="1" s="1"/>
  <c r="K2217" i="1"/>
  <c r="B2217" i="1" s="1"/>
  <c r="B199" i="8"/>
  <c r="J2224" i="1"/>
  <c r="J2228" i="1"/>
  <c r="J2225" i="1"/>
  <c r="J2229" i="1"/>
  <c r="J2222" i="1"/>
  <c r="K2222" i="1" s="1"/>
  <c r="B2222" i="1" s="1"/>
  <c r="J2226" i="1"/>
  <c r="J2230" i="1"/>
  <c r="J2223" i="1"/>
  <c r="J2227" i="1"/>
  <c r="K2220" i="1"/>
  <c r="B2220" i="1" s="1"/>
  <c r="K2221" i="1"/>
  <c r="B2221" i="1" s="1"/>
  <c r="K2216" i="1"/>
  <c r="B2216" i="1" s="1"/>
  <c r="K2223" i="1" l="1"/>
  <c r="B2223" i="1" s="1"/>
  <c r="K2230" i="1"/>
  <c r="B2230" i="1" s="1"/>
  <c r="K2227" i="1"/>
  <c r="B2227" i="1" s="1"/>
  <c r="K2226" i="1"/>
  <c r="B2226" i="1" s="1"/>
  <c r="K2225" i="1"/>
  <c r="B2225" i="1" s="1"/>
  <c r="B200" i="8"/>
  <c r="J2232" i="1"/>
  <c r="J2236" i="1"/>
  <c r="J2233" i="1"/>
  <c r="J2237" i="1"/>
  <c r="J2234" i="1"/>
  <c r="J2238" i="1"/>
  <c r="J2231" i="1"/>
  <c r="K2231" i="1" s="1"/>
  <c r="B2231" i="1" s="1"/>
  <c r="J2235" i="1"/>
  <c r="K2228" i="1"/>
  <c r="B2228" i="1" s="1"/>
  <c r="K2229" i="1"/>
  <c r="B2229" i="1" s="1"/>
  <c r="K2224" i="1"/>
  <c r="B2224" i="1" s="1"/>
  <c r="K2235" i="1" l="1"/>
  <c r="B2235" i="1" s="1"/>
  <c r="K2238" i="1"/>
  <c r="B2238" i="1" s="1"/>
  <c r="K2233" i="1"/>
  <c r="B2233" i="1" s="1"/>
  <c r="B201" i="8"/>
  <c r="J2240" i="1"/>
  <c r="J2244" i="1"/>
  <c r="J2248" i="1"/>
  <c r="J2241" i="1"/>
  <c r="J2245" i="1"/>
  <c r="J2249" i="1"/>
  <c r="J2242" i="1"/>
  <c r="J2246" i="1"/>
  <c r="J2250" i="1"/>
  <c r="J2239" i="1"/>
  <c r="K2239" i="1" s="1"/>
  <c r="B2239" i="1" s="1"/>
  <c r="J2243" i="1"/>
  <c r="J2247" i="1"/>
  <c r="K2234" i="1"/>
  <c r="B2234" i="1" s="1"/>
  <c r="K2236" i="1"/>
  <c r="B2236" i="1" s="1"/>
  <c r="K2237" i="1"/>
  <c r="B2237" i="1" s="1"/>
  <c r="K2232" i="1"/>
  <c r="B2232" i="1" s="1"/>
  <c r="K2243" i="1" l="1"/>
  <c r="B2243" i="1" s="1"/>
  <c r="K2247" i="1"/>
  <c r="B2247" i="1" s="1"/>
  <c r="K2250" i="1"/>
  <c r="B2250" i="1" s="1"/>
  <c r="K2249" i="1"/>
  <c r="B2249" i="1" s="1"/>
  <c r="K2248" i="1"/>
  <c r="B2248" i="1" s="1"/>
  <c r="B202" i="8"/>
  <c r="J2252" i="1"/>
  <c r="J2256" i="1"/>
  <c r="J2253" i="1"/>
  <c r="J2257" i="1"/>
  <c r="J2254" i="1"/>
  <c r="J2258" i="1"/>
  <c r="J2251" i="1"/>
  <c r="K2251" i="1" s="1"/>
  <c r="B2251" i="1" s="1"/>
  <c r="J2255" i="1"/>
  <c r="J2259" i="1"/>
  <c r="K2246" i="1"/>
  <c r="B2246" i="1" s="1"/>
  <c r="K2245" i="1"/>
  <c r="B2245" i="1" s="1"/>
  <c r="K2244" i="1"/>
  <c r="B2244" i="1" s="1"/>
  <c r="K2242" i="1"/>
  <c r="B2242" i="1" s="1"/>
  <c r="K2241" i="1"/>
  <c r="B2241" i="1" s="1"/>
  <c r="K2240" i="1"/>
  <c r="B2240" i="1" s="1"/>
  <c r="K2255" i="1" l="1"/>
  <c r="B2255" i="1" s="1"/>
  <c r="K2254" i="1"/>
  <c r="B2254" i="1" s="1"/>
  <c r="K2259" i="1"/>
  <c r="B2259" i="1" s="1"/>
  <c r="K2256" i="1"/>
  <c r="B2256" i="1" s="1"/>
  <c r="K2257" i="1"/>
  <c r="B2257" i="1" s="1"/>
  <c r="K2252" i="1"/>
  <c r="B2252" i="1" s="1"/>
  <c r="K2258" i="1"/>
  <c r="B2258" i="1" s="1"/>
  <c r="K2253" i="1"/>
  <c r="B2253" i="1" s="1"/>
  <c r="B203" i="8"/>
  <c r="J2260" i="1"/>
  <c r="K2260" i="1" s="1"/>
  <c r="B2260" i="1" s="1"/>
  <c r="J2264" i="1"/>
  <c r="J2268" i="1"/>
  <c r="J2272" i="1"/>
  <c r="J2261" i="1"/>
  <c r="J2265" i="1"/>
  <c r="J2269" i="1"/>
  <c r="J2262" i="1"/>
  <c r="J2266" i="1"/>
  <c r="J2270" i="1"/>
  <c r="J2263" i="1"/>
  <c r="J2267" i="1"/>
  <c r="J2271" i="1"/>
  <c r="K2263" i="1" l="1"/>
  <c r="B2263" i="1" s="1"/>
  <c r="K2262" i="1"/>
  <c r="B2262" i="1" s="1"/>
  <c r="K2261" i="1"/>
  <c r="B2261" i="1" s="1"/>
  <c r="K2271" i="1"/>
  <c r="B2271" i="1" s="1"/>
  <c r="K2270" i="1"/>
  <c r="B2270" i="1" s="1"/>
  <c r="K2267" i="1"/>
  <c r="B2267" i="1" s="1"/>
  <c r="K2266" i="1"/>
  <c r="B2266" i="1" s="1"/>
  <c r="K2265" i="1"/>
  <c r="B2265" i="1" s="1"/>
  <c r="K2268" i="1"/>
  <c r="B2268" i="1" s="1"/>
  <c r="B204" i="8"/>
  <c r="J2276" i="1"/>
  <c r="J2280" i="1"/>
  <c r="J2273" i="1"/>
  <c r="K2273" i="1" s="1"/>
  <c r="B2273" i="1" s="1"/>
  <c r="J2277" i="1"/>
  <c r="J2274" i="1"/>
  <c r="J2278" i="1"/>
  <c r="J2275" i="1"/>
  <c r="J2279" i="1"/>
  <c r="K2264" i="1"/>
  <c r="B2264" i="1" s="1"/>
  <c r="K2269" i="1"/>
  <c r="B2269" i="1" s="1"/>
  <c r="K2272" i="1"/>
  <c r="B2272" i="1" s="1"/>
  <c r="K2274" i="1" l="1"/>
  <c r="B2274" i="1" s="1"/>
  <c r="K2279" i="1"/>
  <c r="B2279" i="1" s="1"/>
  <c r="K2275" i="1"/>
  <c r="B2275" i="1" s="1"/>
  <c r="K2280" i="1"/>
  <c r="B2280" i="1" s="1"/>
  <c r="K2277" i="1"/>
  <c r="B2277" i="1" s="1"/>
  <c r="K2276" i="1"/>
  <c r="B2276" i="1" s="1"/>
  <c r="K2278" i="1"/>
  <c r="B2278" i="1" s="1"/>
  <c r="B205" i="8"/>
  <c r="J2284" i="1"/>
  <c r="J2281" i="1"/>
  <c r="K2281" i="1" s="1"/>
  <c r="B2281" i="1" s="1"/>
  <c r="J2285" i="1"/>
  <c r="J2282" i="1"/>
  <c r="J2286" i="1"/>
  <c r="J2283" i="1"/>
  <c r="K2282" i="1" l="1"/>
  <c r="B2282" i="1" s="1"/>
  <c r="K2286" i="1"/>
  <c r="B2286" i="1" s="1"/>
  <c r="K2283" i="1"/>
  <c r="B2283" i="1" s="1"/>
  <c r="K2284" i="1"/>
  <c r="B2284" i="1" s="1"/>
  <c r="K2285" i="1"/>
  <c r="B2285" i="1" s="1"/>
  <c r="B206" i="8"/>
  <c r="J2288" i="1"/>
  <c r="J2292" i="1"/>
  <c r="J2289" i="1"/>
  <c r="J2293" i="1"/>
  <c r="J2290" i="1"/>
  <c r="J2287" i="1"/>
  <c r="K2287" i="1" s="1"/>
  <c r="B2287" i="1" s="1"/>
  <c r="J2291" i="1"/>
  <c r="K2291" i="1" l="1"/>
  <c r="B2291" i="1" s="1"/>
  <c r="K2290" i="1"/>
  <c r="B2290" i="1" s="1"/>
  <c r="K2293" i="1"/>
  <c r="B2293" i="1" s="1"/>
  <c r="K2288" i="1"/>
  <c r="B2288" i="1" s="1"/>
  <c r="K2289" i="1"/>
  <c r="B2289" i="1" s="1"/>
  <c r="B207" i="8"/>
  <c r="J2296" i="1"/>
  <c r="J2297" i="1"/>
  <c r="J2294" i="1"/>
  <c r="K2294" i="1" s="1"/>
  <c r="B2294" i="1" s="1"/>
  <c r="J2298" i="1"/>
  <c r="J2295" i="1"/>
  <c r="J2299" i="1"/>
  <c r="K2292" i="1"/>
  <c r="B2292" i="1" s="1"/>
  <c r="K2295" i="1" l="1"/>
  <c r="B2295" i="1" s="1"/>
  <c r="K2299" i="1"/>
  <c r="B2299" i="1" s="1"/>
  <c r="K2298" i="1"/>
  <c r="B2298" i="1" s="1"/>
  <c r="K2296" i="1"/>
  <c r="B2296" i="1" s="1"/>
  <c r="B208" i="8"/>
  <c r="J2300" i="1"/>
  <c r="K2300" i="1" s="1"/>
  <c r="B2300" i="1" s="1"/>
  <c r="J2304" i="1"/>
  <c r="J2301" i="1"/>
  <c r="J2305" i="1"/>
  <c r="J2302" i="1"/>
  <c r="J2306" i="1"/>
  <c r="J2303" i="1"/>
  <c r="J2307" i="1"/>
  <c r="K2297" i="1"/>
  <c r="B2297" i="1" s="1"/>
  <c r="K2307" i="1" l="1"/>
  <c r="B2307" i="1" s="1"/>
  <c r="K2303" i="1"/>
  <c r="B2303" i="1" s="1"/>
  <c r="K2302" i="1"/>
  <c r="B2302" i="1" s="1"/>
  <c r="K2301" i="1"/>
  <c r="B2301" i="1" s="1"/>
  <c r="K2305" i="1"/>
  <c r="B2305" i="1" s="1"/>
  <c r="K2306" i="1"/>
  <c r="B2306" i="1" s="1"/>
  <c r="B209" i="8"/>
  <c r="J2308" i="1"/>
  <c r="K2308" i="1" s="1"/>
  <c r="B2308" i="1" s="1"/>
  <c r="J2312" i="1"/>
  <c r="J2316" i="1"/>
  <c r="J2309" i="1"/>
  <c r="J2310" i="1"/>
  <c r="J2311" i="1"/>
  <c r="J2315" i="1"/>
  <c r="J2314" i="1"/>
  <c r="J2313" i="1"/>
  <c r="K2304" i="1"/>
  <c r="B2304" i="1" s="1"/>
  <c r="K2309" i="1" l="1"/>
  <c r="B2309" i="1" s="1"/>
  <c r="K2315" i="1"/>
  <c r="B2315" i="1" s="1"/>
  <c r="K2313" i="1"/>
  <c r="B2313" i="1" s="1"/>
  <c r="K2311" i="1"/>
  <c r="B2311" i="1" s="1"/>
  <c r="K2314" i="1"/>
  <c r="B2314" i="1" s="1"/>
  <c r="K2310" i="1"/>
  <c r="B2310" i="1" s="1"/>
  <c r="K2316" i="1"/>
  <c r="B2316" i="1" s="1"/>
  <c r="B210" i="8"/>
  <c r="J2320" i="1"/>
  <c r="J2319" i="1"/>
  <c r="J2322" i="1"/>
  <c r="J2317" i="1"/>
  <c r="K2317" i="1" s="1"/>
  <c r="B2317" i="1" s="1"/>
  <c r="J2318" i="1"/>
  <c r="J2321" i="1"/>
  <c r="K2312" i="1"/>
  <c r="B2312" i="1" s="1"/>
  <c r="K2318" i="1" l="1"/>
  <c r="B2318" i="1" s="1"/>
  <c r="K2321" i="1"/>
  <c r="B2321" i="1" s="1"/>
  <c r="K2320" i="1"/>
  <c r="B2320" i="1" s="1"/>
  <c r="K2322" i="1"/>
  <c r="B2322" i="1" s="1"/>
  <c r="B211" i="8"/>
  <c r="J2323" i="1"/>
  <c r="K2323" i="1" s="1"/>
  <c r="B2323" i="1" s="1"/>
  <c r="J2327" i="1"/>
  <c r="J2331" i="1"/>
  <c r="J2335" i="1"/>
  <c r="J2324" i="1"/>
  <c r="J2328" i="1"/>
  <c r="J2332" i="1"/>
  <c r="J2336" i="1"/>
  <c r="J2325" i="1"/>
  <c r="J2329" i="1"/>
  <c r="J2333" i="1"/>
  <c r="J2326" i="1"/>
  <c r="J2330" i="1"/>
  <c r="J2334" i="1"/>
  <c r="K2319" i="1"/>
  <c r="B2319" i="1" s="1"/>
  <c r="K2330" i="1" l="1"/>
  <c r="B2330" i="1" s="1"/>
  <c r="K2324" i="1"/>
  <c r="B2324" i="1" s="1"/>
  <c r="K2326" i="1"/>
  <c r="B2326" i="1" s="1"/>
  <c r="K2325" i="1"/>
  <c r="B2325" i="1" s="1"/>
  <c r="K2329" i="1"/>
  <c r="B2329" i="1" s="1"/>
  <c r="K2334" i="1"/>
  <c r="B2334" i="1" s="1"/>
  <c r="K2328" i="1"/>
  <c r="B2328" i="1" s="1"/>
  <c r="K2331" i="1"/>
  <c r="B2331" i="1" s="1"/>
  <c r="B212" i="8"/>
  <c r="J2339" i="1"/>
  <c r="J2343" i="1"/>
  <c r="J2347" i="1"/>
  <c r="J2340" i="1"/>
  <c r="J2344" i="1"/>
  <c r="J2348" i="1"/>
  <c r="J2337" i="1"/>
  <c r="K2337" i="1" s="1"/>
  <c r="B2337" i="1" s="1"/>
  <c r="J2341" i="1"/>
  <c r="J2345" i="1"/>
  <c r="J2349" i="1"/>
  <c r="J2338" i="1"/>
  <c r="J2342" i="1"/>
  <c r="J2346" i="1"/>
  <c r="J2350" i="1"/>
  <c r="K2333" i="1"/>
  <c r="B2333" i="1" s="1"/>
  <c r="K2336" i="1"/>
  <c r="B2336" i="1" s="1"/>
  <c r="K2327" i="1"/>
  <c r="B2327" i="1" s="1"/>
  <c r="K2332" i="1"/>
  <c r="B2332" i="1" s="1"/>
  <c r="K2335" i="1"/>
  <c r="B2335" i="1" s="1"/>
  <c r="K2350" i="1" l="1"/>
  <c r="B2350" i="1" s="1"/>
  <c r="K2338" i="1"/>
  <c r="B2338" i="1" s="1"/>
  <c r="K2346" i="1"/>
  <c r="B2346" i="1" s="1"/>
  <c r="K2342" i="1"/>
  <c r="B2342" i="1" s="1"/>
  <c r="K2345" i="1"/>
  <c r="B2345" i="1" s="1"/>
  <c r="K2348" i="1"/>
  <c r="B2348" i="1" s="1"/>
  <c r="K2347" i="1"/>
  <c r="B2347" i="1" s="1"/>
  <c r="B213" i="8"/>
  <c r="J2351" i="1"/>
  <c r="K2351" i="1" s="1"/>
  <c r="B2351" i="1" s="1"/>
  <c r="J2355" i="1"/>
  <c r="J2352" i="1"/>
  <c r="J2356" i="1"/>
  <c r="J2353" i="1"/>
  <c r="J2357" i="1"/>
  <c r="J2354" i="1"/>
  <c r="K2341" i="1"/>
  <c r="B2341" i="1" s="1"/>
  <c r="K2344" i="1"/>
  <c r="B2344" i="1" s="1"/>
  <c r="K2343" i="1"/>
  <c r="B2343" i="1" s="1"/>
  <c r="K2349" i="1"/>
  <c r="B2349" i="1" s="1"/>
  <c r="K2340" i="1"/>
  <c r="B2340" i="1" s="1"/>
  <c r="K2339" i="1"/>
  <c r="B2339" i="1" s="1"/>
  <c r="K2354" i="1" l="1"/>
  <c r="B2354" i="1" s="1"/>
  <c r="K2353" i="1"/>
  <c r="B2353" i="1" s="1"/>
  <c r="K2352" i="1"/>
  <c r="B2352" i="1" s="1"/>
  <c r="K2355" i="1"/>
  <c r="B2355" i="1" s="1"/>
  <c r="K2356" i="1"/>
  <c r="B2356" i="1" s="1"/>
  <c r="K2357" i="1"/>
  <c r="B2357" i="1" s="1"/>
  <c r="B214" i="8"/>
  <c r="J2359" i="1"/>
  <c r="J2363" i="1"/>
  <c r="J2360" i="1"/>
  <c r="J2364" i="1"/>
  <c r="J2361" i="1"/>
  <c r="J2365" i="1"/>
  <c r="J2358" i="1"/>
  <c r="K2358" i="1" s="1"/>
  <c r="B2358" i="1" s="1"/>
  <c r="J2362" i="1"/>
  <c r="K2362" i="1" l="1"/>
  <c r="B2362" i="1" s="1"/>
  <c r="K2361" i="1"/>
  <c r="B2361" i="1" s="1"/>
  <c r="K2363" i="1"/>
  <c r="B2363" i="1" s="1"/>
  <c r="K2364" i="1"/>
  <c r="B2364" i="1" s="1"/>
  <c r="K2359" i="1"/>
  <c r="B2359" i="1" s="1"/>
  <c r="K2365" i="1"/>
  <c r="B2365" i="1" s="1"/>
  <c r="K2360" i="1"/>
  <c r="B2360" i="1" s="1"/>
  <c r="B215" i="8"/>
  <c r="J2367" i="1"/>
  <c r="J2371" i="1"/>
  <c r="J2375" i="1"/>
  <c r="J2379" i="1"/>
  <c r="J2383" i="1"/>
  <c r="J2368" i="1"/>
  <c r="J2372" i="1"/>
  <c r="J2376" i="1"/>
  <c r="J2380" i="1"/>
  <c r="J2369" i="1"/>
  <c r="J2373" i="1"/>
  <c r="J2377" i="1"/>
  <c r="J2381" i="1"/>
  <c r="J2366" i="1"/>
  <c r="K2366" i="1" s="1"/>
  <c r="B2366" i="1" s="1"/>
  <c r="J2370" i="1"/>
  <c r="J2374" i="1"/>
  <c r="J2378" i="1"/>
  <c r="J2382" i="1"/>
  <c r="K2378" i="1" l="1"/>
  <c r="B2378" i="1" s="1"/>
  <c r="K2374" i="1"/>
  <c r="B2374" i="1" s="1"/>
  <c r="K2382" i="1"/>
  <c r="B2382" i="1" s="1"/>
  <c r="K2370" i="1"/>
  <c r="B2370" i="1" s="1"/>
  <c r="K2377" i="1"/>
  <c r="B2377" i="1" s="1"/>
  <c r="K2380" i="1"/>
  <c r="B2380" i="1" s="1"/>
  <c r="K2368" i="1"/>
  <c r="B2368" i="1" s="1"/>
  <c r="K2375" i="1"/>
  <c r="B2375" i="1" s="1"/>
  <c r="B216" i="8"/>
  <c r="J2387" i="1"/>
  <c r="J2384" i="1"/>
  <c r="K2384" i="1" s="1"/>
  <c r="B2384" i="1" s="1"/>
  <c r="J2388" i="1"/>
  <c r="J2385" i="1"/>
  <c r="J2389" i="1"/>
  <c r="J2386" i="1"/>
  <c r="J2390" i="1"/>
  <c r="K2373" i="1"/>
  <c r="B2373" i="1" s="1"/>
  <c r="K2376" i="1"/>
  <c r="B2376" i="1" s="1"/>
  <c r="K2383" i="1"/>
  <c r="B2383" i="1" s="1"/>
  <c r="K2371" i="1"/>
  <c r="B2371" i="1" s="1"/>
  <c r="K2381" i="1"/>
  <c r="B2381" i="1" s="1"/>
  <c r="K2369" i="1"/>
  <c r="B2369" i="1" s="1"/>
  <c r="K2372" i="1"/>
  <c r="B2372" i="1" s="1"/>
  <c r="K2379" i="1"/>
  <c r="B2379" i="1" s="1"/>
  <c r="K2367" i="1"/>
  <c r="B2367" i="1" s="1"/>
  <c r="K2390" i="1" l="1"/>
  <c r="B2390" i="1" s="1"/>
  <c r="K2385" i="1"/>
  <c r="B2385" i="1" s="1"/>
  <c r="K2389" i="1"/>
  <c r="B2389" i="1" s="1"/>
  <c r="K2386" i="1"/>
  <c r="B2386" i="1" s="1"/>
  <c r="K2387" i="1"/>
  <c r="B2387" i="1" s="1"/>
  <c r="K2388" i="1"/>
  <c r="B2388" i="1" s="1"/>
  <c r="B217" i="8"/>
  <c r="J2391" i="1"/>
  <c r="K2391" i="1" s="1"/>
  <c r="B2391" i="1" s="1"/>
  <c r="J2395" i="1"/>
  <c r="J2392" i="1"/>
  <c r="J2396" i="1"/>
  <c r="J2393" i="1"/>
  <c r="J2394" i="1"/>
  <c r="K2392" i="1" l="1"/>
  <c r="B2392" i="1" s="1"/>
  <c r="K2393" i="1"/>
  <c r="B2393" i="1" s="1"/>
  <c r="K2394" i="1"/>
  <c r="B2394" i="1" s="1"/>
  <c r="K2396" i="1"/>
  <c r="B2396" i="1" s="1"/>
  <c r="B218" i="8"/>
  <c r="J2399" i="1"/>
  <c r="J2403" i="1"/>
  <c r="J2407" i="1"/>
  <c r="J2411" i="1"/>
  <c r="J2415" i="1"/>
  <c r="J2419" i="1"/>
  <c r="J2423" i="1"/>
  <c r="J2427" i="1"/>
  <c r="J2400" i="1"/>
  <c r="J2404" i="1"/>
  <c r="J2408" i="1"/>
  <c r="J2412" i="1"/>
  <c r="J2416" i="1"/>
  <c r="J2420" i="1"/>
  <c r="J2424" i="1"/>
  <c r="J2428" i="1"/>
  <c r="J2397" i="1"/>
  <c r="K2397" i="1" s="1"/>
  <c r="B2397" i="1" s="1"/>
  <c r="J2401" i="1"/>
  <c r="J2405" i="1"/>
  <c r="J2409" i="1"/>
  <c r="J2413" i="1"/>
  <c r="J2417" i="1"/>
  <c r="J2421" i="1"/>
  <c r="J2425" i="1"/>
  <c r="J2429" i="1"/>
  <c r="J2398" i="1"/>
  <c r="K2398" i="1" s="1"/>
  <c r="B2398" i="1" s="1"/>
  <c r="J2402" i="1"/>
  <c r="J2406" i="1"/>
  <c r="J2410" i="1"/>
  <c r="J2414" i="1"/>
  <c r="J2418" i="1"/>
  <c r="J2422" i="1"/>
  <c r="J2426" i="1"/>
  <c r="K2395" i="1"/>
  <c r="B2395" i="1" s="1"/>
  <c r="K2410" i="1" l="1"/>
  <c r="B2410" i="1" s="1"/>
  <c r="K2422" i="1"/>
  <c r="B2422" i="1" s="1"/>
  <c r="K2426" i="1"/>
  <c r="B2426" i="1" s="1"/>
  <c r="K2418" i="1"/>
  <c r="B2418" i="1" s="1"/>
  <c r="K2406" i="1"/>
  <c r="B2406" i="1" s="1"/>
  <c r="K2414" i="1"/>
  <c r="B2414" i="1" s="1"/>
  <c r="K2402" i="1"/>
  <c r="B2402" i="1" s="1"/>
  <c r="K2421" i="1"/>
  <c r="B2421" i="1" s="1"/>
  <c r="K2409" i="1"/>
  <c r="B2409" i="1" s="1"/>
  <c r="K2420" i="1"/>
  <c r="B2420" i="1" s="1"/>
  <c r="K2408" i="1"/>
  <c r="B2408" i="1" s="1"/>
  <c r="K2427" i="1"/>
  <c r="B2427" i="1" s="1"/>
  <c r="K2415" i="1"/>
  <c r="B2415" i="1" s="1"/>
  <c r="K2403" i="1"/>
  <c r="B2403" i="1" s="1"/>
  <c r="K2429" i="1"/>
  <c r="B2429" i="1" s="1"/>
  <c r="K2417" i="1"/>
  <c r="B2417" i="1" s="1"/>
  <c r="K2405" i="1"/>
  <c r="B2405" i="1" s="1"/>
  <c r="K2428" i="1"/>
  <c r="B2428" i="1" s="1"/>
  <c r="K2416" i="1"/>
  <c r="B2416" i="1" s="1"/>
  <c r="K2404" i="1"/>
  <c r="B2404" i="1" s="1"/>
  <c r="K2423" i="1"/>
  <c r="B2423" i="1" s="1"/>
  <c r="K2411" i="1"/>
  <c r="B2411" i="1" s="1"/>
  <c r="K2399" i="1"/>
  <c r="B2399" i="1" s="1"/>
  <c r="K2425" i="1"/>
  <c r="B2425" i="1" s="1"/>
  <c r="K2413" i="1"/>
  <c r="B2413" i="1" s="1"/>
  <c r="K2401" i="1"/>
  <c r="B2401" i="1" s="1"/>
  <c r="K2424" i="1"/>
  <c r="B2424" i="1" s="1"/>
  <c r="K2412" i="1"/>
  <c r="B2412" i="1" s="1"/>
  <c r="K2400" i="1"/>
  <c r="B2400" i="1" s="1"/>
  <c r="K2419" i="1"/>
  <c r="B2419" i="1" s="1"/>
  <c r="K2407" i="1"/>
  <c r="B2407" i="1" s="1"/>
  <c r="B219" i="8"/>
  <c r="J2431" i="1"/>
  <c r="J2435" i="1"/>
  <c r="J2432" i="1"/>
  <c r="J2433" i="1"/>
  <c r="J2430" i="1"/>
  <c r="K2430" i="1" s="1"/>
  <c r="B2430" i="1" s="1"/>
  <c r="J2434" i="1"/>
  <c r="K2434" i="1" l="1"/>
  <c r="B2434" i="1" s="1"/>
  <c r="K2433" i="1"/>
  <c r="B2433" i="1" s="1"/>
  <c r="K2435" i="1"/>
  <c r="B2435" i="1" s="1"/>
  <c r="K2431" i="1"/>
  <c r="B2431" i="1" s="1"/>
  <c r="K2432" i="1"/>
  <c r="B2432" i="1" s="1"/>
  <c r="B220" i="8"/>
  <c r="J2436" i="1"/>
  <c r="K2436" i="1" s="1"/>
  <c r="B2436" i="1" s="1"/>
  <c r="J2437" i="1"/>
  <c r="K2437" i="1" l="1"/>
  <c r="B2437" i="1" s="1"/>
  <c r="B221" i="8"/>
  <c r="J2439" i="1"/>
  <c r="J2443" i="1"/>
  <c r="J2447" i="1"/>
  <c r="J2451" i="1"/>
  <c r="J2440" i="1"/>
  <c r="J2444" i="1"/>
  <c r="J2448" i="1"/>
  <c r="J2452" i="1"/>
  <c r="J2441" i="1"/>
  <c r="J2445" i="1"/>
  <c r="J2449" i="1"/>
  <c r="J2453" i="1"/>
  <c r="J2438" i="1"/>
  <c r="K2438" i="1" s="1"/>
  <c r="B2438" i="1" s="1"/>
  <c r="J2442" i="1"/>
  <c r="J2446" i="1"/>
  <c r="J2450" i="1"/>
  <c r="J2454" i="1"/>
  <c r="K2454" i="1" l="1"/>
  <c r="B2454" i="1" s="1"/>
  <c r="K2442" i="1"/>
  <c r="B2442" i="1" s="1"/>
  <c r="K2450" i="1"/>
  <c r="B2450" i="1" s="1"/>
  <c r="K2446" i="1"/>
  <c r="B2446" i="1" s="1"/>
  <c r="K2449" i="1"/>
  <c r="B2449" i="1" s="1"/>
  <c r="K2452" i="1"/>
  <c r="B2452" i="1" s="1"/>
  <c r="K2440" i="1"/>
  <c r="B2440" i="1" s="1"/>
  <c r="K2443" i="1"/>
  <c r="B2443" i="1" s="1"/>
  <c r="K2445" i="1"/>
  <c r="B2445" i="1" s="1"/>
  <c r="K2448" i="1"/>
  <c r="B2448" i="1" s="1"/>
  <c r="K2451" i="1"/>
  <c r="B2451" i="1" s="1"/>
  <c r="K2439" i="1"/>
  <c r="B2439" i="1" s="1"/>
  <c r="K2453" i="1"/>
  <c r="B2453" i="1" s="1"/>
  <c r="K2441" i="1"/>
  <c r="B2441" i="1" s="1"/>
  <c r="K2444" i="1"/>
  <c r="B2444" i="1" s="1"/>
  <c r="K2447" i="1"/>
  <c r="B2447" i="1" s="1"/>
  <c r="B222" i="8"/>
  <c r="J2455" i="1"/>
  <c r="K2455" i="1" s="1"/>
  <c r="B2455" i="1" s="1"/>
  <c r="J2459" i="1"/>
  <c r="J2456" i="1"/>
  <c r="J2460" i="1"/>
  <c r="J2457" i="1"/>
  <c r="J2458" i="1"/>
  <c r="K2457" i="1" l="1"/>
  <c r="B2457" i="1" s="1"/>
  <c r="K2458" i="1"/>
  <c r="B2458" i="1" s="1"/>
  <c r="K2456" i="1"/>
  <c r="B2456" i="1" s="1"/>
  <c r="K2460" i="1"/>
  <c r="B2460" i="1" s="1"/>
  <c r="K2459" i="1"/>
  <c r="B2459" i="1" s="1"/>
  <c r="B223" i="8"/>
  <c r="J2463" i="1"/>
  <c r="J2467" i="1"/>
  <c r="J2471" i="1"/>
  <c r="J2475" i="1"/>
  <c r="J2464" i="1"/>
  <c r="J2468" i="1"/>
  <c r="J2472" i="1"/>
  <c r="J2461" i="1"/>
  <c r="K2461" i="1" s="1"/>
  <c r="B2461" i="1" s="1"/>
  <c r="J2465" i="1"/>
  <c r="J2469" i="1"/>
  <c r="J2473" i="1"/>
  <c r="J2462" i="1"/>
  <c r="J2466" i="1"/>
  <c r="J2470" i="1"/>
  <c r="J2474" i="1"/>
  <c r="K2470" i="1" l="1"/>
  <c r="B2470" i="1" s="1"/>
  <c r="K2466" i="1"/>
  <c r="B2466" i="1" s="1"/>
  <c r="K2474" i="1"/>
  <c r="B2474" i="1" s="1"/>
  <c r="K2462" i="1"/>
  <c r="B2462" i="1" s="1"/>
  <c r="K2469" i="1"/>
  <c r="B2469" i="1" s="1"/>
  <c r="K2472" i="1"/>
  <c r="B2472" i="1" s="1"/>
  <c r="K2475" i="1"/>
  <c r="B2475" i="1" s="1"/>
  <c r="K2463" i="1"/>
  <c r="B2463" i="1" s="1"/>
  <c r="K2465" i="1"/>
  <c r="B2465" i="1" s="1"/>
  <c r="K2468" i="1"/>
  <c r="B2468" i="1" s="1"/>
  <c r="K2471" i="1"/>
  <c r="B2471" i="1" s="1"/>
  <c r="B224" i="8"/>
  <c r="J2479" i="1"/>
  <c r="J2483" i="1"/>
  <c r="J2487" i="1"/>
  <c r="J2491" i="1"/>
  <c r="J2495" i="1"/>
  <c r="J2499" i="1"/>
  <c r="J2476" i="1"/>
  <c r="K2476" i="1" s="1"/>
  <c r="B2476" i="1" s="1"/>
  <c r="J2480" i="1"/>
  <c r="J2484" i="1"/>
  <c r="J2488" i="1"/>
  <c r="J2492" i="1"/>
  <c r="J2496" i="1"/>
  <c r="J2500" i="1"/>
  <c r="J2477" i="1"/>
  <c r="J2481" i="1"/>
  <c r="J2485" i="1"/>
  <c r="J2489" i="1"/>
  <c r="J2493" i="1"/>
  <c r="J2497" i="1"/>
  <c r="J2478" i="1"/>
  <c r="J2482" i="1"/>
  <c r="J2486" i="1"/>
  <c r="J2490" i="1"/>
  <c r="J2494" i="1"/>
  <c r="J2498" i="1"/>
  <c r="K2473" i="1"/>
  <c r="B2473" i="1" s="1"/>
  <c r="K2464" i="1"/>
  <c r="B2464" i="1" s="1"/>
  <c r="K2467" i="1"/>
  <c r="B2467" i="1" s="1"/>
  <c r="K2478" i="1" l="1"/>
  <c r="B2478" i="1" s="1"/>
  <c r="K2490" i="1"/>
  <c r="B2490" i="1" s="1"/>
  <c r="K2477" i="1"/>
  <c r="B2477" i="1" s="1"/>
  <c r="K2486" i="1"/>
  <c r="B2486" i="1" s="1"/>
  <c r="K2498" i="1"/>
  <c r="B2498" i="1" s="1"/>
  <c r="K2497" i="1"/>
  <c r="B2497" i="1" s="1"/>
  <c r="K2485" i="1"/>
  <c r="B2485" i="1" s="1"/>
  <c r="K2500" i="1"/>
  <c r="B2500" i="1" s="1"/>
  <c r="K2488" i="1"/>
  <c r="B2488" i="1" s="1"/>
  <c r="K2491" i="1"/>
  <c r="B2491" i="1" s="1"/>
  <c r="K2479" i="1"/>
  <c r="B2479" i="1" s="1"/>
  <c r="K2494" i="1"/>
  <c r="B2494" i="1" s="1"/>
  <c r="K2482" i="1"/>
  <c r="B2482" i="1" s="1"/>
  <c r="K2493" i="1"/>
  <c r="B2493" i="1" s="1"/>
  <c r="K2481" i="1"/>
  <c r="B2481" i="1" s="1"/>
  <c r="K2496" i="1"/>
  <c r="B2496" i="1" s="1"/>
  <c r="K2484" i="1"/>
  <c r="B2484" i="1" s="1"/>
  <c r="K2499" i="1"/>
  <c r="B2499" i="1" s="1"/>
  <c r="K2487" i="1"/>
  <c r="B2487" i="1" s="1"/>
  <c r="B225" i="8"/>
  <c r="J2503" i="1"/>
  <c r="J2504" i="1"/>
  <c r="J2501" i="1"/>
  <c r="K2501" i="1" s="1"/>
  <c r="B2501" i="1" s="1"/>
  <c r="J2505" i="1"/>
  <c r="J2502" i="1"/>
  <c r="J2506" i="1"/>
  <c r="K2489" i="1"/>
  <c r="B2489" i="1" s="1"/>
  <c r="K2492" i="1"/>
  <c r="B2492" i="1" s="1"/>
  <c r="K2480" i="1"/>
  <c r="B2480" i="1" s="1"/>
  <c r="K2495" i="1"/>
  <c r="B2495" i="1" s="1"/>
  <c r="K2483" i="1"/>
  <c r="B2483" i="1" s="1"/>
  <c r="K2502" i="1" l="1"/>
  <c r="B2502" i="1" s="1"/>
  <c r="K2505" i="1"/>
  <c r="B2505" i="1" s="1"/>
  <c r="K2506" i="1"/>
  <c r="B2506" i="1" s="1"/>
  <c r="B226" i="8"/>
  <c r="J2507" i="1"/>
  <c r="K2507" i="1" s="1"/>
  <c r="B2507" i="1" s="1"/>
  <c r="J2511" i="1"/>
  <c r="J2515" i="1"/>
  <c r="J2520" i="1"/>
  <c r="J2525" i="1"/>
  <c r="J2508" i="1"/>
  <c r="J2512" i="1"/>
  <c r="J2516" i="1"/>
  <c r="J2524" i="1"/>
  <c r="J2509" i="1"/>
  <c r="J2513" i="1"/>
  <c r="J2519" i="1"/>
  <c r="J2523" i="1"/>
  <c r="J2510" i="1"/>
  <c r="J2514" i="1"/>
  <c r="J2518" i="1"/>
  <c r="J2521" i="1"/>
  <c r="J2522" i="1"/>
  <c r="J2517" i="1"/>
  <c r="K2504" i="1"/>
  <c r="B2504" i="1" s="1"/>
  <c r="K2503" i="1"/>
  <c r="B2503" i="1" s="1"/>
  <c r="K2509" i="1" l="1"/>
  <c r="B2509" i="1" s="1"/>
  <c r="K2508" i="1"/>
  <c r="B2508" i="1" s="1"/>
  <c r="K2517" i="1"/>
  <c r="B2517" i="1" s="1"/>
  <c r="K2514" i="1"/>
  <c r="B2514" i="1" s="1"/>
  <c r="K2510" i="1"/>
  <c r="B2510" i="1" s="1"/>
  <c r="K2521" i="1"/>
  <c r="B2521" i="1" s="1"/>
  <c r="K2518" i="1"/>
  <c r="B2518" i="1" s="1"/>
  <c r="K2523" i="1"/>
  <c r="B2523" i="1" s="1"/>
  <c r="K2512" i="1"/>
  <c r="B2512" i="1" s="1"/>
  <c r="K2520" i="1"/>
  <c r="B2520" i="1" s="1"/>
  <c r="K2522" i="1"/>
  <c r="B2522" i="1" s="1"/>
  <c r="K2519" i="1"/>
  <c r="B2519" i="1" s="1"/>
  <c r="K2524" i="1"/>
  <c r="B2524" i="1" s="1"/>
  <c r="K2515" i="1"/>
  <c r="B2515" i="1" s="1"/>
  <c r="J2526" i="1"/>
  <c r="K2526" i="1" s="1"/>
  <c r="B2526" i="1" s="1"/>
  <c r="J2530" i="1"/>
  <c r="J2529" i="1"/>
  <c r="J2532" i="1"/>
  <c r="J2528" i="1"/>
  <c r="J2533" i="1"/>
  <c r="J2531" i="1"/>
  <c r="J2527" i="1"/>
  <c r="B227" i="8"/>
  <c r="K2513" i="1"/>
  <c r="B2513" i="1" s="1"/>
  <c r="K2516" i="1"/>
  <c r="B2516" i="1" s="1"/>
  <c r="K2525" i="1"/>
  <c r="B2525" i="1" s="1"/>
  <c r="K2511" i="1"/>
  <c r="B2511" i="1" s="1"/>
  <c r="K2527" i="1" l="1"/>
  <c r="B2527" i="1" s="1"/>
  <c r="K2531" i="1"/>
  <c r="B2531" i="1" s="1"/>
  <c r="K2532" i="1"/>
  <c r="B2532" i="1" s="1"/>
  <c r="B228" i="8"/>
  <c r="J2535" i="1"/>
  <c r="J2540" i="1"/>
  <c r="J2539" i="1"/>
  <c r="J2544" i="1"/>
  <c r="J2537" i="1"/>
  <c r="J2542" i="1"/>
  <c r="J2543" i="1"/>
  <c r="J2536" i="1"/>
  <c r="J2538" i="1"/>
  <c r="J2541" i="1"/>
  <c r="J2534" i="1"/>
  <c r="K2534" i="1" s="1"/>
  <c r="B2534" i="1" s="1"/>
  <c r="K2533" i="1"/>
  <c r="B2533" i="1" s="1"/>
  <c r="K2529" i="1"/>
  <c r="B2529" i="1" s="1"/>
  <c r="K2528" i="1"/>
  <c r="B2528" i="1" s="1"/>
  <c r="K2530" i="1"/>
  <c r="B2530" i="1" s="1"/>
  <c r="J2688" i="1" l="1"/>
  <c r="J2689" i="1"/>
  <c r="J2687" i="1"/>
  <c r="K2541" i="1"/>
  <c r="B2541" i="1" s="1"/>
  <c r="K2543" i="1"/>
  <c r="B2543" i="1" s="1"/>
  <c r="K2544" i="1"/>
  <c r="B2544" i="1" s="1"/>
  <c r="K2535" i="1"/>
  <c r="B2535" i="1" s="1"/>
  <c r="K2538" i="1"/>
  <c r="B2538" i="1" s="1"/>
  <c r="K2542" i="1"/>
  <c r="B2542" i="1" s="1"/>
  <c r="K2539" i="1"/>
  <c r="B2539" i="1" s="1"/>
  <c r="B229" i="8"/>
  <c r="J2545" i="1"/>
  <c r="K2545" i="1" s="1"/>
  <c r="B2545" i="1" s="1"/>
  <c r="J2546" i="1"/>
  <c r="J2547" i="1"/>
  <c r="J2548" i="1"/>
  <c r="J2549" i="1"/>
  <c r="J2550" i="1"/>
  <c r="J2551" i="1"/>
  <c r="K2536" i="1"/>
  <c r="B2536" i="1" s="1"/>
  <c r="K2537" i="1"/>
  <c r="B2537" i="1" s="1"/>
  <c r="K2540" i="1"/>
  <c r="B2540" i="1" s="1"/>
  <c r="K2546" i="1" l="1"/>
  <c r="B2546" i="1" s="1"/>
  <c r="K2549" i="1"/>
  <c r="B2549" i="1" s="1"/>
  <c r="K2551" i="1"/>
  <c r="B2551" i="1" s="1"/>
  <c r="K2548" i="1"/>
  <c r="B2548" i="1" s="1"/>
  <c r="K2550" i="1"/>
  <c r="B2550" i="1" s="1"/>
  <c r="K2547" i="1"/>
  <c r="B2547" i="1" s="1"/>
  <c r="B230" i="8"/>
  <c r="J2552" i="1"/>
  <c r="K2552" i="1" s="1"/>
  <c r="B2552" i="1" s="1"/>
  <c r="J2557" i="1"/>
  <c r="J2561" i="1"/>
  <c r="J2554" i="1"/>
  <c r="J2558" i="1"/>
  <c r="J2555" i="1"/>
  <c r="J2559" i="1"/>
  <c r="J2553" i="1"/>
  <c r="J2556" i="1"/>
  <c r="J2560" i="1"/>
  <c r="K2553" i="1" l="1"/>
  <c r="B2553" i="1" s="1"/>
  <c r="K2560" i="1"/>
  <c r="B2560" i="1" s="1"/>
  <c r="K2559" i="1"/>
  <c r="B2559" i="1" s="1"/>
  <c r="K2556" i="1"/>
  <c r="B2556" i="1" s="1"/>
  <c r="K2558" i="1"/>
  <c r="B2558" i="1" s="1"/>
  <c r="K2557" i="1"/>
  <c r="B2557" i="1" s="1"/>
  <c r="K2554" i="1"/>
  <c r="B2554" i="1" s="1"/>
  <c r="K2555" i="1"/>
  <c r="B2555" i="1" s="1"/>
  <c r="K2561" i="1"/>
  <c r="B2561" i="1" s="1"/>
  <c r="B231" i="8"/>
  <c r="J2564" i="1"/>
  <c r="J2562" i="1"/>
  <c r="K2562" i="1" s="1"/>
  <c r="B2562" i="1" s="1"/>
  <c r="J2563" i="1"/>
  <c r="K2563" i="1" l="1"/>
  <c r="B2563" i="1" s="1"/>
  <c r="K2564" i="1"/>
  <c r="B2564" i="1" s="1"/>
  <c r="J2570" i="1"/>
  <c r="B232" i="8"/>
  <c r="J2568" i="1"/>
  <c r="J2571" i="1"/>
  <c r="J2573" i="1"/>
  <c r="J2583" i="1"/>
  <c r="J2566" i="1"/>
  <c r="J2575" i="1"/>
  <c r="J2577" i="1"/>
  <c r="J2579" i="1"/>
  <c r="J2581" i="1"/>
  <c r="J2565" i="1"/>
  <c r="K2565" i="1" s="1"/>
  <c r="B2565" i="1" s="1"/>
  <c r="J2567" i="1"/>
  <c r="J2574" i="1"/>
  <c r="J2576" i="1"/>
  <c r="J2584" i="1"/>
  <c r="J2569" i="1"/>
  <c r="J2572" i="1"/>
  <c r="J2578" i="1"/>
  <c r="J2580" i="1"/>
  <c r="J2582" i="1"/>
  <c r="K2582" i="1" l="1"/>
  <c r="B2582" i="1" s="1"/>
  <c r="K2576" i="1"/>
  <c r="B2576" i="1" s="1"/>
  <c r="K2568" i="1"/>
  <c r="B2568" i="1" s="1"/>
  <c r="K2572" i="1"/>
  <c r="B2572" i="1" s="1"/>
  <c r="K2583" i="1"/>
  <c r="B2583" i="1" s="1"/>
  <c r="K2580" i="1"/>
  <c r="B2580" i="1" s="1"/>
  <c r="K2569" i="1"/>
  <c r="B2569" i="1" s="1"/>
  <c r="K2574" i="1"/>
  <c r="B2574" i="1" s="1"/>
  <c r="K2581" i="1"/>
  <c r="B2581" i="1" s="1"/>
  <c r="K2575" i="1"/>
  <c r="B2575" i="1" s="1"/>
  <c r="K2573" i="1"/>
  <c r="B2573" i="1" s="1"/>
  <c r="B233" i="8"/>
  <c r="B234" i="8" s="1"/>
  <c r="J2586" i="1"/>
  <c r="J2595" i="1"/>
  <c r="J2597" i="1"/>
  <c r="J2599" i="1"/>
  <c r="J2601" i="1"/>
  <c r="J2605" i="1"/>
  <c r="J2609" i="1"/>
  <c r="J2585" i="1"/>
  <c r="K2585" i="1" s="1"/>
  <c r="B2585" i="1" s="1"/>
  <c r="J2589" i="1"/>
  <c r="J2591" i="1"/>
  <c r="J2593" i="1"/>
  <c r="J2603" i="1"/>
  <c r="J2606" i="1"/>
  <c r="J2610" i="1"/>
  <c r="J2590" i="1"/>
  <c r="J2592" i="1"/>
  <c r="J2598" i="1"/>
  <c r="J2600" i="1"/>
  <c r="J2602" i="1"/>
  <c r="J2607" i="1"/>
  <c r="J2611" i="1"/>
  <c r="J2587" i="1"/>
  <c r="J2588" i="1"/>
  <c r="J2594" i="1"/>
  <c r="J2596" i="1"/>
  <c r="J2604" i="1"/>
  <c r="J2608" i="1"/>
  <c r="K2577" i="1"/>
  <c r="B2577" i="1" s="1"/>
  <c r="K2578" i="1"/>
  <c r="B2578" i="1" s="1"/>
  <c r="K2584" i="1"/>
  <c r="B2584" i="1" s="1"/>
  <c r="K2567" i="1"/>
  <c r="B2567" i="1" s="1"/>
  <c r="K2579" i="1"/>
  <c r="B2579" i="1" s="1"/>
  <c r="K2566" i="1"/>
  <c r="B2566" i="1" s="1"/>
  <c r="K2571" i="1"/>
  <c r="B2571" i="1" s="1"/>
  <c r="K2570" i="1"/>
  <c r="B2570" i="1" s="1"/>
  <c r="B235" i="8" l="1"/>
  <c r="J2690" i="1"/>
  <c r="J2702" i="1"/>
  <c r="J2706" i="1"/>
  <c r="J2693" i="1"/>
  <c r="J2696" i="1"/>
  <c r="J2698" i="1"/>
  <c r="J2700" i="1"/>
  <c r="J2703" i="1"/>
  <c r="J2707" i="1"/>
  <c r="J2692" i="1"/>
  <c r="J2695" i="1"/>
  <c r="J2697" i="1"/>
  <c r="J2704" i="1"/>
  <c r="J2708" i="1"/>
  <c r="J2691" i="1"/>
  <c r="J2694" i="1"/>
  <c r="J2699" i="1"/>
  <c r="J2701" i="1"/>
  <c r="J2705" i="1"/>
  <c r="J2709" i="1"/>
  <c r="J2670" i="1"/>
  <c r="J2674" i="1"/>
  <c r="J2677" i="1"/>
  <c r="J2669" i="1"/>
  <c r="J2683" i="1"/>
  <c r="J2682" i="1"/>
  <c r="J2676" i="1"/>
  <c r="J2666" i="1"/>
  <c r="J2675" i="1"/>
  <c r="J2667" i="1"/>
  <c r="J2679" i="1"/>
  <c r="J2672" i="1"/>
  <c r="J2668" i="1"/>
  <c r="J2685" i="1"/>
  <c r="J2673" i="1"/>
  <c r="J2684" i="1"/>
  <c r="J2678" i="1"/>
  <c r="J2686" i="1"/>
  <c r="J2681" i="1"/>
  <c r="J2671" i="1"/>
  <c r="J2680" i="1"/>
  <c r="J2665" i="1"/>
  <c r="J2657" i="1"/>
  <c r="J2664" i="1"/>
  <c r="J2656" i="1"/>
  <c r="J2663" i="1"/>
  <c r="J2655" i="1"/>
  <c r="J2662" i="1"/>
  <c r="J2654" i="1"/>
  <c r="J2661" i="1"/>
  <c r="J2660" i="1"/>
  <c r="J2659" i="1"/>
  <c r="J2658" i="1"/>
  <c r="K2588" i="1"/>
  <c r="B2588" i="1" s="1"/>
  <c r="K2604" i="1"/>
  <c r="B2604" i="1" s="1"/>
  <c r="K2596" i="1"/>
  <c r="B2596" i="1" s="1"/>
  <c r="K2587" i="1"/>
  <c r="B2587" i="1" s="1"/>
  <c r="K2608" i="1"/>
  <c r="B2608" i="1" s="1"/>
  <c r="K2594" i="1"/>
  <c r="B2594" i="1" s="1"/>
  <c r="K2602" i="1"/>
  <c r="B2602" i="1" s="1"/>
  <c r="K2592" i="1"/>
  <c r="B2592" i="1" s="1"/>
  <c r="K2606" i="1"/>
  <c r="B2606" i="1" s="1"/>
  <c r="K2591" i="1"/>
  <c r="B2591" i="1" s="1"/>
  <c r="K2609" i="1"/>
  <c r="B2609" i="1" s="1"/>
  <c r="K2599" i="1"/>
  <c r="B2599" i="1" s="1"/>
  <c r="K2586" i="1"/>
  <c r="B2586" i="1" s="1"/>
  <c r="K2611" i="1"/>
  <c r="B2611" i="1" s="1"/>
  <c r="K2600" i="1"/>
  <c r="B2600" i="1" s="1"/>
  <c r="K2590" i="1"/>
  <c r="B2590" i="1" s="1"/>
  <c r="K2603" i="1"/>
  <c r="B2603" i="1" s="1"/>
  <c r="K2589" i="1"/>
  <c r="B2589" i="1" s="1"/>
  <c r="K2605" i="1"/>
  <c r="B2605" i="1" s="1"/>
  <c r="K2597" i="1"/>
  <c r="B2597" i="1" s="1"/>
  <c r="J2638" i="1"/>
  <c r="J2612" i="1"/>
  <c r="K2612" i="1" s="1"/>
  <c r="B2612" i="1" s="1"/>
  <c r="J2616" i="1"/>
  <c r="J2620" i="1"/>
  <c r="J2624" i="1"/>
  <c r="J2628" i="1"/>
  <c r="J2632" i="1"/>
  <c r="J2636" i="1"/>
  <c r="J2641" i="1"/>
  <c r="J2645" i="1"/>
  <c r="J2649" i="1"/>
  <c r="J2653" i="1"/>
  <c r="J2613" i="1"/>
  <c r="J2617" i="1"/>
  <c r="J2621" i="1"/>
  <c r="J2625" i="1"/>
  <c r="J2629" i="1"/>
  <c r="J2633" i="1"/>
  <c r="J2637" i="1"/>
  <c r="J2642" i="1"/>
  <c r="J2646" i="1"/>
  <c r="J2650" i="1"/>
  <c r="J2614" i="1"/>
  <c r="J2618" i="1"/>
  <c r="J2622" i="1"/>
  <c r="J2626" i="1"/>
  <c r="J2630" i="1"/>
  <c r="J2634" i="1"/>
  <c r="J2639" i="1"/>
  <c r="J2643" i="1"/>
  <c r="J2647" i="1"/>
  <c r="J2651" i="1"/>
  <c r="J2615" i="1"/>
  <c r="J2619" i="1"/>
  <c r="J2623" i="1"/>
  <c r="J2627" i="1"/>
  <c r="J2631" i="1"/>
  <c r="J2635" i="1"/>
  <c r="J2640" i="1"/>
  <c r="J2644" i="1"/>
  <c r="J2648" i="1"/>
  <c r="J2652" i="1"/>
  <c r="K2607" i="1"/>
  <c r="B2607" i="1" s="1"/>
  <c r="K2598" i="1"/>
  <c r="B2598" i="1" s="1"/>
  <c r="K2610" i="1"/>
  <c r="B2610" i="1" s="1"/>
  <c r="K2593" i="1"/>
  <c r="B2593" i="1" s="1"/>
  <c r="K2601" i="1"/>
  <c r="B2601" i="1" s="1"/>
  <c r="K2595" i="1"/>
  <c r="B2595" i="1" s="1"/>
  <c r="K2705" i="1" l="1"/>
  <c r="B2705" i="1" s="1"/>
  <c r="K2691" i="1"/>
  <c r="B2691" i="1" s="1"/>
  <c r="K2695" i="1"/>
  <c r="B2695" i="1" s="1"/>
  <c r="K2700" i="1"/>
  <c r="B2700" i="1" s="1"/>
  <c r="K2706" i="1"/>
  <c r="B2706" i="1" s="1"/>
  <c r="K2687" i="1"/>
  <c r="B2687" i="1" s="1"/>
  <c r="K2701" i="1"/>
  <c r="B2701" i="1" s="1"/>
  <c r="K2708" i="1"/>
  <c r="B2708" i="1" s="1"/>
  <c r="K2692" i="1"/>
  <c r="B2692" i="1" s="1"/>
  <c r="K2698" i="1"/>
  <c r="B2698" i="1" s="1"/>
  <c r="K2702" i="1"/>
  <c r="B2702" i="1" s="1"/>
  <c r="K2699" i="1"/>
  <c r="B2699" i="1" s="1"/>
  <c r="K2704" i="1"/>
  <c r="B2704" i="1" s="1"/>
  <c r="K2707" i="1"/>
  <c r="B2707" i="1" s="1"/>
  <c r="K2696" i="1"/>
  <c r="B2696" i="1" s="1"/>
  <c r="K2690" i="1"/>
  <c r="B2690" i="1" s="1"/>
  <c r="K2709" i="1"/>
  <c r="B2709" i="1" s="1"/>
  <c r="K2694" i="1"/>
  <c r="B2694" i="1" s="1"/>
  <c r="K2697" i="1"/>
  <c r="B2697" i="1" s="1"/>
  <c r="K2703" i="1"/>
  <c r="B2703" i="1" s="1"/>
  <c r="K2693" i="1"/>
  <c r="B2693" i="1" s="1"/>
  <c r="B236" i="8"/>
  <c r="J2711" i="1"/>
  <c r="J2710" i="1"/>
  <c r="K2710" i="1" s="1"/>
  <c r="B2710" i="1" s="1"/>
  <c r="J2712" i="1"/>
  <c r="J2714" i="1"/>
  <c r="J2713" i="1"/>
  <c r="K2689" i="1"/>
  <c r="B2689" i="1" s="1"/>
  <c r="K2688" i="1"/>
  <c r="B2688" i="1" s="1"/>
  <c r="K2635" i="1"/>
  <c r="B2635" i="1" s="1"/>
  <c r="K2648" i="1"/>
  <c r="B2648" i="1" s="1"/>
  <c r="K2614" i="1"/>
  <c r="B2614" i="1" s="1"/>
  <c r="K2615" i="1"/>
  <c r="B2615" i="1" s="1"/>
  <c r="K2644" i="1"/>
  <c r="B2644" i="1" s="1"/>
  <c r="K2631" i="1"/>
  <c r="B2631" i="1" s="1"/>
  <c r="K2619" i="1"/>
  <c r="B2619" i="1" s="1"/>
  <c r="K2613" i="1"/>
  <c r="B2613" i="1" s="1"/>
  <c r="K2623" i="1"/>
  <c r="B2623" i="1" s="1"/>
  <c r="K2647" i="1"/>
  <c r="B2647" i="1" s="1"/>
  <c r="K2634" i="1"/>
  <c r="B2634" i="1" s="1"/>
  <c r="K2622" i="1"/>
  <c r="B2622" i="1" s="1"/>
  <c r="K2650" i="1"/>
  <c r="B2650" i="1" s="1"/>
  <c r="K2637" i="1"/>
  <c r="B2637" i="1" s="1"/>
  <c r="K2625" i="1"/>
  <c r="B2625" i="1" s="1"/>
  <c r="K2645" i="1"/>
  <c r="B2645" i="1" s="1"/>
  <c r="K2632" i="1"/>
  <c r="B2632" i="1" s="1"/>
  <c r="K2620" i="1"/>
  <c r="B2620" i="1" s="1"/>
  <c r="K2638" i="1"/>
  <c r="B2638" i="1" s="1"/>
  <c r="K2652" i="1"/>
  <c r="B2652" i="1" s="1"/>
  <c r="K2640" i="1"/>
  <c r="B2640" i="1" s="1"/>
  <c r="K2627" i="1"/>
  <c r="B2627" i="1" s="1"/>
  <c r="K2643" i="1"/>
  <c r="B2643" i="1" s="1"/>
  <c r="K2630" i="1"/>
  <c r="B2630" i="1" s="1"/>
  <c r="K2618" i="1"/>
  <c r="B2618" i="1" s="1"/>
  <c r="K2646" i="1"/>
  <c r="B2646" i="1" s="1"/>
  <c r="K2633" i="1"/>
  <c r="B2633" i="1" s="1"/>
  <c r="K2621" i="1"/>
  <c r="B2621" i="1" s="1"/>
  <c r="K2653" i="1"/>
  <c r="B2653" i="1" s="1"/>
  <c r="K2654" i="1"/>
  <c r="B2654" i="1" s="1"/>
  <c r="K2678" i="1"/>
  <c r="B2678" i="1" s="1"/>
  <c r="K2660" i="1"/>
  <c r="B2660" i="1" s="1"/>
  <c r="K2667" i="1"/>
  <c r="B2667" i="1" s="1"/>
  <c r="K2670" i="1"/>
  <c r="B2670" i="1" s="1"/>
  <c r="K2656" i="1"/>
  <c r="B2656" i="1" s="1"/>
  <c r="K2663" i="1"/>
  <c r="B2663" i="1" s="1"/>
  <c r="K2683" i="1"/>
  <c r="B2683" i="1" s="1"/>
  <c r="K2675" i="1"/>
  <c r="B2675" i="1" s="1"/>
  <c r="K2666" i="1"/>
  <c r="B2666" i="1" s="1"/>
  <c r="K2655" i="1"/>
  <c r="B2655" i="1" s="1"/>
  <c r="K2661" i="1"/>
  <c r="B2661" i="1" s="1"/>
  <c r="K2669" i="1"/>
  <c r="B2669" i="1" s="1"/>
  <c r="K2673" i="1"/>
  <c r="B2673" i="1" s="1"/>
  <c r="K2679" i="1"/>
  <c r="B2679" i="1" s="1"/>
  <c r="K2682" i="1"/>
  <c r="B2682" i="1" s="1"/>
  <c r="K2680" i="1"/>
  <c r="B2680" i="1" s="1"/>
  <c r="K2677" i="1"/>
  <c r="B2677" i="1" s="1"/>
  <c r="K2658" i="1"/>
  <c r="B2658" i="1" s="1"/>
  <c r="K2668" i="1"/>
  <c r="B2668" i="1" s="1"/>
  <c r="K2676" i="1"/>
  <c r="B2676" i="1" s="1"/>
  <c r="K2674" i="1"/>
  <c r="B2674" i="1" s="1"/>
  <c r="K2686" i="1"/>
  <c r="B2686" i="1" s="1"/>
  <c r="K2659" i="1"/>
  <c r="B2659" i="1" s="1"/>
  <c r="K2657" i="1"/>
  <c r="B2657" i="1" s="1"/>
  <c r="K2671" i="1"/>
  <c r="B2671" i="1" s="1"/>
  <c r="K2684" i="1"/>
  <c r="B2684" i="1" s="1"/>
  <c r="K2672" i="1"/>
  <c r="B2672" i="1" s="1"/>
  <c r="K2685" i="1"/>
  <c r="B2685" i="1" s="1"/>
  <c r="K2664" i="1"/>
  <c r="B2664" i="1" s="1"/>
  <c r="K2662" i="1"/>
  <c r="B2662" i="1" s="1"/>
  <c r="K2681" i="1"/>
  <c r="B2681" i="1" s="1"/>
  <c r="K2665" i="1"/>
  <c r="B2665" i="1" s="1"/>
  <c r="K2641" i="1"/>
  <c r="B2641" i="1" s="1"/>
  <c r="K2628" i="1"/>
  <c r="B2628" i="1" s="1"/>
  <c r="K2616" i="1"/>
  <c r="B2616" i="1" s="1"/>
  <c r="K2651" i="1"/>
  <c r="B2651" i="1" s="1"/>
  <c r="K2639" i="1"/>
  <c r="B2639" i="1" s="1"/>
  <c r="K2626" i="1"/>
  <c r="B2626" i="1" s="1"/>
  <c r="K2642" i="1"/>
  <c r="B2642" i="1" s="1"/>
  <c r="K2629" i="1"/>
  <c r="B2629" i="1" s="1"/>
  <c r="K2617" i="1"/>
  <c r="B2617" i="1" s="1"/>
  <c r="K2649" i="1"/>
  <c r="B2649" i="1" s="1"/>
  <c r="K2636" i="1"/>
  <c r="B2636" i="1" s="1"/>
  <c r="K2624" i="1"/>
  <c r="B2624" i="1" s="1"/>
  <c r="K2713" i="1" l="1"/>
  <c r="B2713" i="1" s="1"/>
  <c r="K2714" i="1"/>
  <c r="B2714" i="1" s="1"/>
  <c r="J2717" i="1"/>
  <c r="J2718" i="1"/>
  <c r="J2720" i="1"/>
  <c r="J2722" i="1"/>
  <c r="J2724" i="1"/>
  <c r="J2715" i="1"/>
  <c r="K2715" i="1" s="1"/>
  <c r="B2715" i="1" s="1"/>
  <c r="J2723" i="1"/>
  <c r="J2725" i="1"/>
  <c r="J2716" i="1"/>
  <c r="J2719" i="1"/>
  <c r="J2721" i="1"/>
  <c r="K2712" i="1"/>
  <c r="B2712" i="1" s="1"/>
  <c r="K2711" i="1"/>
  <c r="B2711" i="1" s="1"/>
  <c r="K2719" i="1" l="1"/>
  <c r="B2719" i="1" s="1"/>
  <c r="K2721" i="1"/>
  <c r="B2721" i="1" s="1"/>
  <c r="K2723" i="1"/>
  <c r="B2723" i="1" s="1"/>
  <c r="K2720" i="1"/>
  <c r="B2720" i="1" s="1"/>
  <c r="K2718" i="1"/>
  <c r="B2718" i="1" s="1"/>
  <c r="K2716" i="1"/>
  <c r="B2716" i="1" s="1"/>
  <c r="K2724" i="1"/>
  <c r="B2724" i="1" s="1"/>
  <c r="K2717" i="1"/>
  <c r="B2717" i="1" s="1"/>
  <c r="K2725" i="1"/>
  <c r="B2725" i="1" s="1"/>
  <c r="K2722" i="1"/>
  <c r="B27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322"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tc={E537B2E0-A601-47D2-8A1A-0BA089FE1B08}</author>
    <author>tc={27CD8C16-D99D-4719-ACA9-CD0D61FEE7AD}</author>
    <author>tc={4EDD4AE8-B802-4F1B-9A1A-7D681DAC1AA1}</author>
    <author>tc={4035E6A3-85F7-43DD-BCEB-7493800B2510}</author>
    <author>tc={926286FD-4CB8-4E5C-BD1F-E35777B3CB63}</author>
  </authors>
  <commentList>
    <comment ref="A3" authorId="0" shapeId="0" xr:uid="{E537B2E0-A601-47D2-8A1A-0BA089FE1B08}">
      <text>
        <t>[Threaded comment]
Your version of Excel allows you to read this threaded comment; however, any edits to it will get removed if the file is opened in a newer version of Excel. Learn more: https://go.microsoft.com/fwlink/?linkid=870924
Comment:
    @Michael Mitchelson Could this column move to column A?  Feel free to delete this comment once considered.</t>
      </text>
    </comment>
    <comment ref="I425" authorId="1" shapeId="0" xr:uid="{27CD8C16-D99D-4719-ACA9-CD0D61FEE7AD}">
      <text>
        <t>[Threaded comment]
Your version of Excel allows you to read this threaded comment; however, any edits to it will get removed if the file is opened in a newer version of Excel. Learn more: https://go.microsoft.com/fwlink/?linkid=870924
Comment:
    @Thalia Taurere @Marcela Salazar here's the checklist for Bentonite. and below is the one you sent me for underground detention chambers let me know if anything needs tweaking</t>
      </text>
    </comment>
    <comment ref="M1325" authorId="2"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t>
      </text>
    </comment>
    <comment ref="M1788" authorId="3"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4"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7E194C4A-82A7-44FA-946E-64B6DB089F03}" keepAlive="1" name="Query - Checklistview" description="Connection to the 'Checklistview' query in the workbook." type="5" refreshedVersion="7" background="1" saveData="1">
    <dbPr connection="Provider=Microsoft.Mashup.OleDb.1;Data Source=$Workbook$;Location=Checklistview;Extended Properties=&quot;&quot;" command="SELECT * FROM [Checklistview]"/>
    <extLst>
      <ext xmlns:x15="http://schemas.microsoft.com/office/spreadsheetml/2010/11/main" uri="{DE250136-89BD-433C-8126-D09CA5730AF9}">
        <x15:connection id="" excludeFromRefreshAll="1"/>
      </ext>
    </extLst>
  </connection>
  <connection id="3" xr16:uid="{E3439DF7-A5C2-48E9-AB34-0F4C85375C4B}" keepAlive="1" name="Query - ConQAview" description="Connection to the 'ConQAview' query in the workbook." type="5" refreshedVersion="7" background="1" saveData="1">
    <dbPr connection="Provider=Microsoft.Mashup.OleDb.1;Data Source=$Workbook$;Location=ConQAview;Extended Properties=&quot;&quot;" command="SELECT * FROM [ConQAview]"/>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<sst xmlns="http://schemas.openxmlformats.org/spreadsheetml/2006/main" count="51030" uniqueCount="2502">
  <si>
    <t>Checklist Names</t>
  </si>
  <si>
    <t>Sites</t>
  </si>
  <si>
    <t>Discipline</t>
  </si>
  <si>
    <t>User</t>
  </si>
  <si>
    <t>Change Type</t>
  </si>
  <si>
    <t>Status</t>
  </si>
  <si>
    <t>All</t>
  </si>
  <si>
    <t>William Sanders</t>
  </si>
  <si>
    <t>Civil</t>
  </si>
  <si>
    <t>Subcontractor</t>
  </si>
  <si>
    <t>Addition</t>
  </si>
  <si>
    <t>Denied</t>
  </si>
  <si>
    <t>Murray Halberg</t>
  </si>
  <si>
    <t>Foundation</t>
  </si>
  <si>
    <t>Main Contractor</t>
  </si>
  <si>
    <t>Edit</t>
  </si>
  <si>
    <t>Processing</t>
  </si>
  <si>
    <t>Linda Jones</t>
  </si>
  <si>
    <t>Structure</t>
  </si>
  <si>
    <t>Deletion</t>
  </si>
  <si>
    <t>Approved</t>
  </si>
  <si>
    <t>Keith Park</t>
  </si>
  <si>
    <t>Façade</t>
  </si>
  <si>
    <t>Site Specific</t>
  </si>
  <si>
    <t>Updated in ConQA</t>
  </si>
  <si>
    <t>Miriam Corban</t>
  </si>
  <si>
    <t>Postline</t>
  </si>
  <si>
    <t>New Checklist</t>
  </si>
  <si>
    <t>Implemented</t>
  </si>
  <si>
    <t>James Wattie</t>
  </si>
  <si>
    <t>Preline</t>
  </si>
  <si>
    <t>Kevin Hickman</t>
  </si>
  <si>
    <t>Services</t>
  </si>
  <si>
    <t>Newtown</t>
  </si>
  <si>
    <t>Handover</t>
  </si>
  <si>
    <t>Park Terrace</t>
  </si>
  <si>
    <t>Completion Documents</t>
  </si>
  <si>
    <t>Karori</t>
  </si>
  <si>
    <t>Northwood/Radcliffe Rd</t>
  </si>
  <si>
    <t>Takapuna</t>
  </si>
  <si>
    <t>Cambridge</t>
  </si>
  <si>
    <t>Karaka</t>
  </si>
  <si>
    <t>Order</t>
  </si>
  <si>
    <t>Checklist</t>
  </si>
  <si>
    <t>Type</t>
  </si>
  <si>
    <t>Name</t>
  </si>
  <si>
    <t>Value</t>
  </si>
  <si>
    <t>C - S - Bulk Excavation</t>
  </si>
  <si>
    <t>checklist-flat</t>
  </si>
  <si>
    <t>checkpoint</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</si>
  <si>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</si>
  <si>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</si>
  <si>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</si>
  <si>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</si>
  <si>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</si>
  <si>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</si>
  <si>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Excavation completed - Correct locations and RL's achieved</t>
  </si>
  <si>
    <t>Inspections completed and issued to Foreman</t>
  </si>
  <si>
    <t>holdpoint</t>
  </si>
  <si>
    <t>CLICK AND SEND EMAIL TO FOREMAN TO SIGN FOR RECEIPT OF THE INSPECTION RESULTS</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</si>
  <si>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</si>
  <si>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</si>
  <si>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</si>
  <si>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</si>
  <si>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</si>
  <si>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</si>
  <si>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bool</t>
  </si>
  <si>
    <t>Location accurate</t>
  </si>
  <si>
    <t>Depth correct (allow for site concrete if required)</t>
  </si>
  <si>
    <t>Width correct (allow for boxing if required)</t>
  </si>
  <si>
    <t>Excavation for services is completed and accurate</t>
  </si>
  <si>
    <t>Excess material cleaned up and removed as required</t>
  </si>
  <si>
    <t>Detailed excavation completed, reviewed and approved</t>
  </si>
  <si>
    <t>C - S - Pipe Laying - Stormwater</t>
  </si>
  <si>
    <t>Set-out completed, checked and accurate</t>
  </si>
  <si>
    <t xml:space="preserve">Excavation location and depth accurate </t>
  </si>
  <si>
    <t>Ground conditions checked and acceptable</t>
  </si>
  <si>
    <t xml:space="preserve">Bedding depth and material correct </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</si>
  <si>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</si>
  <si>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</si>
  <si>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</si>
  <si>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</si>
  <si>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Backfill completed &amp; compacted as per the specifications</t>
  </si>
  <si>
    <t>C - S - Pipe Laying - Wastewater</t>
  </si>
  <si>
    <t>Air/water test completed &amp; acceptable</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</si>
  <si>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</si>
  <si>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</si>
  <si>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</si>
  <si>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</si>
  <si>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</si>
  <si>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</si>
  <si>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</si>
  <si>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</si>
  <si>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Demolition</t>
  </si>
  <si>
    <t>Traffic management plan (TMP) in place</t>
  </si>
  <si>
    <t>Noise and Vibration Management Plan (NVMP) in place</t>
  </si>
  <si>
    <t>All relevant services isolated</t>
  </si>
  <si>
    <t>Power isolated</t>
  </si>
  <si>
    <t>Waste/storm water isolated</t>
  </si>
  <si>
    <t>Gas isolated</t>
  </si>
  <si>
    <t>Telecommunication/Fibre isolated</t>
  </si>
  <si>
    <t>All pre demolition works completed and approval given to commence demolition</t>
  </si>
  <si>
    <t>All demolition works completed, checked and approved</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</si>
  <si>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</si>
  <si>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</si>
  <si>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</si>
  <si>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</si>
  <si>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</si>
  <si>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</si>
  <si>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</si>
  <si>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</si>
  <si>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</si>
  <si>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Sheet Piling</t>
  </si>
  <si>
    <t xml:space="preserve">Exsiting ground level RL checked and acceptable </t>
  </si>
  <si>
    <t xml:space="preserve">Length of sheet checked and acceptable </t>
  </si>
  <si>
    <t xml:space="preserve">Grade of sheet checked and acceptable </t>
  </si>
  <si>
    <t xml:space="preserve">Top and bottom of steel RL checked and acceptable </t>
  </si>
  <si>
    <t>Sheet pile installation completed and acceptable</t>
  </si>
  <si>
    <t>F - S - Piling</t>
  </si>
  <si>
    <t>checklist</t>
  </si>
  <si>
    <t>section</t>
  </si>
  <si>
    <t>Pile Details</t>
  </si>
  <si>
    <t> </t>
  </si>
  <si>
    <t>Pile details identified</t>
  </si>
  <si>
    <t>text</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</si>
  <si>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</si>
  <si>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</si>
  <si>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</si>
  <si>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</si>
  <si>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</si>
  <si>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</si>
  <si>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</si>
  <si>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</si>
  <si>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</si>
  <si>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</si>
  <si>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</si>
  <si>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</si>
  <si>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</si>
  <si>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</si>
  <si>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</si>
  <si>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</si>
  <si>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</si>
  <si>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</si>
  <si>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</si>
  <si>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</si>
  <si>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</si>
  <si>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</si>
  <si>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</si>
  <si>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</si>
  <si>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</si>
  <si>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</si>
  <si>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</si>
  <si>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</si>
  <si>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</si>
  <si>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</si>
  <si>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</si>
  <si>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</si>
  <si>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</si>
  <si>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</si>
  <si>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</si>
  <si>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</si>
  <si>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</si>
  <si>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</si>
  <si>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</si>
  <si>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</si>
  <si>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</si>
  <si>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</si>
  <si>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</si>
  <si>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</si>
  <si>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</si>
  <si>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</si>
  <si>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</si>
  <si>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</si>
  <si>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</si>
  <si>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</si>
  <si>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</si>
  <si>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</si>
  <si>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</si>
  <si>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</si>
  <si>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</si>
  <si>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</si>
  <si>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</si>
  <si>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</si>
  <si>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</si>
  <si>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</si>
  <si>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</si>
  <si>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</si>
  <si>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</si>
  <si>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</si>
  <si>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</si>
  <si>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</si>
  <si>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</si>
  <si>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</si>
  <si>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</si>
  <si>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</si>
  <si>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</si>
  <si>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</si>
  <si>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</si>
  <si>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</si>
  <si>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</si>
  <si>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</si>
  <si>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</si>
  <si>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</si>
  <si>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</si>
  <si>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</si>
  <si>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</si>
  <si>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</si>
  <si>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</si>
  <si>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</si>
  <si>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Request Signoff</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</si>
  <si>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</si>
  <si>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</si>
  <si>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</si>
  <si>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</si>
  <si>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</si>
  <si>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</si>
  <si>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</si>
  <si>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</si>
  <si>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</si>
  <si>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</si>
  <si>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gradiant of the pipework achieved </t>
  </si>
  <si>
    <t>Pipe wrapped/protected and acceptable</t>
  </si>
  <si>
    <t>Flood test completed and acceptable</t>
  </si>
  <si>
    <t>Pipe capped and acceptable</t>
  </si>
  <si>
    <t xml:space="preserve">All undefloor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</si>
  <si>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</si>
  <si>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</si>
  <si>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</si>
  <si>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</si>
  <si>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</si>
  <si>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</si>
  <si>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</si>
  <si>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</si>
  <si>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</si>
  <si>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</si>
  <si>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ST - S - Blockwork</t>
  </si>
  <si>
    <t>Grids available for reference and base of wall marked accurately, RL reference/top of wall (TOW) confirmed</t>
  </si>
  <si>
    <t>Base of wall in correct location</t>
  </si>
  <si>
    <t>Horizontal reinforcing installed correctly (centres/ size / splicing etc)</t>
  </si>
  <si>
    <t>Ties / Controll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</si>
  <si>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</si>
  <si>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</si>
  <si>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</si>
  <si>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</si>
  <si>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</si>
  <si>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</si>
  <si>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</si>
  <si>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</si>
  <si>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</si>
  <si>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</si>
  <si>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</si>
  <si>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Area to be poured:</t>
  </si>
  <si>
    <t>Date of pour:</t>
  </si>
  <si>
    <t>Latest drawings available, checked and referenced</t>
  </si>
  <si>
    <t>Formwork and Embedded Items</t>
  </si>
  <si>
    <t>Formwork - location, height, falls and dimensions checked and accurate</t>
  </si>
  <si>
    <t>Service penetrations formed correctly and locations checked/correct</t>
  </si>
  <si>
    <t>All surfaces correctly prepared (e.g joints to existing concrete, release agent to formwork etc)</t>
  </si>
  <si>
    <t>Any control joints/ stop ends installed accurately and correctly braced</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</si>
  <si>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</si>
  <si>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</si>
  <si>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</si>
  <si>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</si>
  <si>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</si>
  <si>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</si>
  <si>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</si>
  <si>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</si>
  <si>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</si>
  <si>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</si>
  <si>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</si>
  <si>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</si>
  <si>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Mill certificate reviewed, attached and approved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</si>
  <si>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</si>
  <si>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</si>
  <si>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</si>
  <si>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</si>
  <si>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</si>
  <si>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</si>
  <si>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</si>
  <si>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</si>
  <si>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</si>
  <si>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Specified concrete strength:</t>
  </si>
  <si>
    <t>mPA</t>
  </si>
  <si>
    <t>Concrete strength ordered:</t>
  </si>
  <si>
    <t>Concrete quantity ordered:</t>
  </si>
  <si>
    <t>m3</t>
  </si>
  <si>
    <t>Test blocks booked</t>
  </si>
  <si>
    <t>Yes, No, N/A</t>
  </si>
  <si>
    <t>All concrete dockets photographed/ attached</t>
  </si>
  <si>
    <t>Concrete strength test reports attached and required concrete strength achieved</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</si>
  <si>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</si>
  <si>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</si>
  <si>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</si>
  <si>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</si>
  <si>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</si>
  <si>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</si>
  <si>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</si>
  <si>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</si>
  <si>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</si>
  <si>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</si>
  <si>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</si>
  <si>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 xml:space="preserve">ST - S - Insitu Stitch Joints </t>
  </si>
  <si>
    <t>Pour Details:</t>
  </si>
  <si>
    <t>Formwork</t>
  </si>
  <si>
    <t>Formwork braced &amp; fixed correctly</t>
  </si>
  <si>
    <t>All surfaces correctly prepared (e.g joints to exisiting concrete, release agent to formwork etc)</t>
  </si>
  <si>
    <t>Raise remedial / Request Signoff</t>
  </si>
  <si>
    <t>All relevant inspections completed and attached</t>
  </si>
  <si>
    <t>ST - S - Intumescent Painting - QA</t>
  </si>
  <si>
    <t>Preparation</t>
  </si>
  <si>
    <t>Area for preparation and application input:</t>
  </si>
  <si>
    <t>Area / Grids:</t>
  </si>
  <si>
    <t>Solvent clean of substrate performed to remove contamination</t>
  </si>
  <si>
    <t>Proile substrate for adhesion sanded</t>
  </si>
  <si>
    <t>Abrasive blast</t>
  </si>
  <si>
    <t>Vapour blast</t>
  </si>
  <si>
    <t>Bristle blast</t>
  </si>
  <si>
    <t>Scotch sand</t>
  </si>
  <si>
    <t>All area and substrate checkpoints passed and area acceptable for painting</t>
  </si>
  <si>
    <t>Application</t>
  </si>
  <si>
    <t>Positector activated to gauge weather elements</t>
  </si>
  <si>
    <t>Average ambient conditions photographed and site conditions acceptable for painting</t>
  </si>
  <si>
    <t>Batch numbers photographed</t>
  </si>
  <si>
    <t>Area first application complete and visual check completed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</si>
  <si>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</si>
  <si>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</si>
  <si>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</si>
  <si>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</si>
  <si>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</si>
  <si>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</si>
  <si>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</si>
  <si>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</si>
  <si>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</si>
  <si>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</si>
  <si>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</si>
  <si>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</si>
  <si>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</si>
  <si>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</si>
  <si>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ST - S - Precast Edge Beams Installation</t>
  </si>
  <si>
    <t>Inspected on arrival and damage free</t>
  </si>
  <si>
    <t>Installed in correct location</t>
  </si>
  <si>
    <t>Adequately braced and braces are tagged</t>
  </si>
  <si>
    <t>Edge Beams installation completed (checked location &amp; level) and no damages</t>
  </si>
  <si>
    <t xml:space="preserve">ST - S - Precast Shell Beam Lintel Installation </t>
  </si>
  <si>
    <t>Precast Shell Beam Lintel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</si>
  <si>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</si>
  <si>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</si>
  <si>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</si>
  <si>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</si>
  <si>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</si>
  <si>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</si>
  <si>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</si>
  <si>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</si>
  <si>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</si>
  <si>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</si>
  <si>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</si>
  <si>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</si>
  <si>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</si>
  <si>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</si>
  <si>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</si>
  <si>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Pre-commencement</t>
  </si>
  <si>
    <t>Items inspected on arrival and correct (length, width, size/shape) as per design/shop drawings and damage free</t>
  </si>
  <si>
    <t>Grid set-out offset and level correct</t>
  </si>
  <si>
    <t>Props tagged and fixings as per approved temp works design and temp work approval report attached</t>
  </si>
  <si>
    <t>All back propping completed, checked and approved as per design</t>
  </si>
  <si>
    <t>Structural Steel Brackets fitted and fixed (correct height and as per design)</t>
  </si>
  <si>
    <t>Installation</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</si>
  <si>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</si>
  <si>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</si>
  <si>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</si>
  <si>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</si>
  <si>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</si>
  <si>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ST - S - Roof structure - Steel</t>
  </si>
  <si>
    <t>Hold down bolts in the correct location</t>
  </si>
  <si>
    <t>Pre erection checks complete</t>
  </si>
  <si>
    <t>Steel correct size and type</t>
  </si>
  <si>
    <t>Welding certificates sited</t>
  </si>
  <si>
    <t>Installed in the correct location and orientation</t>
  </si>
  <si>
    <t>Installed in corrct level, plumb, correct pitch and braced</t>
  </si>
  <si>
    <t>All bolts secure/ correctly tensioned</t>
  </si>
  <si>
    <t>All structural steel correctly installed in respective area and acceptable</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</si>
  <si>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</si>
  <si>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</si>
  <si>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</si>
  <si>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</si>
  <si>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</si>
  <si>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</si>
  <si>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</si>
  <si>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</si>
  <si>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</si>
  <si>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</si>
  <si>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</si>
  <si>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</si>
  <si>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</si>
  <si>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Stair Installation</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</si>
  <si>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</si>
  <si>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</si>
  <si>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</si>
  <si>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</si>
  <si>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</si>
  <si>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Structural Steel Installation</t>
  </si>
  <si>
    <t>Post-Installation</t>
  </si>
  <si>
    <t>Welding Visual/Scanning inspections completed</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</si>
  <si>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</si>
  <si>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</si>
  <si>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</si>
  <si>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</si>
  <si>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</si>
  <si>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</si>
  <si>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</si>
  <si>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</si>
  <si>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</si>
  <si>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</si>
  <si>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</si>
  <si>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</si>
  <si>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</si>
  <si>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All framing completed correctly within tolerance in respective area
</t>
  </si>
  <si>
    <t>ST - S - Structural Steel Installation - Pre-Commencement</t>
  </si>
  <si>
    <t>Steel Delivery</t>
  </si>
  <si>
    <t>Corrosion protection accepatble</t>
  </si>
  <si>
    <t>GA Building Plans Attached</t>
  </si>
  <si>
    <t>Numbers stamped / ID tags attached</t>
  </si>
  <si>
    <t>Erection</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</si>
  <si>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</si>
  <si>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</si>
  <si>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</si>
  <si>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</si>
  <si>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</si>
  <si>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</si>
  <si>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</si>
  <si>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</si>
  <si>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</si>
  <si>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</si>
  <si>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</si>
  <si>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</si>
  <si>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</si>
  <si>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</si>
  <si>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Balastrades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</si>
  <si>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</si>
  <si>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</si>
  <si>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</si>
  <si>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</si>
  <si>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</si>
  <si>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ST - S - Concrete Pour - Without Reo</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</si>
  <si>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</si>
  <si>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</si>
  <si>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</si>
  <si>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</si>
  <si>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(locaion, size, length and spacing) and ready to place the precast panels</t>
  </si>
  <si>
    <t xml:space="preserve">ST - S - Precast Flat Slab Installation </t>
  </si>
  <si>
    <t>Precast Flat Slab Installation completed (checked location &amp; level) and no damages</t>
  </si>
  <si>
    <t xml:space="preserve">ST - S - Precast Beam Installation </t>
  </si>
  <si>
    <t>Precast Beam Installation completed (checked location &amp; level) and no damages</t>
  </si>
  <si>
    <t>FC - S - Anchor Points - Anchor Point Installation</t>
  </si>
  <si>
    <t xml:space="preserve">Roof structure condition checked and acceptable. No rust or corrosion on roof, purlins or structure. </t>
  </si>
  <si>
    <t>Positioning and installation of the plinth is correct and acceptable</t>
  </si>
  <si>
    <t>Roof substrade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</si>
  <si>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</si>
  <si>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</si>
  <si>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</si>
  <si>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</si>
  <si>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</si>
  <si>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 xml:space="preserve">Anchor point installation completed and acceptable </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</si>
  <si>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</si>
  <si>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</si>
  <si>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</si>
  <si>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</si>
  <si>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</si>
  <si>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 xml:space="preserve">Intermediate, Corner and End Plate installation completed and acceptable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</si>
  <si>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</si>
  <si>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</si>
  <si>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</si>
  <si>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</si>
  <si>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 xml:space="preserve">Static line installation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</si>
  <si>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</si>
  <si>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</si>
  <si>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</si>
  <si>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</si>
  <si>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</si>
  <si>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</si>
  <si>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</si>
  <si>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All cladding works completed and acceptable 
</t>
  </si>
  <si>
    <t xml:space="preserve">Mesh Coat to plaster, banding installed, true and flat and acceptable 
</t>
  </si>
  <si>
    <t xml:space="preserve">Topcoat and paint works completed and acceptable 
</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</si>
  <si>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</si>
  <si>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</si>
  <si>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</si>
  <si>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</si>
  <si>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</si>
  <si>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</si>
  <si>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FC - S - Soffits </t>
  </si>
  <si>
    <t>Pre-Installation Checks</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</si>
  <si>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</si>
  <si>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</si>
  <si>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</si>
  <si>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</si>
  <si>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</si>
  <si>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</si>
  <si>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</si>
  <si>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</si>
  <si>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</si>
  <si>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Balustrades Installation</t>
  </si>
  <si>
    <t>Pre Fit - Studding completed &amp; setout checked</t>
  </si>
  <si>
    <t>Waterproofing to pre-fit studs completed and acceptable</t>
  </si>
  <si>
    <t>Installation Checks</t>
  </si>
  <si>
    <t>Balustrade height is compliant</t>
  </si>
  <si>
    <t>No Gaps Larger than 100 mm</t>
  </si>
  <si>
    <t>All bolts installed done up correctly</t>
  </si>
  <si>
    <t>Endcaps in place and acceptable</t>
  </si>
  <si>
    <t>Any paint touch ups completed</t>
  </si>
  <si>
    <t>All Balustrade works completed, reviewed and approved and protection installed</t>
  </si>
  <si>
    <t>FC - S - Exterior Tiling</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</si>
  <si>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</si>
  <si>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</si>
  <si>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</si>
  <si>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</si>
  <si>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</si>
  <si>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</si>
  <si>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</si>
  <si>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</si>
  <si>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</si>
  <si>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</si>
  <si>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</si>
  <si>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</si>
  <si>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</si>
  <si>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</si>
  <si>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</si>
  <si>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</si>
  <si>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</si>
  <si>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</si>
  <si>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</si>
  <si>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</si>
  <si>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</si>
  <si>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</si>
  <si>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</si>
  <si>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</si>
  <si>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</si>
  <si>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</si>
  <si>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</si>
  <si>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</si>
  <si>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</si>
  <si>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</si>
  <si>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</si>
  <si>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</si>
  <si>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</si>
  <si>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</si>
  <si>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</si>
  <si>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</si>
  <si>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</si>
  <si>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</si>
  <si>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</si>
  <si>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</si>
  <si>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</si>
  <si>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</si>
  <si>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</si>
  <si>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Battern on RAB Board for cladding fixings
</t>
  </si>
  <si>
    <t xml:space="preserve">All RAB board installation completed to specification &amp; within tolerance in respective area(s) </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</si>
  <si>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</si>
  <si>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</si>
  <si>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</si>
  <si>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</si>
  <si>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</si>
  <si>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</si>
  <si>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</si>
  <si>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</si>
  <si>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Sill support fixing bars installed for all joinery within acceptable tolerance level</t>
  </si>
  <si>
    <t xml:space="preserve">All windows, sliders and sealant installation completed to specification &amp; within tolerance in respective area(s) </t>
  </si>
  <si>
    <t>Pre-Line</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</si>
  <si>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</si>
  <si>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</si>
  <si>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</si>
  <si>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</si>
  <si>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</si>
  <si>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</si>
  <si>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</si>
  <si>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</si>
  <si>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Timber frame installation completed and acceptable</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</si>
  <si>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</si>
  <si>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</si>
  <si>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</si>
  <si>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</si>
  <si>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</si>
  <si>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</si>
  <si>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</si>
  <si>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</si>
  <si>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</si>
  <si>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</si>
  <si>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</si>
  <si>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</si>
  <si>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</si>
  <si>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</si>
  <si>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</si>
  <si>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</si>
  <si>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</si>
  <si>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</si>
  <si>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</si>
  <si>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</si>
  <si>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</si>
  <si>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Post-Line</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</si>
  <si>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</si>
  <si>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</si>
  <si>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</si>
  <si>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</si>
  <si>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</si>
  <si>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</si>
  <si>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</si>
  <si>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</si>
  <si>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</si>
  <si>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</si>
  <si>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</si>
  <si>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</si>
  <si>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</si>
  <si>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</si>
  <si>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</si>
  <si>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</si>
  <si>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</si>
  <si>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</si>
  <si>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</si>
  <si>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</si>
  <si>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</si>
  <si>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</si>
  <si>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</si>
  <si>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</si>
  <si>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</si>
  <si>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</si>
  <si>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</si>
  <si>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</si>
  <si>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Underfloor heating</t>
  </si>
  <si>
    <t>Wiring on the floor completed correctly</t>
  </si>
  <si>
    <t>Self leveling coverage completed and acceptable</t>
  </si>
  <si>
    <t xml:space="preserve">Underfloor heating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</si>
  <si>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</si>
  <si>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</si>
  <si>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</si>
  <si>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</si>
  <si>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</si>
  <si>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</si>
  <si>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</si>
  <si>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</si>
  <si>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</si>
  <si>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</si>
  <si>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</si>
  <si>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</si>
  <si>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</si>
  <si>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 xml:space="preserve">POST - S - Internal door installation </t>
  </si>
  <si>
    <t>Door Number(s) / Location checked and accurate</t>
  </si>
  <si>
    <t>Floor clearance - Adequate for proposed floor coverings</t>
  </si>
  <si>
    <t>Fixings - Consider Jamb/Hinges/Door Packer, all installed &amp; secure (Size &amp; type)</t>
  </si>
  <si>
    <t>Door leaf to jamb gaps parallel &amp; correct (Consider paint thickness(s))</t>
  </si>
  <si>
    <t>Door opening as required &amp; is plumb</t>
  </si>
  <si>
    <t xml:space="preserve">All doors installed, damage free &amp; completed correctly to specification in respective area(s) </t>
  </si>
  <si>
    <t>POST - S - Cork/ Soundproofing</t>
  </si>
  <si>
    <t>Cork installed across the floor</t>
  </si>
  <si>
    <t>Joints are tight</t>
  </si>
  <si>
    <t>Cork/ Soundproofing work completed - specified level of finish achieved</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</si>
  <si>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</si>
  <si>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</si>
  <si>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</si>
  <si>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</si>
  <si>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</si>
  <si>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</si>
  <si>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</si>
  <si>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</si>
  <si>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</si>
  <si>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</si>
  <si>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</si>
  <si>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</si>
  <si>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</si>
  <si>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</si>
  <si>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 xml:space="preserve">POST - S - Fire door installation </t>
  </si>
  <si>
    <t>Services/Mechanisms &amp; FRR/Acoustic requirements considered &amp; applied (where applicable)</t>
  </si>
  <si>
    <t>Fixings - Consider Jamb/Hinges, all installed &amp; secure (Size &amp; type)</t>
  </si>
  <si>
    <t>Door tags installed</t>
  </si>
  <si>
    <t>POST - S - Internal Lining - Walls</t>
  </si>
  <si>
    <t>All preline services &amp; passive fire (where required) completed, area accessible and substrate acceptable</t>
  </si>
  <si>
    <t>Consider bracing, adhesive/sealant &amp; lining layer(s) requirements (consider fire stopping between layers)</t>
  </si>
  <si>
    <t>Specific products used (photos Required)</t>
  </si>
  <si>
    <t>Services/penetrations, correctly formed &amp; located (consider cut-out tolerances where applicable)</t>
  </si>
  <si>
    <t>Correct fixing pattern/sealant (consider fire)/adhesive/layers installed to align with consented design and specifications</t>
  </si>
  <si>
    <t>Any bracing elements completed to design specification</t>
  </si>
  <si>
    <t xml:space="preserve">All lining(s) completed correctly to specification &amp; level of finish acceptable in respective area(s) </t>
  </si>
  <si>
    <t>POST - S - Internal Lining - Ceilings</t>
  </si>
  <si>
    <t>Services/Penetrations, correctly formed &amp; located (consider cutout tolerances and access hatches (location &amp; size) where applicable)</t>
  </si>
  <si>
    <t>All lining(s) completed correctly to specification &amp; level of finish acceptable in respective area(s)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</si>
  <si>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</si>
  <si>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</si>
  <si>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</si>
  <si>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</si>
  <si>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</si>
  <si>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</si>
  <si>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</si>
  <si>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</si>
  <si>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</si>
  <si>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Supply cable installed correctly, protected and secured</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</si>
  <si>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</si>
  <si>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</si>
  <si>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</si>
  <si>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</si>
  <si>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</si>
  <si>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</si>
  <si>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</si>
  <si>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</si>
  <si>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</si>
  <si>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</si>
  <si>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</si>
  <si>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</si>
  <si>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</si>
  <si>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</si>
  <si>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</si>
  <si>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</si>
  <si>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Ventilation - Apartment Ventilation</t>
  </si>
  <si>
    <t>Penetrations done in floors and walls (if needed)</t>
  </si>
  <si>
    <t>Space for ducting (no trades in the way)</t>
  </si>
  <si>
    <t>Pipe through exterior wall installed by RHC to connect to</t>
  </si>
  <si>
    <t>Drawings and work scope confirmed</t>
  </si>
  <si>
    <t>Ductwork run straight level and well supported</t>
  </si>
  <si>
    <t>All ductwork joints sealed</t>
  </si>
  <si>
    <t>All SAB joints sealed and taped</t>
  </si>
  <si>
    <t>All flexible ducts cable tied and taped to duct</t>
  </si>
  <si>
    <t>All seismic restraints in place (if needed)</t>
  </si>
  <si>
    <t>Flexible ducts fixed in place to grille location</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</si>
  <si>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</si>
  <si>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</si>
  <si>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</si>
  <si>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</si>
  <si>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</si>
  <si>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</si>
  <si>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</si>
  <si>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</si>
  <si>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</si>
  <si>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</si>
  <si>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</si>
  <si>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</si>
  <si>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Corridors Ventilation</t>
  </si>
  <si>
    <t>Area clear, access good, enough space for install</t>
  </si>
  <si>
    <t>Duct route clear, Penetrations complete</t>
  </si>
  <si>
    <t>Nogs/Supports in place</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</si>
  <si>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</si>
  <si>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</si>
  <si>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</si>
  <si>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S - S - Kitch Extraction</t>
  </si>
  <si>
    <t>Duct Route clear, Penetrations completed</t>
  </si>
  <si>
    <t>Fan installed straight and level and correct orientation</t>
  </si>
  <si>
    <t>Correct Fan installed</t>
  </si>
  <si>
    <t>Fan seismically braced and vibration isolated</t>
  </si>
  <si>
    <t>S - S - Ventilation - Carpark Ventilation - Jet Pulse Fan</t>
  </si>
  <si>
    <t>Good access to all areas of building</t>
  </si>
  <si>
    <t>Power live to Mechanical Plant</t>
  </si>
  <si>
    <t>S - S - Electrical</t>
  </si>
  <si>
    <t>Handover Accepted/Nogs Installed and area clean and tidy before starting</t>
  </si>
  <si>
    <t>Check all drawings, plan symbols are identified and wired for, raise any anomalies</t>
  </si>
  <si>
    <t>Check wall and ceiling outlets and fitting positions against Architectural/ Electrical drawings and acceptable</t>
  </si>
  <si>
    <t xml:space="preserve">Check for any purchaser variations/ client extras
</t>
  </si>
  <si>
    <t>Check all power &amp; light feeds present and acceptable</t>
  </si>
  <si>
    <t xml:space="preserve">Check loop wires insatlled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</si>
  <si>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</si>
  <si>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</si>
  <si>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</si>
  <si>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</si>
  <si>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Electrical First Fix completed and acceptable and area clean and tidy for next trade</t>
  </si>
  <si>
    <t xml:space="preserve">All cover plates in place &amp; fitted correctly and striaght </t>
  </si>
  <si>
    <t>All light fittings tight &amp; secure and acceptable</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</si>
  <si>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</si>
  <si>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</si>
  <si>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</si>
  <si>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</si>
  <si>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</si>
  <si>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</si>
  <si>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</si>
  <si>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</si>
  <si>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</si>
  <si>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</si>
  <si>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</si>
  <si>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</si>
  <si>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</si>
  <si>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</si>
  <si>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</si>
  <si>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</si>
  <si>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</si>
  <si>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</si>
  <si>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</si>
  <si>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</si>
  <si>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</si>
  <si>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</si>
  <si>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</si>
  <si>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</si>
  <si>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</si>
  <si>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Fire Hydrant</t>
  </si>
  <si>
    <t>ST - S - Sikalastic</t>
  </si>
  <si>
    <t>Any damage to structure repaired</t>
  </si>
  <si>
    <t>Concrete free of lumps and laitance</t>
  </si>
  <si>
    <t>input</t>
  </si>
  <si>
    <t>Cleaning Method:</t>
  </si>
  <si>
    <t>Weather Conditions:</t>
  </si>
  <si>
    <t>Ambient temperature at the start of the work day:</t>
  </si>
  <si>
    <t>Ambient temperature at the end of the work day:</t>
  </si>
  <si>
    <t>dropdown</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</si>
  <si>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</si>
  <si>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</si>
  <si>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</si>
  <si>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</si>
  <si>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</si>
  <si>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</si>
  <si>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</si>
  <si>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Sarnafil</t>
  </si>
  <si>
    <t>Sarnafil perimeter</t>
  </si>
  <si>
    <t>Area clean and accessible</t>
  </si>
  <si>
    <t>Concrete Ground</t>
  </si>
  <si>
    <t>Edges Bevelled</t>
  </si>
  <si>
    <t>Concrete in acceptible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</si>
  <si>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</si>
  <si>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</si>
  <si>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</si>
  <si>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</si>
  <si>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</si>
  <si>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</si>
  <si>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</si>
  <si>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</si>
  <si>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</si>
  <si>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</si>
  <si>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</si>
  <si>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</si>
  <si>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</si>
  <si>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</si>
  <si>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Concrete Reinforcing</t>
  </si>
  <si>
    <t>ST - S - Precast Balcony Installation</t>
  </si>
  <si>
    <t>Joints Scabbled</t>
  </si>
  <si>
    <t>Temporary supports correctly placed</t>
  </si>
  <si>
    <t>Precast balcony Installed in correct location</t>
  </si>
  <si>
    <t>Pracast Balcony install complete (checked location &amp; level)</t>
  </si>
  <si>
    <t>ST - S - Bentonite</t>
  </si>
  <si>
    <t>Checkpoint</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</si>
  <si>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</si>
  <si>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</si>
  <si>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</si>
  <si>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</si>
  <si>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</si>
  <si>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</si>
  <si>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</si>
  <si>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</si>
  <si>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</si>
  <si>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</si>
  <si>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</si>
  <si>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</si>
  <si>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</si>
  <si>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</si>
  <si>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</si>
  <si>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</si>
  <si>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</si>
  <si>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</si>
  <si>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</si>
  <si>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</si>
  <si>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POST - S - Plumbing Second Fix</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</si>
  <si>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</si>
  <si>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</si>
  <si>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</si>
  <si>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</si>
  <si>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</si>
  <si>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</si>
  <si>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</si>
  <si>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</si>
  <si>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</si>
  <si>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</si>
  <si>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</si>
  <si>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</si>
  <si>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</si>
  <si>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</si>
  <si>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</si>
  <si>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</si>
  <si>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</si>
  <si>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</si>
  <si>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</si>
  <si>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</si>
  <si>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</si>
  <si>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</si>
  <si>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</si>
  <si>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</si>
  <si>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</si>
  <si>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</si>
  <si>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</si>
  <si>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</si>
  <si>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</si>
  <si>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</si>
  <si>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Raise remedial/Request signoff</t>
  </si>
  <si>
    <t>FC - S - Eyebrow - Canopy</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</si>
  <si>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</si>
  <si>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</si>
  <si>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</si>
  <si>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</si>
  <si>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sepecifications</t>
  </si>
  <si>
    <t>Installed Gutter fire barriers as per specifications</t>
  </si>
  <si>
    <t>Installed Concrete Pannels (under roof) fire barriers as per specifications</t>
  </si>
  <si>
    <t>Installed Hatches fire barriers as per specifications</t>
  </si>
  <si>
    <t>FC - S - Symonite Alucobond Cladding System</t>
  </si>
  <si>
    <t>High impact packers</t>
  </si>
  <si>
    <t>Screw fixing</t>
  </si>
  <si>
    <t>Ali. Fixing angle &amp; sealant on backing rod</t>
  </si>
  <si>
    <t>All Alucobond have been installed square, straight and plumb</t>
  </si>
  <si>
    <t xml:space="preserve">All door stopperst installation completed to specification &amp; within tolerance in respective area(s) </t>
  </si>
  <si>
    <t>FC - S - External Envelope</t>
  </si>
  <si>
    <t>Eco ply taped nailing checked</t>
  </si>
  <si>
    <t>label</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</si>
  <si>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</si>
  <si>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</si>
  <si>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</si>
  <si>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</si>
  <si>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</si>
  <si>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</si>
  <si>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</si>
  <si>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</si>
  <si>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</si>
  <si>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</si>
  <si>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</si>
  <si>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</si>
  <si>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</si>
  <si>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</si>
  <si>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</si>
  <si>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</si>
  <si>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</si>
  <si>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</si>
  <si>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</si>
  <si>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</si>
  <si>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</si>
  <si>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</si>
  <si>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</si>
  <si>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</si>
  <si>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</si>
  <si>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</si>
  <si>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</si>
  <si>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</si>
  <si>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</si>
  <si>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</si>
  <si>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</si>
  <si>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FC - S - Fascia/Gutter</t>
  </si>
  <si>
    <t>Size checked and accurate</t>
  </si>
  <si>
    <t>Fixings installed (2-4 photos attached)</t>
  </si>
  <si>
    <t>Rinwater heads checked and accurate (2-4 photos attached)</t>
  </si>
  <si>
    <t>Paint - specified level of finish achieved</t>
  </si>
  <si>
    <t>Fascia installation completed (2-4 photos attached)</t>
  </si>
  <si>
    <t>FC - S - Roofing Iron/Flashings</t>
  </si>
  <si>
    <t>Correct drawing revision checked,referenced and attached</t>
  </si>
  <si>
    <t>Drawing number(s) &amp; Revisions</t>
  </si>
  <si>
    <t>Area Accessable, Substrate Acceptable &amp; Approval to start work</t>
  </si>
  <si>
    <t xml:space="preserve">Roof underlay checked and accurate </t>
  </si>
  <si>
    <t>Iron laid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</si>
  <si>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</si>
  <si>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</si>
  <si>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</si>
  <si>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</si>
  <si>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PRE - S - Townhouse Suspended Ceilings</t>
  </si>
  <si>
    <t>Prestart</t>
  </si>
  <si>
    <t>Latest drawings available checked and referenced  and attached</t>
  </si>
  <si>
    <t>Area Accessible, Substrate Acceptable &amp; Approval to start work</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</si>
  <si>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</si>
  <si>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</si>
  <si>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</si>
  <si>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</si>
  <si>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</si>
  <si>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</si>
  <si>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Batterns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</si>
  <si>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</si>
  <si>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</si>
  <si>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</si>
  <si>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</si>
  <si>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</si>
  <si>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</si>
  <si>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</si>
  <si>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</si>
  <si>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</si>
  <si>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</si>
  <si>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</si>
  <si>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</si>
  <si>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</si>
  <si>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</si>
  <si>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</si>
  <si>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</si>
  <si>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Water tested to 1500kpa and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</si>
  <si>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</si>
  <si>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</si>
  <si>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</si>
  <si>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</si>
  <si>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</si>
  <si>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</si>
  <si>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</si>
  <si>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Flush boxes installed and acceptable</t>
  </si>
  <si>
    <t>Walls are ready to line and acceptable</t>
  </si>
  <si>
    <t>Ceiling is ready to line and acceptable</t>
  </si>
  <si>
    <t>First Fix complete and acceptable and area clean and tidy for next trade</t>
  </si>
  <si>
    <t>PRE - S - First Fix - Ventilation</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</si>
  <si>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</si>
  <si>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</si>
  <si>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</si>
  <si>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</si>
  <si>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</si>
  <si>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</si>
  <si>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Mechanical First Fix complete and acceptable and area clean and tidy for next trade</t>
  </si>
  <si>
    <t>PRE - S - First Fix - Air Conditioning</t>
  </si>
  <si>
    <t xml:space="preserve"> Complete length of pipework is insulated and acceptable</t>
  </si>
  <si>
    <t>Drain installed and insulated</t>
  </si>
  <si>
    <t>Outdoor wall brackets in place</t>
  </si>
  <si>
    <t>Interconnecting cables correctly installed and protected</t>
  </si>
  <si>
    <t>PRE - S - First Fix - Electrical</t>
  </si>
  <si>
    <t>Check for any purchaser variations/ client extras</t>
  </si>
  <si>
    <t>Check loop wires insatlled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</si>
  <si>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</si>
  <si>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</si>
  <si>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</si>
  <si>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</si>
  <si>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PRE - S - First Fix - Fire Alarm</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</si>
  <si>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</si>
  <si>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</si>
  <si>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</si>
  <si>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</si>
  <si>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</si>
  <si>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</si>
  <si>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</si>
  <si>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</si>
  <si>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</si>
  <si>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</si>
  <si>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</si>
  <si>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</si>
  <si>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</si>
  <si>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</si>
  <si>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</si>
  <si>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</si>
  <si>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</si>
  <si>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</si>
  <si>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</si>
  <si>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</si>
  <si>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</si>
  <si>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</si>
  <si>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</si>
  <si>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</si>
  <si>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</si>
  <si>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</si>
  <si>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</si>
  <si>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</si>
  <si>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</si>
  <si>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</si>
  <si>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</si>
  <si>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</si>
  <si>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</si>
  <si>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</si>
  <si>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</si>
  <si>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</si>
  <si>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</si>
  <si>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</si>
  <si>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</si>
  <si>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</si>
  <si>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</si>
  <si>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</si>
  <si>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</si>
  <si>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</si>
  <si>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</si>
  <si>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</si>
  <si>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</si>
  <si>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</si>
  <si>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</si>
  <si>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</si>
  <si>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</si>
  <si>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</si>
  <si>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</si>
  <si>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</si>
  <si>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</si>
  <si>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</si>
  <si>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</si>
  <si>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</si>
  <si>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</si>
  <si>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Raise Remedial / Request Signoff</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</si>
  <si>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</si>
  <si>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</si>
  <si>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</si>
  <si>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</si>
  <si>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</si>
  <si>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</si>
  <si>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</si>
  <si>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</si>
  <si>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</si>
  <si>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</si>
  <si>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</si>
  <si>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</si>
  <si>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</si>
  <si>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</si>
  <si>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</si>
  <si>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</si>
  <si>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</si>
  <si>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</si>
  <si>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</si>
  <si>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</si>
  <si>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</si>
  <si>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Site Install</t>
  </si>
  <si>
    <t>Work area clear, tidy and accessible</t>
  </si>
  <si>
    <t>Previous substrate acceptable</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</si>
  <si>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</si>
  <si>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</si>
  <si>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</si>
  <si>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</si>
  <si>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</si>
  <si>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</si>
  <si>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</si>
  <si>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</si>
  <si>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</si>
  <si>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</si>
  <si>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</si>
  <si>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</si>
  <si>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</si>
  <si>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</si>
  <si>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</si>
  <si>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</si>
  <si>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</si>
  <si>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</si>
  <si>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</si>
  <si>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</si>
  <si>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</si>
  <si>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</si>
  <si>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Area left tidy and accessible</t>
  </si>
  <si>
    <t>Steel erectors sign off</t>
  </si>
  <si>
    <t>ST - S - Steel Paint QA Documents</t>
  </si>
  <si>
    <t>Paint QA Documents, Uploaded and all supporting documentation attached</t>
  </si>
  <si>
    <t>signoff</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</si>
  <si>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</si>
  <si>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</si>
  <si>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</si>
  <si>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</si>
  <si>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</si>
  <si>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</si>
  <si>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</si>
  <si>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</si>
  <si>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</si>
  <si>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</si>
  <si>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</si>
  <si>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</si>
  <si>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</si>
  <si>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</si>
  <si>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</si>
  <si>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</si>
  <si>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</si>
  <si>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</si>
  <si>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</si>
  <si>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</si>
  <si>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</si>
  <si>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</si>
  <si>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</si>
  <si>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</si>
  <si>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</si>
  <si>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</si>
  <si>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</si>
  <si>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color and thickness confirmed correct</t>
  </si>
  <si>
    <t>Membrane penetrations have been sealed and are watertight</t>
  </si>
  <si>
    <t>All welded seams and proprietary items to be seam probed</t>
  </si>
  <si>
    <t>FC - S - Hatches</t>
  </si>
  <si>
    <t>FC - S - Gutters</t>
  </si>
  <si>
    <t>FC - S - Louvre Installation</t>
  </si>
  <si>
    <t>Louvres height is compliant</t>
  </si>
  <si>
    <t>No Gaps Larger than 75 mm</t>
  </si>
  <si>
    <t>Louvre brackets installed</t>
  </si>
  <si>
    <t>All louvre bracket installation works completed, reviewed and approved and protection installed</t>
  </si>
  <si>
    <t xml:space="preserve">FC - S - Air conditioning </t>
  </si>
  <si>
    <t>Aircon channel installed</t>
  </si>
  <si>
    <t>Aircon brackets installed</t>
  </si>
  <si>
    <t>Threaded rod installed</t>
  </si>
  <si>
    <t>Flashing covers installed</t>
  </si>
  <si>
    <t>Trade seal installed</t>
  </si>
  <si>
    <t>Post - S - Mirror Installation</t>
  </si>
  <si>
    <t>Mirror correct size as per plans</t>
  </si>
  <si>
    <t>Mirror free from chips, cracks and scratches (Attach photos)</t>
  </si>
  <si>
    <t>Mirror fastened to surface correctly and square (Attach photos)</t>
  </si>
  <si>
    <t>Silicon seal appropriate (Attach photos)</t>
  </si>
  <si>
    <t>Post - S - Splashback Installation</t>
  </si>
  <si>
    <t>Splashback correct size as per plans</t>
  </si>
  <si>
    <t>Splashback free from chips, cracks and scratches (Attach photos)</t>
  </si>
  <si>
    <t>Splashback fastened to surface correctly and square (Attach photos)</t>
  </si>
  <si>
    <t>Correct colour as per scope</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</si>
  <si>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</si>
  <si>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</si>
  <si>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</si>
  <si>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</si>
  <si>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</si>
  <si>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</si>
  <si>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S - S - Lifts</t>
  </si>
  <si>
    <t>Area clean and accessable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</si>
  <si>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</si>
  <si>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</si>
  <si>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</si>
  <si>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</si>
  <si>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</si>
  <si>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</si>
  <si>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</si>
  <si>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</si>
  <si>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C - S - Subsoil Drainage</t>
  </si>
  <si>
    <t xml:space="preserve">Subsoil Drainage location and depth accurate </t>
  </si>
  <si>
    <t>Subsoil drainage installation completed as per the specifications</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</si>
  <si>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</si>
  <si>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</si>
  <si>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</si>
  <si>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</si>
  <si>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</si>
  <si>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</si>
  <si>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</si>
  <si>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C - S - Lift Pit Installation</t>
  </si>
  <si>
    <t>Backfill completed and commpacted as per specifications</t>
  </si>
  <si>
    <t>Backfill completed correctly and heights checked/correct</t>
  </si>
  <si>
    <t>F - S - Backfilling</t>
  </si>
  <si>
    <t>Waterproofing membrane installed</t>
  </si>
  <si>
    <t>Area clean of debris</t>
  </si>
  <si>
    <t>Backfill completed correctly and heights checked/ correct</t>
  </si>
  <si>
    <t>Completion Docs</t>
  </si>
  <si>
    <t>CST - S - Completion Documents</t>
  </si>
  <si>
    <t>All relevant Compliance Documentation completed and attached above</t>
  </si>
  <si>
    <t>Any Additional Compliance Documentation (Required under Section C and by Consultants) - Completed and Attached</t>
  </si>
  <si>
    <t>Do not select "Pass" HERE until all requirements have been marked as "Yes" &amp; attached or you have selected "N/A"</t>
  </si>
  <si>
    <t xml:space="preserve">ST - S - Timber Framing Receival </t>
  </si>
  <si>
    <t>Timber Framing in line with design drawings</t>
  </si>
  <si>
    <t>Arrived damage free</t>
  </si>
  <si>
    <t>Stored on-site properly</t>
  </si>
  <si>
    <t>POST - S - Fire Door Receival</t>
  </si>
  <si>
    <t>Fire Doors in line with design drawings</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</si>
  <si>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</si>
  <si>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</si>
  <si>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</si>
  <si>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</si>
  <si>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</si>
  <si>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</si>
  <si>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</si>
  <si>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</si>
  <si>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POST - S - Joinery Receival</t>
  </si>
  <si>
    <t>Joinery in line with design drawings</t>
  </si>
  <si>
    <t>ST - S - Epoxy</t>
  </si>
  <si>
    <t>Applicators</t>
  </si>
  <si>
    <t>Area:</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</si>
  <si>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</si>
  <si>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</si>
  <si>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</si>
  <si>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</si>
  <si>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</si>
  <si>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</si>
  <si>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</si>
  <si>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</si>
  <si>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</si>
  <si>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F - S - Precast Fire Joint Sealant</t>
  </si>
  <si>
    <t>Details</t>
  </si>
  <si>
    <t>Date:</t>
  </si>
  <si>
    <t>Installer:</t>
  </si>
  <si>
    <t>Sika Specification (if any)</t>
  </si>
  <si>
    <t>Joint dimensions width x depth</t>
  </si>
  <si>
    <t>Substrate</t>
  </si>
  <si>
    <t>Sika products used last 6 digits of Batch number</t>
  </si>
  <si>
    <t>Method of substrate preparation (e.g. grinding, abrading, drying etc</t>
  </si>
  <si>
    <t>Sika cleaner / primer used</t>
  </si>
  <si>
    <t>ST - S - Precast Compliance Documents</t>
  </si>
  <si>
    <t>Concrete Dockets</t>
  </si>
  <si>
    <t>Concrete Test Results</t>
  </si>
  <si>
    <t>Mill Certificates</t>
  </si>
  <si>
    <t>Producer Statement (PS3)</t>
  </si>
  <si>
    <t>ST - S - Steel Deck Concrete Topping</t>
  </si>
  <si>
    <t>Material and size are correct</t>
  </si>
  <si>
    <t>Firmly secured in the correct method</t>
  </si>
  <si>
    <t>Area left tidy and accessible, and work signed off</t>
  </si>
  <si>
    <t>ID</t>
  </si>
  <si>
    <t>Version</t>
  </si>
  <si>
    <t>ChecklistID</t>
  </si>
  <si>
    <t>Checklist Order</t>
  </si>
  <si>
    <t>C - R - Bulk Excavation</t>
  </si>
  <si>
    <t>Relevant inspections completed and attached and any observations recorded and closed out</t>
  </si>
  <si>
    <t>Trades QA received, attached, reviewed and approved</t>
  </si>
  <si>
    <t>C - R - Detailed Excavation</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</si>
  <si>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</si>
  <si>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</si>
  <si>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</si>
  <si>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</si>
  <si>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</si>
  <si>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</si>
  <si>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</si>
  <si>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</si>
  <si>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</si>
  <si>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</si>
  <si>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</si>
  <si>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</si>
  <si>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</si>
  <si>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</si>
  <si>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</si>
  <si>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</si>
  <si>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Asbestos Removal</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</si>
  <si>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</si>
  <si>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</si>
  <si>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</si>
  <si>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</si>
  <si>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</si>
  <si>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F - R - Crane Piling</t>
  </si>
  <si>
    <t>Crane Piling completed and acceptable</t>
  </si>
  <si>
    <t>F - R - Sheet Piling</t>
  </si>
  <si>
    <t>F - R - Piling</t>
  </si>
  <si>
    <t>Piling completed as per the specifications</t>
  </si>
  <si>
    <t>F - R - Shell Beam Installation</t>
  </si>
  <si>
    <t>Shell Beam installation completed as per the specifications</t>
  </si>
  <si>
    <t>F - R - Backfilling</t>
  </si>
  <si>
    <t>Backfilling completed as per the specifications</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</si>
  <si>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</si>
  <si>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</si>
  <si>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</si>
  <si>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</si>
  <si>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</si>
  <si>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</si>
  <si>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ST - R - Blockwork</t>
  </si>
  <si>
    <t>Blockwork walls completed and acceptable</t>
  </si>
  <si>
    <t>ST - R - Concrete Pour</t>
  </si>
  <si>
    <t>Concrete pour completed and acceptable</t>
  </si>
  <si>
    <t xml:space="preserve">ST - R - Insitu Stitch Joints </t>
  </si>
  <si>
    <t>Insitu Stitch Joints concrete pour completed and acceptable</t>
  </si>
  <si>
    <t>ST - R - Intumescent Painting</t>
  </si>
  <si>
    <t>Intumescent Painting completed and acceptable</t>
  </si>
  <si>
    <t>ST - R - Precast Edge Beams Installation</t>
  </si>
  <si>
    <t>Precast Edge Beams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</si>
  <si>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</si>
  <si>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</si>
  <si>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</si>
  <si>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</si>
  <si>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</si>
  <si>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</si>
  <si>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</si>
  <si>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</si>
  <si>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</si>
  <si>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</si>
  <si>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</si>
  <si>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</si>
  <si>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</si>
  <si>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</si>
  <si>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</si>
  <si>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</si>
  <si>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</si>
  <si>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</si>
  <si>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</si>
  <si>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</si>
  <si>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</si>
  <si>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</si>
  <si>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</si>
  <si>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</si>
  <si>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</si>
  <si>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</si>
  <si>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</si>
  <si>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</si>
  <si>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</si>
  <si>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ST - R - Roof structure - Timber Trusses</t>
  </si>
  <si>
    <t>All timber trusses correctly installed in respective area and acceptable</t>
  </si>
  <si>
    <t>ST - R - Stair Installation</t>
  </si>
  <si>
    <t>Stair Installation completed and acceptable</t>
  </si>
  <si>
    <t>ST - R - Structural Steel Installation</t>
  </si>
  <si>
    <t>ST - R - Timber Framing</t>
  </si>
  <si>
    <t>FC - R - Anchor Points - Anchor Point Installation</t>
  </si>
  <si>
    <t>FC - R - Anchor Points - Intermediate, Corner and End Plate Installation</t>
  </si>
  <si>
    <t>FC - R - Anchor Points - Static line installation</t>
  </si>
  <si>
    <t>FC - R - STO Poly Plaster</t>
  </si>
  <si>
    <t xml:space="preserve">STO Poly Plaster works completed and acceptable </t>
  </si>
  <si>
    <t>FC - R - External Plaster - Nibs &amp; Beams</t>
  </si>
  <si>
    <t xml:space="preserve">External Plaster works for Nibs &amp; Beams completed and acceptable </t>
  </si>
  <si>
    <t xml:space="preserve">FC - R - Soffits </t>
  </si>
  <si>
    <t xml:space="preserve">Soffit works completed and acceptable </t>
  </si>
  <si>
    <t>FC - R - Balustrades Installation</t>
  </si>
  <si>
    <t xml:space="preserve">Balustrades installation completed and acceptable </t>
  </si>
  <si>
    <t>FC - R - Exterior Tiling</t>
  </si>
  <si>
    <t xml:space="preserve">Exterior Tiling works completed and acceptable </t>
  </si>
  <si>
    <t xml:space="preserve">FC - R - Flashing installation </t>
  </si>
  <si>
    <t xml:space="preserve">Flashing installation completed and acceptable </t>
  </si>
  <si>
    <t>FC - R - Brick Works</t>
  </si>
  <si>
    <t xml:space="preserve">Brick works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</si>
  <si>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</si>
  <si>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</si>
  <si>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</si>
  <si>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</si>
  <si>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</si>
  <si>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</si>
  <si>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</si>
  <si>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Exterior Timber Framing</t>
  </si>
  <si>
    <t xml:space="preserve">Exterior Timber Framing works completed and acceptable </t>
  </si>
  <si>
    <t>FC - R - Roofing</t>
  </si>
  <si>
    <t xml:space="preserve">Roofing installation completed and acceptable </t>
  </si>
  <si>
    <t>PRE - R - PRE-line</t>
  </si>
  <si>
    <t>PRE-line works completed and acceptable. Trades QA received, reviewed, attached and approved for all pre-line trades. Approved to line the area.</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</si>
  <si>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</si>
  <si>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</si>
  <si>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</si>
  <si>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</si>
  <si>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</si>
  <si>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</si>
  <si>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</si>
  <si>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</si>
  <si>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</si>
  <si>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</si>
  <si>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</si>
  <si>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</si>
  <si>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CST - R - Restricted Building Works Consent</t>
  </si>
  <si>
    <t>Title Recorded</t>
  </si>
  <si>
    <t>Final Inspection Passed</t>
  </si>
  <si>
    <t>Summary sheet - site inspection records</t>
  </si>
  <si>
    <t>Summary sheet - LBP Records</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</si>
  <si>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</si>
  <si>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</si>
  <si>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</si>
  <si>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</si>
  <si>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</si>
  <si>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</si>
  <si>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</si>
  <si>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</si>
  <si>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</si>
  <si>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</si>
  <si>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</si>
  <si>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</si>
  <si>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Waterproofing</t>
  </si>
  <si>
    <t>Record of warranties</t>
  </si>
  <si>
    <t>CST - R - Civil Consent</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</si>
  <si>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</si>
  <si>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</si>
  <si>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</si>
  <si>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</si>
  <si>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</si>
  <si>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</si>
  <si>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</si>
  <si>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</si>
  <si>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</si>
  <si>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</si>
  <si>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</si>
  <si>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</si>
  <si>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</si>
  <si>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</si>
  <si>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</si>
  <si>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</si>
  <si>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</si>
  <si>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</si>
  <si>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</si>
  <si>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</si>
  <si>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</si>
  <si>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</si>
  <si>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</si>
  <si>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</si>
  <si>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Piling Consent</t>
  </si>
  <si>
    <t>Record of Title</t>
  </si>
  <si>
    <t>Construction Review</t>
  </si>
  <si>
    <t>Producer Statement Review(PS4): Geotechnical</t>
  </si>
  <si>
    <t>Producer Statement Review(PS4): Compaction of hardfill</t>
  </si>
  <si>
    <t>Producer Statement Review(PS4): Drain Bridging</t>
  </si>
  <si>
    <t>Producer Statement Review(PS4): Engineer's observation</t>
  </si>
  <si>
    <t>Producer Statement Construction(PS3): Piling</t>
  </si>
  <si>
    <t>Pile records and cards</t>
  </si>
  <si>
    <t>Surveyor certificate for siting</t>
  </si>
  <si>
    <t>Mill certificates</t>
  </si>
  <si>
    <t>Concrete dockets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</si>
  <si>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</si>
  <si>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</si>
  <si>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</si>
  <si>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</si>
  <si>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</si>
  <si>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</si>
  <si>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</si>
  <si>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</si>
  <si>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Producer Statement Construction(PS3): Waterproofing Membrane</t>
  </si>
  <si>
    <t>Manufacturer's warranty for waterproofing membrane</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</si>
  <si>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</si>
  <si>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</si>
  <si>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</si>
  <si>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</si>
  <si>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</si>
  <si>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</si>
  <si>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</si>
  <si>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</si>
  <si>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</si>
  <si>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</si>
  <si>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</si>
  <si>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</si>
  <si>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</si>
  <si>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</si>
  <si>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</si>
  <si>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</si>
  <si>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</si>
  <si>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</si>
  <si>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</si>
  <si>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</si>
  <si>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</si>
  <si>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</si>
  <si>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</si>
  <si>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</si>
  <si>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</si>
  <si>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</si>
  <si>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</si>
  <si>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</si>
  <si>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</si>
  <si>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R - Mechanical Consent</t>
  </si>
  <si>
    <t>Electrical</t>
  </si>
  <si>
    <t>Electrical compliance and safety certificate</t>
  </si>
  <si>
    <t>record of inspections for high risk works</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</si>
  <si>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</si>
  <si>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</si>
  <si>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</si>
  <si>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</si>
  <si>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</si>
  <si>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</si>
  <si>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</si>
  <si>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</si>
  <si>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</si>
  <si>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</si>
  <si>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</si>
  <si>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Electrical work certificate</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</si>
  <si>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</si>
  <si>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</si>
  <si>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</si>
  <si>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</si>
  <si>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</si>
  <si>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</si>
  <si>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</si>
  <si>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Application for compliance schedule (AC2102)</t>
  </si>
  <si>
    <t>Confirmation of performance standards for specified systems (AC2150)</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</si>
  <si>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</si>
  <si>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</si>
  <si>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</si>
  <si>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</si>
  <si>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</si>
  <si>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</si>
  <si>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</si>
  <si>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</si>
  <si>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</si>
  <si>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CST - R - Fire Consent</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</si>
  <si>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</si>
  <si>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</si>
  <si>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</si>
  <si>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</si>
  <si>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</si>
  <si>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</si>
  <si>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</si>
  <si>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</si>
  <si>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</si>
  <si>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</si>
  <si>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</si>
  <si>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</si>
  <si>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</si>
  <si>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</si>
  <si>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</si>
  <si>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</si>
  <si>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</si>
  <si>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</si>
  <si>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</si>
  <si>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</si>
  <si>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</si>
  <si>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</si>
  <si>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</si>
  <si>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</si>
  <si>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</si>
  <si>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</si>
  <si>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</si>
  <si>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</si>
  <si>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</si>
  <si>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</si>
  <si>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</si>
  <si>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</si>
  <si>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</si>
  <si>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</si>
  <si>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</si>
  <si>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</si>
  <si>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</si>
  <si>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</si>
  <si>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</si>
  <si>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</si>
  <si>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</si>
  <si>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</si>
  <si>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</si>
  <si>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</si>
  <si>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</si>
  <si>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</si>
  <si>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CST - R - Fitout Consent</t>
  </si>
  <si>
    <t>Summary sheet  - LBP records</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</si>
  <si>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</si>
  <si>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</si>
  <si>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</si>
  <si>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</si>
  <si>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</si>
  <si>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Balustrades</t>
  </si>
  <si>
    <t>Producer Statement Construction(PS3) for balustrade installation</t>
  </si>
  <si>
    <t>Producer Statement Construction(PS3) for proprietary products</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</si>
  <si>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</si>
  <si>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</si>
  <si>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</si>
  <si>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</si>
  <si>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</si>
  <si>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</si>
  <si>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</si>
  <si>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</si>
  <si>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</si>
  <si>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</si>
  <si>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</si>
  <si>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</si>
  <si>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</si>
  <si>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</si>
  <si>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</si>
  <si>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</si>
  <si>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</si>
  <si>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</si>
  <si>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</si>
  <si>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</si>
  <si>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</si>
  <si>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</si>
  <si>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</si>
  <si>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F - R - Survey Certificates</t>
  </si>
  <si>
    <t>survey certificates for correct building height/location/setout attached</t>
  </si>
  <si>
    <t>FC - R - Down Pipes</t>
  </si>
  <si>
    <t xml:space="preserve">Downpipe installation completed and acceptable </t>
  </si>
  <si>
    <t>FC - R - Water Test</t>
  </si>
  <si>
    <t xml:space="preserve">Water Test completed and acceptable </t>
  </si>
  <si>
    <t>FC - R - Cladding Sealant</t>
  </si>
  <si>
    <t xml:space="preserve">Cladding sealant completed and acceptable </t>
  </si>
  <si>
    <t>FC - R - Lintels</t>
  </si>
  <si>
    <t xml:space="preserve">Lintels completed and acceptable </t>
  </si>
  <si>
    <t>FC - R - Envelope Penetrations</t>
  </si>
  <si>
    <t xml:space="preserve">Envelope Penetrations completed and acceptable </t>
  </si>
  <si>
    <t>FC - R - Tapes and VaproShield</t>
  </si>
  <si>
    <t xml:space="preserve">Tapes/VaproShield works completed and acceptable </t>
  </si>
  <si>
    <t>FC - R - RAB Board</t>
  </si>
  <si>
    <t xml:space="preserve">RAB Board works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</si>
  <si>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</si>
  <si>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</si>
  <si>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</si>
  <si>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</si>
  <si>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</si>
  <si>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</si>
  <si>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</si>
  <si>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</si>
  <si>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</si>
  <si>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</si>
  <si>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</si>
  <si>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FC - R - Louvres Installation</t>
  </si>
  <si>
    <t xml:space="preserve">Louvres installation completed and acceptable </t>
  </si>
  <si>
    <t>FC - R - Symonite Alucobond Cladding System</t>
  </si>
  <si>
    <t>FC - R - Air conditioning</t>
  </si>
  <si>
    <t xml:space="preserve">Air conditioning works completed and acceptable </t>
  </si>
  <si>
    <t>FC - R - Passive fire</t>
  </si>
  <si>
    <t xml:space="preserve">Passive Fire works completed and acceptable </t>
  </si>
  <si>
    <t>FC - R - Eyebrow - Canopy</t>
  </si>
  <si>
    <t xml:space="preserve">Eyebrow - Canopy works completed and acceptable </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</si>
  <si>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</si>
  <si>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</si>
  <si>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</si>
  <si>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</si>
  <si>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</si>
  <si>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</si>
  <si>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H - R - Handover</t>
  </si>
  <si>
    <t>Hardware/Fittings</t>
  </si>
  <si>
    <t>Joinery/Doors</t>
  </si>
  <si>
    <t>Decorating</t>
  </si>
  <si>
    <t>Flooring</t>
  </si>
  <si>
    <t>Other</t>
  </si>
  <si>
    <t>Upload Related Ryman Fitout quality inspection record (QT-012)</t>
  </si>
  <si>
    <t>CST - R - Council Inspection</t>
  </si>
  <si>
    <t>Date of Inspection</t>
  </si>
  <si>
    <t>Type of Inspection</t>
  </si>
  <si>
    <t>Area Inspection relates to</t>
  </si>
  <si>
    <t>Inspection outcome</t>
  </si>
  <si>
    <t>Pass, Partial Pass, Fail</t>
  </si>
  <si>
    <t>Council inspection attached</t>
  </si>
  <si>
    <t>Relevant Observation Closeout evidence attached below if applicable (pass once completed)</t>
  </si>
  <si>
    <t>Failed comments and Required Action</t>
  </si>
  <si>
    <t>ST - R - Precast Balcony Installation</t>
  </si>
  <si>
    <t>Joints grouted with Sika 212 and PEF rod.</t>
  </si>
  <si>
    <t>Precast Balcony Installation completed and acceptable</t>
  </si>
  <si>
    <t>CST - R - Demolition Consent</t>
  </si>
  <si>
    <t>Final Inspection passed</t>
  </si>
  <si>
    <t>Summary Sheet - Site inspection records</t>
  </si>
  <si>
    <t>Summary Sheet - LBP Records</t>
  </si>
  <si>
    <t>Asbestos - Asbestos Clearance Certificates &amp; PS3</t>
  </si>
  <si>
    <t>Demolition - PS3</t>
  </si>
  <si>
    <t>ST - R - Precast Flat Slab Installation</t>
  </si>
  <si>
    <t>Precast Flat Slab Installation completed and acceptable</t>
  </si>
  <si>
    <t xml:space="preserve">Existing ground level RL checked and acceptable </t>
  </si>
  <si>
    <t>Stratum 1 (e.g.. Marine Silt (GL to 4.5m)</t>
  </si>
  <si>
    <t xml:space="preserve">Correct gradient of the pipework achieved </t>
  </si>
  <si>
    <t xml:space="preserve">All underfloor plumbing works installed as per specifications </t>
  </si>
  <si>
    <t>Ties / Control joints installed as required</t>
  </si>
  <si>
    <t>All surfaces correctly prepared (e.g. joints to existing concrete, release agent to formwork etc)</t>
  </si>
  <si>
    <t>Profile substrate for adhesion sanded</t>
  </si>
  <si>
    <t xml:space="preserve">ST - S - Lintel Installation </t>
  </si>
  <si>
    <t>Lintel Installation completed (checked location &amp; level) and no damages</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</si>
  <si>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</si>
  <si>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</si>
  <si>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</si>
  <si>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</si>
  <si>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Propping/Falseworks</t>
  </si>
  <si>
    <t>Props tagged and fixings as per approved design.</t>
  </si>
  <si>
    <t>U Head brackets rotated to support bearers, bearers clipped to U head brackets.</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</si>
  <si>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</si>
  <si>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</si>
  <si>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</si>
  <si>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</si>
  <si>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</si>
  <si>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</si>
  <si>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</si>
  <si>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</si>
  <si>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</si>
  <si>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</si>
  <si>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Installed in correct level, plumb, correct pitch and braced</t>
  </si>
  <si>
    <t>Balustrades and handrails installed, checked and approved</t>
  </si>
  <si>
    <t>Panel starter bars installed correctly to specifications (location, size, length and spacing) and ready to place the precast panels</t>
  </si>
  <si>
    <t>Roof substrate is checked and acceptable and no visible damages.</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</si>
  <si>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</si>
  <si>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</si>
  <si>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 xml:space="preserve">Batten on RAB Board for cladding fixings
</t>
  </si>
  <si>
    <t>Self levelling coverage completed and acceptable</t>
  </si>
  <si>
    <t>All works from builders or other trades to enable Mechanical First fix to be completed (e.g.. drains, framing, penetrations&amp;)</t>
  </si>
  <si>
    <t>All works from builders or other trades to enable Mechanical second fix to be completed (e.g.. painting, waterproofing...)</t>
  </si>
  <si>
    <t xml:space="preserve">Check loop wires installed and acceptable
</t>
  </si>
  <si>
    <t xml:space="preserve">All cover plates in place &amp; fitted correctly and straight </t>
  </si>
  <si>
    <t>Concrete in acceptable condition</t>
  </si>
  <si>
    <t>Precast Balcony install complete (checked location &amp; level)</t>
  </si>
  <si>
    <t xml:space="preserve">POST - S - Second Fix - Plumbing </t>
  </si>
  <si>
    <t>Installed Boss Bulkhead Batt fire barriers as per specifications</t>
  </si>
  <si>
    <t xml:space="preserve">All door stoppers installation completed to specification &amp; within tolerance in respective area(s) </t>
  </si>
  <si>
    <t>Correct drawing revision checked, referenced and attached</t>
  </si>
  <si>
    <t>Roofing Material fixed correctly/checked and accurate (2-3 photos attached)</t>
  </si>
  <si>
    <t>Battens level checked and accurate</t>
  </si>
  <si>
    <t>Enter water pressure value tested for. Confirm loop not effect lining</t>
  </si>
  <si>
    <t>Check loop wires installed and acceptable</t>
  </si>
  <si>
    <t>Membrane colour and thickness confirmed correct</t>
  </si>
  <si>
    <t>Backfill completed and compacted as per specifications</t>
  </si>
  <si>
    <t>Method of substrate preparation (e.g.. grinding, abrading, drying etc</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</si>
  <si>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</si>
  <si>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</si>
  <si>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</si>
  <si>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</si>
  <si>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</si>
  <si>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</si>
  <si>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</si>
  <si>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</si>
  <si>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</si>
  <si>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</si>
  <si>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</si>
  <si>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</si>
  <si>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</si>
  <si>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General comments, photos and observations during inspection</t>
  </si>
  <si>
    <t>Site Report Summary/Closeout</t>
  </si>
  <si>
    <t>Works accepted and may proceed (select Pass) or reinspection required to defective elements (select Fail - Works Cannot Proceed)</t>
  </si>
  <si>
    <t>RAISE REMEDIAL / REQUEST SIGNOFF</t>
  </si>
  <si>
    <t>Remedial(s) - Recorded and Closed Out</t>
  </si>
  <si>
    <t>I - C - MV Compliance Documents</t>
  </si>
  <si>
    <t>Compliance Documents</t>
  </si>
  <si>
    <t>tickbox</t>
  </si>
  <si>
    <t>LBP Memorandum</t>
  </si>
  <si>
    <t>Concrete Strength Test Results</t>
  </si>
  <si>
    <t>Mitchell Vranjes PS4 Attached</t>
  </si>
  <si>
    <t>I - C - MV Remedial Item Checklist</t>
  </si>
  <si>
    <t>Remedial Status (MV to "Pass" once satisfied)</t>
  </si>
  <si>
    <t>Location of Remedial</t>
  </si>
  <si>
    <t>Remedial Description</t>
  </si>
  <si>
    <t>Action Required</t>
  </si>
  <si>
    <t>Request MV Signoff on Remedial</t>
  </si>
  <si>
    <t>I - C - T+T Consultant Site Visit Report</t>
  </si>
  <si>
    <t>Site Visit Details</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</si>
  <si>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</si>
  <si>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</si>
  <si>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</si>
  <si>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</si>
  <si>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</si>
  <si>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</si>
  <si>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</si>
  <si>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</si>
  <si>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</si>
  <si>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</si>
  <si>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</si>
  <si>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</si>
  <si>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</si>
  <si>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</si>
  <si>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</si>
  <si>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</si>
  <si>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</si>
  <si>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</si>
  <si>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All Inspection Details Inputted Below</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</si>
  <si>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</si>
  <si>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</si>
  <si>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</si>
  <si>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</si>
  <si>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</si>
  <si>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</si>
  <si>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</si>
  <si>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</si>
  <si>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</si>
  <si>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</si>
  <si>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</si>
  <si>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</si>
  <si>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</si>
  <si>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</si>
  <si>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</si>
  <si>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</si>
  <si>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Inhabit Consultant Site Visit Report</t>
  </si>
  <si>
    <t>Site Details and Inspection Specifics</t>
  </si>
  <si>
    <t>Site Details (Pass once all below details are inputted below)</t>
  </si>
  <si>
    <t>Consent Number:</t>
  </si>
  <si>
    <t>Date of Visit:</t>
  </si>
  <si>
    <t>Arrival Time:</t>
  </si>
  <si>
    <t>Departure Time:</t>
  </si>
  <si>
    <t>Report Issue By:</t>
  </si>
  <si>
    <t>Other attendees:</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</si>
  <si>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</si>
  <si>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</si>
  <si>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</si>
  <si>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</si>
  <si>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</si>
  <si>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Remedials actioned by Main Contractor</t>
  </si>
  <si>
    <t>Raise Remedial Request</t>
  </si>
  <si>
    <t>I - C - Inhabit Consultant Observation/Remedial Item Checklist</t>
  </si>
  <si>
    <t>Observation/Remedial Status</t>
  </si>
  <si>
    <t>Observation/Remedial Description</t>
  </si>
  <si>
    <t>Request Signoff on Remedial</t>
  </si>
  <si>
    <t>I - C - Enlighten Fire Solutions Consultant Site Visit Report</t>
  </si>
  <si>
    <t>Report prepared by - Engineer's name:</t>
  </si>
  <si>
    <t>Work Reviewed:</t>
  </si>
  <si>
    <t>Works accepted and no response required (select PASS) or response required (select FAIL)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</si>
  <si>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</si>
  <si>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</si>
  <si>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</si>
  <si>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</si>
  <si>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</si>
  <si>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</si>
  <si>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</si>
  <si>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</si>
  <si>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</si>
  <si>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</si>
  <si>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</si>
  <si>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</si>
  <si>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</si>
  <si>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</si>
  <si>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</si>
  <si>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</si>
  <si>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Consultant Remedial Item Checklist</t>
  </si>
  <si>
    <t>Remedial Status (Woods to "Pass" once satisfied)</t>
  </si>
  <si>
    <t>Request Woods Signoff on Remedial</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</si>
  <si>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</si>
  <si>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</si>
  <si>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</si>
  <si>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</si>
  <si>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</si>
  <si>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</si>
  <si>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</si>
  <si>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</si>
  <si>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</si>
  <si>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</si>
  <si>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</si>
  <si>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</si>
  <si>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</si>
  <si>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</si>
  <si>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</si>
  <si>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</si>
  <si>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</si>
  <si>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</si>
  <si>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</si>
  <si>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</si>
  <si>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</si>
  <si>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</si>
  <si>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</si>
  <si>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</si>
  <si>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</si>
  <si>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</si>
  <si>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</si>
  <si>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</si>
  <si>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</si>
  <si>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</si>
  <si>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</si>
  <si>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</si>
  <si>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</si>
  <si>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POST - S - Second Fix - Electrical</t>
  </si>
  <si>
    <t>All cables are tied up</t>
  </si>
  <si>
    <t>Switch board fit off is completed and acceptable</t>
  </si>
  <si>
    <t>Test sheet for insulation Resistance are completed and acceptable</t>
  </si>
  <si>
    <t xml:space="preserve">Fixtures level &amp; in place  and acceptable </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</si>
  <si>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</si>
  <si>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</si>
  <si>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</si>
  <si>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</si>
  <si>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</si>
  <si>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</si>
  <si>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</si>
  <si>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</si>
  <si>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S - Tapes</t>
  </si>
  <si>
    <t>3m taping around windows and sliders around the exterior framings as per the manufacturer specifications</t>
  </si>
  <si>
    <t>ST - R - Concrete Pour Planning</t>
  </si>
  <si>
    <t>POUR DETAILS</t>
  </si>
  <si>
    <t>checkpoint-no-status</t>
  </si>
  <si>
    <t>Type of pour:</t>
  </si>
  <si>
    <t>Rib Raft, Reinforced</t>
  </si>
  <si>
    <t>CONCRETE SUPPLIER SPECIFICS</t>
  </si>
  <si>
    <t>METHODOLOGY AGREEMENT</t>
  </si>
  <si>
    <t>Sequence</t>
  </si>
  <si>
    <t>Placement</t>
  </si>
  <si>
    <t>Assembly</t>
  </si>
  <si>
    <t>Temporary works</t>
  </si>
  <si>
    <t>PM Sign off to receive inspection results - concrete pour planning inspections completed by Foreman.  Pass this checkpoint once signed.</t>
  </si>
  <si>
    <t>CLICK AND SEND EMAIL TO PROJECT MANAGER TO SIGN FOR RECEIPT OF THE INSPECTION RESULTS</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</si>
  <si>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</si>
  <si>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</si>
  <si>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</si>
  <si>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</si>
  <si>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</si>
  <si>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</si>
  <si>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</si>
  <si>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</si>
  <si>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</si>
  <si>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</si>
  <si>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</si>
  <si>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</si>
  <si>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</si>
  <si>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</si>
  <si>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</si>
  <si>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</si>
  <si>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</si>
  <si>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</si>
  <si>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</si>
  <si>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</si>
  <si>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</si>
  <si>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</si>
  <si>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</si>
  <si>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</si>
  <si>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</si>
  <si>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</si>
  <si>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</si>
  <si>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</si>
  <si>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</si>
  <si>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</si>
  <si>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</si>
  <si>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</si>
  <si>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</si>
  <si>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</si>
  <si>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</si>
  <si>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</si>
  <si>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</si>
  <si>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</si>
  <si>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</si>
  <si>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</si>
  <si>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</si>
  <si>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</si>
  <si>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</si>
  <si>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</si>
  <si>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</si>
  <si>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</si>
  <si>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</si>
  <si>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</si>
  <si>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</si>
  <si>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</si>
  <si>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</si>
  <si>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</si>
  <si>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</si>
  <si>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</si>
  <si>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</si>
  <si>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</si>
  <si>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</si>
  <si>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</si>
  <si>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</si>
  <si>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</si>
  <si>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</si>
  <si>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</si>
  <si>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</si>
  <si>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</si>
  <si>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Static Rolled (2 photos required)</t>
  </si>
  <si>
    <t>Scala Test and results upload (including supporting documents)</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</si>
  <si>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</si>
  <si>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</si>
  <si>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</si>
  <si>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</si>
  <si>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</si>
  <si>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</si>
  <si>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</si>
  <si>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</si>
  <si>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</si>
  <si>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</si>
  <si>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</si>
  <si>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</si>
  <si>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</si>
  <si>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</si>
  <si>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</si>
  <si>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</si>
  <si>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</si>
  <si>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</si>
  <si>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</si>
  <si>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</si>
  <si>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</si>
  <si>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</si>
  <si>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</si>
  <si>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</si>
  <si>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</si>
  <si>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FC - R - Fascia/Gutter</t>
  </si>
  <si>
    <t>checkpoint-status</t>
  </si>
  <si>
    <t>Fascia/Gutter installation completed and acceptable</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</si>
  <si>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</si>
  <si>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</si>
  <si>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</si>
  <si>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</si>
  <si>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</si>
  <si>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</si>
  <si>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</si>
  <si>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</si>
  <si>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</si>
  <si>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</si>
  <si>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</si>
  <si>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Approved Checklists</t>
  </si>
  <si>
    <t>Information on document use</t>
  </si>
  <si>
    <t>Select Site:</t>
  </si>
  <si>
    <t>Ryman</t>
  </si>
  <si>
    <t>Inspection</t>
  </si>
  <si>
    <t>Consultant</t>
  </si>
  <si>
    <t>Inspection Test Plan</t>
  </si>
  <si>
    <t>`</t>
  </si>
  <si>
    <t>Date of Request</t>
  </si>
  <si>
    <t>Requested by</t>
  </si>
  <si>
    <t>Type of change</t>
  </si>
  <si>
    <t>Project</t>
  </si>
  <si>
    <t>Trade</t>
  </si>
  <si>
    <t>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</si>
  <si>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</si>
  <si>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</si>
  <si>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</si>
  <si>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</si>
  <si>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</si>
  <si>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</si>
  <si>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</si>
  <si>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</si>
  <si>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</si>
  <si>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</si>
  <si>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</si>
  <si>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</si>
  <si>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</si>
  <si>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</si>
  <si>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</si>
  <si>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</si>
  <si>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</si>
  <si>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</si>
  <si>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</si>
  <si>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</si>
  <si>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</si>
  <si>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</si>
  <si>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</si>
  <si>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</si>
  <si>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</si>
  <si>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</si>
  <si>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</si>
  <si>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</si>
  <si>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</si>
  <si>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</si>
  <si>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</si>
  <si>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</si>
  <si>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</si>
  <si>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</si>
  <si>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</si>
  <si>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</si>
  <si>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</si>
  <si>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</si>
  <si>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</si>
  <si>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</si>
  <si>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</si>
  <si>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</si>
  <si>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</si>
  <si>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</si>
  <si>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</si>
  <si>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</si>
  <si>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</si>
  <si>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</si>
  <si>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</si>
  <si>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</si>
  <si>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</si>
  <si>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</si>
  <si>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</si>
  <si>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</si>
  <si>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</si>
  <si>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</si>
  <si>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</si>
  <si>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</si>
  <si>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</si>
  <si>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</si>
  <si>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</si>
  <si>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</si>
  <si>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</si>
  <si>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</si>
  <si>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</si>
  <si>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</si>
  <si>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</si>
  <si>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</si>
  <si>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</si>
  <si>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</si>
  <si>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</si>
  <si>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</si>
  <si>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</si>
  <si>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</si>
  <si>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</si>
  <si>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</si>
  <si>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</si>
  <si>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</si>
  <si>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</si>
  <si>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</si>
  <si>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</si>
  <si>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</si>
  <si>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</si>
  <si>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</si>
  <si>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</si>
  <si>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</si>
  <si>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</si>
  <si>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</si>
  <si>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</si>
  <si>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</si>
  <si>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</si>
  <si>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</si>
  <si>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</si>
  <si>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</si>
  <si>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</si>
  <si>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</si>
  <si>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</si>
  <si>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</si>
  <si>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</si>
  <si>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</si>
  <si>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</si>
  <si>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</si>
  <si>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</si>
  <si>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</si>
  <si>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</si>
  <si>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</si>
  <si>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</si>
  <si>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</si>
  <si>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</si>
  <si>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</si>
  <si>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</si>
  <si>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</si>
  <si>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</si>
  <si>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</si>
  <si>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</si>
  <si>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</si>
  <si>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</si>
  <si>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</si>
  <si>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</si>
  <si>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</si>
  <si>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</si>
  <si>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</si>
  <si>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</si>
  <si>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</si>
  <si>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</si>
  <si>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</si>
  <si>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</si>
  <si>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</si>
  <si>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</si>
  <si>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</si>
  <si>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</si>
  <si>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</si>
  <si>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</si>
  <si>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</si>
  <si>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</si>
  <si>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</si>
  <si>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</si>
  <si>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</si>
  <si>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</si>
  <si>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</si>
  <si>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</si>
  <si>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</si>
  <si>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</si>
  <si>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</si>
  <si>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</si>
  <si>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</si>
  <si>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</si>
  <si>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</si>
  <si>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</si>
  <si>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</si>
  <si>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</si>
  <si>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</si>
  <si>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</si>
  <si>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</si>
  <si>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</si>
  <si>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</si>
  <si>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</si>
  <si>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</si>
  <si>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</si>
  <si>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</si>
  <si>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</si>
  <si>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</si>
  <si>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</si>
  <si>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</si>
  <si>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</si>
  <si>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</si>
  <si>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</si>
  <si>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</si>
  <si>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</si>
  <si>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</si>
  <si>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</si>
  <si>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</si>
  <si>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</si>
  <si>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</si>
  <si>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</si>
  <si>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</si>
  <si>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</si>
  <si>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</si>
  <si>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</si>
  <si>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</si>
  <si>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</si>
  <si>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</si>
  <si>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</si>
  <si>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</si>
  <si>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</si>
  <si>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</si>
  <si>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</si>
  <si>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</si>
  <si>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</si>
  <si>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</si>
  <si>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</si>
  <si>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</si>
  <si>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</si>
  <si>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</si>
  <si>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</si>
  <si>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</si>
  <si>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</si>
  <si>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</si>
  <si>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</si>
  <si>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</si>
  <si>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</si>
  <si>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</si>
  <si>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</si>
  <si>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</si>
  <si>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</si>
  <si>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</si>
  <si>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</si>
  <si>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</si>
  <si>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</si>
  <si>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</si>
  <si>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</si>
  <si>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</si>
  <si>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</si>
  <si>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</si>
  <si>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</si>
  <si>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</si>
  <si>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</si>
  <si>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</si>
  <si>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</si>
  <si>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</si>
  <si>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</si>
  <si>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</si>
  <si>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</si>
  <si>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</si>
  <si>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</si>
  <si>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</si>
  <si>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</si>
  <si>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</si>
  <si>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</si>
  <si>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</si>
  <si>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</si>
  <si>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</si>
  <si>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</si>
  <si>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</si>
  <si>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</si>
  <si>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</si>
  <si>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</si>
  <si>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</si>
  <si>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</si>
  <si>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</si>
  <si>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</si>
  <si>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</si>
  <si>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</si>
  <si>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</si>
  <si>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</si>
  <si>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</si>
  <si>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</si>
  <si>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</si>
  <si>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</si>
  <si>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</si>
  <si>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</si>
  <si>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</si>
  <si>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</si>
  <si>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</si>
  <si>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</si>
  <si>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</si>
  <si>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</si>
  <si>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</si>
  <si>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</si>
  <si>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</si>
  <si>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</si>
  <si>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</si>
  <si>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</si>
  <si>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</si>
  <si>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</si>
  <si>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</si>
  <si>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</si>
  <si>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</si>
  <si>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</si>
  <si>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</si>
  <si>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</si>
  <si>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</si>
  <si>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</si>
  <si>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</si>
  <si>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</si>
  <si>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</si>
  <si>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</si>
  <si>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</si>
  <si>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</si>
  <si>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</si>
  <si>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</si>
  <si>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</si>
  <si>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</si>
  <si>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</si>
  <si>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</si>
  <si>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</si>
  <si>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</si>
  <si>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</si>
  <si>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</si>
  <si>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</si>
  <si>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</si>
  <si>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</si>
  <si>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</si>
  <si>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</si>
  <si>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</si>
  <si>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</si>
  <si>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</si>
  <si>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</si>
  <si>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</si>
  <si>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</si>
  <si>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</si>
  <si>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</si>
  <si>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</si>
  <si>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</si>
  <si>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</si>
  <si>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</si>
  <si>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</si>
  <si>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</si>
  <si>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</si>
  <si>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</si>
  <si>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</si>
  <si>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</si>
  <si>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</si>
  <si>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</si>
  <si>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</si>
  <si>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</si>
  <si>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</si>
  <si>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</si>
  <si>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</si>
  <si>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</si>
  <si>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</si>
  <si>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</si>
  <si>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</si>
  <si>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</si>
  <si>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</si>
  <si>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</si>
  <si>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</si>
  <si>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</si>
  <si>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</si>
  <si>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</si>
  <si>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</si>
  <si>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</si>
  <si>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</si>
  <si>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</si>
  <si>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</si>
  <si>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</si>
  <si>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</si>
  <si>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</si>
  <si>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</si>
  <si>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</si>
  <si>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</si>
  <si>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</si>
  <si>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</si>
  <si>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</si>
  <si>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</si>
  <si>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</si>
  <si>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</si>
  <si>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</si>
  <si>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</si>
  <si>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</si>
  <si>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</si>
  <si>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</si>
  <si>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</si>
  <si>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</si>
  <si>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</si>
  <si>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</si>
  <si>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</si>
  <si>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</si>
  <si>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</si>
  <si>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</si>
  <si>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</si>
  <si>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</si>
  <si>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</si>
  <si>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</si>
  <si>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</si>
  <si>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</si>
  <si>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</si>
  <si>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</si>
  <si>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</si>
  <si>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</si>
  <si>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</si>
  <si>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</si>
  <si>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</si>
  <si>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</si>
  <si>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</si>
  <si>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</si>
  <si>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</si>
  <si>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</si>
  <si>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</si>
  <si>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</si>
  <si>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</si>
  <si>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</si>
  <si>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</si>
  <si>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</si>
  <si>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</si>
  <si>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</si>
  <si>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</si>
  <si>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</si>
  <si>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</si>
  <si>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</si>
  <si>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</si>
  <si>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</si>
  <si>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</si>
  <si>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</si>
  <si>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</si>
  <si>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</si>
  <si>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</si>
  <si>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</si>
  <si>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</si>
  <si>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</si>
  <si>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</si>
  <si>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</si>
  <si>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</si>
  <si>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</si>
  <si>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</si>
  <si>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</si>
  <si>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</si>
  <si>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</si>
  <si>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</si>
  <si>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</si>
  <si>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</si>
  <si>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</si>
  <si>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</si>
  <si>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</si>
  <si>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</si>
  <si>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</si>
  <si>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</si>
  <si>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</si>
  <si>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</si>
  <si>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</si>
  <si>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</si>
  <si>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</si>
  <si>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</si>
  <si>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</si>
  <si>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</si>
  <si>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</si>
  <si>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</si>
  <si>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</si>
  <si>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</si>
  <si>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</si>
  <si>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Reinforcement installed as per structural design</t>
  </si>
  <si>
    <t>I - S - CAN - #</t>
  </si>
  <si>
    <t>CAN description and required actions as specified in the CAN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</si>
  <si>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</si>
  <si>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</si>
  <si>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</si>
  <si>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</si>
  <si>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</si>
  <si>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</si>
  <si>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</si>
  <si>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 xml:space="preserve">Tiger Turf to confirm if priced as per drawings and any addendums issued to date included in the above pricing.
</t>
  </si>
  <si>
    <t>Price validity - 30 days</t>
  </si>
  <si>
    <t>BOWLING GREEN - TIGER TURF TO CONFIRM ITEMS AS INCLUDED IN QUOTATION</t>
  </si>
  <si>
    <t>Site set up including Health and safety and project management.</t>
  </si>
  <si>
    <t>Freight of all materials to site</t>
  </si>
  <si>
    <t>Subgrade evaluation to confirm site is 350mm below finish level of capping, paths and hard structures</t>
  </si>
  <si>
    <t>Excavate trenches and install drainage as per plan connected to outlet supplied off side of green</t>
  </si>
  <si>
    <r>
      <t xml:space="preserve">Auger holes and ground plant 100x100mm H4 treated posts to support backing boards - </t>
    </r>
    <r>
      <rPr>
        <sz val="11"/>
        <color rgb="FFFF0000"/>
        <rFont val="Arial"/>
        <family val="2"/>
      </rPr>
      <t>as per highlighted in right?</t>
    </r>
  </si>
  <si>
    <r>
      <t xml:space="preserve">Supply and install timber plinth to all four sides of green for TigerWeave installation - </t>
    </r>
    <r>
      <rPr>
        <sz val="11"/>
        <color rgb="FFFF0000"/>
        <rFont val="Arial"/>
        <family val="2"/>
      </rPr>
      <t>as circled in right?</t>
    </r>
  </si>
  <si>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</si>
  <si>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</si>
  <si>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</si>
  <si>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</si>
  <si>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 (TigerBond is a free draining silicate that bonds the top of the base)</t>
  </si>
  <si>
    <t>Supply and install new underlay and TigerWeave from GreenGauge, woven surface. - Gr</t>
  </si>
  <si>
    <r>
      <t xml:space="preserve">Remove existing material in ditches replace with </t>
    </r>
    <r>
      <rPr>
        <sz val="11"/>
        <color rgb="FFFF0000"/>
        <rFont val="Arial"/>
        <family val="2"/>
      </rPr>
      <t>Ditchmaster?</t>
    </r>
  </si>
  <si>
    <t xml:space="preserve">TigerTurf will restretch the green within 6 months at no charge, if the green requires this. 
</t>
  </si>
  <si>
    <t xml:space="preserve">Project management, clean site of TigerTurf materials. </t>
  </si>
  <si>
    <t>NOTES/ASSUMPTIONS AS INCLUDED IN QUOTATION</t>
  </si>
  <si>
    <t xml:space="preserve">Pricing assumes working within a secure site. </t>
  </si>
  <si>
    <t>Pricing assumes access is good.</t>
  </si>
  <si>
    <t>Pricing assumes no interruptions by other contractors working on site.</t>
  </si>
  <si>
    <t>Pricing subject to final sign off.</t>
  </si>
  <si>
    <t>Pricing assumes existing drainage system is in good condition.</t>
  </si>
  <si>
    <t>No allowance has been made for rock, soft spots, asbestos or uncompactable materials within the construction area. If it is encountered, upon agreement it will be charged as a variation.</t>
  </si>
  <si>
    <t>We assume no consents are required.</t>
  </si>
  <si>
    <t>TigerTurf shall not be liable for damage, disconnection or reconnection costs associated with the services that may be encountered in the area of works.</t>
  </si>
  <si>
    <t>All care, but no responsibility will be taken for machinery damage to the access point.</t>
  </si>
  <si>
    <t>Necessary power and water and facilities are available at site.</t>
  </si>
  <si>
    <t>BOWLING GREEN - ITEMS TO BE INCLUDED AS PER ITT - TIGER TURF TO CONFIRM IN IF INCLUDED</t>
  </si>
  <si>
    <t xml:space="preserve">Set out of the bowling green. </t>
  </si>
  <si>
    <t xml:space="preserve">Supply , installation, and laser levelling of all metal required to form the sub base, including an additional GAP 40 over and above what is shown on the drawings. </t>
  </si>
  <si>
    <t xml:space="preserve">Supply and installation of subsoil drainage system including the connection to outfall. </t>
  </si>
  <si>
    <r>
      <t xml:space="preserve">Supply and construction of the inner plinth, back boards, and planter walls. - </t>
    </r>
    <r>
      <rPr>
        <sz val="11"/>
        <color rgb="FFFF0000"/>
        <rFont val="Arial"/>
        <family val="2"/>
      </rPr>
      <t>including right side of GardenBed?</t>
    </r>
  </si>
  <si>
    <t xml:space="preserve">Supply and place of geotextile fabric. </t>
  </si>
  <si>
    <t xml:space="preserve">Supply and installation of tiger bond. </t>
  </si>
  <si>
    <t xml:space="preserve">Supply and installation of Greenweave bowling surface. </t>
  </si>
  <si>
    <t xml:space="preserve">Supply of the comfort pad. </t>
  </si>
  <si>
    <t>Supply and installation of astrograss surface to ditch droppers and ditch bottoms.</t>
  </si>
  <si>
    <t xml:space="preserve">Supply and install rink markers and set out green for rink movement, including distance markers. </t>
  </si>
  <si>
    <t xml:space="preserve">Freight on all of the above items. </t>
  </si>
  <si>
    <t>GENERAL/OTHERS</t>
  </si>
  <si>
    <t xml:space="preserve">Key contacts </t>
  </si>
  <si>
    <t>Charge up / mark-up rates p/hr</t>
  </si>
  <si>
    <t>Traveling cost</t>
  </si>
  <si>
    <t>Payment claims</t>
  </si>
  <si>
    <t>Onsite/offsite claims</t>
  </si>
  <si>
    <t>Warranties and Completion Documents</t>
  </si>
  <si>
    <t>Retensions/Bonds</t>
  </si>
  <si>
    <t>Lead times</t>
  </si>
  <si>
    <t>Parking</t>
  </si>
  <si>
    <t>Deliveries</t>
  </si>
  <si>
    <t>Container/space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</si>
</sst>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2">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1"/>
      <color rgb="FFFF0000"/>
      <name val="Arial"/>
      <family val="2"/>
    </font>
    <font>
      <b/>
      <sz val="12"/>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1">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style="thin">
        <color rgb="FF000000"/>
      </left>
      <right style="thin">
        <color rgb="FF000000"/>
      </right>
      <top style="thin">
        <color rgb="FF000000"/>
      </top>
      <bottom style="thin">
        <color rgb="FF000000"/>
      </bottom>
      <diagonal/>
    </border>
    <border>
      <left/>
      <right/>
      <top style="thin">
        <color rgb="FF00AA94"/>
      </top>
      <bottom/>
      <diagonal/>
    </border>
    <border>
      <left/>
      <right style="thin">
        <color rgb="FF00AA94"/>
      </right>
      <top style="thin">
        <color rgb="FF00AA94"/>
      </top>
      <bottom/>
      <diagonal/>
    </border>
    <border>
      <left/>
      <right/>
      <top style="thin">
        <color rgb="FF00AA94"/>
      </top>
      <bottom style="thin">
        <color rgb="FF00AA94"/>
      </bottom>
      <diagonal/>
    </border>
    <border>
      <left/>
      <right style="thin">
        <color rgb="FF00AA94"/>
      </right>
      <top style="thin">
        <color rgb="FF00AA94"/>
      </top>
      <bottom style="thin">
        <color rgb="FF00AA94"/>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indexed="64"/>
      </top>
      <bottom style="thin">
        <color indexed="64"/>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86">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1" fontId="4" fillId="0" borderId="0" xfId="0" applyNumberFormat="1" applyFont="1"/>
    <xf numFmtId="2" fontId="4" fillId="0" borderId="0" xfId="0" applyNumberFormat="1" applyFont="1"/>
    <xf numFmtId="0" fontId="4" fillId="0" borderId="0" xfId="0" applyFont="1"/>
    <xf numFmtId="49" fontId="7" fillId="0" borderId="0" xfId="0" applyNumberFormat="1" applyFont="1"/>
    <xf numFmtId="49" fontId="7" fillId="0" borderId="0" xfId="0" applyNumberFormat="1" applyFont="1" applyAlignment="1">
      <alignment wrapText="1"/>
    </xf>
    <xf numFmtId="49" fontId="4" fillId="0" borderId="8" xfId="0" applyNumberFormat="1" applyFont="1" applyBorder="1"/>
    <xf numFmtId="49" fontId="7"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4" fillId="0" borderId="9" xfId="0" applyNumberFormat="1" applyFont="1" applyBorder="1"/>
    <xf numFmtId="49" fontId="6" fillId="0" borderId="0" xfId="0" applyNumberFormat="1" applyFont="1"/>
    <xf numFmtId="49" fontId="8" fillId="0" borderId="0" xfId="0" applyNumberFormat="1" applyFont="1"/>
    <xf numFmtId="49" fontId="8" fillId="0" borderId="0" xfId="0" applyNumberFormat="1" applyFont="1" applyAlignment="1">
      <alignment wrapText="1"/>
    </xf>
    <xf numFmtId="0" fontId="0" fillId="0" borderId="9" xfId="0" applyBorder="1"/>
    <xf numFmtId="0" fontId="0" fillId="0" borderId="10" xfId="0" applyBorder="1"/>
    <xf numFmtId="0" fontId="0" fillId="0" borderId="11" xfId="0" applyBorder="1"/>
    <xf numFmtId="0" fontId="0" fillId="0" borderId="12" xfId="0" applyBorder="1"/>
    <xf numFmtId="49" fontId="7" fillId="0" borderId="9" xfId="0" applyNumberFormat="1" applyFont="1" applyBorder="1"/>
    <xf numFmtId="49" fontId="4" fillId="0" borderId="10" xfId="0" applyNumberFormat="1" applyFont="1" applyBorder="1"/>
    <xf numFmtId="49" fontId="4" fillId="0" borderId="13"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4"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9"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5"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6" xfId="4" applyNumberFormat="1" applyFont="1" applyBorder="1"/>
    <xf numFmtId="49" fontId="19" fillId="0" borderId="0" xfId="4" applyNumberFormat="1" applyFont="1"/>
    <xf numFmtId="49" fontId="7" fillId="0" borderId="9" xfId="4" applyNumberFormat="1" applyFont="1" applyBorder="1"/>
    <xf numFmtId="49" fontId="7" fillId="0" borderId="0" xfId="4" applyNumberFormat="1" applyFont="1"/>
    <xf numFmtId="49" fontId="7" fillId="0" borderId="16" xfId="4" applyNumberFormat="1" applyFont="1" applyBorder="1"/>
    <xf numFmtId="49" fontId="7" fillId="0" borderId="17" xfId="4" applyNumberFormat="1" applyFont="1" applyBorder="1"/>
    <xf numFmtId="49" fontId="7" fillId="0" borderId="18" xfId="4" applyNumberFormat="1" applyFont="1" applyBorder="1"/>
    <xf numFmtId="0" fontId="0" fillId="0" borderId="9" xfId="0" applyBorder="1" applyAlignment="1">
      <alignment wrapText="1"/>
    </xf>
    <xf numFmtId="49" fontId="4" fillId="0" borderId="9" xfId="4" applyNumberFormat="1" applyFont="1" applyBorder="1"/>
    <xf numFmtId="49" fontId="4" fillId="0" borderId="0" xfId="4" applyNumberFormat="1" applyFont="1"/>
    <xf numFmtId="49" fontId="4" fillId="0" borderId="17" xfId="4" applyNumberFormat="1" applyFont="1" applyBorder="1"/>
    <xf numFmtId="49" fontId="4" fillId="0" borderId="16" xfId="4" applyNumberFormat="1" applyFont="1" applyBorder="1"/>
    <xf numFmtId="49" fontId="4" fillId="0" borderId="18" xfId="4" applyNumberFormat="1" applyFont="1" applyBorder="1"/>
    <xf numFmtId="1" fontId="7" fillId="0" borderId="9" xfId="0" applyNumberFormat="1" applyFont="1" applyBorder="1"/>
    <xf numFmtId="0" fontId="15" fillId="0" borderId="0" xfId="0" applyFont="1"/>
    <xf numFmtId="0" fontId="0" fillId="3" borderId="0" xfId="0" applyFill="1"/>
    <xf numFmtId="0" fontId="0" fillId="3" borderId="6" xfId="0" applyFill="1" applyBorder="1"/>
    <xf numFmtId="49" fontId="21" fillId="0" borderId="9" xfId="0" applyNumberFormat="1" applyFont="1" applyBorder="1"/>
    <xf numFmtId="49" fontId="7" fillId="0" borderId="19" xfId="0" applyNumberFormat="1" applyFont="1" applyBorder="1"/>
    <xf numFmtId="49" fontId="21" fillId="0" borderId="19" xfId="0" applyNumberFormat="1" applyFont="1" applyBorder="1"/>
    <xf numFmtId="49" fontId="7" fillId="0" borderId="20" xfId="0" applyNumberFormat="1" applyFont="1" applyBorder="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359">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strike val="0"/>
        <outline val="0"/>
        <shadow val="0"/>
        <u val="none"/>
        <vertAlign val="baseline"/>
        <sz val="11"/>
        <color auto="1"/>
        <name val="Arial"/>
        <family val="2"/>
        <scheme val="none"/>
      </font>
      <fill>
        <patternFill patternType="none">
          <fgColor indexed="64"/>
          <bgColor auto="1"/>
        </patternFill>
      </fill>
    </dxf>
    <dxf>
      <font>
        <strike val="0"/>
        <outline val="0"/>
        <shadow val="0"/>
        <u val="none"/>
        <vertAlign val="baseline"/>
        <sz val="11"/>
        <color auto="1"/>
        <name val="Arial"/>
        <family val="2"/>
        <scheme val="none"/>
      </font>
      <numFmt numFmtId="1" formatCode="0"/>
      <fill>
        <patternFill patternType="none">
          <fgColor indexed="64"/>
          <bgColor auto="1"/>
        </patternFill>
      </fill>
    </dxf>
    <dxf>
      <font>
        <strike val="0"/>
        <outline val="0"/>
        <shadow val="0"/>
        <u val="none"/>
        <vertAlign val="baseline"/>
        <sz val="11"/>
        <color auto="1"/>
        <name val="Arial"/>
        <family val="2"/>
        <scheme val="none"/>
      </font>
      <numFmt numFmtId="1" formatCode="0"/>
      <fill>
        <patternFill patternType="none">
          <fgColor indexed="64"/>
          <bgColor auto="1"/>
        </patternFill>
      </fill>
    </dxf>
    <dxf>
      <font>
        <strike val="0"/>
        <outline val="0"/>
        <shadow val="0"/>
        <u val="none"/>
        <vertAlign val="baseline"/>
        <sz val="11"/>
        <color auto="1"/>
        <name val="Arial"/>
        <family val="2"/>
        <scheme val="none"/>
      </font>
      <numFmt numFmtId="30" formatCode="@"/>
      <fill>
        <patternFill patternType="none">
          <fgColor indexed="64"/>
          <bgColor auto="1"/>
        </patternFill>
      </fill>
      <border diagonalUp="0" diagonalDown="0">
        <left/>
        <right style="thin">
          <color rgb="FF00AA94"/>
        </right>
        <top style="thin">
          <color rgb="FF00AA94"/>
        </top>
        <bottom/>
        <vertical/>
        <horizontal/>
      </border>
    </dxf>
    <dxf>
      <font>
        <strike val="0"/>
        <outline val="0"/>
        <shadow val="0"/>
        <u val="none"/>
        <vertAlign val="baseline"/>
        <sz val="12"/>
        <color auto="1"/>
        <name val="Calibri"/>
        <family val="2"/>
        <scheme val="minor"/>
      </font>
      <numFmt numFmtId="30" formatCode="@"/>
      <fill>
        <patternFill patternType="none">
          <fgColor indexed="64"/>
          <bgColor auto="1"/>
        </patternFill>
      </fill>
      <border diagonalUp="0" diagonalDown="0">
        <left/>
        <right/>
        <top style="thin">
          <color rgb="FF00AA94"/>
        </top>
        <bottom/>
        <vertical/>
        <horizontal/>
      </border>
    </dxf>
    <dxf>
      <font>
        <strike val="0"/>
        <outline val="0"/>
        <shadow val="0"/>
        <u val="none"/>
        <vertAlign val="baseline"/>
        <sz val="11"/>
        <color auto="1"/>
        <name val="Arial"/>
        <family val="2"/>
        <scheme val="none"/>
      </font>
      <numFmt numFmtId="30" formatCode="@"/>
      <fill>
        <patternFill patternType="none">
          <fgColor indexed="64"/>
          <bgColor auto="1"/>
        </patternFill>
      </fill>
      <border diagonalUp="0" diagonalDown="0">
        <left/>
        <right/>
        <top style="thin">
          <color rgb="FF00AA94"/>
        </top>
        <bottom/>
        <vertical/>
        <horizontal/>
      </border>
    </dxf>
    <dxf>
      <font>
        <strike val="0"/>
        <outline val="0"/>
        <shadow val="0"/>
        <u val="none"/>
        <vertAlign val="baseline"/>
        <sz val="12"/>
        <color auto="1"/>
        <name val="Calibri"/>
        <family val="2"/>
        <scheme val="minor"/>
      </font>
      <numFmt numFmtId="30" formatCode="@"/>
      <fill>
        <patternFill patternType="none">
          <fgColor indexed="64"/>
          <bgColor auto="1"/>
        </patternFill>
      </fill>
    </dxf>
    <dxf>
      <font>
        <strike val="0"/>
        <outline val="0"/>
        <shadow val="0"/>
        <u val="none"/>
        <vertAlign val="baseline"/>
        <sz val="11"/>
        <color auto="1"/>
        <name val="Arial"/>
        <family val="2"/>
        <scheme val="none"/>
      </font>
      <numFmt numFmtId="0" formatCode="General"/>
      <fill>
        <patternFill patternType="none">
          <fgColor indexed="64"/>
          <bgColor auto="1"/>
        </patternFill>
      </fill>
    </dxf>
    <dxf>
      <font>
        <strike val="0"/>
        <outline val="0"/>
        <shadow val="0"/>
        <u val="none"/>
        <vertAlign val="baseline"/>
        <sz val="11"/>
        <color auto="1"/>
        <name val="Arial"/>
        <family val="2"/>
        <scheme val="none"/>
      </font>
      <numFmt numFmtId="0" formatCode="General"/>
      <fill>
        <patternFill patternType="none">
          <fgColor indexed="64"/>
          <bgColor auto="1"/>
        </patternFill>
      </fill>
    </dxf>
    <dxf>
      <font>
        <strike val="0"/>
        <outline val="0"/>
        <shadow val="0"/>
        <u val="none"/>
        <vertAlign val="baseline"/>
        <sz val="11"/>
        <color auto="1"/>
        <name val="Arial"/>
        <family val="2"/>
        <scheme val="none"/>
      </font>
      <numFmt numFmtId="2" formatCode="0.00"/>
      <fill>
        <patternFill patternType="none">
          <fgColor indexed="64"/>
          <bgColor auto="1"/>
        </patternFill>
      </fill>
    </dxf>
    <dxf>
      <font>
        <strike val="0"/>
        <outline val="0"/>
        <shadow val="0"/>
        <u val="none"/>
        <vertAlign val="baseline"/>
        <sz val="11"/>
        <color auto="1"/>
        <name val="Arial"/>
        <family val="2"/>
        <scheme val="none"/>
      </font>
      <numFmt numFmtId="1" formatCode="0"/>
      <fill>
        <patternFill patternType="none">
          <fgColor indexed="64"/>
          <bgColor auto="1"/>
        </patternFill>
      </fill>
    </dxf>
    <dxf>
      <font>
        <strike val="0"/>
        <outline val="0"/>
        <shadow val="0"/>
        <u val="none"/>
        <vertAlign val="baseline"/>
        <sz val="11"/>
        <color auto="1"/>
        <name val="Arial"/>
        <family val="2"/>
        <scheme val="none"/>
      </font>
      <numFmt numFmtId="0" formatCode="General"/>
      <fill>
        <patternFill patternType="none">
          <fgColor indexed="64"/>
          <bgColor auto="1"/>
        </patternFill>
      </fill>
    </dxf>
    <dxf>
      <font>
        <strike val="0"/>
        <outline val="0"/>
        <shadow val="0"/>
        <u val="none"/>
        <vertAlign val="baseline"/>
        <sz val="11"/>
        <color auto="1"/>
        <name val="Arial"/>
        <family val="2"/>
        <scheme val="none"/>
      </font>
      <fill>
        <patternFill patternType="none">
          <fgColor indexed="64"/>
          <bgColor auto="1"/>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3" defaultTableStyle="TableQuality" defaultPivotStyle="PivotStyleLight16">
    <tableStyle name="QualitySlicer" pivot="0" table="0" count="10" xr9:uid="{A35B7AB5-2C16-4490-AB9A-39E3B9D6C443}">
      <tableStyleElement type="wholeTable" dxfId="358"/>
      <tableStyleElement type="headerRow" dxfId="357"/>
    </tableStyle>
    <tableStyle name="QualitySlicerTurq" pivot="0" table="0" count="10" xr9:uid="{57FC38C6-3BB5-44C9-93F4-094D247EE423}">
      <tableStyleElement type="wholeTable" dxfId="356"/>
      <tableStyleElement type="headerRow" dxfId="355"/>
    </tableStyle>
    <tableStyle name="TableQuality" pivot="0" count="9" xr9:uid="{E2195B2B-662B-453B-8CD6-FC8D7E271509}">
      <tableStyleElement type="wholeTable" dxfId="354"/>
      <tableStyleElement type="headerRow" dxfId="353"/>
      <tableStyleElement type="totalRow" dxfId="352"/>
      <tableStyleElement type="firstColumn" dxfId="351"/>
      <tableStyleElement type="lastColumn" dxfId="350"/>
      <tableStyleElement type="firstRowStripe" dxfId="349"/>
      <tableStyleElement type="secondRowStripe" dxfId="348"/>
      <tableStyleElement type="firstColumnStripe" dxfId="347"/>
      <tableStyleElement type="secondColumnStripe" dxfId="346"/>
    </tableStyle>
  </tableStyles>
  <colors>
    <mruColors>
      <color rgb="FF00AA94"/>
      <color rgb="FFD7EEEA"/>
      <color rgb="FFE9EDF7"/>
      <color rgb="FF2E317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microsoft.com/office/2007/relationships/slicerCache" Target="slicerCaches/slicerCache2.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24" Type="http://schemas.microsoft.com/office/2006/relationships/vbaProject" Target="vbaProject.bin"/><Relationship Id="rId5" Type="http://schemas.openxmlformats.org/officeDocument/2006/relationships/worksheet" Target="worksheets/sheet5.xml"/><Relationship Id="rId15" Type="http://schemas.microsoft.com/office/2017/10/relationships/person" Target="persons/person.xml"/><Relationship Id="rId23" Type="http://schemas.openxmlformats.org/officeDocument/2006/relationships/customXml" Target="../customXml/item7.xml"/><Relationship Id="rId10" Type="http://schemas.openxmlformats.org/officeDocument/2006/relationships/theme" Target="theme/theme1.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eetMetadata" Target="metadata.xml"/><Relationship Id="rId22"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0</xdr:rowOff>
    </xdr:from>
    <xdr:to>
      <xdr:col>2</xdr:col>
      <xdr:colOff>0</xdr:colOff>
      <xdr:row>4</xdr:row>
      <xdr:rowOff>0</xdr:rowOff>
    </xdr:to>
    <mc:AlternateContent xmlns:mc="http://schemas.openxmlformats.org/markup-compatibility/2006" xmlns:sle15="http://schemas.microsoft.com/office/drawing/2012/slicer">
      <mc:Choice Requires="sle15">
        <xdr:graphicFrame macro="">
          <xdr:nvGraphicFramePr>
            <xdr:cNvPr id="3"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43050"/>
              <a:ext cx="4981575" cy="1514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729" tableId="2">
      <columnFilter colId="4" id="{B3E715D4-615E-4543-8991-E15BCF593A5F}">
        <filter colId="4">
          <x:filters>
            <x:filter val="Civil"/>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M2374" tableId="4">
      <columnFilter colId="0" id="{7A6EA507-0124-4D7C-8BF2-9294A0C01867}">
        <filter colId="0">
          <x:filters>
            <x:filter val="Approved"/>
          </x:filters>
        </filter>
      </columnFilter>
      <sortRules>
        <sortRule colId="2" id="{7F09548F-F10A-4574-8FF0-F15823B6BD9E}">
          <sortCondition ref="C3:C2374"/>
        </sortRule>
      </sortRules>
    </nsvFilter>
  </namedSheetView>
</namedSheetViews>
</file>

<file path=xl/persons/person.xml><?xml version="1.0" encoding="utf-8"?>
<personList xmlns="http://schemas.microsoft.com/office/spreadsheetml/2018/threadedcomments" xmlns:x="http://schemas.openxmlformats.org/spreadsheetml/2006/main">
  <person displayName="Heather Swan" id="{087CC717-D20E-47D7-8864-529CD1E44454}" userId="Heather.Swan@rymanhealthcare.com" providerId="PeoplePicker"/>
  <person displayName="Colin Alderson" id="{8418D7D3-AB16-42EF-BE4B-77F7C7B2313D}" userId="Colin.Alderson@rymanhealthcare.com" providerId="PeoplePicker"/>
  <person displayName="Thalia Taurere" id="{8EB3C475-2919-47C8-B002-D29F56568CEE}" userId="Thalia.Taurere@rymanhealthcare.com" providerId="PeoplePicker"/>
  <person displayName="Marcela Salazar" id="{F7F90938-423D-42A2-B0F7-D4A1CE30845A}" userId="Marcela.Salazar@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DC591FE8-95B5-440B-845A-F5383B1B6BD0}" autoFormatId="16" applyNumberFormats="0" applyBorderFormats="0" applyFontFormats="0" applyPatternFormats="0" applyAlignmentFormats="0" applyWidthHeightFormats="0">
  <queryTableRefresh nextId="52">
    <queryTableFields count="7">
      <queryTableField id="20" name="Order" tableColumnId="6"/>
      <queryTableField id="22" name="Discipline" tableColumnId="8"/>
      <queryTableField id="23" name="User" tableColumnId="9"/>
      <queryTableField id="24" name="Checklist" tableColumnId="10"/>
      <queryTableField id="25" name="Type" tableColumnId="11"/>
      <queryTableField id="26" name="Name" tableColumnId="12"/>
      <queryTableField id="27" name="Valu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F8FE7E-10B6-4FBC-A4F7-DECDA87F06EB}" autoFormatId="16" applyNumberFormats="0" applyBorderFormats="0" applyFontFormats="0" applyPatternFormats="0" applyAlignmentFormats="0" applyWidthHeightFormats="0">
  <queryTableRefresh nextId="52">
    <queryTableFields count="8">
      <queryTableField id="28" name="Order" tableColumnId="16"/>
      <queryTableField id="5" name="Type" tableColumnId="5"/>
      <queryTableField id="6" name="Name" tableColumnId="6"/>
      <queryTableField id="7" name="Value" tableColumnId="7"/>
      <queryTableField id="2" name="Discipline" tableColumnId="2"/>
      <queryTableField id="3" name="User" tableColumnId="3"/>
      <queryTableField id="4" name="Checklist" tableColumnId="4"/>
      <queryTableField id="47" name="Sites"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lockedPosition="1"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ableType="queryTable" totalsRowShown="0">
  <autoFilter ref="A1:G1720" xr:uid="{09BD5B43-9ADD-4D87-93FF-9DF783C6D741}"/>
  <tableColumns count="7">
    <tableColumn id="6" xr3:uid="{033EC9E5-E0BC-4567-8D27-0D5D1562C937}" uniqueName="6" name="Order" queryTableFieldId="20"/>
    <tableColumn id="8" xr3:uid="{8997EBEE-5662-4BD1-BAB5-21502ECE517D}" uniqueName="8" name="Discipline" queryTableFieldId="22"/>
    <tableColumn id="9" xr3:uid="{693B21CF-30F3-4DF4-A435-BEA9C31DF4FB}" uniqueName="9" name="User" queryTableFieldId="23"/>
    <tableColumn id="10" xr3:uid="{4C966EE0-2A18-476D-9478-631902924AD0}" uniqueName="10" name="Checklist" queryTableFieldId="24"/>
    <tableColumn id="11" xr3:uid="{40FE79DA-7607-4148-A259-BAAF8EEDD080}" uniqueName="11" name="Type" queryTableFieldId="25"/>
    <tableColumn id="12" xr3:uid="{71D05000-F65C-4A03-93DF-B21963652A1A}" uniqueName="12" name="Name" queryTableFieldId="26"/>
    <tableColumn id="13" xr3:uid="{7420C132-1DD0-4AA4-A364-A7965CB2C617}" uniqueName="13" name="Value" queryTableFieldId="27"/>
  </tableColumns>
  <tableStyleInfo name="TableQualit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C97D09-90AB-4A2B-B482-12AD9E380B45}" name="Master" displayName="Master" ref="A1:L2725" totalsRowShown="0" dataDxfId="267">
  <autoFilter ref="A1:L2725" xr:uid="{BAC97D09-90AB-4A2B-B482-12AD9E380B45}"/>
  <sortState xmlns:xlrd2="http://schemas.microsoft.com/office/spreadsheetml/2017/richdata2" ref="A2:L2023">
    <sortCondition ref="A1:A2023"/>
  </sortState>
  <tableColumns count="12">
    <tableColumn id="18" xr3:uid="{112D0037-5698-4D0F-8FA3-BCB244F7A65A}" name="ID" dataDxfId="266">
      <calculatedColumnFormula>IFERROR(A1+1,1)</calculatedColumnFormula>
    </tableColumn>
    <tableColumn id="7" xr3:uid="{DCE89B8E-3FA3-45F0-9232-FED2C386E253}" name="Order" dataDxfId="265">
      <calculatedColumnFormula>Master[[#This Row],[ChecklistID]]+Master[[#This Row],[Checklist Order]]</calculatedColumnFormula>
    </tableColumn>
    <tableColumn id="8" xr3:uid="{AA8530A1-5EF8-4BE4-BCBD-2441C1DF605F}" name="Version" dataDxfId="264"/>
    <tableColumn id="1" xr3:uid="{CBBDE65C-4392-437A-944D-A3BD53E0B65F}" name="Discipline" dataDxfId="263">
      <calculatedColumnFormula array="1">_xlfn.SWITCH(MID(Master[[#This Row],[Checklist]],1,4),"C - ","Civil","F - ","Foundation","ST -","Structure","FC -","Façade","PRE ","Pre-Line","POST","Post-Line","H - ","Handover","S - ","Services","CST ","Completion Docs", "I - ", "Inspection")</calculatedColumnFormula>
    </tableColumn>
    <tableColumn id="2" xr3:uid="{97DC7600-383C-4B4F-A0D9-2CF523A7FB08}" name="User" dataDxfId="262">
      <calculatedColumnFormula>IF(NOT(ISERROR(SEARCH("- S -", Master[[#This Row],[Checklist]]))), "Subcontractor",IF(NOT(ISERROR(SEARCH("- R -", Master[[#This Row],[Checklist]]))), "Ryman",IF(NOT(ISERROR(SEARCH("- C -", Master[[#This Row],[Checklist]]))), "Consultant",IF(NOT(ISERROR(SEARCH("- I -", Master[[#This Row],[Checklist]]))),  "Inspection Test Plan", "Naming Error"))))</calculatedColumnFormula>
    </tableColumn>
    <tableColumn id="6" xr3:uid="{B17B3DA2-A9FD-4052-B969-8866600A976E}" name="Checklist" dataDxfId="261">
      <calculatedColumnFormula>IF(OR(Master[[#This Row],[Type]]="checklist", Master[[#This Row],[Type]]="checklist-flat"), Master[[#This Row],[Name]], F1)</calculatedColumnFormula>
    </tableColumn>
    <tableColumn id="4" xr3:uid="{90B505FA-A1DC-4687-9AD1-4DEEE8441A7C}" name="Type" dataDxfId="260"/>
    <tableColumn id="3" xr3:uid="{50DE26ED-EECE-495E-99A3-4D39C94252E7}" name="Name" dataDxfId="259"/>
    <tableColumn id="5" xr3:uid="{2F362ABD-078D-4645-B340-6AD8048CAD86}" name="Value" dataDxfId="258"/>
    <tableColumn id="9" xr3:uid="{7B339686-AF52-4432-9CC4-151E42EAEBF8}" name="ChecklistID" dataDxfId="257">
      <calculatedColumnFormula>_xlfn.XLOOKUP(Master[[#This Row],[Checklist]],Ref!A:A,Ref!B:B)*1000</calculatedColumnFormula>
    </tableColumn>
    <tableColumn id="10" xr3:uid="{DDCD60F8-9588-454F-AE52-2401E464F094}" name="Checklist Order" dataDxfId="256">
      <calculatedColumnFormula>COUNTIF($J$2:Master[[#This Row],[ChecklistID]],Master[[#This Row],[ChecklistID]])-1</calculatedColumnFormula>
    </tableColumn>
    <tableColumn id="11" xr3:uid="{7C70BDE9-B302-41C1-A5B1-CF9E48CCA6ED}" name="Sites" dataDxfId="25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729" tableType="queryTable" totalsRowShown="0">
  <autoFilter ref="C5:J2729" xr:uid="{A662A4F1-7A2C-445F-BD84-B05341573014}">
    <filterColumn colId="4">
      <filters>
        <filter val="Completion Docs"/>
      </filters>
    </filterColumn>
    <filterColumn colId="5">
      <filters>
        <filter val="Subcontractor"/>
      </filters>
    </filterColumn>
    <filterColumn colId="6">
      <filters>
        <filter val="CST - S - Completion Documents"/>
      </filters>
    </filterColumn>
    <filterColumn colId="7">
      <filters>
        <filter val="All"/>
      </filters>
    </filterColumn>
  </autoFilter>
  <tableColumns count="8">
    <tableColumn id="16" xr3:uid="{C0132772-A0B8-4837-8653-22EBBF4C26EC}" uniqueName="16" name="Order" queryTableFieldId="28"/>
    <tableColumn id="5" xr3:uid="{361CA6BA-E0F5-4364-AE5E-BDF642E93CB7}" uniqueName="5" name="Type" queryTableFieldId="5" dataDxfId="245"/>
    <tableColumn id="6" xr3:uid="{237A636B-FC80-4AE8-A542-329726175C97}" uniqueName="6" name="Name" queryTableFieldId="6" dataDxfId="244"/>
    <tableColumn id="7" xr3:uid="{1A3EF21C-31F6-4202-BFA7-B1051AB3A3BA}" uniqueName="7" name="Value" queryTableFieldId="7" dataDxfId="243"/>
    <tableColumn id="2" xr3:uid="{B3E715D4-615E-4543-8991-E15BCF593A5F}" uniqueName="2" name="Discipline" queryTableFieldId="2" dataDxfId="242"/>
    <tableColumn id="3" xr3:uid="{DE03D3CC-5E87-485D-91E1-39C6A2E3CA89}" uniqueName="3" name="User" queryTableFieldId="3" dataDxfId="241"/>
    <tableColumn id="4" xr3:uid="{C405289E-716B-4A09-9B8C-839BA819DF6E}" uniqueName="4" name="Checklist" queryTableFieldId="4" dataDxfId="240"/>
    <tableColumn id="11" xr3:uid="{13BCA452-954C-4B69-8065-74E7ADEC344D}" uniqueName="11" name="Sites" queryTableFieldId="47"/>
  </tableColumns>
  <tableStyleInfo name="TableQuality"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M2374" totalsRowShown="0">
  <autoFilter ref="A3:M2374" xr:uid="{5107892B-DFFB-4F08-B65D-6C564FF13530}"/>
  <sortState xmlns:xlrd2="http://schemas.microsoft.com/office/spreadsheetml/2017/richdata2" ref="A1813:M2160">
    <sortCondition ref="C3:C2160"/>
  </sortState>
  <tableColumns count="13">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Comments" dataDxfId="0"/>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2.xml><?xml version="1.0" encoding="utf-8"?>
<ThreadedComments xmlns="http://schemas.microsoft.com/office/spreadsheetml/2018/threadedcomments" xmlns:x="http://schemas.openxmlformats.org/spreadsheetml/2006/main">
  <threadedComment ref="H322" dT="2021-12-13T23:52:44.36" personId="{36FFED0A-50AF-4B47-9B1A-91660FDF4EAF}" id="{D1151370-83FA-4112-999E-95C953143BAE}">
    <text>Viola Approval?</text>
  </threadedComment>
</ThreadedComments>
</file>

<file path=xl/threadedComments/threadedComment3.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4.xml><?xml version="1.0" encoding="utf-8"?>
<ThreadedComments xmlns="http://schemas.microsoft.com/office/spreadsheetml/2018/threadedcomments" xmlns:x="http://schemas.openxmlformats.org/spreadsheetml/2006/main">
  <threadedComment ref="A3" dT="2022-04-06T02:45:41.24" personId="{6AFE597A-1303-47BA-9BCA-45E322102DF3}" id="{E537B2E0-A601-47D2-8A1A-0BA089FE1B08}" done="1">
    <text>@Michael Mitchelson Could this column move to column A?  Feel free to delete this comment once considered.</text>
    <mentions>
      <mention mentionpersonId="{F18318C6-F8ED-4149-B670-BA2AE5316AEB}" mentionId="{BF65D8DB-3B01-4F76-9501-DD616B01A97A}" startIndex="0" length="19"/>
    </mentions>
  </threadedComment>
  <threadedComment ref="I425" dT="2022-02-07T22:38:58.72" personId="{36FFED0A-50AF-4B47-9B1A-91660FDF4EAF}" id="{27CD8C16-D99D-4719-ACA9-CD0D61FEE7AD}" done="1">
    <text>@Thalia Taurere @Marcela Salazar here's the checklist for Bentonite. and below is the one you sent me for underground detention chambers let me know if anything needs tweaking</text>
    <mentions>
      <mention mentionpersonId="{8EB3C475-2919-47C8-B002-D29F56568CEE}" mentionId="{C4EBC7A8-AB0A-4603-BBDD-35AFBFE59663}" startIndex="0" length="15"/>
      <mention mentionpersonId="{F7F90938-423D-42A2-B0F7-D4A1CE30845A}" mentionId="{991C0C44-1E6D-4D2E-A9AB-38BA4145D621}" startIndex="16" length="16"/>
    </mentions>
  </threadedComment>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2.xml"/><Relationship Id="rId7"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drawing" Target="../drawings/drawing1.xml"/><Relationship Id="rId7" Type="http://schemas.openxmlformats.org/officeDocument/2006/relationships/comments" Target="../comments3.xml"/><Relationship Id="rId2" Type="http://schemas.openxmlformats.org/officeDocument/2006/relationships/printerSettings" Target="../printerSettings/printerSettings3.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8.xml"/><Relationship Id="rId4" Type="http://schemas.openxmlformats.org/officeDocument/2006/relationships/vmlDrawing" Target="../drawings/vmlDrawing3.vml"/><Relationship Id="rId9" Type="http://schemas.microsoft.com/office/2019/04/relationships/namedSheetView" Target="../namedSheetViews/namedSheetView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microsoft.com/office/2019/04/relationships/namedSheetView" Target="../namedSheetViews/namedSheetView2.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 workbookViewId="1"/>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0</v>
      </c>
      <c r="B1" s="5">
        <v>0</v>
      </c>
      <c r="C1" s="6"/>
      <c r="D1" t="s">
        <v>1</v>
      </c>
      <c r="F1" t="s">
        <v>2</v>
      </c>
      <c r="H1" t="s">
        <v>3</v>
      </c>
      <c r="J1" t="s">
        <v>4</v>
      </c>
      <c r="L1" t="s">
        <v>5</v>
      </c>
      <c r="P1" t="s">
        <v>6</v>
      </c>
    </row>
    <row r="2" spans="1:16">
      <c r="A2" s="4" t="str" cm="1">
        <f t="array" aca="1" ref="A2:A236" ca="1">_xlfn.UNIQUE(Master[Checklist])</f>
        <v>C - R - Bulk Excavation</v>
      </c>
      <c r="B2">
        <f ca="1">IF(NOT(ISBLANK(A2)), B1+1,)</f>
        <v>1</v>
      </c>
      <c r="D2" t="s">
        <v>7</v>
      </c>
      <c r="F2" t="s">
        <v>8</v>
      </c>
      <c r="H2" t="s">
        <v>9</v>
      </c>
      <c r="J2" t="s">
        <v>10</v>
      </c>
      <c r="L2" t="s">
        <v>11</v>
      </c>
      <c r="P2" s="16" t="s">
        <v>7</v>
      </c>
    </row>
    <row r="3" spans="1:16" ht="13.9" thickBot="1">
      <c r="A3" t="str">
        <f ca="1"/>
        <v>C - R - Detailed Excavation</v>
      </c>
      <c r="B3">
        <f t="shared" ref="B3:B66" ca="1" si="0">IF(NOT(ISBLANK(A3)), B2+1,)</f>
        <v>2</v>
      </c>
      <c r="D3" t="s">
        <v>12</v>
      </c>
      <c r="F3" t="s">
        <v>13</v>
      </c>
      <c r="H3" t="s">
        <v>14</v>
      </c>
      <c r="J3" t="s">
        <v>15</v>
      </c>
      <c r="L3" t="s">
        <v>16</v>
      </c>
      <c r="P3" s="4" t="s">
        <v>12</v>
      </c>
    </row>
    <row r="4" spans="1:16" ht="14.65" thickBot="1">
      <c r="A4" t="str">
        <f ca="1"/>
        <v>C - R - Manhole Installation</v>
      </c>
      <c r="B4">
        <f t="shared" ca="1" si="0"/>
        <v>3</v>
      </c>
      <c r="D4" s="7" t="s">
        <v>17</v>
      </c>
      <c r="F4" t="s">
        <v>18</v>
      </c>
      <c r="J4" t="s">
        <v>19</v>
      </c>
      <c r="L4" t="s">
        <v>20</v>
      </c>
      <c r="P4" s="17" t="s">
        <v>17</v>
      </c>
    </row>
    <row r="5" spans="1:16" ht="14.65" thickBot="1">
      <c r="A5" t="str">
        <f ca="1"/>
        <v>C - R - Pipe Laying - Stormwater</v>
      </c>
      <c r="B5">
        <f t="shared" ca="1" si="0"/>
        <v>4</v>
      </c>
      <c r="D5" s="7" t="s">
        <v>21</v>
      </c>
      <c r="F5" t="s">
        <v>22</v>
      </c>
      <c r="J5" t="s">
        <v>23</v>
      </c>
      <c r="L5" t="s">
        <v>24</v>
      </c>
      <c r="P5" s="7" t="s">
        <v>21</v>
      </c>
    </row>
    <row r="6" spans="1:16" ht="14.65" thickBot="1">
      <c r="A6" t="str">
        <f ca="1"/>
        <v>C - R - Pipe Laying - Wastewater</v>
      </c>
      <c r="B6">
        <f t="shared" ca="1" si="0"/>
        <v>5</v>
      </c>
      <c r="D6" s="7" t="s">
        <v>25</v>
      </c>
      <c r="F6" t="s">
        <v>26</v>
      </c>
      <c r="J6" t="s">
        <v>27</v>
      </c>
      <c r="L6" s="4" t="s">
        <v>28</v>
      </c>
      <c r="P6" s="17" t="s">
        <v>25</v>
      </c>
    </row>
    <row r="7" spans="1:16" ht="14.65" thickBot="1">
      <c r="A7" t="str">
        <f ca="1"/>
        <v>C - R - Service Trenches - Common Service Trenches</v>
      </c>
      <c r="B7">
        <f t="shared" ca="1" si="0"/>
        <v>6</v>
      </c>
      <c r="D7" s="7" t="s">
        <v>29</v>
      </c>
      <c r="F7" t="s">
        <v>30</v>
      </c>
      <c r="P7" s="7" t="s">
        <v>29</v>
      </c>
    </row>
    <row r="8" spans="1:16" ht="14.65" thickBot="1">
      <c r="A8" t="str">
        <f ca="1"/>
        <v>C - R - Service Trenches - Pulling Pits</v>
      </c>
      <c r="B8">
        <f t="shared" ca="1" si="0"/>
        <v>7</v>
      </c>
      <c r="D8" s="8" t="s">
        <v>31</v>
      </c>
      <c r="F8" t="s">
        <v>32</v>
      </c>
      <c r="P8" s="18" t="s">
        <v>31</v>
      </c>
    </row>
    <row r="9" spans="1:16" ht="14.65" thickBot="1">
      <c r="A9" t="str">
        <f ca="1"/>
        <v>C - R - Connection to public systems</v>
      </c>
      <c r="B9">
        <f t="shared" ca="1" si="0"/>
        <v>8</v>
      </c>
      <c r="D9" s="7" t="s">
        <v>33</v>
      </c>
      <c r="F9" t="s">
        <v>34</v>
      </c>
      <c r="P9" s="7" t="s">
        <v>33</v>
      </c>
    </row>
    <row r="10" spans="1:16" ht="14.65" thickBot="1">
      <c r="A10" t="str">
        <f ca="1"/>
        <v>C - R - Demolition</v>
      </c>
      <c r="B10">
        <f t="shared" ca="1" si="0"/>
        <v>9</v>
      </c>
      <c r="D10" s="7" t="s">
        <v>35</v>
      </c>
      <c r="F10" t="s">
        <v>36</v>
      </c>
      <c r="P10" s="17" t="s">
        <v>35</v>
      </c>
    </row>
    <row r="11" spans="1:16" ht="14.65" thickBot="1">
      <c r="A11" t="str">
        <f ca="1"/>
        <v>C - R - Asbestos Removal</v>
      </c>
      <c r="B11">
        <f t="shared" ca="1" si="0"/>
        <v>10</v>
      </c>
      <c r="D11" s="9" t="s">
        <v>37</v>
      </c>
      <c r="P11" s="19" t="s">
        <v>37</v>
      </c>
    </row>
    <row r="12" spans="1:16" ht="14.65" thickBot="1">
      <c r="A12" t="str">
        <f ca="1"/>
        <v>F - R - Crane Piling</v>
      </c>
      <c r="B12">
        <f t="shared" ca="1" si="0"/>
        <v>11</v>
      </c>
      <c r="D12" s="7" t="s">
        <v>38</v>
      </c>
      <c r="P12" s="17" t="s">
        <v>38</v>
      </c>
    </row>
    <row r="13" spans="1:16" ht="14.65" thickBot="1">
      <c r="A13" t="str">
        <f ca="1"/>
        <v>F - R - Sheet Piling</v>
      </c>
      <c r="B13">
        <f t="shared" ca="1" si="0"/>
        <v>12</v>
      </c>
      <c r="D13" s="7" t="s">
        <v>39</v>
      </c>
      <c r="P13" s="7" t="s">
        <v>39</v>
      </c>
    </row>
    <row r="14" spans="1:16" ht="14.65" thickBot="1">
      <c r="A14" t="str">
        <f ca="1"/>
        <v>F - R - Piling</v>
      </c>
      <c r="B14">
        <f t="shared" ca="1" si="0"/>
        <v>13</v>
      </c>
      <c r="D14" s="7" t="s">
        <v>40</v>
      </c>
      <c r="L14" s="4"/>
      <c r="P14" s="17" t="s">
        <v>40</v>
      </c>
    </row>
    <row r="15" spans="1:16" ht="14.65" thickBot="1">
      <c r="A15" t="str">
        <f ca="1"/>
        <v>F - R - Shell Beam Installation</v>
      </c>
      <c r="B15">
        <f t="shared" ca="1" si="0"/>
        <v>14</v>
      </c>
      <c r="D15" s="7" t="s">
        <v>41</v>
      </c>
      <c r="P15" s="7" t="s">
        <v>41</v>
      </c>
    </row>
    <row r="16" spans="1:16">
      <c r="A16" t="str">
        <f ca="1"/>
        <v>F - R - Backfilling</v>
      </c>
      <c r="B16">
        <f t="shared" ca="1" si="0"/>
        <v>15</v>
      </c>
      <c r="D16" t="s">
        <v>6</v>
      </c>
    </row>
    <row r="17" spans="1:2">
      <c r="A17" t="str">
        <f ca="1"/>
        <v>F - R - Underground services</v>
      </c>
      <c r="B17">
        <f t="shared" ca="1" si="0"/>
        <v>16</v>
      </c>
    </row>
    <row r="18" spans="1:2">
      <c r="A18" t="str">
        <f ca="1"/>
        <v>F - R - Underslab plumbing</v>
      </c>
      <c r="B18">
        <f t="shared" ca="1" si="0"/>
        <v>17</v>
      </c>
    </row>
    <row r="19" spans="1:2">
      <c r="A19" t="str">
        <f ca="1"/>
        <v>F - R - Waterproofing</v>
      </c>
      <c r="B19">
        <f t="shared" ca="1" si="0"/>
        <v>18</v>
      </c>
    </row>
    <row r="20" spans="1:2">
      <c r="A20" t="str">
        <f ca="1"/>
        <v>ST - R - Blockwork</v>
      </c>
      <c r="B20">
        <f t="shared" ca="1" si="0"/>
        <v>19</v>
      </c>
    </row>
    <row r="21" spans="1:2">
      <c r="A21" t="str">
        <f ca="1"/>
        <v>ST - R - Concrete Pour</v>
      </c>
      <c r="B21">
        <f t="shared" ca="1" si="0"/>
        <v>20</v>
      </c>
    </row>
    <row r="22" spans="1:2">
      <c r="A22" t="str">
        <f ca="1"/>
        <v xml:space="preserve">ST - R - Insitu Stitch Joints </v>
      </c>
      <c r="B22">
        <f t="shared" ca="1" si="0"/>
        <v>21</v>
      </c>
    </row>
    <row r="23" spans="1:2">
      <c r="A23" t="str">
        <f ca="1"/>
        <v>ST - R - Intumescent Painting</v>
      </c>
      <c r="B23">
        <f t="shared" ca="1" si="0"/>
        <v>22</v>
      </c>
    </row>
    <row r="24" spans="1:2">
      <c r="A24" t="str">
        <f ca="1"/>
        <v>ST - R - Precast Edge Beams Installation</v>
      </c>
      <c r="B24">
        <f t="shared" ca="1" si="0"/>
        <v>23</v>
      </c>
    </row>
    <row r="25" spans="1:2">
      <c r="A25" t="str">
        <f ca="1"/>
        <v xml:space="preserve">ST - R - Precast Shell Beam Lintel Installation </v>
      </c>
      <c r="B25">
        <f t="shared" ca="1" si="0"/>
        <v>24</v>
      </c>
    </row>
    <row r="26" spans="1:2">
      <c r="A26" t="str">
        <f ca="1"/>
        <v>ST - R - Precast Spandrel Panel Installation</v>
      </c>
      <c r="B26">
        <f t="shared" ca="1" si="0"/>
        <v>25</v>
      </c>
    </row>
    <row r="27" spans="1:2">
      <c r="A27" t="str">
        <f ca="1"/>
        <v>ST - R - Precast Wall Bracket Installation</v>
      </c>
      <c r="B27">
        <f t="shared" ca="1" si="0"/>
        <v>26</v>
      </c>
    </row>
    <row r="28" spans="1:2">
      <c r="A28" t="str">
        <f ca="1"/>
        <v>ST - R - Precast Wall Panel Installation</v>
      </c>
      <c r="B28">
        <f t="shared" ca="1" si="0"/>
        <v>27</v>
      </c>
    </row>
    <row r="29" spans="1:2">
      <c r="A29" t="str">
        <f ca="1"/>
        <v>ST - R - Rib &amp; Infill Installation</v>
      </c>
      <c r="B29">
        <f t="shared" ca="1" si="0"/>
        <v>28</v>
      </c>
    </row>
    <row r="30" spans="1:2">
      <c r="A30" t="str">
        <f ca="1"/>
        <v>ST - R - Roof structure - Steel</v>
      </c>
      <c r="B30">
        <f t="shared" ca="1" si="0"/>
        <v>29</v>
      </c>
    </row>
    <row r="31" spans="1:2">
      <c r="A31" t="str">
        <f ca="1"/>
        <v>ST - R - Roof structure - Timber Trusses</v>
      </c>
      <c r="B31">
        <f t="shared" ca="1" si="0"/>
        <v>30</v>
      </c>
    </row>
    <row r="32" spans="1:2">
      <c r="A32" t="str">
        <f ca="1"/>
        <v>ST - R - Stair Installation</v>
      </c>
      <c r="B32">
        <f t="shared" ca="1" si="0"/>
        <v>31</v>
      </c>
    </row>
    <row r="33" spans="1:2">
      <c r="A33" t="str">
        <f ca="1"/>
        <v>ST - R - Structural Steel Installation</v>
      </c>
      <c r="B33">
        <f t="shared" ca="1" si="0"/>
        <v>32</v>
      </c>
    </row>
    <row r="34" spans="1:2">
      <c r="A34" t="str">
        <f ca="1"/>
        <v>ST - R - Timber Framing</v>
      </c>
      <c r="B34">
        <f t="shared" ca="1" si="0"/>
        <v>33</v>
      </c>
    </row>
    <row r="35" spans="1:2">
      <c r="A35" t="str">
        <f ca="1"/>
        <v>FC - R - Anchor Points - Anchor Point Installation</v>
      </c>
      <c r="B35">
        <f t="shared" ca="1" si="0"/>
        <v>34</v>
      </c>
    </row>
    <row r="36" spans="1:2">
      <c r="A36" t="str">
        <f ca="1"/>
        <v>FC - R - Anchor Points - Intermediate, Corner and End Plate Installation</v>
      </c>
      <c r="B36">
        <f t="shared" ca="1" si="0"/>
        <v>35</v>
      </c>
    </row>
    <row r="37" spans="1:2">
      <c r="A37" t="str">
        <f ca="1"/>
        <v>FC - R - Anchor Points - Static line installation</v>
      </c>
      <c r="B37">
        <f t="shared" ca="1" si="0"/>
        <v>36</v>
      </c>
    </row>
    <row r="38" spans="1:2">
      <c r="A38" t="str">
        <f ca="1"/>
        <v>FC - R - STO Poly Plaster</v>
      </c>
      <c r="B38">
        <f t="shared" ca="1" si="0"/>
        <v>37</v>
      </c>
    </row>
    <row r="39" spans="1:2">
      <c r="A39" t="str">
        <f ca="1"/>
        <v>FC - R - External Plaster - Nibs &amp; Beams</v>
      </c>
      <c r="B39">
        <f t="shared" ca="1" si="0"/>
        <v>38</v>
      </c>
    </row>
    <row r="40" spans="1:2">
      <c r="A40" t="str">
        <f ca="1"/>
        <v xml:space="preserve">FC - R - Soffits </v>
      </c>
      <c r="B40">
        <f t="shared" ca="1" si="0"/>
        <v>39</v>
      </c>
    </row>
    <row r="41" spans="1:2">
      <c r="A41" t="str">
        <f ca="1"/>
        <v>FC - R - Balustrades Installation</v>
      </c>
      <c r="B41">
        <f t="shared" ca="1" si="0"/>
        <v>40</v>
      </c>
    </row>
    <row r="42" spans="1:2">
      <c r="A42" t="str">
        <f ca="1"/>
        <v>FC - R - Exterior Tiling</v>
      </c>
      <c r="B42">
        <f t="shared" ca="1" si="0"/>
        <v>41</v>
      </c>
    </row>
    <row r="43" spans="1:2">
      <c r="A43" t="str">
        <f ca="1"/>
        <v xml:space="preserve">FC - R - Flashing installation </v>
      </c>
      <c r="B43">
        <f t="shared" ca="1" si="0"/>
        <v>42</v>
      </c>
    </row>
    <row r="44" spans="1:2">
      <c r="A44" t="str">
        <f ca="1"/>
        <v>FC - R - Brick Works</v>
      </c>
      <c r="B44">
        <f t="shared" ca="1" si="0"/>
        <v>43</v>
      </c>
    </row>
    <row r="45" spans="1:2">
      <c r="A45" t="str">
        <f ca="1"/>
        <v>FC - R - Balconies</v>
      </c>
      <c r="B45">
        <f t="shared" ca="1" si="0"/>
        <v>44</v>
      </c>
    </row>
    <row r="46" spans="1:2">
      <c r="A46" t="str">
        <f ca="1"/>
        <v>FC - R - Exterior Timber Framing</v>
      </c>
      <c r="B46">
        <f t="shared" ca="1" si="0"/>
        <v>45</v>
      </c>
    </row>
    <row r="47" spans="1:2">
      <c r="A47" t="str">
        <f ca="1"/>
        <v>FC - R - Roofing</v>
      </c>
      <c r="B47">
        <f t="shared" ca="1" si="0"/>
        <v>46</v>
      </c>
    </row>
    <row r="48" spans="1:2">
      <c r="A48" t="str">
        <f ca="1"/>
        <v>PRE - R - PRE-line</v>
      </c>
      <c r="B48">
        <f t="shared" ca="1" si="0"/>
        <v>47</v>
      </c>
    </row>
    <row r="49" spans="1:2">
      <c r="A49" t="str">
        <f ca="1"/>
        <v>CST - R - Restricted Building Works Consent</v>
      </c>
      <c r="B49">
        <f t="shared" ca="1" si="0"/>
        <v>48</v>
      </c>
    </row>
    <row r="50" spans="1:2">
      <c r="A50" t="str">
        <f ca="1"/>
        <v>CST - R - Civil Consent</v>
      </c>
      <c r="B50">
        <f t="shared" ca="1" si="0"/>
        <v>49</v>
      </c>
    </row>
    <row r="51" spans="1:2">
      <c r="A51" t="str">
        <f ca="1"/>
        <v>CST - R - Piling Consent</v>
      </c>
      <c r="B51">
        <f t="shared" ca="1" si="0"/>
        <v>50</v>
      </c>
    </row>
    <row r="52" spans="1:2">
      <c r="A52" t="str">
        <f ca="1"/>
        <v>CST - R - Foundation Consent</v>
      </c>
      <c r="B52">
        <f t="shared" ca="1" si="0"/>
        <v>51</v>
      </c>
    </row>
    <row r="53" spans="1:2">
      <c r="A53" t="str">
        <f ca="1"/>
        <v>CST - R - Structural Consent</v>
      </c>
      <c r="B53">
        <f t="shared" ca="1" si="0"/>
        <v>52</v>
      </c>
    </row>
    <row r="54" spans="1:2">
      <c r="A54" t="str">
        <f ca="1"/>
        <v>CST - R - Mechanical Consent</v>
      </c>
      <c r="B54">
        <f t="shared" ca="1" si="0"/>
        <v>53</v>
      </c>
    </row>
    <row r="55" spans="1:2">
      <c r="A55" t="str">
        <f ca="1"/>
        <v>CST - R - Hydraulic Consent</v>
      </c>
      <c r="B55">
        <f t="shared" ca="1" si="0"/>
        <v>54</v>
      </c>
    </row>
    <row r="56" spans="1:2">
      <c r="A56" t="str">
        <f ca="1"/>
        <v>CST - R - Fire Consent</v>
      </c>
      <c r="B56">
        <f t="shared" ca="1" si="0"/>
        <v>55</v>
      </c>
    </row>
    <row r="57" spans="1:2">
      <c r="A57" t="str">
        <f ca="1"/>
        <v>CST - R - Fitout Consent</v>
      </c>
      <c r="B57">
        <f t="shared" ca="1" si="0"/>
        <v>56</v>
      </c>
    </row>
    <row r="58" spans="1:2">
      <c r="A58" t="str">
        <f ca="1"/>
        <v>CST - R - Façade Consent</v>
      </c>
      <c r="B58">
        <f t="shared" ca="1" si="0"/>
        <v>57</v>
      </c>
    </row>
    <row r="59" spans="1:2">
      <c r="A59" t="str">
        <f ca="1"/>
        <v>F - R - Survey Certificates</v>
      </c>
      <c r="B59">
        <f t="shared" ca="1" si="0"/>
        <v>58</v>
      </c>
    </row>
    <row r="60" spans="1:2">
      <c r="A60" t="str">
        <f ca="1"/>
        <v>FC - R - Down Pipes</v>
      </c>
      <c r="B60">
        <f t="shared" ca="1" si="0"/>
        <v>59</v>
      </c>
    </row>
    <row r="61" spans="1:2">
      <c r="A61" t="str">
        <f ca="1"/>
        <v>FC - R - Water Test</v>
      </c>
      <c r="B61">
        <f t="shared" ca="1" si="0"/>
        <v>60</v>
      </c>
    </row>
    <row r="62" spans="1:2">
      <c r="A62" t="str">
        <f ca="1"/>
        <v>FC - R - Cladding Sealant</v>
      </c>
      <c r="B62">
        <f t="shared" ca="1" si="0"/>
        <v>61</v>
      </c>
    </row>
    <row r="63" spans="1:2">
      <c r="A63" t="str">
        <f ca="1"/>
        <v>FC - R - Lintels</v>
      </c>
      <c r="B63">
        <f t="shared" ca="1" si="0"/>
        <v>62</v>
      </c>
    </row>
    <row r="64" spans="1:2">
      <c r="A64" t="str">
        <f ca="1"/>
        <v>FC - R - Envelope Penetrations</v>
      </c>
      <c r="B64">
        <f t="shared" ca="1" si="0"/>
        <v>63</v>
      </c>
    </row>
    <row r="65" spans="1:2">
      <c r="A65" t="str">
        <f ca="1"/>
        <v>FC - R - Tapes and VaproShield</v>
      </c>
      <c r="B65">
        <f t="shared" ca="1" si="0"/>
        <v>64</v>
      </c>
    </row>
    <row r="66" spans="1:2">
      <c r="A66" t="str">
        <f ca="1"/>
        <v>FC - R - RAB Board</v>
      </c>
      <c r="B66">
        <f t="shared" ca="1" si="0"/>
        <v>65</v>
      </c>
    </row>
    <row r="67" spans="1:2">
      <c r="A67" t="str">
        <f ca="1"/>
        <v>FC - R - Ecoply Board</v>
      </c>
      <c r="B67">
        <f t="shared" ref="B67:B130" ca="1" si="1">IF(NOT(ISBLANK(A67)), B66+1,)</f>
        <v>66</v>
      </c>
    </row>
    <row r="68" spans="1:2">
      <c r="A68" t="str">
        <f ca="1"/>
        <v>FC - R - Windows and Sliders</v>
      </c>
      <c r="B68">
        <f t="shared" ca="1" si="1"/>
        <v>67</v>
      </c>
    </row>
    <row r="69" spans="1:2">
      <c r="A69" t="str">
        <f ca="1"/>
        <v>FC - R - Louvres Installation</v>
      </c>
      <c r="B69">
        <f t="shared" ca="1" si="1"/>
        <v>68</v>
      </c>
    </row>
    <row r="70" spans="1:2">
      <c r="A70" t="str">
        <f ca="1"/>
        <v>FC - R - Symonite Alucobond Cladding System</v>
      </c>
      <c r="B70">
        <f t="shared" ca="1" si="1"/>
        <v>69</v>
      </c>
    </row>
    <row r="71" spans="1:2">
      <c r="A71" t="str">
        <f ca="1"/>
        <v>FC - R - Air conditioning</v>
      </c>
      <c r="B71">
        <f t="shared" ca="1" si="1"/>
        <v>70</v>
      </c>
    </row>
    <row r="72" spans="1:2">
      <c r="A72" t="str">
        <f ca="1"/>
        <v>FC - R - Passive fire</v>
      </c>
      <c r="B72">
        <f t="shared" ca="1" si="1"/>
        <v>71</v>
      </c>
    </row>
    <row r="73" spans="1:2">
      <c r="A73" t="str">
        <f ca="1"/>
        <v>FC - R - Eyebrow - Canopy</v>
      </c>
      <c r="B73">
        <f t="shared" ca="1" si="1"/>
        <v>72</v>
      </c>
    </row>
    <row r="74" spans="1:2">
      <c r="A74" t="str">
        <f ca="1"/>
        <v>CST - R - Site Inspection Details</v>
      </c>
      <c r="B74">
        <f t="shared" ca="1" si="1"/>
        <v>73</v>
      </c>
    </row>
    <row r="75" spans="1:2">
      <c r="A75" t="str">
        <f ca="1"/>
        <v>H - R - Handover</v>
      </c>
      <c r="B75">
        <f t="shared" ca="1" si="1"/>
        <v>74</v>
      </c>
    </row>
    <row r="76" spans="1:2">
      <c r="A76" t="str">
        <f ca="1"/>
        <v>CST - R - Council Inspection</v>
      </c>
      <c r="B76">
        <f t="shared" ca="1" si="1"/>
        <v>75</v>
      </c>
    </row>
    <row r="77" spans="1:2">
      <c r="A77" t="str">
        <f ca="1"/>
        <v>ST - R - Precast Balcony Installation</v>
      </c>
      <c r="B77">
        <f t="shared" ca="1" si="1"/>
        <v>76</v>
      </c>
    </row>
    <row r="78" spans="1:2">
      <c r="A78" t="str">
        <f ca="1"/>
        <v>CST - R - Demolition Consent</v>
      </c>
      <c r="B78">
        <f t="shared" ca="1" si="1"/>
        <v>77</v>
      </c>
    </row>
    <row r="79" spans="1:2">
      <c r="A79" t="str">
        <f ca="1"/>
        <v>ST - R - Precast Flat Slab Installation</v>
      </c>
      <c r="B79">
        <f t="shared" ca="1" si="1"/>
        <v>78</v>
      </c>
    </row>
    <row r="80" spans="1:2">
      <c r="A80" t="str">
        <f ca="1"/>
        <v>C - S - Pipe Laying - Stormwater</v>
      </c>
      <c r="B80">
        <f t="shared" ca="1" si="1"/>
        <v>79</v>
      </c>
    </row>
    <row r="81" spans="1:2">
      <c r="A81" t="str">
        <f ca="1"/>
        <v>C - S - Pipe Laying - Wastewater</v>
      </c>
      <c r="B81">
        <f t="shared" ca="1" si="1"/>
        <v>80</v>
      </c>
    </row>
    <row r="82" spans="1:2">
      <c r="A82" t="str">
        <f ca="1"/>
        <v>C - S - Service Trenches - Common Service Trenches</v>
      </c>
      <c r="B82">
        <f t="shared" ca="1" si="1"/>
        <v>81</v>
      </c>
    </row>
    <row r="83" spans="1:2">
      <c r="A83" t="str">
        <f ca="1"/>
        <v>C - S - Service Trenches - Pulling Pits</v>
      </c>
      <c r="B83">
        <f t="shared" ca="1" si="1"/>
        <v>82</v>
      </c>
    </row>
    <row r="84" spans="1:2">
      <c r="A84" t="str">
        <f ca="1"/>
        <v>C - S - Demolition</v>
      </c>
      <c r="B84">
        <f t="shared" ca="1" si="1"/>
        <v>83</v>
      </c>
    </row>
    <row r="85" spans="1:2">
      <c r="A85" t="str">
        <f ca="1"/>
        <v>F - S - Crane Piling</v>
      </c>
      <c r="B85">
        <f t="shared" ca="1" si="1"/>
        <v>84</v>
      </c>
    </row>
    <row r="86" spans="1:2">
      <c r="A86" t="str">
        <f ca="1"/>
        <v>F - S - Sheet Piling</v>
      </c>
      <c r="B86">
        <f t="shared" ca="1" si="1"/>
        <v>85</v>
      </c>
    </row>
    <row r="87" spans="1:2">
      <c r="A87" t="str">
        <f ca="1"/>
        <v>F - S - Piling</v>
      </c>
      <c r="B87">
        <f t="shared" ca="1" si="1"/>
        <v>86</v>
      </c>
    </row>
    <row r="88" spans="1:2">
      <c r="A88" t="str">
        <f ca="1"/>
        <v>F - S - Shell Beam Installation</v>
      </c>
      <c r="B88">
        <f t="shared" ca="1" si="1"/>
        <v>87</v>
      </c>
    </row>
    <row r="89" spans="1:2">
      <c r="A89" t="str">
        <f ca="1"/>
        <v xml:space="preserve">F - S - Underground services </v>
      </c>
      <c r="B89">
        <f t="shared" ca="1" si="1"/>
        <v>88</v>
      </c>
    </row>
    <row r="90" spans="1:2">
      <c r="A90" t="str">
        <f ca="1"/>
        <v>F - S - Underslab plumbing</v>
      </c>
      <c r="B90">
        <f t="shared" ca="1" si="1"/>
        <v>89</v>
      </c>
    </row>
    <row r="91" spans="1:2">
      <c r="A91" t="str">
        <f ca="1"/>
        <v>F - S - Waterproofing</v>
      </c>
      <c r="B91">
        <f t="shared" ca="1" si="1"/>
        <v>90</v>
      </c>
    </row>
    <row r="92" spans="1:2">
      <c r="A92" t="str">
        <f ca="1"/>
        <v>ST - S - Blockwork</v>
      </c>
      <c r="B92">
        <f t="shared" ca="1" si="1"/>
        <v>91</v>
      </c>
    </row>
    <row r="93" spans="1:2">
      <c r="A93" t="str">
        <f ca="1"/>
        <v>ST - S - Concrete Pour</v>
      </c>
      <c r="B93">
        <f t="shared" ca="1" si="1"/>
        <v>92</v>
      </c>
    </row>
    <row r="94" spans="1:2">
      <c r="A94" t="str">
        <f ca="1"/>
        <v xml:space="preserve">ST - S - Insitu Stitch Joints </v>
      </c>
      <c r="B94">
        <f t="shared" ca="1" si="1"/>
        <v>93</v>
      </c>
    </row>
    <row r="95" spans="1:2">
      <c r="A95" t="str">
        <f ca="1"/>
        <v>ST - S - Intumescent Painting - QA</v>
      </c>
      <c r="B95">
        <f t="shared" ca="1" si="1"/>
        <v>94</v>
      </c>
    </row>
    <row r="96" spans="1:2">
      <c r="A96" t="str">
        <f ca="1"/>
        <v>ST - S - Intumescent Painting - Pre-Commencement</v>
      </c>
      <c r="B96">
        <f t="shared" ca="1" si="1"/>
        <v>95</v>
      </c>
    </row>
    <row r="97" spans="1:2">
      <c r="A97" t="str">
        <f ca="1"/>
        <v>ST - S - Precast Edge Beams Installation</v>
      </c>
      <c r="B97">
        <f t="shared" ca="1" si="1"/>
        <v>96</v>
      </c>
    </row>
    <row r="98" spans="1:2">
      <c r="A98" t="str">
        <f ca="1"/>
        <v xml:space="preserve">ST - S - Lintel Installation </v>
      </c>
      <c r="B98">
        <f t="shared" ca="1" si="1"/>
        <v>97</v>
      </c>
    </row>
    <row r="99" spans="1:2">
      <c r="A99" t="str">
        <f ca="1"/>
        <v>ST - S - Precast Spandrel Panel Installation</v>
      </c>
      <c r="B99">
        <f t="shared" ca="1" si="1"/>
        <v>98</v>
      </c>
    </row>
    <row r="100" spans="1:2">
      <c r="A100" t="str">
        <f ca="1"/>
        <v>ST - S - Precast Wall Bracket Installation</v>
      </c>
      <c r="B100">
        <f t="shared" ca="1" si="1"/>
        <v>99</v>
      </c>
    </row>
    <row r="101" spans="1:2">
      <c r="A101" t="str">
        <f ca="1"/>
        <v>ST - S - Precast Wall Panel Installation</v>
      </c>
      <c r="B101">
        <f t="shared" ca="1" si="1"/>
        <v>100</v>
      </c>
    </row>
    <row r="102" spans="1:2">
      <c r="A102" t="str">
        <f ca="1"/>
        <v>ST - S - Rib &amp; Infill Installation</v>
      </c>
      <c r="B102">
        <f t="shared" ca="1" si="1"/>
        <v>101</v>
      </c>
    </row>
    <row r="103" spans="1:2">
      <c r="A103" t="str">
        <f ca="1"/>
        <v>ST - S - Roof structure - Steel</v>
      </c>
      <c r="B103">
        <f t="shared" ca="1" si="1"/>
        <v>102</v>
      </c>
    </row>
    <row r="104" spans="1:2">
      <c r="A104" t="str">
        <f ca="1"/>
        <v>ST - S - Roof structure - Timber Trusses</v>
      </c>
      <c r="B104">
        <f t="shared" ca="1" si="1"/>
        <v>103</v>
      </c>
    </row>
    <row r="105" spans="1:2">
      <c r="A105" t="str">
        <f ca="1"/>
        <v>ST - S - Stair Installation</v>
      </c>
      <c r="B105">
        <f t="shared" ca="1" si="1"/>
        <v>104</v>
      </c>
    </row>
    <row r="106" spans="1:2">
      <c r="A106" t="str">
        <f ca="1"/>
        <v>ST - S - Structural Steel Installation</v>
      </c>
      <c r="B106">
        <f t="shared" ca="1" si="1"/>
        <v>105</v>
      </c>
    </row>
    <row r="107" spans="1:2">
      <c r="A107" t="str">
        <f ca="1"/>
        <v>ST - S - Timber Framing</v>
      </c>
      <c r="B107">
        <f t="shared" ca="1" si="1"/>
        <v>106</v>
      </c>
    </row>
    <row r="108" spans="1:2">
      <c r="A108" t="str">
        <f ca="1"/>
        <v>ST - S - Structural Steel Installation - Pre-Commencement</v>
      </c>
      <c r="B108">
        <f t="shared" ca="1" si="1"/>
        <v>107</v>
      </c>
    </row>
    <row r="109" spans="1:2">
      <c r="A109" t="str">
        <f ca="1"/>
        <v>C - S - Pipe Laying - Water</v>
      </c>
      <c r="B109">
        <f t="shared" ca="1" si="1"/>
        <v>108</v>
      </c>
    </row>
    <row r="110" spans="1:2">
      <c r="A110" t="str">
        <f ca="1"/>
        <v>C - S - Retaining Walls</v>
      </c>
      <c r="B110">
        <f t="shared" ca="1" si="1"/>
        <v>109</v>
      </c>
    </row>
    <row r="111" spans="1:2">
      <c r="A111" t="str">
        <f ca="1"/>
        <v>C - S - Rodding Eye</v>
      </c>
      <c r="B111">
        <f t="shared" ca="1" si="1"/>
        <v>110</v>
      </c>
    </row>
    <row r="112" spans="1:2">
      <c r="A112" t="str">
        <f ca="1"/>
        <v>ST - S - Concrete Pour - Without Reo</v>
      </c>
      <c r="B112">
        <f t="shared" ca="1" si="1"/>
        <v>111</v>
      </c>
    </row>
    <row r="113" spans="1:2">
      <c r="A113" t="str">
        <f ca="1"/>
        <v>ST - S -Panel Starter bars Installation</v>
      </c>
      <c r="B113">
        <f t="shared" ca="1" si="1"/>
        <v>112</v>
      </c>
    </row>
    <row r="114" spans="1:2">
      <c r="A114" t="str">
        <f ca="1"/>
        <v xml:space="preserve">ST - S - Precast Flat Slab Installation </v>
      </c>
      <c r="B114">
        <f t="shared" ca="1" si="1"/>
        <v>113</v>
      </c>
    </row>
    <row r="115" spans="1:2">
      <c r="A115" t="str">
        <f ca="1"/>
        <v xml:space="preserve">ST - S - Precast Beam Installation </v>
      </c>
      <c r="B115">
        <f t="shared" ca="1" si="1"/>
        <v>114</v>
      </c>
    </row>
    <row r="116" spans="1:2">
      <c r="A116" t="str">
        <f ca="1"/>
        <v>FC - S - Anchor Points - Anchor Point Installation</v>
      </c>
      <c r="B116">
        <f t="shared" ca="1" si="1"/>
        <v>115</v>
      </c>
    </row>
    <row r="117" spans="1:2">
      <c r="A117" t="str">
        <f ca="1"/>
        <v>FC - S - Anchor Points - Intermediate, Corner and End Plate Installation</v>
      </c>
      <c r="B117">
        <f t="shared" ca="1" si="1"/>
        <v>116</v>
      </c>
    </row>
    <row r="118" spans="1:2">
      <c r="A118" t="str">
        <f ca="1"/>
        <v>FC - S - Anchor Points - Static line installation</v>
      </c>
      <c r="B118">
        <f t="shared" ca="1" si="1"/>
        <v>117</v>
      </c>
    </row>
    <row r="119" spans="1:2">
      <c r="A119" t="str">
        <f ca="1"/>
        <v>FC - S - STO Poly Plaster</v>
      </c>
      <c r="B119">
        <f t="shared" ca="1" si="1"/>
        <v>118</v>
      </c>
    </row>
    <row r="120" spans="1:2">
      <c r="A120" t="str">
        <f ca="1"/>
        <v>FC - S - External Plaster - Nibs &amp; Beams</v>
      </c>
      <c r="B120">
        <f t="shared" ca="1" si="1"/>
        <v>119</v>
      </c>
    </row>
    <row r="121" spans="1:2">
      <c r="A121" t="str">
        <f ca="1"/>
        <v xml:space="preserve">FC - S - Soffits </v>
      </c>
      <c r="B121">
        <f t="shared" ca="1" si="1"/>
        <v>120</v>
      </c>
    </row>
    <row r="122" spans="1:2">
      <c r="A122" t="str">
        <f ca="1"/>
        <v>FC - S - Balustrades Installation</v>
      </c>
      <c r="B122">
        <f t="shared" ca="1" si="1"/>
        <v>121</v>
      </c>
    </row>
    <row r="123" spans="1:2">
      <c r="A123" t="str">
        <f ca="1"/>
        <v>FC - S - Exterior Tiling</v>
      </c>
      <c r="B123">
        <f t="shared" ca="1" si="1"/>
        <v>122</v>
      </c>
    </row>
    <row r="124" spans="1:2">
      <c r="A124" t="str">
        <f ca="1"/>
        <v xml:space="preserve">FC - S - Flashing installation </v>
      </c>
      <c r="B124">
        <f t="shared" ca="1" si="1"/>
        <v>123</v>
      </c>
    </row>
    <row r="125" spans="1:2">
      <c r="A125" t="str">
        <f ca="1"/>
        <v>FC - S - Brick Works</v>
      </c>
      <c r="B125">
        <f t="shared" ca="1" si="1"/>
        <v>124</v>
      </c>
    </row>
    <row r="126" spans="1:2">
      <c r="A126" t="str">
        <f ca="1"/>
        <v>FC - S - Exterior Timber Framing</v>
      </c>
      <c r="B126">
        <f t="shared" ca="1" si="1"/>
        <v>125</v>
      </c>
    </row>
    <row r="127" spans="1:2">
      <c r="A127" t="str">
        <f ca="1"/>
        <v>FC - S - RAB</v>
      </c>
      <c r="B127">
        <f t="shared" ca="1" si="1"/>
        <v>126</v>
      </c>
    </row>
    <row r="128" spans="1:2">
      <c r="A128" t="str">
        <f ca="1"/>
        <v>FC - S - Windows, Sliders and Sealants</v>
      </c>
      <c r="B128">
        <f t="shared" ca="1" si="1"/>
        <v>127</v>
      </c>
    </row>
    <row r="129" spans="1:2">
      <c r="A129" t="str">
        <f ca="1"/>
        <v>PRE - S - Timber Framing</v>
      </c>
      <c r="B129">
        <f t="shared" ca="1" si="1"/>
        <v>128</v>
      </c>
    </row>
    <row r="130" spans="1:2">
      <c r="A130" t="str">
        <f ca="1"/>
        <v>PRE - S - Steel Stud Framing</v>
      </c>
      <c r="B130">
        <f t="shared" ca="1" si="1"/>
        <v>129</v>
      </c>
    </row>
    <row r="131" spans="1:2">
      <c r="A131" t="str">
        <f ca="1"/>
        <v xml:space="preserve">PRE - S - Insulation </v>
      </c>
      <c r="B131">
        <f t="shared" ref="B131:B194" ca="1" si="2">IF(NOT(ISBLANK(A131)), B130+1,)</f>
        <v>130</v>
      </c>
    </row>
    <row r="132" spans="1:2">
      <c r="A132" t="str">
        <f ca="1"/>
        <v xml:space="preserve">PRE - S - Suspended ceiling grids </v>
      </c>
      <c r="B132">
        <f t="shared" ca="1" si="2"/>
        <v>131</v>
      </c>
    </row>
    <row r="133" spans="1:2">
      <c r="A133" t="str">
        <f ca="1"/>
        <v xml:space="preserve">POST - S - Skirting/ Architraves &amp; Trims </v>
      </c>
      <c r="B133">
        <f t="shared" ca="1" si="2"/>
        <v>132</v>
      </c>
    </row>
    <row r="134" spans="1:2">
      <c r="A134" t="str">
        <f ca="1"/>
        <v>POST - S - Joinery and Cabinets Installation - Kitchen, Ensuite, Bathroom and Wardrobes</v>
      </c>
      <c r="B134">
        <f t="shared" ca="1" si="2"/>
        <v>133</v>
      </c>
    </row>
    <row r="135" spans="1:2">
      <c r="A135" t="str">
        <f ca="1"/>
        <v xml:space="preserve">POST - S - Painting </v>
      </c>
      <c r="B135">
        <f t="shared" ca="1" si="2"/>
        <v>134</v>
      </c>
    </row>
    <row r="136" spans="1:2">
      <c r="A136" t="str">
        <f ca="1"/>
        <v>POST - S - Internal Waterproofing &amp; Tiling - Bathrooms &amp; WC</v>
      </c>
      <c r="B136">
        <f t="shared" ca="1" si="2"/>
        <v>135</v>
      </c>
    </row>
    <row r="137" spans="1:2">
      <c r="A137" t="str">
        <f ca="1"/>
        <v>POST - S - Underfloor heating</v>
      </c>
      <c r="B137">
        <f t="shared" ca="1" si="2"/>
        <v>136</v>
      </c>
    </row>
    <row r="138" spans="1:2">
      <c r="A138" t="str">
        <f ca="1"/>
        <v>POST - S - Tiling</v>
      </c>
      <c r="B138">
        <f t="shared" ca="1" si="2"/>
        <v>137</v>
      </c>
    </row>
    <row r="139" spans="1:2">
      <c r="A139" t="str">
        <f ca="1"/>
        <v>POST - S - Carpet Installation</v>
      </c>
      <c r="B139">
        <f t="shared" ca="1" si="2"/>
        <v>138</v>
      </c>
    </row>
    <row r="140" spans="1:2">
      <c r="A140" t="str">
        <f ca="1"/>
        <v xml:space="preserve">POST - S - Internal door installation </v>
      </c>
      <c r="B140">
        <f t="shared" ca="1" si="2"/>
        <v>139</v>
      </c>
    </row>
    <row r="141" spans="1:2">
      <c r="A141" t="str">
        <f ca="1"/>
        <v>POST - S - Cork/ Soundproofing</v>
      </c>
      <c r="B141">
        <f t="shared" ca="1" si="2"/>
        <v>140</v>
      </c>
    </row>
    <row r="142" spans="1:2">
      <c r="A142" t="str">
        <f ca="1"/>
        <v xml:space="preserve">POST - S - Stopping </v>
      </c>
      <c r="B142">
        <f t="shared" ca="1" si="2"/>
        <v>141</v>
      </c>
    </row>
    <row r="143" spans="1:2">
      <c r="A143" t="str">
        <f ca="1"/>
        <v>POST - S - Waterproofing</v>
      </c>
      <c r="B143">
        <f t="shared" ca="1" si="2"/>
        <v>142</v>
      </c>
    </row>
    <row r="144" spans="1:2">
      <c r="A144" t="str">
        <f ca="1"/>
        <v xml:space="preserve">POST - S - Fire door installation </v>
      </c>
      <c r="B144">
        <f t="shared" ca="1" si="2"/>
        <v>143</v>
      </c>
    </row>
    <row r="145" spans="1:2">
      <c r="A145" t="str">
        <f ca="1"/>
        <v>POST - S - Internal Lining - Walls</v>
      </c>
      <c r="B145">
        <f t="shared" ca="1" si="2"/>
        <v>144</v>
      </c>
    </row>
    <row r="146" spans="1:2">
      <c r="A146" t="str">
        <f ca="1"/>
        <v>POST - S - Internal Lining - Ceilings</v>
      </c>
      <c r="B146">
        <f t="shared" ca="1" si="2"/>
        <v>145</v>
      </c>
    </row>
    <row r="147" spans="1:2">
      <c r="A147" t="str">
        <f ca="1"/>
        <v>S - S - Air conditioning</v>
      </c>
      <c r="B147">
        <f t="shared" ca="1" si="2"/>
        <v>146</v>
      </c>
    </row>
    <row r="148" spans="1:2">
      <c r="A148" t="str">
        <f ca="1"/>
        <v>S - S - Ventilation - Apartment Ventilation</v>
      </c>
      <c r="B148">
        <f t="shared" ca="1" si="2"/>
        <v>147</v>
      </c>
    </row>
    <row r="149" spans="1:2">
      <c r="A149" t="str">
        <f ca="1"/>
        <v>S - S - Ventilation - Corridors Ventilation</v>
      </c>
      <c r="B149">
        <f t="shared" ca="1" si="2"/>
        <v>148</v>
      </c>
    </row>
    <row r="150" spans="1:2">
      <c r="A150" t="str">
        <f ca="1"/>
        <v>S - S - Kitch Extraction</v>
      </c>
      <c r="B150">
        <f t="shared" ca="1" si="2"/>
        <v>149</v>
      </c>
    </row>
    <row r="151" spans="1:2">
      <c r="A151" t="str">
        <f ca="1"/>
        <v>S - S - Ventilation - Carpark Ventilation - Jet Pulse Fan</v>
      </c>
      <c r="B151">
        <f t="shared" ca="1" si="2"/>
        <v>150</v>
      </c>
    </row>
    <row r="152" spans="1:2">
      <c r="A152" t="str">
        <f ca="1"/>
        <v>S - S - Electrical</v>
      </c>
      <c r="B152">
        <f t="shared" ca="1" si="2"/>
        <v>151</v>
      </c>
    </row>
    <row r="153" spans="1:2">
      <c r="A153" t="str">
        <f ca="1"/>
        <v xml:space="preserve">S - S - Fire Alarm </v>
      </c>
      <c r="B153">
        <f t="shared" ca="1" si="2"/>
        <v>152</v>
      </c>
    </row>
    <row r="154" spans="1:2">
      <c r="A154" t="str">
        <f ca="1"/>
        <v>S - S - Fire Sprinkler</v>
      </c>
      <c r="B154">
        <f t="shared" ca="1" si="2"/>
        <v>153</v>
      </c>
    </row>
    <row r="155" spans="1:2">
      <c r="A155" t="str">
        <f ca="1"/>
        <v>S - S - Fire Hydrant</v>
      </c>
      <c r="B155">
        <f t="shared" ca="1" si="2"/>
        <v>154</v>
      </c>
    </row>
    <row r="156" spans="1:2">
      <c r="A156" t="str">
        <f ca="1"/>
        <v>ST - S - Sikalastic</v>
      </c>
      <c r="B156">
        <f t="shared" ca="1" si="2"/>
        <v>155</v>
      </c>
    </row>
    <row r="157" spans="1:2">
      <c r="A157" t="str">
        <f ca="1"/>
        <v>ST - S - Sarnafil</v>
      </c>
      <c r="B157">
        <f t="shared" ca="1" si="2"/>
        <v>156</v>
      </c>
    </row>
    <row r="158" spans="1:2">
      <c r="A158" t="str">
        <f ca="1"/>
        <v>ST - S - Concrete Reinforcing</v>
      </c>
      <c r="B158">
        <f t="shared" ca="1" si="2"/>
        <v>157</v>
      </c>
    </row>
    <row r="159" spans="1:2">
      <c r="A159" t="str">
        <f ca="1"/>
        <v>ST - S - Precast Balcony Installation</v>
      </c>
      <c r="B159">
        <f t="shared" ca="1" si="2"/>
        <v>158</v>
      </c>
    </row>
    <row r="160" spans="1:2">
      <c r="A160" t="str">
        <f ca="1"/>
        <v>ST - S - Bentonite</v>
      </c>
      <c r="B160">
        <f t="shared" ca="1" si="2"/>
        <v>159</v>
      </c>
    </row>
    <row r="161" spans="1:2">
      <c r="A161" t="str">
        <f ca="1"/>
        <v>C - S - Underground Detention Chambers</v>
      </c>
      <c r="B161">
        <f t="shared" ca="1" si="2"/>
        <v>160</v>
      </c>
    </row>
    <row r="162" spans="1:2">
      <c r="A162" t="str">
        <f ca="1"/>
        <v xml:space="preserve">POST - S - Second Fix - Plumbing </v>
      </c>
      <c r="B162">
        <f t="shared" ca="1" si="2"/>
        <v>161</v>
      </c>
    </row>
    <row r="163" spans="1:2">
      <c r="A163" t="str">
        <f ca="1"/>
        <v>FC - S - Eyebrow - Canopy</v>
      </c>
      <c r="B163">
        <f t="shared" ca="1" si="2"/>
        <v>162</v>
      </c>
    </row>
    <row r="164" spans="1:2">
      <c r="A164" t="str">
        <f ca="1"/>
        <v>FC - S - Passive fire</v>
      </c>
      <c r="B164">
        <f t="shared" ca="1" si="2"/>
        <v>163</v>
      </c>
    </row>
    <row r="165" spans="1:2">
      <c r="A165" t="str">
        <f ca="1"/>
        <v>FC - S - Symonite Alucobond Cladding System</v>
      </c>
      <c r="B165">
        <f t="shared" ca="1" si="2"/>
        <v>164</v>
      </c>
    </row>
    <row r="166" spans="1:2">
      <c r="A166" t="str">
        <f ca="1"/>
        <v>FC - S - External Envelope</v>
      </c>
      <c r="B166">
        <f t="shared" ca="1" si="2"/>
        <v>165</v>
      </c>
    </row>
    <row r="167" spans="1:2">
      <c r="A167" t="str">
        <f ca="1"/>
        <v xml:space="preserve">POST - S - Handrails </v>
      </c>
      <c r="B167">
        <f t="shared" ca="1" si="2"/>
        <v>166</v>
      </c>
    </row>
    <row r="168" spans="1:2">
      <c r="A168" t="str">
        <f ca="1"/>
        <v>POST - S - Hardware Installation</v>
      </c>
      <c r="B168">
        <f t="shared" ca="1" si="2"/>
        <v>167</v>
      </c>
    </row>
    <row r="169" spans="1:2">
      <c r="A169" t="str">
        <f ca="1"/>
        <v>PRE - S - Nogs</v>
      </c>
      <c r="B169">
        <f t="shared" ca="1" si="2"/>
        <v>168</v>
      </c>
    </row>
    <row r="170" spans="1:2">
      <c r="A170" t="str">
        <f ca="1"/>
        <v>FC - S - Fascia/Gutter</v>
      </c>
      <c r="B170">
        <f t="shared" ca="1" si="2"/>
        <v>169</v>
      </c>
    </row>
    <row r="171" spans="1:2">
      <c r="A171" t="str">
        <f ca="1"/>
        <v>FC - S - Roofing Iron/Flashings</v>
      </c>
      <c r="B171">
        <f t="shared" ca="1" si="2"/>
        <v>170</v>
      </c>
    </row>
    <row r="172" spans="1:2">
      <c r="A172" t="str">
        <f ca="1"/>
        <v>PRE - S - Townhouse Suspended Ceilings</v>
      </c>
      <c r="B172">
        <f t="shared" ca="1" si="2"/>
        <v>171</v>
      </c>
    </row>
    <row r="173" spans="1:2">
      <c r="A173" t="str">
        <f ca="1"/>
        <v>PRE - S - First Fix - Plumbing</v>
      </c>
      <c r="B173">
        <f t="shared" ca="1" si="2"/>
        <v>172</v>
      </c>
    </row>
    <row r="174" spans="1:2">
      <c r="A174" t="str">
        <f ca="1"/>
        <v>PRE - S - First Fix - Sprinkler</v>
      </c>
      <c r="B174">
        <f t="shared" ca="1" si="2"/>
        <v>173</v>
      </c>
    </row>
    <row r="175" spans="1:2">
      <c r="A175" t="str">
        <f ca="1"/>
        <v>PRE - S - First Fix - Ventilation</v>
      </c>
      <c r="B175">
        <f t="shared" ca="1" si="2"/>
        <v>174</v>
      </c>
    </row>
    <row r="176" spans="1:2">
      <c r="A176" t="str">
        <f ca="1"/>
        <v>PRE - S - First Fix - Air Conditioning</v>
      </c>
      <c r="B176">
        <f t="shared" ca="1" si="2"/>
        <v>175</v>
      </c>
    </row>
    <row r="177" spans="1:2">
      <c r="A177" t="str">
        <f ca="1"/>
        <v>PRE - S - First Fix - Electrical</v>
      </c>
      <c r="B177">
        <f t="shared" ca="1" si="2"/>
        <v>176</v>
      </c>
    </row>
    <row r="178" spans="1:2">
      <c r="A178" t="str">
        <f ca="1"/>
        <v>PRE - S - First Fix - Fire Alarm</v>
      </c>
      <c r="B178">
        <f t="shared" ca="1" si="2"/>
        <v>177</v>
      </c>
    </row>
    <row r="179" spans="1:2">
      <c r="A179" t="str">
        <f ca="1"/>
        <v>PRE - S - First Fix - Nurse Call, Data &amp; Communications &amp; Security</v>
      </c>
      <c r="B179">
        <f t="shared" ca="1" si="2"/>
        <v>178</v>
      </c>
    </row>
    <row r="180" spans="1:2">
      <c r="A180" t="str">
        <f ca="1"/>
        <v>POST - S - Second Fix - Nurse Call, Data &amp; Communications &amp; Security</v>
      </c>
      <c r="B180">
        <f t="shared" ca="1" si="2"/>
        <v>179</v>
      </c>
    </row>
    <row r="181" spans="1:2">
      <c r="A181" t="str">
        <f ca="1"/>
        <v>S - S - Electrical - Distribution Boards</v>
      </c>
      <c r="B181">
        <f t="shared" ca="1" si="2"/>
        <v>180</v>
      </c>
    </row>
    <row r="182" spans="1:2">
      <c r="A182" t="str">
        <f ca="1"/>
        <v>S - S - Electrical - Cable Trays</v>
      </c>
      <c r="B182">
        <f t="shared" ca="1" si="2"/>
        <v>181</v>
      </c>
    </row>
    <row r="183" spans="1:2">
      <c r="A183" t="str">
        <f ca="1"/>
        <v xml:space="preserve">ST - S - Offsite Precast Manufacturing </v>
      </c>
      <c r="B183">
        <f t="shared" ca="1" si="2"/>
        <v>182</v>
      </c>
    </row>
    <row r="184" spans="1:2">
      <c r="A184" t="str">
        <f ca="1"/>
        <v>PRE - S - Fire Penetration</v>
      </c>
      <c r="B184">
        <f t="shared" ca="1" si="2"/>
        <v>183</v>
      </c>
    </row>
    <row r="185" spans="1:2">
      <c r="A185" t="str">
        <f ca="1"/>
        <v>ST - S - Steel Handover Documents - SFC Accredited and Non-SFC Contractors</v>
      </c>
      <c r="B185">
        <f t="shared" ca="1" si="2"/>
        <v>184</v>
      </c>
    </row>
    <row r="186" spans="1:2">
      <c r="A186" t="str">
        <f ca="1"/>
        <v>ST - S - Steel Handover Documents - Non-SFC Accredited Contractors Additional Requirements</v>
      </c>
      <c r="B186">
        <f t="shared" ca="1" si="2"/>
        <v>185</v>
      </c>
    </row>
    <row r="187" spans="1:2">
      <c r="A187" t="str">
        <f ca="1"/>
        <v>ST - S - Steel Site Install</v>
      </c>
      <c r="B187">
        <f t="shared" ca="1" si="2"/>
        <v>186</v>
      </c>
    </row>
    <row r="188" spans="1:2">
      <c r="A188" t="str">
        <f ca="1"/>
        <v>ST - S - Steel Overview QA Checklist</v>
      </c>
      <c r="B188">
        <f t="shared" ca="1" si="2"/>
        <v>187</v>
      </c>
    </row>
    <row r="189" spans="1:2">
      <c r="A189" t="str">
        <f ca="1"/>
        <v>ST - S - Steel Paint QA Documents</v>
      </c>
      <c r="B189">
        <f t="shared" ca="1" si="2"/>
        <v>188</v>
      </c>
    </row>
    <row r="190" spans="1:2">
      <c r="A190" t="str">
        <f ca="1"/>
        <v>FC - S - Roofing</v>
      </c>
      <c r="B190">
        <f t="shared" ca="1" si="2"/>
        <v>189</v>
      </c>
    </row>
    <row r="191" spans="1:2">
      <c r="A191" t="str">
        <f ca="1"/>
        <v>FC - S - Hatches</v>
      </c>
      <c r="B191">
        <f t="shared" ca="1" si="2"/>
        <v>190</v>
      </c>
    </row>
    <row r="192" spans="1:2">
      <c r="A192" t="str">
        <f ca="1"/>
        <v>FC - S - Gutters</v>
      </c>
      <c r="B192">
        <f t="shared" ca="1" si="2"/>
        <v>191</v>
      </c>
    </row>
    <row r="193" spans="1:2">
      <c r="A193" t="str">
        <f ca="1"/>
        <v>FC - S - Louvre Installation</v>
      </c>
      <c r="B193">
        <f t="shared" ca="1" si="2"/>
        <v>192</v>
      </c>
    </row>
    <row r="194" spans="1:2">
      <c r="A194" t="str">
        <f ca="1"/>
        <v xml:space="preserve">FC - S - Air conditioning </v>
      </c>
      <c r="B194">
        <f t="shared" ca="1" si="2"/>
        <v>193</v>
      </c>
    </row>
    <row r="195" spans="1:2">
      <c r="A195" t="str">
        <f ca="1"/>
        <v>Post - S - Mirror Installation</v>
      </c>
      <c r="B195">
        <f t="shared" ref="B195:B258" ca="1" si="3">IF(NOT(ISBLANK(A195)), B194+1,)</f>
        <v>194</v>
      </c>
    </row>
    <row r="196" spans="1:2">
      <c r="A196" t="str">
        <f ca="1"/>
        <v>Post - S - Splashback Installation</v>
      </c>
      <c r="B196">
        <f t="shared" ca="1" si="3"/>
        <v>195</v>
      </c>
    </row>
    <row r="197" spans="1:2">
      <c r="A197" t="str">
        <f ca="1"/>
        <v>POST - S - Screeding</v>
      </c>
      <c r="B197">
        <f t="shared" ca="1" si="3"/>
        <v>196</v>
      </c>
    </row>
    <row r="198" spans="1:2">
      <c r="A198" t="str">
        <f ca="1"/>
        <v>S - S - Lifts</v>
      </c>
      <c r="B198">
        <f t="shared" ca="1" si="3"/>
        <v>197</v>
      </c>
    </row>
    <row r="199" spans="1:2">
      <c r="A199" t="str">
        <f ca="1"/>
        <v>C - S - Subsoil Drainage</v>
      </c>
      <c r="B199">
        <f t="shared" ca="1" si="3"/>
        <v>198</v>
      </c>
    </row>
    <row r="200" spans="1:2">
      <c r="A200" t="str">
        <f ca="1"/>
        <v>C - S - Manhole Installation</v>
      </c>
      <c r="B200">
        <f t="shared" ca="1" si="3"/>
        <v>199</v>
      </c>
    </row>
    <row r="201" spans="1:2">
      <c r="A201" t="str">
        <f ca="1"/>
        <v>C - S - Lift Pit Installation</v>
      </c>
      <c r="B201">
        <f t="shared" ca="1" si="3"/>
        <v>200</v>
      </c>
    </row>
    <row r="202" spans="1:2">
      <c r="A202" t="str">
        <f ca="1"/>
        <v>F - S - Backfilling</v>
      </c>
      <c r="B202">
        <f t="shared" ca="1" si="3"/>
        <v>201</v>
      </c>
    </row>
    <row r="203" spans="1:2">
      <c r="A203" t="str">
        <f ca="1"/>
        <v>CST - S - Completion Documents</v>
      </c>
      <c r="B203">
        <f t="shared" ca="1" si="3"/>
        <v>202</v>
      </c>
    </row>
    <row r="204" spans="1:2">
      <c r="A204" t="str">
        <f ca="1"/>
        <v xml:space="preserve">ST - S - Timber Framing Receival </v>
      </c>
      <c r="B204">
        <f t="shared" ca="1" si="3"/>
        <v>203</v>
      </c>
    </row>
    <row r="205" spans="1:2">
      <c r="A205" t="str">
        <f ca="1"/>
        <v>POST - S - Fire Door Receival</v>
      </c>
      <c r="B205">
        <f t="shared" ca="1" si="3"/>
        <v>204</v>
      </c>
    </row>
    <row r="206" spans="1:2">
      <c r="A206" t="str">
        <f ca="1"/>
        <v>POST - S - Glue-Down/Floating Timber Flooring</v>
      </c>
      <c r="B206">
        <f t="shared" ca="1" si="3"/>
        <v>205</v>
      </c>
    </row>
    <row r="207" spans="1:2">
      <c r="A207" t="str">
        <f ca="1"/>
        <v>POST - S - Joinery Receival</v>
      </c>
      <c r="B207">
        <f t="shared" ca="1" si="3"/>
        <v>206</v>
      </c>
    </row>
    <row r="208" spans="1:2">
      <c r="A208" t="str">
        <f ca="1"/>
        <v>ST - S - Epoxy</v>
      </c>
      <c r="B208">
        <f t="shared" ca="1" si="3"/>
        <v>207</v>
      </c>
    </row>
    <row r="209" spans="1:2">
      <c r="A209" t="str">
        <f ca="1"/>
        <v>F - S - Precast Fire Joint Sealant</v>
      </c>
      <c r="B209">
        <f t="shared" ca="1" si="3"/>
        <v>208</v>
      </c>
    </row>
    <row r="210" spans="1:2">
      <c r="A210" t="str">
        <f ca="1"/>
        <v>ST - S - Precast Compliance Documents</v>
      </c>
      <c r="B210">
        <f t="shared" ca="1" si="3"/>
        <v>209</v>
      </c>
    </row>
    <row r="211" spans="1:2">
      <c r="A211" t="str">
        <f ca="1"/>
        <v>ST - S - Steel Deck Concrete Topping</v>
      </c>
      <c r="B211">
        <f t="shared" ca="1" si="3"/>
        <v>210</v>
      </c>
    </row>
    <row r="212" spans="1:2">
      <c r="A212" t="str">
        <f ca="1"/>
        <v>I - C - MV Consultant Site Visit Report</v>
      </c>
      <c r="B212">
        <f t="shared" ca="1" si="3"/>
        <v>211</v>
      </c>
    </row>
    <row r="213" spans="1:2">
      <c r="A213" t="str">
        <f ca="1"/>
        <v>I - C - MV Compliance Documents</v>
      </c>
      <c r="B213">
        <f t="shared" ca="1" si="3"/>
        <v>212</v>
      </c>
    </row>
    <row r="214" spans="1:2">
      <c r="A214" t="str">
        <f ca="1"/>
        <v>I - C - MV Remedial Item Checklist</v>
      </c>
      <c r="B214">
        <f t="shared" ca="1" si="3"/>
        <v>213</v>
      </c>
    </row>
    <row r="215" spans="1:2">
      <c r="A215" t="str">
        <f ca="1"/>
        <v>I - C - T+T Consultant Site Visit Report</v>
      </c>
      <c r="B215">
        <f t="shared" ca="1" si="3"/>
        <v>214</v>
      </c>
    </row>
    <row r="216" spans="1:2">
      <c r="A216" t="str">
        <f ca="1"/>
        <v>I - C - T+T Remedial Item Checklist</v>
      </c>
      <c r="B216">
        <f t="shared" ca="1" si="3"/>
        <v>215</v>
      </c>
    </row>
    <row r="217" spans="1:2">
      <c r="A217" t="str">
        <f ca="1"/>
        <v>I - C - T+T Vibration Monitoring Report</v>
      </c>
      <c r="B217">
        <f t="shared" ca="1" si="3"/>
        <v>216</v>
      </c>
    </row>
    <row r="218" spans="1:2">
      <c r="A218" t="str">
        <f ca="1"/>
        <v>I - C - Inhabit Consultant Site Visit Report</v>
      </c>
      <c r="B218">
        <f t="shared" ca="1" si="3"/>
        <v>217</v>
      </c>
    </row>
    <row r="219" spans="1:2">
      <c r="A219" t="str">
        <f ca="1"/>
        <v>I - C - Inhabit Consultant Observation/Remedial Item Checklist</v>
      </c>
      <c r="B219">
        <f t="shared" ca="1" si="3"/>
        <v>218</v>
      </c>
    </row>
    <row r="220" spans="1:2">
      <c r="A220" t="str">
        <f ca="1"/>
        <v>I - C - Enlighten Fire Solutions Consultant Site Visit Report</v>
      </c>
      <c r="B220">
        <f t="shared" ca="1" si="3"/>
        <v>219</v>
      </c>
    </row>
    <row r="221" spans="1:2">
      <c r="A221" t="str">
        <f ca="1"/>
        <v>I - C - Woods Consultant Site Visit Report</v>
      </c>
      <c r="B221">
        <f t="shared" ca="1" si="3"/>
        <v>220</v>
      </c>
    </row>
    <row r="222" spans="1:2">
      <c r="A222" t="str">
        <f ca="1"/>
        <v>I - C - Woods Consultant Remedial Item Checklist</v>
      </c>
      <c r="B222">
        <f t="shared" ca="1" si="3"/>
        <v>221</v>
      </c>
    </row>
    <row r="223" spans="1:2">
      <c r="A223" t="str">
        <f ca="1"/>
        <v>I - C - Woods Survey Set-Out Checklist</v>
      </c>
      <c r="B223">
        <f t="shared" ca="1" si="3"/>
        <v>222</v>
      </c>
    </row>
    <row r="224" spans="1:2">
      <c r="A224" t="str">
        <f ca="1"/>
        <v>F - S - Formwork Inspection</v>
      </c>
      <c r="B224">
        <f t="shared" ca="1" si="3"/>
        <v>223</v>
      </c>
    </row>
    <row r="225" spans="1:2">
      <c r="A225" t="str">
        <f ca="1"/>
        <v>ST - S - IMBMS Couplers Tests Checklist</v>
      </c>
      <c r="B225">
        <f t="shared" ca="1" si="3"/>
        <v>224</v>
      </c>
    </row>
    <row r="226" spans="1:2">
      <c r="A226" t="str">
        <f ca="1"/>
        <v>POST - S - Second Fix - Electrical</v>
      </c>
      <c r="B226">
        <f t="shared" ca="1" si="3"/>
        <v>225</v>
      </c>
    </row>
    <row r="227" spans="1:2">
      <c r="A227" t="str">
        <f ca="1"/>
        <v>F - S - Waterstops</v>
      </c>
      <c r="B227">
        <f t="shared" ca="1" si="3"/>
        <v>226</v>
      </c>
    </row>
    <row r="228" spans="1:2">
      <c r="A228" t="str">
        <f ca="1"/>
        <v>FC - S - Tapes</v>
      </c>
      <c r="B228">
        <f t="shared" ca="1" si="3"/>
        <v>227</v>
      </c>
    </row>
    <row r="229" spans="1:2">
      <c r="A229" t="str">
        <f ca="1"/>
        <v>ST - R - Concrete Pour Planning</v>
      </c>
      <c r="B229">
        <f t="shared" ca="1" si="3"/>
        <v>228</v>
      </c>
    </row>
    <row r="230" spans="1:2">
      <c r="A230" t="str">
        <f ca="1"/>
        <v>ST - R - Concrete Pour Inspection</v>
      </c>
      <c r="B230">
        <f t="shared" ca="1" si="3"/>
        <v>229</v>
      </c>
    </row>
    <row r="231" spans="1:2">
      <c r="A231" t="str">
        <f ca="1"/>
        <v>ST - I - ITP Concrete Pour</v>
      </c>
      <c r="B231">
        <f t="shared" ca="1" si="3"/>
        <v>230</v>
      </c>
    </row>
    <row r="232" spans="1:2">
      <c r="A232" t="str">
        <f ca="1"/>
        <v>C - S - Bulk Excavation</v>
      </c>
      <c r="B232">
        <f t="shared" ca="1" si="3"/>
        <v>231</v>
      </c>
    </row>
    <row r="233" spans="1:2">
      <c r="A233" t="str">
        <f ca="1"/>
        <v>C - S - Detailed Excavation</v>
      </c>
      <c r="B233">
        <f t="shared" ca="1" si="3"/>
        <v>232</v>
      </c>
    </row>
    <row r="234" spans="1:2">
      <c r="A234" t="str">
        <f ca="1"/>
        <v>I - C - Site Visit Report</v>
      </c>
      <c r="B234">
        <f t="shared" ca="1" si="3"/>
        <v>233</v>
      </c>
    </row>
    <row r="235" spans="1:2">
      <c r="A235" t="str">
        <f ca="1"/>
        <v>FC - R - Fascia/Gutter</v>
      </c>
      <c r="B235">
        <f t="shared" ca="1" si="3"/>
        <v>234</v>
      </c>
    </row>
    <row r="236" spans="1:2">
      <c r="A236" t="str">
        <f ca="1"/>
        <v>ST - S - Wall Strapping</v>
      </c>
      <c r="B236">
        <f t="shared" ca="1" si="3"/>
        <v>235</v>
      </c>
    </row>
    <row r="237" spans="1:2">
      <c r="B237">
        <f t="shared" ca="1" si="3"/>
        <v>0</v>
      </c>
    </row>
    <row r="238" spans="1:2">
      <c r="B238">
        <f t="shared" ca="1" si="3"/>
        <v>0</v>
      </c>
    </row>
    <row r="239" spans="1:2">
      <c r="B239">
        <f t="shared" ca="1" si="3"/>
        <v>0</v>
      </c>
    </row>
    <row r="240" spans="1:2">
      <c r="B240">
        <f t="shared" ca="1" si="3"/>
        <v>0</v>
      </c>
    </row>
    <row r="241" spans="2:2">
      <c r="B241">
        <f t="shared" ca="1" si="3"/>
        <v>0</v>
      </c>
    </row>
    <row r="242" spans="2:2">
      <c r="B242">
        <f t="shared" ca="1" si="3"/>
        <v>0</v>
      </c>
    </row>
    <row r="243" spans="2:2">
      <c r="B243">
        <f t="shared" ca="1" si="3"/>
        <v>0</v>
      </c>
    </row>
    <row r="244" spans="2:2">
      <c r="B244">
        <f t="shared" ca="1" si="3"/>
        <v>0</v>
      </c>
    </row>
    <row r="245" spans="2:2">
      <c r="B245">
        <f t="shared" ca="1" si="3"/>
        <v>0</v>
      </c>
    </row>
    <row r="246" spans="2:2">
      <c r="B246">
        <f t="shared" ca="1" si="3"/>
        <v>0</v>
      </c>
    </row>
    <row r="247" spans="2:2">
      <c r="B247">
        <f t="shared" ca="1" si="3"/>
        <v>0</v>
      </c>
    </row>
    <row r="248" spans="2:2">
      <c r="B248">
        <f t="shared" ca="1" si="3"/>
        <v>0</v>
      </c>
    </row>
    <row r="249" spans="2:2">
      <c r="B249">
        <f t="shared" ca="1" si="3"/>
        <v>0</v>
      </c>
    </row>
    <row r="250" spans="2:2">
      <c r="B250">
        <f t="shared" ca="1" si="3"/>
        <v>0</v>
      </c>
    </row>
    <row r="251" spans="2:2">
      <c r="B251">
        <f t="shared" ca="1" si="3"/>
        <v>0</v>
      </c>
    </row>
    <row r="252" spans="2:2">
      <c r="B252">
        <f t="shared" ca="1" si="3"/>
        <v>0</v>
      </c>
    </row>
    <row r="253" spans="2:2">
      <c r="B253">
        <f t="shared" ca="1" si="3"/>
        <v>0</v>
      </c>
    </row>
    <row r="254" spans="2:2">
      <c r="B254">
        <f t="shared" ca="1" si="3"/>
        <v>0</v>
      </c>
    </row>
    <row r="255" spans="2:2">
      <c r="B255">
        <f t="shared" ca="1" si="3"/>
        <v>0</v>
      </c>
    </row>
    <row r="256" spans="2:2">
      <c r="B256">
        <f t="shared" ca="1" si="3"/>
        <v>0</v>
      </c>
    </row>
    <row r="257" spans="2:2">
      <c r="B257">
        <f t="shared" ca="1" si="3"/>
        <v>0</v>
      </c>
    </row>
    <row r="258" spans="2:2">
      <c r="B258">
        <f t="shared" ca="1" si="3"/>
        <v>0</v>
      </c>
    </row>
    <row r="259" spans="2:2">
      <c r="B259">
        <f t="shared" ref="B259:B322" ca="1" si="4">IF(NOT(ISBLANK(A259)), B258+1,)</f>
        <v>0</v>
      </c>
    </row>
    <row r="260" spans="2:2">
      <c r="B260">
        <f t="shared" ca="1" si="4"/>
        <v>0</v>
      </c>
    </row>
    <row r="261" spans="2:2">
      <c r="B261">
        <f t="shared" ca="1" si="4"/>
        <v>0</v>
      </c>
    </row>
    <row r="262" spans="2:2">
      <c r="B262">
        <f t="shared" ca="1" si="4"/>
        <v>0</v>
      </c>
    </row>
    <row r="263" spans="2:2">
      <c r="B263">
        <f t="shared" ca="1" si="4"/>
        <v>0</v>
      </c>
    </row>
    <row r="264" spans="2:2">
      <c r="B264">
        <f t="shared" ca="1" si="4"/>
        <v>0</v>
      </c>
    </row>
    <row r="265" spans="2:2">
      <c r="B265">
        <f t="shared" ca="1" si="4"/>
        <v>0</v>
      </c>
    </row>
    <row r="266" spans="2:2">
      <c r="B266">
        <f t="shared" ca="1" si="4"/>
        <v>0</v>
      </c>
    </row>
    <row r="267" spans="2:2">
      <c r="B267">
        <f t="shared" ca="1" si="4"/>
        <v>0</v>
      </c>
    </row>
    <row r="268" spans="2:2">
      <c r="B268">
        <f t="shared" ca="1" si="4"/>
        <v>0</v>
      </c>
    </row>
    <row r="269" spans="2:2">
      <c r="B269">
        <f t="shared" ca="1" si="4"/>
        <v>0</v>
      </c>
    </row>
    <row r="270" spans="2:2">
      <c r="B270">
        <f t="shared" ca="1" si="4"/>
        <v>0</v>
      </c>
    </row>
    <row r="271" spans="2:2">
      <c r="B271">
        <f t="shared" ca="1" si="4"/>
        <v>0</v>
      </c>
    </row>
    <row r="272" spans="2:2">
      <c r="B272">
        <f t="shared" ca="1" si="4"/>
        <v>0</v>
      </c>
    </row>
    <row r="273" spans="2:2">
      <c r="B273">
        <f t="shared" ca="1" si="4"/>
        <v>0</v>
      </c>
    </row>
    <row r="274" spans="2:2">
      <c r="B274">
        <f t="shared" ca="1" si="4"/>
        <v>0</v>
      </c>
    </row>
    <row r="275" spans="2:2">
      <c r="B275">
        <f t="shared" ca="1" si="4"/>
        <v>0</v>
      </c>
    </row>
    <row r="276" spans="2:2">
      <c r="B276">
        <f t="shared" ca="1" si="4"/>
        <v>0</v>
      </c>
    </row>
    <row r="277" spans="2:2">
      <c r="B277">
        <f t="shared" ca="1" si="4"/>
        <v>0</v>
      </c>
    </row>
    <row r="278" spans="2:2">
      <c r="B278">
        <f t="shared" ca="1" si="4"/>
        <v>0</v>
      </c>
    </row>
    <row r="279" spans="2:2">
      <c r="B279">
        <f t="shared" ca="1" si="4"/>
        <v>0</v>
      </c>
    </row>
    <row r="280" spans="2:2">
      <c r="B280">
        <f t="shared" ca="1" si="4"/>
        <v>0</v>
      </c>
    </row>
    <row r="281" spans="2:2">
      <c r="B281">
        <f t="shared" ca="1" si="4"/>
        <v>0</v>
      </c>
    </row>
    <row r="282" spans="2:2">
      <c r="B282">
        <f t="shared" ca="1" si="4"/>
        <v>0</v>
      </c>
    </row>
    <row r="283" spans="2:2">
      <c r="B283">
        <f t="shared" ca="1" si="4"/>
        <v>0</v>
      </c>
    </row>
    <row r="284" spans="2:2">
      <c r="B284">
        <f t="shared" ca="1" si="4"/>
        <v>0</v>
      </c>
    </row>
    <row r="285" spans="2:2">
      <c r="B285">
        <f t="shared" ca="1" si="4"/>
        <v>0</v>
      </c>
    </row>
    <row r="286" spans="2:2">
      <c r="B286">
        <f t="shared" ca="1" si="4"/>
        <v>0</v>
      </c>
    </row>
    <row r="287" spans="2:2">
      <c r="B287">
        <f t="shared" ca="1" si="4"/>
        <v>0</v>
      </c>
    </row>
    <row r="288" spans="2:2">
      <c r="B288">
        <f t="shared" ca="1" si="4"/>
        <v>0</v>
      </c>
    </row>
    <row r="289" spans="2:2">
      <c r="B289">
        <f t="shared" ca="1" si="4"/>
        <v>0</v>
      </c>
    </row>
    <row r="290" spans="2:2">
      <c r="B290">
        <f t="shared" ca="1" si="4"/>
        <v>0</v>
      </c>
    </row>
    <row r="291" spans="2:2">
      <c r="B291">
        <f t="shared" ca="1" si="4"/>
        <v>0</v>
      </c>
    </row>
    <row r="292" spans="2:2">
      <c r="B292">
        <f t="shared" ca="1" si="4"/>
        <v>0</v>
      </c>
    </row>
    <row r="293" spans="2:2">
      <c r="B293">
        <f t="shared" ca="1" si="4"/>
        <v>0</v>
      </c>
    </row>
    <row r="294" spans="2:2">
      <c r="B294">
        <f t="shared" ca="1" si="4"/>
        <v>0</v>
      </c>
    </row>
    <row r="295" spans="2:2">
      <c r="B295">
        <f t="shared" ca="1" si="4"/>
        <v>0</v>
      </c>
    </row>
    <row r="296" spans="2:2">
      <c r="B296">
        <f t="shared" ca="1" si="4"/>
        <v>0</v>
      </c>
    </row>
    <row r="297" spans="2:2">
      <c r="B297">
        <f t="shared" ca="1" si="4"/>
        <v>0</v>
      </c>
    </row>
    <row r="298" spans="2:2">
      <c r="B298">
        <f t="shared" ca="1" si="4"/>
        <v>0</v>
      </c>
    </row>
    <row r="299" spans="2:2">
      <c r="B299">
        <f t="shared" ca="1" si="4"/>
        <v>0</v>
      </c>
    </row>
    <row r="300" spans="2:2">
      <c r="B300">
        <f t="shared" ca="1" si="4"/>
        <v>0</v>
      </c>
    </row>
    <row r="301" spans="2:2">
      <c r="B301">
        <f t="shared" ca="1" si="4"/>
        <v>0</v>
      </c>
    </row>
    <row r="302" spans="2:2">
      <c r="B302">
        <f t="shared" ca="1" si="4"/>
        <v>0</v>
      </c>
    </row>
    <row r="303" spans="2:2">
      <c r="B303">
        <f t="shared" ca="1" si="4"/>
        <v>0</v>
      </c>
    </row>
    <row r="304" spans="2:2">
      <c r="B304">
        <f t="shared" ca="1" si="4"/>
        <v>0</v>
      </c>
    </row>
    <row r="305" spans="2:2">
      <c r="B305">
        <f t="shared" ca="1" si="4"/>
        <v>0</v>
      </c>
    </row>
    <row r="306" spans="2:2">
      <c r="B306">
        <f t="shared" ca="1" si="4"/>
        <v>0</v>
      </c>
    </row>
    <row r="307" spans="2:2">
      <c r="B307">
        <f t="shared" ca="1" si="4"/>
        <v>0</v>
      </c>
    </row>
    <row r="308" spans="2:2">
      <c r="B308">
        <f t="shared" ca="1" si="4"/>
        <v>0</v>
      </c>
    </row>
    <row r="309" spans="2:2">
      <c r="B309">
        <f t="shared" ca="1" si="4"/>
        <v>0</v>
      </c>
    </row>
    <row r="310" spans="2:2">
      <c r="B310">
        <f t="shared" ca="1" si="4"/>
        <v>0</v>
      </c>
    </row>
    <row r="311" spans="2:2">
      <c r="B311">
        <f t="shared" ca="1" si="4"/>
        <v>0</v>
      </c>
    </row>
    <row r="312" spans="2:2">
      <c r="B312">
        <f t="shared" ca="1" si="4"/>
        <v>0</v>
      </c>
    </row>
    <row r="313" spans="2:2">
      <c r="B313">
        <f t="shared" ca="1" si="4"/>
        <v>0</v>
      </c>
    </row>
    <row r="314" spans="2:2">
      <c r="B314">
        <f t="shared" ca="1" si="4"/>
        <v>0</v>
      </c>
    </row>
    <row r="315" spans="2:2">
      <c r="B315">
        <f t="shared" ca="1" si="4"/>
        <v>0</v>
      </c>
    </row>
    <row r="316" spans="2:2">
      <c r="B316">
        <f t="shared" ca="1" si="4"/>
        <v>0</v>
      </c>
    </row>
    <row r="317" spans="2:2">
      <c r="B317">
        <f t="shared" ca="1" si="4"/>
        <v>0</v>
      </c>
    </row>
    <row r="318" spans="2:2">
      <c r="B318">
        <f t="shared" ca="1" si="4"/>
        <v>0</v>
      </c>
    </row>
    <row r="319" spans="2:2">
      <c r="B319">
        <f t="shared" ca="1" si="4"/>
        <v>0</v>
      </c>
    </row>
    <row r="320" spans="2:2">
      <c r="B320">
        <f t="shared" ca="1" si="4"/>
        <v>0</v>
      </c>
    </row>
    <row r="321" spans="2:2">
      <c r="B321">
        <f t="shared" ca="1" si="4"/>
        <v>0</v>
      </c>
    </row>
    <row r="322" spans="2:2">
      <c r="B322">
        <f t="shared" ca="1" si="4"/>
        <v>0</v>
      </c>
    </row>
    <row r="323" spans="2:2">
      <c r="B323">
        <f t="shared" ref="B323:B386" ca="1" si="5">IF(NOT(ISBLANK(A323)), B322+1,)</f>
        <v>0</v>
      </c>
    </row>
    <row r="324" spans="2:2">
      <c r="B324">
        <f t="shared" ca="1" si="5"/>
        <v>0</v>
      </c>
    </row>
    <row r="325" spans="2:2">
      <c r="B325">
        <f t="shared" ca="1" si="5"/>
        <v>0</v>
      </c>
    </row>
    <row r="326" spans="2:2">
      <c r="B326">
        <f t="shared" ca="1" si="5"/>
        <v>0</v>
      </c>
    </row>
    <row r="327" spans="2:2">
      <c r="B327">
        <f t="shared" ca="1" si="5"/>
        <v>0</v>
      </c>
    </row>
    <row r="328" spans="2:2">
      <c r="B328">
        <f t="shared" ca="1" si="5"/>
        <v>0</v>
      </c>
    </row>
    <row r="329" spans="2:2">
      <c r="B329">
        <f t="shared" ca="1" si="5"/>
        <v>0</v>
      </c>
    </row>
    <row r="330" spans="2:2">
      <c r="B330">
        <f t="shared" ca="1" si="5"/>
        <v>0</v>
      </c>
    </row>
    <row r="331" spans="2:2">
      <c r="B331">
        <f t="shared" ca="1" si="5"/>
        <v>0</v>
      </c>
    </row>
    <row r="332" spans="2:2">
      <c r="B332">
        <f t="shared" ca="1" si="5"/>
        <v>0</v>
      </c>
    </row>
    <row r="333" spans="2:2">
      <c r="B333">
        <f t="shared" ca="1" si="5"/>
        <v>0</v>
      </c>
    </row>
    <row r="334" spans="2:2">
      <c r="B334">
        <f t="shared" ca="1" si="5"/>
        <v>0</v>
      </c>
    </row>
    <row r="335" spans="2:2">
      <c r="B335">
        <f t="shared" ca="1" si="5"/>
        <v>0</v>
      </c>
    </row>
    <row r="336" spans="2:2">
      <c r="B336">
        <f t="shared" ca="1" si="5"/>
        <v>0</v>
      </c>
    </row>
    <row r="337" spans="2:2">
      <c r="B337">
        <f t="shared" ca="1" si="5"/>
        <v>0</v>
      </c>
    </row>
    <row r="338" spans="2:2">
      <c r="B338">
        <f t="shared" ca="1" si="5"/>
        <v>0</v>
      </c>
    </row>
    <row r="339" spans="2:2">
      <c r="B339">
        <f t="shared" ca="1" si="5"/>
        <v>0</v>
      </c>
    </row>
    <row r="340" spans="2:2">
      <c r="B340">
        <f t="shared" ca="1" si="5"/>
        <v>0</v>
      </c>
    </row>
    <row r="341" spans="2:2">
      <c r="B341">
        <f t="shared" ca="1" si="5"/>
        <v>0</v>
      </c>
    </row>
    <row r="342" spans="2:2">
      <c r="B342">
        <f t="shared" ca="1" si="5"/>
        <v>0</v>
      </c>
    </row>
    <row r="343" spans="2:2">
      <c r="B343">
        <f t="shared" ca="1" si="5"/>
        <v>0</v>
      </c>
    </row>
    <row r="344" spans="2:2">
      <c r="B344">
        <f t="shared" ca="1" si="5"/>
        <v>0</v>
      </c>
    </row>
    <row r="345" spans="2:2">
      <c r="B345">
        <f t="shared" ca="1" si="5"/>
        <v>0</v>
      </c>
    </row>
    <row r="346" spans="2:2">
      <c r="B346">
        <f t="shared" ca="1" si="5"/>
        <v>0</v>
      </c>
    </row>
    <row r="347" spans="2:2">
      <c r="B347">
        <f t="shared" ca="1" si="5"/>
        <v>0</v>
      </c>
    </row>
    <row r="348" spans="2:2">
      <c r="B348">
        <f t="shared" ca="1" si="5"/>
        <v>0</v>
      </c>
    </row>
    <row r="349" spans="2:2">
      <c r="B349">
        <f t="shared" ca="1" si="5"/>
        <v>0</v>
      </c>
    </row>
    <row r="350" spans="2:2">
      <c r="B350">
        <f t="shared" ca="1" si="5"/>
        <v>0</v>
      </c>
    </row>
    <row r="351" spans="2:2">
      <c r="B351">
        <f t="shared" ca="1" si="5"/>
        <v>0</v>
      </c>
    </row>
    <row r="352" spans="2:2">
      <c r="B352">
        <f t="shared" ca="1" si="5"/>
        <v>0</v>
      </c>
    </row>
    <row r="353" spans="2:2">
      <c r="B353">
        <f t="shared" ca="1" si="5"/>
        <v>0</v>
      </c>
    </row>
    <row r="354" spans="2:2">
      <c r="B354">
        <f t="shared" ca="1" si="5"/>
        <v>0</v>
      </c>
    </row>
    <row r="355" spans="2:2">
      <c r="B355">
        <f t="shared" ca="1" si="5"/>
        <v>0</v>
      </c>
    </row>
    <row r="356" spans="2:2">
      <c r="B356">
        <f t="shared" ca="1" si="5"/>
        <v>0</v>
      </c>
    </row>
    <row r="357" spans="2:2">
      <c r="B357">
        <f t="shared" ca="1" si="5"/>
        <v>0</v>
      </c>
    </row>
    <row r="358" spans="2:2">
      <c r="B358">
        <f t="shared" ca="1" si="5"/>
        <v>0</v>
      </c>
    </row>
    <row r="359" spans="2:2">
      <c r="B359">
        <f t="shared" ca="1" si="5"/>
        <v>0</v>
      </c>
    </row>
    <row r="360" spans="2:2">
      <c r="B360">
        <f t="shared" ca="1" si="5"/>
        <v>0</v>
      </c>
    </row>
    <row r="361" spans="2:2">
      <c r="B361">
        <f t="shared" ca="1" si="5"/>
        <v>0</v>
      </c>
    </row>
    <row r="362" spans="2:2">
      <c r="B362">
        <f t="shared" ca="1" si="5"/>
        <v>0</v>
      </c>
    </row>
    <row r="363" spans="2:2">
      <c r="B363">
        <f t="shared" ca="1" si="5"/>
        <v>0</v>
      </c>
    </row>
    <row r="364" spans="2:2">
      <c r="B364">
        <f t="shared" ca="1" si="5"/>
        <v>0</v>
      </c>
    </row>
    <row r="365" spans="2:2">
      <c r="B365">
        <f t="shared" ca="1" si="5"/>
        <v>0</v>
      </c>
    </row>
    <row r="366" spans="2:2">
      <c r="B366">
        <f t="shared" ca="1" si="5"/>
        <v>0</v>
      </c>
    </row>
    <row r="367" spans="2:2">
      <c r="B367">
        <f t="shared" ca="1" si="5"/>
        <v>0</v>
      </c>
    </row>
    <row r="368" spans="2:2">
      <c r="B368">
        <f t="shared" ca="1" si="5"/>
        <v>0</v>
      </c>
    </row>
    <row r="369" spans="2:2">
      <c r="B369">
        <f t="shared" ca="1" si="5"/>
        <v>0</v>
      </c>
    </row>
    <row r="370" spans="2:2">
      <c r="B370">
        <f t="shared" ca="1" si="5"/>
        <v>0</v>
      </c>
    </row>
    <row r="371" spans="2:2">
      <c r="B371">
        <f t="shared" ca="1" si="5"/>
        <v>0</v>
      </c>
    </row>
    <row r="372" spans="2:2">
      <c r="B372">
        <f t="shared" ca="1" si="5"/>
        <v>0</v>
      </c>
    </row>
    <row r="373" spans="2:2">
      <c r="B373">
        <f t="shared" ca="1" si="5"/>
        <v>0</v>
      </c>
    </row>
    <row r="374" spans="2:2">
      <c r="B374">
        <f t="shared" ca="1" si="5"/>
        <v>0</v>
      </c>
    </row>
    <row r="375" spans="2:2">
      <c r="B375">
        <f t="shared" ca="1" si="5"/>
        <v>0</v>
      </c>
    </row>
    <row r="376" spans="2:2">
      <c r="B376">
        <f t="shared" ca="1" si="5"/>
        <v>0</v>
      </c>
    </row>
    <row r="377" spans="2:2">
      <c r="B377">
        <f t="shared" ca="1" si="5"/>
        <v>0</v>
      </c>
    </row>
    <row r="378" spans="2:2">
      <c r="B378">
        <f t="shared" ca="1" si="5"/>
        <v>0</v>
      </c>
    </row>
    <row r="379" spans="2:2">
      <c r="B379">
        <f t="shared" ca="1" si="5"/>
        <v>0</v>
      </c>
    </row>
    <row r="380" spans="2:2">
      <c r="B380">
        <f t="shared" ca="1" si="5"/>
        <v>0</v>
      </c>
    </row>
    <row r="381" spans="2:2">
      <c r="B381">
        <f t="shared" ca="1" si="5"/>
        <v>0</v>
      </c>
    </row>
    <row r="382" spans="2:2">
      <c r="B382">
        <f t="shared" ca="1" si="5"/>
        <v>0</v>
      </c>
    </row>
    <row r="383" spans="2:2">
      <c r="B383">
        <f t="shared" ca="1" si="5"/>
        <v>0</v>
      </c>
    </row>
    <row r="384" spans="2:2">
      <c r="B384">
        <f t="shared" ca="1" si="5"/>
        <v>0</v>
      </c>
    </row>
    <row r="385" spans="2:2">
      <c r="B385">
        <f t="shared" ca="1" si="5"/>
        <v>0</v>
      </c>
    </row>
    <row r="386" spans="2:2">
      <c r="B386">
        <f t="shared" ca="1" si="5"/>
        <v>0</v>
      </c>
    </row>
    <row r="387" spans="2:2">
      <c r="B387">
        <f t="shared" ref="B387:B450" ca="1" si="6">IF(NOT(ISBLANK(A387)), B386+1,)</f>
        <v>0</v>
      </c>
    </row>
    <row r="388" spans="2:2">
      <c r="B388">
        <f t="shared" ca="1" si="6"/>
        <v>0</v>
      </c>
    </row>
    <row r="389" spans="2:2">
      <c r="B389">
        <f t="shared" ca="1" si="6"/>
        <v>0</v>
      </c>
    </row>
    <row r="390" spans="2:2">
      <c r="B390">
        <f t="shared" ca="1" si="6"/>
        <v>0</v>
      </c>
    </row>
    <row r="391" spans="2:2">
      <c r="B391">
        <f t="shared" ca="1" si="6"/>
        <v>0</v>
      </c>
    </row>
    <row r="392" spans="2:2">
      <c r="B392">
        <f t="shared" ca="1" si="6"/>
        <v>0</v>
      </c>
    </row>
    <row r="393" spans="2:2">
      <c r="B393">
        <f t="shared" ca="1" si="6"/>
        <v>0</v>
      </c>
    </row>
    <row r="394" spans="2:2">
      <c r="B394">
        <f t="shared" ca="1" si="6"/>
        <v>0</v>
      </c>
    </row>
    <row r="395" spans="2:2">
      <c r="B395">
        <f t="shared" ca="1" si="6"/>
        <v>0</v>
      </c>
    </row>
    <row r="396" spans="2:2">
      <c r="B396">
        <f t="shared" ca="1" si="6"/>
        <v>0</v>
      </c>
    </row>
    <row r="397" spans="2:2">
      <c r="B397">
        <f t="shared" ca="1" si="6"/>
        <v>0</v>
      </c>
    </row>
    <row r="398" spans="2:2">
      <c r="B398">
        <f t="shared" ca="1" si="6"/>
        <v>0</v>
      </c>
    </row>
    <row r="399" spans="2:2">
      <c r="B399">
        <f t="shared" ca="1" si="6"/>
        <v>0</v>
      </c>
    </row>
    <row r="400" spans="2:2">
      <c r="B400">
        <f t="shared" ca="1" si="6"/>
        <v>0</v>
      </c>
    </row>
    <row r="401" spans="2:2">
      <c r="B401">
        <f t="shared" ca="1" si="6"/>
        <v>0</v>
      </c>
    </row>
    <row r="402" spans="2:2">
      <c r="B402">
        <f t="shared" ca="1" si="6"/>
        <v>0</v>
      </c>
    </row>
    <row r="403" spans="2:2">
      <c r="B403">
        <f t="shared" ca="1" si="6"/>
        <v>0</v>
      </c>
    </row>
    <row r="404" spans="2:2">
      <c r="B404">
        <f t="shared" ca="1" si="6"/>
        <v>0</v>
      </c>
    </row>
    <row r="405" spans="2:2">
      <c r="B405">
        <f t="shared" ca="1" si="6"/>
        <v>0</v>
      </c>
    </row>
    <row r="406" spans="2:2">
      <c r="B406">
        <f t="shared" ca="1" si="6"/>
        <v>0</v>
      </c>
    </row>
    <row r="407" spans="2:2">
      <c r="B407">
        <f t="shared" ca="1" si="6"/>
        <v>0</v>
      </c>
    </row>
    <row r="408" spans="2:2">
      <c r="B408">
        <f t="shared" ca="1" si="6"/>
        <v>0</v>
      </c>
    </row>
    <row r="409" spans="2:2">
      <c r="B409">
        <f t="shared" ca="1" si="6"/>
        <v>0</v>
      </c>
    </row>
    <row r="410" spans="2:2">
      <c r="B410">
        <f t="shared" ca="1" si="6"/>
        <v>0</v>
      </c>
    </row>
    <row r="411" spans="2:2">
      <c r="B411">
        <f t="shared" ca="1" si="6"/>
        <v>0</v>
      </c>
    </row>
    <row r="412" spans="2:2">
      <c r="B412">
        <f t="shared" ca="1" si="6"/>
        <v>0</v>
      </c>
    </row>
    <row r="413" spans="2:2">
      <c r="B413">
        <f t="shared" ca="1" si="6"/>
        <v>0</v>
      </c>
    </row>
    <row r="414" spans="2:2">
      <c r="B414">
        <f t="shared" ca="1" si="6"/>
        <v>0</v>
      </c>
    </row>
    <row r="415" spans="2:2">
      <c r="B415">
        <f t="shared" ca="1" si="6"/>
        <v>0</v>
      </c>
    </row>
    <row r="416" spans="2:2">
      <c r="B416">
        <f t="shared" ca="1" si="6"/>
        <v>0</v>
      </c>
    </row>
    <row r="417" spans="2:2">
      <c r="B417">
        <f t="shared" ca="1" si="6"/>
        <v>0</v>
      </c>
    </row>
    <row r="418" spans="2:2">
      <c r="B418">
        <f t="shared" ca="1" si="6"/>
        <v>0</v>
      </c>
    </row>
    <row r="419" spans="2:2">
      <c r="B419">
        <f t="shared" ca="1" si="6"/>
        <v>0</v>
      </c>
    </row>
    <row r="420" spans="2:2">
      <c r="B420">
        <f t="shared" ca="1" si="6"/>
        <v>0</v>
      </c>
    </row>
    <row r="421" spans="2:2">
      <c r="B421">
        <f t="shared" ca="1" si="6"/>
        <v>0</v>
      </c>
    </row>
    <row r="422" spans="2:2">
      <c r="B422">
        <f t="shared" ca="1" si="6"/>
        <v>0</v>
      </c>
    </row>
    <row r="423" spans="2:2">
      <c r="B423">
        <f t="shared" ca="1" si="6"/>
        <v>0</v>
      </c>
    </row>
    <row r="424" spans="2:2">
      <c r="B424">
        <f t="shared" ca="1" si="6"/>
        <v>0</v>
      </c>
    </row>
    <row r="425" spans="2:2">
      <c r="B425">
        <f t="shared" ca="1" si="6"/>
        <v>0</v>
      </c>
    </row>
    <row r="426" spans="2:2">
      <c r="B426">
        <f t="shared" ca="1" si="6"/>
        <v>0</v>
      </c>
    </row>
    <row r="427" spans="2:2">
      <c r="B427">
        <f t="shared" ca="1" si="6"/>
        <v>0</v>
      </c>
    </row>
    <row r="428" spans="2:2">
      <c r="B428">
        <f t="shared" ca="1" si="6"/>
        <v>0</v>
      </c>
    </row>
    <row r="429" spans="2:2">
      <c r="B429">
        <f t="shared" ca="1" si="6"/>
        <v>0</v>
      </c>
    </row>
    <row r="430" spans="2:2">
      <c r="B430">
        <f t="shared" ca="1" si="6"/>
        <v>0</v>
      </c>
    </row>
    <row r="431" spans="2:2">
      <c r="B431">
        <f t="shared" ca="1" si="6"/>
        <v>0</v>
      </c>
    </row>
    <row r="432" spans="2:2">
      <c r="B432">
        <f t="shared" ca="1" si="6"/>
        <v>0</v>
      </c>
    </row>
    <row r="433" spans="2:2">
      <c r="B433">
        <f t="shared" ca="1" si="6"/>
        <v>0</v>
      </c>
    </row>
    <row r="434" spans="2:2">
      <c r="B434">
        <f t="shared" ca="1" si="6"/>
        <v>0</v>
      </c>
    </row>
    <row r="435" spans="2:2">
      <c r="B435">
        <f t="shared" ca="1" si="6"/>
        <v>0</v>
      </c>
    </row>
    <row r="436" spans="2:2">
      <c r="B436">
        <f t="shared" ca="1" si="6"/>
        <v>0</v>
      </c>
    </row>
    <row r="437" spans="2:2">
      <c r="B437">
        <f t="shared" ca="1" si="6"/>
        <v>0</v>
      </c>
    </row>
    <row r="438" spans="2:2">
      <c r="B438">
        <f t="shared" ca="1" si="6"/>
        <v>0</v>
      </c>
    </row>
    <row r="439" spans="2:2">
      <c r="B439">
        <f t="shared" ca="1" si="6"/>
        <v>0</v>
      </c>
    </row>
    <row r="440" spans="2:2">
      <c r="B440">
        <f t="shared" ca="1" si="6"/>
        <v>0</v>
      </c>
    </row>
    <row r="441" spans="2:2">
      <c r="B441">
        <f t="shared" ca="1" si="6"/>
        <v>0</v>
      </c>
    </row>
    <row r="442" spans="2:2">
      <c r="B442">
        <f t="shared" ca="1" si="6"/>
        <v>0</v>
      </c>
    </row>
    <row r="443" spans="2:2">
      <c r="B443">
        <f t="shared" ca="1" si="6"/>
        <v>0</v>
      </c>
    </row>
    <row r="444" spans="2:2">
      <c r="B444">
        <f t="shared" ca="1" si="6"/>
        <v>0</v>
      </c>
    </row>
    <row r="445" spans="2:2">
      <c r="B445">
        <f t="shared" ca="1" si="6"/>
        <v>0</v>
      </c>
    </row>
    <row r="446" spans="2:2">
      <c r="B446">
        <f t="shared" ca="1" si="6"/>
        <v>0</v>
      </c>
    </row>
    <row r="447" spans="2:2">
      <c r="B447">
        <f t="shared" ca="1" si="6"/>
        <v>0</v>
      </c>
    </row>
    <row r="448" spans="2:2">
      <c r="B448">
        <f t="shared" ca="1" si="6"/>
        <v>0</v>
      </c>
    </row>
    <row r="449" spans="2:2">
      <c r="B449">
        <f t="shared" ca="1" si="6"/>
        <v>0</v>
      </c>
    </row>
    <row r="450" spans="2:2">
      <c r="B450">
        <f t="shared" ca="1" si="6"/>
        <v>0</v>
      </c>
    </row>
    <row r="451" spans="2:2">
      <c r="B451">
        <f t="shared" ref="B451:B481" ca="1" si="7">IF(NOT(ISBLANK(A451)), B450+1,)</f>
        <v>0</v>
      </c>
    </row>
    <row r="452" spans="2:2">
      <c r="B452">
        <f t="shared" ca="1" si="7"/>
        <v>0</v>
      </c>
    </row>
    <row r="453" spans="2:2">
      <c r="B453">
        <f t="shared" ca="1" si="7"/>
        <v>0</v>
      </c>
    </row>
    <row r="454" spans="2:2">
      <c r="B454">
        <f t="shared" ca="1" si="7"/>
        <v>0</v>
      </c>
    </row>
    <row r="455" spans="2:2">
      <c r="B455">
        <f t="shared" ca="1" si="7"/>
        <v>0</v>
      </c>
    </row>
    <row r="456" spans="2:2">
      <c r="B456">
        <f t="shared" ca="1" si="7"/>
        <v>0</v>
      </c>
    </row>
    <row r="457" spans="2:2">
      <c r="B457">
        <f t="shared" ca="1" si="7"/>
        <v>0</v>
      </c>
    </row>
    <row r="458" spans="2:2">
      <c r="B458">
        <f t="shared" ca="1" si="7"/>
        <v>0</v>
      </c>
    </row>
    <row r="459" spans="2:2">
      <c r="B459">
        <f t="shared" ca="1" si="7"/>
        <v>0</v>
      </c>
    </row>
    <row r="460" spans="2:2">
      <c r="B460">
        <f t="shared" ca="1" si="7"/>
        <v>0</v>
      </c>
    </row>
    <row r="461" spans="2:2">
      <c r="B461">
        <f t="shared" ca="1" si="7"/>
        <v>0</v>
      </c>
    </row>
    <row r="462" spans="2:2">
      <c r="B462">
        <f t="shared" ca="1" si="7"/>
        <v>0</v>
      </c>
    </row>
    <row r="463" spans="2:2">
      <c r="B463">
        <f t="shared" ca="1" si="7"/>
        <v>0</v>
      </c>
    </row>
    <row r="464" spans="2:2">
      <c r="B464">
        <f t="shared" ca="1" si="7"/>
        <v>0</v>
      </c>
    </row>
    <row r="465" spans="2:2">
      <c r="B465">
        <f t="shared" ca="1" si="7"/>
        <v>0</v>
      </c>
    </row>
    <row r="466" spans="2:2">
      <c r="B466">
        <f t="shared" ca="1" si="7"/>
        <v>0</v>
      </c>
    </row>
    <row r="467" spans="2:2">
      <c r="B467">
        <f t="shared" ca="1" si="7"/>
        <v>0</v>
      </c>
    </row>
    <row r="468" spans="2:2">
      <c r="B468">
        <f t="shared" ca="1" si="7"/>
        <v>0</v>
      </c>
    </row>
    <row r="469" spans="2:2">
      <c r="B469">
        <f t="shared" ca="1" si="7"/>
        <v>0</v>
      </c>
    </row>
    <row r="470" spans="2:2">
      <c r="B470">
        <f t="shared" ca="1" si="7"/>
        <v>0</v>
      </c>
    </row>
    <row r="471" spans="2:2">
      <c r="B471">
        <f t="shared" ca="1" si="7"/>
        <v>0</v>
      </c>
    </row>
    <row r="472" spans="2:2">
      <c r="B472">
        <f t="shared" ca="1" si="7"/>
        <v>0</v>
      </c>
    </row>
    <row r="473" spans="2:2">
      <c r="B473">
        <f t="shared" ca="1" si="7"/>
        <v>0</v>
      </c>
    </row>
    <row r="474" spans="2:2">
      <c r="B474">
        <f t="shared" ca="1" si="7"/>
        <v>0</v>
      </c>
    </row>
    <row r="475" spans="2:2">
      <c r="B475">
        <f t="shared" ca="1" si="7"/>
        <v>0</v>
      </c>
    </row>
    <row r="476" spans="2:2">
      <c r="B476">
        <f t="shared" ca="1" si="7"/>
        <v>0</v>
      </c>
    </row>
    <row r="477" spans="2:2">
      <c r="B477">
        <f t="shared" ca="1" si="7"/>
        <v>0</v>
      </c>
    </row>
    <row r="478" spans="2:2">
      <c r="B478">
        <f t="shared" ca="1" si="7"/>
        <v>0</v>
      </c>
    </row>
    <row r="479" spans="2:2">
      <c r="B479">
        <f t="shared" ca="1" si="7"/>
        <v>0</v>
      </c>
    </row>
    <row r="480" spans="2:2">
      <c r="B480">
        <f t="shared" ca="1" si="7"/>
        <v>0</v>
      </c>
    </row>
    <row r="481" spans="2:2">
      <c r="B481">
        <f t="shared" ca="1" si="7"/>
        <v>0</v>
      </c>
    </row>
  </sheetData>
  <sheetProtection sheet="1" objects="1" scenarios="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workbookViewId="0">
      <selection sqref="A1:G1720"/>
    </sheetView>
    <sheetView workbookViewId="1"/>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42</v>
      </c>
      <c r="B1" t="s">
        <v>2</v>
      </c>
      <c r="C1" t="s">
        <v>3</v>
      </c>
      <c r="D1" t="s">
        <v>43</v>
      </c>
      <c r="E1" t="s">
        <v>44</v>
      </c>
      <c r="F1" t="s">
        <v>45</v>
      </c>
      <c r="G1" t="s">
        <v>46</v>
      </c>
    </row>
    <row r="2" spans="1:7">
      <c r="A2">
        <v>1000</v>
      </c>
      <c r="B2" t="s">
        <v>8</v>
      </c>
      <c r="C2" t="s">
        <v>9</v>
      </c>
      <c r="D2" t="s">
        <v>47</v>
      </c>
      <c r="E2" t="s">
        <v>48</v>
      </c>
      <c r="F2" t="s">
        <v>47</v>
      </c>
    </row>
    <row r="3" spans="1:7">
      <c r="A3">
        <v>1001</v>
      </c>
      <c r="B3" t="s">
        <v>8</v>
      </c>
      <c r="C3" t="s">
        <v>9</v>
      </c>
      <c r="D3" t="s">
        <v>47</v>
      </c>
      <c r="E3" t="s">
        <v>49</v>
      </c>
      <c r="F3" t="s">
        <v>50</v>
      </c>
    </row>
    <row r="4" spans="1:7">
      <c r="A4">
        <v>1002</v>
      </c>
      <c r="B4" t="s">
        <v>8</v>
      </c>
      <c r="C4" t="s">
        <v>9</v>
      </c>
      <c r="D4" t="s">
        <v>47</v>
      </c>
      <c r="E4" t="s">
        <v>49</v>
      </c>
      <c r="F4" t="s">
        <v>51</v>
      </c>
    </row>
    <row r="5" spans="1:7">
      <c r="A5">
        <v>1003</v>
      </c>
      <c r="B5" t="s">
        <v>8</v>
      </c>
      <c r="C5" t="s">
        <v>9</v>
      </c>
      <c r="D5" t="s">
        <v>47</v>
      </c>
      <c r="E5" t="s">
        <v>49</v>
      </c>
      <c r="F5" t="s">
        <v>52</v>
      </c>
    </row>
    <row r="6" spans="1:7">
      <c r="A6">
        <v>1004</v>
      </c>
      <c r="B6" t="s">
        <v>8</v>
      </c>
      <c r="C6" t="s">
        <v>9</v>
      </c>
      <c r="D6" t="s">
        <v>47</v>
      </c>
      <c r="E6" t="s">
        <v>49</v>
      </c>
      <c r="F6" t="s">
        <v>53</v>
      </c>
    </row>
    <row r="7" spans="1:7">
      <c r="A7">
        <v>1005</v>
      </c>
      <c r="B7" t="s">
        <v>8</v>
      </c>
      <c r="C7" t="s">
        <v>9</v>
      </c>
      <c r="D7" t="s">
        <v>47</v>
      </c>
      <c r="E7" t="s">
        <v>49</v>
      </c>
      <c r="F7" t="s">
        <v>54</v>
      </c>
    </row>
    <row r="8" spans="1:7">
      <c r="A8">
        <v>1006</v>
      </c>
      <c r="B8" t="s">
        <v>8</v>
      </c>
      <c r="C8" t="s">
        <v>9</v>
      </c>
      <c r="D8" t="s">
        <v>47</v>
      </c>
      <c r="E8" t="s">
        <v>49</v>
      </c>
      <c r="F8" t="s">
        <v>55</v>
      </c>
    </row>
    <row r="9" spans="1:7">
      <c r="A9">
        <v>1007</v>
      </c>
      <c r="B9" t="s">
        <v>8</v>
      </c>
      <c r="C9" t="s">
        <v>9</v>
      </c>
      <c r="D9" t="s">
        <v>47</v>
      </c>
      <c r="E9" t="s">
        <v>49</v>
      </c>
      <c r="F9" t="s">
        <v>56</v>
      </c>
    </row>
    <row r="10" spans="1:7">
      <c r="B10" t="s">
        <v>8</v>
      </c>
      <c r="C10" t="s">
        <v>9</v>
      </c>
      <c r="D10" t="s">
        <v>47</v>
      </c>
      <c r="E10" t="s">
        <v>49</v>
      </c>
      <c r="F10" t="s">
        <v>57</v>
      </c>
    </row>
    <row r="11" spans="1:7">
      <c r="B11" t="s">
        <v>8</v>
      </c>
      <c r="C11" t="s">
        <v>9</v>
      </c>
      <c r="D11" t="s">
        <v>47</v>
      </c>
      <c r="E11" t="s">
        <v>58</v>
      </c>
      <c r="F11" t="s">
        <v>59</v>
      </c>
    </row>
    <row r="12" spans="1:7">
      <c r="A12">
        <v>2000</v>
      </c>
      <c r="B12" t="s">
        <v>8</v>
      </c>
      <c r="C12" t="s">
        <v>9</v>
      </c>
      <c r="D12" t="s">
        <v>60</v>
      </c>
      <c r="E12" t="s">
        <v>48</v>
      </c>
      <c r="F12" t="s">
        <v>60</v>
      </c>
    </row>
    <row r="13" spans="1:7">
      <c r="A13">
        <v>2001</v>
      </c>
      <c r="B13" t="s">
        <v>8</v>
      </c>
      <c r="C13" t="s">
        <v>9</v>
      </c>
      <c r="D13" t="s">
        <v>60</v>
      </c>
      <c r="E13" t="s">
        <v>49</v>
      </c>
      <c r="F13" t="s">
        <v>61</v>
      </c>
    </row>
    <row r="14" spans="1:7">
      <c r="A14">
        <v>2002</v>
      </c>
      <c r="B14" t="s">
        <v>8</v>
      </c>
      <c r="C14" t="s">
        <v>9</v>
      </c>
      <c r="D14" t="s">
        <v>60</v>
      </c>
      <c r="E14" t="s">
        <v>49</v>
      </c>
      <c r="F14" t="s">
        <v>62</v>
      </c>
    </row>
    <row r="15" spans="1:7">
      <c r="A15">
        <v>2003</v>
      </c>
      <c r="B15" t="s">
        <v>8</v>
      </c>
      <c r="C15" t="s">
        <v>9</v>
      </c>
      <c r="D15" t="s">
        <v>60</v>
      </c>
      <c r="E15" t="s">
        <v>49</v>
      </c>
      <c r="F15" t="s">
        <v>63</v>
      </c>
    </row>
    <row r="16" spans="1:7">
      <c r="A16">
        <v>2004</v>
      </c>
      <c r="B16" t="s">
        <v>8</v>
      </c>
      <c r="C16" t="s">
        <v>9</v>
      </c>
      <c r="D16" t="s">
        <v>60</v>
      </c>
      <c r="E16" t="s">
        <v>49</v>
      </c>
      <c r="F16" t="s">
        <v>64</v>
      </c>
    </row>
    <row r="17" spans="1:6">
      <c r="A17">
        <v>2005</v>
      </c>
      <c r="B17" t="s">
        <v>8</v>
      </c>
      <c r="C17" t="s">
        <v>9</v>
      </c>
      <c r="D17" t="s">
        <v>60</v>
      </c>
      <c r="E17" t="s">
        <v>49</v>
      </c>
      <c r="F17" t="s">
        <v>65</v>
      </c>
    </row>
    <row r="18" spans="1:6">
      <c r="A18">
        <v>2006</v>
      </c>
      <c r="B18" t="s">
        <v>8</v>
      </c>
      <c r="C18" t="s">
        <v>9</v>
      </c>
      <c r="D18" t="s">
        <v>60</v>
      </c>
      <c r="E18" t="s">
        <v>66</v>
      </c>
      <c r="F18" t="s">
        <v>67</v>
      </c>
    </row>
    <row r="19" spans="1:6">
      <c r="A19">
        <v>2007</v>
      </c>
      <c r="B19" t="s">
        <v>8</v>
      </c>
      <c r="C19" t="s">
        <v>9</v>
      </c>
      <c r="D19" t="s">
        <v>60</v>
      </c>
      <c r="E19" t="s">
        <v>66</v>
      </c>
      <c r="F19" t="s">
        <v>68</v>
      </c>
    </row>
    <row r="20" spans="1:6">
      <c r="A20">
        <v>2008</v>
      </c>
      <c r="B20" t="s">
        <v>8</v>
      </c>
      <c r="C20" t="s">
        <v>9</v>
      </c>
      <c r="D20" t="s">
        <v>60</v>
      </c>
      <c r="E20" t="s">
        <v>66</v>
      </c>
      <c r="F20" t="s">
        <v>69</v>
      </c>
    </row>
    <row r="21" spans="1:6">
      <c r="A21">
        <v>2009</v>
      </c>
      <c r="B21" t="s">
        <v>8</v>
      </c>
      <c r="C21" t="s">
        <v>9</v>
      </c>
      <c r="D21" t="s">
        <v>60</v>
      </c>
      <c r="E21" t="s">
        <v>49</v>
      </c>
      <c r="F21" t="s">
        <v>70</v>
      </c>
    </row>
    <row r="22" spans="1:6">
      <c r="A22">
        <v>2010</v>
      </c>
      <c r="B22" t="s">
        <v>8</v>
      </c>
      <c r="C22" t="s">
        <v>9</v>
      </c>
      <c r="D22" t="s">
        <v>60</v>
      </c>
      <c r="E22" t="s">
        <v>49</v>
      </c>
      <c r="F22" t="s">
        <v>71</v>
      </c>
    </row>
    <row r="23" spans="1:6">
      <c r="A23">
        <v>2011</v>
      </c>
      <c r="B23" t="s">
        <v>8</v>
      </c>
      <c r="C23" t="s">
        <v>9</v>
      </c>
      <c r="D23" t="s">
        <v>60</v>
      </c>
      <c r="E23" t="s">
        <v>49</v>
      </c>
      <c r="F23" t="s">
        <v>72</v>
      </c>
    </row>
    <row r="24" spans="1:6">
      <c r="B24" t="s">
        <v>8</v>
      </c>
      <c r="C24" t="s">
        <v>9</v>
      </c>
      <c r="D24" t="s">
        <v>60</v>
      </c>
      <c r="E24" t="s">
        <v>49</v>
      </c>
      <c r="F24" t="s">
        <v>57</v>
      </c>
    </row>
    <row r="25" spans="1:6">
      <c r="B25" t="s">
        <v>8</v>
      </c>
      <c r="C25" t="s">
        <v>9</v>
      </c>
      <c r="D25" t="s">
        <v>60</v>
      </c>
      <c r="E25" t="s">
        <v>58</v>
      </c>
      <c r="F25" t="s">
        <v>59</v>
      </c>
    </row>
    <row r="26" spans="1:6">
      <c r="A26">
        <v>3000</v>
      </c>
      <c r="B26" t="s">
        <v>8</v>
      </c>
      <c r="C26" t="s">
        <v>9</v>
      </c>
      <c r="D26" t="s">
        <v>73</v>
      </c>
      <c r="E26" t="s">
        <v>48</v>
      </c>
      <c r="F26" t="s">
        <v>73</v>
      </c>
    </row>
    <row r="27" spans="1:6">
      <c r="A27">
        <v>3001</v>
      </c>
      <c r="B27" t="s">
        <v>8</v>
      </c>
      <c r="C27" t="s">
        <v>9</v>
      </c>
      <c r="D27" t="s">
        <v>73</v>
      </c>
      <c r="E27" t="s">
        <v>49</v>
      </c>
      <c r="F27" t="s">
        <v>74</v>
      </c>
    </row>
    <row r="28" spans="1:6">
      <c r="A28">
        <v>3002</v>
      </c>
      <c r="B28" t="s">
        <v>8</v>
      </c>
      <c r="C28" t="s">
        <v>9</v>
      </c>
      <c r="D28" t="s">
        <v>73</v>
      </c>
      <c r="E28" t="s">
        <v>49</v>
      </c>
      <c r="F28" t="s">
        <v>75</v>
      </c>
    </row>
    <row r="29" spans="1:6">
      <c r="A29">
        <v>3003</v>
      </c>
      <c r="B29" t="s">
        <v>8</v>
      </c>
      <c r="C29" t="s">
        <v>9</v>
      </c>
      <c r="D29" t="s">
        <v>73</v>
      </c>
      <c r="E29" t="s">
        <v>49</v>
      </c>
      <c r="F29" t="s">
        <v>76</v>
      </c>
    </row>
    <row r="30" spans="1:6">
      <c r="A30">
        <v>3004</v>
      </c>
      <c r="B30" t="s">
        <v>8</v>
      </c>
      <c r="C30" t="s">
        <v>9</v>
      </c>
      <c r="D30" t="s">
        <v>73</v>
      </c>
      <c r="E30" t="s">
        <v>49</v>
      </c>
      <c r="F30" t="s">
        <v>77</v>
      </c>
    </row>
    <row r="31" spans="1:6">
      <c r="A31">
        <v>3005</v>
      </c>
      <c r="B31" t="s">
        <v>8</v>
      </c>
      <c r="C31" t="s">
        <v>9</v>
      </c>
      <c r="D31" t="s">
        <v>73</v>
      </c>
      <c r="E31" t="s">
        <v>49</v>
      </c>
      <c r="F31" t="s">
        <v>78</v>
      </c>
    </row>
    <row r="32" spans="1:6">
      <c r="A32">
        <v>3006</v>
      </c>
      <c r="B32" t="s">
        <v>8</v>
      </c>
      <c r="C32" t="s">
        <v>9</v>
      </c>
      <c r="D32" t="s">
        <v>73</v>
      </c>
      <c r="E32" t="s">
        <v>49</v>
      </c>
      <c r="F32" t="s">
        <v>79</v>
      </c>
    </row>
    <row r="33" spans="1:6">
      <c r="A33">
        <v>3007</v>
      </c>
      <c r="B33" t="s">
        <v>8</v>
      </c>
      <c r="C33" t="s">
        <v>9</v>
      </c>
      <c r="D33" t="s">
        <v>73</v>
      </c>
      <c r="E33" t="s">
        <v>49</v>
      </c>
      <c r="F33" t="s">
        <v>80</v>
      </c>
    </row>
    <row r="34" spans="1:6">
      <c r="A34">
        <v>3008</v>
      </c>
      <c r="B34" t="s">
        <v>8</v>
      </c>
      <c r="C34" t="s">
        <v>9</v>
      </c>
      <c r="D34" t="s">
        <v>73</v>
      </c>
      <c r="E34" t="s">
        <v>49</v>
      </c>
      <c r="F34" t="s">
        <v>81</v>
      </c>
    </row>
    <row r="35" spans="1:6">
      <c r="A35">
        <v>3009</v>
      </c>
      <c r="B35" t="s">
        <v>8</v>
      </c>
      <c r="C35" t="s">
        <v>9</v>
      </c>
      <c r="D35" t="s">
        <v>73</v>
      </c>
      <c r="E35" t="s">
        <v>49</v>
      </c>
      <c r="F35" t="s">
        <v>82</v>
      </c>
    </row>
    <row r="36" spans="1:6">
      <c r="B36" t="s">
        <v>8</v>
      </c>
      <c r="C36" t="s">
        <v>9</v>
      </c>
      <c r="D36" t="s">
        <v>73</v>
      </c>
      <c r="E36" t="s">
        <v>49</v>
      </c>
      <c r="F36" t="s">
        <v>57</v>
      </c>
    </row>
    <row r="37" spans="1:6">
      <c r="B37" t="s">
        <v>8</v>
      </c>
      <c r="C37" t="s">
        <v>9</v>
      </c>
      <c r="D37" t="s">
        <v>73</v>
      </c>
      <c r="E37" t="s">
        <v>58</v>
      </c>
      <c r="F37" t="s">
        <v>59</v>
      </c>
    </row>
    <row r="38" spans="1:6">
      <c r="A38">
        <v>4000</v>
      </c>
      <c r="B38" t="s">
        <v>8</v>
      </c>
      <c r="C38" t="s">
        <v>9</v>
      </c>
      <c r="D38" t="s">
        <v>83</v>
      </c>
      <c r="E38" t="s">
        <v>48</v>
      </c>
      <c r="F38" t="s">
        <v>83</v>
      </c>
    </row>
    <row r="39" spans="1:6">
      <c r="A39">
        <v>4001</v>
      </c>
      <c r="B39" t="s">
        <v>8</v>
      </c>
      <c r="C39" t="s">
        <v>9</v>
      </c>
      <c r="D39" t="s">
        <v>83</v>
      </c>
      <c r="E39" t="s">
        <v>49</v>
      </c>
      <c r="F39" t="s">
        <v>74</v>
      </c>
    </row>
    <row r="40" spans="1:6">
      <c r="A40">
        <v>4002</v>
      </c>
      <c r="B40" t="s">
        <v>8</v>
      </c>
      <c r="C40" t="s">
        <v>9</v>
      </c>
      <c r="D40" t="s">
        <v>83</v>
      </c>
      <c r="E40" t="s">
        <v>49</v>
      </c>
      <c r="F40" t="s">
        <v>75</v>
      </c>
    </row>
    <row r="41" spans="1:6">
      <c r="A41">
        <v>4003</v>
      </c>
      <c r="B41" t="s">
        <v>8</v>
      </c>
      <c r="C41" t="s">
        <v>9</v>
      </c>
      <c r="D41" t="s">
        <v>83</v>
      </c>
      <c r="E41" t="s">
        <v>49</v>
      </c>
      <c r="F41" t="s">
        <v>76</v>
      </c>
    </row>
    <row r="42" spans="1:6">
      <c r="A42">
        <v>4004</v>
      </c>
      <c r="B42" t="s">
        <v>8</v>
      </c>
      <c r="C42" t="s">
        <v>9</v>
      </c>
      <c r="D42" t="s">
        <v>83</v>
      </c>
      <c r="E42" t="s">
        <v>49</v>
      </c>
      <c r="F42" t="s">
        <v>77</v>
      </c>
    </row>
    <row r="43" spans="1:6">
      <c r="A43">
        <v>4005</v>
      </c>
      <c r="B43" t="s">
        <v>8</v>
      </c>
      <c r="C43" t="s">
        <v>9</v>
      </c>
      <c r="D43" t="s">
        <v>83</v>
      </c>
      <c r="E43" t="s">
        <v>49</v>
      </c>
      <c r="F43" t="s">
        <v>78</v>
      </c>
    </row>
    <row r="44" spans="1:6">
      <c r="A44">
        <v>4006</v>
      </c>
      <c r="B44" t="s">
        <v>8</v>
      </c>
      <c r="C44" t="s">
        <v>9</v>
      </c>
      <c r="D44" t="s">
        <v>83</v>
      </c>
      <c r="E44" t="s">
        <v>49</v>
      </c>
      <c r="F44" t="s">
        <v>79</v>
      </c>
    </row>
    <row r="45" spans="1:6">
      <c r="A45">
        <v>4007</v>
      </c>
      <c r="B45" t="s">
        <v>8</v>
      </c>
      <c r="C45" t="s">
        <v>9</v>
      </c>
      <c r="D45" t="s">
        <v>83</v>
      </c>
      <c r="E45" t="s">
        <v>49</v>
      </c>
      <c r="F45" t="s">
        <v>80</v>
      </c>
    </row>
    <row r="46" spans="1:6">
      <c r="A46">
        <v>4008</v>
      </c>
      <c r="B46" t="s">
        <v>8</v>
      </c>
      <c r="C46" t="s">
        <v>9</v>
      </c>
      <c r="D46" t="s">
        <v>83</v>
      </c>
      <c r="E46" t="s">
        <v>49</v>
      </c>
      <c r="F46" t="s">
        <v>84</v>
      </c>
    </row>
    <row r="47" spans="1:6">
      <c r="A47">
        <v>4009</v>
      </c>
      <c r="B47" t="s">
        <v>8</v>
      </c>
      <c r="C47" t="s">
        <v>9</v>
      </c>
      <c r="D47" t="s">
        <v>83</v>
      </c>
      <c r="E47" t="s">
        <v>49</v>
      </c>
      <c r="F47" t="s">
        <v>81</v>
      </c>
    </row>
    <row r="48" spans="1:6">
      <c r="A48">
        <v>4010</v>
      </c>
      <c r="B48" t="s">
        <v>8</v>
      </c>
      <c r="C48" t="s">
        <v>9</v>
      </c>
      <c r="D48" t="s">
        <v>83</v>
      </c>
      <c r="E48" t="s">
        <v>49</v>
      </c>
      <c r="F48" t="s">
        <v>82</v>
      </c>
    </row>
    <row r="49" spans="1:6">
      <c r="B49" t="s">
        <v>8</v>
      </c>
      <c r="C49" t="s">
        <v>9</v>
      </c>
      <c r="D49" t="s">
        <v>83</v>
      </c>
      <c r="E49" t="s">
        <v>49</v>
      </c>
      <c r="F49" t="s">
        <v>57</v>
      </c>
    </row>
    <row r="50" spans="1:6">
      <c r="B50" t="s">
        <v>8</v>
      </c>
      <c r="C50" t="s">
        <v>9</v>
      </c>
      <c r="D50" t="s">
        <v>83</v>
      </c>
      <c r="E50" t="s">
        <v>58</v>
      </c>
      <c r="F50" t="s">
        <v>59</v>
      </c>
    </row>
    <row r="51" spans="1:6">
      <c r="A51">
        <v>5000</v>
      </c>
      <c r="B51" t="s">
        <v>8</v>
      </c>
      <c r="C51" t="s">
        <v>9</v>
      </c>
      <c r="D51" t="s">
        <v>85</v>
      </c>
      <c r="E51" t="s">
        <v>48</v>
      </c>
      <c r="F51" t="s">
        <v>85</v>
      </c>
    </row>
    <row r="52" spans="1:6">
      <c r="A52">
        <v>5001</v>
      </c>
      <c r="B52" t="s">
        <v>8</v>
      </c>
      <c r="C52" t="s">
        <v>9</v>
      </c>
      <c r="D52" t="s">
        <v>85</v>
      </c>
      <c r="E52" t="s">
        <v>49</v>
      </c>
      <c r="F52" t="s">
        <v>75</v>
      </c>
    </row>
    <row r="53" spans="1:6">
      <c r="A53">
        <v>5002</v>
      </c>
      <c r="B53" t="s">
        <v>8</v>
      </c>
      <c r="C53" t="s">
        <v>9</v>
      </c>
      <c r="D53" t="s">
        <v>85</v>
      </c>
      <c r="E53" t="s">
        <v>49</v>
      </c>
      <c r="F53" t="s">
        <v>86</v>
      </c>
    </row>
    <row r="54" spans="1:6">
      <c r="A54">
        <v>5003</v>
      </c>
      <c r="B54" t="s">
        <v>8</v>
      </c>
      <c r="C54" t="s">
        <v>9</v>
      </c>
      <c r="D54" t="s">
        <v>85</v>
      </c>
      <c r="E54" t="s">
        <v>49</v>
      </c>
      <c r="F54" t="s">
        <v>87</v>
      </c>
    </row>
    <row r="55" spans="1:6">
      <c r="A55">
        <v>5004</v>
      </c>
      <c r="B55" t="s">
        <v>8</v>
      </c>
      <c r="C55" t="s">
        <v>9</v>
      </c>
      <c r="D55" t="s">
        <v>85</v>
      </c>
      <c r="E55" t="s">
        <v>49</v>
      </c>
      <c r="F55" t="s">
        <v>88</v>
      </c>
    </row>
    <row r="56" spans="1:6">
      <c r="A56">
        <v>5005</v>
      </c>
      <c r="B56" t="s">
        <v>8</v>
      </c>
      <c r="C56" t="s">
        <v>9</v>
      </c>
      <c r="D56" t="s">
        <v>85</v>
      </c>
      <c r="E56" t="s">
        <v>49</v>
      </c>
      <c r="F56" t="s">
        <v>89</v>
      </c>
    </row>
    <row r="57" spans="1:6">
      <c r="A57">
        <v>5006</v>
      </c>
      <c r="B57" t="s">
        <v>8</v>
      </c>
      <c r="C57" t="s">
        <v>9</v>
      </c>
      <c r="D57" t="s">
        <v>85</v>
      </c>
      <c r="E57" t="s">
        <v>49</v>
      </c>
      <c r="F57" t="s">
        <v>90</v>
      </c>
    </row>
    <row r="58" spans="1:6">
      <c r="A58">
        <v>5007</v>
      </c>
      <c r="B58" t="s">
        <v>8</v>
      </c>
      <c r="C58" t="s">
        <v>9</v>
      </c>
      <c r="D58" t="s">
        <v>85</v>
      </c>
      <c r="E58" t="s">
        <v>49</v>
      </c>
      <c r="F58" t="s">
        <v>82</v>
      </c>
    </row>
    <row r="59" spans="1:6">
      <c r="B59" t="s">
        <v>8</v>
      </c>
      <c r="C59" t="s">
        <v>9</v>
      </c>
      <c r="D59" t="s">
        <v>85</v>
      </c>
      <c r="E59" t="s">
        <v>49</v>
      </c>
      <c r="F59" t="s">
        <v>57</v>
      </c>
    </row>
    <row r="60" spans="1:6">
      <c r="B60" t="s">
        <v>8</v>
      </c>
      <c r="C60" t="s">
        <v>9</v>
      </c>
      <c r="D60" t="s">
        <v>85</v>
      </c>
      <c r="E60" t="s">
        <v>58</v>
      </c>
      <c r="F60" t="s">
        <v>59</v>
      </c>
    </row>
    <row r="61" spans="1:6">
      <c r="A61">
        <v>6000</v>
      </c>
      <c r="B61" t="s">
        <v>8</v>
      </c>
      <c r="C61" t="s">
        <v>9</v>
      </c>
      <c r="D61" t="s">
        <v>91</v>
      </c>
      <c r="E61" t="s">
        <v>48</v>
      </c>
      <c r="F61" t="s">
        <v>91</v>
      </c>
    </row>
    <row r="62" spans="1:6">
      <c r="A62">
        <v>6001</v>
      </c>
      <c r="B62" t="s">
        <v>8</v>
      </c>
      <c r="C62" t="s">
        <v>9</v>
      </c>
      <c r="D62" t="s">
        <v>91</v>
      </c>
      <c r="E62" t="s">
        <v>49</v>
      </c>
      <c r="F62" t="s">
        <v>75</v>
      </c>
    </row>
    <row r="63" spans="1:6">
      <c r="A63">
        <v>6002</v>
      </c>
      <c r="B63" t="s">
        <v>8</v>
      </c>
      <c r="C63" t="s">
        <v>9</v>
      </c>
      <c r="D63" t="s">
        <v>91</v>
      </c>
      <c r="E63" t="s">
        <v>49</v>
      </c>
      <c r="F63" t="s">
        <v>86</v>
      </c>
    </row>
    <row r="64" spans="1:6">
      <c r="A64">
        <v>6003</v>
      </c>
      <c r="B64" t="s">
        <v>8</v>
      </c>
      <c r="C64" t="s">
        <v>9</v>
      </c>
      <c r="D64" t="s">
        <v>91</v>
      </c>
      <c r="E64" t="s">
        <v>49</v>
      </c>
      <c r="F64" t="s">
        <v>87</v>
      </c>
    </row>
    <row r="65" spans="1:6">
      <c r="A65">
        <v>6004</v>
      </c>
      <c r="B65" t="s">
        <v>8</v>
      </c>
      <c r="C65" t="s">
        <v>9</v>
      </c>
      <c r="D65" t="s">
        <v>91</v>
      </c>
      <c r="E65" t="s">
        <v>49</v>
      </c>
      <c r="F65" t="s">
        <v>92</v>
      </c>
    </row>
    <row r="66" spans="1:6">
      <c r="A66">
        <v>6005</v>
      </c>
      <c r="B66" t="s">
        <v>8</v>
      </c>
      <c r="C66" t="s">
        <v>9</v>
      </c>
      <c r="D66" t="s">
        <v>91</v>
      </c>
      <c r="E66" t="s">
        <v>49</v>
      </c>
      <c r="F66" t="s">
        <v>90</v>
      </c>
    </row>
    <row r="67" spans="1:6">
      <c r="A67">
        <v>6006</v>
      </c>
      <c r="B67" t="s">
        <v>8</v>
      </c>
      <c r="C67" t="s">
        <v>9</v>
      </c>
      <c r="D67" t="s">
        <v>91</v>
      </c>
      <c r="E67" t="s">
        <v>49</v>
      </c>
      <c r="F67" t="s">
        <v>82</v>
      </c>
    </row>
    <row r="68" spans="1:6">
      <c r="B68" t="s">
        <v>8</v>
      </c>
      <c r="C68" t="s">
        <v>9</v>
      </c>
      <c r="D68" t="s">
        <v>91</v>
      </c>
      <c r="E68" t="s">
        <v>49</v>
      </c>
      <c r="F68" t="s">
        <v>57</v>
      </c>
    </row>
    <row r="69" spans="1:6">
      <c r="B69" t="s">
        <v>8</v>
      </c>
      <c r="C69" t="s">
        <v>9</v>
      </c>
      <c r="D69" t="s">
        <v>91</v>
      </c>
      <c r="E69" t="s">
        <v>58</v>
      </c>
      <c r="F69" t="s">
        <v>59</v>
      </c>
    </row>
    <row r="70" spans="1:6">
      <c r="A70">
        <v>7000</v>
      </c>
      <c r="B70" t="s">
        <v>8</v>
      </c>
      <c r="C70" t="s">
        <v>9</v>
      </c>
      <c r="D70" t="s">
        <v>93</v>
      </c>
      <c r="E70" t="s">
        <v>48</v>
      </c>
      <c r="F70" t="s">
        <v>93</v>
      </c>
    </row>
    <row r="71" spans="1:6">
      <c r="A71">
        <v>7001</v>
      </c>
      <c r="B71" t="s">
        <v>8</v>
      </c>
      <c r="C71" t="s">
        <v>9</v>
      </c>
      <c r="D71" t="s">
        <v>93</v>
      </c>
      <c r="E71" t="s">
        <v>49</v>
      </c>
      <c r="F71" t="s">
        <v>94</v>
      </c>
    </row>
    <row r="72" spans="1:6">
      <c r="A72">
        <v>7002</v>
      </c>
      <c r="B72" t="s">
        <v>8</v>
      </c>
      <c r="C72" t="s">
        <v>9</v>
      </c>
      <c r="D72" t="s">
        <v>93</v>
      </c>
      <c r="E72" t="s">
        <v>49</v>
      </c>
      <c r="F72" t="s">
        <v>95</v>
      </c>
    </row>
    <row r="73" spans="1:6">
      <c r="A73">
        <v>7003</v>
      </c>
      <c r="B73" t="s">
        <v>8</v>
      </c>
      <c r="C73" t="s">
        <v>9</v>
      </c>
      <c r="D73" t="s">
        <v>93</v>
      </c>
      <c r="E73" t="s">
        <v>49</v>
      </c>
      <c r="F73" t="s">
        <v>96</v>
      </c>
    </row>
    <row r="74" spans="1:6">
      <c r="A74">
        <v>7004</v>
      </c>
      <c r="B74" t="s">
        <v>8</v>
      </c>
      <c r="C74" t="s">
        <v>9</v>
      </c>
      <c r="D74" t="s">
        <v>93</v>
      </c>
      <c r="E74" t="s">
        <v>66</v>
      </c>
      <c r="F74" t="s">
        <v>97</v>
      </c>
    </row>
    <row r="75" spans="1:6">
      <c r="A75">
        <v>7005</v>
      </c>
      <c r="B75" t="s">
        <v>8</v>
      </c>
      <c r="C75" t="s">
        <v>9</v>
      </c>
      <c r="D75" t="s">
        <v>93</v>
      </c>
      <c r="E75" t="s">
        <v>66</v>
      </c>
      <c r="F75" t="s">
        <v>98</v>
      </c>
    </row>
    <row r="76" spans="1:6">
      <c r="A76">
        <v>7006</v>
      </c>
      <c r="B76" t="s">
        <v>8</v>
      </c>
      <c r="C76" t="s">
        <v>9</v>
      </c>
      <c r="D76" t="s">
        <v>93</v>
      </c>
      <c r="E76" t="s">
        <v>66</v>
      </c>
      <c r="F76" t="s">
        <v>99</v>
      </c>
    </row>
    <row r="77" spans="1:6">
      <c r="A77">
        <v>7007</v>
      </c>
      <c r="B77" t="s">
        <v>8</v>
      </c>
      <c r="C77" t="s">
        <v>9</v>
      </c>
      <c r="D77" t="s">
        <v>93</v>
      </c>
      <c r="E77" t="s">
        <v>66</v>
      </c>
      <c r="F77" t="s">
        <v>100</v>
      </c>
    </row>
    <row r="78" spans="1:6">
      <c r="A78">
        <v>7008</v>
      </c>
      <c r="B78" t="s">
        <v>8</v>
      </c>
      <c r="C78" t="s">
        <v>9</v>
      </c>
      <c r="D78" t="s">
        <v>93</v>
      </c>
      <c r="E78" t="s">
        <v>49</v>
      </c>
      <c r="F78" t="s">
        <v>101</v>
      </c>
    </row>
    <row r="79" spans="1:6">
      <c r="A79">
        <v>7009</v>
      </c>
      <c r="B79" t="s">
        <v>8</v>
      </c>
      <c r="C79" t="s">
        <v>9</v>
      </c>
      <c r="D79" t="s">
        <v>93</v>
      </c>
      <c r="E79" t="s">
        <v>49</v>
      </c>
      <c r="F79" t="s">
        <v>102</v>
      </c>
    </row>
    <row r="80" spans="1:6">
      <c r="B80" t="s">
        <v>8</v>
      </c>
      <c r="C80" t="s">
        <v>9</v>
      </c>
      <c r="D80" t="s">
        <v>93</v>
      </c>
      <c r="E80" t="s">
        <v>49</v>
      </c>
      <c r="F80" t="s">
        <v>57</v>
      </c>
    </row>
    <row r="81" spans="1:6">
      <c r="B81" t="s">
        <v>8</v>
      </c>
      <c r="C81" t="s">
        <v>9</v>
      </c>
      <c r="D81" t="s">
        <v>93</v>
      </c>
      <c r="E81" t="s">
        <v>58</v>
      </c>
      <c r="F81" t="s">
        <v>59</v>
      </c>
    </row>
    <row r="82" spans="1:6">
      <c r="A82">
        <v>18000</v>
      </c>
      <c r="B82" t="s">
        <v>13</v>
      </c>
      <c r="C82" t="s">
        <v>9</v>
      </c>
      <c r="D82" t="s">
        <v>103</v>
      </c>
      <c r="E82" t="s">
        <v>48</v>
      </c>
      <c r="F82" t="s">
        <v>103</v>
      </c>
    </row>
    <row r="83" spans="1:6">
      <c r="A83">
        <v>18001</v>
      </c>
      <c r="B83" t="s">
        <v>13</v>
      </c>
      <c r="C83" t="s">
        <v>9</v>
      </c>
      <c r="D83" t="s">
        <v>103</v>
      </c>
      <c r="E83" t="s">
        <v>49</v>
      </c>
      <c r="F83" t="s">
        <v>104</v>
      </c>
    </row>
    <row r="84" spans="1:6">
      <c r="A84">
        <v>18002</v>
      </c>
      <c r="B84" t="s">
        <v>13</v>
      </c>
      <c r="C84" t="s">
        <v>9</v>
      </c>
      <c r="D84" t="s">
        <v>103</v>
      </c>
      <c r="E84" t="s">
        <v>49</v>
      </c>
      <c r="F84" t="s">
        <v>105</v>
      </c>
    </row>
    <row r="85" spans="1:6">
      <c r="A85">
        <v>18003</v>
      </c>
      <c r="B85" t="s">
        <v>13</v>
      </c>
      <c r="C85" t="s">
        <v>9</v>
      </c>
      <c r="D85" t="s">
        <v>103</v>
      </c>
      <c r="E85" t="s">
        <v>49</v>
      </c>
      <c r="F85" t="s">
        <v>106</v>
      </c>
    </row>
    <row r="86" spans="1:6">
      <c r="A86">
        <v>18004</v>
      </c>
      <c r="B86" t="s">
        <v>13</v>
      </c>
      <c r="C86" t="s">
        <v>9</v>
      </c>
      <c r="D86" t="s">
        <v>103</v>
      </c>
      <c r="E86" t="s">
        <v>49</v>
      </c>
      <c r="F86" t="s">
        <v>107</v>
      </c>
    </row>
    <row r="87" spans="1:6">
      <c r="A87">
        <v>18005</v>
      </c>
      <c r="B87" t="s">
        <v>13</v>
      </c>
      <c r="C87" t="s">
        <v>9</v>
      </c>
      <c r="D87" t="s">
        <v>103</v>
      </c>
      <c r="E87" t="s">
        <v>49</v>
      </c>
      <c r="F87" t="s">
        <v>108</v>
      </c>
    </row>
    <row r="88" spans="1:6">
      <c r="A88">
        <v>18006</v>
      </c>
      <c r="B88" t="s">
        <v>13</v>
      </c>
      <c r="C88" t="s">
        <v>9</v>
      </c>
      <c r="D88" t="s">
        <v>103</v>
      </c>
      <c r="E88" t="s">
        <v>49</v>
      </c>
      <c r="F88" t="s">
        <v>109</v>
      </c>
    </row>
    <row r="89" spans="1:6">
      <c r="A89">
        <v>18007</v>
      </c>
      <c r="B89" t="s">
        <v>13</v>
      </c>
      <c r="C89" t="s">
        <v>9</v>
      </c>
      <c r="D89" t="s">
        <v>103</v>
      </c>
      <c r="E89" t="s">
        <v>49</v>
      </c>
      <c r="F89" t="s">
        <v>110</v>
      </c>
    </row>
    <row r="90" spans="1:6">
      <c r="A90">
        <v>18008</v>
      </c>
      <c r="B90" t="s">
        <v>13</v>
      </c>
      <c r="C90" t="s">
        <v>9</v>
      </c>
      <c r="D90" t="s">
        <v>103</v>
      </c>
      <c r="E90" t="s">
        <v>49</v>
      </c>
      <c r="F90" t="s">
        <v>111</v>
      </c>
    </row>
    <row r="91" spans="1:6">
      <c r="B91" t="s">
        <v>13</v>
      </c>
      <c r="C91" t="s">
        <v>9</v>
      </c>
      <c r="D91" t="s">
        <v>103</v>
      </c>
      <c r="E91" t="s">
        <v>49</v>
      </c>
      <c r="F91" t="s">
        <v>57</v>
      </c>
    </row>
    <row r="92" spans="1:6">
      <c r="B92" t="s">
        <v>13</v>
      </c>
      <c r="C92" t="s">
        <v>9</v>
      </c>
      <c r="D92" t="s">
        <v>103</v>
      </c>
      <c r="E92" t="s">
        <v>58</v>
      </c>
      <c r="F92" t="s">
        <v>59</v>
      </c>
    </row>
    <row r="93" spans="1:6">
      <c r="A93">
        <v>19000</v>
      </c>
      <c r="B93" t="s">
        <v>13</v>
      </c>
      <c r="C93" t="s">
        <v>9</v>
      </c>
      <c r="D93" t="s">
        <v>112</v>
      </c>
      <c r="E93" t="s">
        <v>48</v>
      </c>
      <c r="F93" t="s">
        <v>112</v>
      </c>
    </row>
    <row r="94" spans="1:6">
      <c r="A94">
        <v>19001</v>
      </c>
      <c r="B94" t="s">
        <v>13</v>
      </c>
      <c r="C94" t="s">
        <v>9</v>
      </c>
      <c r="D94" t="s">
        <v>112</v>
      </c>
      <c r="E94" t="s">
        <v>49</v>
      </c>
      <c r="F94" t="s">
        <v>104</v>
      </c>
    </row>
    <row r="95" spans="1:6">
      <c r="A95">
        <v>19002</v>
      </c>
      <c r="B95" t="s">
        <v>13</v>
      </c>
      <c r="C95" t="s">
        <v>9</v>
      </c>
      <c r="D95" t="s">
        <v>112</v>
      </c>
      <c r="E95" t="s">
        <v>49</v>
      </c>
      <c r="F95" t="s">
        <v>113</v>
      </c>
    </row>
    <row r="96" spans="1:6">
      <c r="A96">
        <v>19003</v>
      </c>
      <c r="B96" t="s">
        <v>13</v>
      </c>
      <c r="C96" t="s">
        <v>9</v>
      </c>
      <c r="D96" t="s">
        <v>112</v>
      </c>
      <c r="E96" t="s">
        <v>49</v>
      </c>
      <c r="F96" t="s">
        <v>114</v>
      </c>
    </row>
    <row r="97" spans="1:7">
      <c r="A97">
        <v>19004</v>
      </c>
      <c r="B97" t="s">
        <v>13</v>
      </c>
      <c r="C97" t="s">
        <v>9</v>
      </c>
      <c r="D97" t="s">
        <v>112</v>
      </c>
      <c r="E97" t="s">
        <v>49</v>
      </c>
      <c r="F97" t="s">
        <v>115</v>
      </c>
    </row>
    <row r="98" spans="1:7">
      <c r="A98">
        <v>19005</v>
      </c>
      <c r="B98" t="s">
        <v>13</v>
      </c>
      <c r="C98" t="s">
        <v>9</v>
      </c>
      <c r="D98" t="s">
        <v>112</v>
      </c>
      <c r="E98" t="s">
        <v>49</v>
      </c>
      <c r="F98" t="s">
        <v>116</v>
      </c>
    </row>
    <row r="99" spans="1:7">
      <c r="A99">
        <v>19006</v>
      </c>
      <c r="B99" t="s">
        <v>13</v>
      </c>
      <c r="C99" t="s">
        <v>9</v>
      </c>
      <c r="D99" t="s">
        <v>112</v>
      </c>
      <c r="E99" t="s">
        <v>66</v>
      </c>
      <c r="F99" t="s">
        <v>107</v>
      </c>
    </row>
    <row r="100" spans="1:7">
      <c r="A100">
        <v>19007</v>
      </c>
      <c r="B100" t="s">
        <v>13</v>
      </c>
      <c r="C100" t="s">
        <v>9</v>
      </c>
      <c r="D100" t="s">
        <v>112</v>
      </c>
      <c r="E100" t="s">
        <v>66</v>
      </c>
      <c r="F100" t="s">
        <v>117</v>
      </c>
    </row>
    <row r="101" spans="1:7">
      <c r="B101" t="s">
        <v>13</v>
      </c>
      <c r="C101" t="s">
        <v>9</v>
      </c>
      <c r="D101" t="s">
        <v>112</v>
      </c>
      <c r="E101" t="s">
        <v>49</v>
      </c>
      <c r="F101" t="s">
        <v>57</v>
      </c>
    </row>
    <row r="102" spans="1:7">
      <c r="B102" t="s">
        <v>13</v>
      </c>
      <c r="C102" t="s">
        <v>9</v>
      </c>
      <c r="D102" t="s">
        <v>112</v>
      </c>
      <c r="E102" t="s">
        <v>58</v>
      </c>
      <c r="F102" t="s">
        <v>59</v>
      </c>
    </row>
    <row r="103" spans="1:7">
      <c r="A103">
        <v>20000</v>
      </c>
      <c r="B103" t="s">
        <v>13</v>
      </c>
      <c r="C103" t="s">
        <v>9</v>
      </c>
      <c r="D103" t="s">
        <v>118</v>
      </c>
      <c r="E103" t="s">
        <v>119</v>
      </c>
      <c r="F103" t="s">
        <v>118</v>
      </c>
    </row>
    <row r="104" spans="1:7">
      <c r="A104">
        <v>20001</v>
      </c>
      <c r="B104" t="s">
        <v>13</v>
      </c>
      <c r="C104" t="s">
        <v>9</v>
      </c>
      <c r="D104" t="s">
        <v>118</v>
      </c>
      <c r="E104" t="s">
        <v>120</v>
      </c>
      <c r="F104" t="s">
        <v>121</v>
      </c>
      <c r="G104" t="s">
        <v>122</v>
      </c>
    </row>
    <row r="105" spans="1:7">
      <c r="A105">
        <v>20002</v>
      </c>
      <c r="B105" t="s">
        <v>13</v>
      </c>
      <c r="C105" t="s">
        <v>9</v>
      </c>
      <c r="D105" t="s">
        <v>118</v>
      </c>
      <c r="E105" t="s">
        <v>49</v>
      </c>
      <c r="F105" t="s">
        <v>123</v>
      </c>
    </row>
    <row r="106" spans="1:7">
      <c r="A106">
        <v>20003</v>
      </c>
      <c r="B106" t="s">
        <v>13</v>
      </c>
      <c r="C106" t="s">
        <v>9</v>
      </c>
      <c r="D106" t="s">
        <v>118</v>
      </c>
      <c r="E106" t="s">
        <v>124</v>
      </c>
      <c r="F106" t="s">
        <v>125</v>
      </c>
    </row>
    <row r="107" spans="1:7">
      <c r="A107">
        <v>20004</v>
      </c>
      <c r="B107" t="s">
        <v>13</v>
      </c>
      <c r="C107" t="s">
        <v>9</v>
      </c>
      <c r="D107" t="s">
        <v>118</v>
      </c>
      <c r="E107" t="s">
        <v>124</v>
      </c>
      <c r="F107" t="s">
        <v>126</v>
      </c>
    </row>
    <row r="108" spans="1:7">
      <c r="A108">
        <v>20005</v>
      </c>
      <c r="B108" t="s">
        <v>13</v>
      </c>
      <c r="C108" t="s">
        <v>9</v>
      </c>
      <c r="D108" t="s">
        <v>118</v>
      </c>
      <c r="E108" t="s">
        <v>66</v>
      </c>
      <c r="F108" t="s">
        <v>127</v>
      </c>
      <c r="G108" t="s">
        <v>128</v>
      </c>
    </row>
    <row r="109" spans="1:7">
      <c r="A109">
        <v>20006</v>
      </c>
      <c r="B109" t="s">
        <v>13</v>
      </c>
      <c r="C109" t="s">
        <v>9</v>
      </c>
      <c r="D109" t="s">
        <v>118</v>
      </c>
      <c r="E109" t="s">
        <v>124</v>
      </c>
      <c r="F109" t="s">
        <v>129</v>
      </c>
    </row>
    <row r="110" spans="1:7">
      <c r="A110">
        <v>20007</v>
      </c>
      <c r="B110" t="s">
        <v>13</v>
      </c>
      <c r="C110" t="s">
        <v>9</v>
      </c>
      <c r="D110" t="s">
        <v>118</v>
      </c>
      <c r="E110" t="s">
        <v>49</v>
      </c>
      <c r="F110" t="s">
        <v>130</v>
      </c>
    </row>
    <row r="111" spans="1:7">
      <c r="A111">
        <v>20008</v>
      </c>
      <c r="B111" t="s">
        <v>13</v>
      </c>
      <c r="C111" t="s">
        <v>9</v>
      </c>
      <c r="D111" t="s">
        <v>118</v>
      </c>
      <c r="E111" t="s">
        <v>131</v>
      </c>
      <c r="F111" t="s">
        <v>132</v>
      </c>
      <c r="G111" t="s">
        <v>133</v>
      </c>
    </row>
    <row r="112" spans="1:7">
      <c r="A112">
        <v>20009</v>
      </c>
      <c r="B112" t="s">
        <v>13</v>
      </c>
      <c r="C112" t="s">
        <v>9</v>
      </c>
      <c r="D112" t="s">
        <v>118</v>
      </c>
      <c r="E112" t="s">
        <v>124</v>
      </c>
      <c r="F112" t="s">
        <v>134</v>
      </c>
    </row>
    <row r="113" spans="1:6">
      <c r="A113">
        <v>20010</v>
      </c>
      <c r="B113" t="s">
        <v>13</v>
      </c>
      <c r="C113" t="s">
        <v>9</v>
      </c>
      <c r="D113" t="s">
        <v>118</v>
      </c>
      <c r="E113" t="s">
        <v>124</v>
      </c>
      <c r="F113" t="s">
        <v>135</v>
      </c>
    </row>
    <row r="114" spans="1:6">
      <c r="A114">
        <v>20011</v>
      </c>
      <c r="B114" t="s">
        <v>13</v>
      </c>
      <c r="C114" t="s">
        <v>9</v>
      </c>
      <c r="D114" t="s">
        <v>118</v>
      </c>
      <c r="E114" t="s">
        <v>66</v>
      </c>
      <c r="F114" t="s">
        <v>136</v>
      </c>
    </row>
    <row r="115" spans="1:6">
      <c r="A115">
        <v>20012</v>
      </c>
      <c r="B115" t="s">
        <v>13</v>
      </c>
      <c r="C115" t="s">
        <v>9</v>
      </c>
      <c r="D115" t="s">
        <v>118</v>
      </c>
      <c r="E115" t="s">
        <v>66</v>
      </c>
      <c r="F115" t="s">
        <v>137</v>
      </c>
    </row>
    <row r="116" spans="1:6">
      <c r="A116">
        <v>20013</v>
      </c>
      <c r="B116" t="s">
        <v>13</v>
      </c>
      <c r="C116" t="s">
        <v>9</v>
      </c>
      <c r="D116" t="s">
        <v>118</v>
      </c>
      <c r="E116" t="s">
        <v>49</v>
      </c>
      <c r="F116" t="s">
        <v>138</v>
      </c>
    </row>
    <row r="117" spans="1:6">
      <c r="A117">
        <v>20014</v>
      </c>
      <c r="B117" t="s">
        <v>13</v>
      </c>
      <c r="C117" t="s">
        <v>9</v>
      </c>
      <c r="D117" t="s">
        <v>118</v>
      </c>
      <c r="E117" t="s">
        <v>124</v>
      </c>
      <c r="F117" t="s">
        <v>139</v>
      </c>
    </row>
    <row r="118" spans="1:6">
      <c r="A118">
        <v>20015</v>
      </c>
      <c r="B118" t="s">
        <v>13</v>
      </c>
      <c r="C118" t="s">
        <v>9</v>
      </c>
      <c r="D118" t="s">
        <v>118</v>
      </c>
      <c r="E118" t="s">
        <v>124</v>
      </c>
      <c r="F118" t="s">
        <v>140</v>
      </c>
    </row>
    <row r="119" spans="1:6">
      <c r="A119">
        <v>20016</v>
      </c>
      <c r="B119" t="s">
        <v>13</v>
      </c>
      <c r="C119" t="s">
        <v>9</v>
      </c>
      <c r="D119" t="s">
        <v>118</v>
      </c>
      <c r="E119" t="s">
        <v>124</v>
      </c>
      <c r="F119" t="s">
        <v>141</v>
      </c>
    </row>
    <row r="120" spans="1:6">
      <c r="A120">
        <v>20017</v>
      </c>
      <c r="B120" t="s">
        <v>13</v>
      </c>
      <c r="C120" t="s">
        <v>9</v>
      </c>
      <c r="D120" t="s">
        <v>118</v>
      </c>
      <c r="E120" t="s">
        <v>124</v>
      </c>
      <c r="F120" t="s">
        <v>142</v>
      </c>
    </row>
    <row r="121" spans="1:6">
      <c r="A121">
        <v>20018</v>
      </c>
      <c r="B121" t="s">
        <v>13</v>
      </c>
      <c r="C121" t="s">
        <v>9</v>
      </c>
      <c r="D121" t="s">
        <v>118</v>
      </c>
      <c r="E121" t="s">
        <v>124</v>
      </c>
      <c r="F121" t="s">
        <v>143</v>
      </c>
    </row>
    <row r="122" spans="1:6">
      <c r="A122">
        <v>20019</v>
      </c>
      <c r="B122" t="s">
        <v>13</v>
      </c>
      <c r="C122" t="s">
        <v>9</v>
      </c>
      <c r="D122" t="s">
        <v>118</v>
      </c>
      <c r="E122" t="s">
        <v>124</v>
      </c>
      <c r="F122" t="s">
        <v>144</v>
      </c>
    </row>
    <row r="123" spans="1:6">
      <c r="A123">
        <v>20020</v>
      </c>
      <c r="B123" t="s">
        <v>13</v>
      </c>
      <c r="C123" t="s">
        <v>9</v>
      </c>
      <c r="D123" t="s">
        <v>118</v>
      </c>
      <c r="E123" t="s">
        <v>49</v>
      </c>
      <c r="F123" t="s">
        <v>145</v>
      </c>
    </row>
    <row r="124" spans="1:6">
      <c r="A124">
        <v>20021</v>
      </c>
      <c r="B124" t="s">
        <v>13</v>
      </c>
      <c r="C124" t="s">
        <v>9</v>
      </c>
      <c r="D124" t="s">
        <v>118</v>
      </c>
      <c r="E124" t="s">
        <v>124</v>
      </c>
      <c r="F124" t="s">
        <v>139</v>
      </c>
    </row>
    <row r="125" spans="1:6">
      <c r="A125">
        <v>20022</v>
      </c>
      <c r="B125" t="s">
        <v>13</v>
      </c>
      <c r="C125" t="s">
        <v>9</v>
      </c>
      <c r="D125" t="s">
        <v>118</v>
      </c>
      <c r="E125" t="s">
        <v>124</v>
      </c>
      <c r="F125" t="s">
        <v>140</v>
      </c>
    </row>
    <row r="126" spans="1:6">
      <c r="A126">
        <v>20023</v>
      </c>
      <c r="B126" t="s">
        <v>13</v>
      </c>
      <c r="C126" t="s">
        <v>9</v>
      </c>
      <c r="D126" t="s">
        <v>118</v>
      </c>
      <c r="E126" t="s">
        <v>124</v>
      </c>
      <c r="F126" t="s">
        <v>146</v>
      </c>
    </row>
    <row r="127" spans="1:6">
      <c r="A127">
        <v>20024</v>
      </c>
      <c r="B127" t="s">
        <v>13</v>
      </c>
      <c r="C127" t="s">
        <v>9</v>
      </c>
      <c r="D127" t="s">
        <v>118</v>
      </c>
      <c r="E127" t="s">
        <v>124</v>
      </c>
      <c r="F127" t="s">
        <v>147</v>
      </c>
    </row>
    <row r="128" spans="1:6">
      <c r="A128">
        <v>20025</v>
      </c>
      <c r="B128" t="s">
        <v>13</v>
      </c>
      <c r="C128" t="s">
        <v>9</v>
      </c>
      <c r="D128" t="s">
        <v>118</v>
      </c>
      <c r="E128" t="s">
        <v>124</v>
      </c>
      <c r="F128" t="s">
        <v>148</v>
      </c>
    </row>
    <row r="129" spans="1:7">
      <c r="A129">
        <v>20026</v>
      </c>
      <c r="B129" t="s">
        <v>13</v>
      </c>
      <c r="C129" t="s">
        <v>9</v>
      </c>
      <c r="D129" t="s">
        <v>118</v>
      </c>
      <c r="E129" t="s">
        <v>124</v>
      </c>
      <c r="F129" t="s">
        <v>149</v>
      </c>
    </row>
    <row r="130" spans="1:7">
      <c r="A130">
        <v>20027</v>
      </c>
      <c r="B130" t="s">
        <v>13</v>
      </c>
      <c r="C130" t="s">
        <v>9</v>
      </c>
      <c r="D130" t="s">
        <v>118</v>
      </c>
      <c r="E130" t="s">
        <v>124</v>
      </c>
      <c r="F130" t="s">
        <v>144</v>
      </c>
    </row>
    <row r="131" spans="1:7">
      <c r="A131">
        <v>20028</v>
      </c>
      <c r="B131" t="s">
        <v>13</v>
      </c>
      <c r="C131" t="s">
        <v>9</v>
      </c>
      <c r="D131" t="s">
        <v>118</v>
      </c>
      <c r="E131" t="s">
        <v>124</v>
      </c>
      <c r="F131" t="s">
        <v>150</v>
      </c>
    </row>
    <row r="132" spans="1:7">
      <c r="A132">
        <v>20029</v>
      </c>
      <c r="B132" t="s">
        <v>13</v>
      </c>
      <c r="C132" t="s">
        <v>9</v>
      </c>
      <c r="D132" t="s">
        <v>118</v>
      </c>
      <c r="E132" t="s">
        <v>124</v>
      </c>
      <c r="F132" t="s">
        <v>151</v>
      </c>
    </row>
    <row r="133" spans="1:7">
      <c r="A133">
        <v>20030</v>
      </c>
      <c r="B133" t="s">
        <v>13</v>
      </c>
      <c r="C133" t="s">
        <v>9</v>
      </c>
      <c r="D133" t="s">
        <v>118</v>
      </c>
      <c r="E133" t="s">
        <v>131</v>
      </c>
      <c r="F133" t="s">
        <v>152</v>
      </c>
      <c r="G133" t="s">
        <v>153</v>
      </c>
    </row>
    <row r="134" spans="1:7">
      <c r="A134">
        <v>20031</v>
      </c>
      <c r="B134" t="s">
        <v>13</v>
      </c>
      <c r="C134" t="s">
        <v>9</v>
      </c>
      <c r="D134" t="s">
        <v>118</v>
      </c>
      <c r="E134" t="s">
        <v>124</v>
      </c>
      <c r="F134" t="s">
        <v>154</v>
      </c>
    </row>
    <row r="135" spans="1:7">
      <c r="A135">
        <v>20032</v>
      </c>
      <c r="B135" t="s">
        <v>13</v>
      </c>
      <c r="C135" t="s">
        <v>9</v>
      </c>
      <c r="D135" t="s">
        <v>118</v>
      </c>
      <c r="E135" t="s">
        <v>66</v>
      </c>
      <c r="F135" t="s">
        <v>155</v>
      </c>
      <c r="G135" t="s">
        <v>153</v>
      </c>
    </row>
    <row r="136" spans="1:7">
      <c r="A136">
        <v>20033</v>
      </c>
      <c r="B136" t="s">
        <v>13</v>
      </c>
      <c r="C136" t="s">
        <v>9</v>
      </c>
      <c r="D136" t="s">
        <v>118</v>
      </c>
      <c r="E136" t="s">
        <v>131</v>
      </c>
      <c r="F136" t="s">
        <v>156</v>
      </c>
      <c r="G136" t="s">
        <v>157</v>
      </c>
    </row>
    <row r="137" spans="1:7">
      <c r="A137">
        <v>20034</v>
      </c>
      <c r="B137" t="s">
        <v>13</v>
      </c>
      <c r="C137" t="s">
        <v>9</v>
      </c>
      <c r="D137" t="s">
        <v>118</v>
      </c>
      <c r="E137" t="s">
        <v>124</v>
      </c>
      <c r="F137" t="s">
        <v>158</v>
      </c>
    </row>
    <row r="138" spans="1:7">
      <c r="A138">
        <v>20035</v>
      </c>
      <c r="B138" t="s">
        <v>13</v>
      </c>
      <c r="C138" t="s">
        <v>9</v>
      </c>
      <c r="D138" t="s">
        <v>118</v>
      </c>
      <c r="E138" t="s">
        <v>49</v>
      </c>
      <c r="F138" t="s">
        <v>159</v>
      </c>
    </row>
    <row r="139" spans="1:7">
      <c r="A139">
        <v>20036</v>
      </c>
      <c r="B139" t="s">
        <v>13</v>
      </c>
      <c r="C139" t="s">
        <v>9</v>
      </c>
      <c r="D139" t="s">
        <v>118</v>
      </c>
      <c r="E139" t="s">
        <v>124</v>
      </c>
      <c r="F139" t="s">
        <v>160</v>
      </c>
    </row>
    <row r="140" spans="1:7">
      <c r="A140">
        <v>20037</v>
      </c>
      <c r="B140" t="s">
        <v>13</v>
      </c>
      <c r="C140" t="s">
        <v>9</v>
      </c>
      <c r="D140" t="s">
        <v>118</v>
      </c>
      <c r="E140" t="s">
        <v>124</v>
      </c>
      <c r="F140" t="s">
        <v>161</v>
      </c>
    </row>
    <row r="141" spans="1:7">
      <c r="A141">
        <v>20038</v>
      </c>
      <c r="B141" t="s">
        <v>13</v>
      </c>
      <c r="C141" t="s">
        <v>9</v>
      </c>
      <c r="D141" t="s">
        <v>118</v>
      </c>
      <c r="E141" t="s">
        <v>124</v>
      </c>
      <c r="F141" t="s">
        <v>162</v>
      </c>
    </row>
    <row r="142" spans="1:7">
      <c r="A142">
        <v>20039</v>
      </c>
      <c r="B142" t="s">
        <v>13</v>
      </c>
      <c r="C142" t="s">
        <v>9</v>
      </c>
      <c r="D142" t="s">
        <v>118</v>
      </c>
      <c r="E142" t="s">
        <v>124</v>
      </c>
      <c r="F142" t="s">
        <v>163</v>
      </c>
    </row>
    <row r="143" spans="1:7">
      <c r="A143">
        <v>20040</v>
      </c>
      <c r="B143" t="s">
        <v>13</v>
      </c>
      <c r="C143" t="s">
        <v>9</v>
      </c>
      <c r="D143" t="s">
        <v>118</v>
      </c>
      <c r="E143" t="s">
        <v>124</v>
      </c>
      <c r="F143" t="s">
        <v>164</v>
      </c>
    </row>
    <row r="144" spans="1:7">
      <c r="A144">
        <v>20041</v>
      </c>
      <c r="B144" t="s">
        <v>13</v>
      </c>
      <c r="C144" t="s">
        <v>9</v>
      </c>
      <c r="D144" t="s">
        <v>118</v>
      </c>
      <c r="E144" t="s">
        <v>120</v>
      </c>
      <c r="F144" t="s">
        <v>165</v>
      </c>
      <c r="G144" t="s">
        <v>122</v>
      </c>
    </row>
    <row r="145" spans="1:7">
      <c r="A145">
        <v>20042</v>
      </c>
      <c r="B145" t="s">
        <v>13</v>
      </c>
      <c r="C145" t="s">
        <v>9</v>
      </c>
      <c r="D145" t="s">
        <v>118</v>
      </c>
      <c r="E145" t="s">
        <v>49</v>
      </c>
      <c r="F145" t="s">
        <v>166</v>
      </c>
    </row>
    <row r="146" spans="1:7">
      <c r="A146">
        <v>20043</v>
      </c>
      <c r="B146" t="s">
        <v>13</v>
      </c>
      <c r="C146" t="s">
        <v>9</v>
      </c>
      <c r="D146" t="s">
        <v>118</v>
      </c>
      <c r="E146" t="s">
        <v>49</v>
      </c>
      <c r="F146" t="s">
        <v>167</v>
      </c>
    </row>
    <row r="147" spans="1:7">
      <c r="A147">
        <v>20044</v>
      </c>
      <c r="B147" t="s">
        <v>13</v>
      </c>
      <c r="C147" t="s">
        <v>9</v>
      </c>
      <c r="D147" t="s">
        <v>118</v>
      </c>
      <c r="E147" t="s">
        <v>49</v>
      </c>
      <c r="F147" t="s">
        <v>168</v>
      </c>
    </row>
    <row r="148" spans="1:7">
      <c r="A148">
        <v>20045</v>
      </c>
      <c r="B148" t="s">
        <v>13</v>
      </c>
      <c r="C148" t="s">
        <v>9</v>
      </c>
      <c r="D148" t="s">
        <v>118</v>
      </c>
      <c r="E148" t="s">
        <v>49</v>
      </c>
      <c r="F148" t="s">
        <v>169</v>
      </c>
    </row>
    <row r="149" spans="1:7">
      <c r="A149">
        <v>20046</v>
      </c>
      <c r="B149" t="s">
        <v>13</v>
      </c>
      <c r="C149" t="s">
        <v>9</v>
      </c>
      <c r="D149" t="s">
        <v>118</v>
      </c>
      <c r="E149" t="s">
        <v>124</v>
      </c>
      <c r="F149" t="s">
        <v>170</v>
      </c>
    </row>
    <row r="150" spans="1:7">
      <c r="A150">
        <v>20047</v>
      </c>
      <c r="B150" t="s">
        <v>13</v>
      </c>
      <c r="C150" t="s">
        <v>9</v>
      </c>
      <c r="D150" t="s">
        <v>118</v>
      </c>
      <c r="E150" t="s">
        <v>49</v>
      </c>
      <c r="F150" t="s">
        <v>171</v>
      </c>
    </row>
    <row r="151" spans="1:7">
      <c r="A151">
        <v>20048</v>
      </c>
      <c r="B151" t="s">
        <v>13</v>
      </c>
      <c r="C151" t="s">
        <v>9</v>
      </c>
      <c r="D151" t="s">
        <v>118</v>
      </c>
      <c r="E151" t="s">
        <v>58</v>
      </c>
      <c r="F151" t="s">
        <v>172</v>
      </c>
    </row>
    <row r="152" spans="1:7">
      <c r="A152">
        <v>20049</v>
      </c>
      <c r="B152" t="s">
        <v>13</v>
      </c>
      <c r="C152" t="s">
        <v>9</v>
      </c>
      <c r="D152" t="s">
        <v>118</v>
      </c>
      <c r="E152" t="s">
        <v>120</v>
      </c>
      <c r="F152" t="s">
        <v>173</v>
      </c>
      <c r="G152" t="s">
        <v>122</v>
      </c>
    </row>
    <row r="153" spans="1:7">
      <c r="A153">
        <v>20050</v>
      </c>
      <c r="B153" t="s">
        <v>13</v>
      </c>
      <c r="C153" t="s">
        <v>9</v>
      </c>
      <c r="D153" t="s">
        <v>118</v>
      </c>
      <c r="E153" t="s">
        <v>49</v>
      </c>
      <c r="F153" t="s">
        <v>174</v>
      </c>
    </row>
    <row r="154" spans="1:7">
      <c r="A154">
        <v>20051</v>
      </c>
      <c r="B154" t="s">
        <v>13</v>
      </c>
      <c r="C154" t="s">
        <v>9</v>
      </c>
      <c r="D154" t="s">
        <v>118</v>
      </c>
      <c r="E154" t="s">
        <v>124</v>
      </c>
      <c r="F154" t="s">
        <v>175</v>
      </c>
    </row>
    <row r="155" spans="1:7">
      <c r="A155">
        <v>20052</v>
      </c>
      <c r="B155" t="s">
        <v>13</v>
      </c>
      <c r="C155" t="s">
        <v>9</v>
      </c>
      <c r="D155" t="s">
        <v>118</v>
      </c>
      <c r="E155" t="s">
        <v>124</v>
      </c>
      <c r="F155" t="s">
        <v>176</v>
      </c>
    </row>
    <row r="156" spans="1:7">
      <c r="A156">
        <v>20053</v>
      </c>
      <c r="B156" t="s">
        <v>13</v>
      </c>
      <c r="C156" t="s">
        <v>9</v>
      </c>
      <c r="D156" t="s">
        <v>118</v>
      </c>
      <c r="E156" t="s">
        <v>124</v>
      </c>
      <c r="F156" t="s">
        <v>177</v>
      </c>
    </row>
    <row r="157" spans="1:7">
      <c r="A157">
        <v>20054</v>
      </c>
      <c r="B157" t="s">
        <v>13</v>
      </c>
      <c r="C157" t="s">
        <v>9</v>
      </c>
      <c r="D157" t="s">
        <v>118</v>
      </c>
      <c r="E157" t="s">
        <v>124</v>
      </c>
      <c r="F157" t="s">
        <v>178</v>
      </c>
    </row>
    <row r="158" spans="1:7">
      <c r="A158">
        <v>20055</v>
      </c>
      <c r="B158" t="s">
        <v>13</v>
      </c>
      <c r="C158" t="s">
        <v>9</v>
      </c>
      <c r="D158" t="s">
        <v>118</v>
      </c>
      <c r="E158" t="s">
        <v>124</v>
      </c>
      <c r="F158" t="s">
        <v>179</v>
      </c>
    </row>
    <row r="159" spans="1:7">
      <c r="A159">
        <v>20056</v>
      </c>
      <c r="B159" t="s">
        <v>13</v>
      </c>
      <c r="C159" t="s">
        <v>9</v>
      </c>
      <c r="D159" t="s">
        <v>118</v>
      </c>
      <c r="E159" t="s">
        <v>124</v>
      </c>
      <c r="F159" t="s">
        <v>180</v>
      </c>
    </row>
    <row r="160" spans="1:7">
      <c r="A160">
        <v>20057</v>
      </c>
      <c r="B160" t="s">
        <v>13</v>
      </c>
      <c r="C160" t="s">
        <v>9</v>
      </c>
      <c r="D160" t="s">
        <v>118</v>
      </c>
      <c r="E160" t="s">
        <v>66</v>
      </c>
      <c r="F160" t="s">
        <v>181</v>
      </c>
    </row>
    <row r="161" spans="1:7">
      <c r="A161">
        <v>20058</v>
      </c>
      <c r="B161" t="s">
        <v>13</v>
      </c>
      <c r="C161" t="s">
        <v>9</v>
      </c>
      <c r="D161" t="s">
        <v>118</v>
      </c>
      <c r="E161" t="s">
        <v>120</v>
      </c>
      <c r="F161" t="s">
        <v>182</v>
      </c>
      <c r="G161" t="s">
        <v>122</v>
      </c>
    </row>
    <row r="162" spans="1:7">
      <c r="A162">
        <v>20059</v>
      </c>
      <c r="B162" t="s">
        <v>13</v>
      </c>
      <c r="C162" t="s">
        <v>9</v>
      </c>
      <c r="D162" t="s">
        <v>118</v>
      </c>
      <c r="E162" t="s">
        <v>49</v>
      </c>
      <c r="F162" t="s">
        <v>183</v>
      </c>
    </row>
    <row r="163" spans="1:7">
      <c r="A163">
        <v>20060</v>
      </c>
      <c r="B163" t="s">
        <v>13</v>
      </c>
      <c r="C163" t="s">
        <v>9</v>
      </c>
      <c r="D163" t="s">
        <v>118</v>
      </c>
      <c r="E163" t="s">
        <v>124</v>
      </c>
      <c r="F163" t="s">
        <v>184</v>
      </c>
    </row>
    <row r="164" spans="1:7">
      <c r="A164">
        <v>20061</v>
      </c>
      <c r="B164" t="s">
        <v>13</v>
      </c>
      <c r="C164" t="s">
        <v>9</v>
      </c>
      <c r="D164" t="s">
        <v>118</v>
      </c>
      <c r="E164" t="s">
        <v>124</v>
      </c>
      <c r="F164" t="s">
        <v>185</v>
      </c>
    </row>
    <row r="165" spans="1:7">
      <c r="A165">
        <v>20062</v>
      </c>
      <c r="B165" t="s">
        <v>13</v>
      </c>
      <c r="C165" t="s">
        <v>9</v>
      </c>
      <c r="D165" t="s">
        <v>118</v>
      </c>
      <c r="E165" t="s">
        <v>124</v>
      </c>
      <c r="F165" t="s">
        <v>186</v>
      </c>
    </row>
    <row r="166" spans="1:7">
      <c r="A166">
        <v>20063</v>
      </c>
      <c r="B166" t="s">
        <v>13</v>
      </c>
      <c r="C166" t="s">
        <v>9</v>
      </c>
      <c r="D166" t="s">
        <v>118</v>
      </c>
      <c r="E166" t="s">
        <v>124</v>
      </c>
      <c r="F166" t="s">
        <v>187</v>
      </c>
    </row>
    <row r="167" spans="1:7">
      <c r="A167">
        <v>20064</v>
      </c>
      <c r="B167" t="s">
        <v>13</v>
      </c>
      <c r="C167" t="s">
        <v>9</v>
      </c>
      <c r="D167" t="s">
        <v>118</v>
      </c>
      <c r="E167" t="s">
        <v>131</v>
      </c>
      <c r="F167" t="s">
        <v>188</v>
      </c>
      <c r="G167" t="s">
        <v>189</v>
      </c>
    </row>
    <row r="168" spans="1:7">
      <c r="A168">
        <v>20065</v>
      </c>
      <c r="B168" t="s">
        <v>13</v>
      </c>
      <c r="C168" t="s">
        <v>9</v>
      </c>
      <c r="D168" t="s">
        <v>118</v>
      </c>
      <c r="E168" t="s">
        <v>124</v>
      </c>
      <c r="F168" t="s">
        <v>190</v>
      </c>
    </row>
    <row r="169" spans="1:7">
      <c r="A169">
        <v>20066</v>
      </c>
      <c r="B169" t="s">
        <v>13</v>
      </c>
      <c r="C169" t="s">
        <v>9</v>
      </c>
      <c r="D169" t="s">
        <v>118</v>
      </c>
      <c r="E169" t="s">
        <v>124</v>
      </c>
      <c r="F169" t="s">
        <v>191</v>
      </c>
    </row>
    <row r="170" spans="1:7">
      <c r="A170">
        <v>20067</v>
      </c>
      <c r="B170" t="s">
        <v>13</v>
      </c>
      <c r="C170" t="s">
        <v>9</v>
      </c>
      <c r="D170" t="s">
        <v>118</v>
      </c>
      <c r="E170" t="s">
        <v>124</v>
      </c>
      <c r="F170" t="s">
        <v>192</v>
      </c>
    </row>
    <row r="171" spans="1:7">
      <c r="A171">
        <v>20068</v>
      </c>
      <c r="B171" t="s">
        <v>13</v>
      </c>
      <c r="C171" t="s">
        <v>9</v>
      </c>
      <c r="D171" t="s">
        <v>118</v>
      </c>
      <c r="E171" t="s">
        <v>124</v>
      </c>
      <c r="F171" t="s">
        <v>193</v>
      </c>
    </row>
    <row r="172" spans="1:7">
      <c r="A172">
        <v>20069</v>
      </c>
      <c r="B172" t="s">
        <v>13</v>
      </c>
      <c r="C172" t="s">
        <v>9</v>
      </c>
      <c r="D172" t="s">
        <v>118</v>
      </c>
      <c r="E172" t="s">
        <v>49</v>
      </c>
      <c r="F172" t="s">
        <v>194</v>
      </c>
    </row>
    <row r="173" spans="1:7">
      <c r="A173">
        <v>20070</v>
      </c>
      <c r="B173" t="s">
        <v>13</v>
      </c>
      <c r="C173" t="s">
        <v>9</v>
      </c>
      <c r="D173" t="s">
        <v>118</v>
      </c>
      <c r="E173" t="s">
        <v>49</v>
      </c>
      <c r="F173" t="s">
        <v>195</v>
      </c>
    </row>
    <row r="174" spans="1:7">
      <c r="A174">
        <v>20071</v>
      </c>
      <c r="B174" t="s">
        <v>13</v>
      </c>
      <c r="C174" t="s">
        <v>9</v>
      </c>
      <c r="D174" t="s">
        <v>118</v>
      </c>
      <c r="E174" t="s">
        <v>124</v>
      </c>
      <c r="F174" t="s">
        <v>196</v>
      </c>
    </row>
    <row r="175" spans="1:7">
      <c r="A175">
        <v>20072</v>
      </c>
      <c r="B175" t="s">
        <v>13</v>
      </c>
      <c r="C175" t="s">
        <v>9</v>
      </c>
      <c r="D175" t="s">
        <v>118</v>
      </c>
      <c r="E175" t="s">
        <v>66</v>
      </c>
      <c r="F175" t="s">
        <v>197</v>
      </c>
    </row>
    <row r="176" spans="1:7">
      <c r="A176">
        <v>20073</v>
      </c>
      <c r="B176" t="s">
        <v>13</v>
      </c>
      <c r="C176" t="s">
        <v>9</v>
      </c>
      <c r="D176" t="s">
        <v>118</v>
      </c>
      <c r="E176" t="s">
        <v>66</v>
      </c>
      <c r="F176" t="s">
        <v>198</v>
      </c>
    </row>
    <row r="177" spans="1:7">
      <c r="A177">
        <v>20074</v>
      </c>
      <c r="B177" t="s">
        <v>13</v>
      </c>
      <c r="C177" t="s">
        <v>9</v>
      </c>
      <c r="D177" t="s">
        <v>118</v>
      </c>
      <c r="E177" t="s">
        <v>131</v>
      </c>
      <c r="F177" t="s">
        <v>199</v>
      </c>
      <c r="G177" t="s">
        <v>200</v>
      </c>
    </row>
    <row r="178" spans="1:7">
      <c r="A178">
        <v>20075</v>
      </c>
      <c r="B178" t="s">
        <v>13</v>
      </c>
      <c r="C178" t="s">
        <v>9</v>
      </c>
      <c r="D178" t="s">
        <v>118</v>
      </c>
      <c r="E178" t="s">
        <v>124</v>
      </c>
      <c r="F178" t="s">
        <v>201</v>
      </c>
    </row>
    <row r="179" spans="1:7">
      <c r="A179">
        <v>20076</v>
      </c>
      <c r="B179" t="s">
        <v>13</v>
      </c>
      <c r="C179" t="s">
        <v>9</v>
      </c>
      <c r="D179" t="s">
        <v>118</v>
      </c>
      <c r="E179" t="s">
        <v>120</v>
      </c>
      <c r="F179" t="s">
        <v>202</v>
      </c>
      <c r="G179" t="s">
        <v>122</v>
      </c>
    </row>
    <row r="180" spans="1:7">
      <c r="A180">
        <v>20077</v>
      </c>
      <c r="B180" t="s">
        <v>13</v>
      </c>
      <c r="C180" t="s">
        <v>9</v>
      </c>
      <c r="D180" t="s">
        <v>118</v>
      </c>
      <c r="E180" t="s">
        <v>49</v>
      </c>
      <c r="F180" t="s">
        <v>203</v>
      </c>
    </row>
    <row r="181" spans="1:7">
      <c r="A181">
        <v>20078</v>
      </c>
      <c r="B181" t="s">
        <v>13</v>
      </c>
      <c r="C181" t="s">
        <v>9</v>
      </c>
      <c r="D181" t="s">
        <v>118</v>
      </c>
      <c r="E181" t="s">
        <v>131</v>
      </c>
      <c r="F181" t="s">
        <v>204</v>
      </c>
      <c r="G181" t="s">
        <v>200</v>
      </c>
    </row>
    <row r="182" spans="1:7">
      <c r="A182">
        <v>20079</v>
      </c>
      <c r="B182" t="s">
        <v>13</v>
      </c>
      <c r="C182" t="s">
        <v>9</v>
      </c>
      <c r="D182" t="s">
        <v>118</v>
      </c>
      <c r="E182" t="s">
        <v>49</v>
      </c>
      <c r="F182" t="s">
        <v>205</v>
      </c>
    </row>
    <row r="183" spans="1:7">
      <c r="A183">
        <v>20080</v>
      </c>
      <c r="B183" t="s">
        <v>13</v>
      </c>
      <c r="C183" t="s">
        <v>9</v>
      </c>
      <c r="D183" t="s">
        <v>118</v>
      </c>
      <c r="E183" t="s">
        <v>124</v>
      </c>
      <c r="F183" t="s">
        <v>206</v>
      </c>
    </row>
    <row r="184" spans="1:7">
      <c r="A184">
        <v>20081</v>
      </c>
      <c r="B184" t="s">
        <v>13</v>
      </c>
      <c r="C184" t="s">
        <v>9</v>
      </c>
      <c r="D184" t="s">
        <v>118</v>
      </c>
      <c r="E184" t="s">
        <v>124</v>
      </c>
      <c r="F184" t="s">
        <v>207</v>
      </c>
    </row>
    <row r="185" spans="1:7">
      <c r="A185">
        <v>20082</v>
      </c>
      <c r="B185" t="s">
        <v>13</v>
      </c>
      <c r="C185" t="s">
        <v>9</v>
      </c>
      <c r="D185" t="s">
        <v>118</v>
      </c>
      <c r="E185" t="s">
        <v>49</v>
      </c>
      <c r="F185" t="s">
        <v>208</v>
      </c>
    </row>
    <row r="186" spans="1:7">
      <c r="A186">
        <v>20083</v>
      </c>
      <c r="B186" t="s">
        <v>13</v>
      </c>
      <c r="C186" t="s">
        <v>9</v>
      </c>
      <c r="D186" t="s">
        <v>118</v>
      </c>
      <c r="E186" t="s">
        <v>58</v>
      </c>
      <c r="F186" t="s">
        <v>209</v>
      </c>
    </row>
    <row r="187" spans="1:7">
      <c r="B187" t="s">
        <v>13</v>
      </c>
      <c r="C187" t="s">
        <v>9</v>
      </c>
      <c r="D187" t="s">
        <v>118</v>
      </c>
      <c r="E187" t="s">
        <v>49</v>
      </c>
      <c r="F187" t="s">
        <v>57</v>
      </c>
    </row>
    <row r="188" spans="1:7">
      <c r="B188" t="s">
        <v>13</v>
      </c>
      <c r="C188" t="s">
        <v>9</v>
      </c>
      <c r="D188" t="s">
        <v>118</v>
      </c>
      <c r="E188" t="s">
        <v>58</v>
      </c>
      <c r="F188" t="s">
        <v>59</v>
      </c>
    </row>
    <row r="189" spans="1:7">
      <c r="A189">
        <v>21000</v>
      </c>
      <c r="B189" t="s">
        <v>13</v>
      </c>
      <c r="C189" t="s">
        <v>9</v>
      </c>
      <c r="D189" t="s">
        <v>210</v>
      </c>
      <c r="E189" t="s">
        <v>48</v>
      </c>
      <c r="F189" t="s">
        <v>210</v>
      </c>
    </row>
    <row r="190" spans="1:7">
      <c r="A190">
        <v>21001</v>
      </c>
      <c r="B190" t="s">
        <v>13</v>
      </c>
      <c r="C190" t="s">
        <v>9</v>
      </c>
      <c r="D190" t="s">
        <v>210</v>
      </c>
      <c r="E190" t="s">
        <v>49</v>
      </c>
      <c r="F190" t="s">
        <v>211</v>
      </c>
    </row>
    <row r="191" spans="1:7">
      <c r="A191">
        <v>21002</v>
      </c>
      <c r="B191" t="s">
        <v>13</v>
      </c>
      <c r="C191" t="s">
        <v>9</v>
      </c>
      <c r="D191" t="s">
        <v>210</v>
      </c>
      <c r="E191" t="s">
        <v>49</v>
      </c>
      <c r="F191" t="s">
        <v>212</v>
      </c>
    </row>
    <row r="192" spans="1:7">
      <c r="B192" t="s">
        <v>13</v>
      </c>
      <c r="C192" t="s">
        <v>9</v>
      </c>
      <c r="D192" t="s">
        <v>210</v>
      </c>
      <c r="E192" t="s">
        <v>49</v>
      </c>
      <c r="F192" t="s">
        <v>57</v>
      </c>
    </row>
    <row r="193" spans="1:6">
      <c r="B193" t="s">
        <v>13</v>
      </c>
      <c r="C193" t="s">
        <v>9</v>
      </c>
      <c r="D193" t="s">
        <v>210</v>
      </c>
      <c r="E193" t="s">
        <v>58</v>
      </c>
      <c r="F193" t="s">
        <v>59</v>
      </c>
    </row>
    <row r="194" spans="1:6">
      <c r="A194">
        <v>22000</v>
      </c>
      <c r="B194" t="s">
        <v>13</v>
      </c>
      <c r="C194" t="s">
        <v>9</v>
      </c>
      <c r="D194" t="s">
        <v>213</v>
      </c>
      <c r="E194" t="s">
        <v>48</v>
      </c>
      <c r="F194" t="s">
        <v>213</v>
      </c>
    </row>
    <row r="195" spans="1:6">
      <c r="A195">
        <v>22001</v>
      </c>
      <c r="B195" t="s">
        <v>13</v>
      </c>
      <c r="C195" t="s">
        <v>9</v>
      </c>
      <c r="D195" t="s">
        <v>213</v>
      </c>
      <c r="E195" t="s">
        <v>49</v>
      </c>
      <c r="F195" t="s">
        <v>214</v>
      </c>
    </row>
    <row r="196" spans="1:6">
      <c r="A196">
        <v>22002</v>
      </c>
      <c r="B196" t="s">
        <v>13</v>
      </c>
      <c r="C196" t="s">
        <v>9</v>
      </c>
      <c r="D196" t="s">
        <v>213</v>
      </c>
      <c r="E196" t="s">
        <v>49</v>
      </c>
      <c r="F196" t="s">
        <v>215</v>
      </c>
    </row>
    <row r="197" spans="1:6">
      <c r="A197">
        <v>22003</v>
      </c>
      <c r="B197" t="s">
        <v>13</v>
      </c>
      <c r="C197" t="s">
        <v>9</v>
      </c>
      <c r="D197" t="s">
        <v>213</v>
      </c>
      <c r="E197" t="s">
        <v>49</v>
      </c>
      <c r="F197" t="s">
        <v>216</v>
      </c>
    </row>
    <row r="198" spans="1:6">
      <c r="A198">
        <v>22004</v>
      </c>
      <c r="B198" t="s">
        <v>13</v>
      </c>
      <c r="C198" t="s">
        <v>9</v>
      </c>
      <c r="D198" t="s">
        <v>213</v>
      </c>
      <c r="E198" t="s">
        <v>49</v>
      </c>
      <c r="F198" t="s">
        <v>217</v>
      </c>
    </row>
    <row r="199" spans="1:6">
      <c r="A199">
        <v>22005</v>
      </c>
      <c r="B199" t="s">
        <v>13</v>
      </c>
      <c r="C199" t="s">
        <v>9</v>
      </c>
      <c r="D199" t="s">
        <v>213</v>
      </c>
      <c r="E199" t="s">
        <v>49</v>
      </c>
      <c r="F199" t="s">
        <v>218</v>
      </c>
    </row>
    <row r="200" spans="1:6">
      <c r="B200" t="s">
        <v>13</v>
      </c>
      <c r="C200" t="s">
        <v>9</v>
      </c>
      <c r="D200" t="s">
        <v>213</v>
      </c>
      <c r="E200" t="s">
        <v>49</v>
      </c>
      <c r="F200" t="s">
        <v>57</v>
      </c>
    </row>
    <row r="201" spans="1:6">
      <c r="B201" t="s">
        <v>13</v>
      </c>
      <c r="C201" t="s">
        <v>9</v>
      </c>
      <c r="D201" t="s">
        <v>213</v>
      </c>
      <c r="E201" t="s">
        <v>58</v>
      </c>
      <c r="F201" t="s">
        <v>59</v>
      </c>
    </row>
    <row r="202" spans="1:6">
      <c r="A202">
        <v>23000</v>
      </c>
      <c r="B202" t="s">
        <v>13</v>
      </c>
      <c r="C202" t="s">
        <v>9</v>
      </c>
      <c r="D202" t="s">
        <v>219</v>
      </c>
      <c r="E202" t="s">
        <v>48</v>
      </c>
      <c r="F202" t="s">
        <v>219</v>
      </c>
    </row>
    <row r="203" spans="1:6">
      <c r="A203">
        <v>23001</v>
      </c>
      <c r="B203" t="s">
        <v>13</v>
      </c>
      <c r="C203" t="s">
        <v>9</v>
      </c>
      <c r="D203" t="s">
        <v>219</v>
      </c>
      <c r="E203" t="s">
        <v>49</v>
      </c>
      <c r="F203" t="s">
        <v>220</v>
      </c>
    </row>
    <row r="204" spans="1:6">
      <c r="A204">
        <v>23002</v>
      </c>
      <c r="B204" t="s">
        <v>13</v>
      </c>
      <c r="C204" t="s">
        <v>9</v>
      </c>
      <c r="D204" t="s">
        <v>219</v>
      </c>
      <c r="E204" t="s">
        <v>49</v>
      </c>
      <c r="F204" t="s">
        <v>221</v>
      </c>
    </row>
    <row r="205" spans="1:6">
      <c r="A205">
        <v>23003</v>
      </c>
      <c r="B205" t="s">
        <v>13</v>
      </c>
      <c r="C205" t="s">
        <v>9</v>
      </c>
      <c r="D205" t="s">
        <v>219</v>
      </c>
      <c r="E205" t="s">
        <v>49</v>
      </c>
      <c r="F205" t="s">
        <v>222</v>
      </c>
    </row>
    <row r="206" spans="1:6">
      <c r="A206">
        <v>23004</v>
      </c>
      <c r="B206" t="s">
        <v>13</v>
      </c>
      <c r="C206" t="s">
        <v>9</v>
      </c>
      <c r="D206" t="s">
        <v>219</v>
      </c>
      <c r="E206" t="s">
        <v>49</v>
      </c>
      <c r="F206" t="s">
        <v>223</v>
      </c>
    </row>
    <row r="207" spans="1:6">
      <c r="A207">
        <v>23005</v>
      </c>
      <c r="B207" t="s">
        <v>13</v>
      </c>
      <c r="C207" t="s">
        <v>9</v>
      </c>
      <c r="D207" t="s">
        <v>219</v>
      </c>
      <c r="E207" t="s">
        <v>49</v>
      </c>
      <c r="F207" t="s">
        <v>224</v>
      </c>
    </row>
    <row r="208" spans="1:6">
      <c r="B208" t="s">
        <v>13</v>
      </c>
      <c r="C208" t="s">
        <v>9</v>
      </c>
      <c r="D208" t="s">
        <v>219</v>
      </c>
      <c r="E208" t="s">
        <v>49</v>
      </c>
      <c r="F208" t="s">
        <v>57</v>
      </c>
    </row>
    <row r="209" spans="1:6">
      <c r="B209" t="s">
        <v>13</v>
      </c>
      <c r="C209" t="s">
        <v>9</v>
      </c>
      <c r="D209" t="s">
        <v>219</v>
      </c>
      <c r="E209" t="s">
        <v>58</v>
      </c>
      <c r="F209" t="s">
        <v>59</v>
      </c>
    </row>
    <row r="210" spans="1:6">
      <c r="A210">
        <v>24000</v>
      </c>
      <c r="B210" t="s">
        <v>13</v>
      </c>
      <c r="C210" t="s">
        <v>9</v>
      </c>
      <c r="D210" t="s">
        <v>225</v>
      </c>
      <c r="E210" t="s">
        <v>48</v>
      </c>
      <c r="F210" t="s">
        <v>225</v>
      </c>
    </row>
    <row r="211" spans="1:6">
      <c r="A211">
        <v>24001</v>
      </c>
      <c r="B211" t="s">
        <v>13</v>
      </c>
      <c r="C211" t="s">
        <v>9</v>
      </c>
      <c r="D211" t="s">
        <v>225</v>
      </c>
      <c r="E211" t="s">
        <v>49</v>
      </c>
      <c r="F211" t="s">
        <v>226</v>
      </c>
    </row>
    <row r="212" spans="1:6">
      <c r="A212">
        <v>24002</v>
      </c>
      <c r="B212" t="s">
        <v>13</v>
      </c>
      <c r="C212" t="s">
        <v>9</v>
      </c>
      <c r="D212" t="s">
        <v>225</v>
      </c>
      <c r="E212" t="s">
        <v>49</v>
      </c>
      <c r="F212" t="s">
        <v>227</v>
      </c>
    </row>
    <row r="213" spans="1:6">
      <c r="A213">
        <v>24003</v>
      </c>
      <c r="B213" t="s">
        <v>13</v>
      </c>
      <c r="C213" t="s">
        <v>9</v>
      </c>
      <c r="D213" t="s">
        <v>225</v>
      </c>
      <c r="E213" t="s">
        <v>49</v>
      </c>
      <c r="F213" t="s">
        <v>228</v>
      </c>
    </row>
    <row r="214" spans="1:6">
      <c r="A214">
        <v>24004</v>
      </c>
      <c r="B214" t="s">
        <v>13</v>
      </c>
      <c r="C214" t="s">
        <v>9</v>
      </c>
      <c r="D214" t="s">
        <v>225</v>
      </c>
      <c r="E214" t="s">
        <v>49</v>
      </c>
      <c r="F214" t="s">
        <v>229</v>
      </c>
    </row>
    <row r="215" spans="1:6">
      <c r="A215">
        <v>24005</v>
      </c>
      <c r="B215" t="s">
        <v>13</v>
      </c>
      <c r="C215" t="s">
        <v>9</v>
      </c>
      <c r="D215" t="s">
        <v>225</v>
      </c>
      <c r="E215" t="s">
        <v>49</v>
      </c>
      <c r="F215" t="s">
        <v>230</v>
      </c>
    </row>
    <row r="216" spans="1:6">
      <c r="A216">
        <v>24006</v>
      </c>
      <c r="B216" t="s">
        <v>13</v>
      </c>
      <c r="C216" t="s">
        <v>9</v>
      </c>
      <c r="D216" t="s">
        <v>225</v>
      </c>
      <c r="E216" t="s">
        <v>49</v>
      </c>
      <c r="F216" t="s">
        <v>231</v>
      </c>
    </row>
    <row r="217" spans="1:6">
      <c r="A217">
        <v>24007</v>
      </c>
      <c r="B217" t="s">
        <v>13</v>
      </c>
      <c r="C217" t="s">
        <v>9</v>
      </c>
      <c r="D217" t="s">
        <v>225</v>
      </c>
      <c r="E217" t="s">
        <v>49</v>
      </c>
      <c r="F217" t="s">
        <v>232</v>
      </c>
    </row>
    <row r="218" spans="1:6">
      <c r="A218">
        <v>24008</v>
      </c>
      <c r="B218" t="s">
        <v>13</v>
      </c>
      <c r="C218" t="s">
        <v>9</v>
      </c>
      <c r="D218" t="s">
        <v>225</v>
      </c>
      <c r="E218" t="s">
        <v>49</v>
      </c>
      <c r="F218" t="s">
        <v>233</v>
      </c>
    </row>
    <row r="219" spans="1:6">
      <c r="A219">
        <v>24009</v>
      </c>
      <c r="B219" t="s">
        <v>13</v>
      </c>
      <c r="C219" t="s">
        <v>9</v>
      </c>
      <c r="D219" t="s">
        <v>225</v>
      </c>
      <c r="E219" t="s">
        <v>66</v>
      </c>
      <c r="F219" t="s">
        <v>234</v>
      </c>
    </row>
    <row r="220" spans="1:6">
      <c r="B220" t="s">
        <v>13</v>
      </c>
      <c r="C220" t="s">
        <v>9</v>
      </c>
      <c r="D220" t="s">
        <v>225</v>
      </c>
      <c r="E220" t="s">
        <v>49</v>
      </c>
      <c r="F220" t="s">
        <v>57</v>
      </c>
    </row>
    <row r="221" spans="1:6">
      <c r="B221" t="s">
        <v>13</v>
      </c>
      <c r="C221" t="s">
        <v>9</v>
      </c>
      <c r="D221" t="s">
        <v>225</v>
      </c>
      <c r="E221" t="s">
        <v>58</v>
      </c>
      <c r="F221" t="s">
        <v>59</v>
      </c>
    </row>
    <row r="222" spans="1:6">
      <c r="A222">
        <v>33000</v>
      </c>
      <c r="B222" t="s">
        <v>18</v>
      </c>
      <c r="C222" t="s">
        <v>9</v>
      </c>
      <c r="D222" t="s">
        <v>235</v>
      </c>
      <c r="E222" t="s">
        <v>48</v>
      </c>
      <c r="F222" t="s">
        <v>235</v>
      </c>
    </row>
    <row r="223" spans="1:6">
      <c r="A223">
        <v>33001</v>
      </c>
      <c r="B223" t="s">
        <v>18</v>
      </c>
      <c r="C223" t="s">
        <v>9</v>
      </c>
      <c r="D223" t="s">
        <v>235</v>
      </c>
      <c r="E223" t="s">
        <v>49</v>
      </c>
      <c r="F223" t="s">
        <v>236</v>
      </c>
    </row>
    <row r="224" spans="1:6">
      <c r="A224">
        <v>33002</v>
      </c>
      <c r="B224" t="s">
        <v>18</v>
      </c>
      <c r="C224" t="s">
        <v>9</v>
      </c>
      <c r="D224" t="s">
        <v>235</v>
      </c>
      <c r="E224" t="s">
        <v>49</v>
      </c>
      <c r="F224" t="s">
        <v>237</v>
      </c>
    </row>
    <row r="225" spans="1:6">
      <c r="A225">
        <v>33003</v>
      </c>
      <c r="B225" t="s">
        <v>18</v>
      </c>
      <c r="C225" t="s">
        <v>9</v>
      </c>
      <c r="D225" t="s">
        <v>235</v>
      </c>
      <c r="E225" t="s">
        <v>49</v>
      </c>
      <c r="F225" t="s">
        <v>238</v>
      </c>
    </row>
    <row r="226" spans="1:6">
      <c r="A226">
        <v>33004</v>
      </c>
      <c r="B226" t="s">
        <v>18</v>
      </c>
      <c r="C226" t="s">
        <v>9</v>
      </c>
      <c r="D226" t="s">
        <v>235</v>
      </c>
      <c r="E226" t="s">
        <v>49</v>
      </c>
      <c r="F226" t="s">
        <v>239</v>
      </c>
    </row>
    <row r="227" spans="1:6">
      <c r="A227">
        <v>33005</v>
      </c>
      <c r="B227" t="s">
        <v>18</v>
      </c>
      <c r="C227" t="s">
        <v>9</v>
      </c>
      <c r="D227" t="s">
        <v>235</v>
      </c>
      <c r="E227" t="s">
        <v>49</v>
      </c>
      <c r="F227" t="s">
        <v>240</v>
      </c>
    </row>
    <row r="228" spans="1:6">
      <c r="A228">
        <v>33006</v>
      </c>
      <c r="B228" t="s">
        <v>18</v>
      </c>
      <c r="C228" t="s">
        <v>9</v>
      </c>
      <c r="D228" t="s">
        <v>235</v>
      </c>
      <c r="E228" t="s">
        <v>49</v>
      </c>
      <c r="F228" t="s">
        <v>241</v>
      </c>
    </row>
    <row r="229" spans="1:6">
      <c r="A229">
        <v>33007</v>
      </c>
      <c r="B229" t="s">
        <v>18</v>
      </c>
      <c r="C229" t="s">
        <v>9</v>
      </c>
      <c r="D229" t="s">
        <v>235</v>
      </c>
      <c r="E229" t="s">
        <v>49</v>
      </c>
      <c r="F229" t="s">
        <v>242</v>
      </c>
    </row>
    <row r="230" spans="1:6">
      <c r="A230">
        <v>33008</v>
      </c>
      <c r="B230" t="s">
        <v>18</v>
      </c>
      <c r="C230" t="s">
        <v>9</v>
      </c>
      <c r="D230" t="s">
        <v>235</v>
      </c>
      <c r="E230" t="s">
        <v>49</v>
      </c>
      <c r="F230" t="s">
        <v>243</v>
      </c>
    </row>
    <row r="231" spans="1:6">
      <c r="A231">
        <v>33009</v>
      </c>
      <c r="B231" t="s">
        <v>18</v>
      </c>
      <c r="C231" t="s">
        <v>9</v>
      </c>
      <c r="D231" t="s">
        <v>235</v>
      </c>
      <c r="E231" t="s">
        <v>49</v>
      </c>
      <c r="F231" t="s">
        <v>244</v>
      </c>
    </row>
    <row r="232" spans="1:6">
      <c r="A232">
        <v>33010</v>
      </c>
      <c r="B232" t="s">
        <v>18</v>
      </c>
      <c r="C232" t="s">
        <v>9</v>
      </c>
      <c r="D232" t="s">
        <v>235</v>
      </c>
      <c r="E232" t="s">
        <v>49</v>
      </c>
      <c r="F232" t="s">
        <v>245</v>
      </c>
    </row>
    <row r="233" spans="1:6">
      <c r="A233">
        <v>33011</v>
      </c>
      <c r="B233" t="s">
        <v>18</v>
      </c>
      <c r="C233" t="s">
        <v>9</v>
      </c>
      <c r="D233" t="s">
        <v>235</v>
      </c>
      <c r="E233" t="s">
        <v>49</v>
      </c>
      <c r="F233" t="s">
        <v>246</v>
      </c>
    </row>
    <row r="234" spans="1:6">
      <c r="A234">
        <v>33012</v>
      </c>
      <c r="B234" t="s">
        <v>18</v>
      </c>
      <c r="C234" t="s">
        <v>9</v>
      </c>
      <c r="D234" t="s">
        <v>235</v>
      </c>
      <c r="E234" t="s">
        <v>49</v>
      </c>
      <c r="F234" t="s">
        <v>247</v>
      </c>
    </row>
    <row r="235" spans="1:6">
      <c r="B235" t="s">
        <v>18</v>
      </c>
      <c r="C235" t="s">
        <v>9</v>
      </c>
      <c r="D235" t="s">
        <v>235</v>
      </c>
      <c r="E235" t="s">
        <v>49</v>
      </c>
      <c r="F235" t="s">
        <v>57</v>
      </c>
    </row>
    <row r="236" spans="1:6">
      <c r="B236" t="s">
        <v>18</v>
      </c>
      <c r="C236" t="s">
        <v>9</v>
      </c>
      <c r="D236" t="s">
        <v>235</v>
      </c>
      <c r="E236" t="s">
        <v>58</v>
      </c>
      <c r="F236" t="s">
        <v>59</v>
      </c>
    </row>
    <row r="237" spans="1:6">
      <c r="A237">
        <v>34000</v>
      </c>
      <c r="B237" t="s">
        <v>18</v>
      </c>
      <c r="C237" t="s">
        <v>9</v>
      </c>
      <c r="D237" t="s">
        <v>248</v>
      </c>
      <c r="E237" t="s">
        <v>119</v>
      </c>
      <c r="F237" t="s">
        <v>248</v>
      </c>
    </row>
    <row r="238" spans="1:6">
      <c r="A238">
        <v>34001</v>
      </c>
      <c r="B238" t="s">
        <v>18</v>
      </c>
      <c r="C238" t="s">
        <v>9</v>
      </c>
      <c r="D238" t="s">
        <v>248</v>
      </c>
      <c r="E238" t="s">
        <v>120</v>
      </c>
      <c r="F238" t="s">
        <v>249</v>
      </c>
    </row>
    <row r="239" spans="1:6">
      <c r="A239">
        <v>34002</v>
      </c>
      <c r="B239" t="s">
        <v>18</v>
      </c>
      <c r="C239" t="s">
        <v>9</v>
      </c>
      <c r="D239" t="s">
        <v>248</v>
      </c>
      <c r="E239" t="s">
        <v>49</v>
      </c>
      <c r="F239" t="s">
        <v>250</v>
      </c>
    </row>
    <row r="240" spans="1:6">
      <c r="A240">
        <v>34003</v>
      </c>
      <c r="B240" t="s">
        <v>18</v>
      </c>
      <c r="C240" t="s">
        <v>9</v>
      </c>
      <c r="D240" t="s">
        <v>248</v>
      </c>
      <c r="E240" t="s">
        <v>124</v>
      </c>
      <c r="F240" t="s">
        <v>251</v>
      </c>
    </row>
    <row r="241" spans="1:6">
      <c r="A241">
        <v>34004</v>
      </c>
      <c r="B241" t="s">
        <v>18</v>
      </c>
      <c r="C241" t="s">
        <v>9</v>
      </c>
      <c r="D241" t="s">
        <v>248</v>
      </c>
      <c r="E241" t="s">
        <v>124</v>
      </c>
      <c r="F241" t="s">
        <v>252</v>
      </c>
    </row>
    <row r="242" spans="1:6">
      <c r="A242">
        <v>34005</v>
      </c>
      <c r="B242" t="s">
        <v>18</v>
      </c>
      <c r="C242" t="s">
        <v>9</v>
      </c>
      <c r="D242" t="s">
        <v>248</v>
      </c>
      <c r="E242" t="s">
        <v>49</v>
      </c>
      <c r="F242" t="s">
        <v>253</v>
      </c>
    </row>
    <row r="243" spans="1:6">
      <c r="A243">
        <v>34006</v>
      </c>
      <c r="B243" t="s">
        <v>18</v>
      </c>
      <c r="C243" t="s">
        <v>9</v>
      </c>
      <c r="D243" t="s">
        <v>248</v>
      </c>
      <c r="E243" t="s">
        <v>120</v>
      </c>
      <c r="F243" t="s">
        <v>254</v>
      </c>
    </row>
    <row r="244" spans="1:6">
      <c r="A244">
        <v>34007</v>
      </c>
      <c r="B244" t="s">
        <v>18</v>
      </c>
      <c r="C244" t="s">
        <v>9</v>
      </c>
      <c r="D244" t="s">
        <v>248</v>
      </c>
      <c r="E244" t="s">
        <v>49</v>
      </c>
      <c r="F244" t="s">
        <v>255</v>
      </c>
    </row>
    <row r="245" spans="1:6">
      <c r="A245">
        <v>34008</v>
      </c>
      <c r="B245" t="s">
        <v>18</v>
      </c>
      <c r="C245" t="s">
        <v>9</v>
      </c>
      <c r="D245" t="s">
        <v>248</v>
      </c>
      <c r="E245" t="s">
        <v>49</v>
      </c>
      <c r="F245" t="s">
        <v>256</v>
      </c>
    </row>
    <row r="246" spans="1:6">
      <c r="A246">
        <v>34009</v>
      </c>
      <c r="B246" t="s">
        <v>18</v>
      </c>
      <c r="C246" t="s">
        <v>9</v>
      </c>
      <c r="D246" t="s">
        <v>248</v>
      </c>
      <c r="E246" t="s">
        <v>49</v>
      </c>
      <c r="F246" t="s">
        <v>257</v>
      </c>
    </row>
    <row r="247" spans="1:6">
      <c r="A247">
        <v>34010</v>
      </c>
      <c r="B247" t="s">
        <v>18</v>
      </c>
      <c r="C247" t="s">
        <v>9</v>
      </c>
      <c r="D247" t="s">
        <v>248</v>
      </c>
      <c r="E247" t="s">
        <v>49</v>
      </c>
      <c r="F247" t="s">
        <v>258</v>
      </c>
    </row>
    <row r="248" spans="1:6">
      <c r="A248">
        <v>34011</v>
      </c>
      <c r="B248" t="s">
        <v>18</v>
      </c>
      <c r="C248" t="s">
        <v>9</v>
      </c>
      <c r="D248" t="s">
        <v>248</v>
      </c>
      <c r="E248" t="s">
        <v>120</v>
      </c>
      <c r="F248" t="s">
        <v>259</v>
      </c>
    </row>
    <row r="249" spans="1:6">
      <c r="A249">
        <v>34012</v>
      </c>
      <c r="B249" t="s">
        <v>18</v>
      </c>
      <c r="C249" t="s">
        <v>9</v>
      </c>
      <c r="D249" t="s">
        <v>248</v>
      </c>
      <c r="E249" t="s">
        <v>49</v>
      </c>
      <c r="F249" t="s">
        <v>260</v>
      </c>
    </row>
    <row r="250" spans="1:6">
      <c r="A250">
        <v>34013</v>
      </c>
      <c r="B250" t="s">
        <v>18</v>
      </c>
      <c r="C250" t="s">
        <v>9</v>
      </c>
      <c r="D250" t="s">
        <v>248</v>
      </c>
      <c r="E250" t="s">
        <v>49</v>
      </c>
      <c r="F250" t="s">
        <v>261</v>
      </c>
    </row>
    <row r="251" spans="1:6">
      <c r="A251">
        <v>34014</v>
      </c>
      <c r="B251" t="s">
        <v>18</v>
      </c>
      <c r="C251" t="s">
        <v>9</v>
      </c>
      <c r="D251" t="s">
        <v>248</v>
      </c>
      <c r="E251" t="s">
        <v>49</v>
      </c>
      <c r="F251" t="s">
        <v>262</v>
      </c>
    </row>
    <row r="252" spans="1:6">
      <c r="A252">
        <v>34015</v>
      </c>
      <c r="B252" t="s">
        <v>18</v>
      </c>
      <c r="C252" t="s">
        <v>9</v>
      </c>
      <c r="D252" t="s">
        <v>248</v>
      </c>
      <c r="E252" t="s">
        <v>49</v>
      </c>
      <c r="F252" t="s">
        <v>263</v>
      </c>
    </row>
    <row r="253" spans="1:6">
      <c r="A253">
        <v>34016</v>
      </c>
      <c r="B253" t="s">
        <v>18</v>
      </c>
      <c r="C253" t="s">
        <v>9</v>
      </c>
      <c r="D253" t="s">
        <v>248</v>
      </c>
      <c r="E253" t="s">
        <v>49</v>
      </c>
      <c r="F253" t="s">
        <v>264</v>
      </c>
    </row>
    <row r="254" spans="1:6">
      <c r="A254">
        <v>34017</v>
      </c>
      <c r="B254" t="s">
        <v>18</v>
      </c>
      <c r="C254" t="s">
        <v>9</v>
      </c>
      <c r="D254" t="s">
        <v>248</v>
      </c>
      <c r="E254" t="s">
        <v>66</v>
      </c>
      <c r="F254" t="s">
        <v>265</v>
      </c>
    </row>
    <row r="255" spans="1:6">
      <c r="A255">
        <v>34018</v>
      </c>
      <c r="B255" t="s">
        <v>18</v>
      </c>
      <c r="C255" t="s">
        <v>9</v>
      </c>
      <c r="D255" t="s">
        <v>248</v>
      </c>
      <c r="E255" t="s">
        <v>66</v>
      </c>
      <c r="F255" t="s">
        <v>266</v>
      </c>
    </row>
    <row r="256" spans="1:6">
      <c r="A256">
        <v>34019</v>
      </c>
      <c r="B256" t="s">
        <v>18</v>
      </c>
      <c r="C256" t="s">
        <v>9</v>
      </c>
      <c r="D256" t="s">
        <v>248</v>
      </c>
      <c r="E256" t="s">
        <v>49</v>
      </c>
      <c r="F256" t="s">
        <v>267</v>
      </c>
    </row>
    <row r="257" spans="1:7">
      <c r="A257">
        <v>34020</v>
      </c>
      <c r="B257" t="s">
        <v>18</v>
      </c>
      <c r="C257" t="s">
        <v>9</v>
      </c>
      <c r="D257" t="s">
        <v>248</v>
      </c>
      <c r="E257" t="s">
        <v>49</v>
      </c>
      <c r="F257" t="s">
        <v>268</v>
      </c>
    </row>
    <row r="258" spans="1:7">
      <c r="A258">
        <v>34021</v>
      </c>
      <c r="B258" t="s">
        <v>18</v>
      </c>
      <c r="C258" t="s">
        <v>9</v>
      </c>
      <c r="D258" t="s">
        <v>248</v>
      </c>
      <c r="E258" t="s">
        <v>49</v>
      </c>
      <c r="F258" t="s">
        <v>269</v>
      </c>
    </row>
    <row r="259" spans="1:7">
      <c r="A259">
        <v>34022</v>
      </c>
      <c r="B259" t="s">
        <v>18</v>
      </c>
      <c r="C259" t="s">
        <v>9</v>
      </c>
      <c r="D259" t="s">
        <v>248</v>
      </c>
      <c r="E259" t="s">
        <v>49</v>
      </c>
      <c r="F259" t="s">
        <v>270</v>
      </c>
    </row>
    <row r="260" spans="1:7">
      <c r="A260">
        <v>34023</v>
      </c>
      <c r="B260" t="s">
        <v>18</v>
      </c>
      <c r="C260" t="s">
        <v>9</v>
      </c>
      <c r="D260" t="s">
        <v>248</v>
      </c>
      <c r="E260" t="s">
        <v>49</v>
      </c>
      <c r="F260" t="s">
        <v>271</v>
      </c>
    </row>
    <row r="261" spans="1:7">
      <c r="A261">
        <v>34024</v>
      </c>
      <c r="B261" t="s">
        <v>18</v>
      </c>
      <c r="C261" t="s">
        <v>9</v>
      </c>
      <c r="D261" t="s">
        <v>248</v>
      </c>
      <c r="E261" t="s">
        <v>49</v>
      </c>
      <c r="F261" t="s">
        <v>272</v>
      </c>
    </row>
    <row r="262" spans="1:7">
      <c r="A262">
        <v>34025</v>
      </c>
      <c r="B262" t="s">
        <v>18</v>
      </c>
      <c r="C262" t="s">
        <v>9</v>
      </c>
      <c r="D262" t="s">
        <v>248</v>
      </c>
      <c r="E262" t="s">
        <v>120</v>
      </c>
      <c r="F262" t="s">
        <v>273</v>
      </c>
    </row>
    <row r="263" spans="1:7">
      <c r="A263">
        <v>34026</v>
      </c>
      <c r="B263" t="s">
        <v>18</v>
      </c>
      <c r="C263" t="s">
        <v>9</v>
      </c>
      <c r="D263" t="s">
        <v>248</v>
      </c>
      <c r="E263" t="s">
        <v>49</v>
      </c>
      <c r="F263" t="s">
        <v>274</v>
      </c>
    </row>
    <row r="264" spans="1:7">
      <c r="A264">
        <v>34027</v>
      </c>
      <c r="B264" t="s">
        <v>18</v>
      </c>
      <c r="C264" t="s">
        <v>9</v>
      </c>
      <c r="D264" t="s">
        <v>248</v>
      </c>
      <c r="E264" t="s">
        <v>49</v>
      </c>
      <c r="F264" t="s">
        <v>275</v>
      </c>
    </row>
    <row r="265" spans="1:7">
      <c r="A265">
        <v>34028</v>
      </c>
      <c r="B265" t="s">
        <v>18</v>
      </c>
      <c r="C265" t="s">
        <v>9</v>
      </c>
      <c r="D265" t="s">
        <v>248</v>
      </c>
      <c r="E265" t="s">
        <v>49</v>
      </c>
      <c r="F265" t="s">
        <v>276</v>
      </c>
    </row>
    <row r="266" spans="1:7">
      <c r="A266">
        <v>34029</v>
      </c>
      <c r="B266" t="s">
        <v>18</v>
      </c>
      <c r="C266" t="s">
        <v>9</v>
      </c>
      <c r="D266" t="s">
        <v>248</v>
      </c>
      <c r="E266" t="s">
        <v>49</v>
      </c>
      <c r="F266" t="s">
        <v>277</v>
      </c>
    </row>
    <row r="267" spans="1:7">
      <c r="A267">
        <v>34030</v>
      </c>
      <c r="B267" t="s">
        <v>18</v>
      </c>
      <c r="C267" t="s">
        <v>9</v>
      </c>
      <c r="D267" t="s">
        <v>248</v>
      </c>
      <c r="E267" t="s">
        <v>120</v>
      </c>
      <c r="F267" t="s">
        <v>278</v>
      </c>
    </row>
    <row r="268" spans="1:7">
      <c r="A268">
        <v>34031</v>
      </c>
      <c r="B268" t="s">
        <v>18</v>
      </c>
      <c r="C268" t="s">
        <v>9</v>
      </c>
      <c r="D268" t="s">
        <v>248</v>
      </c>
      <c r="E268" t="s">
        <v>49</v>
      </c>
      <c r="F268" t="s">
        <v>279</v>
      </c>
    </row>
    <row r="269" spans="1:7">
      <c r="A269">
        <v>34032</v>
      </c>
      <c r="B269" t="s">
        <v>18</v>
      </c>
      <c r="C269" t="s">
        <v>9</v>
      </c>
      <c r="D269" t="s">
        <v>248</v>
      </c>
      <c r="E269" t="s">
        <v>124</v>
      </c>
      <c r="F269" t="s">
        <v>280</v>
      </c>
    </row>
    <row r="270" spans="1:7">
      <c r="A270">
        <v>34033</v>
      </c>
      <c r="B270" t="s">
        <v>18</v>
      </c>
      <c r="C270" t="s">
        <v>9</v>
      </c>
      <c r="D270" t="s">
        <v>248</v>
      </c>
      <c r="E270" t="s">
        <v>124</v>
      </c>
      <c r="F270" t="s">
        <v>281</v>
      </c>
      <c r="G270" t="s">
        <v>282</v>
      </c>
    </row>
    <row r="271" spans="1:7">
      <c r="A271">
        <v>34034</v>
      </c>
      <c r="B271" t="s">
        <v>18</v>
      </c>
      <c r="C271" t="s">
        <v>9</v>
      </c>
      <c r="D271" t="s">
        <v>248</v>
      </c>
      <c r="E271" t="s">
        <v>124</v>
      </c>
      <c r="F271" t="s">
        <v>283</v>
      </c>
      <c r="G271" t="s">
        <v>282</v>
      </c>
    </row>
    <row r="272" spans="1:7">
      <c r="A272">
        <v>34035</v>
      </c>
      <c r="B272" t="s">
        <v>18</v>
      </c>
      <c r="C272" t="s">
        <v>9</v>
      </c>
      <c r="D272" t="s">
        <v>248</v>
      </c>
      <c r="E272" t="s">
        <v>124</v>
      </c>
      <c r="F272" t="s">
        <v>284</v>
      </c>
      <c r="G272" t="s">
        <v>285</v>
      </c>
    </row>
    <row r="273" spans="1:7">
      <c r="A273">
        <v>34036</v>
      </c>
      <c r="B273" t="s">
        <v>18</v>
      </c>
      <c r="C273" t="s">
        <v>9</v>
      </c>
      <c r="D273" t="s">
        <v>248</v>
      </c>
      <c r="E273" t="s">
        <v>131</v>
      </c>
      <c r="F273" t="s">
        <v>286</v>
      </c>
      <c r="G273" t="s">
        <v>287</v>
      </c>
    </row>
    <row r="274" spans="1:7">
      <c r="A274">
        <v>34037</v>
      </c>
      <c r="B274" t="s">
        <v>18</v>
      </c>
      <c r="C274" t="s">
        <v>9</v>
      </c>
      <c r="D274" t="s">
        <v>248</v>
      </c>
      <c r="E274" t="s">
        <v>49</v>
      </c>
      <c r="F274" t="s">
        <v>288</v>
      </c>
    </row>
    <row r="275" spans="1:7">
      <c r="A275">
        <v>34038</v>
      </c>
      <c r="B275" t="s">
        <v>18</v>
      </c>
      <c r="C275" t="s">
        <v>9</v>
      </c>
      <c r="D275" t="s">
        <v>248</v>
      </c>
      <c r="E275" t="s">
        <v>49</v>
      </c>
      <c r="F275" t="s">
        <v>289</v>
      </c>
    </row>
    <row r="276" spans="1:7">
      <c r="A276">
        <v>34039</v>
      </c>
      <c r="B276" t="s">
        <v>18</v>
      </c>
      <c r="C276" t="s">
        <v>9</v>
      </c>
      <c r="D276" t="s">
        <v>248</v>
      </c>
      <c r="E276" t="s">
        <v>120</v>
      </c>
      <c r="F276" t="s">
        <v>290</v>
      </c>
    </row>
    <row r="277" spans="1:7">
      <c r="A277">
        <v>34040</v>
      </c>
      <c r="B277" t="s">
        <v>18</v>
      </c>
      <c r="C277" t="s">
        <v>9</v>
      </c>
      <c r="D277" t="s">
        <v>248</v>
      </c>
      <c r="E277" t="s">
        <v>49</v>
      </c>
      <c r="F277" t="s">
        <v>291</v>
      </c>
    </row>
    <row r="278" spans="1:7">
      <c r="A278">
        <v>34041</v>
      </c>
      <c r="B278" t="s">
        <v>18</v>
      </c>
      <c r="C278" t="s">
        <v>9</v>
      </c>
      <c r="D278" t="s">
        <v>248</v>
      </c>
      <c r="E278" t="s">
        <v>49</v>
      </c>
      <c r="F278" t="s">
        <v>292</v>
      </c>
    </row>
    <row r="279" spans="1:7">
      <c r="A279">
        <v>34042</v>
      </c>
      <c r="B279" t="s">
        <v>18</v>
      </c>
      <c r="C279" t="s">
        <v>9</v>
      </c>
      <c r="D279" t="s">
        <v>248</v>
      </c>
      <c r="E279" t="s">
        <v>131</v>
      </c>
      <c r="F279" t="s">
        <v>293</v>
      </c>
      <c r="G279" t="s">
        <v>287</v>
      </c>
    </row>
    <row r="280" spans="1:7">
      <c r="A280">
        <v>34043</v>
      </c>
      <c r="B280" t="s">
        <v>18</v>
      </c>
      <c r="C280" t="s">
        <v>9</v>
      </c>
      <c r="D280" t="s">
        <v>248</v>
      </c>
      <c r="E280" t="s">
        <v>49</v>
      </c>
      <c r="F280" t="s">
        <v>294</v>
      </c>
    </row>
    <row r="281" spans="1:7">
      <c r="A281">
        <v>34044</v>
      </c>
      <c r="B281" t="s">
        <v>18</v>
      </c>
      <c r="C281" t="s">
        <v>9</v>
      </c>
      <c r="D281" t="s">
        <v>248</v>
      </c>
      <c r="E281" t="s">
        <v>49</v>
      </c>
      <c r="F281" t="s">
        <v>295</v>
      </c>
    </row>
    <row r="282" spans="1:7">
      <c r="A282">
        <v>34045</v>
      </c>
      <c r="B282" t="s">
        <v>18</v>
      </c>
      <c r="C282" t="s">
        <v>9</v>
      </c>
      <c r="D282" t="s">
        <v>248</v>
      </c>
      <c r="E282" t="s">
        <v>49</v>
      </c>
      <c r="F282" t="s">
        <v>296</v>
      </c>
    </row>
    <row r="283" spans="1:7">
      <c r="A283">
        <v>34046</v>
      </c>
      <c r="B283" t="s">
        <v>18</v>
      </c>
      <c r="C283" t="s">
        <v>9</v>
      </c>
      <c r="D283" t="s">
        <v>248</v>
      </c>
      <c r="E283" t="s">
        <v>120</v>
      </c>
      <c r="F283" t="s">
        <v>297</v>
      </c>
    </row>
    <row r="284" spans="1:7">
      <c r="A284">
        <v>34047</v>
      </c>
      <c r="B284" t="s">
        <v>18</v>
      </c>
      <c r="C284" t="s">
        <v>9</v>
      </c>
      <c r="D284" t="s">
        <v>248</v>
      </c>
      <c r="E284" t="s">
        <v>49</v>
      </c>
      <c r="F284" t="s">
        <v>298</v>
      </c>
    </row>
    <row r="285" spans="1:7">
      <c r="A285">
        <v>34048</v>
      </c>
      <c r="B285" t="s">
        <v>18</v>
      </c>
      <c r="C285" t="s">
        <v>9</v>
      </c>
      <c r="D285" t="s">
        <v>248</v>
      </c>
      <c r="E285" t="s">
        <v>58</v>
      </c>
      <c r="F285" t="s">
        <v>299</v>
      </c>
    </row>
    <row r="286" spans="1:7">
      <c r="A286">
        <v>34049</v>
      </c>
      <c r="B286" t="s">
        <v>18</v>
      </c>
      <c r="C286" t="s">
        <v>9</v>
      </c>
      <c r="D286" t="s">
        <v>248</v>
      </c>
      <c r="E286" t="s">
        <v>49</v>
      </c>
      <c r="F286" t="s">
        <v>300</v>
      </c>
    </row>
    <row r="287" spans="1:7">
      <c r="B287" t="s">
        <v>18</v>
      </c>
      <c r="C287" t="s">
        <v>9</v>
      </c>
      <c r="D287" t="s">
        <v>248</v>
      </c>
      <c r="E287" t="s">
        <v>49</v>
      </c>
      <c r="F287" t="s">
        <v>57</v>
      </c>
    </row>
    <row r="288" spans="1:7">
      <c r="B288" t="s">
        <v>18</v>
      </c>
      <c r="C288" t="s">
        <v>9</v>
      </c>
      <c r="D288" t="s">
        <v>248</v>
      </c>
      <c r="E288" t="s">
        <v>58</v>
      </c>
      <c r="F288" t="s">
        <v>59</v>
      </c>
    </row>
    <row r="289" spans="1:6">
      <c r="A289">
        <v>35000</v>
      </c>
      <c r="B289" t="s">
        <v>18</v>
      </c>
      <c r="C289" t="s">
        <v>9</v>
      </c>
      <c r="D289" t="s">
        <v>301</v>
      </c>
      <c r="E289" t="s">
        <v>119</v>
      </c>
      <c r="F289" t="s">
        <v>301</v>
      </c>
    </row>
    <row r="290" spans="1:6">
      <c r="A290">
        <v>35001</v>
      </c>
      <c r="B290" t="s">
        <v>18</v>
      </c>
      <c r="C290" t="s">
        <v>9</v>
      </c>
      <c r="D290" t="s">
        <v>301</v>
      </c>
      <c r="E290" t="s">
        <v>120</v>
      </c>
      <c r="F290" t="s">
        <v>249</v>
      </c>
    </row>
    <row r="291" spans="1:6">
      <c r="A291">
        <v>35002</v>
      </c>
      <c r="B291" t="s">
        <v>18</v>
      </c>
      <c r="C291" t="s">
        <v>9</v>
      </c>
      <c r="D291" t="s">
        <v>301</v>
      </c>
      <c r="E291" t="s">
        <v>49</v>
      </c>
      <c r="F291" t="s">
        <v>302</v>
      </c>
    </row>
    <row r="292" spans="1:6">
      <c r="A292">
        <v>35003</v>
      </c>
      <c r="B292" t="s">
        <v>18</v>
      </c>
      <c r="C292" t="s">
        <v>9</v>
      </c>
      <c r="D292" t="s">
        <v>301</v>
      </c>
      <c r="E292" t="s">
        <v>124</v>
      </c>
      <c r="F292" t="s">
        <v>251</v>
      </c>
    </row>
    <row r="293" spans="1:6">
      <c r="A293">
        <v>35004</v>
      </c>
      <c r="B293" t="s">
        <v>18</v>
      </c>
      <c r="C293" t="s">
        <v>9</v>
      </c>
      <c r="D293" t="s">
        <v>301</v>
      </c>
      <c r="E293" t="s">
        <v>124</v>
      </c>
      <c r="F293" t="s">
        <v>252</v>
      </c>
    </row>
    <row r="294" spans="1:6">
      <c r="A294">
        <v>35005</v>
      </c>
      <c r="B294" t="s">
        <v>18</v>
      </c>
      <c r="C294" t="s">
        <v>9</v>
      </c>
      <c r="D294" t="s">
        <v>301</v>
      </c>
      <c r="E294" t="s">
        <v>49</v>
      </c>
      <c r="F294" t="s">
        <v>253</v>
      </c>
    </row>
    <row r="295" spans="1:6">
      <c r="A295">
        <v>35006</v>
      </c>
      <c r="B295" t="s">
        <v>18</v>
      </c>
      <c r="C295" t="s">
        <v>9</v>
      </c>
      <c r="D295" t="s">
        <v>301</v>
      </c>
      <c r="E295" t="s">
        <v>120</v>
      </c>
      <c r="F295" t="s">
        <v>303</v>
      </c>
    </row>
    <row r="296" spans="1:6">
      <c r="A296">
        <v>35007</v>
      </c>
      <c r="B296" t="s">
        <v>18</v>
      </c>
      <c r="C296" t="s">
        <v>9</v>
      </c>
      <c r="D296" t="s">
        <v>301</v>
      </c>
      <c r="E296" t="s">
        <v>49</v>
      </c>
      <c r="F296" t="s">
        <v>304</v>
      </c>
    </row>
    <row r="297" spans="1:6">
      <c r="A297">
        <v>35008</v>
      </c>
      <c r="B297" t="s">
        <v>18</v>
      </c>
      <c r="C297" t="s">
        <v>9</v>
      </c>
      <c r="D297" t="s">
        <v>301</v>
      </c>
      <c r="E297" t="s">
        <v>49</v>
      </c>
      <c r="F297" t="s">
        <v>305</v>
      </c>
    </row>
    <row r="298" spans="1:6">
      <c r="A298">
        <v>35009</v>
      </c>
      <c r="B298" t="s">
        <v>18</v>
      </c>
      <c r="C298" t="s">
        <v>9</v>
      </c>
      <c r="D298" t="s">
        <v>301</v>
      </c>
      <c r="E298" t="s">
        <v>120</v>
      </c>
      <c r="F298" t="s">
        <v>259</v>
      </c>
    </row>
    <row r="299" spans="1:6">
      <c r="A299">
        <v>35010</v>
      </c>
      <c r="B299" t="s">
        <v>18</v>
      </c>
      <c r="C299" t="s">
        <v>9</v>
      </c>
      <c r="D299" t="s">
        <v>301</v>
      </c>
      <c r="E299" t="s">
        <v>49</v>
      </c>
      <c r="F299" t="s">
        <v>260</v>
      </c>
    </row>
    <row r="300" spans="1:6">
      <c r="A300">
        <v>35011</v>
      </c>
      <c r="B300" t="s">
        <v>18</v>
      </c>
      <c r="C300" t="s">
        <v>9</v>
      </c>
      <c r="D300" t="s">
        <v>301</v>
      </c>
      <c r="E300" t="s">
        <v>120</v>
      </c>
      <c r="F300" t="s">
        <v>273</v>
      </c>
    </row>
    <row r="301" spans="1:6">
      <c r="A301">
        <v>35012</v>
      </c>
      <c r="B301" t="s">
        <v>18</v>
      </c>
      <c r="C301" t="s">
        <v>9</v>
      </c>
      <c r="D301" t="s">
        <v>301</v>
      </c>
      <c r="E301" t="s">
        <v>49</v>
      </c>
      <c r="F301" t="s">
        <v>276</v>
      </c>
    </row>
    <row r="302" spans="1:6">
      <c r="A302">
        <v>35013</v>
      </c>
      <c r="B302" t="s">
        <v>18</v>
      </c>
      <c r="C302" t="s">
        <v>9</v>
      </c>
      <c r="D302" t="s">
        <v>301</v>
      </c>
      <c r="E302" t="s">
        <v>58</v>
      </c>
      <c r="F302" t="s">
        <v>306</v>
      </c>
    </row>
    <row r="303" spans="1:6">
      <c r="A303">
        <v>35014</v>
      </c>
      <c r="B303" t="s">
        <v>18</v>
      </c>
      <c r="C303" t="s">
        <v>9</v>
      </c>
      <c r="D303" t="s">
        <v>301</v>
      </c>
      <c r="E303" t="s">
        <v>49</v>
      </c>
      <c r="F303" t="s">
        <v>307</v>
      </c>
    </row>
    <row r="304" spans="1:6">
      <c r="A304">
        <v>35015</v>
      </c>
      <c r="B304" t="s">
        <v>18</v>
      </c>
      <c r="C304" t="s">
        <v>9</v>
      </c>
      <c r="D304" t="s">
        <v>301</v>
      </c>
      <c r="E304" t="s">
        <v>49</v>
      </c>
      <c r="F304" t="s">
        <v>277</v>
      </c>
    </row>
    <row r="305" spans="1:6">
      <c r="A305">
        <v>35016</v>
      </c>
      <c r="B305" t="s">
        <v>18</v>
      </c>
      <c r="C305" t="s">
        <v>9</v>
      </c>
      <c r="D305" t="s">
        <v>301</v>
      </c>
      <c r="E305" t="s">
        <v>120</v>
      </c>
      <c r="F305" t="s">
        <v>278</v>
      </c>
    </row>
    <row r="306" spans="1:6">
      <c r="A306">
        <v>35017</v>
      </c>
      <c r="B306" t="s">
        <v>18</v>
      </c>
      <c r="C306" t="s">
        <v>9</v>
      </c>
      <c r="D306" t="s">
        <v>301</v>
      </c>
      <c r="E306" t="s">
        <v>49</v>
      </c>
      <c r="F306" t="s">
        <v>286</v>
      </c>
    </row>
    <row r="307" spans="1:6">
      <c r="A307">
        <v>35018</v>
      </c>
      <c r="B307" t="s">
        <v>18</v>
      </c>
      <c r="C307" t="s">
        <v>9</v>
      </c>
      <c r="D307" t="s">
        <v>301</v>
      </c>
      <c r="E307" t="s">
        <v>49</v>
      </c>
      <c r="F307" t="s">
        <v>288</v>
      </c>
    </row>
    <row r="308" spans="1:6">
      <c r="A308">
        <v>35019</v>
      </c>
      <c r="B308" t="s">
        <v>18</v>
      </c>
      <c r="C308" t="s">
        <v>9</v>
      </c>
      <c r="D308" t="s">
        <v>301</v>
      </c>
      <c r="E308" t="s">
        <v>120</v>
      </c>
      <c r="F308" t="s">
        <v>297</v>
      </c>
    </row>
    <row r="309" spans="1:6">
      <c r="A309">
        <v>35020</v>
      </c>
      <c r="B309" t="s">
        <v>18</v>
      </c>
      <c r="C309" t="s">
        <v>9</v>
      </c>
      <c r="D309" t="s">
        <v>301</v>
      </c>
      <c r="E309" t="s">
        <v>49</v>
      </c>
      <c r="F309" t="s">
        <v>298</v>
      </c>
    </row>
    <row r="310" spans="1:6">
      <c r="A310">
        <v>35021</v>
      </c>
      <c r="B310" t="s">
        <v>18</v>
      </c>
      <c r="C310" t="s">
        <v>9</v>
      </c>
      <c r="D310" t="s">
        <v>301</v>
      </c>
      <c r="E310" t="s">
        <v>58</v>
      </c>
      <c r="F310" t="s">
        <v>306</v>
      </c>
    </row>
    <row r="311" spans="1:6">
      <c r="A311">
        <v>35022</v>
      </c>
      <c r="B311" t="s">
        <v>18</v>
      </c>
      <c r="C311" t="s">
        <v>9</v>
      </c>
      <c r="D311" t="s">
        <v>301</v>
      </c>
      <c r="E311" t="s">
        <v>49</v>
      </c>
      <c r="F311" t="s">
        <v>300</v>
      </c>
    </row>
    <row r="312" spans="1:6">
      <c r="B312" t="s">
        <v>18</v>
      </c>
      <c r="C312" t="s">
        <v>9</v>
      </c>
      <c r="D312" t="s">
        <v>301</v>
      </c>
      <c r="E312" t="s">
        <v>49</v>
      </c>
      <c r="F312" t="s">
        <v>57</v>
      </c>
    </row>
    <row r="313" spans="1:6">
      <c r="B313" t="s">
        <v>18</v>
      </c>
      <c r="C313" t="s">
        <v>9</v>
      </c>
      <c r="D313" t="s">
        <v>301</v>
      </c>
      <c r="E313" t="s">
        <v>58</v>
      </c>
      <c r="F313" t="s">
        <v>59</v>
      </c>
    </row>
    <row r="314" spans="1:6">
      <c r="A314">
        <v>36000</v>
      </c>
      <c r="B314" t="s">
        <v>18</v>
      </c>
      <c r="C314" t="s">
        <v>9</v>
      </c>
      <c r="D314" t="s">
        <v>308</v>
      </c>
      <c r="E314" t="s">
        <v>119</v>
      </c>
      <c r="F314" t="s">
        <v>308</v>
      </c>
    </row>
    <row r="315" spans="1:6">
      <c r="A315">
        <v>36001</v>
      </c>
      <c r="B315" t="s">
        <v>18</v>
      </c>
      <c r="C315" t="s">
        <v>9</v>
      </c>
      <c r="D315" t="s">
        <v>308</v>
      </c>
      <c r="E315" t="s">
        <v>120</v>
      </c>
      <c r="F315" t="s">
        <v>309</v>
      </c>
    </row>
    <row r="316" spans="1:6">
      <c r="A316">
        <v>36002</v>
      </c>
      <c r="B316" t="s">
        <v>18</v>
      </c>
      <c r="C316" t="s">
        <v>9</v>
      </c>
      <c r="D316" t="s">
        <v>308</v>
      </c>
      <c r="E316" t="s">
        <v>49</v>
      </c>
      <c r="F316" t="s">
        <v>310</v>
      </c>
    </row>
    <row r="317" spans="1:6">
      <c r="A317">
        <v>36003</v>
      </c>
      <c r="B317" t="s">
        <v>18</v>
      </c>
      <c r="C317" t="s">
        <v>9</v>
      </c>
      <c r="D317" t="s">
        <v>308</v>
      </c>
      <c r="E317" t="s">
        <v>124</v>
      </c>
      <c r="F317" t="s">
        <v>311</v>
      </c>
    </row>
    <row r="318" spans="1:6">
      <c r="A318">
        <v>36004</v>
      </c>
      <c r="B318" t="s">
        <v>18</v>
      </c>
      <c r="C318" t="s">
        <v>9</v>
      </c>
      <c r="D318" t="s">
        <v>308</v>
      </c>
      <c r="E318" t="s">
        <v>49</v>
      </c>
      <c r="F318" t="s">
        <v>312</v>
      </c>
    </row>
    <row r="319" spans="1:6">
      <c r="A319">
        <v>36005</v>
      </c>
      <c r="B319" t="s">
        <v>18</v>
      </c>
      <c r="C319" t="s">
        <v>9</v>
      </c>
      <c r="D319" t="s">
        <v>308</v>
      </c>
      <c r="E319" t="s">
        <v>49</v>
      </c>
      <c r="F319" t="s">
        <v>313</v>
      </c>
    </row>
    <row r="320" spans="1:6">
      <c r="A320">
        <v>36006</v>
      </c>
      <c r="B320" t="s">
        <v>18</v>
      </c>
      <c r="C320" t="s">
        <v>9</v>
      </c>
      <c r="D320" t="s">
        <v>308</v>
      </c>
      <c r="E320" t="s">
        <v>66</v>
      </c>
      <c r="F320" t="s">
        <v>314</v>
      </c>
    </row>
    <row r="321" spans="1:6">
      <c r="A321">
        <v>36007</v>
      </c>
      <c r="B321" t="s">
        <v>18</v>
      </c>
      <c r="C321" t="s">
        <v>9</v>
      </c>
      <c r="D321" t="s">
        <v>308</v>
      </c>
      <c r="E321" t="s">
        <v>66</v>
      </c>
      <c r="F321" t="s">
        <v>315</v>
      </c>
    </row>
    <row r="322" spans="1:6">
      <c r="A322">
        <v>36008</v>
      </c>
      <c r="B322" t="s">
        <v>18</v>
      </c>
      <c r="C322" t="s">
        <v>9</v>
      </c>
      <c r="D322" t="s">
        <v>308</v>
      </c>
      <c r="E322" t="s">
        <v>66</v>
      </c>
      <c r="F322" t="s">
        <v>316</v>
      </c>
    </row>
    <row r="323" spans="1:6">
      <c r="A323">
        <v>36009</v>
      </c>
      <c r="B323" t="s">
        <v>18</v>
      </c>
      <c r="C323" t="s">
        <v>9</v>
      </c>
      <c r="D323" t="s">
        <v>308</v>
      </c>
      <c r="E323" t="s">
        <v>66</v>
      </c>
      <c r="F323" t="s">
        <v>317</v>
      </c>
    </row>
    <row r="324" spans="1:6">
      <c r="A324">
        <v>36010</v>
      </c>
      <c r="B324" t="s">
        <v>18</v>
      </c>
      <c r="C324" t="s">
        <v>9</v>
      </c>
      <c r="D324" t="s">
        <v>308</v>
      </c>
      <c r="E324" t="s">
        <v>49</v>
      </c>
      <c r="F324" t="s">
        <v>318</v>
      </c>
    </row>
    <row r="325" spans="1:6">
      <c r="A325">
        <v>36011</v>
      </c>
      <c r="B325" t="s">
        <v>18</v>
      </c>
      <c r="C325" t="s">
        <v>9</v>
      </c>
      <c r="D325" t="s">
        <v>308</v>
      </c>
      <c r="E325" t="s">
        <v>120</v>
      </c>
      <c r="F325" t="s">
        <v>319</v>
      </c>
    </row>
    <row r="326" spans="1:6">
      <c r="A326">
        <v>36012</v>
      </c>
      <c r="B326" t="s">
        <v>18</v>
      </c>
      <c r="C326" t="s">
        <v>9</v>
      </c>
      <c r="D326" t="s">
        <v>308</v>
      </c>
      <c r="E326" t="s">
        <v>49</v>
      </c>
      <c r="F326" t="s">
        <v>320</v>
      </c>
    </row>
    <row r="327" spans="1:6">
      <c r="A327">
        <v>36013</v>
      </c>
      <c r="B327" t="s">
        <v>18</v>
      </c>
      <c r="C327" t="s">
        <v>9</v>
      </c>
      <c r="D327" t="s">
        <v>308</v>
      </c>
      <c r="E327" t="s">
        <v>49</v>
      </c>
      <c r="F327" t="s">
        <v>321</v>
      </c>
    </row>
    <row r="328" spans="1:6">
      <c r="A328">
        <v>36014</v>
      </c>
      <c r="B328" t="s">
        <v>18</v>
      </c>
      <c r="C328" t="s">
        <v>9</v>
      </c>
      <c r="D328" t="s">
        <v>308</v>
      </c>
      <c r="E328" t="s">
        <v>49</v>
      </c>
      <c r="F328" t="s">
        <v>322</v>
      </c>
    </row>
    <row r="329" spans="1:6">
      <c r="A329">
        <v>36015</v>
      </c>
      <c r="B329" t="s">
        <v>18</v>
      </c>
      <c r="C329" t="s">
        <v>9</v>
      </c>
      <c r="D329" t="s">
        <v>308</v>
      </c>
      <c r="E329" t="s">
        <v>49</v>
      </c>
      <c r="F329" t="s">
        <v>323</v>
      </c>
    </row>
    <row r="330" spans="1:6">
      <c r="B330" t="s">
        <v>18</v>
      </c>
      <c r="C330" t="s">
        <v>9</v>
      </c>
      <c r="D330" t="s">
        <v>308</v>
      </c>
      <c r="E330" t="s">
        <v>49</v>
      </c>
      <c r="F330" t="s">
        <v>57</v>
      </c>
    </row>
    <row r="331" spans="1:6">
      <c r="B331" t="s">
        <v>18</v>
      </c>
      <c r="C331" t="s">
        <v>9</v>
      </c>
      <c r="D331" t="s">
        <v>308</v>
      </c>
      <c r="E331" t="s">
        <v>58</v>
      </c>
      <c r="F331" t="s">
        <v>59</v>
      </c>
    </row>
    <row r="332" spans="1:6">
      <c r="A332">
        <v>37000</v>
      </c>
      <c r="B332" t="s">
        <v>18</v>
      </c>
      <c r="C332" t="s">
        <v>9</v>
      </c>
      <c r="D332" t="s">
        <v>324</v>
      </c>
      <c r="E332" t="s">
        <v>119</v>
      </c>
      <c r="F332" t="s">
        <v>324</v>
      </c>
    </row>
    <row r="333" spans="1:6">
      <c r="A333">
        <v>37001</v>
      </c>
      <c r="B333" t="s">
        <v>18</v>
      </c>
      <c r="C333" t="s">
        <v>9</v>
      </c>
      <c r="D333" t="s">
        <v>324</v>
      </c>
      <c r="E333" t="s">
        <v>120</v>
      </c>
      <c r="F333" t="s">
        <v>325</v>
      </c>
    </row>
    <row r="334" spans="1:6">
      <c r="A334">
        <v>37002</v>
      </c>
      <c r="B334" t="s">
        <v>18</v>
      </c>
      <c r="C334" t="s">
        <v>9</v>
      </c>
      <c r="D334" t="s">
        <v>324</v>
      </c>
      <c r="E334" t="s">
        <v>49</v>
      </c>
      <c r="F334" t="s">
        <v>326</v>
      </c>
    </row>
    <row r="335" spans="1:6">
      <c r="A335">
        <v>37003</v>
      </c>
      <c r="B335" t="s">
        <v>18</v>
      </c>
      <c r="C335" t="s">
        <v>9</v>
      </c>
      <c r="D335" t="s">
        <v>324</v>
      </c>
      <c r="E335" t="s">
        <v>49</v>
      </c>
      <c r="F335" t="s">
        <v>327</v>
      </c>
    </row>
    <row r="336" spans="1:6">
      <c r="A336">
        <v>37004</v>
      </c>
      <c r="B336" t="s">
        <v>18</v>
      </c>
      <c r="C336" t="s">
        <v>9</v>
      </c>
      <c r="D336" t="s">
        <v>324</v>
      </c>
      <c r="E336" t="s">
        <v>49</v>
      </c>
      <c r="F336" t="s">
        <v>328</v>
      </c>
    </row>
    <row r="337" spans="1:6">
      <c r="A337">
        <v>37005</v>
      </c>
      <c r="B337" t="s">
        <v>18</v>
      </c>
      <c r="C337" t="s">
        <v>9</v>
      </c>
      <c r="D337" t="s">
        <v>324</v>
      </c>
      <c r="E337" t="s">
        <v>49</v>
      </c>
      <c r="F337" t="s">
        <v>329</v>
      </c>
    </row>
    <row r="338" spans="1:6">
      <c r="A338">
        <v>37006</v>
      </c>
      <c r="B338" t="s">
        <v>18</v>
      </c>
      <c r="C338" t="s">
        <v>9</v>
      </c>
      <c r="D338" t="s">
        <v>324</v>
      </c>
      <c r="E338" t="s">
        <v>124</v>
      </c>
      <c r="F338" t="s">
        <v>330</v>
      </c>
    </row>
    <row r="339" spans="1:6">
      <c r="A339">
        <v>37007</v>
      </c>
      <c r="B339" t="s">
        <v>18</v>
      </c>
      <c r="C339" t="s">
        <v>9</v>
      </c>
      <c r="D339" t="s">
        <v>324</v>
      </c>
      <c r="E339" t="s">
        <v>124</v>
      </c>
      <c r="F339" t="s">
        <v>331</v>
      </c>
    </row>
    <row r="340" spans="1:6">
      <c r="A340">
        <v>37008</v>
      </c>
      <c r="B340" t="s">
        <v>18</v>
      </c>
      <c r="C340" t="s">
        <v>9</v>
      </c>
      <c r="D340" t="s">
        <v>324</v>
      </c>
      <c r="E340" t="s">
        <v>49</v>
      </c>
      <c r="F340" t="s">
        <v>332</v>
      </c>
    </row>
    <row r="341" spans="1:6">
      <c r="A341">
        <v>37009</v>
      </c>
      <c r="B341" t="s">
        <v>18</v>
      </c>
      <c r="C341" t="s">
        <v>9</v>
      </c>
      <c r="D341" t="s">
        <v>324</v>
      </c>
      <c r="E341" t="s">
        <v>58</v>
      </c>
      <c r="F341" t="s">
        <v>333</v>
      </c>
    </row>
    <row r="342" spans="1:6">
      <c r="A342">
        <v>37010</v>
      </c>
      <c r="B342" t="s">
        <v>18</v>
      </c>
      <c r="C342" t="s">
        <v>9</v>
      </c>
      <c r="D342" t="s">
        <v>324</v>
      </c>
      <c r="E342" t="s">
        <v>120</v>
      </c>
      <c r="F342" t="s">
        <v>334</v>
      </c>
    </row>
    <row r="343" spans="1:6">
      <c r="A343">
        <v>37011</v>
      </c>
      <c r="B343" t="s">
        <v>18</v>
      </c>
      <c r="C343" t="s">
        <v>9</v>
      </c>
      <c r="D343" t="s">
        <v>324</v>
      </c>
      <c r="E343" t="s">
        <v>49</v>
      </c>
      <c r="F343" t="s">
        <v>335</v>
      </c>
    </row>
    <row r="344" spans="1:6">
      <c r="A344">
        <v>37012</v>
      </c>
      <c r="B344" t="s">
        <v>18</v>
      </c>
      <c r="C344" t="s">
        <v>9</v>
      </c>
      <c r="D344" t="s">
        <v>324</v>
      </c>
      <c r="E344" t="s">
        <v>49</v>
      </c>
      <c r="F344" t="s">
        <v>336</v>
      </c>
    </row>
    <row r="345" spans="1:6">
      <c r="A345">
        <v>37013</v>
      </c>
      <c r="B345" t="s">
        <v>18</v>
      </c>
      <c r="C345" t="s">
        <v>9</v>
      </c>
      <c r="D345" t="s">
        <v>324</v>
      </c>
      <c r="E345" t="s">
        <v>49</v>
      </c>
      <c r="F345" t="s">
        <v>337</v>
      </c>
    </row>
    <row r="346" spans="1:6">
      <c r="A346">
        <v>37014</v>
      </c>
      <c r="B346" t="s">
        <v>18</v>
      </c>
      <c r="C346" t="s">
        <v>9</v>
      </c>
      <c r="D346" t="s">
        <v>324</v>
      </c>
      <c r="E346" t="s">
        <v>49</v>
      </c>
      <c r="F346" t="s">
        <v>318</v>
      </c>
    </row>
    <row r="347" spans="1:6">
      <c r="A347">
        <v>37015</v>
      </c>
      <c r="B347" t="s">
        <v>18</v>
      </c>
      <c r="C347" t="s">
        <v>9</v>
      </c>
      <c r="D347" t="s">
        <v>324</v>
      </c>
      <c r="E347" t="s">
        <v>58</v>
      </c>
      <c r="F347" t="s">
        <v>333</v>
      </c>
    </row>
    <row r="348" spans="1:6">
      <c r="B348" t="s">
        <v>18</v>
      </c>
      <c r="C348" t="s">
        <v>9</v>
      </c>
      <c r="D348" t="s">
        <v>324</v>
      </c>
      <c r="E348" t="s">
        <v>49</v>
      </c>
      <c r="F348" t="s">
        <v>57</v>
      </c>
    </row>
    <row r="349" spans="1:6">
      <c r="B349" t="s">
        <v>18</v>
      </c>
      <c r="C349" t="s">
        <v>9</v>
      </c>
      <c r="D349" t="s">
        <v>324</v>
      </c>
      <c r="E349" t="s">
        <v>58</v>
      </c>
      <c r="F349" t="s">
        <v>59</v>
      </c>
    </row>
    <row r="350" spans="1:6">
      <c r="A350">
        <v>38000</v>
      </c>
      <c r="B350" t="s">
        <v>18</v>
      </c>
      <c r="C350" t="s">
        <v>9</v>
      </c>
      <c r="D350" t="s">
        <v>338</v>
      </c>
      <c r="E350" t="s">
        <v>48</v>
      </c>
      <c r="F350" t="s">
        <v>338</v>
      </c>
    </row>
    <row r="351" spans="1:6">
      <c r="A351">
        <v>38001</v>
      </c>
      <c r="B351" t="s">
        <v>18</v>
      </c>
      <c r="C351" t="s">
        <v>9</v>
      </c>
      <c r="D351" t="s">
        <v>338</v>
      </c>
      <c r="E351" t="s">
        <v>49</v>
      </c>
      <c r="F351" t="s">
        <v>339</v>
      </c>
    </row>
    <row r="352" spans="1:6">
      <c r="A352">
        <v>38002</v>
      </c>
      <c r="B352" t="s">
        <v>18</v>
      </c>
      <c r="C352" t="s">
        <v>9</v>
      </c>
      <c r="D352" t="s">
        <v>338</v>
      </c>
      <c r="E352" t="s">
        <v>49</v>
      </c>
      <c r="F352" t="s">
        <v>340</v>
      </c>
    </row>
    <row r="353" spans="1:6">
      <c r="A353">
        <v>38003</v>
      </c>
      <c r="B353" t="s">
        <v>18</v>
      </c>
      <c r="C353" t="s">
        <v>9</v>
      </c>
      <c r="D353" t="s">
        <v>338</v>
      </c>
      <c r="E353" t="s">
        <v>49</v>
      </c>
      <c r="F353" t="s">
        <v>341</v>
      </c>
    </row>
    <row r="354" spans="1:6">
      <c r="A354">
        <v>38004</v>
      </c>
      <c r="B354" t="s">
        <v>18</v>
      </c>
      <c r="C354" t="s">
        <v>9</v>
      </c>
      <c r="D354" t="s">
        <v>338</v>
      </c>
      <c r="E354" t="s">
        <v>49</v>
      </c>
      <c r="F354" t="s">
        <v>342</v>
      </c>
    </row>
    <row r="355" spans="1:6">
      <c r="B355" t="s">
        <v>18</v>
      </c>
      <c r="C355" t="s">
        <v>9</v>
      </c>
      <c r="D355" t="s">
        <v>338</v>
      </c>
      <c r="E355" t="s">
        <v>49</v>
      </c>
      <c r="F355" t="s">
        <v>57</v>
      </c>
    </row>
    <row r="356" spans="1:6">
      <c r="B356" t="s">
        <v>18</v>
      </c>
      <c r="C356" t="s">
        <v>9</v>
      </c>
      <c r="D356" t="s">
        <v>338</v>
      </c>
      <c r="E356" t="s">
        <v>58</v>
      </c>
      <c r="F356" t="s">
        <v>59</v>
      </c>
    </row>
    <row r="357" spans="1:6">
      <c r="A357">
        <v>39000</v>
      </c>
      <c r="B357" t="s">
        <v>18</v>
      </c>
      <c r="C357" t="s">
        <v>9</v>
      </c>
      <c r="D357" t="s">
        <v>343</v>
      </c>
      <c r="E357" t="s">
        <v>48</v>
      </c>
      <c r="F357" t="s">
        <v>343</v>
      </c>
    </row>
    <row r="358" spans="1:6">
      <c r="A358">
        <v>39001</v>
      </c>
      <c r="B358" t="s">
        <v>18</v>
      </c>
      <c r="C358" t="s">
        <v>9</v>
      </c>
      <c r="D358" t="s">
        <v>343</v>
      </c>
      <c r="E358" t="s">
        <v>49</v>
      </c>
      <c r="F358" t="s">
        <v>339</v>
      </c>
    </row>
    <row r="359" spans="1:6">
      <c r="A359">
        <v>39002</v>
      </c>
      <c r="B359" t="s">
        <v>18</v>
      </c>
      <c r="C359" t="s">
        <v>9</v>
      </c>
      <c r="D359" t="s">
        <v>343</v>
      </c>
      <c r="E359" t="s">
        <v>49</v>
      </c>
      <c r="F359" t="s">
        <v>340</v>
      </c>
    </row>
    <row r="360" spans="1:6">
      <c r="A360">
        <v>39003</v>
      </c>
      <c r="B360" t="s">
        <v>18</v>
      </c>
      <c r="C360" t="s">
        <v>9</v>
      </c>
      <c r="D360" t="s">
        <v>343</v>
      </c>
      <c r="E360" t="s">
        <v>49</v>
      </c>
      <c r="F360" t="s">
        <v>341</v>
      </c>
    </row>
    <row r="361" spans="1:6">
      <c r="A361">
        <v>39004</v>
      </c>
      <c r="B361" t="s">
        <v>18</v>
      </c>
      <c r="C361" t="s">
        <v>9</v>
      </c>
      <c r="D361" t="s">
        <v>343</v>
      </c>
      <c r="E361" t="s">
        <v>49</v>
      </c>
      <c r="F361" t="s">
        <v>344</v>
      </c>
    </row>
    <row r="362" spans="1:6">
      <c r="B362" t="s">
        <v>18</v>
      </c>
      <c r="C362" t="s">
        <v>9</v>
      </c>
      <c r="D362" t="s">
        <v>343</v>
      </c>
      <c r="E362" t="s">
        <v>49</v>
      </c>
      <c r="F362" t="s">
        <v>57</v>
      </c>
    </row>
    <row r="363" spans="1:6">
      <c r="B363" t="s">
        <v>18</v>
      </c>
      <c r="C363" t="s">
        <v>9</v>
      </c>
      <c r="D363" t="s">
        <v>343</v>
      </c>
      <c r="E363" t="s">
        <v>58</v>
      </c>
      <c r="F363" t="s">
        <v>59</v>
      </c>
    </row>
    <row r="364" spans="1:6">
      <c r="A364">
        <v>40000</v>
      </c>
      <c r="B364" t="s">
        <v>18</v>
      </c>
      <c r="C364" t="s">
        <v>9</v>
      </c>
      <c r="D364" t="s">
        <v>345</v>
      </c>
      <c r="E364" t="s">
        <v>48</v>
      </c>
      <c r="F364" t="s">
        <v>345</v>
      </c>
    </row>
    <row r="365" spans="1:6">
      <c r="A365">
        <v>40001</v>
      </c>
      <c r="B365" t="s">
        <v>18</v>
      </c>
      <c r="C365" t="s">
        <v>9</v>
      </c>
      <c r="D365" t="s">
        <v>345</v>
      </c>
      <c r="E365" t="s">
        <v>49</v>
      </c>
      <c r="F365" t="s">
        <v>339</v>
      </c>
    </row>
    <row r="366" spans="1:6">
      <c r="A366">
        <v>40002</v>
      </c>
      <c r="B366" t="s">
        <v>18</v>
      </c>
      <c r="C366" t="s">
        <v>9</v>
      </c>
      <c r="D366" t="s">
        <v>345</v>
      </c>
      <c r="E366" t="s">
        <v>49</v>
      </c>
      <c r="F366" t="s">
        <v>340</v>
      </c>
    </row>
    <row r="367" spans="1:6">
      <c r="A367">
        <v>40003</v>
      </c>
      <c r="B367" t="s">
        <v>18</v>
      </c>
      <c r="C367" t="s">
        <v>9</v>
      </c>
      <c r="D367" t="s">
        <v>345</v>
      </c>
      <c r="E367" t="s">
        <v>49</v>
      </c>
      <c r="F367" t="s">
        <v>341</v>
      </c>
    </row>
    <row r="368" spans="1:6">
      <c r="A368">
        <v>40004</v>
      </c>
      <c r="B368" t="s">
        <v>18</v>
      </c>
      <c r="C368" t="s">
        <v>9</v>
      </c>
      <c r="D368" t="s">
        <v>345</v>
      </c>
      <c r="E368" t="s">
        <v>49</v>
      </c>
      <c r="F368" t="s">
        <v>346</v>
      </c>
    </row>
    <row r="369" spans="1:6">
      <c r="B369" t="s">
        <v>18</v>
      </c>
      <c r="C369" t="s">
        <v>9</v>
      </c>
      <c r="D369" t="s">
        <v>345</v>
      </c>
      <c r="E369" t="s">
        <v>49</v>
      </c>
      <c r="F369" t="s">
        <v>57</v>
      </c>
    </row>
    <row r="370" spans="1:6">
      <c r="B370" t="s">
        <v>18</v>
      </c>
      <c r="C370" t="s">
        <v>9</v>
      </c>
      <c r="D370" t="s">
        <v>345</v>
      </c>
      <c r="E370" t="s">
        <v>58</v>
      </c>
      <c r="F370" t="s">
        <v>59</v>
      </c>
    </row>
    <row r="371" spans="1:6">
      <c r="A371">
        <v>41000</v>
      </c>
      <c r="B371" t="s">
        <v>18</v>
      </c>
      <c r="C371" t="s">
        <v>9</v>
      </c>
      <c r="D371" t="s">
        <v>347</v>
      </c>
      <c r="E371" t="s">
        <v>48</v>
      </c>
      <c r="F371" t="s">
        <v>347</v>
      </c>
    </row>
    <row r="372" spans="1:6">
      <c r="A372">
        <v>41001</v>
      </c>
      <c r="B372" t="s">
        <v>18</v>
      </c>
      <c r="C372" t="s">
        <v>9</v>
      </c>
      <c r="D372" t="s">
        <v>347</v>
      </c>
      <c r="E372" t="s">
        <v>49</v>
      </c>
      <c r="F372" t="s">
        <v>348</v>
      </c>
    </row>
    <row r="373" spans="1:6">
      <c r="A373">
        <v>41002</v>
      </c>
      <c r="B373" t="s">
        <v>18</v>
      </c>
      <c r="C373" t="s">
        <v>9</v>
      </c>
      <c r="D373" t="s">
        <v>347</v>
      </c>
      <c r="E373" t="s">
        <v>49</v>
      </c>
      <c r="F373" t="s">
        <v>349</v>
      </c>
    </row>
    <row r="374" spans="1:6">
      <c r="A374">
        <v>41003</v>
      </c>
      <c r="B374" t="s">
        <v>18</v>
      </c>
      <c r="C374" t="s">
        <v>9</v>
      </c>
      <c r="D374" t="s">
        <v>347</v>
      </c>
      <c r="E374" t="s">
        <v>49</v>
      </c>
      <c r="F374" t="s">
        <v>350</v>
      </c>
    </row>
    <row r="375" spans="1:6">
      <c r="A375">
        <v>41004</v>
      </c>
      <c r="B375" t="s">
        <v>18</v>
      </c>
      <c r="C375" t="s">
        <v>9</v>
      </c>
      <c r="D375" t="s">
        <v>347</v>
      </c>
      <c r="E375" t="s">
        <v>49</v>
      </c>
      <c r="F375" t="s">
        <v>351</v>
      </c>
    </row>
    <row r="376" spans="1:6">
      <c r="A376">
        <v>41005</v>
      </c>
      <c r="B376" t="s">
        <v>18</v>
      </c>
      <c r="C376" t="s">
        <v>9</v>
      </c>
      <c r="D376" t="s">
        <v>347</v>
      </c>
      <c r="E376" t="s">
        <v>49</v>
      </c>
      <c r="F376" t="s">
        <v>352</v>
      </c>
    </row>
    <row r="377" spans="1:6">
      <c r="A377">
        <v>41006</v>
      </c>
      <c r="B377" t="s">
        <v>18</v>
      </c>
      <c r="C377" t="s">
        <v>9</v>
      </c>
      <c r="D377" t="s">
        <v>347</v>
      </c>
      <c r="E377" t="s">
        <v>49</v>
      </c>
      <c r="F377" t="s">
        <v>353</v>
      </c>
    </row>
    <row r="378" spans="1:6">
      <c r="A378">
        <v>41007</v>
      </c>
      <c r="B378" t="s">
        <v>18</v>
      </c>
      <c r="C378" t="s">
        <v>9</v>
      </c>
      <c r="D378" t="s">
        <v>347</v>
      </c>
      <c r="E378" t="s">
        <v>49</v>
      </c>
      <c r="F378" t="s">
        <v>354</v>
      </c>
    </row>
    <row r="379" spans="1:6">
      <c r="B379" t="s">
        <v>18</v>
      </c>
      <c r="C379" t="s">
        <v>9</v>
      </c>
      <c r="D379" t="s">
        <v>347</v>
      </c>
      <c r="E379" t="s">
        <v>49</v>
      </c>
      <c r="F379" t="s">
        <v>57</v>
      </c>
    </row>
    <row r="380" spans="1:6">
      <c r="B380" t="s">
        <v>18</v>
      </c>
      <c r="C380" t="s">
        <v>9</v>
      </c>
      <c r="D380" t="s">
        <v>347</v>
      </c>
      <c r="E380" t="s">
        <v>58</v>
      </c>
      <c r="F380" t="s">
        <v>59</v>
      </c>
    </row>
    <row r="381" spans="1:6">
      <c r="A381">
        <v>42000</v>
      </c>
      <c r="B381" t="s">
        <v>18</v>
      </c>
      <c r="C381" t="s">
        <v>9</v>
      </c>
      <c r="D381" t="s">
        <v>355</v>
      </c>
      <c r="E381" t="s">
        <v>48</v>
      </c>
      <c r="F381" t="s">
        <v>355</v>
      </c>
    </row>
    <row r="382" spans="1:6">
      <c r="A382">
        <v>42001</v>
      </c>
      <c r="B382" t="s">
        <v>18</v>
      </c>
      <c r="C382" t="s">
        <v>9</v>
      </c>
      <c r="D382" t="s">
        <v>355</v>
      </c>
      <c r="E382" t="s">
        <v>49</v>
      </c>
      <c r="F382" t="s">
        <v>339</v>
      </c>
    </row>
    <row r="383" spans="1:6">
      <c r="A383">
        <v>42002</v>
      </c>
      <c r="B383" t="s">
        <v>18</v>
      </c>
      <c r="C383" t="s">
        <v>9</v>
      </c>
      <c r="D383" t="s">
        <v>355</v>
      </c>
      <c r="E383" t="s">
        <v>49</v>
      </c>
      <c r="F383" t="s">
        <v>265</v>
      </c>
    </row>
    <row r="384" spans="1:6">
      <c r="A384">
        <v>42003</v>
      </c>
      <c r="B384" t="s">
        <v>18</v>
      </c>
      <c r="C384" t="s">
        <v>9</v>
      </c>
      <c r="D384" t="s">
        <v>355</v>
      </c>
      <c r="E384" t="s">
        <v>49</v>
      </c>
      <c r="F384" t="s">
        <v>340</v>
      </c>
    </row>
    <row r="385" spans="1:6">
      <c r="A385">
        <v>42004</v>
      </c>
      <c r="B385" t="s">
        <v>18</v>
      </c>
      <c r="C385" t="s">
        <v>9</v>
      </c>
      <c r="D385" t="s">
        <v>355</v>
      </c>
      <c r="E385" t="s">
        <v>49</v>
      </c>
      <c r="F385" t="s">
        <v>356</v>
      </c>
    </row>
    <row r="386" spans="1:6">
      <c r="A386">
        <v>42005</v>
      </c>
      <c r="B386" t="s">
        <v>18</v>
      </c>
      <c r="C386" t="s">
        <v>9</v>
      </c>
      <c r="D386" t="s">
        <v>355</v>
      </c>
      <c r="E386" t="s">
        <v>49</v>
      </c>
      <c r="F386" t="s">
        <v>357</v>
      </c>
    </row>
    <row r="387" spans="1:6">
      <c r="A387">
        <v>42006</v>
      </c>
      <c r="B387" t="s">
        <v>18</v>
      </c>
      <c r="C387" t="s">
        <v>9</v>
      </c>
      <c r="D387" t="s">
        <v>355</v>
      </c>
      <c r="E387" t="s">
        <v>49</v>
      </c>
      <c r="F387" t="s">
        <v>358</v>
      </c>
    </row>
    <row r="388" spans="1:6">
      <c r="B388" t="s">
        <v>18</v>
      </c>
      <c r="C388" t="s">
        <v>9</v>
      </c>
      <c r="D388" t="s">
        <v>355</v>
      </c>
      <c r="E388" t="s">
        <v>49</v>
      </c>
      <c r="F388" t="s">
        <v>57</v>
      </c>
    </row>
    <row r="389" spans="1:6">
      <c r="B389" t="s">
        <v>18</v>
      </c>
      <c r="C389" t="s">
        <v>9</v>
      </c>
      <c r="D389" t="s">
        <v>355</v>
      </c>
      <c r="E389" t="s">
        <v>58</v>
      </c>
      <c r="F389" t="s">
        <v>59</v>
      </c>
    </row>
    <row r="390" spans="1:6">
      <c r="A390">
        <v>43000</v>
      </c>
      <c r="B390" t="s">
        <v>18</v>
      </c>
      <c r="C390" t="s">
        <v>9</v>
      </c>
      <c r="D390" t="s">
        <v>359</v>
      </c>
      <c r="E390" t="s">
        <v>119</v>
      </c>
      <c r="F390" t="s">
        <v>359</v>
      </c>
    </row>
    <row r="391" spans="1:6">
      <c r="A391">
        <v>43001</v>
      </c>
      <c r="B391" t="s">
        <v>18</v>
      </c>
      <c r="C391" t="s">
        <v>9</v>
      </c>
      <c r="D391" t="s">
        <v>359</v>
      </c>
      <c r="E391" t="s">
        <v>120</v>
      </c>
      <c r="F391" t="s">
        <v>360</v>
      </c>
    </row>
    <row r="392" spans="1:6">
      <c r="A392">
        <v>43002</v>
      </c>
      <c r="B392" t="s">
        <v>18</v>
      </c>
      <c r="C392" t="s">
        <v>9</v>
      </c>
      <c r="D392" t="s">
        <v>359</v>
      </c>
      <c r="E392" t="s">
        <v>49</v>
      </c>
      <c r="F392" t="s">
        <v>361</v>
      </c>
    </row>
    <row r="393" spans="1:6">
      <c r="A393">
        <v>43003</v>
      </c>
      <c r="B393" t="s">
        <v>18</v>
      </c>
      <c r="C393" t="s">
        <v>9</v>
      </c>
      <c r="D393" t="s">
        <v>359</v>
      </c>
      <c r="E393" t="s">
        <v>49</v>
      </c>
      <c r="F393" t="s">
        <v>362</v>
      </c>
    </row>
    <row r="394" spans="1:6">
      <c r="A394">
        <v>43004</v>
      </c>
      <c r="B394" t="s">
        <v>18</v>
      </c>
      <c r="C394" t="s">
        <v>9</v>
      </c>
      <c r="D394" t="s">
        <v>359</v>
      </c>
      <c r="E394" t="s">
        <v>49</v>
      </c>
      <c r="F394" t="s">
        <v>363</v>
      </c>
    </row>
    <row r="395" spans="1:6">
      <c r="A395">
        <v>43005</v>
      </c>
      <c r="B395" t="s">
        <v>18</v>
      </c>
      <c r="C395" t="s">
        <v>9</v>
      </c>
      <c r="D395" t="s">
        <v>359</v>
      </c>
      <c r="E395" t="s">
        <v>49</v>
      </c>
      <c r="F395" t="s">
        <v>364</v>
      </c>
    </row>
    <row r="396" spans="1:6">
      <c r="A396">
        <v>43006</v>
      </c>
      <c r="B396" t="s">
        <v>18</v>
      </c>
      <c r="C396" t="s">
        <v>9</v>
      </c>
      <c r="D396" t="s">
        <v>359</v>
      </c>
      <c r="E396" t="s">
        <v>49</v>
      </c>
      <c r="F396" t="s">
        <v>365</v>
      </c>
    </row>
    <row r="397" spans="1:6">
      <c r="A397">
        <v>43007</v>
      </c>
      <c r="B397" t="s">
        <v>18</v>
      </c>
      <c r="C397" t="s">
        <v>9</v>
      </c>
      <c r="D397" t="s">
        <v>359</v>
      </c>
      <c r="E397" t="s">
        <v>120</v>
      </c>
      <c r="F397" t="s">
        <v>366</v>
      </c>
    </row>
    <row r="398" spans="1:6">
      <c r="A398">
        <v>43008</v>
      </c>
      <c r="B398" t="s">
        <v>18</v>
      </c>
      <c r="C398" t="s">
        <v>9</v>
      </c>
      <c r="D398" t="s">
        <v>359</v>
      </c>
      <c r="E398" t="s">
        <v>49</v>
      </c>
      <c r="F398" t="s">
        <v>367</v>
      </c>
    </row>
    <row r="399" spans="1:6">
      <c r="A399">
        <v>43009</v>
      </c>
      <c r="B399" t="s">
        <v>18</v>
      </c>
      <c r="C399" t="s">
        <v>9</v>
      </c>
      <c r="D399" t="s">
        <v>359</v>
      </c>
      <c r="E399" t="s">
        <v>49</v>
      </c>
      <c r="F399" t="s">
        <v>368</v>
      </c>
    </row>
    <row r="400" spans="1:6">
      <c r="A400">
        <v>43010</v>
      </c>
      <c r="B400" t="s">
        <v>18</v>
      </c>
      <c r="C400" t="s">
        <v>9</v>
      </c>
      <c r="D400" t="s">
        <v>359</v>
      </c>
      <c r="E400" t="s">
        <v>49</v>
      </c>
      <c r="F400" t="s">
        <v>369</v>
      </c>
    </row>
    <row r="401" spans="1:6">
      <c r="A401">
        <v>43011</v>
      </c>
      <c r="B401" t="s">
        <v>18</v>
      </c>
      <c r="C401" t="s">
        <v>9</v>
      </c>
      <c r="D401" t="s">
        <v>359</v>
      </c>
      <c r="E401" t="s">
        <v>49</v>
      </c>
      <c r="F401" t="s">
        <v>370</v>
      </c>
    </row>
    <row r="402" spans="1:6">
      <c r="A402">
        <v>43012</v>
      </c>
      <c r="B402" t="s">
        <v>18</v>
      </c>
      <c r="C402" t="s">
        <v>9</v>
      </c>
      <c r="D402" t="s">
        <v>359</v>
      </c>
      <c r="E402" t="s">
        <v>49</v>
      </c>
      <c r="F402" t="s">
        <v>371</v>
      </c>
    </row>
    <row r="403" spans="1:6">
      <c r="B403" t="s">
        <v>18</v>
      </c>
      <c r="C403" t="s">
        <v>9</v>
      </c>
      <c r="D403" t="s">
        <v>359</v>
      </c>
      <c r="E403" t="s">
        <v>49</v>
      </c>
      <c r="F403" t="s">
        <v>57</v>
      </c>
    </row>
    <row r="404" spans="1:6">
      <c r="B404" t="s">
        <v>18</v>
      </c>
      <c r="C404" t="s">
        <v>9</v>
      </c>
      <c r="D404" t="s">
        <v>359</v>
      </c>
      <c r="E404" t="s">
        <v>58</v>
      </c>
      <c r="F404" t="s">
        <v>59</v>
      </c>
    </row>
    <row r="405" spans="1:6">
      <c r="A405">
        <v>44000</v>
      </c>
      <c r="B405" t="s">
        <v>18</v>
      </c>
      <c r="C405" t="s">
        <v>9</v>
      </c>
      <c r="D405" t="s">
        <v>372</v>
      </c>
      <c r="E405" t="s">
        <v>119</v>
      </c>
      <c r="F405" t="s">
        <v>372</v>
      </c>
    </row>
    <row r="406" spans="1:6">
      <c r="A406">
        <v>44001</v>
      </c>
      <c r="B406" t="s">
        <v>18</v>
      </c>
      <c r="C406" t="s">
        <v>9</v>
      </c>
      <c r="D406" t="s">
        <v>372</v>
      </c>
      <c r="E406" t="s">
        <v>120</v>
      </c>
      <c r="F406" t="s">
        <v>360</v>
      </c>
    </row>
    <row r="407" spans="1:6">
      <c r="A407">
        <v>44002</v>
      </c>
      <c r="B407" t="s">
        <v>18</v>
      </c>
      <c r="C407" t="s">
        <v>9</v>
      </c>
      <c r="D407" t="s">
        <v>372</v>
      </c>
      <c r="E407" t="s">
        <v>49</v>
      </c>
      <c r="F407" t="s">
        <v>373</v>
      </c>
    </row>
    <row r="408" spans="1:6">
      <c r="A408">
        <v>44003</v>
      </c>
      <c r="B408" t="s">
        <v>18</v>
      </c>
      <c r="C408" t="s">
        <v>9</v>
      </c>
      <c r="D408" t="s">
        <v>372</v>
      </c>
      <c r="E408" t="s">
        <v>49</v>
      </c>
      <c r="F408" t="s">
        <v>374</v>
      </c>
    </row>
    <row r="409" spans="1:6">
      <c r="A409">
        <v>44004</v>
      </c>
      <c r="B409" t="s">
        <v>18</v>
      </c>
      <c r="C409" t="s">
        <v>9</v>
      </c>
      <c r="D409" t="s">
        <v>372</v>
      </c>
      <c r="E409" t="s">
        <v>120</v>
      </c>
      <c r="F409" t="s">
        <v>366</v>
      </c>
    </row>
    <row r="410" spans="1:6">
      <c r="A410">
        <v>44005</v>
      </c>
      <c r="B410" t="s">
        <v>18</v>
      </c>
      <c r="C410" t="s">
        <v>9</v>
      </c>
      <c r="D410" t="s">
        <v>372</v>
      </c>
      <c r="E410" t="s">
        <v>49</v>
      </c>
      <c r="F410" t="s">
        <v>375</v>
      </c>
    </row>
    <row r="411" spans="1:6">
      <c r="A411">
        <v>44006</v>
      </c>
      <c r="B411" t="s">
        <v>18</v>
      </c>
      <c r="C411" t="s">
        <v>9</v>
      </c>
      <c r="D411" t="s">
        <v>372</v>
      </c>
      <c r="E411" t="s">
        <v>49</v>
      </c>
      <c r="F411" t="s">
        <v>376</v>
      </c>
    </row>
    <row r="412" spans="1:6">
      <c r="A412">
        <v>44007</v>
      </c>
      <c r="B412" t="s">
        <v>18</v>
      </c>
      <c r="C412" t="s">
        <v>9</v>
      </c>
      <c r="D412" t="s">
        <v>372</v>
      </c>
      <c r="E412" t="s">
        <v>49</v>
      </c>
      <c r="F412" t="s">
        <v>377</v>
      </c>
    </row>
    <row r="413" spans="1:6">
      <c r="A413">
        <v>44008</v>
      </c>
      <c r="B413" t="s">
        <v>18</v>
      </c>
      <c r="C413" t="s">
        <v>9</v>
      </c>
      <c r="D413" t="s">
        <v>372</v>
      </c>
      <c r="E413" t="s">
        <v>49</v>
      </c>
      <c r="F413" t="s">
        <v>378</v>
      </c>
    </row>
    <row r="414" spans="1:6">
      <c r="A414">
        <v>44009</v>
      </c>
      <c r="B414" t="s">
        <v>18</v>
      </c>
      <c r="C414" t="s">
        <v>9</v>
      </c>
      <c r="D414" t="s">
        <v>372</v>
      </c>
      <c r="E414" t="s">
        <v>49</v>
      </c>
      <c r="F414" t="s">
        <v>379</v>
      </c>
    </row>
    <row r="415" spans="1:6">
      <c r="A415">
        <v>44010</v>
      </c>
      <c r="B415" t="s">
        <v>18</v>
      </c>
      <c r="C415" t="s">
        <v>9</v>
      </c>
      <c r="D415" t="s">
        <v>372</v>
      </c>
      <c r="E415" t="s">
        <v>49</v>
      </c>
      <c r="F415" t="s">
        <v>380</v>
      </c>
    </row>
    <row r="416" spans="1:6">
      <c r="B416" t="s">
        <v>18</v>
      </c>
      <c r="C416" t="s">
        <v>9</v>
      </c>
      <c r="D416" t="s">
        <v>372</v>
      </c>
      <c r="E416" t="s">
        <v>49</v>
      </c>
      <c r="F416" t="s">
        <v>57</v>
      </c>
    </row>
    <row r="417" spans="1:6">
      <c r="B417" t="s">
        <v>18</v>
      </c>
      <c r="C417" t="s">
        <v>9</v>
      </c>
      <c r="D417" t="s">
        <v>372</v>
      </c>
      <c r="E417" t="s">
        <v>58</v>
      </c>
      <c r="F417" t="s">
        <v>59</v>
      </c>
    </row>
    <row r="418" spans="1:6">
      <c r="A418">
        <v>45000</v>
      </c>
      <c r="B418" t="s">
        <v>18</v>
      </c>
      <c r="C418" t="s">
        <v>9</v>
      </c>
      <c r="D418" t="s">
        <v>381</v>
      </c>
      <c r="E418" t="s">
        <v>48</v>
      </c>
      <c r="F418" t="s">
        <v>381</v>
      </c>
    </row>
    <row r="419" spans="1:6">
      <c r="A419">
        <v>45001</v>
      </c>
      <c r="B419" t="s">
        <v>18</v>
      </c>
      <c r="C419" t="s">
        <v>9</v>
      </c>
      <c r="D419" t="s">
        <v>381</v>
      </c>
      <c r="E419" t="s">
        <v>49</v>
      </c>
      <c r="F419" t="s">
        <v>382</v>
      </c>
    </row>
    <row r="420" spans="1:6">
      <c r="A420">
        <v>45002</v>
      </c>
      <c r="B420" t="s">
        <v>18</v>
      </c>
      <c r="C420" t="s">
        <v>9</v>
      </c>
      <c r="D420" t="s">
        <v>381</v>
      </c>
      <c r="E420" t="s">
        <v>49</v>
      </c>
      <c r="F420" t="s">
        <v>383</v>
      </c>
    </row>
    <row r="421" spans="1:6">
      <c r="A421">
        <v>45003</v>
      </c>
      <c r="B421" t="s">
        <v>18</v>
      </c>
      <c r="C421" t="s">
        <v>9</v>
      </c>
      <c r="D421" t="s">
        <v>381</v>
      </c>
      <c r="E421" t="s">
        <v>49</v>
      </c>
      <c r="F421" t="s">
        <v>384</v>
      </c>
    </row>
    <row r="422" spans="1:6">
      <c r="A422">
        <v>45004</v>
      </c>
      <c r="B422" t="s">
        <v>18</v>
      </c>
      <c r="C422" t="s">
        <v>9</v>
      </c>
      <c r="D422" t="s">
        <v>381</v>
      </c>
      <c r="E422" t="s">
        <v>49</v>
      </c>
      <c r="F422" t="s">
        <v>385</v>
      </c>
    </row>
    <row r="423" spans="1:6">
      <c r="A423">
        <v>45005</v>
      </c>
      <c r="B423" t="s">
        <v>18</v>
      </c>
      <c r="C423" t="s">
        <v>9</v>
      </c>
      <c r="D423" t="s">
        <v>381</v>
      </c>
      <c r="E423" t="s">
        <v>49</v>
      </c>
      <c r="F423" t="s">
        <v>386</v>
      </c>
    </row>
    <row r="424" spans="1:6">
      <c r="A424">
        <v>45006</v>
      </c>
      <c r="B424" t="s">
        <v>18</v>
      </c>
      <c r="C424" t="s">
        <v>9</v>
      </c>
      <c r="D424" t="s">
        <v>381</v>
      </c>
      <c r="E424" t="s">
        <v>49</v>
      </c>
      <c r="F424" t="s">
        <v>387</v>
      </c>
    </row>
    <row r="425" spans="1:6">
      <c r="A425">
        <v>45007</v>
      </c>
      <c r="B425" t="s">
        <v>18</v>
      </c>
      <c r="C425" t="s">
        <v>9</v>
      </c>
      <c r="D425" t="s">
        <v>381</v>
      </c>
      <c r="E425" t="s">
        <v>49</v>
      </c>
      <c r="F425" t="s">
        <v>388</v>
      </c>
    </row>
    <row r="426" spans="1:6">
      <c r="A426">
        <v>45008</v>
      </c>
      <c r="B426" t="s">
        <v>18</v>
      </c>
      <c r="C426" t="s">
        <v>9</v>
      </c>
      <c r="D426" t="s">
        <v>381</v>
      </c>
      <c r="E426" t="s">
        <v>49</v>
      </c>
      <c r="F426" t="s">
        <v>389</v>
      </c>
    </row>
    <row r="427" spans="1:6">
      <c r="A427">
        <v>45009</v>
      </c>
      <c r="B427" t="s">
        <v>18</v>
      </c>
      <c r="C427" t="s">
        <v>9</v>
      </c>
      <c r="D427" t="s">
        <v>381</v>
      </c>
      <c r="E427" t="s">
        <v>49</v>
      </c>
      <c r="F427" t="s">
        <v>390</v>
      </c>
    </row>
    <row r="428" spans="1:6">
      <c r="A428">
        <v>45010</v>
      </c>
      <c r="B428" t="s">
        <v>18</v>
      </c>
      <c r="C428" t="s">
        <v>9</v>
      </c>
      <c r="D428" t="s">
        <v>381</v>
      </c>
      <c r="E428" t="s">
        <v>49</v>
      </c>
      <c r="F428" t="s">
        <v>391</v>
      </c>
    </row>
    <row r="429" spans="1:6">
      <c r="A429">
        <v>45011</v>
      </c>
      <c r="B429" t="s">
        <v>18</v>
      </c>
      <c r="C429" t="s">
        <v>9</v>
      </c>
      <c r="D429" t="s">
        <v>381</v>
      </c>
      <c r="E429" t="s">
        <v>49</v>
      </c>
      <c r="F429" t="s">
        <v>392</v>
      </c>
    </row>
    <row r="430" spans="1:6">
      <c r="A430">
        <v>45012</v>
      </c>
      <c r="B430" t="s">
        <v>18</v>
      </c>
      <c r="C430" t="s">
        <v>9</v>
      </c>
      <c r="D430" t="s">
        <v>381</v>
      </c>
      <c r="E430" t="s">
        <v>49</v>
      </c>
      <c r="F430" t="s">
        <v>393</v>
      </c>
    </row>
    <row r="431" spans="1:6">
      <c r="B431" t="s">
        <v>18</v>
      </c>
      <c r="C431" t="s">
        <v>9</v>
      </c>
      <c r="D431" t="s">
        <v>381</v>
      </c>
      <c r="E431" t="s">
        <v>49</v>
      </c>
      <c r="F431" t="s">
        <v>57</v>
      </c>
    </row>
    <row r="432" spans="1:6">
      <c r="B432" t="s">
        <v>18</v>
      </c>
      <c r="C432" t="s">
        <v>9</v>
      </c>
      <c r="D432" t="s">
        <v>381</v>
      </c>
      <c r="E432" t="s">
        <v>58</v>
      </c>
      <c r="F432" t="s">
        <v>59</v>
      </c>
    </row>
    <row r="433" spans="1:6">
      <c r="A433">
        <v>46000</v>
      </c>
      <c r="B433" t="s">
        <v>18</v>
      </c>
      <c r="C433" t="s">
        <v>9</v>
      </c>
      <c r="D433" t="s">
        <v>394</v>
      </c>
      <c r="E433" t="s">
        <v>48</v>
      </c>
      <c r="F433" t="s">
        <v>394</v>
      </c>
    </row>
    <row r="434" spans="1:6">
      <c r="A434">
        <v>46001</v>
      </c>
      <c r="B434" t="s">
        <v>18</v>
      </c>
      <c r="C434" t="s">
        <v>9</v>
      </c>
      <c r="D434" t="s">
        <v>394</v>
      </c>
      <c r="E434" t="s">
        <v>49</v>
      </c>
      <c r="F434" t="s">
        <v>361</v>
      </c>
    </row>
    <row r="435" spans="1:6">
      <c r="A435">
        <v>46002</v>
      </c>
      <c r="B435" t="s">
        <v>18</v>
      </c>
      <c r="C435" t="s">
        <v>9</v>
      </c>
      <c r="D435" t="s">
        <v>394</v>
      </c>
      <c r="E435" t="s">
        <v>49</v>
      </c>
      <c r="F435" t="s">
        <v>395</v>
      </c>
    </row>
    <row r="436" spans="1:6">
      <c r="A436">
        <v>46003</v>
      </c>
      <c r="B436" t="s">
        <v>18</v>
      </c>
      <c r="C436" t="s">
        <v>9</v>
      </c>
      <c r="D436" t="s">
        <v>394</v>
      </c>
      <c r="E436" t="s">
        <v>49</v>
      </c>
      <c r="F436" t="s">
        <v>396</v>
      </c>
    </row>
    <row r="437" spans="1:6">
      <c r="A437">
        <v>46004</v>
      </c>
      <c r="B437" t="s">
        <v>18</v>
      </c>
      <c r="C437" t="s">
        <v>9</v>
      </c>
      <c r="D437" t="s">
        <v>394</v>
      </c>
      <c r="E437" t="s">
        <v>49</v>
      </c>
      <c r="F437" t="s">
        <v>397</v>
      </c>
    </row>
    <row r="438" spans="1:6">
      <c r="A438">
        <v>46005</v>
      </c>
      <c r="B438" t="s">
        <v>18</v>
      </c>
      <c r="C438" t="s">
        <v>9</v>
      </c>
      <c r="D438" t="s">
        <v>394</v>
      </c>
      <c r="E438" t="s">
        <v>49</v>
      </c>
      <c r="F438" t="s">
        <v>398</v>
      </c>
    </row>
    <row r="439" spans="1:6">
      <c r="A439">
        <v>46006</v>
      </c>
      <c r="B439" t="s">
        <v>18</v>
      </c>
      <c r="C439" t="s">
        <v>9</v>
      </c>
      <c r="D439" t="s">
        <v>394</v>
      </c>
      <c r="E439" t="s">
        <v>49</v>
      </c>
      <c r="F439" t="s">
        <v>399</v>
      </c>
    </row>
    <row r="440" spans="1:6">
      <c r="B440" t="s">
        <v>18</v>
      </c>
      <c r="C440" t="s">
        <v>9</v>
      </c>
      <c r="D440" t="s">
        <v>394</v>
      </c>
      <c r="E440" t="s">
        <v>49</v>
      </c>
      <c r="F440" t="s">
        <v>57</v>
      </c>
    </row>
    <row r="441" spans="1:6">
      <c r="B441" t="s">
        <v>18</v>
      </c>
      <c r="C441" t="s">
        <v>9</v>
      </c>
      <c r="D441" t="s">
        <v>394</v>
      </c>
      <c r="E441" t="s">
        <v>58</v>
      </c>
      <c r="F441" t="s">
        <v>59</v>
      </c>
    </row>
    <row r="442" spans="1:6">
      <c r="A442">
        <v>47000</v>
      </c>
      <c r="B442" t="s">
        <v>18</v>
      </c>
      <c r="C442" t="s">
        <v>9</v>
      </c>
      <c r="D442" t="s">
        <v>400</v>
      </c>
      <c r="E442" t="s">
        <v>119</v>
      </c>
      <c r="F442" t="s">
        <v>400</v>
      </c>
    </row>
    <row r="443" spans="1:6">
      <c r="A443">
        <v>47001</v>
      </c>
      <c r="B443" t="s">
        <v>18</v>
      </c>
      <c r="C443" t="s">
        <v>9</v>
      </c>
      <c r="D443" t="s">
        <v>400</v>
      </c>
      <c r="E443" t="s">
        <v>120</v>
      </c>
      <c r="F443" t="s">
        <v>360</v>
      </c>
    </row>
    <row r="444" spans="1:6">
      <c r="A444">
        <v>47002</v>
      </c>
      <c r="B444" t="s">
        <v>18</v>
      </c>
      <c r="C444" t="s">
        <v>9</v>
      </c>
      <c r="D444" t="s">
        <v>400</v>
      </c>
      <c r="E444" t="s">
        <v>49</v>
      </c>
      <c r="F444" t="s">
        <v>373</v>
      </c>
    </row>
    <row r="445" spans="1:6">
      <c r="A445">
        <v>47003</v>
      </c>
      <c r="B445" t="s">
        <v>18</v>
      </c>
      <c r="C445" t="s">
        <v>9</v>
      </c>
      <c r="D445" t="s">
        <v>400</v>
      </c>
      <c r="E445" t="s">
        <v>49</v>
      </c>
      <c r="F445" t="s">
        <v>374</v>
      </c>
    </row>
    <row r="446" spans="1:6">
      <c r="A446">
        <v>47004</v>
      </c>
      <c r="B446" t="s">
        <v>18</v>
      </c>
      <c r="C446" t="s">
        <v>9</v>
      </c>
      <c r="D446" t="s">
        <v>400</v>
      </c>
      <c r="E446" t="s">
        <v>120</v>
      </c>
      <c r="F446" t="s">
        <v>366</v>
      </c>
    </row>
    <row r="447" spans="1:6">
      <c r="A447">
        <v>47005</v>
      </c>
      <c r="B447" t="s">
        <v>18</v>
      </c>
      <c r="C447" t="s">
        <v>9</v>
      </c>
      <c r="D447" t="s">
        <v>400</v>
      </c>
      <c r="E447" t="s">
        <v>49</v>
      </c>
      <c r="F447" t="s">
        <v>375</v>
      </c>
    </row>
    <row r="448" spans="1:6">
      <c r="A448">
        <v>47006</v>
      </c>
      <c r="B448" t="s">
        <v>18</v>
      </c>
      <c r="C448" t="s">
        <v>9</v>
      </c>
      <c r="D448" t="s">
        <v>400</v>
      </c>
      <c r="E448" t="s">
        <v>49</v>
      </c>
      <c r="F448" t="s">
        <v>376</v>
      </c>
    </row>
    <row r="449" spans="1:6">
      <c r="A449">
        <v>47007</v>
      </c>
      <c r="B449" t="s">
        <v>18</v>
      </c>
      <c r="C449" t="s">
        <v>9</v>
      </c>
      <c r="D449" t="s">
        <v>400</v>
      </c>
      <c r="E449" t="s">
        <v>49</v>
      </c>
      <c r="F449" t="s">
        <v>377</v>
      </c>
    </row>
    <row r="450" spans="1:6">
      <c r="A450">
        <v>47008</v>
      </c>
      <c r="B450" t="s">
        <v>18</v>
      </c>
      <c r="C450" t="s">
        <v>9</v>
      </c>
      <c r="D450" t="s">
        <v>400</v>
      </c>
      <c r="E450" t="s">
        <v>49</v>
      </c>
      <c r="F450" t="s">
        <v>378</v>
      </c>
    </row>
    <row r="451" spans="1:6">
      <c r="A451">
        <v>47009</v>
      </c>
      <c r="B451" t="s">
        <v>18</v>
      </c>
      <c r="C451" t="s">
        <v>9</v>
      </c>
      <c r="D451" t="s">
        <v>400</v>
      </c>
      <c r="E451" t="s">
        <v>49</v>
      </c>
      <c r="F451" t="s">
        <v>379</v>
      </c>
    </row>
    <row r="452" spans="1:6">
      <c r="A452">
        <v>47010</v>
      </c>
      <c r="B452" t="s">
        <v>18</v>
      </c>
      <c r="C452" t="s">
        <v>9</v>
      </c>
      <c r="D452" t="s">
        <v>400</v>
      </c>
      <c r="E452" t="s">
        <v>49</v>
      </c>
      <c r="F452" t="s">
        <v>380</v>
      </c>
    </row>
    <row r="453" spans="1:6">
      <c r="A453">
        <v>47011</v>
      </c>
      <c r="B453" t="s">
        <v>18</v>
      </c>
      <c r="C453" t="s">
        <v>9</v>
      </c>
      <c r="D453" t="s">
        <v>400</v>
      </c>
      <c r="E453" t="s">
        <v>120</v>
      </c>
      <c r="F453" t="s">
        <v>401</v>
      </c>
    </row>
    <row r="454" spans="1:6">
      <c r="A454">
        <v>47012</v>
      </c>
      <c r="B454" t="s">
        <v>18</v>
      </c>
      <c r="C454" t="s">
        <v>9</v>
      </c>
      <c r="D454" t="s">
        <v>400</v>
      </c>
      <c r="E454" t="s">
        <v>49</v>
      </c>
      <c r="F454" t="s">
        <v>402</v>
      </c>
    </row>
    <row r="455" spans="1:6">
      <c r="A455">
        <v>47013</v>
      </c>
      <c r="B455" t="s">
        <v>18</v>
      </c>
      <c r="C455" t="s">
        <v>9</v>
      </c>
      <c r="D455" t="s">
        <v>400</v>
      </c>
      <c r="E455" t="s">
        <v>49</v>
      </c>
      <c r="F455" t="s">
        <v>403</v>
      </c>
    </row>
    <row r="456" spans="1:6">
      <c r="A456">
        <v>47014</v>
      </c>
      <c r="B456" t="s">
        <v>18</v>
      </c>
      <c r="C456" t="s">
        <v>9</v>
      </c>
      <c r="D456" t="s">
        <v>400</v>
      </c>
      <c r="E456" t="s">
        <v>66</v>
      </c>
      <c r="F456" t="s">
        <v>404</v>
      </c>
    </row>
    <row r="457" spans="1:6">
      <c r="A457">
        <v>47015</v>
      </c>
      <c r="B457" t="s">
        <v>18</v>
      </c>
      <c r="C457" t="s">
        <v>9</v>
      </c>
      <c r="D457" t="s">
        <v>400</v>
      </c>
      <c r="E457" t="s">
        <v>66</v>
      </c>
      <c r="F457" t="s">
        <v>405</v>
      </c>
    </row>
    <row r="458" spans="1:6">
      <c r="A458">
        <v>47016</v>
      </c>
      <c r="B458" t="s">
        <v>18</v>
      </c>
      <c r="C458" t="s">
        <v>9</v>
      </c>
      <c r="D458" t="s">
        <v>400</v>
      </c>
      <c r="E458" t="s">
        <v>66</v>
      </c>
      <c r="F458" t="s">
        <v>406</v>
      </c>
    </row>
    <row r="459" spans="1:6">
      <c r="A459">
        <v>47017</v>
      </c>
      <c r="B459" t="s">
        <v>18</v>
      </c>
      <c r="C459" t="s">
        <v>9</v>
      </c>
      <c r="D459" t="s">
        <v>400</v>
      </c>
      <c r="E459" t="s">
        <v>66</v>
      </c>
      <c r="F459" t="s">
        <v>407</v>
      </c>
    </row>
    <row r="460" spans="1:6">
      <c r="A460">
        <v>47018</v>
      </c>
      <c r="B460" t="s">
        <v>18</v>
      </c>
      <c r="C460" t="s">
        <v>9</v>
      </c>
      <c r="D460" t="s">
        <v>400</v>
      </c>
      <c r="E460" t="s">
        <v>49</v>
      </c>
      <c r="F460" t="s">
        <v>408</v>
      </c>
    </row>
    <row r="461" spans="1:6">
      <c r="A461">
        <v>47019</v>
      </c>
      <c r="B461" t="s">
        <v>18</v>
      </c>
      <c r="C461" t="s">
        <v>9</v>
      </c>
      <c r="D461" t="s">
        <v>400</v>
      </c>
      <c r="E461" t="s">
        <v>49</v>
      </c>
      <c r="F461" t="s">
        <v>409</v>
      </c>
    </row>
    <row r="462" spans="1:6">
      <c r="A462">
        <v>47020</v>
      </c>
      <c r="B462" t="s">
        <v>18</v>
      </c>
      <c r="C462" t="s">
        <v>9</v>
      </c>
      <c r="D462" t="s">
        <v>400</v>
      </c>
      <c r="E462" t="s">
        <v>66</v>
      </c>
      <c r="F462" t="s">
        <v>410</v>
      </c>
    </row>
    <row r="463" spans="1:6">
      <c r="A463">
        <v>47021</v>
      </c>
      <c r="B463" t="s">
        <v>18</v>
      </c>
      <c r="C463" t="s">
        <v>9</v>
      </c>
      <c r="D463" t="s">
        <v>400</v>
      </c>
      <c r="E463" t="s">
        <v>49</v>
      </c>
      <c r="F463" t="s">
        <v>408</v>
      </c>
    </row>
    <row r="464" spans="1:6">
      <c r="B464" t="s">
        <v>18</v>
      </c>
      <c r="C464" t="s">
        <v>9</v>
      </c>
      <c r="D464" t="s">
        <v>400</v>
      </c>
      <c r="E464" t="s">
        <v>49</v>
      </c>
      <c r="F464" t="s">
        <v>57</v>
      </c>
    </row>
    <row r="465" spans="1:6">
      <c r="B465" t="s">
        <v>18</v>
      </c>
      <c r="C465" t="s">
        <v>9</v>
      </c>
      <c r="D465" t="s">
        <v>400</v>
      </c>
      <c r="E465" t="s">
        <v>58</v>
      </c>
      <c r="F465" t="s">
        <v>59</v>
      </c>
    </row>
    <row r="466" spans="1:6">
      <c r="A466">
        <v>48000</v>
      </c>
      <c r="B466" t="s">
        <v>18</v>
      </c>
      <c r="C466" t="s">
        <v>9</v>
      </c>
      <c r="D466" t="s">
        <v>411</v>
      </c>
      <c r="E466" t="s">
        <v>48</v>
      </c>
      <c r="F466" t="s">
        <v>411</v>
      </c>
    </row>
    <row r="467" spans="1:6">
      <c r="A467">
        <v>48001</v>
      </c>
      <c r="B467" t="s">
        <v>18</v>
      </c>
      <c r="C467" t="s">
        <v>9</v>
      </c>
      <c r="D467" t="s">
        <v>411</v>
      </c>
      <c r="E467" t="s">
        <v>49</v>
      </c>
      <c r="F467" t="s">
        <v>412</v>
      </c>
    </row>
    <row r="468" spans="1:6">
      <c r="A468">
        <v>48002</v>
      </c>
      <c r="B468" t="s">
        <v>18</v>
      </c>
      <c r="C468" t="s">
        <v>9</v>
      </c>
      <c r="D468" t="s">
        <v>411</v>
      </c>
      <c r="E468" t="s">
        <v>49</v>
      </c>
      <c r="F468" t="s">
        <v>413</v>
      </c>
    </row>
    <row r="469" spans="1:6">
      <c r="A469">
        <v>48003</v>
      </c>
      <c r="B469" t="s">
        <v>18</v>
      </c>
      <c r="C469" t="s">
        <v>9</v>
      </c>
      <c r="D469" t="s">
        <v>411</v>
      </c>
      <c r="E469" t="s">
        <v>49</v>
      </c>
      <c r="F469" t="s">
        <v>414</v>
      </c>
    </row>
    <row r="470" spans="1:6">
      <c r="A470">
        <v>48004</v>
      </c>
      <c r="B470" t="s">
        <v>18</v>
      </c>
      <c r="C470" t="s">
        <v>9</v>
      </c>
      <c r="D470" t="s">
        <v>411</v>
      </c>
      <c r="E470" t="s">
        <v>49</v>
      </c>
      <c r="F470" t="s">
        <v>378</v>
      </c>
    </row>
    <row r="471" spans="1:6">
      <c r="A471">
        <v>48005</v>
      </c>
      <c r="B471" t="s">
        <v>18</v>
      </c>
      <c r="C471" t="s">
        <v>9</v>
      </c>
      <c r="D471" t="s">
        <v>411</v>
      </c>
      <c r="E471" t="s">
        <v>49</v>
      </c>
      <c r="F471" t="s">
        <v>415</v>
      </c>
    </row>
    <row r="472" spans="1:6">
      <c r="A472">
        <v>48006</v>
      </c>
      <c r="B472" t="s">
        <v>18</v>
      </c>
      <c r="C472" t="s">
        <v>9</v>
      </c>
      <c r="D472" t="s">
        <v>411</v>
      </c>
      <c r="E472" t="s">
        <v>49</v>
      </c>
      <c r="F472" t="s">
        <v>416</v>
      </c>
    </row>
    <row r="473" spans="1:6">
      <c r="B473" t="s">
        <v>18</v>
      </c>
      <c r="C473" t="s">
        <v>9</v>
      </c>
      <c r="D473" t="s">
        <v>411</v>
      </c>
      <c r="E473" t="s">
        <v>49</v>
      </c>
      <c r="F473" t="s">
        <v>57</v>
      </c>
    </row>
    <row r="474" spans="1:6">
      <c r="B474" t="s">
        <v>18</v>
      </c>
      <c r="C474" t="s">
        <v>9</v>
      </c>
      <c r="D474" t="s">
        <v>411</v>
      </c>
      <c r="E474" t="s">
        <v>58</v>
      </c>
      <c r="F474" t="s">
        <v>59</v>
      </c>
    </row>
    <row r="475" spans="1:6">
      <c r="A475">
        <v>64000</v>
      </c>
      <c r="B475" t="s">
        <v>18</v>
      </c>
      <c r="C475" t="s">
        <v>9</v>
      </c>
      <c r="D475" t="s">
        <v>417</v>
      </c>
      <c r="E475" t="s">
        <v>119</v>
      </c>
      <c r="F475" t="s">
        <v>417</v>
      </c>
    </row>
    <row r="476" spans="1:6">
      <c r="A476">
        <v>64001</v>
      </c>
      <c r="B476" t="s">
        <v>18</v>
      </c>
      <c r="C476" t="s">
        <v>9</v>
      </c>
      <c r="D476" t="s">
        <v>417</v>
      </c>
      <c r="E476" t="s">
        <v>120</v>
      </c>
      <c r="F476" t="s">
        <v>418</v>
      </c>
    </row>
    <row r="477" spans="1:6">
      <c r="A477">
        <v>64002</v>
      </c>
      <c r="B477" t="s">
        <v>18</v>
      </c>
      <c r="C477" t="s">
        <v>9</v>
      </c>
      <c r="D477" t="s">
        <v>417</v>
      </c>
      <c r="E477" t="s">
        <v>49</v>
      </c>
      <c r="F477" t="s">
        <v>419</v>
      </c>
    </row>
    <row r="478" spans="1:6">
      <c r="A478">
        <v>64003</v>
      </c>
      <c r="B478" t="s">
        <v>18</v>
      </c>
      <c r="C478" t="s">
        <v>9</v>
      </c>
      <c r="D478" t="s">
        <v>417</v>
      </c>
      <c r="E478" t="s">
        <v>49</v>
      </c>
      <c r="F478" t="s">
        <v>420</v>
      </c>
    </row>
    <row r="479" spans="1:6">
      <c r="A479">
        <v>64004</v>
      </c>
      <c r="B479" t="s">
        <v>18</v>
      </c>
      <c r="C479" t="s">
        <v>9</v>
      </c>
      <c r="D479" t="s">
        <v>417</v>
      </c>
      <c r="E479" t="s">
        <v>49</v>
      </c>
      <c r="F479" t="s">
        <v>421</v>
      </c>
    </row>
    <row r="480" spans="1:6">
      <c r="A480">
        <v>64005</v>
      </c>
      <c r="B480" t="s">
        <v>18</v>
      </c>
      <c r="C480" t="s">
        <v>9</v>
      </c>
      <c r="D480" t="s">
        <v>417</v>
      </c>
      <c r="E480" t="s">
        <v>120</v>
      </c>
      <c r="F480" t="s">
        <v>422</v>
      </c>
    </row>
    <row r="481" spans="1:6">
      <c r="A481">
        <v>64006</v>
      </c>
      <c r="B481" t="s">
        <v>18</v>
      </c>
      <c r="C481" t="s">
        <v>9</v>
      </c>
      <c r="D481" t="s">
        <v>417</v>
      </c>
      <c r="E481" t="s">
        <v>49</v>
      </c>
      <c r="F481" t="s">
        <v>423</v>
      </c>
    </row>
    <row r="482" spans="1:6">
      <c r="A482">
        <v>64007</v>
      </c>
      <c r="B482" t="s">
        <v>18</v>
      </c>
      <c r="C482" t="s">
        <v>9</v>
      </c>
      <c r="D482" t="s">
        <v>417</v>
      </c>
      <c r="E482" t="s">
        <v>49</v>
      </c>
      <c r="F482" t="s">
        <v>424</v>
      </c>
    </row>
    <row r="483" spans="1:6">
      <c r="A483">
        <v>64008</v>
      </c>
      <c r="B483" t="s">
        <v>18</v>
      </c>
      <c r="C483" t="s">
        <v>9</v>
      </c>
      <c r="D483" t="s">
        <v>417</v>
      </c>
      <c r="E483" t="s">
        <v>49</v>
      </c>
      <c r="F483" t="s">
        <v>425</v>
      </c>
    </row>
    <row r="484" spans="1:6">
      <c r="A484">
        <v>64009</v>
      </c>
      <c r="B484" t="s">
        <v>18</v>
      </c>
      <c r="C484" t="s">
        <v>9</v>
      </c>
      <c r="D484" t="s">
        <v>417</v>
      </c>
      <c r="E484" t="s">
        <v>49</v>
      </c>
      <c r="F484" t="s">
        <v>426</v>
      </c>
    </row>
    <row r="485" spans="1:6">
      <c r="B485" t="s">
        <v>18</v>
      </c>
      <c r="C485" t="s">
        <v>9</v>
      </c>
      <c r="D485" t="s">
        <v>417</v>
      </c>
      <c r="E485" t="s">
        <v>49</v>
      </c>
      <c r="F485" t="s">
        <v>57</v>
      </c>
    </row>
    <row r="486" spans="1:6">
      <c r="B486" t="s">
        <v>18</v>
      </c>
      <c r="C486" t="s">
        <v>9</v>
      </c>
      <c r="D486" t="s">
        <v>417</v>
      </c>
      <c r="E486" t="s">
        <v>58</v>
      </c>
      <c r="F486" t="s">
        <v>59</v>
      </c>
    </row>
    <row r="487" spans="1:6">
      <c r="A487">
        <v>65000</v>
      </c>
      <c r="B487" t="s">
        <v>8</v>
      </c>
      <c r="C487" t="s">
        <v>9</v>
      </c>
      <c r="D487" t="s">
        <v>427</v>
      </c>
      <c r="E487" t="s">
        <v>48</v>
      </c>
      <c r="F487" t="s">
        <v>427</v>
      </c>
    </row>
    <row r="488" spans="1:6">
      <c r="A488">
        <v>65001</v>
      </c>
      <c r="B488" t="s">
        <v>8</v>
      </c>
      <c r="C488" t="s">
        <v>9</v>
      </c>
      <c r="D488" t="s">
        <v>427</v>
      </c>
      <c r="E488" t="s">
        <v>49</v>
      </c>
      <c r="F488" t="s">
        <v>74</v>
      </c>
    </row>
    <row r="489" spans="1:6">
      <c r="A489">
        <v>65002</v>
      </c>
      <c r="B489" t="s">
        <v>8</v>
      </c>
      <c r="C489" t="s">
        <v>9</v>
      </c>
      <c r="D489" t="s">
        <v>427</v>
      </c>
      <c r="E489" t="s">
        <v>49</v>
      </c>
      <c r="F489" t="s">
        <v>75</v>
      </c>
    </row>
    <row r="490" spans="1:6">
      <c r="A490">
        <v>65003</v>
      </c>
      <c r="B490" t="s">
        <v>8</v>
      </c>
      <c r="C490" t="s">
        <v>9</v>
      </c>
      <c r="D490" t="s">
        <v>427</v>
      </c>
      <c r="E490" t="s">
        <v>49</v>
      </c>
      <c r="F490" t="s">
        <v>76</v>
      </c>
    </row>
    <row r="491" spans="1:6">
      <c r="A491">
        <v>65004</v>
      </c>
      <c r="B491" t="s">
        <v>8</v>
      </c>
      <c r="C491" t="s">
        <v>9</v>
      </c>
      <c r="D491" t="s">
        <v>427</v>
      </c>
      <c r="E491" t="s">
        <v>49</v>
      </c>
      <c r="F491" t="s">
        <v>77</v>
      </c>
    </row>
    <row r="492" spans="1:6">
      <c r="A492">
        <v>65005</v>
      </c>
      <c r="B492" t="s">
        <v>8</v>
      </c>
      <c r="C492" t="s">
        <v>9</v>
      </c>
      <c r="D492" t="s">
        <v>427</v>
      </c>
      <c r="E492" t="s">
        <v>49</v>
      </c>
      <c r="F492" t="s">
        <v>78</v>
      </c>
    </row>
    <row r="493" spans="1:6">
      <c r="A493">
        <v>65006</v>
      </c>
      <c r="B493" t="s">
        <v>8</v>
      </c>
      <c r="C493" t="s">
        <v>9</v>
      </c>
      <c r="D493" t="s">
        <v>427</v>
      </c>
      <c r="E493" t="s">
        <v>49</v>
      </c>
      <c r="F493" t="s">
        <v>81</v>
      </c>
    </row>
    <row r="494" spans="1:6">
      <c r="A494">
        <v>65007</v>
      </c>
      <c r="B494" t="s">
        <v>8</v>
      </c>
      <c r="C494" t="s">
        <v>9</v>
      </c>
      <c r="D494" t="s">
        <v>427</v>
      </c>
      <c r="E494" t="s">
        <v>49</v>
      </c>
      <c r="F494" t="s">
        <v>82</v>
      </c>
    </row>
    <row r="495" spans="1:6">
      <c r="B495" t="s">
        <v>8</v>
      </c>
      <c r="C495" t="s">
        <v>9</v>
      </c>
      <c r="D495" t="s">
        <v>427</v>
      </c>
      <c r="E495" t="s">
        <v>49</v>
      </c>
      <c r="F495" t="s">
        <v>57</v>
      </c>
    </row>
    <row r="496" spans="1:6">
      <c r="B496" t="s">
        <v>8</v>
      </c>
      <c r="C496" t="s">
        <v>9</v>
      </c>
      <c r="D496" t="s">
        <v>427</v>
      </c>
      <c r="E496" t="s">
        <v>58</v>
      </c>
      <c r="F496" t="s">
        <v>59</v>
      </c>
    </row>
    <row r="497" spans="1:6">
      <c r="A497">
        <v>66000</v>
      </c>
      <c r="B497" t="s">
        <v>8</v>
      </c>
      <c r="C497" t="s">
        <v>9</v>
      </c>
      <c r="D497" t="s">
        <v>428</v>
      </c>
      <c r="E497" t="s">
        <v>48</v>
      </c>
      <c r="F497" t="s">
        <v>428</v>
      </c>
    </row>
    <row r="498" spans="1:6">
      <c r="A498">
        <v>66001</v>
      </c>
      <c r="B498" t="s">
        <v>8</v>
      </c>
      <c r="C498" t="s">
        <v>9</v>
      </c>
      <c r="D498" t="s">
        <v>428</v>
      </c>
      <c r="E498" t="s">
        <v>49</v>
      </c>
      <c r="F498" t="s">
        <v>429</v>
      </c>
    </row>
    <row r="499" spans="1:6">
      <c r="A499">
        <v>66002</v>
      </c>
      <c r="B499" t="s">
        <v>8</v>
      </c>
      <c r="C499" t="s">
        <v>9</v>
      </c>
      <c r="D499" t="s">
        <v>428</v>
      </c>
      <c r="E499" t="s">
        <v>49</v>
      </c>
      <c r="F499" t="s">
        <v>430</v>
      </c>
    </row>
    <row r="500" spans="1:6">
      <c r="A500">
        <v>66003</v>
      </c>
      <c r="B500" t="s">
        <v>8</v>
      </c>
      <c r="C500" t="s">
        <v>9</v>
      </c>
      <c r="D500" t="s">
        <v>428</v>
      </c>
      <c r="E500" t="s">
        <v>49</v>
      </c>
      <c r="F500" t="s">
        <v>431</v>
      </c>
    </row>
    <row r="501" spans="1:6">
      <c r="A501">
        <v>66004</v>
      </c>
      <c r="B501" t="s">
        <v>8</v>
      </c>
      <c r="C501" t="s">
        <v>9</v>
      </c>
      <c r="D501" t="s">
        <v>428</v>
      </c>
      <c r="E501" t="s">
        <v>49</v>
      </c>
      <c r="F501" t="s">
        <v>432</v>
      </c>
    </row>
    <row r="502" spans="1:6">
      <c r="A502">
        <v>66005</v>
      </c>
      <c r="B502" t="s">
        <v>8</v>
      </c>
      <c r="C502" t="s">
        <v>9</v>
      </c>
      <c r="D502" t="s">
        <v>428</v>
      </c>
      <c r="E502" t="s">
        <v>49</v>
      </c>
      <c r="F502" t="s">
        <v>433</v>
      </c>
    </row>
    <row r="503" spans="1:6">
      <c r="A503">
        <v>66006</v>
      </c>
      <c r="B503" t="s">
        <v>8</v>
      </c>
      <c r="C503" t="s">
        <v>9</v>
      </c>
      <c r="D503" t="s">
        <v>428</v>
      </c>
      <c r="E503" t="s">
        <v>49</v>
      </c>
      <c r="F503" t="s">
        <v>434</v>
      </c>
    </row>
    <row r="504" spans="1:6">
      <c r="A504">
        <v>66007</v>
      </c>
      <c r="B504" t="s">
        <v>8</v>
      </c>
      <c r="C504" t="s">
        <v>9</v>
      </c>
      <c r="D504" t="s">
        <v>428</v>
      </c>
      <c r="E504" t="s">
        <v>49</v>
      </c>
      <c r="F504" t="s">
        <v>435</v>
      </c>
    </row>
    <row r="505" spans="1:6">
      <c r="A505">
        <v>66008</v>
      </c>
      <c r="B505" t="s">
        <v>8</v>
      </c>
      <c r="C505" t="s">
        <v>9</v>
      </c>
      <c r="D505" t="s">
        <v>428</v>
      </c>
      <c r="E505" t="s">
        <v>49</v>
      </c>
      <c r="F505" t="s">
        <v>436</v>
      </c>
    </row>
    <row r="506" spans="1:6">
      <c r="A506">
        <v>66009</v>
      </c>
      <c r="B506" t="s">
        <v>8</v>
      </c>
      <c r="C506" t="s">
        <v>9</v>
      </c>
      <c r="D506" t="s">
        <v>428</v>
      </c>
      <c r="E506" t="s">
        <v>49</v>
      </c>
      <c r="F506" t="s">
        <v>437</v>
      </c>
    </row>
    <row r="507" spans="1:6">
      <c r="A507">
        <v>66010</v>
      </c>
      <c r="B507" t="s">
        <v>8</v>
      </c>
      <c r="C507" t="s">
        <v>9</v>
      </c>
      <c r="D507" t="s">
        <v>428</v>
      </c>
      <c r="E507" t="s">
        <v>49</v>
      </c>
      <c r="F507" t="s">
        <v>438</v>
      </c>
    </row>
    <row r="508" spans="1:6">
      <c r="B508" t="s">
        <v>8</v>
      </c>
      <c r="C508" t="s">
        <v>9</v>
      </c>
      <c r="D508" t="s">
        <v>428</v>
      </c>
      <c r="E508" t="s">
        <v>49</v>
      </c>
      <c r="F508" t="s">
        <v>57</v>
      </c>
    </row>
    <row r="509" spans="1:6">
      <c r="B509" t="s">
        <v>8</v>
      </c>
      <c r="C509" t="s">
        <v>9</v>
      </c>
      <c r="D509" t="s">
        <v>428</v>
      </c>
      <c r="E509" t="s">
        <v>58</v>
      </c>
      <c r="F509" t="s">
        <v>59</v>
      </c>
    </row>
    <row r="510" spans="1:6">
      <c r="A510">
        <v>67000</v>
      </c>
      <c r="B510" t="s">
        <v>8</v>
      </c>
      <c r="C510" t="s">
        <v>9</v>
      </c>
      <c r="D510" t="s">
        <v>439</v>
      </c>
      <c r="E510" t="s">
        <v>48</v>
      </c>
      <c r="F510" t="s">
        <v>439</v>
      </c>
    </row>
    <row r="511" spans="1:6">
      <c r="A511">
        <v>67001</v>
      </c>
      <c r="B511" t="s">
        <v>8</v>
      </c>
      <c r="C511" t="s">
        <v>9</v>
      </c>
      <c r="D511" t="s">
        <v>439</v>
      </c>
      <c r="E511" t="s">
        <v>49</v>
      </c>
      <c r="F511" t="s">
        <v>74</v>
      </c>
    </row>
    <row r="512" spans="1:6">
      <c r="A512">
        <v>67002</v>
      </c>
      <c r="B512" t="s">
        <v>8</v>
      </c>
      <c r="C512" t="s">
        <v>9</v>
      </c>
      <c r="D512" t="s">
        <v>439</v>
      </c>
      <c r="E512" t="s">
        <v>49</v>
      </c>
      <c r="F512" t="s">
        <v>440</v>
      </c>
    </row>
    <row r="513" spans="1:6">
      <c r="A513">
        <v>67003</v>
      </c>
      <c r="B513" t="s">
        <v>8</v>
      </c>
      <c r="C513" t="s">
        <v>9</v>
      </c>
      <c r="D513" t="s">
        <v>439</v>
      </c>
      <c r="E513" t="s">
        <v>66</v>
      </c>
      <c r="F513" t="s">
        <v>441</v>
      </c>
    </row>
    <row r="514" spans="1:6">
      <c r="A514">
        <v>67004</v>
      </c>
      <c r="B514" t="s">
        <v>8</v>
      </c>
      <c r="C514" t="s">
        <v>9</v>
      </c>
      <c r="D514" t="s">
        <v>439</v>
      </c>
      <c r="E514" t="s">
        <v>66</v>
      </c>
      <c r="F514" t="s">
        <v>442</v>
      </c>
    </row>
    <row r="515" spans="1:6">
      <c r="A515">
        <v>67005</v>
      </c>
      <c r="B515" t="s">
        <v>8</v>
      </c>
      <c r="C515" t="s">
        <v>9</v>
      </c>
      <c r="D515" t="s">
        <v>439</v>
      </c>
      <c r="E515" t="s">
        <v>66</v>
      </c>
      <c r="F515" t="s">
        <v>340</v>
      </c>
    </row>
    <row r="516" spans="1:6">
      <c r="B516" t="s">
        <v>8</v>
      </c>
      <c r="C516" t="s">
        <v>9</v>
      </c>
      <c r="D516" t="s">
        <v>439</v>
      </c>
      <c r="E516" t="s">
        <v>49</v>
      </c>
      <c r="F516" t="s">
        <v>57</v>
      </c>
    </row>
    <row r="517" spans="1:6">
      <c r="B517" t="s">
        <v>8</v>
      </c>
      <c r="C517" t="s">
        <v>9</v>
      </c>
      <c r="D517" t="s">
        <v>439</v>
      </c>
      <c r="E517" t="s">
        <v>58</v>
      </c>
      <c r="F517" t="s">
        <v>59</v>
      </c>
    </row>
    <row r="518" spans="1:6">
      <c r="A518">
        <v>68000</v>
      </c>
      <c r="B518" t="s">
        <v>18</v>
      </c>
      <c r="C518" t="s">
        <v>9</v>
      </c>
      <c r="D518" t="s">
        <v>443</v>
      </c>
      <c r="E518" t="s">
        <v>119</v>
      </c>
      <c r="F518" t="s">
        <v>443</v>
      </c>
    </row>
    <row r="519" spans="1:6">
      <c r="A519">
        <v>68001</v>
      </c>
      <c r="B519" t="s">
        <v>18</v>
      </c>
      <c r="C519" t="s">
        <v>9</v>
      </c>
      <c r="D519" t="s">
        <v>443</v>
      </c>
      <c r="E519" t="s">
        <v>120</v>
      </c>
      <c r="F519" t="s">
        <v>249</v>
      </c>
    </row>
    <row r="520" spans="1:6">
      <c r="A520">
        <v>68002</v>
      </c>
      <c r="B520" t="s">
        <v>18</v>
      </c>
      <c r="C520" t="s">
        <v>9</v>
      </c>
      <c r="D520" t="s">
        <v>443</v>
      </c>
      <c r="E520" t="s">
        <v>49</v>
      </c>
      <c r="F520" t="s">
        <v>250</v>
      </c>
    </row>
    <row r="521" spans="1:6">
      <c r="A521">
        <v>68003</v>
      </c>
      <c r="B521" t="s">
        <v>18</v>
      </c>
      <c r="C521" t="s">
        <v>9</v>
      </c>
      <c r="D521" t="s">
        <v>443</v>
      </c>
      <c r="E521" t="s">
        <v>124</v>
      </c>
      <c r="F521" t="s">
        <v>251</v>
      </c>
    </row>
    <row r="522" spans="1:6">
      <c r="A522">
        <v>68004</v>
      </c>
      <c r="B522" t="s">
        <v>18</v>
      </c>
      <c r="C522" t="s">
        <v>9</v>
      </c>
      <c r="D522" t="s">
        <v>443</v>
      </c>
      <c r="E522" t="s">
        <v>124</v>
      </c>
      <c r="F522" t="s">
        <v>252</v>
      </c>
    </row>
    <row r="523" spans="1:6">
      <c r="A523">
        <v>68005</v>
      </c>
      <c r="B523" t="s">
        <v>18</v>
      </c>
      <c r="C523" t="s">
        <v>9</v>
      </c>
      <c r="D523" t="s">
        <v>443</v>
      </c>
      <c r="E523" t="s">
        <v>49</v>
      </c>
      <c r="F523" t="s">
        <v>253</v>
      </c>
    </row>
    <row r="524" spans="1:6">
      <c r="A524">
        <v>68006</v>
      </c>
      <c r="B524" t="s">
        <v>18</v>
      </c>
      <c r="C524" t="s">
        <v>9</v>
      </c>
      <c r="D524" t="s">
        <v>443</v>
      </c>
      <c r="E524" t="s">
        <v>120</v>
      </c>
      <c r="F524" t="s">
        <v>254</v>
      </c>
    </row>
    <row r="525" spans="1:6">
      <c r="A525">
        <v>68007</v>
      </c>
      <c r="B525" t="s">
        <v>18</v>
      </c>
      <c r="C525" t="s">
        <v>9</v>
      </c>
      <c r="D525" t="s">
        <v>443</v>
      </c>
      <c r="E525" t="s">
        <v>49</v>
      </c>
      <c r="F525" t="s">
        <v>255</v>
      </c>
    </row>
    <row r="526" spans="1:6">
      <c r="A526">
        <v>68008</v>
      </c>
      <c r="B526" t="s">
        <v>18</v>
      </c>
      <c r="C526" t="s">
        <v>9</v>
      </c>
      <c r="D526" t="s">
        <v>443</v>
      </c>
      <c r="E526" t="s">
        <v>49</v>
      </c>
      <c r="F526" t="s">
        <v>256</v>
      </c>
    </row>
    <row r="527" spans="1:6">
      <c r="A527">
        <v>68009</v>
      </c>
      <c r="B527" t="s">
        <v>18</v>
      </c>
      <c r="C527" t="s">
        <v>9</v>
      </c>
      <c r="D527" t="s">
        <v>443</v>
      </c>
      <c r="E527" t="s">
        <v>49</v>
      </c>
      <c r="F527" t="s">
        <v>257</v>
      </c>
    </row>
    <row r="528" spans="1:6">
      <c r="A528">
        <v>68010</v>
      </c>
      <c r="B528" t="s">
        <v>18</v>
      </c>
      <c r="C528" t="s">
        <v>9</v>
      </c>
      <c r="D528" t="s">
        <v>443</v>
      </c>
      <c r="E528" t="s">
        <v>49</v>
      </c>
      <c r="F528" t="s">
        <v>258</v>
      </c>
    </row>
    <row r="529" spans="1:7">
      <c r="A529">
        <v>68011</v>
      </c>
      <c r="B529" t="s">
        <v>18</v>
      </c>
      <c r="C529" t="s">
        <v>9</v>
      </c>
      <c r="D529" t="s">
        <v>443</v>
      </c>
      <c r="E529" t="s">
        <v>120</v>
      </c>
      <c r="F529" t="s">
        <v>273</v>
      </c>
    </row>
    <row r="530" spans="1:7">
      <c r="A530">
        <v>68012</v>
      </c>
      <c r="B530" t="s">
        <v>18</v>
      </c>
      <c r="C530" t="s">
        <v>9</v>
      </c>
      <c r="D530" t="s">
        <v>443</v>
      </c>
      <c r="E530" t="s">
        <v>49</v>
      </c>
      <c r="F530" t="s">
        <v>274</v>
      </c>
    </row>
    <row r="531" spans="1:7">
      <c r="A531">
        <v>68013</v>
      </c>
      <c r="B531" t="s">
        <v>18</v>
      </c>
      <c r="C531" t="s">
        <v>9</v>
      </c>
      <c r="D531" t="s">
        <v>443</v>
      </c>
      <c r="E531" t="s">
        <v>49</v>
      </c>
      <c r="F531" t="s">
        <v>275</v>
      </c>
    </row>
    <row r="532" spans="1:7">
      <c r="A532">
        <v>68014</v>
      </c>
      <c r="B532" t="s">
        <v>18</v>
      </c>
      <c r="C532" t="s">
        <v>9</v>
      </c>
      <c r="D532" t="s">
        <v>443</v>
      </c>
      <c r="E532" t="s">
        <v>49</v>
      </c>
      <c r="F532" t="s">
        <v>276</v>
      </c>
    </row>
    <row r="533" spans="1:7">
      <c r="A533">
        <v>68015</v>
      </c>
      <c r="B533" t="s">
        <v>18</v>
      </c>
      <c r="C533" t="s">
        <v>9</v>
      </c>
      <c r="D533" t="s">
        <v>443</v>
      </c>
      <c r="E533" t="s">
        <v>49</v>
      </c>
      <c r="F533" t="s">
        <v>277</v>
      </c>
    </row>
    <row r="534" spans="1:7">
      <c r="A534">
        <v>68016</v>
      </c>
      <c r="B534" t="s">
        <v>18</v>
      </c>
      <c r="C534" t="s">
        <v>9</v>
      </c>
      <c r="D534" t="s">
        <v>443</v>
      </c>
      <c r="E534" t="s">
        <v>120</v>
      </c>
      <c r="F534" t="s">
        <v>278</v>
      </c>
    </row>
    <row r="535" spans="1:7">
      <c r="A535">
        <v>68017</v>
      </c>
      <c r="B535" t="s">
        <v>18</v>
      </c>
      <c r="C535" t="s">
        <v>9</v>
      </c>
      <c r="D535" t="s">
        <v>443</v>
      </c>
      <c r="E535" t="s">
        <v>49</v>
      </c>
      <c r="F535" t="s">
        <v>279</v>
      </c>
    </row>
    <row r="536" spans="1:7">
      <c r="A536">
        <v>68018</v>
      </c>
      <c r="B536" t="s">
        <v>18</v>
      </c>
      <c r="C536" t="s">
        <v>9</v>
      </c>
      <c r="D536" t="s">
        <v>443</v>
      </c>
      <c r="E536" t="s">
        <v>124</v>
      </c>
      <c r="F536" t="s">
        <v>280</v>
      </c>
    </row>
    <row r="537" spans="1:7">
      <c r="A537">
        <v>68019</v>
      </c>
      <c r="B537" t="s">
        <v>18</v>
      </c>
      <c r="C537" t="s">
        <v>9</v>
      </c>
      <c r="D537" t="s">
        <v>443</v>
      </c>
      <c r="E537" t="s">
        <v>124</v>
      </c>
      <c r="F537" t="s">
        <v>281</v>
      </c>
    </row>
    <row r="538" spans="1:7">
      <c r="A538">
        <v>68020</v>
      </c>
      <c r="B538" t="s">
        <v>18</v>
      </c>
      <c r="C538" t="s">
        <v>9</v>
      </c>
      <c r="D538" t="s">
        <v>443</v>
      </c>
      <c r="E538" t="s">
        <v>124</v>
      </c>
      <c r="F538" t="s">
        <v>283</v>
      </c>
    </row>
    <row r="539" spans="1:7">
      <c r="A539">
        <v>68021</v>
      </c>
      <c r="B539" t="s">
        <v>18</v>
      </c>
      <c r="C539" t="s">
        <v>9</v>
      </c>
      <c r="D539" t="s">
        <v>443</v>
      </c>
      <c r="E539" t="s">
        <v>124</v>
      </c>
      <c r="F539" t="s">
        <v>284</v>
      </c>
    </row>
    <row r="540" spans="1:7">
      <c r="A540">
        <v>68022</v>
      </c>
      <c r="B540" t="s">
        <v>18</v>
      </c>
      <c r="C540" t="s">
        <v>9</v>
      </c>
      <c r="D540" t="s">
        <v>443</v>
      </c>
      <c r="E540" t="s">
        <v>131</v>
      </c>
      <c r="F540" t="s">
        <v>286</v>
      </c>
      <c r="G540" t="s">
        <v>287</v>
      </c>
    </row>
    <row r="541" spans="1:7">
      <c r="A541">
        <v>68023</v>
      </c>
      <c r="B541" t="s">
        <v>18</v>
      </c>
      <c r="C541" t="s">
        <v>9</v>
      </c>
      <c r="D541" t="s">
        <v>443</v>
      </c>
      <c r="E541" t="s">
        <v>49</v>
      </c>
      <c r="F541" t="s">
        <v>288</v>
      </c>
    </row>
    <row r="542" spans="1:7">
      <c r="A542">
        <v>68024</v>
      </c>
      <c r="B542" t="s">
        <v>18</v>
      </c>
      <c r="C542" t="s">
        <v>9</v>
      </c>
      <c r="D542" t="s">
        <v>443</v>
      </c>
      <c r="E542" t="s">
        <v>49</v>
      </c>
      <c r="F542" t="s">
        <v>289</v>
      </c>
    </row>
    <row r="543" spans="1:7">
      <c r="A543">
        <v>68025</v>
      </c>
      <c r="B543" t="s">
        <v>18</v>
      </c>
      <c r="C543" t="s">
        <v>9</v>
      </c>
      <c r="D543" t="s">
        <v>443</v>
      </c>
      <c r="E543" t="s">
        <v>120</v>
      </c>
      <c r="F543" t="s">
        <v>290</v>
      </c>
    </row>
    <row r="544" spans="1:7">
      <c r="A544">
        <v>68026</v>
      </c>
      <c r="B544" t="s">
        <v>18</v>
      </c>
      <c r="C544" t="s">
        <v>9</v>
      </c>
      <c r="D544" t="s">
        <v>443</v>
      </c>
      <c r="E544" t="s">
        <v>49</v>
      </c>
      <c r="F544" t="s">
        <v>291</v>
      </c>
    </row>
    <row r="545" spans="1:7">
      <c r="A545">
        <v>68027</v>
      </c>
      <c r="B545" t="s">
        <v>18</v>
      </c>
      <c r="C545" t="s">
        <v>9</v>
      </c>
      <c r="D545" t="s">
        <v>443</v>
      </c>
      <c r="E545" t="s">
        <v>49</v>
      </c>
      <c r="F545" t="s">
        <v>292</v>
      </c>
    </row>
    <row r="546" spans="1:7">
      <c r="A546">
        <v>68028</v>
      </c>
      <c r="B546" t="s">
        <v>18</v>
      </c>
      <c r="C546" t="s">
        <v>9</v>
      </c>
      <c r="D546" t="s">
        <v>443</v>
      </c>
      <c r="E546" t="s">
        <v>131</v>
      </c>
      <c r="F546" t="s">
        <v>293</v>
      </c>
      <c r="G546" t="s">
        <v>287</v>
      </c>
    </row>
    <row r="547" spans="1:7">
      <c r="A547">
        <v>68029</v>
      </c>
      <c r="B547" t="s">
        <v>18</v>
      </c>
      <c r="C547" t="s">
        <v>9</v>
      </c>
      <c r="D547" t="s">
        <v>443</v>
      </c>
      <c r="E547" t="s">
        <v>49</v>
      </c>
      <c r="F547" t="s">
        <v>294</v>
      </c>
    </row>
    <row r="548" spans="1:7">
      <c r="A548">
        <v>68030</v>
      </c>
      <c r="B548" t="s">
        <v>18</v>
      </c>
      <c r="C548" t="s">
        <v>9</v>
      </c>
      <c r="D548" t="s">
        <v>443</v>
      </c>
      <c r="E548" t="s">
        <v>49</v>
      </c>
      <c r="F548" t="s">
        <v>295</v>
      </c>
    </row>
    <row r="549" spans="1:7">
      <c r="A549">
        <v>68031</v>
      </c>
      <c r="B549" t="s">
        <v>18</v>
      </c>
      <c r="C549" t="s">
        <v>9</v>
      </c>
      <c r="D549" t="s">
        <v>443</v>
      </c>
      <c r="E549" t="s">
        <v>49</v>
      </c>
      <c r="F549" t="s">
        <v>296</v>
      </c>
    </row>
    <row r="550" spans="1:7">
      <c r="A550">
        <v>68032</v>
      </c>
      <c r="B550" t="s">
        <v>18</v>
      </c>
      <c r="C550" t="s">
        <v>9</v>
      </c>
      <c r="D550" t="s">
        <v>443</v>
      </c>
      <c r="E550" t="s">
        <v>120</v>
      </c>
      <c r="F550" t="s">
        <v>297</v>
      </c>
    </row>
    <row r="551" spans="1:7">
      <c r="A551">
        <v>68033</v>
      </c>
      <c r="B551" t="s">
        <v>18</v>
      </c>
      <c r="C551" t="s">
        <v>9</v>
      </c>
      <c r="D551" t="s">
        <v>443</v>
      </c>
      <c r="E551" t="s">
        <v>49</v>
      </c>
      <c r="F551" t="s">
        <v>298</v>
      </c>
    </row>
    <row r="552" spans="1:7">
      <c r="A552">
        <v>68034</v>
      </c>
      <c r="B552" t="s">
        <v>18</v>
      </c>
      <c r="C552" t="s">
        <v>9</v>
      </c>
      <c r="D552" t="s">
        <v>443</v>
      </c>
      <c r="E552" t="s">
        <v>58</v>
      </c>
      <c r="F552" t="s">
        <v>299</v>
      </c>
    </row>
    <row r="553" spans="1:7">
      <c r="A553">
        <v>68035</v>
      </c>
      <c r="B553" t="s">
        <v>18</v>
      </c>
      <c r="C553" t="s">
        <v>9</v>
      </c>
      <c r="D553" t="s">
        <v>443</v>
      </c>
      <c r="E553" t="s">
        <v>49</v>
      </c>
      <c r="F553" t="s">
        <v>300</v>
      </c>
    </row>
    <row r="554" spans="1:7">
      <c r="B554" t="s">
        <v>18</v>
      </c>
      <c r="C554" t="s">
        <v>9</v>
      </c>
      <c r="D554" t="s">
        <v>443</v>
      </c>
      <c r="E554" t="s">
        <v>49</v>
      </c>
      <c r="F554" t="s">
        <v>57</v>
      </c>
    </row>
    <row r="555" spans="1:7">
      <c r="B555" t="s">
        <v>18</v>
      </c>
      <c r="C555" t="s">
        <v>9</v>
      </c>
      <c r="D555" t="s">
        <v>443</v>
      </c>
      <c r="E555" t="s">
        <v>58</v>
      </c>
      <c r="F555" t="s">
        <v>59</v>
      </c>
    </row>
    <row r="556" spans="1:7">
      <c r="A556">
        <v>69000</v>
      </c>
      <c r="B556" t="s">
        <v>18</v>
      </c>
      <c r="C556" t="s">
        <v>9</v>
      </c>
      <c r="D556" t="s">
        <v>444</v>
      </c>
      <c r="E556" t="s">
        <v>48</v>
      </c>
      <c r="F556" t="s">
        <v>444</v>
      </c>
    </row>
    <row r="557" spans="1:7">
      <c r="A557">
        <v>69001</v>
      </c>
      <c r="B557" t="s">
        <v>18</v>
      </c>
      <c r="C557" t="s">
        <v>9</v>
      </c>
      <c r="D557" t="s">
        <v>444</v>
      </c>
      <c r="E557" t="s">
        <v>49</v>
      </c>
      <c r="F557" t="s">
        <v>445</v>
      </c>
    </row>
    <row r="558" spans="1:7">
      <c r="A558">
        <v>69002</v>
      </c>
      <c r="B558" t="s">
        <v>18</v>
      </c>
      <c r="C558" t="s">
        <v>9</v>
      </c>
      <c r="D558" t="s">
        <v>444</v>
      </c>
      <c r="E558" t="s">
        <v>49</v>
      </c>
      <c r="F558" t="s">
        <v>260</v>
      </c>
    </row>
    <row r="559" spans="1:7">
      <c r="A559">
        <v>69003</v>
      </c>
      <c r="B559" t="s">
        <v>18</v>
      </c>
      <c r="C559" t="s">
        <v>9</v>
      </c>
      <c r="D559" t="s">
        <v>444</v>
      </c>
      <c r="E559" t="s">
        <v>49</v>
      </c>
      <c r="F559" t="s">
        <v>261</v>
      </c>
    </row>
    <row r="560" spans="1:7">
      <c r="A560">
        <v>69004</v>
      </c>
      <c r="B560" t="s">
        <v>18</v>
      </c>
      <c r="C560" t="s">
        <v>9</v>
      </c>
      <c r="D560" t="s">
        <v>444</v>
      </c>
      <c r="E560" t="s">
        <v>49</v>
      </c>
      <c r="F560" t="s">
        <v>446</v>
      </c>
    </row>
    <row r="561" spans="1:6">
      <c r="A561">
        <v>69005</v>
      </c>
      <c r="B561" t="s">
        <v>18</v>
      </c>
      <c r="C561" t="s">
        <v>9</v>
      </c>
      <c r="D561" t="s">
        <v>444</v>
      </c>
      <c r="E561" t="s">
        <v>49</v>
      </c>
      <c r="F561" t="s">
        <v>447</v>
      </c>
    </row>
    <row r="562" spans="1:6">
      <c r="A562">
        <v>69006</v>
      </c>
      <c r="B562" t="s">
        <v>18</v>
      </c>
      <c r="C562" t="s">
        <v>9</v>
      </c>
      <c r="D562" t="s">
        <v>444</v>
      </c>
      <c r="E562" t="s">
        <v>49</v>
      </c>
      <c r="F562" t="s">
        <v>448</v>
      </c>
    </row>
    <row r="563" spans="1:6">
      <c r="B563" t="s">
        <v>18</v>
      </c>
      <c r="C563" t="s">
        <v>9</v>
      </c>
      <c r="D563" t="s">
        <v>444</v>
      </c>
      <c r="E563" t="s">
        <v>49</v>
      </c>
      <c r="F563" t="s">
        <v>57</v>
      </c>
    </row>
    <row r="564" spans="1:6">
      <c r="B564" t="s">
        <v>18</v>
      </c>
      <c r="C564" t="s">
        <v>9</v>
      </c>
      <c r="D564" t="s">
        <v>444</v>
      </c>
      <c r="E564" t="s">
        <v>58</v>
      </c>
      <c r="F564" t="s">
        <v>59</v>
      </c>
    </row>
    <row r="565" spans="1:6">
      <c r="A565">
        <v>70000</v>
      </c>
      <c r="B565" t="s">
        <v>18</v>
      </c>
      <c r="C565" t="s">
        <v>9</v>
      </c>
      <c r="D565" t="s">
        <v>449</v>
      </c>
      <c r="E565" t="s">
        <v>48</v>
      </c>
      <c r="F565" t="s">
        <v>449</v>
      </c>
    </row>
    <row r="566" spans="1:6">
      <c r="A566">
        <v>70001</v>
      </c>
      <c r="B566" t="s">
        <v>18</v>
      </c>
      <c r="C566" t="s">
        <v>9</v>
      </c>
      <c r="D566" t="s">
        <v>449</v>
      </c>
      <c r="E566" t="s">
        <v>49</v>
      </c>
      <c r="F566" t="s">
        <v>339</v>
      </c>
    </row>
    <row r="567" spans="1:6">
      <c r="A567">
        <v>70002</v>
      </c>
      <c r="B567" t="s">
        <v>18</v>
      </c>
      <c r="C567" t="s">
        <v>9</v>
      </c>
      <c r="D567" t="s">
        <v>449</v>
      </c>
      <c r="E567" t="s">
        <v>49</v>
      </c>
      <c r="F567" t="s">
        <v>340</v>
      </c>
    </row>
    <row r="568" spans="1:6">
      <c r="A568">
        <v>70003</v>
      </c>
      <c r="B568" t="s">
        <v>18</v>
      </c>
      <c r="C568" t="s">
        <v>9</v>
      </c>
      <c r="D568" t="s">
        <v>449</v>
      </c>
      <c r="E568" t="s">
        <v>49</v>
      </c>
      <c r="F568" t="s">
        <v>341</v>
      </c>
    </row>
    <row r="569" spans="1:6">
      <c r="A569">
        <v>70004</v>
      </c>
      <c r="B569" t="s">
        <v>18</v>
      </c>
      <c r="C569" t="s">
        <v>9</v>
      </c>
      <c r="D569" t="s">
        <v>449</v>
      </c>
      <c r="E569" t="s">
        <v>49</v>
      </c>
      <c r="F569" t="s">
        <v>450</v>
      </c>
    </row>
    <row r="570" spans="1:6">
      <c r="B570" t="s">
        <v>18</v>
      </c>
      <c r="C570" t="s">
        <v>9</v>
      </c>
      <c r="D570" t="s">
        <v>449</v>
      </c>
      <c r="E570" t="s">
        <v>49</v>
      </c>
      <c r="F570" t="s">
        <v>57</v>
      </c>
    </row>
    <row r="571" spans="1:6">
      <c r="B571" t="s">
        <v>18</v>
      </c>
      <c r="C571" t="s">
        <v>9</v>
      </c>
      <c r="D571" t="s">
        <v>449</v>
      </c>
      <c r="E571" t="s">
        <v>58</v>
      </c>
      <c r="F571" t="s">
        <v>59</v>
      </c>
    </row>
    <row r="572" spans="1:6">
      <c r="A572">
        <v>71000</v>
      </c>
      <c r="B572" t="s">
        <v>18</v>
      </c>
      <c r="C572" t="s">
        <v>9</v>
      </c>
      <c r="D572" t="s">
        <v>451</v>
      </c>
      <c r="E572" t="s">
        <v>48</v>
      </c>
      <c r="F572" t="s">
        <v>451</v>
      </c>
    </row>
    <row r="573" spans="1:6">
      <c r="A573">
        <v>71001</v>
      </c>
      <c r="B573" t="s">
        <v>18</v>
      </c>
      <c r="C573" t="s">
        <v>9</v>
      </c>
      <c r="D573" t="s">
        <v>451</v>
      </c>
      <c r="E573" t="s">
        <v>49</v>
      </c>
      <c r="F573" t="s">
        <v>339</v>
      </c>
    </row>
    <row r="574" spans="1:6">
      <c r="A574">
        <v>71002</v>
      </c>
      <c r="B574" t="s">
        <v>18</v>
      </c>
      <c r="C574" t="s">
        <v>9</v>
      </c>
      <c r="D574" t="s">
        <v>451</v>
      </c>
      <c r="E574" t="s">
        <v>49</v>
      </c>
      <c r="F574" t="s">
        <v>340</v>
      </c>
    </row>
    <row r="575" spans="1:6">
      <c r="A575">
        <v>71003</v>
      </c>
      <c r="B575" t="s">
        <v>18</v>
      </c>
      <c r="C575" t="s">
        <v>9</v>
      </c>
      <c r="D575" t="s">
        <v>451</v>
      </c>
      <c r="E575" t="s">
        <v>49</v>
      </c>
      <c r="F575" t="s">
        <v>341</v>
      </c>
    </row>
    <row r="576" spans="1:6">
      <c r="A576">
        <v>71004</v>
      </c>
      <c r="B576" t="s">
        <v>18</v>
      </c>
      <c r="C576" t="s">
        <v>9</v>
      </c>
      <c r="D576" t="s">
        <v>451</v>
      </c>
      <c r="E576" t="s">
        <v>49</v>
      </c>
      <c r="F576" t="s">
        <v>452</v>
      </c>
    </row>
    <row r="577" spans="1:6">
      <c r="B577" t="s">
        <v>18</v>
      </c>
      <c r="C577" t="s">
        <v>9</v>
      </c>
      <c r="D577" t="s">
        <v>451</v>
      </c>
      <c r="E577" t="s">
        <v>49</v>
      </c>
      <c r="F577" t="s">
        <v>57</v>
      </c>
    </row>
    <row r="578" spans="1:6">
      <c r="B578" t="s">
        <v>18</v>
      </c>
      <c r="C578" t="s">
        <v>9</v>
      </c>
      <c r="D578" t="s">
        <v>451</v>
      </c>
      <c r="E578" t="s">
        <v>58</v>
      </c>
      <c r="F578" t="s">
        <v>59</v>
      </c>
    </row>
    <row r="579" spans="1:6">
      <c r="A579">
        <v>72000</v>
      </c>
      <c r="B579" t="s">
        <v>22</v>
      </c>
      <c r="C579" t="s">
        <v>9</v>
      </c>
      <c r="D579" t="s">
        <v>453</v>
      </c>
      <c r="E579" t="s">
        <v>48</v>
      </c>
      <c r="F579" t="s">
        <v>453</v>
      </c>
    </row>
    <row r="580" spans="1:6">
      <c r="A580">
        <v>72001</v>
      </c>
      <c r="B580" t="s">
        <v>22</v>
      </c>
      <c r="C580" t="s">
        <v>9</v>
      </c>
      <c r="D580" t="s">
        <v>453</v>
      </c>
      <c r="E580" t="s">
        <v>49</v>
      </c>
      <c r="F580" t="s">
        <v>454</v>
      </c>
    </row>
    <row r="581" spans="1:6">
      <c r="A581">
        <v>72002</v>
      </c>
      <c r="B581" t="s">
        <v>22</v>
      </c>
      <c r="C581" t="s">
        <v>9</v>
      </c>
      <c r="D581" t="s">
        <v>453</v>
      </c>
      <c r="E581" t="s">
        <v>49</v>
      </c>
      <c r="F581" t="s">
        <v>455</v>
      </c>
    </row>
    <row r="582" spans="1:6">
      <c r="A582">
        <v>72003</v>
      </c>
      <c r="B582" t="s">
        <v>22</v>
      </c>
      <c r="C582" t="s">
        <v>9</v>
      </c>
      <c r="D582" t="s">
        <v>453</v>
      </c>
      <c r="E582" t="s">
        <v>49</v>
      </c>
      <c r="F582" t="s">
        <v>456</v>
      </c>
    </row>
    <row r="583" spans="1:6">
      <c r="A583">
        <v>72004</v>
      </c>
      <c r="B583" t="s">
        <v>22</v>
      </c>
      <c r="C583" t="s">
        <v>9</v>
      </c>
      <c r="D583" t="s">
        <v>453</v>
      </c>
      <c r="E583" t="s">
        <v>49</v>
      </c>
      <c r="F583" t="s">
        <v>457</v>
      </c>
    </row>
    <row r="584" spans="1:6">
      <c r="A584">
        <v>72005</v>
      </c>
      <c r="B584" t="s">
        <v>22</v>
      </c>
      <c r="C584" t="s">
        <v>9</v>
      </c>
      <c r="D584" t="s">
        <v>453</v>
      </c>
      <c r="E584" t="s">
        <v>49</v>
      </c>
      <c r="F584" t="s">
        <v>458</v>
      </c>
    </row>
    <row r="585" spans="1:6">
      <c r="A585">
        <v>72006</v>
      </c>
      <c r="B585" t="s">
        <v>22</v>
      </c>
      <c r="C585" t="s">
        <v>9</v>
      </c>
      <c r="D585" t="s">
        <v>453</v>
      </c>
      <c r="E585" t="s">
        <v>49</v>
      </c>
      <c r="F585" t="s">
        <v>459</v>
      </c>
    </row>
    <row r="586" spans="1:6">
      <c r="A586">
        <v>72007</v>
      </c>
      <c r="B586" t="s">
        <v>22</v>
      </c>
      <c r="C586" t="s">
        <v>9</v>
      </c>
      <c r="D586" t="s">
        <v>453</v>
      </c>
      <c r="E586" t="s">
        <v>49</v>
      </c>
      <c r="F586" t="s">
        <v>460</v>
      </c>
    </row>
    <row r="587" spans="1:6">
      <c r="A587">
        <v>72008</v>
      </c>
      <c r="B587" t="s">
        <v>22</v>
      </c>
      <c r="C587" t="s">
        <v>9</v>
      </c>
      <c r="D587" t="s">
        <v>453</v>
      </c>
      <c r="E587" t="s">
        <v>49</v>
      </c>
      <c r="F587" t="s">
        <v>461</v>
      </c>
    </row>
    <row r="588" spans="1:6">
      <c r="A588">
        <v>72009</v>
      </c>
      <c r="B588" t="s">
        <v>22</v>
      </c>
      <c r="C588" t="s">
        <v>9</v>
      </c>
      <c r="D588" t="s">
        <v>453</v>
      </c>
      <c r="E588" t="s">
        <v>49</v>
      </c>
      <c r="F588" t="s">
        <v>462</v>
      </c>
    </row>
    <row r="589" spans="1:6">
      <c r="B589" t="s">
        <v>22</v>
      </c>
      <c r="C589" t="s">
        <v>9</v>
      </c>
      <c r="D589" t="s">
        <v>453</v>
      </c>
      <c r="E589" t="s">
        <v>49</v>
      </c>
      <c r="F589" t="s">
        <v>57</v>
      </c>
    </row>
    <row r="590" spans="1:6">
      <c r="B590" t="s">
        <v>22</v>
      </c>
      <c r="C590" t="s">
        <v>9</v>
      </c>
      <c r="D590" t="s">
        <v>453</v>
      </c>
      <c r="E590" t="s">
        <v>58</v>
      </c>
      <c r="F590" t="s">
        <v>59</v>
      </c>
    </row>
    <row r="591" spans="1:6">
      <c r="A591">
        <v>73000</v>
      </c>
      <c r="B591" t="s">
        <v>22</v>
      </c>
      <c r="C591" t="s">
        <v>9</v>
      </c>
      <c r="D591" t="s">
        <v>463</v>
      </c>
      <c r="E591" t="s">
        <v>48</v>
      </c>
      <c r="F591" t="s">
        <v>463</v>
      </c>
    </row>
    <row r="592" spans="1:6">
      <c r="A592">
        <v>73001</v>
      </c>
      <c r="B592" t="s">
        <v>22</v>
      </c>
      <c r="C592" t="s">
        <v>9</v>
      </c>
      <c r="D592" t="s">
        <v>463</v>
      </c>
      <c r="E592" t="s">
        <v>49</v>
      </c>
      <c r="F592" t="s">
        <v>454</v>
      </c>
    </row>
    <row r="593" spans="1:6">
      <c r="A593">
        <v>73002</v>
      </c>
      <c r="B593" t="s">
        <v>22</v>
      </c>
      <c r="C593" t="s">
        <v>9</v>
      </c>
      <c r="D593" t="s">
        <v>463</v>
      </c>
      <c r="E593" t="s">
        <v>49</v>
      </c>
      <c r="F593" t="s">
        <v>455</v>
      </c>
    </row>
    <row r="594" spans="1:6">
      <c r="A594">
        <v>73003</v>
      </c>
      <c r="B594" t="s">
        <v>22</v>
      </c>
      <c r="C594" t="s">
        <v>9</v>
      </c>
      <c r="D594" t="s">
        <v>463</v>
      </c>
      <c r="E594" t="s">
        <v>49</v>
      </c>
      <c r="F594" t="s">
        <v>456</v>
      </c>
    </row>
    <row r="595" spans="1:6">
      <c r="A595">
        <v>73004</v>
      </c>
      <c r="B595" t="s">
        <v>22</v>
      </c>
      <c r="C595" t="s">
        <v>9</v>
      </c>
      <c r="D595" t="s">
        <v>463</v>
      </c>
      <c r="E595" t="s">
        <v>49</v>
      </c>
      <c r="F595" t="s">
        <v>464</v>
      </c>
    </row>
    <row r="596" spans="1:6">
      <c r="A596">
        <v>73005</v>
      </c>
      <c r="B596" t="s">
        <v>22</v>
      </c>
      <c r="C596" t="s">
        <v>9</v>
      </c>
      <c r="D596" t="s">
        <v>463</v>
      </c>
      <c r="E596" t="s">
        <v>49</v>
      </c>
      <c r="F596" t="s">
        <v>458</v>
      </c>
    </row>
    <row r="597" spans="1:6">
      <c r="A597">
        <v>73006</v>
      </c>
      <c r="B597" t="s">
        <v>22</v>
      </c>
      <c r="C597" t="s">
        <v>9</v>
      </c>
      <c r="D597" t="s">
        <v>463</v>
      </c>
      <c r="E597" t="s">
        <v>49</v>
      </c>
      <c r="F597" t="s">
        <v>459</v>
      </c>
    </row>
    <row r="598" spans="1:6">
      <c r="A598">
        <v>73007</v>
      </c>
      <c r="B598" t="s">
        <v>22</v>
      </c>
      <c r="C598" t="s">
        <v>9</v>
      </c>
      <c r="D598" t="s">
        <v>463</v>
      </c>
      <c r="E598" t="s">
        <v>49</v>
      </c>
      <c r="F598" t="s">
        <v>465</v>
      </c>
    </row>
    <row r="599" spans="1:6">
      <c r="A599">
        <v>73008</v>
      </c>
      <c r="B599" t="s">
        <v>22</v>
      </c>
      <c r="C599" t="s">
        <v>9</v>
      </c>
      <c r="D599" t="s">
        <v>463</v>
      </c>
      <c r="E599" t="s">
        <v>49</v>
      </c>
      <c r="F599" t="s">
        <v>466</v>
      </c>
    </row>
    <row r="600" spans="1:6">
      <c r="A600">
        <v>73009</v>
      </c>
      <c r="B600" t="s">
        <v>22</v>
      </c>
      <c r="C600" t="s">
        <v>9</v>
      </c>
      <c r="D600" t="s">
        <v>463</v>
      </c>
      <c r="E600" t="s">
        <v>49</v>
      </c>
      <c r="F600" t="s">
        <v>467</v>
      </c>
    </row>
    <row r="601" spans="1:6">
      <c r="A601">
        <v>73010</v>
      </c>
      <c r="B601" t="s">
        <v>22</v>
      </c>
      <c r="C601" t="s">
        <v>9</v>
      </c>
      <c r="D601" t="s">
        <v>463</v>
      </c>
      <c r="E601" t="s">
        <v>49</v>
      </c>
      <c r="F601" t="s">
        <v>461</v>
      </c>
    </row>
    <row r="602" spans="1:6">
      <c r="A602">
        <v>73011</v>
      </c>
      <c r="B602" t="s">
        <v>22</v>
      </c>
      <c r="C602" t="s">
        <v>9</v>
      </c>
      <c r="D602" t="s">
        <v>463</v>
      </c>
      <c r="E602" t="s">
        <v>49</v>
      </c>
      <c r="F602" t="s">
        <v>468</v>
      </c>
    </row>
    <row r="603" spans="1:6">
      <c r="B603" t="s">
        <v>22</v>
      </c>
      <c r="C603" t="s">
        <v>9</v>
      </c>
      <c r="D603" t="s">
        <v>463</v>
      </c>
      <c r="E603" t="s">
        <v>49</v>
      </c>
      <c r="F603" t="s">
        <v>57</v>
      </c>
    </row>
    <row r="604" spans="1:6">
      <c r="B604" t="s">
        <v>22</v>
      </c>
      <c r="C604" t="s">
        <v>9</v>
      </c>
      <c r="D604" t="s">
        <v>463</v>
      </c>
      <c r="E604" t="s">
        <v>58</v>
      </c>
      <c r="F604" t="s">
        <v>59</v>
      </c>
    </row>
    <row r="605" spans="1:6">
      <c r="A605">
        <v>74000</v>
      </c>
      <c r="B605" t="s">
        <v>22</v>
      </c>
      <c r="C605" t="s">
        <v>9</v>
      </c>
      <c r="D605" t="s">
        <v>469</v>
      </c>
      <c r="E605" t="s">
        <v>48</v>
      </c>
      <c r="F605" t="s">
        <v>469</v>
      </c>
    </row>
    <row r="606" spans="1:6">
      <c r="A606">
        <v>74001</v>
      </c>
      <c r="B606" t="s">
        <v>22</v>
      </c>
      <c r="C606" t="s">
        <v>9</v>
      </c>
      <c r="D606" t="s">
        <v>469</v>
      </c>
      <c r="E606" t="s">
        <v>49</v>
      </c>
      <c r="F606" t="s">
        <v>470</v>
      </c>
    </row>
    <row r="607" spans="1:6">
      <c r="A607">
        <v>74002</v>
      </c>
      <c r="B607" t="s">
        <v>22</v>
      </c>
      <c r="C607" t="s">
        <v>9</v>
      </c>
      <c r="D607" t="s">
        <v>469</v>
      </c>
      <c r="E607" t="s">
        <v>49</v>
      </c>
      <c r="F607" t="s">
        <v>471</v>
      </c>
    </row>
    <row r="608" spans="1:6">
      <c r="A608">
        <v>74003</v>
      </c>
      <c r="B608" t="s">
        <v>22</v>
      </c>
      <c r="C608" t="s">
        <v>9</v>
      </c>
      <c r="D608" t="s">
        <v>469</v>
      </c>
      <c r="E608" t="s">
        <v>49</v>
      </c>
      <c r="F608" t="s">
        <v>472</v>
      </c>
    </row>
    <row r="609" spans="1:6">
      <c r="A609">
        <v>74004</v>
      </c>
      <c r="B609" t="s">
        <v>22</v>
      </c>
      <c r="C609" t="s">
        <v>9</v>
      </c>
      <c r="D609" t="s">
        <v>469</v>
      </c>
      <c r="E609" t="s">
        <v>49</v>
      </c>
      <c r="F609" t="s">
        <v>473</v>
      </c>
    </row>
    <row r="610" spans="1:6">
      <c r="B610" t="s">
        <v>22</v>
      </c>
      <c r="C610" t="s">
        <v>9</v>
      </c>
      <c r="D610" t="s">
        <v>469</v>
      </c>
      <c r="E610" t="s">
        <v>49</v>
      </c>
      <c r="F610" t="s">
        <v>57</v>
      </c>
    </row>
    <row r="611" spans="1:6">
      <c r="B611" t="s">
        <v>22</v>
      </c>
      <c r="C611" t="s">
        <v>9</v>
      </c>
      <c r="D611" t="s">
        <v>469</v>
      </c>
      <c r="E611" t="s">
        <v>58</v>
      </c>
      <c r="F611" t="s">
        <v>59</v>
      </c>
    </row>
    <row r="612" spans="1:6">
      <c r="A612">
        <v>75000</v>
      </c>
      <c r="B612" t="s">
        <v>22</v>
      </c>
      <c r="C612" t="s">
        <v>9</v>
      </c>
      <c r="D612" t="s">
        <v>474</v>
      </c>
      <c r="E612" t="s">
        <v>48</v>
      </c>
      <c r="F612" t="s">
        <v>474</v>
      </c>
    </row>
    <row r="613" spans="1:6">
      <c r="A613">
        <v>75001</v>
      </c>
      <c r="B613" t="s">
        <v>22</v>
      </c>
      <c r="C613" t="s">
        <v>9</v>
      </c>
      <c r="D613" t="s">
        <v>474</v>
      </c>
      <c r="E613" t="s">
        <v>49</v>
      </c>
      <c r="F613" t="s">
        <v>475</v>
      </c>
    </row>
    <row r="614" spans="1:6">
      <c r="A614">
        <v>75002</v>
      </c>
      <c r="B614" t="s">
        <v>22</v>
      </c>
      <c r="C614" t="s">
        <v>9</v>
      </c>
      <c r="D614" t="s">
        <v>474</v>
      </c>
      <c r="E614" t="s">
        <v>49</v>
      </c>
      <c r="F614" t="s">
        <v>476</v>
      </c>
    </row>
    <row r="615" spans="1:6">
      <c r="A615">
        <v>75003</v>
      </c>
      <c r="B615" t="s">
        <v>22</v>
      </c>
      <c r="C615" t="s">
        <v>9</v>
      </c>
      <c r="D615" t="s">
        <v>474</v>
      </c>
      <c r="E615" t="s">
        <v>49</v>
      </c>
      <c r="F615" t="s">
        <v>477</v>
      </c>
    </row>
    <row r="616" spans="1:6">
      <c r="A616">
        <v>75004</v>
      </c>
      <c r="B616" t="s">
        <v>22</v>
      </c>
      <c r="C616" t="s">
        <v>9</v>
      </c>
      <c r="D616" t="s">
        <v>474</v>
      </c>
      <c r="E616" t="s">
        <v>49</v>
      </c>
      <c r="F616" t="s">
        <v>478</v>
      </c>
    </row>
    <row r="617" spans="1:6">
      <c r="A617">
        <v>75005</v>
      </c>
      <c r="B617" t="s">
        <v>22</v>
      </c>
      <c r="C617" t="s">
        <v>9</v>
      </c>
      <c r="D617" t="s">
        <v>474</v>
      </c>
      <c r="E617" t="s">
        <v>49</v>
      </c>
      <c r="F617" t="s">
        <v>479</v>
      </c>
    </row>
    <row r="618" spans="1:6">
      <c r="A618">
        <v>75006</v>
      </c>
      <c r="B618" t="s">
        <v>22</v>
      </c>
      <c r="C618" t="s">
        <v>9</v>
      </c>
      <c r="D618" t="s">
        <v>474</v>
      </c>
      <c r="E618" t="s">
        <v>49</v>
      </c>
      <c r="F618" t="s">
        <v>480</v>
      </c>
    </row>
    <row r="619" spans="1:6">
      <c r="A619">
        <v>75007</v>
      </c>
      <c r="B619" t="s">
        <v>22</v>
      </c>
      <c r="C619" t="s">
        <v>9</v>
      </c>
      <c r="D619" t="s">
        <v>474</v>
      </c>
      <c r="E619" t="s">
        <v>49</v>
      </c>
      <c r="F619" t="s">
        <v>481</v>
      </c>
    </row>
    <row r="620" spans="1:6">
      <c r="A620">
        <v>75008</v>
      </c>
      <c r="B620" t="s">
        <v>22</v>
      </c>
      <c r="C620" t="s">
        <v>9</v>
      </c>
      <c r="D620" t="s">
        <v>474</v>
      </c>
      <c r="E620" t="s">
        <v>49</v>
      </c>
      <c r="F620" t="s">
        <v>482</v>
      </c>
    </row>
    <row r="621" spans="1:6">
      <c r="A621">
        <v>75009</v>
      </c>
      <c r="B621" t="s">
        <v>22</v>
      </c>
      <c r="C621" t="s">
        <v>9</v>
      </c>
      <c r="D621" t="s">
        <v>474</v>
      </c>
      <c r="E621" t="s">
        <v>49</v>
      </c>
      <c r="F621" t="s">
        <v>483</v>
      </c>
    </row>
    <row r="622" spans="1:6">
      <c r="B622" t="s">
        <v>22</v>
      </c>
      <c r="C622" t="s">
        <v>9</v>
      </c>
      <c r="D622" t="s">
        <v>474</v>
      </c>
      <c r="E622" t="s">
        <v>49</v>
      </c>
      <c r="F622" t="s">
        <v>57</v>
      </c>
    </row>
    <row r="623" spans="1:6">
      <c r="B623" t="s">
        <v>22</v>
      </c>
      <c r="C623" t="s">
        <v>9</v>
      </c>
      <c r="D623" t="s">
        <v>474</v>
      </c>
      <c r="E623" t="s">
        <v>58</v>
      </c>
      <c r="F623" t="s">
        <v>59</v>
      </c>
    </row>
    <row r="624" spans="1:6">
      <c r="A624">
        <v>76000</v>
      </c>
      <c r="B624" t="s">
        <v>22</v>
      </c>
      <c r="C624" t="s">
        <v>9</v>
      </c>
      <c r="D624" t="s">
        <v>484</v>
      </c>
      <c r="E624" t="s">
        <v>48</v>
      </c>
      <c r="F624" t="s">
        <v>484</v>
      </c>
    </row>
    <row r="625" spans="1:6">
      <c r="A625">
        <v>76001</v>
      </c>
      <c r="B625" t="s">
        <v>22</v>
      </c>
      <c r="C625" t="s">
        <v>9</v>
      </c>
      <c r="D625" t="s">
        <v>484</v>
      </c>
      <c r="E625" t="s">
        <v>49</v>
      </c>
      <c r="F625" t="s">
        <v>485</v>
      </c>
    </row>
    <row r="626" spans="1:6">
      <c r="A626">
        <v>76002</v>
      </c>
      <c r="B626" t="s">
        <v>22</v>
      </c>
      <c r="C626" t="s">
        <v>9</v>
      </c>
      <c r="D626" t="s">
        <v>484</v>
      </c>
      <c r="E626" t="s">
        <v>49</v>
      </c>
      <c r="F626" t="s">
        <v>486</v>
      </c>
    </row>
    <row r="627" spans="1:6">
      <c r="A627">
        <v>76003</v>
      </c>
      <c r="B627" t="s">
        <v>22</v>
      </c>
      <c r="C627" t="s">
        <v>9</v>
      </c>
      <c r="D627" t="s">
        <v>484</v>
      </c>
      <c r="E627" t="s">
        <v>49</v>
      </c>
      <c r="F627" t="s">
        <v>487</v>
      </c>
    </row>
    <row r="628" spans="1:6">
      <c r="A628">
        <v>76004</v>
      </c>
      <c r="B628" t="s">
        <v>22</v>
      </c>
      <c r="C628" t="s">
        <v>9</v>
      </c>
      <c r="D628" t="s">
        <v>484</v>
      </c>
      <c r="E628" t="s">
        <v>49</v>
      </c>
      <c r="F628" t="s">
        <v>488</v>
      </c>
    </row>
    <row r="629" spans="1:6">
      <c r="A629">
        <v>76005</v>
      </c>
      <c r="B629" t="s">
        <v>22</v>
      </c>
      <c r="C629" t="s">
        <v>9</v>
      </c>
      <c r="D629" t="s">
        <v>484</v>
      </c>
      <c r="E629" t="s">
        <v>49</v>
      </c>
      <c r="F629" t="s">
        <v>489</v>
      </c>
    </row>
    <row r="630" spans="1:6">
      <c r="A630">
        <v>76006</v>
      </c>
      <c r="B630" t="s">
        <v>22</v>
      </c>
      <c r="C630" t="s">
        <v>9</v>
      </c>
      <c r="D630" t="s">
        <v>484</v>
      </c>
      <c r="E630" t="s">
        <v>49</v>
      </c>
      <c r="F630" t="s">
        <v>481</v>
      </c>
    </row>
    <row r="631" spans="1:6">
      <c r="B631" t="s">
        <v>22</v>
      </c>
      <c r="C631" t="s">
        <v>9</v>
      </c>
      <c r="D631" t="s">
        <v>484</v>
      </c>
      <c r="E631" t="s">
        <v>49</v>
      </c>
      <c r="F631" t="s">
        <v>57</v>
      </c>
    </row>
    <row r="632" spans="1:6">
      <c r="B632" t="s">
        <v>22</v>
      </c>
      <c r="C632" t="s">
        <v>9</v>
      </c>
      <c r="D632" t="s">
        <v>484</v>
      </c>
      <c r="E632" t="s">
        <v>58</v>
      </c>
      <c r="F632" t="s">
        <v>59</v>
      </c>
    </row>
    <row r="633" spans="1:6">
      <c r="A633">
        <v>77000</v>
      </c>
      <c r="B633" t="s">
        <v>22</v>
      </c>
      <c r="C633" t="s">
        <v>9</v>
      </c>
      <c r="D633" t="s">
        <v>490</v>
      </c>
      <c r="E633" t="s">
        <v>119</v>
      </c>
      <c r="F633" t="s">
        <v>490</v>
      </c>
    </row>
    <row r="634" spans="1:6">
      <c r="A634">
        <v>77001</v>
      </c>
      <c r="B634" t="s">
        <v>22</v>
      </c>
      <c r="C634" t="s">
        <v>9</v>
      </c>
      <c r="D634" t="s">
        <v>490</v>
      </c>
      <c r="E634" t="s">
        <v>120</v>
      </c>
      <c r="F634" t="s">
        <v>491</v>
      </c>
    </row>
    <row r="635" spans="1:6">
      <c r="A635">
        <v>77002</v>
      </c>
      <c r="B635" t="s">
        <v>22</v>
      </c>
      <c r="C635" t="s">
        <v>9</v>
      </c>
      <c r="D635" t="s">
        <v>490</v>
      </c>
      <c r="E635" t="s">
        <v>49</v>
      </c>
      <c r="F635" t="s">
        <v>492</v>
      </c>
    </row>
    <row r="636" spans="1:6">
      <c r="A636">
        <v>77003</v>
      </c>
      <c r="B636" t="s">
        <v>22</v>
      </c>
      <c r="C636" t="s">
        <v>9</v>
      </c>
      <c r="D636" t="s">
        <v>490</v>
      </c>
      <c r="E636" t="s">
        <v>49</v>
      </c>
      <c r="F636" t="s">
        <v>493</v>
      </c>
    </row>
    <row r="637" spans="1:6">
      <c r="A637">
        <v>77004</v>
      </c>
      <c r="B637" t="s">
        <v>22</v>
      </c>
      <c r="C637" t="s">
        <v>9</v>
      </c>
      <c r="D637" t="s">
        <v>490</v>
      </c>
      <c r="E637" t="s">
        <v>49</v>
      </c>
      <c r="F637" t="s">
        <v>494</v>
      </c>
    </row>
    <row r="638" spans="1:6">
      <c r="A638">
        <v>77005</v>
      </c>
      <c r="B638" t="s">
        <v>22</v>
      </c>
      <c r="C638" t="s">
        <v>9</v>
      </c>
      <c r="D638" t="s">
        <v>490</v>
      </c>
      <c r="E638" t="s">
        <v>120</v>
      </c>
      <c r="F638" t="s">
        <v>495</v>
      </c>
    </row>
    <row r="639" spans="1:6">
      <c r="A639">
        <v>77006</v>
      </c>
      <c r="B639" t="s">
        <v>22</v>
      </c>
      <c r="C639" t="s">
        <v>9</v>
      </c>
      <c r="D639" t="s">
        <v>490</v>
      </c>
      <c r="E639" t="s">
        <v>49</v>
      </c>
      <c r="F639" t="s">
        <v>496</v>
      </c>
    </row>
    <row r="640" spans="1:6">
      <c r="A640">
        <v>77007</v>
      </c>
      <c r="B640" t="s">
        <v>22</v>
      </c>
      <c r="C640" t="s">
        <v>9</v>
      </c>
      <c r="D640" t="s">
        <v>490</v>
      </c>
      <c r="E640" t="s">
        <v>49</v>
      </c>
      <c r="F640" t="s">
        <v>497</v>
      </c>
    </row>
    <row r="641" spans="1:6">
      <c r="A641">
        <v>77008</v>
      </c>
      <c r="B641" t="s">
        <v>22</v>
      </c>
      <c r="C641" t="s">
        <v>9</v>
      </c>
      <c r="D641" t="s">
        <v>490</v>
      </c>
      <c r="E641" t="s">
        <v>49</v>
      </c>
      <c r="F641" t="s">
        <v>498</v>
      </c>
    </row>
    <row r="642" spans="1:6">
      <c r="A642">
        <v>77009</v>
      </c>
      <c r="B642" t="s">
        <v>22</v>
      </c>
      <c r="C642" t="s">
        <v>9</v>
      </c>
      <c r="D642" t="s">
        <v>490</v>
      </c>
      <c r="E642" t="s">
        <v>49</v>
      </c>
      <c r="F642" t="s">
        <v>499</v>
      </c>
    </row>
    <row r="643" spans="1:6">
      <c r="A643">
        <v>77010</v>
      </c>
      <c r="B643" t="s">
        <v>22</v>
      </c>
      <c r="C643" t="s">
        <v>9</v>
      </c>
      <c r="D643" t="s">
        <v>490</v>
      </c>
      <c r="E643" t="s">
        <v>49</v>
      </c>
      <c r="F643" t="s">
        <v>500</v>
      </c>
    </row>
    <row r="644" spans="1:6">
      <c r="B644" t="s">
        <v>22</v>
      </c>
      <c r="C644" t="s">
        <v>9</v>
      </c>
      <c r="D644" t="s">
        <v>490</v>
      </c>
      <c r="E644" t="s">
        <v>49</v>
      </c>
      <c r="F644" t="s">
        <v>57</v>
      </c>
    </row>
    <row r="645" spans="1:6">
      <c r="B645" t="s">
        <v>22</v>
      </c>
      <c r="C645" t="s">
        <v>9</v>
      </c>
      <c r="D645" t="s">
        <v>490</v>
      </c>
      <c r="E645" t="s">
        <v>58</v>
      </c>
      <c r="F645" t="s">
        <v>59</v>
      </c>
    </row>
    <row r="646" spans="1:6">
      <c r="A646">
        <v>78000</v>
      </c>
      <c r="B646" t="s">
        <v>22</v>
      </c>
      <c r="C646" t="s">
        <v>9</v>
      </c>
      <c r="D646" t="s">
        <v>501</v>
      </c>
      <c r="E646" t="s">
        <v>119</v>
      </c>
      <c r="F646" t="s">
        <v>501</v>
      </c>
    </row>
    <row r="647" spans="1:6">
      <c r="A647">
        <v>78001</v>
      </c>
      <c r="B647" t="s">
        <v>22</v>
      </c>
      <c r="C647" t="s">
        <v>9</v>
      </c>
      <c r="D647" t="s">
        <v>501</v>
      </c>
      <c r="E647" t="s">
        <v>120</v>
      </c>
      <c r="F647" t="s">
        <v>491</v>
      </c>
    </row>
    <row r="648" spans="1:6">
      <c r="A648">
        <v>78002</v>
      </c>
      <c r="B648" t="s">
        <v>22</v>
      </c>
      <c r="C648" t="s">
        <v>9</v>
      </c>
      <c r="D648" t="s">
        <v>501</v>
      </c>
      <c r="E648" t="s">
        <v>49</v>
      </c>
      <c r="F648" t="s">
        <v>502</v>
      </c>
    </row>
    <row r="649" spans="1:6">
      <c r="A649">
        <v>78003</v>
      </c>
      <c r="B649" t="s">
        <v>22</v>
      </c>
      <c r="C649" t="s">
        <v>9</v>
      </c>
      <c r="D649" t="s">
        <v>501</v>
      </c>
      <c r="E649" t="s">
        <v>49</v>
      </c>
      <c r="F649" t="s">
        <v>503</v>
      </c>
    </row>
    <row r="650" spans="1:6">
      <c r="A650">
        <v>78004</v>
      </c>
      <c r="B650" t="s">
        <v>22</v>
      </c>
      <c r="C650" t="s">
        <v>9</v>
      </c>
      <c r="D650" t="s">
        <v>501</v>
      </c>
      <c r="E650" t="s">
        <v>120</v>
      </c>
      <c r="F650" t="s">
        <v>504</v>
      </c>
    </row>
    <row r="651" spans="1:6">
      <c r="A651">
        <v>78005</v>
      </c>
      <c r="B651" t="s">
        <v>22</v>
      </c>
      <c r="C651" t="s">
        <v>9</v>
      </c>
      <c r="D651" t="s">
        <v>501</v>
      </c>
      <c r="E651" t="s">
        <v>49</v>
      </c>
      <c r="F651" t="s">
        <v>505</v>
      </c>
    </row>
    <row r="652" spans="1:6">
      <c r="A652">
        <v>78006</v>
      </c>
      <c r="B652" t="s">
        <v>22</v>
      </c>
      <c r="C652" t="s">
        <v>9</v>
      </c>
      <c r="D652" t="s">
        <v>501</v>
      </c>
      <c r="E652" t="s">
        <v>49</v>
      </c>
      <c r="F652" t="s">
        <v>506</v>
      </c>
    </row>
    <row r="653" spans="1:6">
      <c r="A653">
        <v>78007</v>
      </c>
      <c r="B653" t="s">
        <v>22</v>
      </c>
      <c r="C653" t="s">
        <v>9</v>
      </c>
      <c r="D653" t="s">
        <v>501</v>
      </c>
      <c r="E653" t="s">
        <v>49</v>
      </c>
      <c r="F653" t="s">
        <v>507</v>
      </c>
    </row>
    <row r="654" spans="1:6">
      <c r="A654">
        <v>78008</v>
      </c>
      <c r="B654" t="s">
        <v>22</v>
      </c>
      <c r="C654" t="s">
        <v>9</v>
      </c>
      <c r="D654" t="s">
        <v>501</v>
      </c>
      <c r="E654" t="s">
        <v>49</v>
      </c>
      <c r="F654" t="s">
        <v>508</v>
      </c>
    </row>
    <row r="655" spans="1:6">
      <c r="A655">
        <v>78009</v>
      </c>
      <c r="B655" t="s">
        <v>22</v>
      </c>
      <c r="C655" t="s">
        <v>9</v>
      </c>
      <c r="D655" t="s">
        <v>501</v>
      </c>
      <c r="E655" t="s">
        <v>49</v>
      </c>
      <c r="F655" t="s">
        <v>509</v>
      </c>
    </row>
    <row r="656" spans="1:6">
      <c r="A656">
        <v>78010</v>
      </c>
      <c r="B656" t="s">
        <v>22</v>
      </c>
      <c r="C656" t="s">
        <v>9</v>
      </c>
      <c r="D656" t="s">
        <v>501</v>
      </c>
      <c r="E656" t="s">
        <v>49</v>
      </c>
      <c r="F656" t="s">
        <v>510</v>
      </c>
    </row>
    <row r="657" spans="1:6">
      <c r="B657" t="s">
        <v>22</v>
      </c>
      <c r="C657" t="s">
        <v>9</v>
      </c>
      <c r="D657" t="s">
        <v>501</v>
      </c>
      <c r="E657" t="s">
        <v>49</v>
      </c>
      <c r="F657" t="s">
        <v>57</v>
      </c>
    </row>
    <row r="658" spans="1:6">
      <c r="B658" t="s">
        <v>22</v>
      </c>
      <c r="C658" t="s">
        <v>9</v>
      </c>
      <c r="D658" t="s">
        <v>501</v>
      </c>
      <c r="E658" t="s">
        <v>58</v>
      </c>
      <c r="F658" t="s">
        <v>59</v>
      </c>
    </row>
    <row r="659" spans="1:6">
      <c r="A659">
        <v>79000</v>
      </c>
      <c r="B659" t="s">
        <v>22</v>
      </c>
      <c r="C659" t="s">
        <v>9</v>
      </c>
      <c r="D659" t="s">
        <v>511</v>
      </c>
      <c r="E659" t="s">
        <v>119</v>
      </c>
      <c r="F659" t="s">
        <v>511</v>
      </c>
    </row>
    <row r="660" spans="1:6">
      <c r="A660">
        <v>79001</v>
      </c>
      <c r="B660" t="s">
        <v>22</v>
      </c>
      <c r="C660" t="s">
        <v>9</v>
      </c>
      <c r="D660" t="s">
        <v>511</v>
      </c>
      <c r="E660" t="s">
        <v>49</v>
      </c>
      <c r="F660" t="s">
        <v>512</v>
      </c>
    </row>
    <row r="661" spans="1:6">
      <c r="A661">
        <v>79002</v>
      </c>
      <c r="B661" t="s">
        <v>22</v>
      </c>
      <c r="C661" t="s">
        <v>9</v>
      </c>
      <c r="D661" t="s">
        <v>511</v>
      </c>
      <c r="E661" t="s">
        <v>49</v>
      </c>
      <c r="F661" t="s">
        <v>513</v>
      </c>
    </row>
    <row r="662" spans="1:6">
      <c r="A662">
        <v>79003</v>
      </c>
      <c r="B662" t="s">
        <v>22</v>
      </c>
      <c r="C662" t="s">
        <v>9</v>
      </c>
      <c r="D662" t="s">
        <v>511</v>
      </c>
      <c r="E662" t="s">
        <v>49</v>
      </c>
      <c r="F662" t="s">
        <v>514</v>
      </c>
    </row>
    <row r="663" spans="1:6">
      <c r="A663">
        <v>79004</v>
      </c>
      <c r="B663" t="s">
        <v>22</v>
      </c>
      <c r="C663" t="s">
        <v>9</v>
      </c>
      <c r="D663" t="s">
        <v>511</v>
      </c>
      <c r="E663" t="s">
        <v>49</v>
      </c>
      <c r="F663" t="s">
        <v>515</v>
      </c>
    </row>
    <row r="664" spans="1:6">
      <c r="B664" t="s">
        <v>22</v>
      </c>
      <c r="C664" t="s">
        <v>9</v>
      </c>
      <c r="D664" t="s">
        <v>511</v>
      </c>
      <c r="E664" t="s">
        <v>49</v>
      </c>
      <c r="F664" t="s">
        <v>57</v>
      </c>
    </row>
    <row r="665" spans="1:6">
      <c r="B665" t="s">
        <v>22</v>
      </c>
      <c r="C665" t="s">
        <v>9</v>
      </c>
      <c r="D665" t="s">
        <v>511</v>
      </c>
      <c r="E665" t="s">
        <v>58</v>
      </c>
      <c r="F665" t="s">
        <v>59</v>
      </c>
    </row>
    <row r="666" spans="1:6">
      <c r="A666">
        <v>80000</v>
      </c>
      <c r="B666" t="s">
        <v>22</v>
      </c>
      <c r="C666" t="s">
        <v>9</v>
      </c>
      <c r="D666" t="s">
        <v>516</v>
      </c>
      <c r="E666" t="s">
        <v>119</v>
      </c>
      <c r="F666" t="s">
        <v>516</v>
      </c>
    </row>
    <row r="667" spans="1:6">
      <c r="A667">
        <v>80001</v>
      </c>
      <c r="B667" t="s">
        <v>22</v>
      </c>
      <c r="C667" t="s">
        <v>9</v>
      </c>
      <c r="D667" t="s">
        <v>516</v>
      </c>
      <c r="E667" t="s">
        <v>49</v>
      </c>
      <c r="F667" t="s">
        <v>517</v>
      </c>
    </row>
    <row r="668" spans="1:6">
      <c r="A668">
        <v>80002</v>
      </c>
      <c r="B668" t="s">
        <v>22</v>
      </c>
      <c r="C668" t="s">
        <v>9</v>
      </c>
      <c r="D668" t="s">
        <v>516</v>
      </c>
      <c r="E668" t="s">
        <v>49</v>
      </c>
      <c r="F668" t="s">
        <v>518</v>
      </c>
    </row>
    <row r="669" spans="1:6">
      <c r="A669">
        <v>80003</v>
      </c>
      <c r="B669" t="s">
        <v>22</v>
      </c>
      <c r="C669" t="s">
        <v>9</v>
      </c>
      <c r="D669" t="s">
        <v>516</v>
      </c>
      <c r="E669" t="s">
        <v>49</v>
      </c>
      <c r="F669" t="s">
        <v>519</v>
      </c>
    </row>
    <row r="670" spans="1:6">
      <c r="A670">
        <v>80004</v>
      </c>
      <c r="B670" t="s">
        <v>22</v>
      </c>
      <c r="C670" t="s">
        <v>9</v>
      </c>
      <c r="D670" t="s">
        <v>516</v>
      </c>
      <c r="E670" t="s">
        <v>49</v>
      </c>
      <c r="F670" t="s">
        <v>520</v>
      </c>
    </row>
    <row r="671" spans="1:6">
      <c r="A671">
        <v>80005</v>
      </c>
      <c r="B671" t="s">
        <v>22</v>
      </c>
      <c r="C671" t="s">
        <v>9</v>
      </c>
      <c r="D671" t="s">
        <v>516</v>
      </c>
      <c r="E671" t="s">
        <v>49</v>
      </c>
      <c r="F671" t="s">
        <v>521</v>
      </c>
    </row>
    <row r="672" spans="1:6">
      <c r="B672" t="s">
        <v>22</v>
      </c>
      <c r="C672" t="s">
        <v>9</v>
      </c>
      <c r="D672" t="s">
        <v>516</v>
      </c>
      <c r="E672" t="s">
        <v>49</v>
      </c>
      <c r="F672" t="s">
        <v>57</v>
      </c>
    </row>
    <row r="673" spans="1:6">
      <c r="B673" t="s">
        <v>22</v>
      </c>
      <c r="C673" t="s">
        <v>9</v>
      </c>
      <c r="D673" t="s">
        <v>516</v>
      </c>
      <c r="E673" t="s">
        <v>58</v>
      </c>
      <c r="F673" t="s">
        <v>59</v>
      </c>
    </row>
    <row r="674" spans="1:6">
      <c r="A674">
        <v>81000</v>
      </c>
      <c r="B674" t="s">
        <v>22</v>
      </c>
      <c r="C674" t="s">
        <v>9</v>
      </c>
      <c r="D674" t="s">
        <v>522</v>
      </c>
      <c r="E674" t="s">
        <v>119</v>
      </c>
      <c r="F674" t="s">
        <v>522</v>
      </c>
    </row>
    <row r="675" spans="1:6">
      <c r="A675">
        <v>81001</v>
      </c>
      <c r="B675" t="s">
        <v>22</v>
      </c>
      <c r="C675" t="s">
        <v>9</v>
      </c>
      <c r="D675" t="s">
        <v>522</v>
      </c>
      <c r="E675" t="s">
        <v>523</v>
      </c>
      <c r="F675" t="s">
        <v>524</v>
      </c>
    </row>
    <row r="676" spans="1:6">
      <c r="A676">
        <v>81002</v>
      </c>
      <c r="B676" t="s">
        <v>22</v>
      </c>
      <c r="C676" t="s">
        <v>9</v>
      </c>
      <c r="D676" t="s">
        <v>522</v>
      </c>
      <c r="E676" t="s">
        <v>49</v>
      </c>
      <c r="F676" t="s">
        <v>525</v>
      </c>
    </row>
    <row r="677" spans="1:6">
      <c r="A677">
        <v>81003</v>
      </c>
      <c r="B677" t="s">
        <v>22</v>
      </c>
      <c r="C677" t="s">
        <v>9</v>
      </c>
      <c r="D677" t="s">
        <v>522</v>
      </c>
      <c r="E677" t="s">
        <v>49</v>
      </c>
      <c r="F677" t="s">
        <v>526</v>
      </c>
    </row>
    <row r="678" spans="1:6">
      <c r="A678">
        <v>81004</v>
      </c>
      <c r="B678" t="s">
        <v>22</v>
      </c>
      <c r="C678" t="s">
        <v>9</v>
      </c>
      <c r="D678" t="s">
        <v>522</v>
      </c>
      <c r="E678" t="s">
        <v>49</v>
      </c>
      <c r="F678" t="s">
        <v>527</v>
      </c>
    </row>
    <row r="679" spans="1:6">
      <c r="A679">
        <v>81005</v>
      </c>
      <c r="B679" t="s">
        <v>22</v>
      </c>
      <c r="C679" t="s">
        <v>9</v>
      </c>
      <c r="D679" t="s">
        <v>522</v>
      </c>
      <c r="E679" t="s">
        <v>523</v>
      </c>
      <c r="F679" t="s">
        <v>528</v>
      </c>
    </row>
    <row r="680" spans="1:6">
      <c r="A680">
        <v>81006</v>
      </c>
      <c r="B680" t="s">
        <v>22</v>
      </c>
      <c r="C680" t="s">
        <v>9</v>
      </c>
      <c r="D680" t="s">
        <v>522</v>
      </c>
      <c r="E680" t="s">
        <v>49</v>
      </c>
      <c r="F680" t="s">
        <v>529</v>
      </c>
    </row>
    <row r="681" spans="1:6">
      <c r="A681">
        <v>81007</v>
      </c>
      <c r="B681" t="s">
        <v>22</v>
      </c>
      <c r="C681" t="s">
        <v>9</v>
      </c>
      <c r="D681" t="s">
        <v>522</v>
      </c>
      <c r="E681" t="s">
        <v>49</v>
      </c>
      <c r="F681" t="s">
        <v>530</v>
      </c>
    </row>
    <row r="682" spans="1:6">
      <c r="A682">
        <v>81008</v>
      </c>
      <c r="B682" t="s">
        <v>22</v>
      </c>
      <c r="C682" t="s">
        <v>9</v>
      </c>
      <c r="D682" t="s">
        <v>522</v>
      </c>
      <c r="E682" t="s">
        <v>49</v>
      </c>
      <c r="F682" t="s">
        <v>531</v>
      </c>
    </row>
    <row r="683" spans="1:6">
      <c r="A683">
        <v>81009</v>
      </c>
      <c r="B683" t="s">
        <v>22</v>
      </c>
      <c r="C683" t="s">
        <v>9</v>
      </c>
      <c r="D683" t="s">
        <v>522</v>
      </c>
      <c r="E683" t="s">
        <v>49</v>
      </c>
      <c r="F683" t="s">
        <v>532</v>
      </c>
    </row>
    <row r="684" spans="1:6">
      <c r="A684">
        <v>81010</v>
      </c>
      <c r="B684" t="s">
        <v>22</v>
      </c>
      <c r="C684" t="s">
        <v>9</v>
      </c>
      <c r="D684" t="s">
        <v>522</v>
      </c>
      <c r="E684" t="s">
        <v>49</v>
      </c>
      <c r="F684" t="s">
        <v>533</v>
      </c>
    </row>
    <row r="685" spans="1:6">
      <c r="A685">
        <v>81011</v>
      </c>
      <c r="B685" t="s">
        <v>22</v>
      </c>
      <c r="C685" t="s">
        <v>9</v>
      </c>
      <c r="D685" t="s">
        <v>522</v>
      </c>
      <c r="E685" t="s">
        <v>49</v>
      </c>
      <c r="F685" t="s">
        <v>534</v>
      </c>
    </row>
    <row r="686" spans="1:6">
      <c r="A686">
        <v>81012</v>
      </c>
      <c r="B686" t="s">
        <v>22</v>
      </c>
      <c r="C686" t="s">
        <v>9</v>
      </c>
      <c r="D686" t="s">
        <v>522</v>
      </c>
      <c r="E686" t="s">
        <v>49</v>
      </c>
      <c r="F686" t="s">
        <v>535</v>
      </c>
    </row>
    <row r="687" spans="1:6">
      <c r="A687">
        <v>81013</v>
      </c>
      <c r="B687" t="s">
        <v>22</v>
      </c>
      <c r="C687" t="s">
        <v>9</v>
      </c>
      <c r="D687" t="s">
        <v>522</v>
      </c>
      <c r="E687" t="s">
        <v>49</v>
      </c>
      <c r="F687" t="s">
        <v>536</v>
      </c>
    </row>
    <row r="688" spans="1:6">
      <c r="A688">
        <v>81014</v>
      </c>
      <c r="B688" t="s">
        <v>22</v>
      </c>
      <c r="C688" t="s">
        <v>9</v>
      </c>
      <c r="D688" t="s">
        <v>522</v>
      </c>
      <c r="E688" t="s">
        <v>49</v>
      </c>
      <c r="F688" t="s">
        <v>537</v>
      </c>
    </row>
    <row r="689" spans="1:6">
      <c r="A689">
        <v>81015</v>
      </c>
      <c r="B689" t="s">
        <v>22</v>
      </c>
      <c r="C689" t="s">
        <v>9</v>
      </c>
      <c r="D689" t="s">
        <v>522</v>
      </c>
      <c r="E689" t="s">
        <v>49</v>
      </c>
      <c r="F689" t="s">
        <v>538</v>
      </c>
    </row>
    <row r="690" spans="1:6">
      <c r="B690" t="s">
        <v>22</v>
      </c>
      <c r="C690" t="s">
        <v>9</v>
      </c>
      <c r="D690" t="s">
        <v>522</v>
      </c>
      <c r="E690" t="s">
        <v>49</v>
      </c>
      <c r="F690" t="s">
        <v>57</v>
      </c>
    </row>
    <row r="691" spans="1:6">
      <c r="B691" t="s">
        <v>22</v>
      </c>
      <c r="C691" t="s">
        <v>9</v>
      </c>
      <c r="D691" t="s">
        <v>522</v>
      </c>
      <c r="E691" t="s">
        <v>58</v>
      </c>
      <c r="F691" t="s">
        <v>59</v>
      </c>
    </row>
    <row r="692" spans="1:6">
      <c r="A692">
        <v>82000</v>
      </c>
      <c r="B692" t="s">
        <v>22</v>
      </c>
      <c r="C692" t="s">
        <v>9</v>
      </c>
      <c r="D692" t="s">
        <v>539</v>
      </c>
      <c r="E692" t="s">
        <v>48</v>
      </c>
      <c r="F692" t="s">
        <v>539</v>
      </c>
    </row>
    <row r="693" spans="1:6">
      <c r="A693">
        <v>82001</v>
      </c>
      <c r="B693" t="s">
        <v>22</v>
      </c>
      <c r="C693" t="s">
        <v>9</v>
      </c>
      <c r="D693" t="s">
        <v>539</v>
      </c>
      <c r="E693" t="s">
        <v>49</v>
      </c>
      <c r="F693" t="s">
        <v>540</v>
      </c>
    </row>
    <row r="694" spans="1:6">
      <c r="A694">
        <v>82002</v>
      </c>
      <c r="B694" t="s">
        <v>22</v>
      </c>
      <c r="C694" t="s">
        <v>9</v>
      </c>
      <c r="D694" t="s">
        <v>539</v>
      </c>
      <c r="E694" t="s">
        <v>49</v>
      </c>
      <c r="F694" t="s">
        <v>541</v>
      </c>
    </row>
    <row r="695" spans="1:6">
      <c r="A695">
        <v>82003</v>
      </c>
      <c r="B695" t="s">
        <v>22</v>
      </c>
      <c r="C695" t="s">
        <v>9</v>
      </c>
      <c r="D695" t="s">
        <v>539</v>
      </c>
      <c r="E695" t="s">
        <v>49</v>
      </c>
      <c r="F695" t="s">
        <v>542</v>
      </c>
    </row>
    <row r="696" spans="1:6">
      <c r="A696">
        <v>82004</v>
      </c>
      <c r="B696" t="s">
        <v>22</v>
      </c>
      <c r="C696" t="s">
        <v>9</v>
      </c>
      <c r="D696" t="s">
        <v>539</v>
      </c>
      <c r="E696" t="s">
        <v>49</v>
      </c>
      <c r="F696" t="s">
        <v>543</v>
      </c>
    </row>
    <row r="697" spans="1:6">
      <c r="A697">
        <v>82005</v>
      </c>
      <c r="B697" t="s">
        <v>22</v>
      </c>
      <c r="C697" t="s">
        <v>9</v>
      </c>
      <c r="D697" t="s">
        <v>539</v>
      </c>
      <c r="E697" t="s">
        <v>49</v>
      </c>
      <c r="F697" t="s">
        <v>544</v>
      </c>
    </row>
    <row r="698" spans="1:6">
      <c r="A698">
        <v>82006</v>
      </c>
      <c r="B698" t="s">
        <v>22</v>
      </c>
      <c r="C698" t="s">
        <v>9</v>
      </c>
      <c r="D698" t="s">
        <v>539</v>
      </c>
      <c r="E698" t="s">
        <v>49</v>
      </c>
      <c r="F698" t="s">
        <v>545</v>
      </c>
    </row>
    <row r="699" spans="1:6">
      <c r="A699">
        <v>82007</v>
      </c>
      <c r="B699" t="s">
        <v>22</v>
      </c>
      <c r="C699" t="s">
        <v>9</v>
      </c>
      <c r="D699" t="s">
        <v>539</v>
      </c>
      <c r="E699" t="s">
        <v>49</v>
      </c>
      <c r="F699" t="s">
        <v>546</v>
      </c>
    </row>
    <row r="700" spans="1:6">
      <c r="B700" t="s">
        <v>22</v>
      </c>
      <c r="C700" t="s">
        <v>9</v>
      </c>
      <c r="D700" t="s">
        <v>539</v>
      </c>
      <c r="E700" t="s">
        <v>49</v>
      </c>
      <c r="F700" t="s">
        <v>57</v>
      </c>
    </row>
    <row r="701" spans="1:6">
      <c r="B701" t="s">
        <v>22</v>
      </c>
      <c r="C701" t="s">
        <v>9</v>
      </c>
      <c r="D701" t="s">
        <v>539</v>
      </c>
      <c r="E701" t="s">
        <v>58</v>
      </c>
      <c r="F701" t="s">
        <v>59</v>
      </c>
    </row>
    <row r="702" spans="1:6">
      <c r="A702">
        <v>83000</v>
      </c>
      <c r="B702" t="s">
        <v>22</v>
      </c>
      <c r="C702" t="s">
        <v>9</v>
      </c>
      <c r="D702" t="s">
        <v>547</v>
      </c>
      <c r="E702" t="s">
        <v>48</v>
      </c>
      <c r="F702" t="s">
        <v>547</v>
      </c>
    </row>
    <row r="703" spans="1:6">
      <c r="A703">
        <v>83001</v>
      </c>
      <c r="B703" t="s">
        <v>22</v>
      </c>
      <c r="C703" t="s">
        <v>9</v>
      </c>
      <c r="D703" t="s">
        <v>547</v>
      </c>
      <c r="E703" t="s">
        <v>49</v>
      </c>
      <c r="F703" t="s">
        <v>548</v>
      </c>
    </row>
    <row r="704" spans="1:6">
      <c r="A704">
        <v>83002</v>
      </c>
      <c r="B704" t="s">
        <v>22</v>
      </c>
      <c r="C704" t="s">
        <v>9</v>
      </c>
      <c r="D704" t="s">
        <v>547</v>
      </c>
      <c r="E704" t="s">
        <v>49</v>
      </c>
      <c r="F704" t="s">
        <v>549</v>
      </c>
    </row>
    <row r="705" spans="1:6">
      <c r="A705">
        <v>83003</v>
      </c>
      <c r="B705" t="s">
        <v>22</v>
      </c>
      <c r="C705" t="s">
        <v>9</v>
      </c>
      <c r="D705" t="s">
        <v>547</v>
      </c>
      <c r="E705" t="s">
        <v>49</v>
      </c>
      <c r="F705" t="s">
        <v>550</v>
      </c>
    </row>
    <row r="706" spans="1:6">
      <c r="A706">
        <v>83004</v>
      </c>
      <c r="B706" t="s">
        <v>22</v>
      </c>
      <c r="C706" t="s">
        <v>9</v>
      </c>
      <c r="D706" t="s">
        <v>547</v>
      </c>
      <c r="E706" t="s">
        <v>49</v>
      </c>
      <c r="F706" t="s">
        <v>551</v>
      </c>
    </row>
    <row r="707" spans="1:6">
      <c r="A707">
        <v>83005</v>
      </c>
      <c r="B707" t="s">
        <v>22</v>
      </c>
      <c r="C707" t="s">
        <v>9</v>
      </c>
      <c r="D707" t="s">
        <v>547</v>
      </c>
      <c r="E707" t="s">
        <v>49</v>
      </c>
      <c r="F707" t="s">
        <v>552</v>
      </c>
    </row>
    <row r="708" spans="1:6">
      <c r="A708">
        <v>83006</v>
      </c>
      <c r="B708" t="s">
        <v>22</v>
      </c>
      <c r="C708" t="s">
        <v>9</v>
      </c>
      <c r="D708" t="s">
        <v>547</v>
      </c>
      <c r="E708" t="s">
        <v>49</v>
      </c>
      <c r="F708" t="s">
        <v>553</v>
      </c>
    </row>
    <row r="709" spans="1:6">
      <c r="A709">
        <v>83007</v>
      </c>
      <c r="B709" t="s">
        <v>22</v>
      </c>
      <c r="C709" t="s">
        <v>9</v>
      </c>
      <c r="D709" t="s">
        <v>547</v>
      </c>
      <c r="E709" t="s">
        <v>49</v>
      </c>
      <c r="F709" t="s">
        <v>554</v>
      </c>
    </row>
    <row r="710" spans="1:6">
      <c r="A710">
        <v>83008</v>
      </c>
      <c r="B710" t="s">
        <v>22</v>
      </c>
      <c r="C710" t="s">
        <v>9</v>
      </c>
      <c r="D710" t="s">
        <v>547</v>
      </c>
      <c r="E710" t="s">
        <v>49</v>
      </c>
      <c r="F710" t="s">
        <v>555</v>
      </c>
    </row>
    <row r="711" spans="1:6">
      <c r="A711">
        <v>83009</v>
      </c>
      <c r="B711" t="s">
        <v>22</v>
      </c>
      <c r="C711" t="s">
        <v>9</v>
      </c>
      <c r="D711" t="s">
        <v>547</v>
      </c>
      <c r="E711" t="s">
        <v>49</v>
      </c>
      <c r="F711" t="s">
        <v>556</v>
      </c>
    </row>
    <row r="712" spans="1:6">
      <c r="B712" t="s">
        <v>22</v>
      </c>
      <c r="C712" t="s">
        <v>9</v>
      </c>
      <c r="D712" t="s">
        <v>547</v>
      </c>
      <c r="E712" t="s">
        <v>49</v>
      </c>
      <c r="F712" t="s">
        <v>57</v>
      </c>
    </row>
    <row r="713" spans="1:6">
      <c r="B713" t="s">
        <v>22</v>
      </c>
      <c r="C713" t="s">
        <v>9</v>
      </c>
      <c r="D713" t="s">
        <v>547</v>
      </c>
      <c r="E713" t="s">
        <v>58</v>
      </c>
      <c r="F713" t="s">
        <v>59</v>
      </c>
    </row>
    <row r="714" spans="1:6">
      <c r="A714">
        <v>84000</v>
      </c>
      <c r="B714" t="s">
        <v>22</v>
      </c>
      <c r="C714" t="s">
        <v>9</v>
      </c>
      <c r="D714" t="s">
        <v>557</v>
      </c>
      <c r="E714" t="s">
        <v>48</v>
      </c>
      <c r="F714" t="s">
        <v>557</v>
      </c>
    </row>
    <row r="715" spans="1:6">
      <c r="A715">
        <v>84001</v>
      </c>
      <c r="B715" t="s">
        <v>22</v>
      </c>
      <c r="C715" t="s">
        <v>9</v>
      </c>
      <c r="D715" t="s">
        <v>557</v>
      </c>
      <c r="E715" t="s">
        <v>49</v>
      </c>
      <c r="F715" t="s">
        <v>558</v>
      </c>
    </row>
    <row r="716" spans="1:6">
      <c r="A716">
        <v>84002</v>
      </c>
      <c r="B716" t="s">
        <v>22</v>
      </c>
      <c r="C716" t="s">
        <v>9</v>
      </c>
      <c r="D716" t="s">
        <v>557</v>
      </c>
      <c r="E716" t="s">
        <v>49</v>
      </c>
      <c r="F716" t="s">
        <v>559</v>
      </c>
    </row>
    <row r="717" spans="1:6">
      <c r="A717">
        <v>84003</v>
      </c>
      <c r="B717" t="s">
        <v>22</v>
      </c>
      <c r="C717" t="s">
        <v>9</v>
      </c>
      <c r="D717" t="s">
        <v>557</v>
      </c>
      <c r="E717" t="s">
        <v>49</v>
      </c>
      <c r="F717" t="s">
        <v>560</v>
      </c>
    </row>
    <row r="718" spans="1:6">
      <c r="A718">
        <v>84004</v>
      </c>
      <c r="B718" t="s">
        <v>22</v>
      </c>
      <c r="C718" t="s">
        <v>9</v>
      </c>
      <c r="D718" t="s">
        <v>557</v>
      </c>
      <c r="E718" t="s">
        <v>49</v>
      </c>
      <c r="F718" t="s">
        <v>561</v>
      </c>
    </row>
    <row r="719" spans="1:6">
      <c r="A719">
        <v>84005</v>
      </c>
      <c r="B719" t="s">
        <v>22</v>
      </c>
      <c r="C719" t="s">
        <v>9</v>
      </c>
      <c r="D719" t="s">
        <v>557</v>
      </c>
      <c r="E719" t="s">
        <v>49</v>
      </c>
      <c r="F719" t="s">
        <v>562</v>
      </c>
    </row>
    <row r="720" spans="1:6">
      <c r="A720">
        <v>84006</v>
      </c>
      <c r="B720" t="s">
        <v>22</v>
      </c>
      <c r="C720" t="s">
        <v>9</v>
      </c>
      <c r="D720" t="s">
        <v>557</v>
      </c>
      <c r="E720" t="s">
        <v>49</v>
      </c>
      <c r="F720" t="s">
        <v>563</v>
      </c>
    </row>
    <row r="721" spans="1:6">
      <c r="A721">
        <v>84007</v>
      </c>
      <c r="B721" t="s">
        <v>22</v>
      </c>
      <c r="C721" t="s">
        <v>9</v>
      </c>
      <c r="D721" t="s">
        <v>557</v>
      </c>
      <c r="E721" t="s">
        <v>49</v>
      </c>
      <c r="F721" t="s">
        <v>564</v>
      </c>
    </row>
    <row r="722" spans="1:6">
      <c r="A722">
        <v>84008</v>
      </c>
      <c r="B722" t="s">
        <v>22</v>
      </c>
      <c r="C722" t="s">
        <v>9</v>
      </c>
      <c r="D722" t="s">
        <v>557</v>
      </c>
      <c r="E722" t="s">
        <v>49</v>
      </c>
      <c r="F722" t="s">
        <v>416</v>
      </c>
    </row>
    <row r="723" spans="1:6">
      <c r="A723">
        <v>84009</v>
      </c>
      <c r="B723" t="s">
        <v>22</v>
      </c>
      <c r="C723" t="s">
        <v>9</v>
      </c>
      <c r="D723" t="s">
        <v>557</v>
      </c>
      <c r="E723" t="s">
        <v>49</v>
      </c>
      <c r="F723" t="s">
        <v>565</v>
      </c>
    </row>
    <row r="724" spans="1:6">
      <c r="A724">
        <v>84010</v>
      </c>
      <c r="B724" t="s">
        <v>22</v>
      </c>
      <c r="C724" t="s">
        <v>9</v>
      </c>
      <c r="D724" t="s">
        <v>557</v>
      </c>
      <c r="E724" t="s">
        <v>49</v>
      </c>
      <c r="F724" t="s">
        <v>566</v>
      </c>
    </row>
    <row r="725" spans="1:6">
      <c r="B725" t="s">
        <v>22</v>
      </c>
      <c r="C725" t="s">
        <v>9</v>
      </c>
      <c r="D725" t="s">
        <v>557</v>
      </c>
      <c r="E725" t="s">
        <v>49</v>
      </c>
      <c r="F725" t="s">
        <v>57</v>
      </c>
    </row>
    <row r="726" spans="1:6">
      <c r="B726" t="s">
        <v>22</v>
      </c>
      <c r="C726" t="s">
        <v>9</v>
      </c>
      <c r="D726" t="s">
        <v>557</v>
      </c>
      <c r="E726" t="s">
        <v>58</v>
      </c>
      <c r="F726" t="s">
        <v>59</v>
      </c>
    </row>
    <row r="727" spans="1:6">
      <c r="A727">
        <v>98000</v>
      </c>
      <c r="B727" t="s">
        <v>567</v>
      </c>
      <c r="C727" t="s">
        <v>9</v>
      </c>
      <c r="D727" t="s">
        <v>568</v>
      </c>
      <c r="E727" t="s">
        <v>48</v>
      </c>
      <c r="F727" t="s">
        <v>568</v>
      </c>
    </row>
    <row r="728" spans="1:6">
      <c r="A728">
        <v>98001</v>
      </c>
      <c r="B728" t="s">
        <v>567</v>
      </c>
      <c r="C728" t="s">
        <v>9</v>
      </c>
      <c r="D728" t="s">
        <v>568</v>
      </c>
      <c r="E728" t="s">
        <v>49</v>
      </c>
      <c r="F728" t="s">
        <v>569</v>
      </c>
    </row>
    <row r="729" spans="1:6">
      <c r="A729">
        <v>98002</v>
      </c>
      <c r="B729" t="s">
        <v>567</v>
      </c>
      <c r="C729" t="s">
        <v>9</v>
      </c>
      <c r="D729" t="s">
        <v>568</v>
      </c>
      <c r="E729" t="s">
        <v>49</v>
      </c>
      <c r="F729" t="s">
        <v>570</v>
      </c>
    </row>
    <row r="730" spans="1:6">
      <c r="A730">
        <v>98003</v>
      </c>
      <c r="B730" t="s">
        <v>567</v>
      </c>
      <c r="C730" t="s">
        <v>9</v>
      </c>
      <c r="D730" t="s">
        <v>568</v>
      </c>
      <c r="E730" t="s">
        <v>49</v>
      </c>
      <c r="F730" t="s">
        <v>571</v>
      </c>
    </row>
    <row r="731" spans="1:6">
      <c r="A731">
        <v>98004</v>
      </c>
      <c r="B731" t="s">
        <v>567</v>
      </c>
      <c r="C731" t="s">
        <v>9</v>
      </c>
      <c r="D731" t="s">
        <v>568</v>
      </c>
      <c r="E731" t="s">
        <v>49</v>
      </c>
      <c r="F731" t="s">
        <v>572</v>
      </c>
    </row>
    <row r="732" spans="1:6">
      <c r="A732">
        <v>98005</v>
      </c>
      <c r="B732" t="s">
        <v>567</v>
      </c>
      <c r="C732" t="s">
        <v>9</v>
      </c>
      <c r="D732" t="s">
        <v>568</v>
      </c>
      <c r="E732" t="s">
        <v>49</v>
      </c>
      <c r="F732" t="s">
        <v>573</v>
      </c>
    </row>
    <row r="733" spans="1:6">
      <c r="A733">
        <v>98006</v>
      </c>
      <c r="B733" t="s">
        <v>567</v>
      </c>
      <c r="C733" t="s">
        <v>9</v>
      </c>
      <c r="D733" t="s">
        <v>568</v>
      </c>
      <c r="E733" t="s">
        <v>49</v>
      </c>
      <c r="F733" t="s">
        <v>574</v>
      </c>
    </row>
    <row r="734" spans="1:6">
      <c r="A734">
        <v>98007</v>
      </c>
      <c r="B734" t="s">
        <v>567</v>
      </c>
      <c r="C734" t="s">
        <v>9</v>
      </c>
      <c r="D734" t="s">
        <v>568</v>
      </c>
      <c r="E734" t="s">
        <v>49</v>
      </c>
      <c r="F734" t="s">
        <v>575</v>
      </c>
    </row>
    <row r="735" spans="1:6">
      <c r="A735">
        <v>98008</v>
      </c>
      <c r="B735" t="s">
        <v>567</v>
      </c>
      <c r="C735" t="s">
        <v>9</v>
      </c>
      <c r="D735" t="s">
        <v>568</v>
      </c>
      <c r="E735" t="s">
        <v>49</v>
      </c>
      <c r="F735" t="s">
        <v>576</v>
      </c>
    </row>
    <row r="736" spans="1:6">
      <c r="B736" t="s">
        <v>567</v>
      </c>
      <c r="C736" t="s">
        <v>9</v>
      </c>
      <c r="D736" t="s">
        <v>568</v>
      </c>
      <c r="E736" t="s">
        <v>49</v>
      </c>
      <c r="F736" t="s">
        <v>57</v>
      </c>
    </row>
    <row r="737" spans="1:6">
      <c r="B737" t="s">
        <v>567</v>
      </c>
      <c r="C737" t="s">
        <v>9</v>
      </c>
      <c r="D737" t="s">
        <v>568</v>
      </c>
      <c r="E737" t="s">
        <v>58</v>
      </c>
      <c r="F737" t="s">
        <v>59</v>
      </c>
    </row>
    <row r="738" spans="1:6">
      <c r="A738">
        <v>99000</v>
      </c>
      <c r="B738" t="s">
        <v>567</v>
      </c>
      <c r="C738" t="s">
        <v>9</v>
      </c>
      <c r="D738" t="s">
        <v>577</v>
      </c>
      <c r="E738" t="s">
        <v>48</v>
      </c>
      <c r="F738" t="s">
        <v>577</v>
      </c>
    </row>
    <row r="739" spans="1:6">
      <c r="A739">
        <v>99001</v>
      </c>
      <c r="B739" t="s">
        <v>567</v>
      </c>
      <c r="C739" t="s">
        <v>9</v>
      </c>
      <c r="D739" t="s">
        <v>577</v>
      </c>
      <c r="E739" t="s">
        <v>49</v>
      </c>
      <c r="F739" t="s">
        <v>578</v>
      </c>
    </row>
    <row r="740" spans="1:6">
      <c r="A740">
        <v>99002</v>
      </c>
      <c r="B740" t="s">
        <v>567</v>
      </c>
      <c r="C740" t="s">
        <v>9</v>
      </c>
      <c r="D740" t="s">
        <v>577</v>
      </c>
      <c r="E740" t="s">
        <v>49</v>
      </c>
      <c r="F740" t="s">
        <v>579</v>
      </c>
    </row>
    <row r="741" spans="1:6">
      <c r="A741">
        <v>99003</v>
      </c>
      <c r="B741" t="s">
        <v>567</v>
      </c>
      <c r="C741" t="s">
        <v>9</v>
      </c>
      <c r="D741" t="s">
        <v>577</v>
      </c>
      <c r="E741" t="s">
        <v>49</v>
      </c>
      <c r="F741" t="s">
        <v>580</v>
      </c>
    </row>
    <row r="742" spans="1:6">
      <c r="A742">
        <v>99004</v>
      </c>
      <c r="B742" t="s">
        <v>567</v>
      </c>
      <c r="C742" t="s">
        <v>9</v>
      </c>
      <c r="D742" t="s">
        <v>577</v>
      </c>
      <c r="E742" t="s">
        <v>49</v>
      </c>
      <c r="F742" t="s">
        <v>545</v>
      </c>
    </row>
    <row r="743" spans="1:6">
      <c r="A743">
        <v>99005</v>
      </c>
      <c r="B743" t="s">
        <v>567</v>
      </c>
      <c r="C743" t="s">
        <v>9</v>
      </c>
      <c r="D743" t="s">
        <v>577</v>
      </c>
      <c r="E743" t="s">
        <v>49</v>
      </c>
      <c r="F743" t="s">
        <v>581</v>
      </c>
    </row>
    <row r="744" spans="1:6">
      <c r="B744" t="s">
        <v>567</v>
      </c>
      <c r="C744" t="s">
        <v>9</v>
      </c>
      <c r="D744" t="s">
        <v>577</v>
      </c>
      <c r="E744" t="s">
        <v>49</v>
      </c>
      <c r="F744" t="s">
        <v>57</v>
      </c>
    </row>
    <row r="745" spans="1:6">
      <c r="B745" t="s">
        <v>567</v>
      </c>
      <c r="C745" t="s">
        <v>9</v>
      </c>
      <c r="D745" t="s">
        <v>577</v>
      </c>
      <c r="E745" t="s">
        <v>58</v>
      </c>
      <c r="F745" t="s">
        <v>59</v>
      </c>
    </row>
    <row r="746" spans="1:6">
      <c r="A746">
        <v>100000</v>
      </c>
      <c r="B746" t="s">
        <v>567</v>
      </c>
      <c r="C746" t="s">
        <v>9</v>
      </c>
      <c r="D746" t="s">
        <v>582</v>
      </c>
      <c r="E746" t="s">
        <v>48</v>
      </c>
      <c r="F746" t="s">
        <v>582</v>
      </c>
    </row>
    <row r="747" spans="1:6">
      <c r="A747">
        <v>100001</v>
      </c>
      <c r="B747" t="s">
        <v>567</v>
      </c>
      <c r="C747" t="s">
        <v>9</v>
      </c>
      <c r="D747" t="s">
        <v>582</v>
      </c>
      <c r="E747" t="s">
        <v>49</v>
      </c>
      <c r="F747" t="s">
        <v>583</v>
      </c>
    </row>
    <row r="748" spans="1:6">
      <c r="A748">
        <v>100002</v>
      </c>
      <c r="B748" t="s">
        <v>567</v>
      </c>
      <c r="C748" t="s">
        <v>9</v>
      </c>
      <c r="D748" t="s">
        <v>582</v>
      </c>
      <c r="E748" t="s">
        <v>49</v>
      </c>
      <c r="F748" t="s">
        <v>584</v>
      </c>
    </row>
    <row r="749" spans="1:6">
      <c r="A749">
        <v>100003</v>
      </c>
      <c r="B749" t="s">
        <v>567</v>
      </c>
      <c r="C749" t="s">
        <v>9</v>
      </c>
      <c r="D749" t="s">
        <v>582</v>
      </c>
      <c r="E749" t="s">
        <v>49</v>
      </c>
      <c r="F749" t="s">
        <v>585</v>
      </c>
    </row>
    <row r="750" spans="1:6">
      <c r="B750" t="s">
        <v>567</v>
      </c>
      <c r="C750" t="s">
        <v>9</v>
      </c>
      <c r="D750" t="s">
        <v>582</v>
      </c>
      <c r="E750" t="s">
        <v>49</v>
      </c>
      <c r="F750" t="s">
        <v>57</v>
      </c>
    </row>
    <row r="751" spans="1:6">
      <c r="B751" t="s">
        <v>567</v>
      </c>
      <c r="C751" t="s">
        <v>9</v>
      </c>
      <c r="D751" t="s">
        <v>582</v>
      </c>
      <c r="E751" t="s">
        <v>58</v>
      </c>
      <c r="F751" t="s">
        <v>59</v>
      </c>
    </row>
    <row r="752" spans="1:6">
      <c r="A752">
        <v>101000</v>
      </c>
      <c r="B752" t="s">
        <v>567</v>
      </c>
      <c r="C752" t="s">
        <v>9</v>
      </c>
      <c r="D752" t="s">
        <v>586</v>
      </c>
      <c r="E752" t="s">
        <v>48</v>
      </c>
      <c r="F752" t="s">
        <v>586</v>
      </c>
    </row>
    <row r="753" spans="1:6">
      <c r="A753">
        <v>101001</v>
      </c>
      <c r="B753" t="s">
        <v>567</v>
      </c>
      <c r="C753" t="s">
        <v>9</v>
      </c>
      <c r="D753" t="s">
        <v>586</v>
      </c>
      <c r="E753" t="s">
        <v>49</v>
      </c>
      <c r="F753" t="s">
        <v>587</v>
      </c>
    </row>
    <row r="754" spans="1:6">
      <c r="A754">
        <v>101002</v>
      </c>
      <c r="B754" t="s">
        <v>567</v>
      </c>
      <c r="C754" t="s">
        <v>9</v>
      </c>
      <c r="D754" t="s">
        <v>586</v>
      </c>
      <c r="E754" t="s">
        <v>49</v>
      </c>
      <c r="F754" t="s">
        <v>588</v>
      </c>
    </row>
    <row r="755" spans="1:6">
      <c r="A755">
        <v>101003</v>
      </c>
      <c r="B755" t="s">
        <v>567</v>
      </c>
      <c r="C755" t="s">
        <v>9</v>
      </c>
      <c r="D755" t="s">
        <v>586</v>
      </c>
      <c r="E755" t="s">
        <v>49</v>
      </c>
      <c r="F755" t="s">
        <v>589</v>
      </c>
    </row>
    <row r="756" spans="1:6">
      <c r="A756">
        <v>101004</v>
      </c>
      <c r="B756" t="s">
        <v>567</v>
      </c>
      <c r="C756" t="s">
        <v>9</v>
      </c>
      <c r="D756" t="s">
        <v>586</v>
      </c>
      <c r="E756" t="s">
        <v>49</v>
      </c>
      <c r="F756" t="s">
        <v>590</v>
      </c>
    </row>
    <row r="757" spans="1:6">
      <c r="A757">
        <v>101005</v>
      </c>
      <c r="B757" t="s">
        <v>567</v>
      </c>
      <c r="C757" t="s">
        <v>9</v>
      </c>
      <c r="D757" t="s">
        <v>586</v>
      </c>
      <c r="E757" t="s">
        <v>49</v>
      </c>
      <c r="F757" t="s">
        <v>591</v>
      </c>
    </row>
    <row r="758" spans="1:6">
      <c r="A758">
        <v>101006</v>
      </c>
      <c r="B758" t="s">
        <v>567</v>
      </c>
      <c r="C758" t="s">
        <v>9</v>
      </c>
      <c r="D758" t="s">
        <v>586</v>
      </c>
      <c r="E758" t="s">
        <v>49</v>
      </c>
      <c r="F758" t="s">
        <v>592</v>
      </c>
    </row>
    <row r="759" spans="1:6">
      <c r="A759">
        <v>101007</v>
      </c>
      <c r="B759" t="s">
        <v>567</v>
      </c>
      <c r="C759" t="s">
        <v>9</v>
      </c>
      <c r="D759" t="s">
        <v>586</v>
      </c>
      <c r="E759" t="s">
        <v>49</v>
      </c>
      <c r="F759" t="s">
        <v>593</v>
      </c>
    </row>
    <row r="760" spans="1:6">
      <c r="A760">
        <v>101008</v>
      </c>
      <c r="B760" t="s">
        <v>567</v>
      </c>
      <c r="C760" t="s">
        <v>9</v>
      </c>
      <c r="D760" t="s">
        <v>586</v>
      </c>
      <c r="E760" t="s">
        <v>49</v>
      </c>
      <c r="F760" t="s">
        <v>594</v>
      </c>
    </row>
    <row r="761" spans="1:6">
      <c r="A761">
        <v>101009</v>
      </c>
      <c r="B761" t="s">
        <v>567</v>
      </c>
      <c r="C761" t="s">
        <v>9</v>
      </c>
      <c r="D761" t="s">
        <v>586</v>
      </c>
      <c r="E761" t="s">
        <v>49</v>
      </c>
      <c r="F761" t="s">
        <v>595</v>
      </c>
    </row>
    <row r="762" spans="1:6">
      <c r="A762">
        <v>101010</v>
      </c>
      <c r="B762" t="s">
        <v>567</v>
      </c>
      <c r="C762" t="s">
        <v>9</v>
      </c>
      <c r="D762" t="s">
        <v>586</v>
      </c>
      <c r="E762" t="s">
        <v>49</v>
      </c>
      <c r="F762" t="s">
        <v>596</v>
      </c>
    </row>
    <row r="763" spans="1:6">
      <c r="A763">
        <v>101011</v>
      </c>
      <c r="B763" t="s">
        <v>567</v>
      </c>
      <c r="C763" t="s">
        <v>9</v>
      </c>
      <c r="D763" t="s">
        <v>586</v>
      </c>
      <c r="E763" t="s">
        <v>49</v>
      </c>
      <c r="F763" t="s">
        <v>597</v>
      </c>
    </row>
    <row r="764" spans="1:6">
      <c r="B764" t="s">
        <v>567</v>
      </c>
      <c r="C764" t="s">
        <v>9</v>
      </c>
      <c r="D764" t="s">
        <v>586</v>
      </c>
      <c r="E764" t="s">
        <v>49</v>
      </c>
      <c r="F764" t="s">
        <v>57</v>
      </c>
    </row>
    <row r="765" spans="1:6">
      <c r="B765" t="s">
        <v>567</v>
      </c>
      <c r="C765" t="s">
        <v>9</v>
      </c>
      <c r="D765" t="s">
        <v>586</v>
      </c>
      <c r="E765" t="s">
        <v>58</v>
      </c>
      <c r="F765" t="s">
        <v>59</v>
      </c>
    </row>
    <row r="766" spans="1:6">
      <c r="A766">
        <v>103000</v>
      </c>
      <c r="B766" t="s">
        <v>598</v>
      </c>
      <c r="C766" t="s">
        <v>9</v>
      </c>
      <c r="D766" t="s">
        <v>599</v>
      </c>
      <c r="E766" t="s">
        <v>48</v>
      </c>
      <c r="F766" t="s">
        <v>599</v>
      </c>
    </row>
    <row r="767" spans="1:6">
      <c r="A767">
        <v>103001</v>
      </c>
      <c r="B767" t="s">
        <v>598</v>
      </c>
      <c r="C767" t="s">
        <v>9</v>
      </c>
      <c r="D767" t="s">
        <v>599</v>
      </c>
      <c r="E767" t="s">
        <v>49</v>
      </c>
      <c r="F767" t="s">
        <v>600</v>
      </c>
    </row>
    <row r="768" spans="1:6">
      <c r="A768">
        <v>103002</v>
      </c>
      <c r="B768" t="s">
        <v>598</v>
      </c>
      <c r="C768" t="s">
        <v>9</v>
      </c>
      <c r="D768" t="s">
        <v>599</v>
      </c>
      <c r="E768" t="s">
        <v>49</v>
      </c>
      <c r="F768" t="s">
        <v>601</v>
      </c>
    </row>
    <row r="769" spans="1:6">
      <c r="A769">
        <v>103003</v>
      </c>
      <c r="B769" t="s">
        <v>598</v>
      </c>
      <c r="C769" t="s">
        <v>9</v>
      </c>
      <c r="D769" t="s">
        <v>599</v>
      </c>
      <c r="E769" t="s">
        <v>49</v>
      </c>
      <c r="F769" t="s">
        <v>602</v>
      </c>
    </row>
    <row r="770" spans="1:6">
      <c r="A770">
        <v>103004</v>
      </c>
      <c r="B770" t="s">
        <v>598</v>
      </c>
      <c r="C770" t="s">
        <v>9</v>
      </c>
      <c r="D770" t="s">
        <v>599</v>
      </c>
      <c r="E770" t="s">
        <v>49</v>
      </c>
      <c r="F770" t="s">
        <v>603</v>
      </c>
    </row>
    <row r="771" spans="1:6">
      <c r="B771" t="s">
        <v>598</v>
      </c>
      <c r="C771" t="s">
        <v>9</v>
      </c>
      <c r="D771" t="s">
        <v>599</v>
      </c>
      <c r="E771" t="s">
        <v>49</v>
      </c>
      <c r="F771" t="s">
        <v>57</v>
      </c>
    </row>
    <row r="772" spans="1:6">
      <c r="B772" t="s">
        <v>598</v>
      </c>
      <c r="C772" t="s">
        <v>9</v>
      </c>
      <c r="D772" t="s">
        <v>599</v>
      </c>
      <c r="E772" t="s">
        <v>58</v>
      </c>
      <c r="F772" t="s">
        <v>59</v>
      </c>
    </row>
    <row r="773" spans="1:6">
      <c r="A773">
        <v>104000</v>
      </c>
      <c r="B773" t="s">
        <v>598</v>
      </c>
      <c r="C773" t="s">
        <v>9</v>
      </c>
      <c r="D773" t="s">
        <v>604</v>
      </c>
      <c r="E773" t="s">
        <v>48</v>
      </c>
      <c r="F773" t="s">
        <v>604</v>
      </c>
    </row>
    <row r="774" spans="1:6">
      <c r="A774">
        <v>104001</v>
      </c>
      <c r="B774" t="s">
        <v>598</v>
      </c>
      <c r="C774" t="s">
        <v>9</v>
      </c>
      <c r="D774" t="s">
        <v>604</v>
      </c>
      <c r="E774" t="s">
        <v>49</v>
      </c>
      <c r="F774" t="s">
        <v>605</v>
      </c>
    </row>
    <row r="775" spans="1:6">
      <c r="A775">
        <v>104002</v>
      </c>
      <c r="B775" t="s">
        <v>598</v>
      </c>
      <c r="C775" t="s">
        <v>9</v>
      </c>
      <c r="D775" t="s">
        <v>604</v>
      </c>
      <c r="E775" t="s">
        <v>49</v>
      </c>
      <c r="F775" t="s">
        <v>606</v>
      </c>
    </row>
    <row r="776" spans="1:6">
      <c r="A776">
        <v>104003</v>
      </c>
      <c r="B776" t="s">
        <v>598</v>
      </c>
      <c r="C776" t="s">
        <v>9</v>
      </c>
      <c r="D776" t="s">
        <v>604</v>
      </c>
      <c r="E776" t="s">
        <v>49</v>
      </c>
      <c r="F776" t="s">
        <v>607</v>
      </c>
    </row>
    <row r="777" spans="1:6">
      <c r="A777">
        <v>104004</v>
      </c>
      <c r="B777" t="s">
        <v>598</v>
      </c>
      <c r="C777" t="s">
        <v>9</v>
      </c>
      <c r="D777" t="s">
        <v>604</v>
      </c>
      <c r="E777" t="s">
        <v>49</v>
      </c>
      <c r="F777" t="s">
        <v>608</v>
      </c>
    </row>
    <row r="778" spans="1:6">
      <c r="A778">
        <v>104005</v>
      </c>
      <c r="B778" t="s">
        <v>598</v>
      </c>
      <c r="C778" t="s">
        <v>9</v>
      </c>
      <c r="D778" t="s">
        <v>604</v>
      </c>
      <c r="E778" t="s">
        <v>49</v>
      </c>
      <c r="F778" t="s">
        <v>609</v>
      </c>
    </row>
    <row r="779" spans="1:6">
      <c r="B779" t="s">
        <v>598</v>
      </c>
      <c r="C779" t="s">
        <v>9</v>
      </c>
      <c r="D779" t="s">
        <v>604</v>
      </c>
      <c r="E779" t="s">
        <v>49</v>
      </c>
      <c r="F779" t="s">
        <v>57</v>
      </c>
    </row>
    <row r="780" spans="1:6">
      <c r="B780" t="s">
        <v>598</v>
      </c>
      <c r="C780" t="s">
        <v>9</v>
      </c>
      <c r="D780" t="s">
        <v>604</v>
      </c>
      <c r="E780" t="s">
        <v>58</v>
      </c>
      <c r="F780" t="s">
        <v>59</v>
      </c>
    </row>
    <row r="781" spans="1:6">
      <c r="A781">
        <v>105000</v>
      </c>
      <c r="B781" t="s">
        <v>598</v>
      </c>
      <c r="C781" t="s">
        <v>9</v>
      </c>
      <c r="D781" t="s">
        <v>610</v>
      </c>
      <c r="E781" t="s">
        <v>48</v>
      </c>
      <c r="F781" t="s">
        <v>610</v>
      </c>
    </row>
    <row r="782" spans="1:6">
      <c r="A782">
        <v>105001</v>
      </c>
      <c r="B782" t="s">
        <v>598</v>
      </c>
      <c r="C782" t="s">
        <v>9</v>
      </c>
      <c r="D782" t="s">
        <v>610</v>
      </c>
      <c r="E782" t="s">
        <v>49</v>
      </c>
      <c r="F782" t="s">
        <v>611</v>
      </c>
    </row>
    <row r="783" spans="1:6">
      <c r="A783">
        <v>105002</v>
      </c>
      <c r="B783" t="s">
        <v>598</v>
      </c>
      <c r="C783" t="s">
        <v>9</v>
      </c>
      <c r="D783" t="s">
        <v>610</v>
      </c>
      <c r="E783" t="s">
        <v>49</v>
      </c>
      <c r="F783" t="s">
        <v>612</v>
      </c>
    </row>
    <row r="784" spans="1:6">
      <c r="A784">
        <v>105003</v>
      </c>
      <c r="B784" t="s">
        <v>598</v>
      </c>
      <c r="C784" t="s">
        <v>9</v>
      </c>
      <c r="D784" t="s">
        <v>610</v>
      </c>
      <c r="E784" t="s">
        <v>49</v>
      </c>
      <c r="F784" t="s">
        <v>613</v>
      </c>
    </row>
    <row r="785" spans="1:6">
      <c r="A785">
        <v>105004</v>
      </c>
      <c r="B785" t="s">
        <v>598</v>
      </c>
      <c r="C785" t="s">
        <v>9</v>
      </c>
      <c r="D785" t="s">
        <v>610</v>
      </c>
      <c r="E785" t="s">
        <v>49</v>
      </c>
      <c r="F785" t="s">
        <v>614</v>
      </c>
    </row>
    <row r="786" spans="1:6">
      <c r="A786">
        <v>105005</v>
      </c>
      <c r="B786" t="s">
        <v>598</v>
      </c>
      <c r="C786" t="s">
        <v>9</v>
      </c>
      <c r="D786" t="s">
        <v>610</v>
      </c>
      <c r="E786" t="s">
        <v>49</v>
      </c>
      <c r="F786" t="s">
        <v>615</v>
      </c>
    </row>
    <row r="787" spans="1:6">
      <c r="A787">
        <v>105006</v>
      </c>
      <c r="B787" t="s">
        <v>598</v>
      </c>
      <c r="C787" t="s">
        <v>9</v>
      </c>
      <c r="D787" t="s">
        <v>610</v>
      </c>
      <c r="E787" t="s">
        <v>49</v>
      </c>
      <c r="F787" t="s">
        <v>616</v>
      </c>
    </row>
    <row r="788" spans="1:6">
      <c r="A788">
        <v>105007</v>
      </c>
      <c r="B788" t="s">
        <v>598</v>
      </c>
      <c r="C788" t="s">
        <v>9</v>
      </c>
      <c r="D788" t="s">
        <v>610</v>
      </c>
      <c r="E788" t="s">
        <v>49</v>
      </c>
      <c r="F788" t="s">
        <v>617</v>
      </c>
    </row>
    <row r="789" spans="1:6">
      <c r="B789" t="s">
        <v>598</v>
      </c>
      <c r="C789" t="s">
        <v>9</v>
      </c>
      <c r="D789" t="s">
        <v>610</v>
      </c>
      <c r="E789" t="s">
        <v>49</v>
      </c>
      <c r="F789" t="s">
        <v>57</v>
      </c>
    </row>
    <row r="790" spans="1:6">
      <c r="B790" t="s">
        <v>598</v>
      </c>
      <c r="C790" t="s">
        <v>9</v>
      </c>
      <c r="D790" t="s">
        <v>610</v>
      </c>
      <c r="E790" t="s">
        <v>58</v>
      </c>
      <c r="F790" t="s">
        <v>59</v>
      </c>
    </row>
    <row r="791" spans="1:6">
      <c r="A791">
        <v>106000</v>
      </c>
      <c r="B791" t="s">
        <v>598</v>
      </c>
      <c r="C791" t="s">
        <v>9</v>
      </c>
      <c r="D791" t="s">
        <v>618</v>
      </c>
      <c r="E791" t="s">
        <v>48</v>
      </c>
      <c r="F791" t="s">
        <v>618</v>
      </c>
    </row>
    <row r="792" spans="1:6">
      <c r="A792">
        <v>106001</v>
      </c>
      <c r="B792" t="s">
        <v>598</v>
      </c>
      <c r="C792" t="s">
        <v>9</v>
      </c>
      <c r="D792" t="s">
        <v>618</v>
      </c>
      <c r="E792" t="s">
        <v>49</v>
      </c>
      <c r="F792" t="s">
        <v>619</v>
      </c>
    </row>
    <row r="793" spans="1:6">
      <c r="A793">
        <v>106002</v>
      </c>
      <c r="B793" t="s">
        <v>598</v>
      </c>
      <c r="C793" t="s">
        <v>9</v>
      </c>
      <c r="D793" t="s">
        <v>618</v>
      </c>
      <c r="E793" t="s">
        <v>49</v>
      </c>
      <c r="F793" t="s">
        <v>620</v>
      </c>
    </row>
    <row r="794" spans="1:6">
      <c r="A794">
        <v>106003</v>
      </c>
      <c r="B794" t="s">
        <v>598</v>
      </c>
      <c r="C794" t="s">
        <v>9</v>
      </c>
      <c r="D794" t="s">
        <v>618</v>
      </c>
      <c r="E794" t="s">
        <v>49</v>
      </c>
      <c r="F794" t="s">
        <v>621</v>
      </c>
    </row>
    <row r="795" spans="1:6">
      <c r="A795">
        <v>106004</v>
      </c>
      <c r="B795" t="s">
        <v>598</v>
      </c>
      <c r="C795" t="s">
        <v>9</v>
      </c>
      <c r="D795" t="s">
        <v>618</v>
      </c>
      <c r="E795" t="s">
        <v>49</v>
      </c>
      <c r="F795" t="s">
        <v>622</v>
      </c>
    </row>
    <row r="796" spans="1:6">
      <c r="A796">
        <v>106005</v>
      </c>
      <c r="B796" t="s">
        <v>598</v>
      </c>
      <c r="C796" t="s">
        <v>9</v>
      </c>
      <c r="D796" t="s">
        <v>618</v>
      </c>
      <c r="E796" t="s">
        <v>49</v>
      </c>
      <c r="F796" t="s">
        <v>623</v>
      </c>
    </row>
    <row r="797" spans="1:6">
      <c r="A797">
        <v>106006</v>
      </c>
      <c r="B797" t="s">
        <v>598</v>
      </c>
      <c r="C797" t="s">
        <v>9</v>
      </c>
      <c r="D797" t="s">
        <v>618</v>
      </c>
      <c r="E797" t="s">
        <v>49</v>
      </c>
      <c r="F797" t="s">
        <v>624</v>
      </c>
    </row>
    <row r="798" spans="1:6">
      <c r="A798">
        <v>106007</v>
      </c>
      <c r="B798" t="s">
        <v>598</v>
      </c>
      <c r="C798" t="s">
        <v>9</v>
      </c>
      <c r="D798" t="s">
        <v>618</v>
      </c>
      <c r="E798" t="s">
        <v>49</v>
      </c>
      <c r="F798" t="s">
        <v>625</v>
      </c>
    </row>
    <row r="799" spans="1:6">
      <c r="A799">
        <v>106008</v>
      </c>
      <c r="B799" t="s">
        <v>598</v>
      </c>
      <c r="C799" t="s">
        <v>9</v>
      </c>
      <c r="D799" t="s">
        <v>618</v>
      </c>
      <c r="E799" t="s">
        <v>49</v>
      </c>
      <c r="F799" t="s">
        <v>626</v>
      </c>
    </row>
    <row r="800" spans="1:6">
      <c r="B800" t="s">
        <v>598</v>
      </c>
      <c r="C800" t="s">
        <v>9</v>
      </c>
      <c r="D800" t="s">
        <v>618</v>
      </c>
      <c r="E800" t="s">
        <v>49</v>
      </c>
      <c r="F800" t="s">
        <v>57</v>
      </c>
    </row>
    <row r="801" spans="1:6">
      <c r="B801" t="s">
        <v>598</v>
      </c>
      <c r="C801" t="s">
        <v>9</v>
      </c>
      <c r="D801" t="s">
        <v>618</v>
      </c>
      <c r="E801" t="s">
        <v>58</v>
      </c>
      <c r="F801" t="s">
        <v>59</v>
      </c>
    </row>
    <row r="802" spans="1:6">
      <c r="A802">
        <v>107000</v>
      </c>
      <c r="B802" t="s">
        <v>598</v>
      </c>
      <c r="C802" t="s">
        <v>9</v>
      </c>
      <c r="D802" t="s">
        <v>627</v>
      </c>
      <c r="E802" t="s">
        <v>48</v>
      </c>
      <c r="F802" t="s">
        <v>627</v>
      </c>
    </row>
    <row r="803" spans="1:6">
      <c r="A803">
        <v>107001</v>
      </c>
      <c r="B803" t="s">
        <v>598</v>
      </c>
      <c r="C803" t="s">
        <v>9</v>
      </c>
      <c r="D803" t="s">
        <v>627</v>
      </c>
      <c r="E803" t="s">
        <v>49</v>
      </c>
      <c r="F803" t="s">
        <v>628</v>
      </c>
    </row>
    <row r="804" spans="1:6">
      <c r="A804">
        <v>107002</v>
      </c>
      <c r="B804" t="s">
        <v>598</v>
      </c>
      <c r="C804" t="s">
        <v>9</v>
      </c>
      <c r="D804" t="s">
        <v>627</v>
      </c>
      <c r="E804" t="s">
        <v>49</v>
      </c>
      <c r="F804" t="s">
        <v>629</v>
      </c>
    </row>
    <row r="805" spans="1:6">
      <c r="A805">
        <v>107003</v>
      </c>
      <c r="B805" t="s">
        <v>598</v>
      </c>
      <c r="C805" t="s">
        <v>9</v>
      </c>
      <c r="D805" t="s">
        <v>627</v>
      </c>
      <c r="E805" t="s">
        <v>49</v>
      </c>
      <c r="F805" t="s">
        <v>630</v>
      </c>
    </row>
    <row r="806" spans="1:6">
      <c r="B806" t="s">
        <v>598</v>
      </c>
      <c r="C806" t="s">
        <v>9</v>
      </c>
      <c r="D806" t="s">
        <v>627</v>
      </c>
      <c r="E806" t="s">
        <v>49</v>
      </c>
      <c r="F806" t="s">
        <v>57</v>
      </c>
    </row>
    <row r="807" spans="1:6">
      <c r="B807" t="s">
        <v>598</v>
      </c>
      <c r="C807" t="s">
        <v>9</v>
      </c>
      <c r="D807" t="s">
        <v>627</v>
      </c>
      <c r="E807" t="s">
        <v>58</v>
      </c>
      <c r="F807" t="s">
        <v>59</v>
      </c>
    </row>
    <row r="808" spans="1:6">
      <c r="A808">
        <v>108000</v>
      </c>
      <c r="B808" t="s">
        <v>598</v>
      </c>
      <c r="C808" t="s">
        <v>9</v>
      </c>
      <c r="D808" t="s">
        <v>631</v>
      </c>
      <c r="E808" t="s">
        <v>48</v>
      </c>
      <c r="F808" t="s">
        <v>631</v>
      </c>
    </row>
    <row r="809" spans="1:6">
      <c r="A809">
        <v>108001</v>
      </c>
      <c r="B809" t="s">
        <v>598</v>
      </c>
      <c r="C809" t="s">
        <v>9</v>
      </c>
      <c r="D809" t="s">
        <v>631</v>
      </c>
      <c r="E809" t="s">
        <v>49</v>
      </c>
      <c r="F809" t="s">
        <v>632</v>
      </c>
    </row>
    <row r="810" spans="1:6">
      <c r="A810">
        <v>108002</v>
      </c>
      <c r="B810" t="s">
        <v>598</v>
      </c>
      <c r="C810" t="s">
        <v>9</v>
      </c>
      <c r="D810" t="s">
        <v>631</v>
      </c>
      <c r="E810" t="s">
        <v>49</v>
      </c>
      <c r="F810" t="s">
        <v>633</v>
      </c>
    </row>
    <row r="811" spans="1:6">
      <c r="A811">
        <v>108003</v>
      </c>
      <c r="B811" t="s">
        <v>598</v>
      </c>
      <c r="C811" t="s">
        <v>9</v>
      </c>
      <c r="D811" t="s">
        <v>631</v>
      </c>
      <c r="E811" t="s">
        <v>49</v>
      </c>
      <c r="F811" t="s">
        <v>634</v>
      </c>
    </row>
    <row r="812" spans="1:6">
      <c r="A812">
        <v>108004</v>
      </c>
      <c r="B812" t="s">
        <v>598</v>
      </c>
      <c r="C812" t="s">
        <v>9</v>
      </c>
      <c r="D812" t="s">
        <v>631</v>
      </c>
      <c r="E812" t="s">
        <v>49</v>
      </c>
      <c r="F812" t="s">
        <v>635</v>
      </c>
    </row>
    <row r="813" spans="1:6">
      <c r="A813">
        <v>108005</v>
      </c>
      <c r="B813" t="s">
        <v>598</v>
      </c>
      <c r="C813" t="s">
        <v>9</v>
      </c>
      <c r="D813" t="s">
        <v>631</v>
      </c>
      <c r="E813" t="s">
        <v>49</v>
      </c>
      <c r="F813" t="s">
        <v>636</v>
      </c>
    </row>
    <row r="814" spans="1:6">
      <c r="A814">
        <v>108006</v>
      </c>
      <c r="B814" t="s">
        <v>598</v>
      </c>
      <c r="C814" t="s">
        <v>9</v>
      </c>
      <c r="D814" t="s">
        <v>631</v>
      </c>
      <c r="E814" t="s">
        <v>49</v>
      </c>
      <c r="F814" t="s">
        <v>637</v>
      </c>
    </row>
    <row r="815" spans="1:6">
      <c r="A815">
        <v>108007</v>
      </c>
      <c r="B815" t="s">
        <v>598</v>
      </c>
      <c r="C815" t="s">
        <v>9</v>
      </c>
      <c r="D815" t="s">
        <v>631</v>
      </c>
      <c r="E815" t="s">
        <v>49</v>
      </c>
      <c r="F815" t="s">
        <v>638</v>
      </c>
    </row>
    <row r="816" spans="1:6">
      <c r="B816" t="s">
        <v>598</v>
      </c>
      <c r="C816" t="s">
        <v>9</v>
      </c>
      <c r="D816" t="s">
        <v>631</v>
      </c>
      <c r="E816" t="s">
        <v>49</v>
      </c>
      <c r="F816" t="s">
        <v>57</v>
      </c>
    </row>
    <row r="817" spans="1:6">
      <c r="B817" t="s">
        <v>598</v>
      </c>
      <c r="C817" t="s">
        <v>9</v>
      </c>
      <c r="D817" t="s">
        <v>631</v>
      </c>
      <c r="E817" t="s">
        <v>58</v>
      </c>
      <c r="F817" t="s">
        <v>59</v>
      </c>
    </row>
    <row r="818" spans="1:6">
      <c r="A818">
        <v>109000</v>
      </c>
      <c r="B818" t="s">
        <v>598</v>
      </c>
      <c r="C818" t="s">
        <v>9</v>
      </c>
      <c r="D818" t="s">
        <v>639</v>
      </c>
      <c r="E818" t="s">
        <v>48</v>
      </c>
      <c r="F818" t="s">
        <v>639</v>
      </c>
    </row>
    <row r="819" spans="1:6">
      <c r="A819">
        <v>109001</v>
      </c>
      <c r="B819" t="s">
        <v>598</v>
      </c>
      <c r="C819" t="s">
        <v>9</v>
      </c>
      <c r="D819" t="s">
        <v>639</v>
      </c>
      <c r="E819" t="s">
        <v>49</v>
      </c>
      <c r="F819" t="s">
        <v>640</v>
      </c>
    </row>
    <row r="820" spans="1:6">
      <c r="A820">
        <v>109002</v>
      </c>
      <c r="B820" t="s">
        <v>598</v>
      </c>
      <c r="C820" t="s">
        <v>9</v>
      </c>
      <c r="D820" t="s">
        <v>639</v>
      </c>
      <c r="E820" t="s">
        <v>49</v>
      </c>
      <c r="F820" t="s">
        <v>641</v>
      </c>
    </row>
    <row r="821" spans="1:6">
      <c r="A821">
        <v>109003</v>
      </c>
      <c r="B821" t="s">
        <v>598</v>
      </c>
      <c r="C821" t="s">
        <v>9</v>
      </c>
      <c r="D821" t="s">
        <v>639</v>
      </c>
      <c r="E821" t="s">
        <v>49</v>
      </c>
      <c r="F821" t="s">
        <v>642</v>
      </c>
    </row>
    <row r="822" spans="1:6">
      <c r="A822">
        <v>109004</v>
      </c>
      <c r="B822" t="s">
        <v>598</v>
      </c>
      <c r="C822" t="s">
        <v>9</v>
      </c>
      <c r="D822" t="s">
        <v>639</v>
      </c>
      <c r="E822" t="s">
        <v>49</v>
      </c>
      <c r="F822" t="s">
        <v>643</v>
      </c>
    </row>
    <row r="823" spans="1:6">
      <c r="B823" t="s">
        <v>598</v>
      </c>
      <c r="C823" t="s">
        <v>9</v>
      </c>
      <c r="D823" t="s">
        <v>639</v>
      </c>
      <c r="E823" t="s">
        <v>49</v>
      </c>
      <c r="F823" t="s">
        <v>57</v>
      </c>
    </row>
    <row r="824" spans="1:6">
      <c r="B824" t="s">
        <v>598</v>
      </c>
      <c r="C824" t="s">
        <v>9</v>
      </c>
      <c r="D824" t="s">
        <v>639</v>
      </c>
      <c r="E824" t="s">
        <v>58</v>
      </c>
      <c r="F824" t="s">
        <v>59</v>
      </c>
    </row>
    <row r="825" spans="1:6">
      <c r="A825">
        <v>110000</v>
      </c>
      <c r="B825" t="s">
        <v>598</v>
      </c>
      <c r="C825" t="s">
        <v>9</v>
      </c>
      <c r="D825" t="s">
        <v>644</v>
      </c>
      <c r="E825" t="s">
        <v>48</v>
      </c>
      <c r="F825" t="s">
        <v>644</v>
      </c>
    </row>
    <row r="826" spans="1:6">
      <c r="A826">
        <v>110001</v>
      </c>
      <c r="B826" t="s">
        <v>598</v>
      </c>
      <c r="C826" t="s">
        <v>9</v>
      </c>
      <c r="D826" t="s">
        <v>644</v>
      </c>
      <c r="E826" t="s">
        <v>49</v>
      </c>
      <c r="F826" t="s">
        <v>645</v>
      </c>
    </row>
    <row r="827" spans="1:6">
      <c r="A827">
        <v>110002</v>
      </c>
      <c r="B827" t="s">
        <v>598</v>
      </c>
      <c r="C827" t="s">
        <v>9</v>
      </c>
      <c r="D827" t="s">
        <v>644</v>
      </c>
      <c r="E827" t="s">
        <v>49</v>
      </c>
      <c r="F827" t="s">
        <v>646</v>
      </c>
    </row>
    <row r="828" spans="1:6">
      <c r="A828">
        <v>110003</v>
      </c>
      <c r="B828" t="s">
        <v>598</v>
      </c>
      <c r="C828" t="s">
        <v>9</v>
      </c>
      <c r="D828" t="s">
        <v>644</v>
      </c>
      <c r="E828" t="s">
        <v>49</v>
      </c>
      <c r="F828" t="s">
        <v>647</v>
      </c>
    </row>
    <row r="829" spans="1:6">
      <c r="A829">
        <v>110004</v>
      </c>
      <c r="B829" t="s">
        <v>598</v>
      </c>
      <c r="C829" t="s">
        <v>9</v>
      </c>
      <c r="D829" t="s">
        <v>644</v>
      </c>
      <c r="E829" t="s">
        <v>49</v>
      </c>
      <c r="F829" t="s">
        <v>648</v>
      </c>
    </row>
    <row r="830" spans="1:6">
      <c r="A830">
        <v>110005</v>
      </c>
      <c r="B830" t="s">
        <v>598</v>
      </c>
      <c r="C830" t="s">
        <v>9</v>
      </c>
      <c r="D830" t="s">
        <v>644</v>
      </c>
      <c r="E830" t="s">
        <v>49</v>
      </c>
      <c r="F830" t="s">
        <v>649</v>
      </c>
    </row>
    <row r="831" spans="1:6">
      <c r="A831">
        <v>110006</v>
      </c>
      <c r="B831" t="s">
        <v>598</v>
      </c>
      <c r="C831" t="s">
        <v>9</v>
      </c>
      <c r="D831" t="s">
        <v>644</v>
      </c>
      <c r="E831" t="s">
        <v>49</v>
      </c>
      <c r="F831" t="s">
        <v>650</v>
      </c>
    </row>
    <row r="832" spans="1:6">
      <c r="B832" t="s">
        <v>598</v>
      </c>
      <c r="C832" t="s">
        <v>9</v>
      </c>
      <c r="D832" t="s">
        <v>644</v>
      </c>
      <c r="E832" t="s">
        <v>49</v>
      </c>
      <c r="F832" t="s">
        <v>57</v>
      </c>
    </row>
    <row r="833" spans="1:6">
      <c r="B833" t="s">
        <v>598</v>
      </c>
      <c r="C833" t="s">
        <v>9</v>
      </c>
      <c r="D833" t="s">
        <v>644</v>
      </c>
      <c r="E833" t="s">
        <v>58</v>
      </c>
      <c r="F833" t="s">
        <v>59</v>
      </c>
    </row>
    <row r="834" spans="1:6">
      <c r="A834">
        <v>111000</v>
      </c>
      <c r="B834" t="s">
        <v>598</v>
      </c>
      <c r="C834" t="s">
        <v>9</v>
      </c>
      <c r="D834" t="s">
        <v>651</v>
      </c>
      <c r="E834" t="s">
        <v>48</v>
      </c>
      <c r="F834" t="s">
        <v>651</v>
      </c>
    </row>
    <row r="835" spans="1:6">
      <c r="A835">
        <v>111001</v>
      </c>
      <c r="B835" t="s">
        <v>598</v>
      </c>
      <c r="C835" t="s">
        <v>9</v>
      </c>
      <c r="D835" t="s">
        <v>651</v>
      </c>
      <c r="E835" t="s">
        <v>49</v>
      </c>
      <c r="F835" t="s">
        <v>652</v>
      </c>
    </row>
    <row r="836" spans="1:6">
      <c r="A836">
        <v>111002</v>
      </c>
      <c r="B836" t="s">
        <v>598</v>
      </c>
      <c r="C836" t="s">
        <v>9</v>
      </c>
      <c r="D836" t="s">
        <v>651</v>
      </c>
      <c r="E836" t="s">
        <v>49</v>
      </c>
      <c r="F836" t="s">
        <v>653</v>
      </c>
    </row>
    <row r="837" spans="1:6">
      <c r="A837">
        <v>111003</v>
      </c>
      <c r="B837" t="s">
        <v>598</v>
      </c>
      <c r="C837" t="s">
        <v>9</v>
      </c>
      <c r="D837" t="s">
        <v>651</v>
      </c>
      <c r="E837" t="s">
        <v>49</v>
      </c>
      <c r="F837" t="s">
        <v>654</v>
      </c>
    </row>
    <row r="838" spans="1:6">
      <c r="B838" t="s">
        <v>598</v>
      </c>
      <c r="C838" t="s">
        <v>9</v>
      </c>
      <c r="D838" t="s">
        <v>651</v>
      </c>
      <c r="E838" t="s">
        <v>49</v>
      </c>
      <c r="F838" t="s">
        <v>57</v>
      </c>
    </row>
    <row r="839" spans="1:6">
      <c r="B839" t="s">
        <v>598</v>
      </c>
      <c r="C839" t="s">
        <v>9</v>
      </c>
      <c r="D839" t="s">
        <v>651</v>
      </c>
      <c r="E839" t="s">
        <v>58</v>
      </c>
      <c r="F839" t="s">
        <v>59</v>
      </c>
    </row>
    <row r="840" spans="1:6">
      <c r="A840">
        <v>112000</v>
      </c>
      <c r="B840" t="s">
        <v>598</v>
      </c>
      <c r="C840" t="s">
        <v>9</v>
      </c>
      <c r="D840" t="s">
        <v>655</v>
      </c>
      <c r="E840" t="s">
        <v>48</v>
      </c>
      <c r="F840" t="s">
        <v>655</v>
      </c>
    </row>
    <row r="841" spans="1:6">
      <c r="A841">
        <v>112001</v>
      </c>
      <c r="B841" t="s">
        <v>598</v>
      </c>
      <c r="C841" t="s">
        <v>9</v>
      </c>
      <c r="D841" t="s">
        <v>655</v>
      </c>
      <c r="E841" t="s">
        <v>49</v>
      </c>
      <c r="F841" t="s">
        <v>656</v>
      </c>
    </row>
    <row r="842" spans="1:6">
      <c r="A842">
        <v>112002</v>
      </c>
      <c r="B842" t="s">
        <v>598</v>
      </c>
      <c r="C842" t="s">
        <v>9</v>
      </c>
      <c r="D842" t="s">
        <v>655</v>
      </c>
      <c r="E842" t="s">
        <v>49</v>
      </c>
      <c r="F842" t="s">
        <v>657</v>
      </c>
    </row>
    <row r="843" spans="1:6">
      <c r="A843">
        <v>112003</v>
      </c>
      <c r="B843" t="s">
        <v>598</v>
      </c>
      <c r="C843" t="s">
        <v>9</v>
      </c>
      <c r="D843" t="s">
        <v>655</v>
      </c>
      <c r="E843" t="s">
        <v>49</v>
      </c>
      <c r="F843" t="s">
        <v>658</v>
      </c>
    </row>
    <row r="844" spans="1:6">
      <c r="A844">
        <v>112004</v>
      </c>
      <c r="B844" t="s">
        <v>598</v>
      </c>
      <c r="C844" t="s">
        <v>9</v>
      </c>
      <c r="D844" t="s">
        <v>655</v>
      </c>
      <c r="E844" t="s">
        <v>49</v>
      </c>
      <c r="F844" t="s">
        <v>659</v>
      </c>
    </row>
    <row r="845" spans="1:6">
      <c r="A845">
        <v>112005</v>
      </c>
      <c r="B845" t="s">
        <v>598</v>
      </c>
      <c r="C845" t="s">
        <v>9</v>
      </c>
      <c r="D845" t="s">
        <v>655</v>
      </c>
      <c r="E845" t="s">
        <v>49</v>
      </c>
      <c r="F845" t="s">
        <v>660</v>
      </c>
    </row>
    <row r="846" spans="1:6">
      <c r="A846">
        <v>112006</v>
      </c>
      <c r="B846" t="s">
        <v>598</v>
      </c>
      <c r="C846" t="s">
        <v>9</v>
      </c>
      <c r="D846" t="s">
        <v>655</v>
      </c>
      <c r="E846" t="s">
        <v>49</v>
      </c>
      <c r="F846" t="s">
        <v>661</v>
      </c>
    </row>
    <row r="847" spans="1:6">
      <c r="A847">
        <v>112007</v>
      </c>
      <c r="B847" t="s">
        <v>598</v>
      </c>
      <c r="C847" t="s">
        <v>9</v>
      </c>
      <c r="D847" t="s">
        <v>655</v>
      </c>
      <c r="E847" t="s">
        <v>49</v>
      </c>
      <c r="F847" t="s">
        <v>662</v>
      </c>
    </row>
    <row r="848" spans="1:6">
      <c r="B848" t="s">
        <v>598</v>
      </c>
      <c r="C848" t="s">
        <v>9</v>
      </c>
      <c r="D848" t="s">
        <v>655</v>
      </c>
      <c r="E848" t="s">
        <v>49</v>
      </c>
      <c r="F848" t="s">
        <v>57</v>
      </c>
    </row>
    <row r="849" spans="1:6">
      <c r="B849" t="s">
        <v>598</v>
      </c>
      <c r="C849" t="s">
        <v>9</v>
      </c>
      <c r="D849" t="s">
        <v>655</v>
      </c>
      <c r="E849" t="s">
        <v>58</v>
      </c>
      <c r="F849" t="s">
        <v>59</v>
      </c>
    </row>
    <row r="850" spans="1:6">
      <c r="A850">
        <v>113000</v>
      </c>
      <c r="B850" t="s">
        <v>598</v>
      </c>
      <c r="C850" t="s">
        <v>9</v>
      </c>
      <c r="D850" t="s">
        <v>663</v>
      </c>
      <c r="E850" t="s">
        <v>48</v>
      </c>
      <c r="F850" t="s">
        <v>663</v>
      </c>
    </row>
    <row r="851" spans="1:6">
      <c r="A851">
        <v>113001</v>
      </c>
      <c r="B851" t="s">
        <v>598</v>
      </c>
      <c r="C851" t="s">
        <v>9</v>
      </c>
      <c r="D851" t="s">
        <v>663</v>
      </c>
      <c r="E851" t="s">
        <v>49</v>
      </c>
      <c r="F851" t="s">
        <v>664</v>
      </c>
    </row>
    <row r="852" spans="1:6">
      <c r="A852">
        <v>113002</v>
      </c>
      <c r="B852" t="s">
        <v>598</v>
      </c>
      <c r="C852" t="s">
        <v>9</v>
      </c>
      <c r="D852" t="s">
        <v>663</v>
      </c>
      <c r="E852" t="s">
        <v>49</v>
      </c>
      <c r="F852" t="s">
        <v>665</v>
      </c>
    </row>
    <row r="853" spans="1:6">
      <c r="A853">
        <v>113003</v>
      </c>
      <c r="B853" t="s">
        <v>598</v>
      </c>
      <c r="C853" t="s">
        <v>9</v>
      </c>
      <c r="D853" t="s">
        <v>663</v>
      </c>
      <c r="E853" t="s">
        <v>49</v>
      </c>
      <c r="F853" t="s">
        <v>666</v>
      </c>
    </row>
    <row r="854" spans="1:6">
      <c r="A854">
        <v>113004</v>
      </c>
      <c r="B854" t="s">
        <v>598</v>
      </c>
      <c r="C854" t="s">
        <v>9</v>
      </c>
      <c r="D854" t="s">
        <v>663</v>
      </c>
      <c r="E854" t="s">
        <v>49</v>
      </c>
      <c r="F854" t="s">
        <v>667</v>
      </c>
    </row>
    <row r="855" spans="1:6">
      <c r="A855">
        <v>113005</v>
      </c>
      <c r="B855" t="s">
        <v>598</v>
      </c>
      <c r="C855" t="s">
        <v>9</v>
      </c>
      <c r="D855" t="s">
        <v>663</v>
      </c>
      <c r="E855" t="s">
        <v>49</v>
      </c>
      <c r="F855" t="s">
        <v>623</v>
      </c>
    </row>
    <row r="856" spans="1:6">
      <c r="A856">
        <v>113006</v>
      </c>
      <c r="B856" t="s">
        <v>598</v>
      </c>
      <c r="C856" t="s">
        <v>9</v>
      </c>
      <c r="D856" t="s">
        <v>663</v>
      </c>
      <c r="E856" t="s">
        <v>49</v>
      </c>
      <c r="F856" t="s">
        <v>668</v>
      </c>
    </row>
    <row r="857" spans="1:6">
      <c r="B857" t="s">
        <v>598</v>
      </c>
      <c r="C857" t="s">
        <v>9</v>
      </c>
      <c r="D857" t="s">
        <v>663</v>
      </c>
      <c r="E857" t="s">
        <v>49</v>
      </c>
      <c r="F857" t="s">
        <v>57</v>
      </c>
    </row>
    <row r="858" spans="1:6">
      <c r="B858" t="s">
        <v>598</v>
      </c>
      <c r="C858" t="s">
        <v>9</v>
      </c>
      <c r="D858" t="s">
        <v>663</v>
      </c>
      <c r="E858" t="s">
        <v>58</v>
      </c>
      <c r="F858" t="s">
        <v>59</v>
      </c>
    </row>
    <row r="859" spans="1:6">
      <c r="A859">
        <v>114000</v>
      </c>
      <c r="B859" t="s">
        <v>598</v>
      </c>
      <c r="C859" t="s">
        <v>9</v>
      </c>
      <c r="D859" t="s">
        <v>669</v>
      </c>
      <c r="E859" t="s">
        <v>48</v>
      </c>
      <c r="F859" t="s">
        <v>669</v>
      </c>
    </row>
    <row r="860" spans="1:6">
      <c r="A860">
        <v>114001</v>
      </c>
      <c r="B860" t="s">
        <v>598</v>
      </c>
      <c r="C860" t="s">
        <v>9</v>
      </c>
      <c r="D860" t="s">
        <v>669</v>
      </c>
      <c r="E860" t="s">
        <v>49</v>
      </c>
      <c r="F860" t="s">
        <v>645</v>
      </c>
    </row>
    <row r="861" spans="1:6">
      <c r="A861">
        <v>114002</v>
      </c>
      <c r="B861" t="s">
        <v>598</v>
      </c>
      <c r="C861" t="s">
        <v>9</v>
      </c>
      <c r="D861" t="s">
        <v>669</v>
      </c>
      <c r="E861" t="s">
        <v>49</v>
      </c>
      <c r="F861" t="s">
        <v>646</v>
      </c>
    </row>
    <row r="862" spans="1:6">
      <c r="A862">
        <v>114003</v>
      </c>
      <c r="B862" t="s">
        <v>598</v>
      </c>
      <c r="C862" t="s">
        <v>9</v>
      </c>
      <c r="D862" t="s">
        <v>669</v>
      </c>
      <c r="E862" t="s">
        <v>49</v>
      </c>
      <c r="F862" t="s">
        <v>670</v>
      </c>
    </row>
    <row r="863" spans="1:6">
      <c r="A863">
        <v>114004</v>
      </c>
      <c r="B863" t="s">
        <v>598</v>
      </c>
      <c r="C863" t="s">
        <v>9</v>
      </c>
      <c r="D863" t="s">
        <v>669</v>
      </c>
      <c r="E863" t="s">
        <v>49</v>
      </c>
      <c r="F863" t="s">
        <v>671</v>
      </c>
    </row>
    <row r="864" spans="1:6">
      <c r="A864">
        <v>114005</v>
      </c>
      <c r="B864" t="s">
        <v>598</v>
      </c>
      <c r="C864" t="s">
        <v>9</v>
      </c>
      <c r="D864" t="s">
        <v>669</v>
      </c>
      <c r="E864" t="s">
        <v>49</v>
      </c>
      <c r="F864" t="s">
        <v>648</v>
      </c>
    </row>
    <row r="865" spans="1:6">
      <c r="A865">
        <v>114006</v>
      </c>
      <c r="B865" t="s">
        <v>598</v>
      </c>
      <c r="C865" t="s">
        <v>9</v>
      </c>
      <c r="D865" t="s">
        <v>669</v>
      </c>
      <c r="E865" t="s">
        <v>49</v>
      </c>
      <c r="F865" t="s">
        <v>649</v>
      </c>
    </row>
    <row r="866" spans="1:6">
      <c r="A866">
        <v>114007</v>
      </c>
      <c r="B866" t="s">
        <v>598</v>
      </c>
      <c r="C866" t="s">
        <v>9</v>
      </c>
      <c r="D866" t="s">
        <v>669</v>
      </c>
      <c r="E866" t="s">
        <v>49</v>
      </c>
      <c r="F866" t="s">
        <v>672</v>
      </c>
    </row>
    <row r="867" spans="1:6">
      <c r="A867">
        <v>114008</v>
      </c>
      <c r="B867" t="s">
        <v>598</v>
      </c>
      <c r="C867" t="s">
        <v>9</v>
      </c>
      <c r="D867" t="s">
        <v>669</v>
      </c>
      <c r="E867" t="s">
        <v>49</v>
      </c>
      <c r="F867" t="s">
        <v>650</v>
      </c>
    </row>
    <row r="868" spans="1:6">
      <c r="B868" t="s">
        <v>598</v>
      </c>
      <c r="C868" t="s">
        <v>9</v>
      </c>
      <c r="D868" t="s">
        <v>669</v>
      </c>
      <c r="E868" t="s">
        <v>49</v>
      </c>
      <c r="F868" t="s">
        <v>57</v>
      </c>
    </row>
    <row r="869" spans="1:6">
      <c r="B869" t="s">
        <v>598</v>
      </c>
      <c r="C869" t="s">
        <v>9</v>
      </c>
      <c r="D869" t="s">
        <v>669</v>
      </c>
      <c r="E869" t="s">
        <v>58</v>
      </c>
      <c r="F869" t="s">
        <v>59</v>
      </c>
    </row>
    <row r="870" spans="1:6">
      <c r="A870">
        <v>115000</v>
      </c>
      <c r="B870" t="s">
        <v>598</v>
      </c>
      <c r="C870" t="s">
        <v>9</v>
      </c>
      <c r="D870" t="s">
        <v>673</v>
      </c>
      <c r="E870" t="s">
        <v>48</v>
      </c>
      <c r="F870" t="s">
        <v>673</v>
      </c>
    </row>
    <row r="871" spans="1:6">
      <c r="A871">
        <v>115001</v>
      </c>
      <c r="B871" t="s">
        <v>598</v>
      </c>
      <c r="C871" t="s">
        <v>9</v>
      </c>
      <c r="D871" t="s">
        <v>673</v>
      </c>
      <c r="E871" t="s">
        <v>49</v>
      </c>
      <c r="F871" t="s">
        <v>674</v>
      </c>
    </row>
    <row r="872" spans="1:6">
      <c r="A872">
        <v>115002</v>
      </c>
      <c r="B872" t="s">
        <v>598</v>
      </c>
      <c r="C872" t="s">
        <v>9</v>
      </c>
      <c r="D872" t="s">
        <v>673</v>
      </c>
      <c r="E872" t="s">
        <v>49</v>
      </c>
      <c r="F872" t="s">
        <v>675</v>
      </c>
    </row>
    <row r="873" spans="1:6">
      <c r="A873">
        <v>115003</v>
      </c>
      <c r="B873" t="s">
        <v>598</v>
      </c>
      <c r="C873" t="s">
        <v>9</v>
      </c>
      <c r="D873" t="s">
        <v>673</v>
      </c>
      <c r="E873" t="s">
        <v>124</v>
      </c>
      <c r="F873" t="s">
        <v>676</v>
      </c>
    </row>
    <row r="874" spans="1:6">
      <c r="A874">
        <v>115004</v>
      </c>
      <c r="B874" t="s">
        <v>598</v>
      </c>
      <c r="C874" t="s">
        <v>9</v>
      </c>
      <c r="D874" t="s">
        <v>673</v>
      </c>
      <c r="E874" t="s">
        <v>49</v>
      </c>
      <c r="F874" t="s">
        <v>677</v>
      </c>
    </row>
    <row r="875" spans="1:6">
      <c r="A875">
        <v>115005</v>
      </c>
      <c r="B875" t="s">
        <v>598</v>
      </c>
      <c r="C875" t="s">
        <v>9</v>
      </c>
      <c r="D875" t="s">
        <v>673</v>
      </c>
      <c r="E875" t="s">
        <v>49</v>
      </c>
      <c r="F875" t="s">
        <v>678</v>
      </c>
    </row>
    <row r="876" spans="1:6">
      <c r="A876">
        <v>115006</v>
      </c>
      <c r="B876" t="s">
        <v>598</v>
      </c>
      <c r="C876" t="s">
        <v>9</v>
      </c>
      <c r="D876" t="s">
        <v>673</v>
      </c>
      <c r="E876" t="s">
        <v>49</v>
      </c>
      <c r="F876" t="s">
        <v>679</v>
      </c>
    </row>
    <row r="877" spans="1:6">
      <c r="A877">
        <v>115007</v>
      </c>
      <c r="B877" t="s">
        <v>598</v>
      </c>
      <c r="C877" t="s">
        <v>9</v>
      </c>
      <c r="D877" t="s">
        <v>673</v>
      </c>
      <c r="E877" t="s">
        <v>49</v>
      </c>
      <c r="F877" t="s">
        <v>680</v>
      </c>
    </row>
    <row r="878" spans="1:6">
      <c r="B878" t="s">
        <v>598</v>
      </c>
      <c r="C878" t="s">
        <v>9</v>
      </c>
      <c r="D878" t="s">
        <v>673</v>
      </c>
      <c r="E878" t="s">
        <v>49</v>
      </c>
      <c r="F878" t="s">
        <v>57</v>
      </c>
    </row>
    <row r="879" spans="1:6">
      <c r="B879" t="s">
        <v>598</v>
      </c>
      <c r="C879" t="s">
        <v>9</v>
      </c>
      <c r="D879" t="s">
        <v>673</v>
      </c>
      <c r="E879" t="s">
        <v>58</v>
      </c>
      <c r="F879" t="s">
        <v>59</v>
      </c>
    </row>
    <row r="880" spans="1:6">
      <c r="A880">
        <v>116000</v>
      </c>
      <c r="B880" t="s">
        <v>598</v>
      </c>
      <c r="C880" t="s">
        <v>9</v>
      </c>
      <c r="D880" t="s">
        <v>681</v>
      </c>
      <c r="E880" t="s">
        <v>48</v>
      </c>
      <c r="F880" t="s">
        <v>681</v>
      </c>
    </row>
    <row r="881" spans="1:6">
      <c r="A881">
        <v>116001</v>
      </c>
      <c r="B881" t="s">
        <v>598</v>
      </c>
      <c r="C881" t="s">
        <v>9</v>
      </c>
      <c r="D881" t="s">
        <v>681</v>
      </c>
      <c r="E881" t="s">
        <v>49</v>
      </c>
      <c r="F881" t="s">
        <v>674</v>
      </c>
    </row>
    <row r="882" spans="1:6">
      <c r="A882">
        <v>116002</v>
      </c>
      <c r="B882" t="s">
        <v>598</v>
      </c>
      <c r="C882" t="s">
        <v>9</v>
      </c>
      <c r="D882" t="s">
        <v>681</v>
      </c>
      <c r="E882" t="s">
        <v>49</v>
      </c>
      <c r="F882" t="s">
        <v>675</v>
      </c>
    </row>
    <row r="883" spans="1:6">
      <c r="A883">
        <v>116003</v>
      </c>
      <c r="B883" t="s">
        <v>598</v>
      </c>
      <c r="C883" t="s">
        <v>9</v>
      </c>
      <c r="D883" t="s">
        <v>681</v>
      </c>
      <c r="E883" t="s">
        <v>49</v>
      </c>
      <c r="F883" t="s">
        <v>682</v>
      </c>
    </row>
    <row r="884" spans="1:6">
      <c r="A884">
        <v>116004</v>
      </c>
      <c r="B884" t="s">
        <v>598</v>
      </c>
      <c r="C884" t="s">
        <v>9</v>
      </c>
      <c r="D884" t="s">
        <v>681</v>
      </c>
      <c r="E884" t="s">
        <v>49</v>
      </c>
      <c r="F884" t="s">
        <v>678</v>
      </c>
    </row>
    <row r="885" spans="1:6">
      <c r="A885">
        <v>116005</v>
      </c>
      <c r="B885" t="s">
        <v>598</v>
      </c>
      <c r="C885" t="s">
        <v>9</v>
      </c>
      <c r="D885" t="s">
        <v>681</v>
      </c>
      <c r="E885" t="s">
        <v>49</v>
      </c>
      <c r="F885" t="s">
        <v>679</v>
      </c>
    </row>
    <row r="886" spans="1:6">
      <c r="A886">
        <v>116006</v>
      </c>
      <c r="B886" t="s">
        <v>598</v>
      </c>
      <c r="C886" t="s">
        <v>9</v>
      </c>
      <c r="D886" t="s">
        <v>681</v>
      </c>
      <c r="E886" t="s">
        <v>49</v>
      </c>
      <c r="F886" t="s">
        <v>683</v>
      </c>
    </row>
    <row r="887" spans="1:6">
      <c r="B887" t="s">
        <v>598</v>
      </c>
      <c r="C887" t="s">
        <v>9</v>
      </c>
      <c r="D887" t="s">
        <v>681</v>
      </c>
      <c r="E887" t="s">
        <v>49</v>
      </c>
      <c r="F887" t="s">
        <v>57</v>
      </c>
    </row>
    <row r="888" spans="1:6">
      <c r="B888" t="s">
        <v>598</v>
      </c>
      <c r="C888" t="s">
        <v>9</v>
      </c>
      <c r="D888" t="s">
        <v>681</v>
      </c>
      <c r="E888" t="s">
        <v>58</v>
      </c>
      <c r="F888" t="s">
        <v>59</v>
      </c>
    </row>
    <row r="889" spans="1:6">
      <c r="A889">
        <v>117000</v>
      </c>
      <c r="B889" t="s">
        <v>32</v>
      </c>
      <c r="C889" t="s">
        <v>9</v>
      </c>
      <c r="D889" t="s">
        <v>684</v>
      </c>
      <c r="E889" t="s">
        <v>119</v>
      </c>
      <c r="F889" t="s">
        <v>684</v>
      </c>
    </row>
    <row r="890" spans="1:6">
      <c r="A890">
        <v>117001</v>
      </c>
      <c r="B890" t="s">
        <v>32</v>
      </c>
      <c r="C890" t="s">
        <v>9</v>
      </c>
      <c r="D890" t="s">
        <v>684</v>
      </c>
      <c r="E890" t="s">
        <v>120</v>
      </c>
      <c r="F890" t="s">
        <v>685</v>
      </c>
    </row>
    <row r="891" spans="1:6">
      <c r="A891">
        <v>117002</v>
      </c>
      <c r="B891" t="s">
        <v>32</v>
      </c>
      <c r="C891" t="s">
        <v>9</v>
      </c>
      <c r="D891" t="s">
        <v>684</v>
      </c>
      <c r="E891" t="s">
        <v>49</v>
      </c>
      <c r="F891" t="s">
        <v>686</v>
      </c>
    </row>
    <row r="892" spans="1:6">
      <c r="A892">
        <v>117003</v>
      </c>
      <c r="B892" t="s">
        <v>32</v>
      </c>
      <c r="C892" t="s">
        <v>9</v>
      </c>
      <c r="D892" t="s">
        <v>684</v>
      </c>
      <c r="E892" t="s">
        <v>49</v>
      </c>
      <c r="F892" t="s">
        <v>687</v>
      </c>
    </row>
    <row r="893" spans="1:6">
      <c r="A893">
        <v>117004</v>
      </c>
      <c r="B893" t="s">
        <v>32</v>
      </c>
      <c r="C893" t="s">
        <v>9</v>
      </c>
      <c r="D893" t="s">
        <v>684</v>
      </c>
      <c r="E893" t="s">
        <v>49</v>
      </c>
      <c r="F893" t="s">
        <v>688</v>
      </c>
    </row>
    <row r="894" spans="1:6">
      <c r="A894">
        <v>117005</v>
      </c>
      <c r="B894" t="s">
        <v>32</v>
      </c>
      <c r="C894" t="s">
        <v>9</v>
      </c>
      <c r="D894" t="s">
        <v>684</v>
      </c>
      <c r="E894" t="s">
        <v>49</v>
      </c>
      <c r="F894" t="s">
        <v>689</v>
      </c>
    </row>
    <row r="895" spans="1:6">
      <c r="A895">
        <v>117006</v>
      </c>
      <c r="B895" t="s">
        <v>32</v>
      </c>
      <c r="C895" t="s">
        <v>9</v>
      </c>
      <c r="D895" t="s">
        <v>684</v>
      </c>
      <c r="E895" t="s">
        <v>120</v>
      </c>
      <c r="F895" t="s">
        <v>690</v>
      </c>
    </row>
    <row r="896" spans="1:6">
      <c r="A896">
        <v>117007</v>
      </c>
      <c r="B896" t="s">
        <v>32</v>
      </c>
      <c r="C896" t="s">
        <v>9</v>
      </c>
      <c r="D896" t="s">
        <v>684</v>
      </c>
      <c r="E896" t="s">
        <v>49</v>
      </c>
      <c r="F896" t="s">
        <v>691</v>
      </c>
    </row>
    <row r="897" spans="1:6">
      <c r="A897">
        <v>117008</v>
      </c>
      <c r="B897" t="s">
        <v>32</v>
      </c>
      <c r="C897" t="s">
        <v>9</v>
      </c>
      <c r="D897" t="s">
        <v>684</v>
      </c>
      <c r="E897" t="s">
        <v>49</v>
      </c>
      <c r="F897" t="s">
        <v>692</v>
      </c>
    </row>
    <row r="898" spans="1:6">
      <c r="A898">
        <v>117009</v>
      </c>
      <c r="B898" t="s">
        <v>32</v>
      </c>
      <c r="C898" t="s">
        <v>9</v>
      </c>
      <c r="D898" t="s">
        <v>684</v>
      </c>
      <c r="E898" t="s">
        <v>49</v>
      </c>
      <c r="F898" t="s">
        <v>693</v>
      </c>
    </row>
    <row r="899" spans="1:6">
      <c r="A899">
        <v>117010</v>
      </c>
      <c r="B899" t="s">
        <v>32</v>
      </c>
      <c r="C899" t="s">
        <v>9</v>
      </c>
      <c r="D899" t="s">
        <v>684</v>
      </c>
      <c r="E899" t="s">
        <v>49</v>
      </c>
      <c r="F899" t="s">
        <v>694</v>
      </c>
    </row>
    <row r="900" spans="1:6">
      <c r="A900">
        <v>117011</v>
      </c>
      <c r="B900" t="s">
        <v>32</v>
      </c>
      <c r="C900" t="s">
        <v>9</v>
      </c>
      <c r="D900" t="s">
        <v>684</v>
      </c>
      <c r="E900" t="s">
        <v>49</v>
      </c>
      <c r="F900" t="s">
        <v>695</v>
      </c>
    </row>
    <row r="901" spans="1:6">
      <c r="A901">
        <v>117012</v>
      </c>
      <c r="B901" t="s">
        <v>32</v>
      </c>
      <c r="C901" t="s">
        <v>9</v>
      </c>
      <c r="D901" t="s">
        <v>684</v>
      </c>
      <c r="E901" t="s">
        <v>49</v>
      </c>
      <c r="F901" t="s">
        <v>696</v>
      </c>
    </row>
    <row r="902" spans="1:6">
      <c r="A902">
        <v>117013</v>
      </c>
      <c r="B902" t="s">
        <v>32</v>
      </c>
      <c r="C902" t="s">
        <v>9</v>
      </c>
      <c r="D902" t="s">
        <v>684</v>
      </c>
      <c r="E902" t="s">
        <v>120</v>
      </c>
      <c r="F902" t="s">
        <v>697</v>
      </c>
    </row>
    <row r="903" spans="1:6">
      <c r="A903">
        <v>117014</v>
      </c>
      <c r="B903" t="s">
        <v>32</v>
      </c>
      <c r="C903" t="s">
        <v>9</v>
      </c>
      <c r="D903" t="s">
        <v>684</v>
      </c>
      <c r="E903" t="s">
        <v>49</v>
      </c>
      <c r="F903" t="s">
        <v>698</v>
      </c>
    </row>
    <row r="904" spans="1:6">
      <c r="A904">
        <v>117015</v>
      </c>
      <c r="B904" t="s">
        <v>32</v>
      </c>
      <c r="C904" t="s">
        <v>9</v>
      </c>
      <c r="D904" t="s">
        <v>684</v>
      </c>
      <c r="E904" t="s">
        <v>49</v>
      </c>
      <c r="F904" t="s">
        <v>699</v>
      </c>
    </row>
    <row r="905" spans="1:6">
      <c r="A905">
        <v>117016</v>
      </c>
      <c r="B905" t="s">
        <v>32</v>
      </c>
      <c r="C905" t="s">
        <v>9</v>
      </c>
      <c r="D905" t="s">
        <v>684</v>
      </c>
      <c r="E905" t="s">
        <v>49</v>
      </c>
      <c r="F905" t="s">
        <v>700</v>
      </c>
    </row>
    <row r="906" spans="1:6">
      <c r="A906">
        <v>117017</v>
      </c>
      <c r="B906" t="s">
        <v>32</v>
      </c>
      <c r="C906" t="s">
        <v>9</v>
      </c>
      <c r="D906" t="s">
        <v>684</v>
      </c>
      <c r="E906" t="s">
        <v>49</v>
      </c>
      <c r="F906" t="s">
        <v>701</v>
      </c>
    </row>
    <row r="907" spans="1:6">
      <c r="A907">
        <v>117018</v>
      </c>
      <c r="B907" t="s">
        <v>32</v>
      </c>
      <c r="C907" t="s">
        <v>9</v>
      </c>
      <c r="D907" t="s">
        <v>684</v>
      </c>
      <c r="E907" t="s">
        <v>49</v>
      </c>
      <c r="F907" t="s">
        <v>702</v>
      </c>
    </row>
    <row r="908" spans="1:6">
      <c r="A908">
        <v>117019</v>
      </c>
      <c r="B908" t="s">
        <v>32</v>
      </c>
      <c r="C908" t="s">
        <v>9</v>
      </c>
      <c r="D908" t="s">
        <v>684</v>
      </c>
      <c r="E908" t="s">
        <v>49</v>
      </c>
      <c r="F908" t="s">
        <v>703</v>
      </c>
    </row>
    <row r="909" spans="1:6">
      <c r="A909">
        <v>117020</v>
      </c>
      <c r="B909" t="s">
        <v>32</v>
      </c>
      <c r="C909" t="s">
        <v>9</v>
      </c>
      <c r="D909" t="s">
        <v>684</v>
      </c>
      <c r="E909" t="s">
        <v>49</v>
      </c>
      <c r="F909" t="s">
        <v>704</v>
      </c>
    </row>
    <row r="910" spans="1:6">
      <c r="A910">
        <v>117021</v>
      </c>
      <c r="B910" t="s">
        <v>32</v>
      </c>
      <c r="C910" t="s">
        <v>9</v>
      </c>
      <c r="D910" t="s">
        <v>684</v>
      </c>
      <c r="E910" t="s">
        <v>120</v>
      </c>
      <c r="F910" t="s">
        <v>705</v>
      </c>
    </row>
    <row r="911" spans="1:6">
      <c r="A911">
        <v>117022</v>
      </c>
      <c r="B911" t="s">
        <v>32</v>
      </c>
      <c r="C911" t="s">
        <v>9</v>
      </c>
      <c r="D911" t="s">
        <v>684</v>
      </c>
      <c r="E911" t="s">
        <v>49</v>
      </c>
      <c r="F911" t="s">
        <v>706</v>
      </c>
    </row>
    <row r="912" spans="1:6">
      <c r="A912">
        <v>117023</v>
      </c>
      <c r="B912" t="s">
        <v>32</v>
      </c>
      <c r="C912" t="s">
        <v>9</v>
      </c>
      <c r="D912" t="s">
        <v>684</v>
      </c>
      <c r="E912" t="s">
        <v>49</v>
      </c>
      <c r="F912" t="s">
        <v>707</v>
      </c>
    </row>
    <row r="913" spans="1:6">
      <c r="A913">
        <v>117024</v>
      </c>
      <c r="B913" t="s">
        <v>32</v>
      </c>
      <c r="C913" t="s">
        <v>9</v>
      </c>
      <c r="D913" t="s">
        <v>684</v>
      </c>
      <c r="E913" t="s">
        <v>49</v>
      </c>
      <c r="F913" t="s">
        <v>708</v>
      </c>
    </row>
    <row r="914" spans="1:6">
      <c r="A914">
        <v>117025</v>
      </c>
      <c r="B914" t="s">
        <v>32</v>
      </c>
      <c r="C914" t="s">
        <v>9</v>
      </c>
      <c r="D914" t="s">
        <v>684</v>
      </c>
      <c r="E914" t="s">
        <v>49</v>
      </c>
      <c r="F914" t="s">
        <v>709</v>
      </c>
    </row>
    <row r="915" spans="1:6">
      <c r="B915" t="s">
        <v>32</v>
      </c>
      <c r="C915" t="s">
        <v>9</v>
      </c>
      <c r="D915" t="s">
        <v>684</v>
      </c>
      <c r="E915" t="s">
        <v>49</v>
      </c>
      <c r="F915" t="s">
        <v>57</v>
      </c>
    </row>
    <row r="916" spans="1:6">
      <c r="B916" t="s">
        <v>32</v>
      </c>
      <c r="C916" t="s">
        <v>9</v>
      </c>
      <c r="D916" t="s">
        <v>684</v>
      </c>
      <c r="E916" t="s">
        <v>58</v>
      </c>
      <c r="F916" t="s">
        <v>59</v>
      </c>
    </row>
    <row r="917" spans="1:6">
      <c r="A917">
        <v>118000</v>
      </c>
      <c r="B917" t="s">
        <v>32</v>
      </c>
      <c r="C917" t="s">
        <v>9</v>
      </c>
      <c r="D917" t="s">
        <v>710</v>
      </c>
      <c r="E917" t="s">
        <v>119</v>
      </c>
      <c r="F917" t="s">
        <v>710</v>
      </c>
    </row>
    <row r="918" spans="1:6">
      <c r="A918">
        <v>118001</v>
      </c>
      <c r="B918" t="s">
        <v>32</v>
      </c>
      <c r="C918" t="s">
        <v>9</v>
      </c>
      <c r="D918" t="s">
        <v>710</v>
      </c>
      <c r="E918" t="s">
        <v>120</v>
      </c>
      <c r="F918" t="s">
        <v>685</v>
      </c>
    </row>
    <row r="919" spans="1:6">
      <c r="A919">
        <v>118002</v>
      </c>
      <c r="B919" t="s">
        <v>32</v>
      </c>
      <c r="C919" t="s">
        <v>9</v>
      </c>
      <c r="D919" t="s">
        <v>710</v>
      </c>
      <c r="E919" t="s">
        <v>49</v>
      </c>
      <c r="F919" t="s">
        <v>711</v>
      </c>
    </row>
    <row r="920" spans="1:6">
      <c r="A920">
        <v>118003</v>
      </c>
      <c r="B920" t="s">
        <v>32</v>
      </c>
      <c r="C920" t="s">
        <v>9</v>
      </c>
      <c r="D920" t="s">
        <v>710</v>
      </c>
      <c r="E920" t="s">
        <v>49</v>
      </c>
      <c r="F920" t="s">
        <v>712</v>
      </c>
    </row>
    <row r="921" spans="1:6">
      <c r="A921">
        <v>118004</v>
      </c>
      <c r="B921" t="s">
        <v>32</v>
      </c>
      <c r="C921" t="s">
        <v>9</v>
      </c>
      <c r="D921" t="s">
        <v>710</v>
      </c>
      <c r="E921" t="s">
        <v>49</v>
      </c>
      <c r="F921" t="s">
        <v>713</v>
      </c>
    </row>
    <row r="922" spans="1:6">
      <c r="A922">
        <v>118005</v>
      </c>
      <c r="B922" t="s">
        <v>32</v>
      </c>
      <c r="C922" t="s">
        <v>9</v>
      </c>
      <c r="D922" t="s">
        <v>710</v>
      </c>
      <c r="E922" t="s">
        <v>49</v>
      </c>
      <c r="F922" t="s">
        <v>714</v>
      </c>
    </row>
    <row r="923" spans="1:6">
      <c r="A923">
        <v>118006</v>
      </c>
      <c r="B923" t="s">
        <v>32</v>
      </c>
      <c r="C923" t="s">
        <v>9</v>
      </c>
      <c r="D923" t="s">
        <v>710</v>
      </c>
      <c r="E923" t="s">
        <v>120</v>
      </c>
      <c r="F923" t="s">
        <v>690</v>
      </c>
    </row>
    <row r="924" spans="1:6">
      <c r="A924">
        <v>118007</v>
      </c>
      <c r="B924" t="s">
        <v>32</v>
      </c>
      <c r="C924" t="s">
        <v>9</v>
      </c>
      <c r="D924" t="s">
        <v>710</v>
      </c>
      <c r="E924" t="s">
        <v>49</v>
      </c>
      <c r="F924" t="s">
        <v>715</v>
      </c>
    </row>
    <row r="925" spans="1:6">
      <c r="A925">
        <v>118008</v>
      </c>
      <c r="B925" t="s">
        <v>32</v>
      </c>
      <c r="C925" t="s">
        <v>9</v>
      </c>
      <c r="D925" t="s">
        <v>710</v>
      </c>
      <c r="E925" t="s">
        <v>49</v>
      </c>
      <c r="F925" t="s">
        <v>716</v>
      </c>
    </row>
    <row r="926" spans="1:6">
      <c r="A926">
        <v>118009</v>
      </c>
      <c r="B926" t="s">
        <v>32</v>
      </c>
      <c r="C926" t="s">
        <v>9</v>
      </c>
      <c r="D926" t="s">
        <v>710</v>
      </c>
      <c r="E926" t="s">
        <v>49</v>
      </c>
      <c r="F926" t="s">
        <v>717</v>
      </c>
    </row>
    <row r="927" spans="1:6">
      <c r="A927">
        <v>118010</v>
      </c>
      <c r="B927" t="s">
        <v>32</v>
      </c>
      <c r="C927" t="s">
        <v>9</v>
      </c>
      <c r="D927" t="s">
        <v>710</v>
      </c>
      <c r="E927" t="s">
        <v>49</v>
      </c>
      <c r="F927" t="s">
        <v>718</v>
      </c>
    </row>
    <row r="928" spans="1:6">
      <c r="A928">
        <v>118011</v>
      </c>
      <c r="B928" t="s">
        <v>32</v>
      </c>
      <c r="C928" t="s">
        <v>9</v>
      </c>
      <c r="D928" t="s">
        <v>710</v>
      </c>
      <c r="E928" t="s">
        <v>49</v>
      </c>
      <c r="F928" t="s">
        <v>719</v>
      </c>
    </row>
    <row r="929" spans="1:6">
      <c r="A929">
        <v>118012</v>
      </c>
      <c r="B929" t="s">
        <v>32</v>
      </c>
      <c r="C929" t="s">
        <v>9</v>
      </c>
      <c r="D929" t="s">
        <v>710</v>
      </c>
      <c r="E929" t="s">
        <v>49</v>
      </c>
      <c r="F929" t="s">
        <v>720</v>
      </c>
    </row>
    <row r="930" spans="1:6">
      <c r="A930">
        <v>118013</v>
      </c>
      <c r="B930" t="s">
        <v>32</v>
      </c>
      <c r="C930" t="s">
        <v>9</v>
      </c>
      <c r="D930" t="s">
        <v>710</v>
      </c>
      <c r="E930" t="s">
        <v>49</v>
      </c>
      <c r="F930" t="s">
        <v>721</v>
      </c>
    </row>
    <row r="931" spans="1:6">
      <c r="A931">
        <v>118014</v>
      </c>
      <c r="B931" t="s">
        <v>32</v>
      </c>
      <c r="C931" t="s">
        <v>9</v>
      </c>
      <c r="D931" t="s">
        <v>710</v>
      </c>
      <c r="E931" t="s">
        <v>49</v>
      </c>
      <c r="F931" t="s">
        <v>722</v>
      </c>
    </row>
    <row r="932" spans="1:6">
      <c r="A932">
        <v>118015</v>
      </c>
      <c r="B932" t="s">
        <v>32</v>
      </c>
      <c r="C932" t="s">
        <v>9</v>
      </c>
      <c r="D932" t="s">
        <v>710</v>
      </c>
      <c r="E932" t="s">
        <v>120</v>
      </c>
      <c r="F932" t="s">
        <v>697</v>
      </c>
    </row>
    <row r="933" spans="1:6">
      <c r="A933">
        <v>118016</v>
      </c>
      <c r="B933" t="s">
        <v>32</v>
      </c>
      <c r="C933" t="s">
        <v>9</v>
      </c>
      <c r="D933" t="s">
        <v>710</v>
      </c>
      <c r="E933" t="s">
        <v>49</v>
      </c>
      <c r="F933" t="s">
        <v>723</v>
      </c>
    </row>
    <row r="934" spans="1:6">
      <c r="A934">
        <v>118017</v>
      </c>
      <c r="B934" t="s">
        <v>32</v>
      </c>
      <c r="C934" t="s">
        <v>9</v>
      </c>
      <c r="D934" t="s">
        <v>710</v>
      </c>
      <c r="E934" t="s">
        <v>49</v>
      </c>
      <c r="F934" t="s">
        <v>724</v>
      </c>
    </row>
    <row r="935" spans="1:6">
      <c r="A935">
        <v>118018</v>
      </c>
      <c r="B935" t="s">
        <v>32</v>
      </c>
      <c r="C935" t="s">
        <v>9</v>
      </c>
      <c r="D935" t="s">
        <v>710</v>
      </c>
      <c r="E935" t="s">
        <v>49</v>
      </c>
      <c r="F935" t="s">
        <v>725</v>
      </c>
    </row>
    <row r="936" spans="1:6">
      <c r="A936">
        <v>118019</v>
      </c>
      <c r="B936" t="s">
        <v>32</v>
      </c>
      <c r="C936" t="s">
        <v>9</v>
      </c>
      <c r="D936" t="s">
        <v>710</v>
      </c>
      <c r="E936" t="s">
        <v>49</v>
      </c>
      <c r="F936" t="s">
        <v>726</v>
      </c>
    </row>
    <row r="937" spans="1:6">
      <c r="A937">
        <v>118020</v>
      </c>
      <c r="B937" t="s">
        <v>32</v>
      </c>
      <c r="C937" t="s">
        <v>9</v>
      </c>
      <c r="D937" t="s">
        <v>710</v>
      </c>
      <c r="E937" t="s">
        <v>49</v>
      </c>
      <c r="F937" t="s">
        <v>727</v>
      </c>
    </row>
    <row r="938" spans="1:6">
      <c r="A938">
        <v>118021</v>
      </c>
      <c r="B938" t="s">
        <v>32</v>
      </c>
      <c r="C938" t="s">
        <v>9</v>
      </c>
      <c r="D938" t="s">
        <v>710</v>
      </c>
      <c r="E938" t="s">
        <v>49</v>
      </c>
      <c r="F938" t="s">
        <v>728</v>
      </c>
    </row>
    <row r="939" spans="1:6">
      <c r="A939">
        <v>118022</v>
      </c>
      <c r="B939" t="s">
        <v>32</v>
      </c>
      <c r="C939" t="s">
        <v>9</v>
      </c>
      <c r="D939" t="s">
        <v>710</v>
      </c>
      <c r="E939" t="s">
        <v>49</v>
      </c>
      <c r="F939" t="s">
        <v>729</v>
      </c>
    </row>
    <row r="940" spans="1:6">
      <c r="A940">
        <v>118023</v>
      </c>
      <c r="B940" t="s">
        <v>32</v>
      </c>
      <c r="C940" t="s">
        <v>9</v>
      </c>
      <c r="D940" t="s">
        <v>710</v>
      </c>
      <c r="E940" t="s">
        <v>120</v>
      </c>
      <c r="F940" t="s">
        <v>705</v>
      </c>
    </row>
    <row r="941" spans="1:6">
      <c r="A941">
        <v>118024</v>
      </c>
      <c r="B941" t="s">
        <v>32</v>
      </c>
      <c r="C941" t="s">
        <v>9</v>
      </c>
      <c r="D941" t="s">
        <v>710</v>
      </c>
      <c r="E941" t="s">
        <v>49</v>
      </c>
      <c r="F941" t="s">
        <v>730</v>
      </c>
    </row>
    <row r="942" spans="1:6">
      <c r="A942">
        <v>118025</v>
      </c>
      <c r="B942" t="s">
        <v>32</v>
      </c>
      <c r="C942" t="s">
        <v>9</v>
      </c>
      <c r="D942" t="s">
        <v>710</v>
      </c>
      <c r="E942" t="s">
        <v>49</v>
      </c>
      <c r="F942" t="s">
        <v>731</v>
      </c>
    </row>
    <row r="943" spans="1:6">
      <c r="A943">
        <v>118026</v>
      </c>
      <c r="B943" t="s">
        <v>32</v>
      </c>
      <c r="C943" t="s">
        <v>9</v>
      </c>
      <c r="D943" t="s">
        <v>710</v>
      </c>
      <c r="E943" t="s">
        <v>49</v>
      </c>
      <c r="F943" t="s">
        <v>732</v>
      </c>
    </row>
    <row r="944" spans="1:6">
      <c r="B944" t="s">
        <v>32</v>
      </c>
      <c r="C944" t="s">
        <v>9</v>
      </c>
      <c r="D944" t="s">
        <v>710</v>
      </c>
      <c r="E944" t="s">
        <v>49</v>
      </c>
      <c r="F944" t="s">
        <v>57</v>
      </c>
    </row>
    <row r="945" spans="1:6">
      <c r="B945" t="s">
        <v>32</v>
      </c>
      <c r="C945" t="s">
        <v>9</v>
      </c>
      <c r="D945" t="s">
        <v>710</v>
      </c>
      <c r="E945" t="s">
        <v>58</v>
      </c>
      <c r="F945" t="s">
        <v>59</v>
      </c>
    </row>
    <row r="946" spans="1:6">
      <c r="A946">
        <v>119000</v>
      </c>
      <c r="B946" t="s">
        <v>32</v>
      </c>
      <c r="C946" t="s">
        <v>9</v>
      </c>
      <c r="D946" t="s">
        <v>733</v>
      </c>
      <c r="E946" t="s">
        <v>119</v>
      </c>
      <c r="F946" t="s">
        <v>733</v>
      </c>
    </row>
    <row r="947" spans="1:6">
      <c r="A947">
        <v>119001</v>
      </c>
      <c r="B947" t="s">
        <v>32</v>
      </c>
      <c r="C947" t="s">
        <v>9</v>
      </c>
      <c r="D947" t="s">
        <v>733</v>
      </c>
      <c r="E947" t="s">
        <v>120</v>
      </c>
      <c r="F947" t="s">
        <v>685</v>
      </c>
    </row>
    <row r="948" spans="1:6">
      <c r="A948">
        <v>119002</v>
      </c>
      <c r="B948" t="s">
        <v>32</v>
      </c>
      <c r="C948" t="s">
        <v>9</v>
      </c>
      <c r="D948" t="s">
        <v>733</v>
      </c>
      <c r="E948" t="s">
        <v>49</v>
      </c>
      <c r="F948" t="s">
        <v>734</v>
      </c>
    </row>
    <row r="949" spans="1:6">
      <c r="A949">
        <v>119003</v>
      </c>
      <c r="B949" t="s">
        <v>32</v>
      </c>
      <c r="C949" t="s">
        <v>9</v>
      </c>
      <c r="D949" t="s">
        <v>733</v>
      </c>
      <c r="E949" t="s">
        <v>49</v>
      </c>
      <c r="F949" t="s">
        <v>735</v>
      </c>
    </row>
    <row r="950" spans="1:6">
      <c r="A950">
        <v>119004</v>
      </c>
      <c r="B950" t="s">
        <v>32</v>
      </c>
      <c r="C950" t="s">
        <v>9</v>
      </c>
      <c r="D950" t="s">
        <v>733</v>
      </c>
      <c r="E950" t="s">
        <v>49</v>
      </c>
      <c r="F950" t="s">
        <v>736</v>
      </c>
    </row>
    <row r="951" spans="1:6">
      <c r="A951">
        <v>119005</v>
      </c>
      <c r="B951" t="s">
        <v>32</v>
      </c>
      <c r="C951" t="s">
        <v>9</v>
      </c>
      <c r="D951" t="s">
        <v>733</v>
      </c>
      <c r="E951" t="s">
        <v>120</v>
      </c>
      <c r="F951" t="s">
        <v>690</v>
      </c>
    </row>
    <row r="952" spans="1:6">
      <c r="A952">
        <v>119006</v>
      </c>
      <c r="B952" t="s">
        <v>32</v>
      </c>
      <c r="C952" t="s">
        <v>9</v>
      </c>
      <c r="D952" t="s">
        <v>733</v>
      </c>
      <c r="E952" t="s">
        <v>49</v>
      </c>
      <c r="F952" t="s">
        <v>737</v>
      </c>
    </row>
    <row r="953" spans="1:6">
      <c r="A953">
        <v>119007</v>
      </c>
      <c r="B953" t="s">
        <v>32</v>
      </c>
      <c r="C953" t="s">
        <v>9</v>
      </c>
      <c r="D953" t="s">
        <v>733</v>
      </c>
      <c r="E953" t="s">
        <v>49</v>
      </c>
      <c r="F953" t="s">
        <v>738</v>
      </c>
    </row>
    <row r="954" spans="1:6">
      <c r="A954">
        <v>119008</v>
      </c>
      <c r="B954" t="s">
        <v>32</v>
      </c>
      <c r="C954" t="s">
        <v>9</v>
      </c>
      <c r="D954" t="s">
        <v>733</v>
      </c>
      <c r="E954" t="s">
        <v>49</v>
      </c>
      <c r="F954" t="s">
        <v>722</v>
      </c>
    </row>
    <row r="955" spans="1:6">
      <c r="A955">
        <v>119009</v>
      </c>
      <c r="B955" t="s">
        <v>32</v>
      </c>
      <c r="C955" t="s">
        <v>9</v>
      </c>
      <c r="D955" t="s">
        <v>733</v>
      </c>
      <c r="E955" t="s">
        <v>120</v>
      </c>
      <c r="F955" t="s">
        <v>697</v>
      </c>
    </row>
    <row r="956" spans="1:6">
      <c r="A956">
        <v>119010</v>
      </c>
      <c r="B956" t="s">
        <v>32</v>
      </c>
      <c r="C956" t="s">
        <v>9</v>
      </c>
      <c r="D956" t="s">
        <v>733</v>
      </c>
      <c r="E956" t="s">
        <v>49</v>
      </c>
      <c r="F956" t="s">
        <v>739</v>
      </c>
    </row>
    <row r="957" spans="1:6">
      <c r="A957">
        <v>119011</v>
      </c>
      <c r="B957" t="s">
        <v>32</v>
      </c>
      <c r="C957" t="s">
        <v>9</v>
      </c>
      <c r="D957" t="s">
        <v>733</v>
      </c>
      <c r="E957" t="s">
        <v>49</v>
      </c>
      <c r="F957" t="s">
        <v>729</v>
      </c>
    </row>
    <row r="958" spans="1:6">
      <c r="A958">
        <v>119012</v>
      </c>
      <c r="B958" t="s">
        <v>32</v>
      </c>
      <c r="C958" t="s">
        <v>9</v>
      </c>
      <c r="D958" t="s">
        <v>733</v>
      </c>
      <c r="E958" t="s">
        <v>120</v>
      </c>
      <c r="F958" t="s">
        <v>705</v>
      </c>
    </row>
    <row r="959" spans="1:6">
      <c r="A959">
        <v>119013</v>
      </c>
      <c r="B959" t="s">
        <v>32</v>
      </c>
      <c r="C959" t="s">
        <v>9</v>
      </c>
      <c r="D959" t="s">
        <v>733</v>
      </c>
      <c r="E959" t="s">
        <v>49</v>
      </c>
      <c r="F959" t="s">
        <v>732</v>
      </c>
    </row>
    <row r="960" spans="1:6">
      <c r="B960" t="s">
        <v>32</v>
      </c>
      <c r="C960" t="s">
        <v>9</v>
      </c>
      <c r="D960" t="s">
        <v>733</v>
      </c>
      <c r="E960" t="s">
        <v>49</v>
      </c>
      <c r="F960" t="s">
        <v>57</v>
      </c>
    </row>
    <row r="961" spans="1:6">
      <c r="B961" t="s">
        <v>32</v>
      </c>
      <c r="C961" t="s">
        <v>9</v>
      </c>
      <c r="D961" t="s">
        <v>733</v>
      </c>
      <c r="E961" t="s">
        <v>58</v>
      </c>
      <c r="F961" t="s">
        <v>59</v>
      </c>
    </row>
    <row r="962" spans="1:6">
      <c r="A962">
        <v>120000</v>
      </c>
      <c r="B962" t="s">
        <v>32</v>
      </c>
      <c r="C962" t="s">
        <v>9</v>
      </c>
      <c r="D962" t="s">
        <v>740</v>
      </c>
      <c r="E962" t="s">
        <v>119</v>
      </c>
      <c r="F962" t="s">
        <v>740</v>
      </c>
    </row>
    <row r="963" spans="1:6">
      <c r="A963">
        <v>120001</v>
      </c>
      <c r="B963" t="s">
        <v>32</v>
      </c>
      <c r="C963" t="s">
        <v>9</v>
      </c>
      <c r="D963" t="s">
        <v>740</v>
      </c>
      <c r="E963" t="s">
        <v>120</v>
      </c>
      <c r="F963" t="s">
        <v>685</v>
      </c>
    </row>
    <row r="964" spans="1:6">
      <c r="A964">
        <v>120002</v>
      </c>
      <c r="B964" t="s">
        <v>32</v>
      </c>
      <c r="C964" t="s">
        <v>9</v>
      </c>
      <c r="D964" t="s">
        <v>740</v>
      </c>
      <c r="E964" t="s">
        <v>49</v>
      </c>
      <c r="F964" t="s">
        <v>734</v>
      </c>
    </row>
    <row r="965" spans="1:6">
      <c r="A965">
        <v>120003</v>
      </c>
      <c r="B965" t="s">
        <v>32</v>
      </c>
      <c r="C965" t="s">
        <v>9</v>
      </c>
      <c r="D965" t="s">
        <v>740</v>
      </c>
      <c r="E965" t="s">
        <v>49</v>
      </c>
      <c r="F965" t="s">
        <v>741</v>
      </c>
    </row>
    <row r="966" spans="1:6">
      <c r="A966">
        <v>120004</v>
      </c>
      <c r="B966" t="s">
        <v>32</v>
      </c>
      <c r="C966" t="s">
        <v>9</v>
      </c>
      <c r="D966" t="s">
        <v>740</v>
      </c>
      <c r="E966" t="s">
        <v>49</v>
      </c>
      <c r="F966" t="s">
        <v>736</v>
      </c>
    </row>
    <row r="967" spans="1:6">
      <c r="A967">
        <v>120005</v>
      </c>
      <c r="B967" t="s">
        <v>32</v>
      </c>
      <c r="C967" t="s">
        <v>9</v>
      </c>
      <c r="D967" t="s">
        <v>740</v>
      </c>
      <c r="E967" t="s">
        <v>120</v>
      </c>
      <c r="F967" t="s">
        <v>690</v>
      </c>
    </row>
    <row r="968" spans="1:6">
      <c r="A968">
        <v>120006</v>
      </c>
      <c r="B968" t="s">
        <v>32</v>
      </c>
      <c r="C968" t="s">
        <v>9</v>
      </c>
      <c r="D968" t="s">
        <v>740</v>
      </c>
      <c r="E968" t="s">
        <v>49</v>
      </c>
      <c r="F968" t="s">
        <v>742</v>
      </c>
    </row>
    <row r="969" spans="1:6">
      <c r="A969">
        <v>120007</v>
      </c>
      <c r="B969" t="s">
        <v>32</v>
      </c>
      <c r="C969" t="s">
        <v>9</v>
      </c>
      <c r="D969" t="s">
        <v>740</v>
      </c>
      <c r="E969" t="s">
        <v>49</v>
      </c>
      <c r="F969" t="s">
        <v>743</v>
      </c>
    </row>
    <row r="970" spans="1:6">
      <c r="A970">
        <v>120008</v>
      </c>
      <c r="B970" t="s">
        <v>32</v>
      </c>
      <c r="C970" t="s">
        <v>9</v>
      </c>
      <c r="D970" t="s">
        <v>740</v>
      </c>
      <c r="E970" t="s">
        <v>49</v>
      </c>
      <c r="F970" t="s">
        <v>744</v>
      </c>
    </row>
    <row r="971" spans="1:6">
      <c r="B971" t="s">
        <v>32</v>
      </c>
      <c r="C971" t="s">
        <v>9</v>
      </c>
      <c r="D971" t="s">
        <v>740</v>
      </c>
      <c r="E971" t="s">
        <v>49</v>
      </c>
      <c r="F971" t="s">
        <v>57</v>
      </c>
    </row>
    <row r="972" spans="1:6">
      <c r="B972" t="s">
        <v>32</v>
      </c>
      <c r="C972" t="s">
        <v>9</v>
      </c>
      <c r="D972" t="s">
        <v>740</v>
      </c>
      <c r="E972" t="s">
        <v>58</v>
      </c>
      <c r="F972" t="s">
        <v>59</v>
      </c>
    </row>
    <row r="973" spans="1:6">
      <c r="A973">
        <v>121000</v>
      </c>
      <c r="B973" t="s">
        <v>32</v>
      </c>
      <c r="C973" t="s">
        <v>9</v>
      </c>
      <c r="D973" t="s">
        <v>745</v>
      </c>
      <c r="E973" t="s">
        <v>119</v>
      </c>
      <c r="F973" t="s">
        <v>745</v>
      </c>
    </row>
    <row r="974" spans="1:6">
      <c r="A974">
        <v>121001</v>
      </c>
      <c r="B974" t="s">
        <v>32</v>
      </c>
      <c r="C974" t="s">
        <v>9</v>
      </c>
      <c r="D974" t="s">
        <v>745</v>
      </c>
      <c r="E974" t="s">
        <v>120</v>
      </c>
      <c r="F974" t="s">
        <v>685</v>
      </c>
    </row>
    <row r="975" spans="1:6">
      <c r="A975">
        <v>121002</v>
      </c>
      <c r="B975" t="s">
        <v>32</v>
      </c>
      <c r="C975" t="s">
        <v>9</v>
      </c>
      <c r="D975" t="s">
        <v>745</v>
      </c>
      <c r="E975" t="s">
        <v>49</v>
      </c>
      <c r="F975" t="s">
        <v>734</v>
      </c>
    </row>
    <row r="976" spans="1:6">
      <c r="A976">
        <v>121003</v>
      </c>
      <c r="B976" t="s">
        <v>32</v>
      </c>
      <c r="C976" t="s">
        <v>9</v>
      </c>
      <c r="D976" t="s">
        <v>745</v>
      </c>
      <c r="E976" t="s">
        <v>49</v>
      </c>
      <c r="F976" t="s">
        <v>741</v>
      </c>
    </row>
    <row r="977" spans="1:6">
      <c r="A977">
        <v>121004</v>
      </c>
      <c r="B977" t="s">
        <v>32</v>
      </c>
      <c r="C977" t="s">
        <v>9</v>
      </c>
      <c r="D977" t="s">
        <v>745</v>
      </c>
      <c r="E977" t="s">
        <v>49</v>
      </c>
      <c r="F977" t="s">
        <v>736</v>
      </c>
    </row>
    <row r="978" spans="1:6">
      <c r="A978">
        <v>121005</v>
      </c>
      <c r="B978" t="s">
        <v>32</v>
      </c>
      <c r="C978" t="s">
        <v>9</v>
      </c>
      <c r="D978" t="s">
        <v>745</v>
      </c>
      <c r="E978" t="s">
        <v>120</v>
      </c>
      <c r="F978" t="s">
        <v>690</v>
      </c>
    </row>
    <row r="979" spans="1:6">
      <c r="A979">
        <v>121006</v>
      </c>
      <c r="B979" t="s">
        <v>32</v>
      </c>
      <c r="C979" t="s">
        <v>9</v>
      </c>
      <c r="D979" t="s">
        <v>745</v>
      </c>
      <c r="E979" t="s">
        <v>49</v>
      </c>
      <c r="F979" t="s">
        <v>737</v>
      </c>
    </row>
    <row r="980" spans="1:6">
      <c r="A980">
        <v>121007</v>
      </c>
      <c r="B980" t="s">
        <v>32</v>
      </c>
      <c r="C980" t="s">
        <v>9</v>
      </c>
      <c r="D980" t="s">
        <v>745</v>
      </c>
      <c r="E980" t="s">
        <v>49</v>
      </c>
      <c r="F980" t="s">
        <v>738</v>
      </c>
    </row>
    <row r="981" spans="1:6">
      <c r="A981">
        <v>121008</v>
      </c>
      <c r="B981" t="s">
        <v>32</v>
      </c>
      <c r="C981" t="s">
        <v>9</v>
      </c>
      <c r="D981" t="s">
        <v>745</v>
      </c>
      <c r="E981" t="s">
        <v>49</v>
      </c>
      <c r="F981" t="s">
        <v>722</v>
      </c>
    </row>
    <row r="982" spans="1:6">
      <c r="A982">
        <v>121009</v>
      </c>
      <c r="B982" t="s">
        <v>32</v>
      </c>
      <c r="C982" t="s">
        <v>9</v>
      </c>
      <c r="D982" t="s">
        <v>745</v>
      </c>
      <c r="E982" t="s">
        <v>120</v>
      </c>
      <c r="F982" t="s">
        <v>697</v>
      </c>
    </row>
    <row r="983" spans="1:6">
      <c r="A983">
        <v>121010</v>
      </c>
      <c r="B983" t="s">
        <v>32</v>
      </c>
      <c r="C983" t="s">
        <v>9</v>
      </c>
      <c r="D983" t="s">
        <v>745</v>
      </c>
      <c r="E983" t="s">
        <v>49</v>
      </c>
      <c r="F983" t="s">
        <v>739</v>
      </c>
    </row>
    <row r="984" spans="1:6">
      <c r="A984">
        <v>121011</v>
      </c>
      <c r="B984" t="s">
        <v>32</v>
      </c>
      <c r="C984" t="s">
        <v>9</v>
      </c>
      <c r="D984" t="s">
        <v>745</v>
      </c>
      <c r="E984" t="s">
        <v>49</v>
      </c>
      <c r="F984" t="s">
        <v>729</v>
      </c>
    </row>
    <row r="985" spans="1:6">
      <c r="A985">
        <v>121012</v>
      </c>
      <c r="B985" t="s">
        <v>32</v>
      </c>
      <c r="C985" t="s">
        <v>9</v>
      </c>
      <c r="D985" t="s">
        <v>745</v>
      </c>
      <c r="E985" t="s">
        <v>120</v>
      </c>
      <c r="F985" t="s">
        <v>705</v>
      </c>
    </row>
    <row r="986" spans="1:6">
      <c r="A986">
        <v>121013</v>
      </c>
      <c r="B986" t="s">
        <v>32</v>
      </c>
      <c r="C986" t="s">
        <v>9</v>
      </c>
      <c r="D986" t="s">
        <v>745</v>
      </c>
      <c r="E986" t="s">
        <v>49</v>
      </c>
      <c r="F986" t="s">
        <v>746</v>
      </c>
    </row>
    <row r="987" spans="1:6">
      <c r="A987">
        <v>121014</v>
      </c>
      <c r="B987" t="s">
        <v>32</v>
      </c>
      <c r="C987" t="s">
        <v>9</v>
      </c>
      <c r="D987" t="s">
        <v>745</v>
      </c>
      <c r="E987" t="s">
        <v>49</v>
      </c>
      <c r="F987" t="s">
        <v>747</v>
      </c>
    </row>
    <row r="988" spans="1:6">
      <c r="A988">
        <v>121015</v>
      </c>
      <c r="B988" t="s">
        <v>32</v>
      </c>
      <c r="C988" t="s">
        <v>9</v>
      </c>
      <c r="D988" t="s">
        <v>745</v>
      </c>
      <c r="E988" t="s">
        <v>49</v>
      </c>
      <c r="F988" t="s">
        <v>732</v>
      </c>
    </row>
    <row r="989" spans="1:6">
      <c r="B989" t="s">
        <v>32</v>
      </c>
      <c r="C989" t="s">
        <v>9</v>
      </c>
      <c r="D989" t="s">
        <v>745</v>
      </c>
      <c r="E989" t="s">
        <v>49</v>
      </c>
      <c r="F989" t="s">
        <v>57</v>
      </c>
    </row>
    <row r="990" spans="1:6">
      <c r="B990" t="s">
        <v>32</v>
      </c>
      <c r="C990" t="s">
        <v>9</v>
      </c>
      <c r="D990" t="s">
        <v>745</v>
      </c>
      <c r="E990" t="s">
        <v>58</v>
      </c>
      <c r="F990" t="s">
        <v>59</v>
      </c>
    </row>
    <row r="991" spans="1:6">
      <c r="A991">
        <v>122000</v>
      </c>
      <c r="B991" t="s">
        <v>32</v>
      </c>
      <c r="C991" t="s">
        <v>9</v>
      </c>
      <c r="D991" t="s">
        <v>748</v>
      </c>
      <c r="E991" t="s">
        <v>119</v>
      </c>
      <c r="F991" t="s">
        <v>748</v>
      </c>
    </row>
    <row r="992" spans="1:6">
      <c r="A992">
        <v>122001</v>
      </c>
      <c r="B992" t="s">
        <v>32</v>
      </c>
      <c r="C992" t="s">
        <v>9</v>
      </c>
      <c r="D992" t="s">
        <v>748</v>
      </c>
      <c r="E992" t="s">
        <v>120</v>
      </c>
      <c r="F992" t="s">
        <v>690</v>
      </c>
    </row>
    <row r="993" spans="1:6">
      <c r="A993">
        <v>122002</v>
      </c>
      <c r="B993" t="s">
        <v>32</v>
      </c>
      <c r="C993" t="s">
        <v>9</v>
      </c>
      <c r="D993" t="s">
        <v>748</v>
      </c>
      <c r="E993" t="s">
        <v>49</v>
      </c>
      <c r="F993" t="s">
        <v>749</v>
      </c>
    </row>
    <row r="994" spans="1:6">
      <c r="A994">
        <v>122003</v>
      </c>
      <c r="B994" t="s">
        <v>32</v>
      </c>
      <c r="C994" t="s">
        <v>9</v>
      </c>
      <c r="D994" t="s">
        <v>748</v>
      </c>
      <c r="E994" t="s">
        <v>49</v>
      </c>
      <c r="F994" t="s">
        <v>750</v>
      </c>
    </row>
    <row r="995" spans="1:6">
      <c r="A995">
        <v>122004</v>
      </c>
      <c r="B995" t="s">
        <v>32</v>
      </c>
      <c r="C995" t="s">
        <v>9</v>
      </c>
      <c r="D995" t="s">
        <v>748</v>
      </c>
      <c r="E995" t="s">
        <v>49</v>
      </c>
      <c r="F995" t="s">
        <v>751</v>
      </c>
    </row>
    <row r="996" spans="1:6">
      <c r="A996">
        <v>122005</v>
      </c>
      <c r="B996" t="s">
        <v>32</v>
      </c>
      <c r="C996" t="s">
        <v>9</v>
      </c>
      <c r="D996" t="s">
        <v>748</v>
      </c>
      <c r="E996" t="s">
        <v>49</v>
      </c>
      <c r="F996" t="s">
        <v>752</v>
      </c>
    </row>
    <row r="997" spans="1:6">
      <c r="A997">
        <v>122006</v>
      </c>
      <c r="B997" t="s">
        <v>32</v>
      </c>
      <c r="C997" t="s">
        <v>9</v>
      </c>
      <c r="D997" t="s">
        <v>748</v>
      </c>
      <c r="E997" t="s">
        <v>49</v>
      </c>
      <c r="F997" t="s">
        <v>753</v>
      </c>
    </row>
    <row r="998" spans="1:6">
      <c r="A998">
        <v>122007</v>
      </c>
      <c r="B998" t="s">
        <v>32</v>
      </c>
      <c r="C998" t="s">
        <v>9</v>
      </c>
      <c r="D998" t="s">
        <v>748</v>
      </c>
      <c r="E998" t="s">
        <v>49</v>
      </c>
      <c r="F998" t="s">
        <v>754</v>
      </c>
    </row>
    <row r="999" spans="1:6">
      <c r="A999">
        <v>122008</v>
      </c>
      <c r="B999" t="s">
        <v>32</v>
      </c>
      <c r="C999" t="s">
        <v>9</v>
      </c>
      <c r="D999" t="s">
        <v>748</v>
      </c>
      <c r="E999" t="s">
        <v>49</v>
      </c>
      <c r="F999" t="s">
        <v>755</v>
      </c>
    </row>
    <row r="1000" spans="1:6">
      <c r="A1000">
        <v>122009</v>
      </c>
      <c r="B1000" t="s">
        <v>32</v>
      </c>
      <c r="C1000" t="s">
        <v>9</v>
      </c>
      <c r="D1000" t="s">
        <v>748</v>
      </c>
      <c r="E1000" t="s">
        <v>49</v>
      </c>
      <c r="F1000" t="s">
        <v>756</v>
      </c>
    </row>
    <row r="1001" spans="1:6">
      <c r="A1001">
        <v>122010</v>
      </c>
      <c r="B1001" t="s">
        <v>32</v>
      </c>
      <c r="C1001" t="s">
        <v>9</v>
      </c>
      <c r="D1001" t="s">
        <v>748</v>
      </c>
      <c r="E1001" t="s">
        <v>49</v>
      </c>
      <c r="F1001" t="s">
        <v>757</v>
      </c>
    </row>
    <row r="1002" spans="1:6">
      <c r="A1002">
        <v>122011</v>
      </c>
      <c r="B1002" t="s">
        <v>32</v>
      </c>
      <c r="C1002" t="s">
        <v>9</v>
      </c>
      <c r="D1002" t="s">
        <v>748</v>
      </c>
      <c r="E1002" t="s">
        <v>49</v>
      </c>
      <c r="F1002" t="s">
        <v>758</v>
      </c>
    </row>
    <row r="1003" spans="1:6">
      <c r="A1003">
        <v>122012</v>
      </c>
      <c r="B1003" t="s">
        <v>32</v>
      </c>
      <c r="C1003" t="s">
        <v>9</v>
      </c>
      <c r="D1003" t="s">
        <v>748</v>
      </c>
      <c r="E1003" t="s">
        <v>49</v>
      </c>
      <c r="F1003" t="s">
        <v>759</v>
      </c>
    </row>
    <row r="1004" spans="1:6">
      <c r="A1004">
        <v>122013</v>
      </c>
      <c r="B1004" t="s">
        <v>32</v>
      </c>
      <c r="C1004" t="s">
        <v>9</v>
      </c>
      <c r="D1004" t="s">
        <v>748</v>
      </c>
      <c r="E1004" t="s">
        <v>120</v>
      </c>
      <c r="F1004" t="s">
        <v>697</v>
      </c>
    </row>
    <row r="1005" spans="1:6">
      <c r="A1005">
        <v>122014</v>
      </c>
      <c r="B1005" t="s">
        <v>32</v>
      </c>
      <c r="C1005" t="s">
        <v>9</v>
      </c>
      <c r="D1005" t="s">
        <v>748</v>
      </c>
      <c r="E1005" t="s">
        <v>49</v>
      </c>
      <c r="F1005" t="s">
        <v>760</v>
      </c>
    </row>
    <row r="1006" spans="1:6">
      <c r="A1006">
        <v>122015</v>
      </c>
      <c r="B1006" t="s">
        <v>32</v>
      </c>
      <c r="C1006" t="s">
        <v>9</v>
      </c>
      <c r="D1006" t="s">
        <v>748</v>
      </c>
      <c r="E1006" t="s">
        <v>49</v>
      </c>
      <c r="F1006" t="s">
        <v>761</v>
      </c>
    </row>
    <row r="1007" spans="1:6">
      <c r="A1007">
        <v>122016</v>
      </c>
      <c r="B1007" t="s">
        <v>32</v>
      </c>
      <c r="C1007" t="s">
        <v>9</v>
      </c>
      <c r="D1007" t="s">
        <v>748</v>
      </c>
      <c r="E1007" t="s">
        <v>49</v>
      </c>
      <c r="F1007" t="s">
        <v>762</v>
      </c>
    </row>
    <row r="1008" spans="1:6">
      <c r="A1008">
        <v>122017</v>
      </c>
      <c r="B1008" t="s">
        <v>32</v>
      </c>
      <c r="C1008" t="s">
        <v>9</v>
      </c>
      <c r="D1008" t="s">
        <v>748</v>
      </c>
      <c r="E1008" t="s">
        <v>49</v>
      </c>
      <c r="F1008" t="s">
        <v>763</v>
      </c>
    </row>
    <row r="1009" spans="1:6">
      <c r="A1009">
        <v>122018</v>
      </c>
      <c r="B1009" t="s">
        <v>32</v>
      </c>
      <c r="C1009" t="s">
        <v>9</v>
      </c>
      <c r="D1009" t="s">
        <v>748</v>
      </c>
      <c r="E1009" t="s">
        <v>49</v>
      </c>
      <c r="F1009" t="s">
        <v>764</v>
      </c>
    </row>
    <row r="1010" spans="1:6">
      <c r="A1010">
        <v>122019</v>
      </c>
      <c r="B1010" t="s">
        <v>32</v>
      </c>
      <c r="C1010" t="s">
        <v>9</v>
      </c>
      <c r="D1010" t="s">
        <v>748</v>
      </c>
      <c r="E1010" t="s">
        <v>49</v>
      </c>
      <c r="F1010" t="s">
        <v>765</v>
      </c>
    </row>
    <row r="1011" spans="1:6">
      <c r="B1011" t="s">
        <v>32</v>
      </c>
      <c r="C1011" t="s">
        <v>9</v>
      </c>
      <c r="D1011" t="s">
        <v>748</v>
      </c>
      <c r="E1011" t="s">
        <v>49</v>
      </c>
      <c r="F1011" t="s">
        <v>57</v>
      </c>
    </row>
    <row r="1012" spans="1:6">
      <c r="B1012" t="s">
        <v>32</v>
      </c>
      <c r="C1012" t="s">
        <v>9</v>
      </c>
      <c r="D1012" t="s">
        <v>748</v>
      </c>
      <c r="E1012" t="s">
        <v>58</v>
      </c>
      <c r="F1012" t="s">
        <v>59</v>
      </c>
    </row>
    <row r="1013" spans="1:6">
      <c r="A1013">
        <v>123000</v>
      </c>
      <c r="B1013" t="s">
        <v>32</v>
      </c>
      <c r="C1013" t="s">
        <v>9</v>
      </c>
      <c r="D1013" t="s">
        <v>766</v>
      </c>
      <c r="E1013" t="s">
        <v>119</v>
      </c>
      <c r="F1013" t="s">
        <v>766</v>
      </c>
    </row>
    <row r="1014" spans="1:6">
      <c r="A1014">
        <v>123001</v>
      </c>
      <c r="B1014" t="s">
        <v>32</v>
      </c>
      <c r="C1014" t="s">
        <v>9</v>
      </c>
      <c r="D1014" t="s">
        <v>766</v>
      </c>
      <c r="E1014" t="s">
        <v>120</v>
      </c>
      <c r="F1014" t="s">
        <v>690</v>
      </c>
    </row>
    <row r="1015" spans="1:6">
      <c r="A1015">
        <v>123002</v>
      </c>
      <c r="B1015" t="s">
        <v>32</v>
      </c>
      <c r="C1015" t="s">
        <v>9</v>
      </c>
      <c r="D1015" t="s">
        <v>766</v>
      </c>
      <c r="E1015" t="s">
        <v>49</v>
      </c>
      <c r="F1015" t="s">
        <v>767</v>
      </c>
    </row>
    <row r="1016" spans="1:6">
      <c r="A1016">
        <v>123003</v>
      </c>
      <c r="B1016" t="s">
        <v>32</v>
      </c>
      <c r="C1016" t="s">
        <v>9</v>
      </c>
      <c r="D1016" t="s">
        <v>766</v>
      </c>
      <c r="E1016" t="s">
        <v>49</v>
      </c>
      <c r="F1016" t="s">
        <v>768</v>
      </c>
    </row>
    <row r="1017" spans="1:6">
      <c r="A1017">
        <v>123004</v>
      </c>
      <c r="B1017" t="s">
        <v>32</v>
      </c>
      <c r="C1017" t="s">
        <v>9</v>
      </c>
      <c r="D1017" t="s">
        <v>766</v>
      </c>
      <c r="E1017" t="s">
        <v>49</v>
      </c>
      <c r="F1017" t="s">
        <v>769</v>
      </c>
    </row>
    <row r="1018" spans="1:6">
      <c r="A1018">
        <v>123005</v>
      </c>
      <c r="B1018" t="s">
        <v>32</v>
      </c>
      <c r="C1018" t="s">
        <v>9</v>
      </c>
      <c r="D1018" t="s">
        <v>766</v>
      </c>
      <c r="E1018" t="s">
        <v>49</v>
      </c>
      <c r="F1018" t="s">
        <v>770</v>
      </c>
    </row>
    <row r="1019" spans="1:6">
      <c r="A1019">
        <v>123006</v>
      </c>
      <c r="B1019" t="s">
        <v>32</v>
      </c>
      <c r="C1019" t="s">
        <v>9</v>
      </c>
      <c r="D1019" t="s">
        <v>766</v>
      </c>
      <c r="E1019" t="s">
        <v>49</v>
      </c>
      <c r="F1019" t="s">
        <v>771</v>
      </c>
    </row>
    <row r="1020" spans="1:6">
      <c r="A1020">
        <v>123007</v>
      </c>
      <c r="B1020" t="s">
        <v>32</v>
      </c>
      <c r="C1020" t="s">
        <v>9</v>
      </c>
      <c r="D1020" t="s">
        <v>766</v>
      </c>
      <c r="E1020" t="s">
        <v>49</v>
      </c>
      <c r="F1020" t="s">
        <v>772</v>
      </c>
    </row>
    <row r="1021" spans="1:6">
      <c r="A1021">
        <v>123008</v>
      </c>
      <c r="B1021" t="s">
        <v>32</v>
      </c>
      <c r="C1021" t="s">
        <v>9</v>
      </c>
      <c r="D1021" t="s">
        <v>766</v>
      </c>
      <c r="E1021" t="s">
        <v>49</v>
      </c>
      <c r="F1021" t="s">
        <v>773</v>
      </c>
    </row>
    <row r="1022" spans="1:6">
      <c r="A1022">
        <v>123009</v>
      </c>
      <c r="B1022" t="s">
        <v>32</v>
      </c>
      <c r="C1022" t="s">
        <v>9</v>
      </c>
      <c r="D1022" t="s">
        <v>766</v>
      </c>
      <c r="E1022" t="s">
        <v>120</v>
      </c>
      <c r="F1022" t="s">
        <v>697</v>
      </c>
    </row>
    <row r="1023" spans="1:6">
      <c r="A1023">
        <v>123010</v>
      </c>
      <c r="B1023" t="s">
        <v>32</v>
      </c>
      <c r="C1023" t="s">
        <v>9</v>
      </c>
      <c r="D1023" t="s">
        <v>766</v>
      </c>
      <c r="E1023" t="s">
        <v>49</v>
      </c>
      <c r="F1023" t="s">
        <v>774</v>
      </c>
    </row>
    <row r="1024" spans="1:6">
      <c r="A1024">
        <v>123011</v>
      </c>
      <c r="B1024" t="s">
        <v>32</v>
      </c>
      <c r="C1024" t="s">
        <v>9</v>
      </c>
      <c r="D1024" t="s">
        <v>766</v>
      </c>
      <c r="E1024" t="s">
        <v>49</v>
      </c>
      <c r="F1024" t="s">
        <v>775</v>
      </c>
    </row>
    <row r="1025" spans="1:6">
      <c r="A1025">
        <v>123012</v>
      </c>
      <c r="B1025" t="s">
        <v>32</v>
      </c>
      <c r="C1025" t="s">
        <v>9</v>
      </c>
      <c r="D1025" t="s">
        <v>766</v>
      </c>
      <c r="E1025" t="s">
        <v>49</v>
      </c>
      <c r="F1025" t="s">
        <v>776</v>
      </c>
    </row>
    <row r="1026" spans="1:6">
      <c r="B1026" t="s">
        <v>32</v>
      </c>
      <c r="C1026" t="s">
        <v>9</v>
      </c>
      <c r="D1026" t="s">
        <v>766</v>
      </c>
      <c r="E1026" t="s">
        <v>49</v>
      </c>
      <c r="F1026" t="s">
        <v>57</v>
      </c>
    </row>
    <row r="1027" spans="1:6">
      <c r="B1027" t="s">
        <v>32</v>
      </c>
      <c r="C1027" t="s">
        <v>9</v>
      </c>
      <c r="D1027" t="s">
        <v>766</v>
      </c>
      <c r="E1027" t="s">
        <v>58</v>
      </c>
      <c r="F1027" t="s">
        <v>59</v>
      </c>
    </row>
    <row r="1028" spans="1:6">
      <c r="A1028">
        <v>124000</v>
      </c>
      <c r="B1028" t="s">
        <v>32</v>
      </c>
      <c r="C1028" t="s">
        <v>9</v>
      </c>
      <c r="D1028" t="s">
        <v>777</v>
      </c>
      <c r="E1028" t="s">
        <v>119</v>
      </c>
      <c r="F1028" t="s">
        <v>777</v>
      </c>
    </row>
    <row r="1029" spans="1:6">
      <c r="A1029">
        <v>124001</v>
      </c>
      <c r="B1029" t="s">
        <v>32</v>
      </c>
      <c r="C1029" t="s">
        <v>9</v>
      </c>
      <c r="D1029" t="s">
        <v>777</v>
      </c>
      <c r="E1029" t="s">
        <v>120</v>
      </c>
      <c r="F1029" t="s">
        <v>690</v>
      </c>
    </row>
    <row r="1030" spans="1:6">
      <c r="A1030">
        <v>124002</v>
      </c>
      <c r="B1030" t="s">
        <v>32</v>
      </c>
      <c r="C1030" t="s">
        <v>9</v>
      </c>
      <c r="D1030" t="s">
        <v>777</v>
      </c>
      <c r="E1030" t="s">
        <v>49</v>
      </c>
      <c r="F1030" t="s">
        <v>767</v>
      </c>
    </row>
    <row r="1031" spans="1:6">
      <c r="A1031">
        <v>124003</v>
      </c>
      <c r="B1031" t="s">
        <v>32</v>
      </c>
      <c r="C1031" t="s">
        <v>9</v>
      </c>
      <c r="D1031" t="s">
        <v>777</v>
      </c>
      <c r="E1031" t="s">
        <v>49</v>
      </c>
      <c r="F1031" t="s">
        <v>768</v>
      </c>
    </row>
    <row r="1032" spans="1:6">
      <c r="A1032">
        <v>124004</v>
      </c>
      <c r="B1032" t="s">
        <v>32</v>
      </c>
      <c r="C1032" t="s">
        <v>9</v>
      </c>
      <c r="D1032" t="s">
        <v>777</v>
      </c>
      <c r="E1032" t="s">
        <v>49</v>
      </c>
      <c r="F1032" t="s">
        <v>772</v>
      </c>
    </row>
    <row r="1033" spans="1:6">
      <c r="A1033">
        <v>124005</v>
      </c>
      <c r="B1033" t="s">
        <v>32</v>
      </c>
      <c r="C1033" t="s">
        <v>9</v>
      </c>
      <c r="D1033" t="s">
        <v>777</v>
      </c>
      <c r="E1033" t="s">
        <v>49</v>
      </c>
      <c r="F1033" t="s">
        <v>773</v>
      </c>
    </row>
    <row r="1034" spans="1:6">
      <c r="A1034">
        <v>124006</v>
      </c>
      <c r="B1034" t="s">
        <v>32</v>
      </c>
      <c r="C1034" t="s">
        <v>9</v>
      </c>
      <c r="D1034" t="s">
        <v>777</v>
      </c>
      <c r="E1034" t="s">
        <v>120</v>
      </c>
      <c r="F1034" t="s">
        <v>697</v>
      </c>
    </row>
    <row r="1035" spans="1:6">
      <c r="A1035">
        <v>124007</v>
      </c>
      <c r="B1035" t="s">
        <v>32</v>
      </c>
      <c r="C1035" t="s">
        <v>9</v>
      </c>
      <c r="D1035" t="s">
        <v>777</v>
      </c>
      <c r="E1035" t="s">
        <v>49</v>
      </c>
      <c r="F1035" t="s">
        <v>776</v>
      </c>
    </row>
    <row r="1036" spans="1:6">
      <c r="A1036">
        <v>124008</v>
      </c>
      <c r="B1036" t="s">
        <v>32</v>
      </c>
      <c r="C1036" t="s">
        <v>9</v>
      </c>
      <c r="D1036" t="s">
        <v>777</v>
      </c>
      <c r="E1036" t="s">
        <v>58</v>
      </c>
      <c r="F1036" t="s">
        <v>773</v>
      </c>
    </row>
    <row r="1037" spans="1:6">
      <c r="A1037">
        <v>124009</v>
      </c>
      <c r="B1037" t="s">
        <v>32</v>
      </c>
      <c r="C1037" t="s">
        <v>9</v>
      </c>
      <c r="D1037" t="s">
        <v>777</v>
      </c>
      <c r="E1037" t="s">
        <v>120</v>
      </c>
      <c r="F1037" t="s">
        <v>778</v>
      </c>
    </row>
    <row r="1038" spans="1:6">
      <c r="A1038">
        <v>124010</v>
      </c>
      <c r="B1038" t="s">
        <v>32</v>
      </c>
      <c r="C1038" t="s">
        <v>9</v>
      </c>
      <c r="D1038" t="s">
        <v>777</v>
      </c>
      <c r="E1038" t="s">
        <v>49</v>
      </c>
      <c r="F1038" t="s">
        <v>779</v>
      </c>
    </row>
    <row r="1039" spans="1:6">
      <c r="A1039">
        <v>124011</v>
      </c>
      <c r="B1039" t="s">
        <v>32</v>
      </c>
      <c r="C1039" t="s">
        <v>9</v>
      </c>
      <c r="D1039" t="s">
        <v>777</v>
      </c>
      <c r="E1039" t="s">
        <v>49</v>
      </c>
      <c r="F1039" t="s">
        <v>780</v>
      </c>
    </row>
    <row r="1040" spans="1:6">
      <c r="A1040">
        <v>124012</v>
      </c>
      <c r="B1040" t="s">
        <v>32</v>
      </c>
      <c r="C1040" t="s">
        <v>9</v>
      </c>
      <c r="D1040" t="s">
        <v>777</v>
      </c>
      <c r="E1040" t="s">
        <v>49</v>
      </c>
      <c r="F1040" t="s">
        <v>781</v>
      </c>
    </row>
    <row r="1041" spans="1:6">
      <c r="A1041">
        <v>124013</v>
      </c>
      <c r="B1041" t="s">
        <v>32</v>
      </c>
      <c r="C1041" t="s">
        <v>9</v>
      </c>
      <c r="D1041" t="s">
        <v>777</v>
      </c>
      <c r="E1041" t="s">
        <v>49</v>
      </c>
      <c r="F1041" t="s">
        <v>782</v>
      </c>
    </row>
    <row r="1042" spans="1:6">
      <c r="A1042">
        <v>124014</v>
      </c>
      <c r="B1042" t="s">
        <v>32</v>
      </c>
      <c r="C1042" t="s">
        <v>9</v>
      </c>
      <c r="D1042" t="s">
        <v>777</v>
      </c>
      <c r="E1042" t="s">
        <v>49</v>
      </c>
      <c r="F1042" t="s">
        <v>783</v>
      </c>
    </row>
    <row r="1043" spans="1:6">
      <c r="A1043">
        <v>124015</v>
      </c>
      <c r="B1043" t="s">
        <v>32</v>
      </c>
      <c r="C1043" t="s">
        <v>9</v>
      </c>
      <c r="D1043" t="s">
        <v>777</v>
      </c>
      <c r="E1043" t="s">
        <v>49</v>
      </c>
      <c r="F1043" t="s">
        <v>784</v>
      </c>
    </row>
    <row r="1044" spans="1:6">
      <c r="A1044">
        <v>124016</v>
      </c>
      <c r="B1044" t="s">
        <v>32</v>
      </c>
      <c r="C1044" t="s">
        <v>9</v>
      </c>
      <c r="D1044" t="s">
        <v>777</v>
      </c>
      <c r="E1044" t="s">
        <v>49</v>
      </c>
      <c r="F1044" t="s">
        <v>785</v>
      </c>
    </row>
    <row r="1045" spans="1:6">
      <c r="A1045">
        <v>124017</v>
      </c>
      <c r="B1045" t="s">
        <v>32</v>
      </c>
      <c r="C1045" t="s">
        <v>9</v>
      </c>
      <c r="D1045" t="s">
        <v>777</v>
      </c>
      <c r="E1045" t="s">
        <v>49</v>
      </c>
      <c r="F1045" t="s">
        <v>786</v>
      </c>
    </row>
    <row r="1046" spans="1:6">
      <c r="A1046">
        <v>124018</v>
      </c>
      <c r="B1046" t="s">
        <v>32</v>
      </c>
      <c r="C1046" t="s">
        <v>9</v>
      </c>
      <c r="D1046" t="s">
        <v>777</v>
      </c>
      <c r="E1046" t="s">
        <v>58</v>
      </c>
      <c r="F1046" t="s">
        <v>773</v>
      </c>
    </row>
    <row r="1047" spans="1:6">
      <c r="B1047" t="s">
        <v>32</v>
      </c>
      <c r="C1047" t="s">
        <v>9</v>
      </c>
      <c r="D1047" t="s">
        <v>777</v>
      </c>
      <c r="E1047" t="s">
        <v>49</v>
      </c>
      <c r="F1047" t="s">
        <v>57</v>
      </c>
    </row>
    <row r="1048" spans="1:6">
      <c r="B1048" t="s">
        <v>32</v>
      </c>
      <c r="C1048" t="s">
        <v>9</v>
      </c>
      <c r="D1048" t="s">
        <v>777</v>
      </c>
      <c r="E1048" t="s">
        <v>58</v>
      </c>
      <c r="F1048" t="s">
        <v>59</v>
      </c>
    </row>
    <row r="1049" spans="1:6">
      <c r="A1049">
        <v>125000</v>
      </c>
      <c r="B1049" t="s">
        <v>32</v>
      </c>
      <c r="C1049" t="s">
        <v>9</v>
      </c>
      <c r="D1049" t="s">
        <v>787</v>
      </c>
      <c r="E1049" t="s">
        <v>48</v>
      </c>
      <c r="F1049" t="s">
        <v>787</v>
      </c>
    </row>
    <row r="1050" spans="1:6">
      <c r="A1050">
        <v>125001</v>
      </c>
      <c r="B1050" t="s">
        <v>32</v>
      </c>
      <c r="C1050" t="s">
        <v>9</v>
      </c>
      <c r="D1050" t="s">
        <v>787</v>
      </c>
      <c r="E1050" t="s">
        <v>49</v>
      </c>
      <c r="F1050" t="s">
        <v>767</v>
      </c>
    </row>
    <row r="1051" spans="1:6">
      <c r="A1051">
        <v>125002</v>
      </c>
      <c r="B1051" t="s">
        <v>32</v>
      </c>
      <c r="C1051" t="s">
        <v>9</v>
      </c>
      <c r="D1051" t="s">
        <v>787</v>
      </c>
      <c r="E1051" t="s">
        <v>49</v>
      </c>
      <c r="F1051" t="s">
        <v>768</v>
      </c>
    </row>
    <row r="1052" spans="1:6">
      <c r="A1052">
        <v>125003</v>
      </c>
      <c r="B1052" t="s">
        <v>32</v>
      </c>
      <c r="C1052" t="s">
        <v>9</v>
      </c>
      <c r="D1052" t="s">
        <v>787</v>
      </c>
      <c r="E1052" t="s">
        <v>49</v>
      </c>
      <c r="F1052" t="s">
        <v>772</v>
      </c>
    </row>
    <row r="1053" spans="1:6">
      <c r="A1053">
        <v>125004</v>
      </c>
      <c r="B1053" t="s">
        <v>32</v>
      </c>
      <c r="C1053" t="s">
        <v>9</v>
      </c>
      <c r="D1053" t="s">
        <v>787</v>
      </c>
      <c r="E1053" t="s">
        <v>49</v>
      </c>
      <c r="F1053" t="s">
        <v>773</v>
      </c>
    </row>
    <row r="1054" spans="1:6">
      <c r="B1054" t="s">
        <v>32</v>
      </c>
      <c r="C1054" t="s">
        <v>9</v>
      </c>
      <c r="D1054" t="s">
        <v>787</v>
      </c>
      <c r="E1054" t="s">
        <v>49</v>
      </c>
      <c r="F1054" t="s">
        <v>57</v>
      </c>
    </row>
    <row r="1055" spans="1:6">
      <c r="B1055" t="s">
        <v>32</v>
      </c>
      <c r="C1055" t="s">
        <v>9</v>
      </c>
      <c r="D1055" t="s">
        <v>787</v>
      </c>
      <c r="E1055" t="s">
        <v>58</v>
      </c>
      <c r="F1055" t="s">
        <v>59</v>
      </c>
    </row>
    <row r="1056" spans="1:6">
      <c r="A1056">
        <v>136000</v>
      </c>
      <c r="B1056" t="s">
        <v>18</v>
      </c>
      <c r="C1056" t="s">
        <v>9</v>
      </c>
      <c r="D1056" t="s">
        <v>788</v>
      </c>
      <c r="E1056" t="s">
        <v>48</v>
      </c>
      <c r="F1056" t="s">
        <v>788</v>
      </c>
    </row>
    <row r="1057" spans="1:7">
      <c r="A1057">
        <v>136001</v>
      </c>
      <c r="B1057" t="s">
        <v>18</v>
      </c>
      <c r="C1057" t="s">
        <v>9</v>
      </c>
      <c r="D1057" t="s">
        <v>788</v>
      </c>
      <c r="E1057" t="s">
        <v>49</v>
      </c>
      <c r="F1057" t="s">
        <v>789</v>
      </c>
    </row>
    <row r="1058" spans="1:7">
      <c r="A1058">
        <v>136002</v>
      </c>
      <c r="B1058" t="s">
        <v>18</v>
      </c>
      <c r="C1058" t="s">
        <v>9</v>
      </c>
      <c r="D1058" t="s">
        <v>788</v>
      </c>
      <c r="E1058" t="s">
        <v>49</v>
      </c>
      <c r="F1058" t="s">
        <v>790</v>
      </c>
    </row>
    <row r="1059" spans="1:7">
      <c r="A1059">
        <v>136003</v>
      </c>
      <c r="B1059" t="s">
        <v>18</v>
      </c>
      <c r="C1059" t="s">
        <v>9</v>
      </c>
      <c r="D1059" t="s">
        <v>788</v>
      </c>
      <c r="E1059" t="s">
        <v>791</v>
      </c>
      <c r="F1059" t="s">
        <v>792</v>
      </c>
    </row>
    <row r="1060" spans="1:7">
      <c r="A1060">
        <v>136004</v>
      </c>
      <c r="B1060" t="s">
        <v>18</v>
      </c>
      <c r="C1060" t="s">
        <v>9</v>
      </c>
      <c r="D1060" t="s">
        <v>788</v>
      </c>
      <c r="E1060" t="s">
        <v>791</v>
      </c>
      <c r="F1060" t="s">
        <v>793</v>
      </c>
    </row>
    <row r="1061" spans="1:7">
      <c r="A1061">
        <v>136005</v>
      </c>
      <c r="B1061" t="s">
        <v>18</v>
      </c>
      <c r="C1061" t="s">
        <v>9</v>
      </c>
      <c r="D1061" t="s">
        <v>788</v>
      </c>
      <c r="E1061" t="s">
        <v>791</v>
      </c>
      <c r="F1061" t="s">
        <v>794</v>
      </c>
    </row>
    <row r="1062" spans="1:7">
      <c r="A1062">
        <v>136006</v>
      </c>
      <c r="B1062" t="s">
        <v>18</v>
      </c>
      <c r="C1062" t="s">
        <v>9</v>
      </c>
      <c r="D1062" t="s">
        <v>788</v>
      </c>
      <c r="E1062" t="s">
        <v>791</v>
      </c>
      <c r="F1062" t="s">
        <v>795</v>
      </c>
    </row>
    <row r="1063" spans="1:7">
      <c r="A1063">
        <v>136007</v>
      </c>
      <c r="B1063" t="s">
        <v>18</v>
      </c>
      <c r="C1063" t="s">
        <v>9</v>
      </c>
      <c r="D1063" t="s">
        <v>788</v>
      </c>
      <c r="E1063" t="s">
        <v>796</v>
      </c>
      <c r="F1063" t="s">
        <v>797</v>
      </c>
      <c r="G1063" t="s">
        <v>153</v>
      </c>
    </row>
    <row r="1064" spans="1:7">
      <c r="A1064">
        <v>136008</v>
      </c>
      <c r="B1064" t="s">
        <v>18</v>
      </c>
      <c r="C1064" t="s">
        <v>9</v>
      </c>
      <c r="D1064" t="s">
        <v>788</v>
      </c>
      <c r="E1064" t="s">
        <v>791</v>
      </c>
      <c r="F1064" t="s">
        <v>798</v>
      </c>
    </row>
    <row r="1065" spans="1:7">
      <c r="A1065">
        <v>136009</v>
      </c>
      <c r="B1065" t="s">
        <v>18</v>
      </c>
      <c r="C1065" t="s">
        <v>9</v>
      </c>
      <c r="D1065" t="s">
        <v>788</v>
      </c>
      <c r="E1065" t="s">
        <v>49</v>
      </c>
      <c r="F1065" t="s">
        <v>799</v>
      </c>
    </row>
    <row r="1066" spans="1:7">
      <c r="A1066">
        <v>136010</v>
      </c>
      <c r="B1066" t="s">
        <v>18</v>
      </c>
      <c r="C1066" t="s">
        <v>9</v>
      </c>
      <c r="D1066" t="s">
        <v>788</v>
      </c>
      <c r="E1066" t="s">
        <v>49</v>
      </c>
      <c r="F1066" t="s">
        <v>800</v>
      </c>
    </row>
    <row r="1067" spans="1:7">
      <c r="A1067">
        <v>136011</v>
      </c>
      <c r="B1067" t="s">
        <v>18</v>
      </c>
      <c r="C1067" t="s">
        <v>9</v>
      </c>
      <c r="D1067" t="s">
        <v>788</v>
      </c>
      <c r="E1067" t="s">
        <v>49</v>
      </c>
      <c r="F1067" t="s">
        <v>801</v>
      </c>
    </row>
    <row r="1068" spans="1:7">
      <c r="A1068">
        <v>136012</v>
      </c>
      <c r="B1068" t="s">
        <v>18</v>
      </c>
      <c r="C1068" t="s">
        <v>9</v>
      </c>
      <c r="D1068" t="s">
        <v>788</v>
      </c>
      <c r="E1068" t="s">
        <v>802</v>
      </c>
      <c r="F1068" t="s">
        <v>803</v>
      </c>
    </row>
    <row r="1069" spans="1:7">
      <c r="B1069" t="s">
        <v>18</v>
      </c>
      <c r="C1069" t="s">
        <v>9</v>
      </c>
      <c r="D1069" t="s">
        <v>788</v>
      </c>
      <c r="E1069" t="s">
        <v>49</v>
      </c>
      <c r="F1069" t="s">
        <v>57</v>
      </c>
    </row>
    <row r="1070" spans="1:7">
      <c r="B1070" t="s">
        <v>18</v>
      </c>
      <c r="C1070" t="s">
        <v>9</v>
      </c>
      <c r="D1070" t="s">
        <v>788</v>
      </c>
      <c r="E1070" t="s">
        <v>58</v>
      </c>
      <c r="F1070" t="s">
        <v>59</v>
      </c>
    </row>
    <row r="1071" spans="1:7">
      <c r="A1071">
        <v>137000</v>
      </c>
      <c r="B1071" t="s">
        <v>18</v>
      </c>
      <c r="C1071" t="s">
        <v>9</v>
      </c>
      <c r="D1071" t="s">
        <v>804</v>
      </c>
      <c r="E1071" t="s">
        <v>43</v>
      </c>
      <c r="F1071" t="s">
        <v>804</v>
      </c>
    </row>
    <row r="1072" spans="1:7">
      <c r="A1072">
        <v>137001</v>
      </c>
      <c r="B1072" t="s">
        <v>18</v>
      </c>
      <c r="C1072" t="s">
        <v>9</v>
      </c>
      <c r="D1072" t="s">
        <v>804</v>
      </c>
      <c r="E1072" t="s">
        <v>120</v>
      </c>
      <c r="F1072" t="s">
        <v>805</v>
      </c>
    </row>
    <row r="1073" spans="1:6">
      <c r="A1073">
        <v>137002</v>
      </c>
      <c r="B1073" t="s">
        <v>18</v>
      </c>
      <c r="C1073" t="s">
        <v>9</v>
      </c>
      <c r="D1073" t="s">
        <v>804</v>
      </c>
      <c r="E1073" t="s">
        <v>49</v>
      </c>
      <c r="F1073" t="s">
        <v>806</v>
      </c>
    </row>
    <row r="1074" spans="1:6">
      <c r="A1074">
        <v>137003</v>
      </c>
      <c r="B1074" t="s">
        <v>18</v>
      </c>
      <c r="C1074" t="s">
        <v>9</v>
      </c>
      <c r="D1074" t="s">
        <v>804</v>
      </c>
      <c r="E1074" t="s">
        <v>49</v>
      </c>
      <c r="F1074" t="s">
        <v>807</v>
      </c>
    </row>
    <row r="1075" spans="1:6">
      <c r="A1075">
        <v>137004</v>
      </c>
      <c r="B1075" t="s">
        <v>18</v>
      </c>
      <c r="C1075" t="s">
        <v>9</v>
      </c>
      <c r="D1075" t="s">
        <v>804</v>
      </c>
      <c r="E1075" t="s">
        <v>49</v>
      </c>
      <c r="F1075" t="s">
        <v>808</v>
      </c>
    </row>
    <row r="1076" spans="1:6">
      <c r="A1076">
        <v>137005</v>
      </c>
      <c r="B1076" t="s">
        <v>18</v>
      </c>
      <c r="C1076" t="s">
        <v>9</v>
      </c>
      <c r="D1076" t="s">
        <v>804</v>
      </c>
      <c r="E1076" t="s">
        <v>49</v>
      </c>
      <c r="F1076" t="s">
        <v>809</v>
      </c>
    </row>
    <row r="1077" spans="1:6">
      <c r="A1077">
        <v>137006</v>
      </c>
      <c r="B1077" t="s">
        <v>18</v>
      </c>
      <c r="C1077" t="s">
        <v>9</v>
      </c>
      <c r="D1077" t="s">
        <v>804</v>
      </c>
      <c r="E1077" t="s">
        <v>791</v>
      </c>
      <c r="F1077" t="s">
        <v>810</v>
      </c>
    </row>
    <row r="1078" spans="1:6">
      <c r="A1078">
        <v>137007</v>
      </c>
      <c r="B1078" t="s">
        <v>18</v>
      </c>
      <c r="C1078" t="s">
        <v>9</v>
      </c>
      <c r="D1078" t="s">
        <v>804</v>
      </c>
      <c r="E1078" t="s">
        <v>49</v>
      </c>
      <c r="F1078" t="s">
        <v>811</v>
      </c>
    </row>
    <row r="1079" spans="1:6">
      <c r="A1079">
        <v>137008</v>
      </c>
      <c r="B1079" t="s">
        <v>18</v>
      </c>
      <c r="C1079" t="s">
        <v>9</v>
      </c>
      <c r="D1079" t="s">
        <v>804</v>
      </c>
      <c r="E1079" t="s">
        <v>49</v>
      </c>
      <c r="F1079" t="s">
        <v>812</v>
      </c>
    </row>
    <row r="1080" spans="1:6">
      <c r="A1080">
        <v>137009</v>
      </c>
      <c r="B1080" t="s">
        <v>18</v>
      </c>
      <c r="C1080" t="s">
        <v>9</v>
      </c>
      <c r="D1080" t="s">
        <v>804</v>
      </c>
      <c r="E1080" t="s">
        <v>49</v>
      </c>
      <c r="F1080" t="s">
        <v>813</v>
      </c>
    </row>
    <row r="1081" spans="1:6">
      <c r="A1081">
        <v>137010</v>
      </c>
      <c r="B1081" t="s">
        <v>18</v>
      </c>
      <c r="C1081" t="s">
        <v>9</v>
      </c>
      <c r="D1081" t="s">
        <v>804</v>
      </c>
      <c r="E1081" t="s">
        <v>120</v>
      </c>
      <c r="F1081" t="s">
        <v>814</v>
      </c>
    </row>
    <row r="1082" spans="1:6">
      <c r="A1082">
        <v>137011</v>
      </c>
      <c r="B1082" t="s">
        <v>18</v>
      </c>
      <c r="C1082" t="s">
        <v>9</v>
      </c>
      <c r="D1082" t="s">
        <v>804</v>
      </c>
      <c r="E1082" t="s">
        <v>49</v>
      </c>
      <c r="F1082" t="s">
        <v>806</v>
      </c>
    </row>
    <row r="1083" spans="1:6">
      <c r="A1083">
        <v>137012</v>
      </c>
      <c r="B1083" t="s">
        <v>18</v>
      </c>
      <c r="C1083" t="s">
        <v>9</v>
      </c>
      <c r="D1083" t="s">
        <v>804</v>
      </c>
      <c r="E1083" t="s">
        <v>49</v>
      </c>
      <c r="F1083" t="s">
        <v>815</v>
      </c>
    </row>
    <row r="1084" spans="1:6">
      <c r="A1084">
        <v>137013</v>
      </c>
      <c r="B1084" t="s">
        <v>18</v>
      </c>
      <c r="C1084" t="s">
        <v>9</v>
      </c>
      <c r="D1084" t="s">
        <v>804</v>
      </c>
      <c r="E1084" t="s">
        <v>49</v>
      </c>
      <c r="F1084" t="s">
        <v>816</v>
      </c>
    </row>
    <row r="1085" spans="1:6">
      <c r="A1085">
        <v>137014</v>
      </c>
      <c r="B1085" t="s">
        <v>18</v>
      </c>
      <c r="C1085" t="s">
        <v>9</v>
      </c>
      <c r="D1085" t="s">
        <v>804</v>
      </c>
      <c r="E1085" t="s">
        <v>49</v>
      </c>
      <c r="F1085" t="s">
        <v>817</v>
      </c>
    </row>
    <row r="1086" spans="1:6">
      <c r="A1086">
        <v>137015</v>
      </c>
      <c r="B1086" t="s">
        <v>18</v>
      </c>
      <c r="C1086" t="s">
        <v>9</v>
      </c>
      <c r="D1086" t="s">
        <v>804</v>
      </c>
      <c r="E1086" t="s">
        <v>49</v>
      </c>
      <c r="F1086" t="s">
        <v>818</v>
      </c>
    </row>
    <row r="1087" spans="1:6">
      <c r="A1087">
        <v>137016</v>
      </c>
      <c r="B1087" t="s">
        <v>18</v>
      </c>
      <c r="C1087" t="s">
        <v>9</v>
      </c>
      <c r="D1087" t="s">
        <v>804</v>
      </c>
      <c r="E1087" t="s">
        <v>49</v>
      </c>
      <c r="F1087" t="s">
        <v>819</v>
      </c>
    </row>
    <row r="1088" spans="1:6">
      <c r="A1088">
        <v>137017</v>
      </c>
      <c r="B1088" t="s">
        <v>18</v>
      </c>
      <c r="C1088" t="s">
        <v>9</v>
      </c>
      <c r="D1088" t="s">
        <v>804</v>
      </c>
      <c r="E1088" t="s">
        <v>49</v>
      </c>
      <c r="F1088" t="s">
        <v>820</v>
      </c>
    </row>
    <row r="1089" spans="1:6">
      <c r="A1089">
        <v>137018</v>
      </c>
      <c r="B1089" t="s">
        <v>18</v>
      </c>
      <c r="C1089" t="s">
        <v>9</v>
      </c>
      <c r="D1089" t="s">
        <v>804</v>
      </c>
      <c r="E1089" t="s">
        <v>49</v>
      </c>
      <c r="F1089" t="s">
        <v>813</v>
      </c>
    </row>
    <row r="1090" spans="1:6">
      <c r="A1090">
        <v>137019</v>
      </c>
      <c r="B1090" t="s">
        <v>18</v>
      </c>
      <c r="C1090" t="s">
        <v>9</v>
      </c>
      <c r="D1090" t="s">
        <v>804</v>
      </c>
      <c r="E1090" t="s">
        <v>120</v>
      </c>
      <c r="F1090" t="s">
        <v>821</v>
      </c>
    </row>
    <row r="1091" spans="1:6">
      <c r="A1091">
        <v>137020</v>
      </c>
      <c r="B1091" t="s">
        <v>18</v>
      </c>
      <c r="C1091" t="s">
        <v>9</v>
      </c>
      <c r="D1091" t="s">
        <v>804</v>
      </c>
      <c r="E1091" t="s">
        <v>49</v>
      </c>
      <c r="F1091" t="s">
        <v>822</v>
      </c>
    </row>
    <row r="1092" spans="1:6">
      <c r="A1092">
        <v>137021</v>
      </c>
      <c r="B1092" t="s">
        <v>18</v>
      </c>
      <c r="C1092" t="s">
        <v>9</v>
      </c>
      <c r="D1092" t="s">
        <v>804</v>
      </c>
      <c r="E1092" t="s">
        <v>49</v>
      </c>
      <c r="F1092" t="s">
        <v>823</v>
      </c>
    </row>
    <row r="1093" spans="1:6">
      <c r="B1093" t="s">
        <v>18</v>
      </c>
      <c r="C1093" t="s">
        <v>9</v>
      </c>
      <c r="D1093" t="s">
        <v>804</v>
      </c>
      <c r="E1093" t="s">
        <v>49</v>
      </c>
      <c r="F1093" t="s">
        <v>57</v>
      </c>
    </row>
    <row r="1094" spans="1:6">
      <c r="B1094" t="s">
        <v>18</v>
      </c>
      <c r="C1094" t="s">
        <v>9</v>
      </c>
      <c r="D1094" t="s">
        <v>804</v>
      </c>
      <c r="E1094" t="s">
        <v>58</v>
      </c>
      <c r="F1094" t="s">
        <v>59</v>
      </c>
    </row>
    <row r="1095" spans="1:6">
      <c r="A1095">
        <v>138000</v>
      </c>
      <c r="B1095" t="s">
        <v>18</v>
      </c>
      <c r="C1095" t="s">
        <v>9</v>
      </c>
      <c r="D1095" t="s">
        <v>824</v>
      </c>
      <c r="E1095" t="s">
        <v>48</v>
      </c>
      <c r="F1095" t="s">
        <v>824</v>
      </c>
    </row>
    <row r="1096" spans="1:6">
      <c r="A1096">
        <v>138001</v>
      </c>
      <c r="B1096" t="s">
        <v>18</v>
      </c>
      <c r="C1096" t="s">
        <v>9</v>
      </c>
      <c r="D1096" t="s">
        <v>824</v>
      </c>
      <c r="E1096" t="s">
        <v>49</v>
      </c>
      <c r="F1096" t="s">
        <v>260</v>
      </c>
    </row>
    <row r="1097" spans="1:6">
      <c r="A1097">
        <v>138002</v>
      </c>
      <c r="B1097" t="s">
        <v>18</v>
      </c>
      <c r="C1097" t="s">
        <v>9</v>
      </c>
      <c r="D1097" t="s">
        <v>824</v>
      </c>
      <c r="E1097" t="s">
        <v>49</v>
      </c>
      <c r="F1097" t="s">
        <v>261</v>
      </c>
    </row>
    <row r="1098" spans="1:6">
      <c r="A1098">
        <v>138003</v>
      </c>
      <c r="B1098" t="s">
        <v>18</v>
      </c>
      <c r="C1098" t="s">
        <v>9</v>
      </c>
      <c r="D1098" t="s">
        <v>824</v>
      </c>
      <c r="E1098" t="s">
        <v>49</v>
      </c>
      <c r="F1098" t="s">
        <v>262</v>
      </c>
    </row>
    <row r="1099" spans="1:6">
      <c r="A1099">
        <v>138004</v>
      </c>
      <c r="B1099" t="s">
        <v>18</v>
      </c>
      <c r="C1099" t="s">
        <v>9</v>
      </c>
      <c r="D1099" t="s">
        <v>824</v>
      </c>
      <c r="E1099" t="s">
        <v>49</v>
      </c>
      <c r="F1099" t="s">
        <v>263</v>
      </c>
    </row>
    <row r="1100" spans="1:6">
      <c r="A1100">
        <v>138005</v>
      </c>
      <c r="B1100" t="s">
        <v>18</v>
      </c>
      <c r="C1100" t="s">
        <v>9</v>
      </c>
      <c r="D1100" t="s">
        <v>824</v>
      </c>
      <c r="E1100" t="s">
        <v>49</v>
      </c>
      <c r="F1100" t="s">
        <v>264</v>
      </c>
    </row>
    <row r="1101" spans="1:6">
      <c r="A1101">
        <v>138006</v>
      </c>
      <c r="B1101" t="s">
        <v>18</v>
      </c>
      <c r="C1101" t="s">
        <v>9</v>
      </c>
      <c r="D1101" t="s">
        <v>824</v>
      </c>
      <c r="E1101" t="s">
        <v>66</v>
      </c>
      <c r="F1101" t="s">
        <v>265</v>
      </c>
    </row>
    <row r="1102" spans="1:6">
      <c r="A1102">
        <v>138007</v>
      </c>
      <c r="B1102" t="s">
        <v>18</v>
      </c>
      <c r="C1102" t="s">
        <v>9</v>
      </c>
      <c r="D1102" t="s">
        <v>824</v>
      </c>
      <c r="E1102" t="s">
        <v>66</v>
      </c>
      <c r="F1102" t="s">
        <v>266</v>
      </c>
    </row>
    <row r="1103" spans="1:6">
      <c r="A1103">
        <v>138008</v>
      </c>
      <c r="B1103" t="s">
        <v>18</v>
      </c>
      <c r="C1103" t="s">
        <v>9</v>
      </c>
      <c r="D1103" t="s">
        <v>824</v>
      </c>
      <c r="E1103" t="s">
        <v>49</v>
      </c>
      <c r="F1103" t="s">
        <v>267</v>
      </c>
    </row>
    <row r="1104" spans="1:6">
      <c r="A1104">
        <v>138009</v>
      </c>
      <c r="B1104" t="s">
        <v>18</v>
      </c>
      <c r="C1104" t="s">
        <v>9</v>
      </c>
      <c r="D1104" t="s">
        <v>824</v>
      </c>
      <c r="E1104" t="s">
        <v>49</v>
      </c>
      <c r="F1104" t="s">
        <v>268</v>
      </c>
    </row>
    <row r="1105" spans="1:6">
      <c r="A1105">
        <v>138010</v>
      </c>
      <c r="B1105" t="s">
        <v>18</v>
      </c>
      <c r="C1105" t="s">
        <v>9</v>
      </c>
      <c r="D1105" t="s">
        <v>824</v>
      </c>
      <c r="E1105" t="s">
        <v>49</v>
      </c>
      <c r="F1105" t="s">
        <v>269</v>
      </c>
    </row>
    <row r="1106" spans="1:6">
      <c r="A1106">
        <v>138011</v>
      </c>
      <c r="B1106" t="s">
        <v>18</v>
      </c>
      <c r="C1106" t="s">
        <v>9</v>
      </c>
      <c r="D1106" t="s">
        <v>824</v>
      </c>
      <c r="E1106" t="s">
        <v>49</v>
      </c>
      <c r="F1106" t="s">
        <v>270</v>
      </c>
    </row>
    <row r="1107" spans="1:6">
      <c r="A1107">
        <v>138012</v>
      </c>
      <c r="B1107" t="s">
        <v>18</v>
      </c>
      <c r="C1107" t="s">
        <v>9</v>
      </c>
      <c r="D1107" t="s">
        <v>824</v>
      </c>
      <c r="E1107" t="s">
        <v>49</v>
      </c>
      <c r="F1107" t="s">
        <v>271</v>
      </c>
    </row>
    <row r="1108" spans="1:6">
      <c r="A1108">
        <v>138013</v>
      </c>
      <c r="B1108" t="s">
        <v>18</v>
      </c>
      <c r="C1108" t="s">
        <v>9</v>
      </c>
      <c r="D1108" t="s">
        <v>824</v>
      </c>
      <c r="E1108" t="s">
        <v>49</v>
      </c>
      <c r="F1108" t="s">
        <v>272</v>
      </c>
    </row>
    <row r="1109" spans="1:6">
      <c r="B1109" t="s">
        <v>18</v>
      </c>
      <c r="C1109" t="s">
        <v>9</v>
      </c>
      <c r="D1109" t="s">
        <v>824</v>
      </c>
      <c r="E1109" t="s">
        <v>49</v>
      </c>
      <c r="F1109" t="s">
        <v>57</v>
      </c>
    </row>
    <row r="1110" spans="1:6">
      <c r="B1110" t="s">
        <v>18</v>
      </c>
      <c r="C1110" t="s">
        <v>9</v>
      </c>
      <c r="D1110" t="s">
        <v>824</v>
      </c>
      <c r="E1110" t="s">
        <v>58</v>
      </c>
      <c r="F1110" t="s">
        <v>59</v>
      </c>
    </row>
    <row r="1111" spans="1:6">
      <c r="A1111">
        <v>139000</v>
      </c>
      <c r="B1111" t="s">
        <v>18</v>
      </c>
      <c r="C1111" t="s">
        <v>9</v>
      </c>
      <c r="D1111" t="s">
        <v>825</v>
      </c>
      <c r="E1111" t="s">
        <v>48</v>
      </c>
      <c r="F1111" t="s">
        <v>825</v>
      </c>
    </row>
    <row r="1112" spans="1:6">
      <c r="A1112">
        <v>139001</v>
      </c>
      <c r="B1112" t="s">
        <v>18</v>
      </c>
      <c r="C1112" t="s">
        <v>9</v>
      </c>
      <c r="D1112" t="s">
        <v>825</v>
      </c>
      <c r="E1112" t="s">
        <v>49</v>
      </c>
      <c r="F1112" t="s">
        <v>826</v>
      </c>
    </row>
    <row r="1113" spans="1:6">
      <c r="A1113">
        <v>139002</v>
      </c>
      <c r="B1113" t="s">
        <v>18</v>
      </c>
      <c r="C1113" t="s">
        <v>9</v>
      </c>
      <c r="D1113" t="s">
        <v>825</v>
      </c>
      <c r="E1113" t="s">
        <v>49</v>
      </c>
      <c r="F1113" t="s">
        <v>827</v>
      </c>
    </row>
    <row r="1114" spans="1:6">
      <c r="A1114">
        <v>139003</v>
      </c>
      <c r="B1114" t="s">
        <v>18</v>
      </c>
      <c r="C1114" t="s">
        <v>9</v>
      </c>
      <c r="D1114" t="s">
        <v>825</v>
      </c>
      <c r="E1114" t="s">
        <v>49</v>
      </c>
      <c r="F1114" t="s">
        <v>828</v>
      </c>
    </row>
    <row r="1115" spans="1:6">
      <c r="A1115">
        <v>139004</v>
      </c>
      <c r="B1115" t="s">
        <v>18</v>
      </c>
      <c r="C1115" t="s">
        <v>9</v>
      </c>
      <c r="D1115" t="s">
        <v>825</v>
      </c>
      <c r="E1115" t="s">
        <v>49</v>
      </c>
      <c r="F1115" t="s">
        <v>341</v>
      </c>
    </row>
    <row r="1116" spans="1:6">
      <c r="A1116">
        <v>139005</v>
      </c>
      <c r="B1116" t="s">
        <v>18</v>
      </c>
      <c r="C1116" t="s">
        <v>9</v>
      </c>
      <c r="D1116" t="s">
        <v>825</v>
      </c>
      <c r="E1116" t="s">
        <v>49</v>
      </c>
      <c r="F1116" t="s">
        <v>829</v>
      </c>
    </row>
    <row r="1117" spans="1:6">
      <c r="B1117" t="s">
        <v>18</v>
      </c>
      <c r="C1117" t="s">
        <v>9</v>
      </c>
      <c r="D1117" t="s">
        <v>825</v>
      </c>
      <c r="E1117" t="s">
        <v>49</v>
      </c>
      <c r="F1117" t="s">
        <v>57</v>
      </c>
    </row>
    <row r="1118" spans="1:6">
      <c r="B1118" t="s">
        <v>18</v>
      </c>
      <c r="C1118" t="s">
        <v>9</v>
      </c>
      <c r="D1118" t="s">
        <v>825</v>
      </c>
      <c r="E1118" t="s">
        <v>58</v>
      </c>
      <c r="F1118" t="s">
        <v>59</v>
      </c>
    </row>
    <row r="1119" spans="1:6">
      <c r="A1119">
        <v>140000</v>
      </c>
      <c r="B1119" t="s">
        <v>18</v>
      </c>
      <c r="C1119" t="s">
        <v>9</v>
      </c>
      <c r="D1119" t="s">
        <v>830</v>
      </c>
      <c r="E1119" t="s">
        <v>48</v>
      </c>
      <c r="F1119" t="s">
        <v>830</v>
      </c>
    </row>
    <row r="1120" spans="1:6">
      <c r="A1120">
        <v>140001</v>
      </c>
      <c r="B1120" t="s">
        <v>18</v>
      </c>
      <c r="C1120" t="s">
        <v>9</v>
      </c>
      <c r="D1120" t="s">
        <v>830</v>
      </c>
      <c r="E1120" t="s">
        <v>831</v>
      </c>
      <c r="F1120" t="s">
        <v>832</v>
      </c>
    </row>
    <row r="1121" spans="1:6">
      <c r="A1121">
        <v>140002</v>
      </c>
      <c r="B1121" t="s">
        <v>18</v>
      </c>
      <c r="C1121" t="s">
        <v>9</v>
      </c>
      <c r="D1121" t="s">
        <v>830</v>
      </c>
      <c r="E1121" t="s">
        <v>833</v>
      </c>
      <c r="F1121" t="s">
        <v>834</v>
      </c>
    </row>
    <row r="1122" spans="1:6">
      <c r="A1122">
        <v>140003</v>
      </c>
      <c r="B1122" t="s">
        <v>18</v>
      </c>
      <c r="C1122" t="s">
        <v>9</v>
      </c>
      <c r="D1122" t="s">
        <v>830</v>
      </c>
      <c r="E1122" t="s">
        <v>831</v>
      </c>
      <c r="F1122" t="s">
        <v>835</v>
      </c>
    </row>
    <row r="1123" spans="1:6">
      <c r="A1123">
        <v>140004</v>
      </c>
      <c r="B1123" t="s">
        <v>18</v>
      </c>
      <c r="C1123" t="s">
        <v>9</v>
      </c>
      <c r="D1123" t="s">
        <v>830</v>
      </c>
      <c r="E1123" t="s">
        <v>831</v>
      </c>
      <c r="F1123" t="s">
        <v>836</v>
      </c>
    </row>
    <row r="1124" spans="1:6">
      <c r="A1124">
        <v>140005</v>
      </c>
      <c r="B1124" t="s">
        <v>18</v>
      </c>
      <c r="C1124" t="s">
        <v>9</v>
      </c>
      <c r="D1124" t="s">
        <v>830</v>
      </c>
      <c r="E1124" t="s">
        <v>831</v>
      </c>
      <c r="F1124" t="s">
        <v>837</v>
      </c>
    </row>
    <row r="1125" spans="1:6">
      <c r="A1125">
        <v>140006</v>
      </c>
      <c r="B1125" t="s">
        <v>18</v>
      </c>
      <c r="C1125" t="s">
        <v>9</v>
      </c>
      <c r="D1125" t="s">
        <v>830</v>
      </c>
      <c r="E1125" t="s">
        <v>831</v>
      </c>
      <c r="F1125" t="s">
        <v>838</v>
      </c>
    </row>
    <row r="1126" spans="1:6">
      <c r="B1126" t="s">
        <v>18</v>
      </c>
      <c r="C1126" t="s">
        <v>9</v>
      </c>
      <c r="D1126" t="s">
        <v>830</v>
      </c>
      <c r="E1126" t="s">
        <v>49</v>
      </c>
      <c r="F1126" t="s">
        <v>57</v>
      </c>
    </row>
    <row r="1127" spans="1:6">
      <c r="B1127" t="s">
        <v>18</v>
      </c>
      <c r="C1127" t="s">
        <v>9</v>
      </c>
      <c r="D1127" t="s">
        <v>830</v>
      </c>
      <c r="E1127" t="s">
        <v>58</v>
      </c>
      <c r="F1127" t="s">
        <v>59</v>
      </c>
    </row>
    <row r="1128" spans="1:6">
      <c r="A1128">
        <v>141000</v>
      </c>
      <c r="B1128" t="s">
        <v>8</v>
      </c>
      <c r="C1128" t="s">
        <v>9</v>
      </c>
      <c r="D1128" t="s">
        <v>839</v>
      </c>
      <c r="E1128" t="s">
        <v>48</v>
      </c>
      <c r="F1128" t="s">
        <v>839</v>
      </c>
    </row>
    <row r="1129" spans="1:6">
      <c r="A1129">
        <v>141001</v>
      </c>
      <c r="B1129" t="s">
        <v>8</v>
      </c>
      <c r="C1129" t="s">
        <v>9</v>
      </c>
      <c r="D1129" t="s">
        <v>839</v>
      </c>
      <c r="E1129" t="s">
        <v>49</v>
      </c>
      <c r="F1129" t="s">
        <v>840</v>
      </c>
    </row>
    <row r="1130" spans="1:6">
      <c r="A1130">
        <v>141002</v>
      </c>
      <c r="B1130" t="s">
        <v>8</v>
      </c>
      <c r="C1130" t="s">
        <v>9</v>
      </c>
      <c r="D1130" t="s">
        <v>839</v>
      </c>
      <c r="E1130" t="s">
        <v>49</v>
      </c>
      <c r="F1130" t="s">
        <v>841</v>
      </c>
    </row>
    <row r="1131" spans="1:6">
      <c r="A1131">
        <v>141003</v>
      </c>
      <c r="B1131" t="s">
        <v>8</v>
      </c>
      <c r="C1131" t="s">
        <v>9</v>
      </c>
      <c r="D1131" t="s">
        <v>839</v>
      </c>
      <c r="E1131" t="s">
        <v>49</v>
      </c>
      <c r="F1131" t="s">
        <v>842</v>
      </c>
    </row>
    <row r="1132" spans="1:6">
      <c r="A1132">
        <v>141004</v>
      </c>
      <c r="B1132" t="s">
        <v>8</v>
      </c>
      <c r="C1132" t="s">
        <v>9</v>
      </c>
      <c r="D1132" t="s">
        <v>839</v>
      </c>
      <c r="E1132" t="s">
        <v>49</v>
      </c>
      <c r="F1132" t="s">
        <v>843</v>
      </c>
    </row>
    <row r="1133" spans="1:6">
      <c r="A1133">
        <v>141005</v>
      </c>
      <c r="B1133" t="s">
        <v>8</v>
      </c>
      <c r="C1133" t="s">
        <v>9</v>
      </c>
      <c r="D1133" t="s">
        <v>839</v>
      </c>
      <c r="E1133" t="s">
        <v>49</v>
      </c>
      <c r="F1133" t="s">
        <v>844</v>
      </c>
    </row>
    <row r="1134" spans="1:6">
      <c r="A1134">
        <v>141006</v>
      </c>
      <c r="B1134" t="s">
        <v>8</v>
      </c>
      <c r="C1134" t="s">
        <v>9</v>
      </c>
      <c r="D1134" t="s">
        <v>839</v>
      </c>
      <c r="E1134" t="s">
        <v>49</v>
      </c>
      <c r="F1134" t="s">
        <v>80</v>
      </c>
    </row>
    <row r="1135" spans="1:6">
      <c r="A1135">
        <v>141007</v>
      </c>
      <c r="B1135" t="s">
        <v>8</v>
      </c>
      <c r="C1135" t="s">
        <v>9</v>
      </c>
      <c r="D1135" t="s">
        <v>839</v>
      </c>
      <c r="E1135" t="s">
        <v>49</v>
      </c>
      <c r="F1135" t="s">
        <v>845</v>
      </c>
    </row>
    <row r="1136" spans="1:6">
      <c r="A1136">
        <v>141008</v>
      </c>
      <c r="B1136" t="s">
        <v>8</v>
      </c>
      <c r="C1136" t="s">
        <v>9</v>
      </c>
      <c r="D1136" t="s">
        <v>839</v>
      </c>
      <c r="E1136" t="s">
        <v>49</v>
      </c>
      <c r="F1136" t="s">
        <v>81</v>
      </c>
    </row>
    <row r="1137" spans="1:6">
      <c r="A1137">
        <v>141009</v>
      </c>
      <c r="B1137" t="s">
        <v>8</v>
      </c>
      <c r="C1137" t="s">
        <v>9</v>
      </c>
      <c r="D1137" t="s">
        <v>839</v>
      </c>
      <c r="E1137" t="s">
        <v>49</v>
      </c>
      <c r="F1137" t="s">
        <v>82</v>
      </c>
    </row>
    <row r="1138" spans="1:6">
      <c r="A1138">
        <v>141010</v>
      </c>
      <c r="B1138" t="s">
        <v>8</v>
      </c>
      <c r="C1138" t="s">
        <v>9</v>
      </c>
      <c r="D1138" t="s">
        <v>839</v>
      </c>
      <c r="E1138" t="s">
        <v>49</v>
      </c>
      <c r="F1138" t="s">
        <v>846</v>
      </c>
    </row>
    <row r="1139" spans="1:6">
      <c r="A1139">
        <v>141011</v>
      </c>
      <c r="B1139" t="s">
        <v>8</v>
      </c>
      <c r="C1139" t="s">
        <v>9</v>
      </c>
      <c r="D1139" t="s">
        <v>839</v>
      </c>
      <c r="E1139" t="s">
        <v>49</v>
      </c>
      <c r="F1139" t="s">
        <v>847</v>
      </c>
    </row>
    <row r="1140" spans="1:6">
      <c r="A1140">
        <v>141012</v>
      </c>
      <c r="B1140" t="s">
        <v>8</v>
      </c>
      <c r="C1140" t="s">
        <v>9</v>
      </c>
      <c r="D1140" t="s">
        <v>839</v>
      </c>
      <c r="E1140" t="s">
        <v>49</v>
      </c>
      <c r="F1140" t="s">
        <v>848</v>
      </c>
    </row>
    <row r="1141" spans="1:6">
      <c r="A1141">
        <v>141013</v>
      </c>
      <c r="B1141" t="s">
        <v>8</v>
      </c>
      <c r="C1141" t="s">
        <v>9</v>
      </c>
      <c r="D1141" t="s">
        <v>839</v>
      </c>
      <c r="E1141" t="s">
        <v>49</v>
      </c>
      <c r="F1141" t="s">
        <v>849</v>
      </c>
    </row>
    <row r="1142" spans="1:6">
      <c r="A1142">
        <v>141014</v>
      </c>
      <c r="B1142" t="s">
        <v>8</v>
      </c>
      <c r="C1142" t="s">
        <v>9</v>
      </c>
      <c r="D1142" t="s">
        <v>839</v>
      </c>
      <c r="E1142" t="s">
        <v>49</v>
      </c>
      <c r="F1142" t="s">
        <v>850</v>
      </c>
    </row>
    <row r="1143" spans="1:6">
      <c r="A1143">
        <v>141015</v>
      </c>
      <c r="B1143" t="s">
        <v>8</v>
      </c>
      <c r="C1143" t="s">
        <v>9</v>
      </c>
      <c r="D1143" t="s">
        <v>839</v>
      </c>
      <c r="E1143" t="s">
        <v>49</v>
      </c>
      <c r="F1143" t="s">
        <v>851</v>
      </c>
    </row>
    <row r="1144" spans="1:6">
      <c r="B1144" t="s">
        <v>8</v>
      </c>
      <c r="C1144" t="s">
        <v>9</v>
      </c>
      <c r="D1144" t="s">
        <v>839</v>
      </c>
      <c r="E1144" t="s">
        <v>49</v>
      </c>
      <c r="F1144" t="s">
        <v>57</v>
      </c>
    </row>
    <row r="1145" spans="1:6">
      <c r="B1145" t="s">
        <v>8</v>
      </c>
      <c r="C1145" t="s">
        <v>9</v>
      </c>
      <c r="D1145" t="s">
        <v>839</v>
      </c>
      <c r="E1145" t="s">
        <v>58</v>
      </c>
      <c r="F1145" t="s">
        <v>59</v>
      </c>
    </row>
    <row r="1146" spans="1:6">
      <c r="A1146">
        <v>152000</v>
      </c>
      <c r="B1146" t="s">
        <v>598</v>
      </c>
      <c r="C1146" t="s">
        <v>9</v>
      </c>
      <c r="D1146" t="s">
        <v>852</v>
      </c>
      <c r="E1146" t="s">
        <v>119</v>
      </c>
      <c r="F1146" t="s">
        <v>852</v>
      </c>
    </row>
    <row r="1147" spans="1:6">
      <c r="A1147">
        <v>152001</v>
      </c>
      <c r="B1147" t="s">
        <v>598</v>
      </c>
      <c r="C1147" t="s">
        <v>9</v>
      </c>
      <c r="D1147" t="s">
        <v>852</v>
      </c>
      <c r="E1147" t="s">
        <v>120</v>
      </c>
      <c r="F1147" t="s">
        <v>853</v>
      </c>
    </row>
    <row r="1148" spans="1:6">
      <c r="A1148">
        <v>152002</v>
      </c>
      <c r="B1148" t="s">
        <v>598</v>
      </c>
      <c r="C1148" t="s">
        <v>9</v>
      </c>
      <c r="D1148" t="s">
        <v>852</v>
      </c>
      <c r="E1148" t="s">
        <v>49</v>
      </c>
      <c r="F1148" t="s">
        <v>854</v>
      </c>
    </row>
    <row r="1149" spans="1:6">
      <c r="A1149">
        <v>152003</v>
      </c>
      <c r="B1149" t="s">
        <v>598</v>
      </c>
      <c r="C1149" t="s">
        <v>9</v>
      </c>
      <c r="D1149" t="s">
        <v>852</v>
      </c>
      <c r="E1149" t="s">
        <v>49</v>
      </c>
      <c r="F1149" t="s">
        <v>855</v>
      </c>
    </row>
    <row r="1150" spans="1:6">
      <c r="A1150">
        <v>152004</v>
      </c>
      <c r="B1150" t="s">
        <v>598</v>
      </c>
      <c r="C1150" t="s">
        <v>9</v>
      </c>
      <c r="D1150" t="s">
        <v>852</v>
      </c>
      <c r="E1150" t="s">
        <v>831</v>
      </c>
      <c r="F1150" t="s">
        <v>856</v>
      </c>
    </row>
    <row r="1151" spans="1:6">
      <c r="A1151">
        <v>152005</v>
      </c>
      <c r="B1151" t="s">
        <v>598</v>
      </c>
      <c r="C1151" t="s">
        <v>9</v>
      </c>
      <c r="D1151" t="s">
        <v>852</v>
      </c>
      <c r="E1151" t="s">
        <v>831</v>
      </c>
      <c r="F1151" t="s">
        <v>857</v>
      </c>
    </row>
    <row r="1152" spans="1:6">
      <c r="A1152">
        <v>152006</v>
      </c>
      <c r="B1152" t="s">
        <v>598</v>
      </c>
      <c r="C1152" t="s">
        <v>9</v>
      </c>
      <c r="D1152" t="s">
        <v>852</v>
      </c>
      <c r="E1152" t="s">
        <v>831</v>
      </c>
      <c r="F1152" t="s">
        <v>858</v>
      </c>
    </row>
    <row r="1153" spans="1:6">
      <c r="A1153">
        <v>152007</v>
      </c>
      <c r="B1153" t="s">
        <v>598</v>
      </c>
      <c r="C1153" t="s">
        <v>9</v>
      </c>
      <c r="D1153" t="s">
        <v>852</v>
      </c>
      <c r="E1153" t="s">
        <v>831</v>
      </c>
      <c r="F1153" t="s">
        <v>859</v>
      </c>
    </row>
    <row r="1154" spans="1:6">
      <c r="A1154">
        <v>152008</v>
      </c>
      <c r="B1154" t="s">
        <v>598</v>
      </c>
      <c r="C1154" t="s">
        <v>9</v>
      </c>
      <c r="D1154" t="s">
        <v>852</v>
      </c>
      <c r="E1154" t="s">
        <v>831</v>
      </c>
      <c r="F1154" t="s">
        <v>860</v>
      </c>
    </row>
    <row r="1155" spans="1:6">
      <c r="A1155">
        <v>152009</v>
      </c>
      <c r="B1155" t="s">
        <v>598</v>
      </c>
      <c r="C1155" t="s">
        <v>9</v>
      </c>
      <c r="D1155" t="s">
        <v>852</v>
      </c>
      <c r="E1155" t="s">
        <v>861</v>
      </c>
      <c r="F1155" t="s">
        <v>862</v>
      </c>
    </row>
    <row r="1156" spans="1:6">
      <c r="A1156">
        <v>152010</v>
      </c>
      <c r="B1156" t="s">
        <v>598</v>
      </c>
      <c r="C1156" t="s">
        <v>9</v>
      </c>
      <c r="D1156" t="s">
        <v>852</v>
      </c>
      <c r="E1156" t="s">
        <v>831</v>
      </c>
      <c r="F1156" t="s">
        <v>863</v>
      </c>
    </row>
    <row r="1157" spans="1:6">
      <c r="A1157">
        <v>152011</v>
      </c>
      <c r="B1157" t="s">
        <v>598</v>
      </c>
      <c r="C1157" t="s">
        <v>9</v>
      </c>
      <c r="D1157" t="s">
        <v>852</v>
      </c>
      <c r="E1157" t="s">
        <v>831</v>
      </c>
      <c r="F1157" t="s">
        <v>864</v>
      </c>
    </row>
    <row r="1158" spans="1:6">
      <c r="A1158">
        <v>152012</v>
      </c>
      <c r="B1158" t="s">
        <v>598</v>
      </c>
      <c r="C1158" t="s">
        <v>9</v>
      </c>
      <c r="D1158" t="s">
        <v>852</v>
      </c>
      <c r="E1158" t="s">
        <v>831</v>
      </c>
      <c r="F1158" t="s">
        <v>865</v>
      </c>
    </row>
    <row r="1159" spans="1:6">
      <c r="A1159">
        <v>152013</v>
      </c>
      <c r="B1159" t="s">
        <v>598</v>
      </c>
      <c r="C1159" t="s">
        <v>9</v>
      </c>
      <c r="D1159" t="s">
        <v>852</v>
      </c>
      <c r="E1159" t="s">
        <v>831</v>
      </c>
      <c r="F1159" t="s">
        <v>866</v>
      </c>
    </row>
    <row r="1160" spans="1:6">
      <c r="A1160">
        <v>152014</v>
      </c>
      <c r="B1160" t="s">
        <v>598</v>
      </c>
      <c r="C1160" t="s">
        <v>9</v>
      </c>
      <c r="D1160" t="s">
        <v>852</v>
      </c>
      <c r="E1160" t="s">
        <v>831</v>
      </c>
      <c r="F1160" t="s">
        <v>867</v>
      </c>
    </row>
    <row r="1161" spans="1:6">
      <c r="A1161">
        <v>152015</v>
      </c>
      <c r="B1161" t="s">
        <v>598</v>
      </c>
      <c r="C1161" t="s">
        <v>9</v>
      </c>
      <c r="D1161" t="s">
        <v>852</v>
      </c>
      <c r="E1161" t="s">
        <v>861</v>
      </c>
      <c r="F1161" t="s">
        <v>868</v>
      </c>
    </row>
    <row r="1162" spans="1:6">
      <c r="A1162">
        <v>152016</v>
      </c>
      <c r="B1162" t="s">
        <v>598</v>
      </c>
      <c r="C1162" t="s">
        <v>9</v>
      </c>
      <c r="D1162" t="s">
        <v>852</v>
      </c>
      <c r="E1162" t="s">
        <v>831</v>
      </c>
      <c r="F1162" t="s">
        <v>869</v>
      </c>
    </row>
    <row r="1163" spans="1:6">
      <c r="A1163">
        <v>152017</v>
      </c>
      <c r="B1163" t="s">
        <v>598</v>
      </c>
      <c r="C1163" t="s">
        <v>9</v>
      </c>
      <c r="D1163" t="s">
        <v>852</v>
      </c>
      <c r="E1163" t="s">
        <v>831</v>
      </c>
      <c r="F1163" t="s">
        <v>870</v>
      </c>
    </row>
    <row r="1164" spans="1:6">
      <c r="A1164">
        <v>152018</v>
      </c>
      <c r="B1164" t="s">
        <v>598</v>
      </c>
      <c r="C1164" t="s">
        <v>9</v>
      </c>
      <c r="D1164" t="s">
        <v>852</v>
      </c>
      <c r="E1164" t="s">
        <v>831</v>
      </c>
      <c r="F1164" t="s">
        <v>871</v>
      </c>
    </row>
    <row r="1165" spans="1:6">
      <c r="A1165">
        <v>152019</v>
      </c>
      <c r="B1165" t="s">
        <v>598</v>
      </c>
      <c r="C1165" t="s">
        <v>9</v>
      </c>
      <c r="D1165" t="s">
        <v>852</v>
      </c>
      <c r="E1165" t="s">
        <v>831</v>
      </c>
      <c r="F1165" t="s">
        <v>872</v>
      </c>
    </row>
    <row r="1166" spans="1:6">
      <c r="A1166">
        <v>152020</v>
      </c>
      <c r="B1166" t="s">
        <v>598</v>
      </c>
      <c r="C1166" t="s">
        <v>9</v>
      </c>
      <c r="D1166" t="s">
        <v>852</v>
      </c>
      <c r="E1166" t="s">
        <v>831</v>
      </c>
      <c r="F1166" t="s">
        <v>873</v>
      </c>
    </row>
    <row r="1167" spans="1:6">
      <c r="A1167">
        <v>152021</v>
      </c>
      <c r="B1167" t="s">
        <v>598</v>
      </c>
      <c r="C1167" t="s">
        <v>9</v>
      </c>
      <c r="D1167" t="s">
        <v>852</v>
      </c>
      <c r="E1167" t="s">
        <v>831</v>
      </c>
      <c r="F1167" t="s">
        <v>874</v>
      </c>
    </row>
    <row r="1168" spans="1:6">
      <c r="A1168">
        <v>152022</v>
      </c>
      <c r="B1168" t="s">
        <v>598</v>
      </c>
      <c r="C1168" t="s">
        <v>9</v>
      </c>
      <c r="D1168" t="s">
        <v>852</v>
      </c>
      <c r="E1168" t="s">
        <v>861</v>
      </c>
      <c r="F1168" t="s">
        <v>875</v>
      </c>
    </row>
    <row r="1169" spans="1:6">
      <c r="A1169">
        <v>152023</v>
      </c>
      <c r="B1169" t="s">
        <v>598</v>
      </c>
      <c r="C1169" t="s">
        <v>9</v>
      </c>
      <c r="D1169" t="s">
        <v>852</v>
      </c>
      <c r="E1169" t="s">
        <v>831</v>
      </c>
      <c r="F1169" t="s">
        <v>876</v>
      </c>
    </row>
    <row r="1170" spans="1:6">
      <c r="A1170">
        <v>152024</v>
      </c>
      <c r="B1170" t="s">
        <v>598</v>
      </c>
      <c r="C1170" t="s">
        <v>9</v>
      </c>
      <c r="D1170" t="s">
        <v>852</v>
      </c>
      <c r="E1170" t="s">
        <v>831</v>
      </c>
      <c r="F1170" t="s">
        <v>877</v>
      </c>
    </row>
    <row r="1171" spans="1:6">
      <c r="A1171">
        <v>152025</v>
      </c>
      <c r="B1171" t="s">
        <v>598</v>
      </c>
      <c r="C1171" t="s">
        <v>9</v>
      </c>
      <c r="D1171" t="s">
        <v>852</v>
      </c>
      <c r="E1171" t="s">
        <v>831</v>
      </c>
      <c r="F1171" t="s">
        <v>878</v>
      </c>
    </row>
    <row r="1172" spans="1:6">
      <c r="A1172">
        <v>152026</v>
      </c>
      <c r="B1172" t="s">
        <v>598</v>
      </c>
      <c r="C1172" t="s">
        <v>9</v>
      </c>
      <c r="D1172" t="s">
        <v>852</v>
      </c>
      <c r="E1172" t="s">
        <v>831</v>
      </c>
      <c r="F1172" t="s">
        <v>879</v>
      </c>
    </row>
    <row r="1173" spans="1:6">
      <c r="A1173">
        <v>152027</v>
      </c>
      <c r="B1173" t="s">
        <v>598</v>
      </c>
      <c r="C1173" t="s">
        <v>9</v>
      </c>
      <c r="D1173" t="s">
        <v>852</v>
      </c>
      <c r="E1173" t="s">
        <v>831</v>
      </c>
      <c r="F1173" t="s">
        <v>880</v>
      </c>
    </row>
    <row r="1174" spans="1:6">
      <c r="A1174">
        <v>152028</v>
      </c>
      <c r="B1174" t="s">
        <v>598</v>
      </c>
      <c r="C1174" t="s">
        <v>9</v>
      </c>
      <c r="D1174" t="s">
        <v>852</v>
      </c>
      <c r="E1174" t="s">
        <v>831</v>
      </c>
      <c r="F1174" t="s">
        <v>881</v>
      </c>
    </row>
    <row r="1175" spans="1:6">
      <c r="A1175">
        <v>152029</v>
      </c>
      <c r="B1175" t="s">
        <v>598</v>
      </c>
      <c r="C1175" t="s">
        <v>9</v>
      </c>
      <c r="D1175" t="s">
        <v>852</v>
      </c>
      <c r="E1175" t="s">
        <v>831</v>
      </c>
      <c r="F1175" t="s">
        <v>882</v>
      </c>
    </row>
    <row r="1176" spans="1:6">
      <c r="A1176">
        <v>152030</v>
      </c>
      <c r="B1176" t="s">
        <v>598</v>
      </c>
      <c r="C1176" t="s">
        <v>9</v>
      </c>
      <c r="D1176" t="s">
        <v>852</v>
      </c>
      <c r="E1176" t="s">
        <v>58</v>
      </c>
      <c r="F1176" t="s">
        <v>883</v>
      </c>
    </row>
    <row r="1177" spans="1:6">
      <c r="B1177" t="s">
        <v>598</v>
      </c>
      <c r="C1177" t="s">
        <v>9</v>
      </c>
      <c r="D1177" t="s">
        <v>852</v>
      </c>
      <c r="E1177" t="s">
        <v>49</v>
      </c>
      <c r="F1177" t="s">
        <v>57</v>
      </c>
    </row>
    <row r="1178" spans="1:6">
      <c r="B1178" t="s">
        <v>598</v>
      </c>
      <c r="C1178" t="s">
        <v>9</v>
      </c>
      <c r="D1178" t="s">
        <v>852</v>
      </c>
      <c r="E1178" t="s">
        <v>58</v>
      </c>
      <c r="F1178" t="s">
        <v>59</v>
      </c>
    </row>
    <row r="1179" spans="1:6">
      <c r="A1179">
        <v>153000</v>
      </c>
      <c r="B1179" t="s">
        <v>22</v>
      </c>
      <c r="C1179" t="s">
        <v>9</v>
      </c>
      <c r="D1179" t="s">
        <v>884</v>
      </c>
      <c r="E1179" t="s">
        <v>48</v>
      </c>
      <c r="F1179" t="s">
        <v>884</v>
      </c>
    </row>
    <row r="1180" spans="1:6">
      <c r="A1180">
        <v>153001</v>
      </c>
      <c r="B1180" t="s">
        <v>22</v>
      </c>
      <c r="C1180" t="s">
        <v>9</v>
      </c>
      <c r="D1180" t="s">
        <v>884</v>
      </c>
      <c r="E1180" t="s">
        <v>49</v>
      </c>
      <c r="F1180" t="s">
        <v>540</v>
      </c>
    </row>
    <row r="1181" spans="1:6">
      <c r="A1181">
        <v>153002</v>
      </c>
      <c r="B1181" t="s">
        <v>22</v>
      </c>
      <c r="C1181" t="s">
        <v>9</v>
      </c>
      <c r="D1181" t="s">
        <v>884</v>
      </c>
      <c r="E1181" t="s">
        <v>49</v>
      </c>
      <c r="F1181" t="s">
        <v>541</v>
      </c>
    </row>
    <row r="1182" spans="1:6">
      <c r="A1182">
        <v>153003</v>
      </c>
      <c r="B1182" t="s">
        <v>22</v>
      </c>
      <c r="C1182" t="s">
        <v>9</v>
      </c>
      <c r="D1182" t="s">
        <v>884</v>
      </c>
      <c r="E1182" t="s">
        <v>49</v>
      </c>
      <c r="F1182" t="s">
        <v>542</v>
      </c>
    </row>
    <row r="1183" spans="1:6">
      <c r="A1183">
        <v>153004</v>
      </c>
      <c r="B1183" t="s">
        <v>22</v>
      </c>
      <c r="C1183" t="s">
        <v>9</v>
      </c>
      <c r="D1183" t="s">
        <v>884</v>
      </c>
      <c r="E1183" t="s">
        <v>49</v>
      </c>
      <c r="F1183" t="s">
        <v>543</v>
      </c>
    </row>
    <row r="1184" spans="1:6">
      <c r="A1184">
        <v>153005</v>
      </c>
      <c r="B1184" t="s">
        <v>22</v>
      </c>
      <c r="C1184" t="s">
        <v>9</v>
      </c>
      <c r="D1184" t="s">
        <v>884</v>
      </c>
      <c r="E1184" t="s">
        <v>49</v>
      </c>
      <c r="F1184" t="s">
        <v>544</v>
      </c>
    </row>
    <row r="1185" spans="1:6">
      <c r="A1185">
        <v>153006</v>
      </c>
      <c r="B1185" t="s">
        <v>22</v>
      </c>
      <c r="C1185" t="s">
        <v>9</v>
      </c>
      <c r="D1185" t="s">
        <v>884</v>
      </c>
      <c r="E1185" t="s">
        <v>49</v>
      </c>
      <c r="F1185" t="s">
        <v>545</v>
      </c>
    </row>
    <row r="1186" spans="1:6">
      <c r="A1186">
        <v>153007</v>
      </c>
      <c r="B1186" t="s">
        <v>22</v>
      </c>
      <c r="C1186" t="s">
        <v>9</v>
      </c>
      <c r="D1186" t="s">
        <v>884</v>
      </c>
      <c r="E1186" t="s">
        <v>49</v>
      </c>
      <c r="F1186" t="s">
        <v>546</v>
      </c>
    </row>
    <row r="1187" spans="1:6">
      <c r="B1187" t="s">
        <v>22</v>
      </c>
      <c r="C1187" t="s">
        <v>9</v>
      </c>
      <c r="D1187" t="s">
        <v>884</v>
      </c>
      <c r="E1187" t="s">
        <v>49</v>
      </c>
      <c r="F1187" t="s">
        <v>57</v>
      </c>
    </row>
    <row r="1188" spans="1:6">
      <c r="B1188" t="s">
        <v>22</v>
      </c>
      <c r="C1188" t="s">
        <v>9</v>
      </c>
      <c r="D1188" t="s">
        <v>884</v>
      </c>
      <c r="E1188" t="s">
        <v>58</v>
      </c>
      <c r="F1188" t="s">
        <v>59</v>
      </c>
    </row>
    <row r="1189" spans="1:6">
      <c r="A1189">
        <v>154000</v>
      </c>
      <c r="B1189" t="s">
        <v>22</v>
      </c>
      <c r="C1189" t="s">
        <v>9</v>
      </c>
      <c r="D1189" t="s">
        <v>885</v>
      </c>
      <c r="E1189" t="s">
        <v>48</v>
      </c>
      <c r="F1189" t="s">
        <v>885</v>
      </c>
    </row>
    <row r="1190" spans="1:6">
      <c r="A1190">
        <v>154001</v>
      </c>
      <c r="B1190" t="s">
        <v>22</v>
      </c>
      <c r="C1190" t="s">
        <v>9</v>
      </c>
      <c r="D1190" t="s">
        <v>885</v>
      </c>
      <c r="E1190" t="s">
        <v>49</v>
      </c>
      <c r="F1190" t="s">
        <v>886</v>
      </c>
    </row>
    <row r="1191" spans="1:6">
      <c r="A1191">
        <v>154002</v>
      </c>
      <c r="B1191" t="s">
        <v>22</v>
      </c>
      <c r="C1191" t="s">
        <v>9</v>
      </c>
      <c r="D1191" t="s">
        <v>885</v>
      </c>
      <c r="E1191" t="s">
        <v>49</v>
      </c>
      <c r="F1191" t="s">
        <v>887</v>
      </c>
    </row>
    <row r="1192" spans="1:6">
      <c r="A1192">
        <v>154003</v>
      </c>
      <c r="B1192" t="s">
        <v>22</v>
      </c>
      <c r="C1192" t="s">
        <v>9</v>
      </c>
      <c r="D1192" t="s">
        <v>885</v>
      </c>
      <c r="E1192" t="s">
        <v>49</v>
      </c>
      <c r="F1192" t="s">
        <v>888</v>
      </c>
    </row>
    <row r="1193" spans="1:6">
      <c r="A1193">
        <v>154004</v>
      </c>
      <c r="B1193" t="s">
        <v>22</v>
      </c>
      <c r="C1193" t="s">
        <v>9</v>
      </c>
      <c r="D1193" t="s">
        <v>885</v>
      </c>
      <c r="E1193" t="s">
        <v>49</v>
      </c>
      <c r="F1193" t="s">
        <v>889</v>
      </c>
    </row>
    <row r="1194" spans="1:6">
      <c r="A1194">
        <v>154005</v>
      </c>
      <c r="B1194" t="s">
        <v>22</v>
      </c>
      <c r="C1194" t="s">
        <v>9</v>
      </c>
      <c r="D1194" t="s">
        <v>885</v>
      </c>
      <c r="E1194" t="s">
        <v>49</v>
      </c>
      <c r="F1194" t="s">
        <v>890</v>
      </c>
    </row>
    <row r="1195" spans="1:6">
      <c r="A1195">
        <v>154006</v>
      </c>
      <c r="B1195" t="s">
        <v>22</v>
      </c>
      <c r="C1195" t="s">
        <v>9</v>
      </c>
      <c r="D1195" t="s">
        <v>885</v>
      </c>
      <c r="E1195" t="s">
        <v>49</v>
      </c>
      <c r="F1195" t="s">
        <v>891</v>
      </c>
    </row>
    <row r="1196" spans="1:6">
      <c r="A1196">
        <v>154007</v>
      </c>
      <c r="B1196" t="s">
        <v>22</v>
      </c>
      <c r="C1196" t="s">
        <v>9</v>
      </c>
      <c r="D1196" t="s">
        <v>885</v>
      </c>
      <c r="E1196" t="s">
        <v>49</v>
      </c>
      <c r="F1196" t="s">
        <v>892</v>
      </c>
    </row>
    <row r="1197" spans="1:6">
      <c r="B1197" t="s">
        <v>22</v>
      </c>
      <c r="C1197" t="s">
        <v>9</v>
      </c>
      <c r="D1197" t="s">
        <v>885</v>
      </c>
      <c r="E1197" t="s">
        <v>49</v>
      </c>
      <c r="F1197" t="s">
        <v>57</v>
      </c>
    </row>
    <row r="1198" spans="1:6">
      <c r="B1198" t="s">
        <v>22</v>
      </c>
      <c r="C1198" t="s">
        <v>9</v>
      </c>
      <c r="D1198" t="s">
        <v>885</v>
      </c>
      <c r="E1198" t="s">
        <v>58</v>
      </c>
      <c r="F1198" t="s">
        <v>59</v>
      </c>
    </row>
    <row r="1199" spans="1:6">
      <c r="A1199">
        <v>160000</v>
      </c>
      <c r="B1199" t="s">
        <v>22</v>
      </c>
      <c r="C1199" t="s">
        <v>9</v>
      </c>
      <c r="D1199" t="s">
        <v>893</v>
      </c>
      <c r="E1199" t="s">
        <v>48</v>
      </c>
      <c r="F1199" t="s">
        <v>893</v>
      </c>
    </row>
    <row r="1200" spans="1:6">
      <c r="A1200">
        <v>160001</v>
      </c>
      <c r="B1200" t="s">
        <v>22</v>
      </c>
      <c r="C1200" t="s">
        <v>9</v>
      </c>
      <c r="D1200" t="s">
        <v>893</v>
      </c>
      <c r="E1200" t="s">
        <v>49</v>
      </c>
      <c r="F1200" t="s">
        <v>894</v>
      </c>
    </row>
    <row r="1201" spans="1:6">
      <c r="A1201">
        <v>160002</v>
      </c>
      <c r="B1201" t="s">
        <v>22</v>
      </c>
      <c r="C1201" t="s">
        <v>9</v>
      </c>
      <c r="D1201" t="s">
        <v>893</v>
      </c>
      <c r="E1201" t="s">
        <v>49</v>
      </c>
      <c r="F1201" t="s">
        <v>895</v>
      </c>
    </row>
    <row r="1202" spans="1:6">
      <c r="A1202">
        <v>160003</v>
      </c>
      <c r="B1202" t="s">
        <v>22</v>
      </c>
      <c r="C1202" t="s">
        <v>9</v>
      </c>
      <c r="D1202" t="s">
        <v>893</v>
      </c>
      <c r="E1202" t="s">
        <v>49</v>
      </c>
      <c r="F1202" t="s">
        <v>896</v>
      </c>
    </row>
    <row r="1203" spans="1:6">
      <c r="A1203">
        <v>160004</v>
      </c>
      <c r="B1203" t="s">
        <v>22</v>
      </c>
      <c r="C1203" t="s">
        <v>9</v>
      </c>
      <c r="D1203" t="s">
        <v>893</v>
      </c>
      <c r="E1203" t="s">
        <v>49</v>
      </c>
      <c r="F1203" t="s">
        <v>897</v>
      </c>
    </row>
    <row r="1204" spans="1:6">
      <c r="A1204">
        <v>160005</v>
      </c>
      <c r="B1204" t="s">
        <v>22</v>
      </c>
      <c r="C1204" t="s">
        <v>9</v>
      </c>
      <c r="D1204" t="s">
        <v>893</v>
      </c>
      <c r="E1204" t="s">
        <v>49</v>
      </c>
      <c r="F1204" t="s">
        <v>898</v>
      </c>
    </row>
    <row r="1205" spans="1:6">
      <c r="B1205" t="s">
        <v>22</v>
      </c>
      <c r="C1205" t="s">
        <v>9</v>
      </c>
      <c r="D1205" t="s">
        <v>893</v>
      </c>
      <c r="E1205" t="s">
        <v>49</v>
      </c>
      <c r="F1205" t="s">
        <v>57</v>
      </c>
    </row>
    <row r="1206" spans="1:6">
      <c r="B1206" t="s">
        <v>22</v>
      </c>
      <c r="C1206" t="s">
        <v>9</v>
      </c>
      <c r="D1206" t="s">
        <v>893</v>
      </c>
      <c r="E1206" t="s">
        <v>58</v>
      </c>
      <c r="F1206" t="s">
        <v>59</v>
      </c>
    </row>
    <row r="1207" spans="1:6">
      <c r="A1207">
        <v>161000</v>
      </c>
      <c r="B1207" t="s">
        <v>22</v>
      </c>
      <c r="C1207" t="s">
        <v>9</v>
      </c>
      <c r="D1207" t="s">
        <v>899</v>
      </c>
      <c r="E1207" t="s">
        <v>48</v>
      </c>
      <c r="F1207" t="s">
        <v>899</v>
      </c>
    </row>
    <row r="1208" spans="1:6">
      <c r="A1208">
        <v>161001</v>
      </c>
      <c r="B1208" t="s">
        <v>22</v>
      </c>
      <c r="C1208" t="s">
        <v>9</v>
      </c>
      <c r="D1208" t="s">
        <v>899</v>
      </c>
      <c r="E1208" t="s">
        <v>49</v>
      </c>
      <c r="F1208" t="s">
        <v>900</v>
      </c>
    </row>
    <row r="1209" spans="1:6">
      <c r="A1209">
        <v>161002</v>
      </c>
      <c r="B1209" t="s">
        <v>22</v>
      </c>
      <c r="C1209" t="s">
        <v>9</v>
      </c>
      <c r="D1209" t="s">
        <v>899</v>
      </c>
      <c r="E1209" t="s">
        <v>901</v>
      </c>
      <c r="F1209" t="s">
        <v>902</v>
      </c>
    </row>
    <row r="1210" spans="1:6">
      <c r="A1210">
        <v>161003</v>
      </c>
      <c r="B1210" t="s">
        <v>22</v>
      </c>
      <c r="C1210" t="s">
        <v>9</v>
      </c>
      <c r="D1210" t="s">
        <v>899</v>
      </c>
      <c r="E1210" t="s">
        <v>49</v>
      </c>
      <c r="F1210" t="s">
        <v>903</v>
      </c>
    </row>
    <row r="1211" spans="1:6">
      <c r="A1211">
        <v>161004</v>
      </c>
      <c r="B1211" t="s">
        <v>22</v>
      </c>
      <c r="C1211" t="s">
        <v>9</v>
      </c>
      <c r="D1211" t="s">
        <v>899</v>
      </c>
      <c r="E1211" t="s">
        <v>49</v>
      </c>
      <c r="F1211" t="s">
        <v>904</v>
      </c>
    </row>
    <row r="1212" spans="1:6">
      <c r="A1212">
        <v>161005</v>
      </c>
      <c r="B1212" t="s">
        <v>22</v>
      </c>
      <c r="C1212" t="s">
        <v>9</v>
      </c>
      <c r="D1212" t="s">
        <v>899</v>
      </c>
      <c r="E1212" t="s">
        <v>49</v>
      </c>
      <c r="F1212" t="s">
        <v>905</v>
      </c>
    </row>
    <row r="1213" spans="1:6">
      <c r="A1213">
        <v>161006</v>
      </c>
      <c r="B1213" t="s">
        <v>22</v>
      </c>
      <c r="C1213" t="s">
        <v>9</v>
      </c>
      <c r="D1213" t="s">
        <v>899</v>
      </c>
      <c r="E1213" t="s">
        <v>49</v>
      </c>
      <c r="F1213" t="s">
        <v>906</v>
      </c>
    </row>
    <row r="1214" spans="1:6">
      <c r="A1214">
        <v>161007</v>
      </c>
      <c r="B1214" t="s">
        <v>22</v>
      </c>
      <c r="C1214" t="s">
        <v>9</v>
      </c>
      <c r="D1214" t="s">
        <v>899</v>
      </c>
      <c r="E1214" t="s">
        <v>49</v>
      </c>
      <c r="F1214" t="s">
        <v>907</v>
      </c>
    </row>
    <row r="1215" spans="1:6">
      <c r="A1215">
        <v>161008</v>
      </c>
      <c r="B1215" t="s">
        <v>22</v>
      </c>
      <c r="C1215" t="s">
        <v>9</v>
      </c>
      <c r="D1215" t="s">
        <v>899</v>
      </c>
      <c r="E1215" t="s">
        <v>58</v>
      </c>
      <c r="F1215" t="s">
        <v>908</v>
      </c>
    </row>
    <row r="1216" spans="1:6">
      <c r="B1216" t="s">
        <v>22</v>
      </c>
      <c r="C1216" t="s">
        <v>9</v>
      </c>
      <c r="D1216" t="s">
        <v>899</v>
      </c>
      <c r="E1216" t="s">
        <v>49</v>
      </c>
      <c r="F1216" t="s">
        <v>57</v>
      </c>
    </row>
    <row r="1217" spans="1:6">
      <c r="B1217" t="s">
        <v>22</v>
      </c>
      <c r="C1217" t="s">
        <v>9</v>
      </c>
      <c r="D1217" t="s">
        <v>899</v>
      </c>
      <c r="E1217" t="s">
        <v>58</v>
      </c>
      <c r="F1217" t="s">
        <v>59</v>
      </c>
    </row>
    <row r="1218" spans="1:6">
      <c r="A1218">
        <v>162000</v>
      </c>
      <c r="B1218" t="s">
        <v>598</v>
      </c>
      <c r="C1218" t="s">
        <v>9</v>
      </c>
      <c r="D1218" t="s">
        <v>909</v>
      </c>
      <c r="E1218" t="s">
        <v>48</v>
      </c>
      <c r="F1218" t="s">
        <v>909</v>
      </c>
    </row>
    <row r="1219" spans="1:6">
      <c r="A1219">
        <v>162001</v>
      </c>
      <c r="B1219" t="s">
        <v>598</v>
      </c>
      <c r="C1219" t="s">
        <v>9</v>
      </c>
      <c r="D1219" t="s">
        <v>909</v>
      </c>
      <c r="E1219" t="s">
        <v>49</v>
      </c>
      <c r="F1219" t="s">
        <v>910</v>
      </c>
    </row>
    <row r="1220" spans="1:6">
      <c r="A1220">
        <v>162002</v>
      </c>
      <c r="B1220" t="s">
        <v>598</v>
      </c>
      <c r="C1220" t="s">
        <v>9</v>
      </c>
      <c r="D1220" t="s">
        <v>909</v>
      </c>
      <c r="E1220" t="s">
        <v>49</v>
      </c>
      <c r="F1220" t="s">
        <v>911</v>
      </c>
    </row>
    <row r="1221" spans="1:6">
      <c r="A1221">
        <v>162003</v>
      </c>
      <c r="B1221" t="s">
        <v>598</v>
      </c>
      <c r="C1221" t="s">
        <v>9</v>
      </c>
      <c r="D1221" t="s">
        <v>909</v>
      </c>
      <c r="E1221" t="s">
        <v>58</v>
      </c>
      <c r="F1221" t="s">
        <v>912</v>
      </c>
    </row>
    <row r="1222" spans="1:6">
      <c r="B1222" t="s">
        <v>598</v>
      </c>
      <c r="C1222" t="s">
        <v>9</v>
      </c>
      <c r="D1222" t="s">
        <v>909</v>
      </c>
      <c r="E1222" t="s">
        <v>49</v>
      </c>
      <c r="F1222" t="s">
        <v>57</v>
      </c>
    </row>
    <row r="1223" spans="1:6">
      <c r="B1223" t="s">
        <v>598</v>
      </c>
      <c r="C1223" t="s">
        <v>9</v>
      </c>
      <c r="D1223" t="s">
        <v>909</v>
      </c>
      <c r="E1223" t="s">
        <v>58</v>
      </c>
      <c r="F1223" t="s">
        <v>59</v>
      </c>
    </row>
    <row r="1224" spans="1:6">
      <c r="A1224">
        <v>163000</v>
      </c>
      <c r="B1224" t="s">
        <v>598</v>
      </c>
      <c r="C1224" t="s">
        <v>9</v>
      </c>
      <c r="D1224" t="s">
        <v>913</v>
      </c>
      <c r="E1224" t="s">
        <v>48</v>
      </c>
      <c r="F1224" t="s">
        <v>913</v>
      </c>
    </row>
    <row r="1225" spans="1:6">
      <c r="A1225">
        <v>163001</v>
      </c>
      <c r="B1225" t="s">
        <v>598</v>
      </c>
      <c r="C1225" t="s">
        <v>9</v>
      </c>
      <c r="D1225" t="s">
        <v>913</v>
      </c>
      <c r="E1225" t="s">
        <v>49</v>
      </c>
      <c r="F1225" t="s">
        <v>914</v>
      </c>
    </row>
    <row r="1226" spans="1:6">
      <c r="A1226">
        <v>163002</v>
      </c>
      <c r="B1226" t="s">
        <v>598</v>
      </c>
      <c r="C1226" t="s">
        <v>9</v>
      </c>
      <c r="D1226" t="s">
        <v>913</v>
      </c>
      <c r="E1226" t="s">
        <v>49</v>
      </c>
      <c r="F1226" t="s">
        <v>915</v>
      </c>
    </row>
    <row r="1227" spans="1:6">
      <c r="A1227">
        <v>163003</v>
      </c>
      <c r="B1227" t="s">
        <v>598</v>
      </c>
      <c r="C1227" t="s">
        <v>9</v>
      </c>
      <c r="D1227" t="s">
        <v>913</v>
      </c>
      <c r="E1227" t="s">
        <v>58</v>
      </c>
      <c r="F1227" t="s">
        <v>912</v>
      </c>
    </row>
    <row r="1228" spans="1:6">
      <c r="B1228" t="s">
        <v>598</v>
      </c>
      <c r="C1228" t="s">
        <v>9</v>
      </c>
      <c r="D1228" t="s">
        <v>913</v>
      </c>
      <c r="E1228" t="s">
        <v>49</v>
      </c>
      <c r="F1228" t="s">
        <v>57</v>
      </c>
    </row>
    <row r="1229" spans="1:6">
      <c r="B1229" t="s">
        <v>598</v>
      </c>
      <c r="C1229" t="s">
        <v>9</v>
      </c>
      <c r="D1229" t="s">
        <v>913</v>
      </c>
      <c r="E1229" t="s">
        <v>58</v>
      </c>
      <c r="F1229" t="s">
        <v>59</v>
      </c>
    </row>
    <row r="1230" spans="1:6">
      <c r="A1230">
        <v>164000</v>
      </c>
      <c r="B1230" t="s">
        <v>567</v>
      </c>
      <c r="C1230" t="s">
        <v>9</v>
      </c>
      <c r="D1230" t="s">
        <v>916</v>
      </c>
      <c r="E1230" t="s">
        <v>43</v>
      </c>
      <c r="F1230" t="s">
        <v>916</v>
      </c>
    </row>
    <row r="1231" spans="1:6">
      <c r="A1231">
        <v>164001</v>
      </c>
      <c r="B1231" t="s">
        <v>567</v>
      </c>
      <c r="C1231" t="s">
        <v>9</v>
      </c>
      <c r="D1231" t="s">
        <v>916</v>
      </c>
      <c r="E1231" t="s">
        <v>861</v>
      </c>
      <c r="F1231" t="s">
        <v>917</v>
      </c>
    </row>
    <row r="1232" spans="1:6">
      <c r="A1232">
        <v>164002</v>
      </c>
      <c r="B1232" t="s">
        <v>567</v>
      </c>
      <c r="C1232" t="s">
        <v>9</v>
      </c>
      <c r="D1232" t="s">
        <v>916</v>
      </c>
      <c r="E1232" t="s">
        <v>49</v>
      </c>
      <c r="F1232" t="s">
        <v>918</v>
      </c>
    </row>
    <row r="1233" spans="1:6">
      <c r="A1233">
        <v>164003</v>
      </c>
      <c r="B1233" t="s">
        <v>567</v>
      </c>
      <c r="C1233" t="s">
        <v>9</v>
      </c>
      <c r="D1233" t="s">
        <v>916</v>
      </c>
      <c r="E1233" t="s">
        <v>49</v>
      </c>
      <c r="F1233" t="s">
        <v>919</v>
      </c>
    </row>
    <row r="1234" spans="1:6">
      <c r="A1234">
        <v>164004</v>
      </c>
      <c r="B1234" t="s">
        <v>567</v>
      </c>
      <c r="C1234" t="s">
        <v>9</v>
      </c>
      <c r="D1234" t="s">
        <v>916</v>
      </c>
      <c r="E1234" t="s">
        <v>861</v>
      </c>
      <c r="F1234" t="s">
        <v>920</v>
      </c>
    </row>
    <row r="1235" spans="1:6">
      <c r="A1235">
        <v>164005</v>
      </c>
      <c r="B1235" t="s">
        <v>567</v>
      </c>
      <c r="C1235" t="s">
        <v>9</v>
      </c>
      <c r="D1235" t="s">
        <v>916</v>
      </c>
      <c r="E1235" t="s">
        <v>49</v>
      </c>
      <c r="F1235" t="s">
        <v>921</v>
      </c>
    </row>
    <row r="1236" spans="1:6">
      <c r="A1236">
        <v>164006</v>
      </c>
      <c r="B1236" t="s">
        <v>567</v>
      </c>
      <c r="C1236" t="s">
        <v>9</v>
      </c>
      <c r="D1236" t="s">
        <v>916</v>
      </c>
      <c r="E1236" t="s">
        <v>49</v>
      </c>
      <c r="F1236" t="s">
        <v>918</v>
      </c>
    </row>
    <row r="1237" spans="1:6">
      <c r="A1237">
        <v>164007</v>
      </c>
      <c r="B1237" t="s">
        <v>567</v>
      </c>
      <c r="C1237" t="s">
        <v>9</v>
      </c>
      <c r="D1237" t="s">
        <v>916</v>
      </c>
      <c r="E1237" t="s">
        <v>49</v>
      </c>
      <c r="F1237" t="s">
        <v>922</v>
      </c>
    </row>
    <row r="1238" spans="1:6">
      <c r="A1238">
        <v>164008</v>
      </c>
      <c r="B1238" t="s">
        <v>567</v>
      </c>
      <c r="C1238" t="s">
        <v>9</v>
      </c>
      <c r="D1238" t="s">
        <v>916</v>
      </c>
      <c r="E1238" t="s">
        <v>49</v>
      </c>
      <c r="F1238" t="s">
        <v>923</v>
      </c>
    </row>
    <row r="1239" spans="1:6">
      <c r="A1239">
        <v>164009</v>
      </c>
      <c r="B1239" t="s">
        <v>567</v>
      </c>
      <c r="C1239" t="s">
        <v>9</v>
      </c>
      <c r="D1239" t="s">
        <v>916</v>
      </c>
      <c r="E1239" t="s">
        <v>49</v>
      </c>
      <c r="F1239" t="s">
        <v>924</v>
      </c>
    </row>
    <row r="1240" spans="1:6">
      <c r="A1240">
        <v>164010</v>
      </c>
      <c r="B1240" t="s">
        <v>567</v>
      </c>
      <c r="C1240" t="s">
        <v>9</v>
      </c>
      <c r="D1240" t="s">
        <v>916</v>
      </c>
      <c r="E1240" t="s">
        <v>49</v>
      </c>
      <c r="F1240" t="s">
        <v>925</v>
      </c>
    </row>
    <row r="1241" spans="1:6">
      <c r="A1241">
        <v>164011</v>
      </c>
      <c r="B1241" t="s">
        <v>567</v>
      </c>
      <c r="C1241" t="s">
        <v>9</v>
      </c>
      <c r="D1241" t="s">
        <v>916</v>
      </c>
      <c r="E1241" t="s">
        <v>49</v>
      </c>
      <c r="F1241" t="s">
        <v>926</v>
      </c>
    </row>
    <row r="1242" spans="1:6">
      <c r="A1242">
        <v>164012</v>
      </c>
      <c r="B1242" t="s">
        <v>567</v>
      </c>
      <c r="C1242" t="s">
        <v>9</v>
      </c>
      <c r="D1242" t="s">
        <v>916</v>
      </c>
      <c r="E1242" t="s">
        <v>49</v>
      </c>
      <c r="F1242" t="s">
        <v>927</v>
      </c>
    </row>
    <row r="1243" spans="1:6">
      <c r="A1243">
        <v>164013</v>
      </c>
      <c r="B1243" t="s">
        <v>567</v>
      </c>
      <c r="C1243" t="s">
        <v>9</v>
      </c>
      <c r="D1243" t="s">
        <v>916</v>
      </c>
      <c r="E1243" t="s">
        <v>861</v>
      </c>
      <c r="F1243" t="s">
        <v>928</v>
      </c>
    </row>
    <row r="1244" spans="1:6">
      <c r="A1244">
        <v>164014</v>
      </c>
      <c r="B1244" t="s">
        <v>567</v>
      </c>
      <c r="C1244" t="s">
        <v>9</v>
      </c>
      <c r="D1244" t="s">
        <v>916</v>
      </c>
      <c r="E1244" t="s">
        <v>49</v>
      </c>
      <c r="F1244" t="s">
        <v>929</v>
      </c>
    </row>
    <row r="1245" spans="1:6">
      <c r="A1245">
        <v>164015</v>
      </c>
      <c r="B1245" t="s">
        <v>567</v>
      </c>
      <c r="C1245" t="s">
        <v>9</v>
      </c>
      <c r="D1245" t="s">
        <v>916</v>
      </c>
      <c r="E1245" t="s">
        <v>49</v>
      </c>
      <c r="F1245" t="s">
        <v>930</v>
      </c>
    </row>
    <row r="1246" spans="1:6">
      <c r="A1246">
        <v>164016</v>
      </c>
      <c r="B1246" t="s">
        <v>567</v>
      </c>
      <c r="C1246" t="s">
        <v>9</v>
      </c>
      <c r="D1246" t="s">
        <v>916</v>
      </c>
      <c r="E1246" t="s">
        <v>861</v>
      </c>
      <c r="F1246" t="s">
        <v>931</v>
      </c>
    </row>
    <row r="1247" spans="1:6">
      <c r="A1247">
        <v>164017</v>
      </c>
      <c r="B1247" t="s">
        <v>567</v>
      </c>
      <c r="C1247" t="s">
        <v>9</v>
      </c>
      <c r="D1247" t="s">
        <v>916</v>
      </c>
      <c r="E1247" t="s">
        <v>49</v>
      </c>
      <c r="F1247" t="s">
        <v>932</v>
      </c>
    </row>
    <row r="1248" spans="1:6">
      <c r="B1248" t="s">
        <v>567</v>
      </c>
      <c r="C1248" t="s">
        <v>9</v>
      </c>
      <c r="D1248" t="s">
        <v>916</v>
      </c>
      <c r="E1248" t="s">
        <v>49</v>
      </c>
      <c r="F1248" t="s">
        <v>57</v>
      </c>
    </row>
    <row r="1249" spans="1:6">
      <c r="B1249" t="s">
        <v>567</v>
      </c>
      <c r="C1249" t="s">
        <v>9</v>
      </c>
      <c r="D1249" t="s">
        <v>916</v>
      </c>
      <c r="E1249" t="s">
        <v>58</v>
      </c>
      <c r="F1249" t="s">
        <v>59</v>
      </c>
    </row>
    <row r="1250" spans="1:6">
      <c r="A1250">
        <v>166000</v>
      </c>
      <c r="B1250" t="s">
        <v>22</v>
      </c>
      <c r="C1250" t="s">
        <v>9</v>
      </c>
      <c r="D1250" t="s">
        <v>933</v>
      </c>
      <c r="E1250" t="s">
        <v>48</v>
      </c>
      <c r="F1250" t="s">
        <v>933</v>
      </c>
    </row>
    <row r="1251" spans="1:6">
      <c r="A1251">
        <v>166001</v>
      </c>
      <c r="B1251" t="s">
        <v>22</v>
      </c>
      <c r="C1251" t="s">
        <v>9</v>
      </c>
      <c r="D1251" t="s">
        <v>933</v>
      </c>
      <c r="E1251" t="s">
        <v>49</v>
      </c>
      <c r="F1251" t="s">
        <v>934</v>
      </c>
    </row>
    <row r="1252" spans="1:6">
      <c r="A1252">
        <v>166002</v>
      </c>
      <c r="B1252" t="s">
        <v>22</v>
      </c>
      <c r="C1252" t="s">
        <v>9</v>
      </c>
      <c r="D1252" t="s">
        <v>933</v>
      </c>
      <c r="E1252" t="s">
        <v>49</v>
      </c>
      <c r="F1252" t="s">
        <v>935</v>
      </c>
    </row>
    <row r="1253" spans="1:6">
      <c r="A1253">
        <v>166003</v>
      </c>
      <c r="B1253" t="s">
        <v>22</v>
      </c>
      <c r="C1253" t="s">
        <v>9</v>
      </c>
      <c r="D1253" t="s">
        <v>933</v>
      </c>
      <c r="E1253" t="s">
        <v>49</v>
      </c>
      <c r="F1253" t="s">
        <v>936</v>
      </c>
    </row>
    <row r="1254" spans="1:6">
      <c r="A1254">
        <v>166004</v>
      </c>
      <c r="B1254" t="s">
        <v>22</v>
      </c>
      <c r="C1254" t="s">
        <v>9</v>
      </c>
      <c r="D1254" t="s">
        <v>933</v>
      </c>
      <c r="E1254" t="s">
        <v>49</v>
      </c>
      <c r="F1254" t="s">
        <v>937</v>
      </c>
    </row>
    <row r="1255" spans="1:6">
      <c r="A1255">
        <v>166005</v>
      </c>
      <c r="B1255" t="s">
        <v>22</v>
      </c>
      <c r="C1255" t="s">
        <v>9</v>
      </c>
      <c r="D1255" t="s">
        <v>933</v>
      </c>
      <c r="E1255" t="s">
        <v>49</v>
      </c>
      <c r="F1255" t="s">
        <v>938</v>
      </c>
    </row>
    <row r="1256" spans="1:6">
      <c r="A1256">
        <v>166006</v>
      </c>
      <c r="B1256" t="s">
        <v>22</v>
      </c>
      <c r="C1256" t="s">
        <v>9</v>
      </c>
      <c r="D1256" t="s">
        <v>933</v>
      </c>
      <c r="E1256" t="s">
        <v>58</v>
      </c>
      <c r="F1256" t="s">
        <v>908</v>
      </c>
    </row>
    <row r="1257" spans="1:6">
      <c r="B1257" t="s">
        <v>22</v>
      </c>
      <c r="C1257" t="s">
        <v>9</v>
      </c>
      <c r="D1257" t="s">
        <v>933</v>
      </c>
      <c r="E1257" t="s">
        <v>49</v>
      </c>
      <c r="F1257" t="s">
        <v>57</v>
      </c>
    </row>
    <row r="1258" spans="1:6">
      <c r="B1258" t="s">
        <v>22</v>
      </c>
      <c r="C1258" t="s">
        <v>9</v>
      </c>
      <c r="D1258" t="s">
        <v>933</v>
      </c>
      <c r="E1258" t="s">
        <v>58</v>
      </c>
      <c r="F1258" t="s">
        <v>59</v>
      </c>
    </row>
    <row r="1259" spans="1:6">
      <c r="A1259">
        <v>167000</v>
      </c>
      <c r="B1259" t="s">
        <v>22</v>
      </c>
      <c r="C1259" t="s">
        <v>9</v>
      </c>
      <c r="D1259" t="s">
        <v>939</v>
      </c>
      <c r="E1259" t="s">
        <v>48</v>
      </c>
      <c r="F1259" t="s">
        <v>939</v>
      </c>
    </row>
    <row r="1260" spans="1:6">
      <c r="A1260">
        <v>167001</v>
      </c>
      <c r="B1260" t="s">
        <v>22</v>
      </c>
      <c r="C1260" t="s">
        <v>9</v>
      </c>
      <c r="D1260" t="s">
        <v>939</v>
      </c>
      <c r="E1260" t="s">
        <v>49</v>
      </c>
      <c r="F1260" t="s">
        <v>940</v>
      </c>
    </row>
    <row r="1261" spans="1:6">
      <c r="A1261">
        <v>167002</v>
      </c>
      <c r="B1261" t="s">
        <v>22</v>
      </c>
      <c r="C1261" t="s">
        <v>9</v>
      </c>
      <c r="D1261" t="s">
        <v>939</v>
      </c>
      <c r="E1261" t="s">
        <v>124</v>
      </c>
      <c r="F1261" t="s">
        <v>941</v>
      </c>
    </row>
    <row r="1262" spans="1:6">
      <c r="A1262">
        <v>167003</v>
      </c>
      <c r="B1262" t="s">
        <v>22</v>
      </c>
      <c r="C1262" t="s">
        <v>9</v>
      </c>
      <c r="D1262" t="s">
        <v>939</v>
      </c>
      <c r="E1262" t="s">
        <v>49</v>
      </c>
      <c r="F1262" t="s">
        <v>942</v>
      </c>
    </row>
    <row r="1263" spans="1:6">
      <c r="A1263">
        <v>167004</v>
      </c>
      <c r="B1263" t="s">
        <v>22</v>
      </c>
      <c r="C1263" t="s">
        <v>9</v>
      </c>
      <c r="D1263" t="s">
        <v>939</v>
      </c>
      <c r="E1263" t="s">
        <v>49</v>
      </c>
      <c r="F1263" t="s">
        <v>943</v>
      </c>
    </row>
    <row r="1264" spans="1:6">
      <c r="A1264">
        <v>167005</v>
      </c>
      <c r="B1264" t="s">
        <v>22</v>
      </c>
      <c r="C1264" t="s">
        <v>9</v>
      </c>
      <c r="D1264" t="s">
        <v>939</v>
      </c>
      <c r="E1264" t="s">
        <v>49</v>
      </c>
      <c r="F1264" t="s">
        <v>944</v>
      </c>
    </row>
    <row r="1265" spans="1:6">
      <c r="A1265">
        <v>167006</v>
      </c>
      <c r="B1265" t="s">
        <v>22</v>
      </c>
      <c r="C1265" t="s">
        <v>9</v>
      </c>
      <c r="D1265" t="s">
        <v>939</v>
      </c>
      <c r="E1265" t="s">
        <v>49</v>
      </c>
      <c r="F1265" t="s">
        <v>945</v>
      </c>
    </row>
    <row r="1266" spans="1:6">
      <c r="A1266">
        <v>167007</v>
      </c>
      <c r="B1266" t="s">
        <v>22</v>
      </c>
      <c r="C1266" t="s">
        <v>9</v>
      </c>
      <c r="D1266" t="s">
        <v>939</v>
      </c>
      <c r="E1266" t="s">
        <v>49</v>
      </c>
      <c r="F1266" t="s">
        <v>946</v>
      </c>
    </row>
    <row r="1267" spans="1:6">
      <c r="A1267">
        <v>167008</v>
      </c>
      <c r="B1267" t="s">
        <v>22</v>
      </c>
      <c r="C1267" t="s">
        <v>9</v>
      </c>
      <c r="D1267" t="s">
        <v>939</v>
      </c>
      <c r="E1267" t="s">
        <v>901</v>
      </c>
      <c r="F1267" t="s">
        <v>947</v>
      </c>
    </row>
    <row r="1268" spans="1:6">
      <c r="A1268">
        <v>167009</v>
      </c>
      <c r="B1268" t="s">
        <v>22</v>
      </c>
      <c r="C1268" t="s">
        <v>9</v>
      </c>
      <c r="D1268" t="s">
        <v>939</v>
      </c>
      <c r="E1268" t="s">
        <v>49</v>
      </c>
      <c r="F1268" t="s">
        <v>948</v>
      </c>
    </row>
    <row r="1269" spans="1:6">
      <c r="A1269">
        <v>167010</v>
      </c>
      <c r="B1269" t="s">
        <v>22</v>
      </c>
      <c r="C1269" t="s">
        <v>9</v>
      </c>
      <c r="D1269" t="s">
        <v>939</v>
      </c>
      <c r="E1269" t="s">
        <v>58</v>
      </c>
      <c r="F1269" t="s">
        <v>908</v>
      </c>
    </row>
    <row r="1270" spans="1:6">
      <c r="B1270" t="s">
        <v>22</v>
      </c>
      <c r="C1270" t="s">
        <v>9</v>
      </c>
      <c r="D1270" t="s">
        <v>939</v>
      </c>
      <c r="E1270" t="s">
        <v>49</v>
      </c>
      <c r="F1270" t="s">
        <v>57</v>
      </c>
    </row>
    <row r="1271" spans="1:6">
      <c r="B1271" t="s">
        <v>22</v>
      </c>
      <c r="C1271" t="s">
        <v>9</v>
      </c>
      <c r="D1271" t="s">
        <v>939</v>
      </c>
      <c r="E1271" t="s">
        <v>58</v>
      </c>
      <c r="F1271" t="s">
        <v>59</v>
      </c>
    </row>
    <row r="1272" spans="1:6">
      <c r="A1272">
        <v>168000</v>
      </c>
      <c r="B1272" t="s">
        <v>567</v>
      </c>
      <c r="C1272" t="s">
        <v>9</v>
      </c>
      <c r="D1272" t="s">
        <v>949</v>
      </c>
      <c r="E1272" t="s">
        <v>119</v>
      </c>
      <c r="F1272" t="s">
        <v>949</v>
      </c>
    </row>
    <row r="1273" spans="1:6">
      <c r="A1273">
        <v>168001</v>
      </c>
      <c r="B1273" t="s">
        <v>567</v>
      </c>
      <c r="C1273" t="s">
        <v>9</v>
      </c>
      <c r="D1273" t="s">
        <v>949</v>
      </c>
      <c r="E1273" t="s">
        <v>120</v>
      </c>
      <c r="F1273" t="s">
        <v>950</v>
      </c>
    </row>
    <row r="1274" spans="1:6">
      <c r="A1274">
        <v>168002</v>
      </c>
      <c r="B1274" t="s">
        <v>567</v>
      </c>
      <c r="C1274" t="s">
        <v>9</v>
      </c>
      <c r="D1274" t="s">
        <v>949</v>
      </c>
      <c r="E1274" t="s">
        <v>49</v>
      </c>
      <c r="F1274" t="s">
        <v>951</v>
      </c>
    </row>
    <row r="1275" spans="1:6">
      <c r="A1275">
        <v>168003</v>
      </c>
      <c r="B1275" t="s">
        <v>567</v>
      </c>
      <c r="C1275" t="s">
        <v>9</v>
      </c>
      <c r="D1275" t="s">
        <v>949</v>
      </c>
      <c r="E1275" t="s">
        <v>124</v>
      </c>
      <c r="F1275" t="s">
        <v>941</v>
      </c>
    </row>
    <row r="1276" spans="1:6">
      <c r="A1276">
        <v>168004</v>
      </c>
      <c r="B1276" t="s">
        <v>567</v>
      </c>
      <c r="C1276" t="s">
        <v>9</v>
      </c>
      <c r="D1276" t="s">
        <v>949</v>
      </c>
      <c r="E1276" t="s">
        <v>49</v>
      </c>
      <c r="F1276" t="s">
        <v>952</v>
      </c>
    </row>
    <row r="1277" spans="1:6">
      <c r="A1277">
        <v>168005</v>
      </c>
      <c r="B1277" t="s">
        <v>567</v>
      </c>
      <c r="C1277" t="s">
        <v>9</v>
      </c>
      <c r="D1277" t="s">
        <v>949</v>
      </c>
      <c r="E1277" t="s">
        <v>120</v>
      </c>
      <c r="F1277" t="s">
        <v>953</v>
      </c>
    </row>
    <row r="1278" spans="1:6">
      <c r="A1278">
        <v>168006</v>
      </c>
      <c r="B1278" t="s">
        <v>567</v>
      </c>
      <c r="C1278" t="s">
        <v>9</v>
      </c>
      <c r="D1278" t="s">
        <v>949</v>
      </c>
      <c r="E1278" t="s">
        <v>49</v>
      </c>
      <c r="F1278" t="s">
        <v>954</v>
      </c>
    </row>
    <row r="1279" spans="1:6">
      <c r="A1279">
        <v>168007</v>
      </c>
      <c r="B1279" t="s">
        <v>567</v>
      </c>
      <c r="C1279" t="s">
        <v>9</v>
      </c>
      <c r="D1279" t="s">
        <v>949</v>
      </c>
      <c r="E1279" t="s">
        <v>49</v>
      </c>
      <c r="F1279" t="s">
        <v>955</v>
      </c>
    </row>
    <row r="1280" spans="1:6">
      <c r="A1280">
        <v>168008</v>
      </c>
      <c r="B1280" t="s">
        <v>567</v>
      </c>
      <c r="C1280" t="s">
        <v>9</v>
      </c>
      <c r="D1280" t="s">
        <v>949</v>
      </c>
      <c r="E1280" t="s">
        <v>49</v>
      </c>
      <c r="F1280" t="s">
        <v>956</v>
      </c>
    </row>
    <row r="1281" spans="1:6">
      <c r="A1281">
        <v>168009</v>
      </c>
      <c r="B1281" t="s">
        <v>567</v>
      </c>
      <c r="C1281" t="s">
        <v>9</v>
      </c>
      <c r="D1281" t="s">
        <v>949</v>
      </c>
      <c r="E1281" t="s">
        <v>49</v>
      </c>
      <c r="F1281" t="s">
        <v>957</v>
      </c>
    </row>
    <row r="1282" spans="1:6">
      <c r="A1282">
        <v>168010</v>
      </c>
      <c r="B1282" t="s">
        <v>567</v>
      </c>
      <c r="C1282" t="s">
        <v>9</v>
      </c>
      <c r="D1282" t="s">
        <v>949</v>
      </c>
      <c r="E1282" t="s">
        <v>49</v>
      </c>
      <c r="F1282" t="s">
        <v>958</v>
      </c>
    </row>
    <row r="1283" spans="1:6">
      <c r="A1283">
        <v>168011</v>
      </c>
      <c r="B1283" t="s">
        <v>567</v>
      </c>
      <c r="C1283" t="s">
        <v>9</v>
      </c>
      <c r="D1283" t="s">
        <v>949</v>
      </c>
      <c r="E1283" t="s">
        <v>49</v>
      </c>
      <c r="F1283" t="s">
        <v>959</v>
      </c>
    </row>
    <row r="1284" spans="1:6">
      <c r="A1284">
        <v>168012</v>
      </c>
      <c r="B1284" t="s">
        <v>567</v>
      </c>
      <c r="C1284" t="s">
        <v>9</v>
      </c>
      <c r="D1284" t="s">
        <v>949</v>
      </c>
      <c r="E1284" t="s">
        <v>960</v>
      </c>
      <c r="F1284" t="s">
        <v>961</v>
      </c>
    </row>
    <row r="1285" spans="1:6">
      <c r="A1285">
        <v>168013</v>
      </c>
      <c r="B1285" t="s">
        <v>567</v>
      </c>
      <c r="C1285" t="s">
        <v>9</v>
      </c>
      <c r="D1285" t="s">
        <v>949</v>
      </c>
      <c r="E1285" t="s">
        <v>49</v>
      </c>
      <c r="F1285" t="s">
        <v>962</v>
      </c>
    </row>
    <row r="1286" spans="1:6">
      <c r="A1286">
        <v>168014</v>
      </c>
      <c r="B1286" t="s">
        <v>567</v>
      </c>
      <c r="C1286" t="s">
        <v>9</v>
      </c>
      <c r="D1286" t="s">
        <v>949</v>
      </c>
      <c r="E1286" t="s">
        <v>49</v>
      </c>
      <c r="F1286" t="s">
        <v>963</v>
      </c>
    </row>
    <row r="1287" spans="1:6">
      <c r="A1287">
        <v>168015</v>
      </c>
      <c r="B1287" t="s">
        <v>567</v>
      </c>
      <c r="C1287" t="s">
        <v>9</v>
      </c>
      <c r="D1287" t="s">
        <v>949</v>
      </c>
      <c r="E1287" t="s">
        <v>49</v>
      </c>
      <c r="F1287" t="s">
        <v>964</v>
      </c>
    </row>
    <row r="1288" spans="1:6">
      <c r="A1288">
        <v>168016</v>
      </c>
      <c r="B1288" t="s">
        <v>567</v>
      </c>
      <c r="C1288" t="s">
        <v>9</v>
      </c>
      <c r="D1288" t="s">
        <v>949</v>
      </c>
      <c r="E1288" t="s">
        <v>58</v>
      </c>
      <c r="F1288" t="s">
        <v>908</v>
      </c>
    </row>
    <row r="1289" spans="1:6">
      <c r="B1289" t="s">
        <v>567</v>
      </c>
      <c r="C1289" t="s">
        <v>9</v>
      </c>
      <c r="D1289" t="s">
        <v>949</v>
      </c>
      <c r="E1289" t="s">
        <v>49</v>
      </c>
      <c r="F1289" t="s">
        <v>57</v>
      </c>
    </row>
    <row r="1290" spans="1:6">
      <c r="B1290" t="s">
        <v>567</v>
      </c>
      <c r="C1290" t="s">
        <v>9</v>
      </c>
      <c r="D1290" t="s">
        <v>949</v>
      </c>
      <c r="E1290" t="s">
        <v>58</v>
      </c>
      <c r="F1290" t="s">
        <v>59</v>
      </c>
    </row>
    <row r="1291" spans="1:6">
      <c r="A1291">
        <v>169000</v>
      </c>
      <c r="B1291" t="s">
        <v>567</v>
      </c>
      <c r="C1291" t="s">
        <v>9</v>
      </c>
      <c r="D1291" t="s">
        <v>965</v>
      </c>
      <c r="E1291" t="s">
        <v>48</v>
      </c>
      <c r="F1291" t="s">
        <v>965</v>
      </c>
    </row>
    <row r="1292" spans="1:6">
      <c r="A1292">
        <v>169001</v>
      </c>
      <c r="B1292" t="s">
        <v>567</v>
      </c>
      <c r="C1292" t="s">
        <v>9</v>
      </c>
      <c r="D1292" t="s">
        <v>965</v>
      </c>
      <c r="E1292" t="s">
        <v>49</v>
      </c>
      <c r="F1292" t="s">
        <v>966</v>
      </c>
    </row>
    <row r="1293" spans="1:6">
      <c r="A1293">
        <v>169002</v>
      </c>
      <c r="B1293" t="s">
        <v>567</v>
      </c>
      <c r="C1293" t="s">
        <v>9</v>
      </c>
      <c r="D1293" t="s">
        <v>965</v>
      </c>
      <c r="E1293" t="s">
        <v>49</v>
      </c>
      <c r="F1293" t="s">
        <v>967</v>
      </c>
    </row>
    <row r="1294" spans="1:6">
      <c r="A1294">
        <v>169003</v>
      </c>
      <c r="B1294" t="s">
        <v>567</v>
      </c>
      <c r="C1294" t="s">
        <v>9</v>
      </c>
      <c r="D1294" t="s">
        <v>965</v>
      </c>
      <c r="E1294" t="s">
        <v>49</v>
      </c>
      <c r="F1294" t="s">
        <v>968</v>
      </c>
    </row>
    <row r="1295" spans="1:6">
      <c r="A1295">
        <v>169004</v>
      </c>
      <c r="B1295" t="s">
        <v>567</v>
      </c>
      <c r="C1295" t="s">
        <v>9</v>
      </c>
      <c r="D1295" t="s">
        <v>965</v>
      </c>
      <c r="E1295" t="s">
        <v>49</v>
      </c>
      <c r="F1295" t="s">
        <v>969</v>
      </c>
    </row>
    <row r="1296" spans="1:6">
      <c r="A1296">
        <v>169005</v>
      </c>
      <c r="B1296" t="s">
        <v>567</v>
      </c>
      <c r="C1296" t="s">
        <v>9</v>
      </c>
      <c r="D1296" t="s">
        <v>965</v>
      </c>
      <c r="E1296" t="s">
        <v>49</v>
      </c>
      <c r="F1296" t="s">
        <v>970</v>
      </c>
    </row>
    <row r="1297" spans="1:6">
      <c r="A1297">
        <v>169006</v>
      </c>
      <c r="B1297" t="s">
        <v>567</v>
      </c>
      <c r="C1297" t="s">
        <v>9</v>
      </c>
      <c r="D1297" t="s">
        <v>965</v>
      </c>
      <c r="E1297" t="s">
        <v>49</v>
      </c>
      <c r="F1297" t="s">
        <v>971</v>
      </c>
    </row>
    <row r="1298" spans="1:6">
      <c r="A1298">
        <v>169007</v>
      </c>
      <c r="B1298" t="s">
        <v>567</v>
      </c>
      <c r="C1298" t="s">
        <v>9</v>
      </c>
      <c r="D1298" t="s">
        <v>965</v>
      </c>
      <c r="E1298" t="s">
        <v>49</v>
      </c>
      <c r="F1298" t="s">
        <v>972</v>
      </c>
    </row>
    <row r="1299" spans="1:6">
      <c r="A1299">
        <v>169008</v>
      </c>
      <c r="B1299" t="s">
        <v>567</v>
      </c>
      <c r="C1299" t="s">
        <v>9</v>
      </c>
      <c r="D1299" t="s">
        <v>965</v>
      </c>
      <c r="E1299" t="s">
        <v>49</v>
      </c>
      <c r="F1299" t="s">
        <v>973</v>
      </c>
    </row>
    <row r="1300" spans="1:6">
      <c r="A1300">
        <v>169009</v>
      </c>
      <c r="B1300" t="s">
        <v>567</v>
      </c>
      <c r="C1300" t="s">
        <v>9</v>
      </c>
      <c r="D1300" t="s">
        <v>965</v>
      </c>
      <c r="E1300" t="s">
        <v>49</v>
      </c>
      <c r="F1300" t="s">
        <v>974</v>
      </c>
    </row>
    <row r="1301" spans="1:6">
      <c r="A1301">
        <v>169010</v>
      </c>
      <c r="B1301" t="s">
        <v>567</v>
      </c>
      <c r="C1301" t="s">
        <v>9</v>
      </c>
      <c r="D1301" t="s">
        <v>965</v>
      </c>
      <c r="E1301" t="s">
        <v>49</v>
      </c>
      <c r="F1301" t="s">
        <v>975</v>
      </c>
    </row>
    <row r="1302" spans="1:6">
      <c r="A1302">
        <v>169011</v>
      </c>
      <c r="B1302" t="s">
        <v>567</v>
      </c>
      <c r="C1302" t="s">
        <v>9</v>
      </c>
      <c r="D1302" t="s">
        <v>965</v>
      </c>
      <c r="E1302" t="s">
        <v>49</v>
      </c>
      <c r="F1302" t="s">
        <v>976</v>
      </c>
    </row>
    <row r="1303" spans="1:6">
      <c r="A1303">
        <v>169012</v>
      </c>
      <c r="B1303" t="s">
        <v>567</v>
      </c>
      <c r="C1303" t="s">
        <v>9</v>
      </c>
      <c r="D1303" t="s">
        <v>965</v>
      </c>
      <c r="E1303" t="s">
        <v>49</v>
      </c>
      <c r="F1303" t="s">
        <v>977</v>
      </c>
    </row>
    <row r="1304" spans="1:6">
      <c r="A1304">
        <v>169013</v>
      </c>
      <c r="B1304" t="s">
        <v>567</v>
      </c>
      <c r="C1304" t="s">
        <v>9</v>
      </c>
      <c r="D1304" t="s">
        <v>965</v>
      </c>
      <c r="E1304" t="s">
        <v>49</v>
      </c>
      <c r="F1304" t="s">
        <v>978</v>
      </c>
    </row>
    <row r="1305" spans="1:6">
      <c r="A1305">
        <v>169014</v>
      </c>
      <c r="B1305" t="s">
        <v>567</v>
      </c>
      <c r="C1305" t="s">
        <v>9</v>
      </c>
      <c r="D1305" t="s">
        <v>965</v>
      </c>
      <c r="E1305" t="s">
        <v>49</v>
      </c>
      <c r="F1305" t="s">
        <v>979</v>
      </c>
    </row>
    <row r="1306" spans="1:6">
      <c r="A1306">
        <v>169015</v>
      </c>
      <c r="B1306" t="s">
        <v>567</v>
      </c>
      <c r="C1306" t="s">
        <v>9</v>
      </c>
      <c r="D1306" t="s">
        <v>965</v>
      </c>
      <c r="E1306" t="s">
        <v>49</v>
      </c>
      <c r="F1306" t="s">
        <v>980</v>
      </c>
    </row>
    <row r="1307" spans="1:6">
      <c r="A1307">
        <v>169016</v>
      </c>
      <c r="B1307" t="s">
        <v>567</v>
      </c>
      <c r="C1307" t="s">
        <v>9</v>
      </c>
      <c r="D1307" t="s">
        <v>965</v>
      </c>
      <c r="E1307" t="s">
        <v>49</v>
      </c>
      <c r="F1307" t="s">
        <v>981</v>
      </c>
    </row>
    <row r="1308" spans="1:6">
      <c r="A1308">
        <v>169017</v>
      </c>
      <c r="B1308" t="s">
        <v>567</v>
      </c>
      <c r="C1308" t="s">
        <v>9</v>
      </c>
      <c r="D1308" t="s">
        <v>965</v>
      </c>
      <c r="E1308" t="s">
        <v>49</v>
      </c>
      <c r="F1308" t="s">
        <v>982</v>
      </c>
    </row>
    <row r="1309" spans="1:6">
      <c r="B1309" t="s">
        <v>567</v>
      </c>
      <c r="C1309" t="s">
        <v>9</v>
      </c>
      <c r="D1309" t="s">
        <v>965</v>
      </c>
      <c r="E1309" t="s">
        <v>49</v>
      </c>
      <c r="F1309" t="s">
        <v>57</v>
      </c>
    </row>
    <row r="1310" spans="1:6">
      <c r="B1310" t="s">
        <v>567</v>
      </c>
      <c r="C1310" t="s">
        <v>9</v>
      </c>
      <c r="D1310" t="s">
        <v>965</v>
      </c>
      <c r="E1310" t="s">
        <v>58</v>
      </c>
      <c r="F1310" t="s">
        <v>59</v>
      </c>
    </row>
    <row r="1311" spans="1:6">
      <c r="A1311">
        <v>170000</v>
      </c>
      <c r="B1311" t="s">
        <v>567</v>
      </c>
      <c r="C1311" t="s">
        <v>9</v>
      </c>
      <c r="D1311" t="s">
        <v>983</v>
      </c>
      <c r="E1311" t="s">
        <v>48</v>
      </c>
      <c r="F1311" t="s">
        <v>983</v>
      </c>
    </row>
    <row r="1312" spans="1:6">
      <c r="A1312">
        <v>170001</v>
      </c>
      <c r="B1312" t="s">
        <v>567</v>
      </c>
      <c r="C1312" t="s">
        <v>9</v>
      </c>
      <c r="D1312" t="s">
        <v>983</v>
      </c>
      <c r="E1312" t="s">
        <v>49</v>
      </c>
      <c r="F1312" t="s">
        <v>984</v>
      </c>
    </row>
    <row r="1313" spans="1:6">
      <c r="A1313">
        <v>170002</v>
      </c>
      <c r="B1313" t="s">
        <v>567</v>
      </c>
      <c r="C1313" t="s">
        <v>9</v>
      </c>
      <c r="D1313" t="s">
        <v>983</v>
      </c>
      <c r="E1313" t="s">
        <v>49</v>
      </c>
      <c r="F1313" t="s">
        <v>985</v>
      </c>
    </row>
    <row r="1314" spans="1:6">
      <c r="A1314">
        <v>170003</v>
      </c>
      <c r="B1314" t="s">
        <v>567</v>
      </c>
      <c r="C1314" t="s">
        <v>9</v>
      </c>
      <c r="D1314" t="s">
        <v>983</v>
      </c>
      <c r="E1314" t="s">
        <v>49</v>
      </c>
      <c r="F1314" t="s">
        <v>986</v>
      </c>
    </row>
    <row r="1315" spans="1:6">
      <c r="A1315">
        <v>170004</v>
      </c>
      <c r="B1315" t="s">
        <v>567</v>
      </c>
      <c r="C1315" t="s">
        <v>9</v>
      </c>
      <c r="D1315" t="s">
        <v>983</v>
      </c>
      <c r="E1315" t="s">
        <v>49</v>
      </c>
      <c r="F1315" t="s">
        <v>987</v>
      </c>
    </row>
    <row r="1316" spans="1:6">
      <c r="B1316" t="s">
        <v>567</v>
      </c>
      <c r="C1316" t="s">
        <v>9</v>
      </c>
      <c r="D1316" t="s">
        <v>983</v>
      </c>
      <c r="E1316" t="s">
        <v>49</v>
      </c>
      <c r="F1316" t="s">
        <v>57</v>
      </c>
    </row>
    <row r="1317" spans="1:6">
      <c r="B1317" t="s">
        <v>567</v>
      </c>
      <c r="C1317" t="s">
        <v>9</v>
      </c>
      <c r="D1317" t="s">
        <v>983</v>
      </c>
      <c r="E1317" t="s">
        <v>58</v>
      </c>
      <c r="F1317" t="s">
        <v>59</v>
      </c>
    </row>
    <row r="1318" spans="1:6">
      <c r="A1318">
        <v>171000</v>
      </c>
      <c r="B1318" t="s">
        <v>567</v>
      </c>
      <c r="C1318" t="s">
        <v>9</v>
      </c>
      <c r="D1318" t="s">
        <v>988</v>
      </c>
      <c r="E1318" t="s">
        <v>48</v>
      </c>
      <c r="F1318" t="s">
        <v>988</v>
      </c>
    </row>
    <row r="1319" spans="1:6">
      <c r="A1319">
        <v>171001</v>
      </c>
      <c r="B1319" t="s">
        <v>567</v>
      </c>
      <c r="C1319" t="s">
        <v>9</v>
      </c>
      <c r="D1319" t="s">
        <v>988</v>
      </c>
      <c r="E1319" t="s">
        <v>49</v>
      </c>
      <c r="F1319" t="s">
        <v>715</v>
      </c>
    </row>
    <row r="1320" spans="1:6">
      <c r="A1320">
        <v>171002</v>
      </c>
      <c r="B1320" t="s">
        <v>567</v>
      </c>
      <c r="C1320" t="s">
        <v>9</v>
      </c>
      <c r="D1320" t="s">
        <v>988</v>
      </c>
      <c r="E1320" t="s">
        <v>49</v>
      </c>
      <c r="F1320" t="s">
        <v>989</v>
      </c>
    </row>
    <row r="1321" spans="1:6">
      <c r="A1321">
        <v>171003</v>
      </c>
      <c r="B1321" t="s">
        <v>567</v>
      </c>
      <c r="C1321" t="s">
        <v>9</v>
      </c>
      <c r="D1321" t="s">
        <v>988</v>
      </c>
      <c r="E1321" t="s">
        <v>49</v>
      </c>
      <c r="F1321" t="s">
        <v>990</v>
      </c>
    </row>
    <row r="1322" spans="1:6">
      <c r="A1322">
        <v>171004</v>
      </c>
      <c r="B1322" t="s">
        <v>567</v>
      </c>
      <c r="C1322" t="s">
        <v>9</v>
      </c>
      <c r="D1322" t="s">
        <v>988</v>
      </c>
      <c r="E1322" t="s">
        <v>49</v>
      </c>
      <c r="F1322" t="s">
        <v>991</v>
      </c>
    </row>
    <row r="1323" spans="1:6">
      <c r="A1323">
        <v>171005</v>
      </c>
      <c r="B1323" t="s">
        <v>567</v>
      </c>
      <c r="C1323" t="s">
        <v>9</v>
      </c>
      <c r="D1323" t="s">
        <v>988</v>
      </c>
      <c r="E1323" t="s">
        <v>49</v>
      </c>
      <c r="F1323" t="s">
        <v>992</v>
      </c>
    </row>
    <row r="1324" spans="1:6">
      <c r="A1324">
        <v>171006</v>
      </c>
      <c r="B1324" t="s">
        <v>567</v>
      </c>
      <c r="C1324" t="s">
        <v>9</v>
      </c>
      <c r="D1324" t="s">
        <v>988</v>
      </c>
      <c r="E1324" t="s">
        <v>49</v>
      </c>
      <c r="F1324" t="s">
        <v>993</v>
      </c>
    </row>
    <row r="1325" spans="1:6">
      <c r="A1325">
        <v>171007</v>
      </c>
      <c r="B1325" t="s">
        <v>567</v>
      </c>
      <c r="C1325" t="s">
        <v>9</v>
      </c>
      <c r="D1325" t="s">
        <v>988</v>
      </c>
      <c r="E1325" t="s">
        <v>49</v>
      </c>
      <c r="F1325" t="s">
        <v>994</v>
      </c>
    </row>
    <row r="1326" spans="1:6">
      <c r="A1326">
        <v>171008</v>
      </c>
      <c r="B1326" t="s">
        <v>567</v>
      </c>
      <c r="C1326" t="s">
        <v>9</v>
      </c>
      <c r="D1326" t="s">
        <v>988</v>
      </c>
      <c r="E1326" t="s">
        <v>49</v>
      </c>
      <c r="F1326" t="s">
        <v>995</v>
      </c>
    </row>
    <row r="1327" spans="1:6">
      <c r="B1327" t="s">
        <v>567</v>
      </c>
      <c r="C1327" t="s">
        <v>9</v>
      </c>
      <c r="D1327" t="s">
        <v>988</v>
      </c>
      <c r="E1327" t="s">
        <v>49</v>
      </c>
      <c r="F1327" t="s">
        <v>57</v>
      </c>
    </row>
    <row r="1328" spans="1:6">
      <c r="B1328" t="s">
        <v>567</v>
      </c>
      <c r="C1328" t="s">
        <v>9</v>
      </c>
      <c r="D1328" t="s">
        <v>988</v>
      </c>
      <c r="E1328" t="s">
        <v>58</v>
      </c>
      <c r="F1328" t="s">
        <v>59</v>
      </c>
    </row>
    <row r="1329" spans="1:6">
      <c r="A1329">
        <v>172000</v>
      </c>
      <c r="B1329" t="s">
        <v>567</v>
      </c>
      <c r="C1329" t="s">
        <v>9</v>
      </c>
      <c r="D1329" t="s">
        <v>996</v>
      </c>
      <c r="E1329" t="s">
        <v>48</v>
      </c>
      <c r="F1329" t="s">
        <v>996</v>
      </c>
    </row>
    <row r="1330" spans="1:6">
      <c r="A1330">
        <v>172001</v>
      </c>
      <c r="B1330" t="s">
        <v>567</v>
      </c>
      <c r="C1330" t="s">
        <v>9</v>
      </c>
      <c r="D1330" t="s">
        <v>996</v>
      </c>
      <c r="E1330" t="s">
        <v>49</v>
      </c>
      <c r="F1330" t="s">
        <v>997</v>
      </c>
    </row>
    <row r="1331" spans="1:6">
      <c r="A1331">
        <v>172002</v>
      </c>
      <c r="B1331" t="s">
        <v>567</v>
      </c>
      <c r="C1331" t="s">
        <v>9</v>
      </c>
      <c r="D1331" t="s">
        <v>996</v>
      </c>
      <c r="E1331" t="s">
        <v>49</v>
      </c>
      <c r="F1331" t="s">
        <v>998</v>
      </c>
    </row>
    <row r="1332" spans="1:6">
      <c r="A1332">
        <v>172003</v>
      </c>
      <c r="B1332" t="s">
        <v>567</v>
      </c>
      <c r="C1332" t="s">
        <v>9</v>
      </c>
      <c r="D1332" t="s">
        <v>996</v>
      </c>
      <c r="E1332" t="s">
        <v>49</v>
      </c>
      <c r="F1332" t="s">
        <v>693</v>
      </c>
    </row>
    <row r="1333" spans="1:6">
      <c r="A1333">
        <v>172004</v>
      </c>
      <c r="B1333" t="s">
        <v>567</v>
      </c>
      <c r="C1333" t="s">
        <v>9</v>
      </c>
      <c r="D1333" t="s">
        <v>996</v>
      </c>
      <c r="E1333" t="s">
        <v>49</v>
      </c>
      <c r="F1333" t="s">
        <v>999</v>
      </c>
    </row>
    <row r="1334" spans="1:6">
      <c r="A1334">
        <v>172005</v>
      </c>
      <c r="B1334" t="s">
        <v>567</v>
      </c>
      <c r="C1334" t="s">
        <v>9</v>
      </c>
      <c r="D1334" t="s">
        <v>996</v>
      </c>
      <c r="E1334" t="s">
        <v>49</v>
      </c>
      <c r="F1334" t="s">
        <v>1000</v>
      </c>
    </row>
    <row r="1335" spans="1:6">
      <c r="A1335">
        <v>172006</v>
      </c>
      <c r="B1335" t="s">
        <v>567</v>
      </c>
      <c r="C1335" t="s">
        <v>9</v>
      </c>
      <c r="D1335" t="s">
        <v>996</v>
      </c>
      <c r="E1335" t="s">
        <v>49</v>
      </c>
      <c r="F1335" t="s">
        <v>995</v>
      </c>
    </row>
    <row r="1336" spans="1:6">
      <c r="B1336" t="s">
        <v>567</v>
      </c>
      <c r="C1336" t="s">
        <v>9</v>
      </c>
      <c r="D1336" t="s">
        <v>996</v>
      </c>
      <c r="E1336" t="s">
        <v>49</v>
      </c>
      <c r="F1336" t="s">
        <v>57</v>
      </c>
    </row>
    <row r="1337" spans="1:6">
      <c r="B1337" t="s">
        <v>567</v>
      </c>
      <c r="C1337" t="s">
        <v>9</v>
      </c>
      <c r="D1337" t="s">
        <v>996</v>
      </c>
      <c r="E1337" t="s">
        <v>58</v>
      </c>
      <c r="F1337" t="s">
        <v>59</v>
      </c>
    </row>
    <row r="1338" spans="1:6">
      <c r="A1338">
        <v>173000</v>
      </c>
      <c r="B1338" t="s">
        <v>567</v>
      </c>
      <c r="C1338" t="s">
        <v>9</v>
      </c>
      <c r="D1338" t="s">
        <v>1001</v>
      </c>
      <c r="E1338" t="s">
        <v>48</v>
      </c>
      <c r="F1338" t="s">
        <v>1001</v>
      </c>
    </row>
    <row r="1339" spans="1:6">
      <c r="A1339">
        <v>173001</v>
      </c>
      <c r="B1339" t="s">
        <v>567</v>
      </c>
      <c r="C1339" t="s">
        <v>9</v>
      </c>
      <c r="D1339" t="s">
        <v>1001</v>
      </c>
      <c r="E1339" t="s">
        <v>49</v>
      </c>
      <c r="F1339" t="s">
        <v>750</v>
      </c>
    </row>
    <row r="1340" spans="1:6">
      <c r="A1340">
        <v>173002</v>
      </c>
      <c r="B1340" t="s">
        <v>567</v>
      </c>
      <c r="C1340" t="s">
        <v>9</v>
      </c>
      <c r="D1340" t="s">
        <v>1001</v>
      </c>
      <c r="E1340" t="s">
        <v>49</v>
      </c>
      <c r="F1340" t="s">
        <v>751</v>
      </c>
    </row>
    <row r="1341" spans="1:6">
      <c r="A1341">
        <v>173003</v>
      </c>
      <c r="B1341" t="s">
        <v>567</v>
      </c>
      <c r="C1341" t="s">
        <v>9</v>
      </c>
      <c r="D1341" t="s">
        <v>1001</v>
      </c>
      <c r="E1341" t="s">
        <v>49</v>
      </c>
      <c r="F1341" t="s">
        <v>1002</v>
      </c>
    </row>
    <row r="1342" spans="1:6">
      <c r="A1342">
        <v>173004</v>
      </c>
      <c r="B1342" t="s">
        <v>567</v>
      </c>
      <c r="C1342" t="s">
        <v>9</v>
      </c>
      <c r="D1342" t="s">
        <v>1001</v>
      </c>
      <c r="E1342" t="s">
        <v>49</v>
      </c>
      <c r="F1342" t="s">
        <v>753</v>
      </c>
    </row>
    <row r="1343" spans="1:6">
      <c r="A1343">
        <v>173005</v>
      </c>
      <c r="B1343" t="s">
        <v>567</v>
      </c>
      <c r="C1343" t="s">
        <v>9</v>
      </c>
      <c r="D1343" t="s">
        <v>1001</v>
      </c>
      <c r="E1343" t="s">
        <v>49</v>
      </c>
      <c r="F1343" t="s">
        <v>1003</v>
      </c>
    </row>
    <row r="1344" spans="1:6">
      <c r="A1344">
        <v>173006</v>
      </c>
      <c r="B1344" t="s">
        <v>567</v>
      </c>
      <c r="C1344" t="s">
        <v>9</v>
      </c>
      <c r="D1344" t="s">
        <v>1001</v>
      </c>
      <c r="E1344" t="s">
        <v>49</v>
      </c>
      <c r="F1344" t="s">
        <v>1004</v>
      </c>
    </row>
    <row r="1345" spans="1:6">
      <c r="A1345">
        <v>173007</v>
      </c>
      <c r="B1345" t="s">
        <v>567</v>
      </c>
      <c r="C1345" t="s">
        <v>9</v>
      </c>
      <c r="D1345" t="s">
        <v>1001</v>
      </c>
      <c r="E1345" t="s">
        <v>49</v>
      </c>
      <c r="F1345" t="s">
        <v>1005</v>
      </c>
    </row>
    <row r="1346" spans="1:6">
      <c r="A1346">
        <v>173008</v>
      </c>
      <c r="B1346" t="s">
        <v>567</v>
      </c>
      <c r="C1346" t="s">
        <v>9</v>
      </c>
      <c r="D1346" t="s">
        <v>1001</v>
      </c>
      <c r="E1346" t="s">
        <v>49</v>
      </c>
      <c r="F1346" t="s">
        <v>1006</v>
      </c>
    </row>
    <row r="1347" spans="1:6">
      <c r="A1347">
        <v>173009</v>
      </c>
      <c r="B1347" t="s">
        <v>567</v>
      </c>
      <c r="C1347" t="s">
        <v>9</v>
      </c>
      <c r="D1347" t="s">
        <v>1001</v>
      </c>
      <c r="E1347" t="s">
        <v>49</v>
      </c>
      <c r="F1347" t="s">
        <v>1007</v>
      </c>
    </row>
    <row r="1348" spans="1:6">
      <c r="A1348">
        <v>173010</v>
      </c>
      <c r="B1348" t="s">
        <v>567</v>
      </c>
      <c r="C1348" t="s">
        <v>9</v>
      </c>
      <c r="D1348" t="s">
        <v>1001</v>
      </c>
      <c r="E1348" t="s">
        <v>49</v>
      </c>
      <c r="F1348" t="s">
        <v>759</v>
      </c>
    </row>
    <row r="1349" spans="1:6">
      <c r="B1349" t="s">
        <v>567</v>
      </c>
      <c r="C1349" t="s">
        <v>9</v>
      </c>
      <c r="D1349" t="s">
        <v>1001</v>
      </c>
      <c r="E1349" t="s">
        <v>49</v>
      </c>
      <c r="F1349" t="s">
        <v>57</v>
      </c>
    </row>
    <row r="1350" spans="1:6">
      <c r="B1350" t="s">
        <v>567</v>
      </c>
      <c r="C1350" t="s">
        <v>9</v>
      </c>
      <c r="D1350" t="s">
        <v>1001</v>
      </c>
      <c r="E1350" t="s">
        <v>58</v>
      </c>
      <c r="F1350" t="s">
        <v>59</v>
      </c>
    </row>
    <row r="1351" spans="1:6">
      <c r="A1351">
        <v>174000</v>
      </c>
      <c r="B1351" t="s">
        <v>567</v>
      </c>
      <c r="C1351" t="s">
        <v>9</v>
      </c>
      <c r="D1351" t="s">
        <v>1008</v>
      </c>
      <c r="E1351" t="s">
        <v>48</v>
      </c>
      <c r="F1351" t="s">
        <v>1008</v>
      </c>
    </row>
    <row r="1352" spans="1:6">
      <c r="A1352">
        <v>174001</v>
      </c>
      <c r="B1352" t="s">
        <v>567</v>
      </c>
      <c r="C1352" t="s">
        <v>9</v>
      </c>
      <c r="D1352" t="s">
        <v>1008</v>
      </c>
      <c r="E1352" t="s">
        <v>49</v>
      </c>
      <c r="F1352" t="s">
        <v>984</v>
      </c>
    </row>
    <row r="1353" spans="1:6">
      <c r="A1353">
        <v>174002</v>
      </c>
      <c r="B1353" t="s">
        <v>567</v>
      </c>
      <c r="C1353" t="s">
        <v>9</v>
      </c>
      <c r="D1353" t="s">
        <v>1008</v>
      </c>
      <c r="E1353" t="s">
        <v>49</v>
      </c>
      <c r="F1353" t="s">
        <v>985</v>
      </c>
    </row>
    <row r="1354" spans="1:6">
      <c r="A1354">
        <v>174003</v>
      </c>
      <c r="B1354" t="s">
        <v>567</v>
      </c>
      <c r="C1354" t="s">
        <v>9</v>
      </c>
      <c r="D1354" t="s">
        <v>1008</v>
      </c>
      <c r="E1354" t="s">
        <v>49</v>
      </c>
      <c r="F1354" t="s">
        <v>986</v>
      </c>
    </row>
    <row r="1355" spans="1:6">
      <c r="A1355">
        <v>174004</v>
      </c>
      <c r="B1355" t="s">
        <v>567</v>
      </c>
      <c r="C1355" t="s">
        <v>9</v>
      </c>
      <c r="D1355" t="s">
        <v>1008</v>
      </c>
      <c r="E1355" t="s">
        <v>49</v>
      </c>
      <c r="F1355" t="s">
        <v>987</v>
      </c>
    </row>
    <row r="1356" spans="1:6">
      <c r="B1356" t="s">
        <v>567</v>
      </c>
      <c r="C1356" t="s">
        <v>9</v>
      </c>
      <c r="D1356" t="s">
        <v>1008</v>
      </c>
      <c r="E1356" t="s">
        <v>49</v>
      </c>
      <c r="F1356" t="s">
        <v>57</v>
      </c>
    </row>
    <row r="1357" spans="1:6">
      <c r="B1357" t="s">
        <v>567</v>
      </c>
      <c r="C1357" t="s">
        <v>9</v>
      </c>
      <c r="D1357" t="s">
        <v>1008</v>
      </c>
      <c r="E1357" t="s">
        <v>58</v>
      </c>
      <c r="F1357" t="s">
        <v>59</v>
      </c>
    </row>
    <row r="1358" spans="1:6">
      <c r="A1358">
        <v>175000</v>
      </c>
      <c r="B1358" t="s">
        <v>567</v>
      </c>
      <c r="C1358" t="s">
        <v>9</v>
      </c>
      <c r="D1358" t="s">
        <v>1009</v>
      </c>
      <c r="E1358" t="s">
        <v>48</v>
      </c>
      <c r="F1358" t="s">
        <v>1009</v>
      </c>
    </row>
    <row r="1359" spans="1:6">
      <c r="A1359">
        <v>175001</v>
      </c>
      <c r="B1359" t="s">
        <v>567</v>
      </c>
      <c r="C1359" t="s">
        <v>9</v>
      </c>
      <c r="D1359" t="s">
        <v>1009</v>
      </c>
      <c r="E1359" t="s">
        <v>49</v>
      </c>
      <c r="F1359" t="s">
        <v>1010</v>
      </c>
    </row>
    <row r="1360" spans="1:6">
      <c r="A1360">
        <v>175002</v>
      </c>
      <c r="B1360" t="s">
        <v>567</v>
      </c>
      <c r="C1360" t="s">
        <v>9</v>
      </c>
      <c r="D1360" t="s">
        <v>1009</v>
      </c>
      <c r="E1360" t="s">
        <v>49</v>
      </c>
      <c r="F1360" t="s">
        <v>1011</v>
      </c>
    </row>
    <row r="1361" spans="1:6">
      <c r="A1361">
        <v>175003</v>
      </c>
      <c r="B1361" t="s">
        <v>567</v>
      </c>
      <c r="C1361" t="s">
        <v>9</v>
      </c>
      <c r="D1361" t="s">
        <v>1009</v>
      </c>
      <c r="E1361" t="s">
        <v>49</v>
      </c>
      <c r="F1361" t="s">
        <v>1012</v>
      </c>
    </row>
    <row r="1362" spans="1:6">
      <c r="A1362">
        <v>175004</v>
      </c>
      <c r="B1362" t="s">
        <v>567</v>
      </c>
      <c r="C1362" t="s">
        <v>9</v>
      </c>
      <c r="D1362" t="s">
        <v>1009</v>
      </c>
      <c r="E1362" t="s">
        <v>49</v>
      </c>
      <c r="F1362" t="s">
        <v>1013</v>
      </c>
    </row>
    <row r="1363" spans="1:6">
      <c r="A1363">
        <v>175005</v>
      </c>
      <c r="B1363" t="s">
        <v>567</v>
      </c>
      <c r="C1363" t="s">
        <v>9</v>
      </c>
      <c r="D1363" t="s">
        <v>1009</v>
      </c>
      <c r="E1363" t="s">
        <v>49</v>
      </c>
      <c r="F1363" t="s">
        <v>1014</v>
      </c>
    </row>
    <row r="1364" spans="1:6">
      <c r="A1364">
        <v>175006</v>
      </c>
      <c r="B1364" t="s">
        <v>567</v>
      </c>
      <c r="C1364" t="s">
        <v>9</v>
      </c>
      <c r="D1364" t="s">
        <v>1009</v>
      </c>
      <c r="E1364" t="s">
        <v>49</v>
      </c>
      <c r="F1364" t="s">
        <v>1015</v>
      </c>
    </row>
    <row r="1365" spans="1:6">
      <c r="A1365">
        <v>175007</v>
      </c>
      <c r="B1365" t="s">
        <v>567</v>
      </c>
      <c r="C1365" t="s">
        <v>9</v>
      </c>
      <c r="D1365" t="s">
        <v>1009</v>
      </c>
      <c r="E1365" t="s">
        <v>49</v>
      </c>
      <c r="F1365" t="s">
        <v>987</v>
      </c>
    </row>
    <row r="1366" spans="1:6">
      <c r="B1366" t="s">
        <v>567</v>
      </c>
      <c r="C1366" t="s">
        <v>9</v>
      </c>
      <c r="D1366" t="s">
        <v>1009</v>
      </c>
      <c r="E1366" t="s">
        <v>49</v>
      </c>
      <c r="F1366" t="s">
        <v>57</v>
      </c>
    </row>
    <row r="1367" spans="1:6">
      <c r="B1367" t="s">
        <v>567</v>
      </c>
      <c r="C1367" t="s">
        <v>9</v>
      </c>
      <c r="D1367" t="s">
        <v>1009</v>
      </c>
      <c r="E1367" t="s">
        <v>58</v>
      </c>
      <c r="F1367" t="s">
        <v>59</v>
      </c>
    </row>
    <row r="1368" spans="1:6">
      <c r="A1368">
        <v>176000</v>
      </c>
      <c r="B1368" t="s">
        <v>598</v>
      </c>
      <c r="C1368" t="s">
        <v>9</v>
      </c>
      <c r="D1368" t="s">
        <v>1016</v>
      </c>
      <c r="E1368" t="s">
        <v>48</v>
      </c>
      <c r="F1368" t="s">
        <v>1016</v>
      </c>
    </row>
    <row r="1369" spans="1:6">
      <c r="A1369">
        <v>176001</v>
      </c>
      <c r="B1369" t="s">
        <v>598</v>
      </c>
      <c r="C1369" t="s">
        <v>9</v>
      </c>
      <c r="D1369" t="s">
        <v>1016</v>
      </c>
      <c r="E1369" t="s">
        <v>49</v>
      </c>
      <c r="F1369" t="s">
        <v>1017</v>
      </c>
    </row>
    <row r="1370" spans="1:6">
      <c r="A1370">
        <v>176002</v>
      </c>
      <c r="B1370" t="s">
        <v>598</v>
      </c>
      <c r="C1370" t="s">
        <v>9</v>
      </c>
      <c r="D1370" t="s">
        <v>1016</v>
      </c>
      <c r="E1370" t="s">
        <v>49</v>
      </c>
      <c r="F1370" t="s">
        <v>1018</v>
      </c>
    </row>
    <row r="1371" spans="1:6">
      <c r="A1371">
        <v>176003</v>
      </c>
      <c r="B1371" t="s">
        <v>598</v>
      </c>
      <c r="C1371" t="s">
        <v>9</v>
      </c>
      <c r="D1371" t="s">
        <v>1016</v>
      </c>
      <c r="E1371" t="s">
        <v>49</v>
      </c>
      <c r="F1371" t="s">
        <v>1019</v>
      </c>
    </row>
    <row r="1372" spans="1:6">
      <c r="A1372">
        <v>176004</v>
      </c>
      <c r="B1372" t="s">
        <v>598</v>
      </c>
      <c r="C1372" t="s">
        <v>9</v>
      </c>
      <c r="D1372" t="s">
        <v>1016</v>
      </c>
      <c r="E1372" t="s">
        <v>49</v>
      </c>
      <c r="F1372" t="s">
        <v>1020</v>
      </c>
    </row>
    <row r="1373" spans="1:6">
      <c r="A1373">
        <v>176005</v>
      </c>
      <c r="B1373" t="s">
        <v>598</v>
      </c>
      <c r="C1373" t="s">
        <v>9</v>
      </c>
      <c r="D1373" t="s">
        <v>1016</v>
      </c>
      <c r="E1373" t="s">
        <v>49</v>
      </c>
      <c r="F1373" t="s">
        <v>1021</v>
      </c>
    </row>
    <row r="1374" spans="1:6">
      <c r="A1374">
        <v>176006</v>
      </c>
      <c r="B1374" t="s">
        <v>598</v>
      </c>
      <c r="C1374" t="s">
        <v>9</v>
      </c>
      <c r="D1374" t="s">
        <v>1016</v>
      </c>
      <c r="E1374" t="s">
        <v>49</v>
      </c>
      <c r="F1374" t="s">
        <v>1022</v>
      </c>
    </row>
    <row r="1375" spans="1:6">
      <c r="A1375">
        <v>176007</v>
      </c>
      <c r="B1375" t="s">
        <v>598</v>
      </c>
      <c r="C1375" t="s">
        <v>9</v>
      </c>
      <c r="D1375" t="s">
        <v>1016</v>
      </c>
      <c r="E1375" t="s">
        <v>49</v>
      </c>
      <c r="F1375" t="s">
        <v>1023</v>
      </c>
    </row>
    <row r="1376" spans="1:6">
      <c r="A1376">
        <v>176008</v>
      </c>
      <c r="B1376" t="s">
        <v>598</v>
      </c>
      <c r="C1376" t="s">
        <v>9</v>
      </c>
      <c r="D1376" t="s">
        <v>1016</v>
      </c>
      <c r="E1376" t="s">
        <v>49</v>
      </c>
      <c r="F1376" t="s">
        <v>1024</v>
      </c>
    </row>
    <row r="1377" spans="1:6">
      <c r="A1377">
        <v>176009</v>
      </c>
      <c r="B1377" t="s">
        <v>598</v>
      </c>
      <c r="C1377" t="s">
        <v>9</v>
      </c>
      <c r="D1377" t="s">
        <v>1016</v>
      </c>
      <c r="E1377" t="s">
        <v>49</v>
      </c>
      <c r="F1377" t="s">
        <v>1025</v>
      </c>
    </row>
    <row r="1378" spans="1:6">
      <c r="A1378">
        <v>176010</v>
      </c>
      <c r="B1378" t="s">
        <v>598</v>
      </c>
      <c r="C1378" t="s">
        <v>9</v>
      </c>
      <c r="D1378" t="s">
        <v>1016</v>
      </c>
      <c r="E1378" t="s">
        <v>49</v>
      </c>
      <c r="F1378" t="s">
        <v>1026</v>
      </c>
    </row>
    <row r="1379" spans="1:6">
      <c r="B1379" t="s">
        <v>598</v>
      </c>
      <c r="C1379" t="s">
        <v>9</v>
      </c>
      <c r="D1379" t="s">
        <v>1016</v>
      </c>
      <c r="E1379" t="s">
        <v>49</v>
      </c>
      <c r="F1379" t="s">
        <v>57</v>
      </c>
    </row>
    <row r="1380" spans="1:6">
      <c r="B1380" t="s">
        <v>598</v>
      </c>
      <c r="C1380" t="s">
        <v>9</v>
      </c>
      <c r="D1380" t="s">
        <v>1016</v>
      </c>
      <c r="E1380" t="s">
        <v>58</v>
      </c>
      <c r="F1380" t="s">
        <v>59</v>
      </c>
    </row>
    <row r="1381" spans="1:6">
      <c r="A1381">
        <v>177000</v>
      </c>
      <c r="B1381" t="s">
        <v>32</v>
      </c>
      <c r="C1381" t="s">
        <v>9</v>
      </c>
      <c r="D1381" t="s">
        <v>1027</v>
      </c>
      <c r="E1381" t="s">
        <v>48</v>
      </c>
      <c r="F1381" t="s">
        <v>1027</v>
      </c>
    </row>
    <row r="1382" spans="1:6">
      <c r="A1382">
        <v>177001</v>
      </c>
      <c r="B1382" t="s">
        <v>32</v>
      </c>
      <c r="C1382" t="s">
        <v>9</v>
      </c>
      <c r="D1382" t="s">
        <v>1027</v>
      </c>
      <c r="E1382" t="s">
        <v>49</v>
      </c>
      <c r="F1382" t="s">
        <v>1028</v>
      </c>
    </row>
    <row r="1383" spans="1:6">
      <c r="A1383">
        <v>177002</v>
      </c>
      <c r="B1383" t="s">
        <v>32</v>
      </c>
      <c r="C1383" t="s">
        <v>9</v>
      </c>
      <c r="D1383" t="s">
        <v>1027</v>
      </c>
      <c r="E1383" t="s">
        <v>124</v>
      </c>
      <c r="F1383" t="s">
        <v>1029</v>
      </c>
    </row>
    <row r="1384" spans="1:6">
      <c r="A1384">
        <v>177003</v>
      </c>
      <c r="B1384" t="s">
        <v>32</v>
      </c>
      <c r="C1384" t="s">
        <v>9</v>
      </c>
      <c r="D1384" t="s">
        <v>1027</v>
      </c>
      <c r="E1384" t="s">
        <v>124</v>
      </c>
      <c r="F1384" t="s">
        <v>1030</v>
      </c>
    </row>
    <row r="1385" spans="1:6">
      <c r="A1385">
        <v>177004</v>
      </c>
      <c r="B1385" t="s">
        <v>32</v>
      </c>
      <c r="C1385" t="s">
        <v>9</v>
      </c>
      <c r="D1385" t="s">
        <v>1027</v>
      </c>
      <c r="E1385" t="s">
        <v>124</v>
      </c>
      <c r="F1385" t="s">
        <v>1031</v>
      </c>
    </row>
    <row r="1386" spans="1:6">
      <c r="A1386">
        <v>177005</v>
      </c>
      <c r="B1386" t="s">
        <v>32</v>
      </c>
      <c r="C1386" t="s">
        <v>9</v>
      </c>
      <c r="D1386" t="s">
        <v>1027</v>
      </c>
      <c r="E1386" t="s">
        <v>124</v>
      </c>
      <c r="F1386" t="s">
        <v>1032</v>
      </c>
    </row>
    <row r="1387" spans="1:6">
      <c r="A1387">
        <v>177006</v>
      </c>
      <c r="B1387" t="s">
        <v>32</v>
      </c>
      <c r="C1387" t="s">
        <v>9</v>
      </c>
      <c r="D1387" t="s">
        <v>1027</v>
      </c>
      <c r="E1387" t="s">
        <v>124</v>
      </c>
      <c r="F1387" t="s">
        <v>1033</v>
      </c>
    </row>
    <row r="1388" spans="1:6">
      <c r="A1388">
        <v>177007</v>
      </c>
      <c r="B1388" t="s">
        <v>32</v>
      </c>
      <c r="C1388" t="s">
        <v>9</v>
      </c>
      <c r="D1388" t="s">
        <v>1027</v>
      </c>
      <c r="E1388" t="s">
        <v>1034</v>
      </c>
      <c r="F1388" t="s">
        <v>1035</v>
      </c>
    </row>
    <row r="1389" spans="1:6">
      <c r="A1389">
        <v>177008</v>
      </c>
      <c r="B1389" t="s">
        <v>32</v>
      </c>
      <c r="C1389" t="s">
        <v>9</v>
      </c>
      <c r="D1389" t="s">
        <v>1027</v>
      </c>
      <c r="E1389" t="s">
        <v>124</v>
      </c>
      <c r="F1389" t="s">
        <v>1036</v>
      </c>
    </row>
    <row r="1390" spans="1:6">
      <c r="A1390">
        <v>177009</v>
      </c>
      <c r="B1390" t="s">
        <v>32</v>
      </c>
      <c r="C1390" t="s">
        <v>9</v>
      </c>
      <c r="D1390" t="s">
        <v>1027</v>
      </c>
      <c r="E1390" t="s">
        <v>124</v>
      </c>
      <c r="F1390" t="s">
        <v>1037</v>
      </c>
    </row>
    <row r="1391" spans="1:6">
      <c r="A1391">
        <v>177010</v>
      </c>
      <c r="B1391" t="s">
        <v>32</v>
      </c>
      <c r="C1391" t="s">
        <v>9</v>
      </c>
      <c r="D1391" t="s">
        <v>1027</v>
      </c>
      <c r="E1391" t="s">
        <v>124</v>
      </c>
      <c r="F1391" t="s">
        <v>1038</v>
      </c>
    </row>
    <row r="1392" spans="1:6">
      <c r="A1392">
        <v>177011</v>
      </c>
      <c r="B1392" t="s">
        <v>32</v>
      </c>
      <c r="C1392" t="s">
        <v>9</v>
      </c>
      <c r="D1392" t="s">
        <v>1027</v>
      </c>
      <c r="E1392" t="s">
        <v>49</v>
      </c>
      <c r="F1392" t="s">
        <v>1039</v>
      </c>
    </row>
    <row r="1393" spans="1:6">
      <c r="B1393" t="s">
        <v>32</v>
      </c>
      <c r="C1393" t="s">
        <v>9</v>
      </c>
      <c r="D1393" t="s">
        <v>1027</v>
      </c>
      <c r="E1393" t="s">
        <v>49</v>
      </c>
      <c r="F1393" t="s">
        <v>57</v>
      </c>
    </row>
    <row r="1394" spans="1:6">
      <c r="B1394" t="s">
        <v>32</v>
      </c>
      <c r="C1394" t="s">
        <v>9</v>
      </c>
      <c r="D1394" t="s">
        <v>1027</v>
      </c>
      <c r="E1394" t="s">
        <v>58</v>
      </c>
      <c r="F1394" t="s">
        <v>59</v>
      </c>
    </row>
    <row r="1395" spans="1:6">
      <c r="A1395">
        <v>178000</v>
      </c>
      <c r="B1395" t="s">
        <v>32</v>
      </c>
      <c r="C1395" t="s">
        <v>9</v>
      </c>
      <c r="D1395" t="s">
        <v>1040</v>
      </c>
      <c r="E1395" t="s">
        <v>48</v>
      </c>
      <c r="F1395" t="s">
        <v>1040</v>
      </c>
    </row>
    <row r="1396" spans="1:6">
      <c r="A1396">
        <v>178001</v>
      </c>
      <c r="B1396" t="s">
        <v>32</v>
      </c>
      <c r="C1396" t="s">
        <v>9</v>
      </c>
      <c r="D1396" t="s">
        <v>1040</v>
      </c>
      <c r="E1396" t="s">
        <v>49</v>
      </c>
      <c r="F1396" t="s">
        <v>1041</v>
      </c>
    </row>
    <row r="1397" spans="1:6">
      <c r="A1397">
        <v>178002</v>
      </c>
      <c r="B1397" t="s">
        <v>32</v>
      </c>
      <c r="C1397" t="s">
        <v>9</v>
      </c>
      <c r="D1397" t="s">
        <v>1040</v>
      </c>
      <c r="E1397" t="s">
        <v>49</v>
      </c>
      <c r="F1397" t="s">
        <v>1042</v>
      </c>
    </row>
    <row r="1398" spans="1:6">
      <c r="A1398">
        <v>178003</v>
      </c>
      <c r="B1398" t="s">
        <v>32</v>
      </c>
      <c r="C1398" t="s">
        <v>9</v>
      </c>
      <c r="D1398" t="s">
        <v>1040</v>
      </c>
      <c r="E1398" t="s">
        <v>49</v>
      </c>
      <c r="F1398" t="s">
        <v>1043</v>
      </c>
    </row>
    <row r="1399" spans="1:6">
      <c r="A1399">
        <v>178004</v>
      </c>
      <c r="B1399" t="s">
        <v>32</v>
      </c>
      <c r="C1399" t="s">
        <v>9</v>
      </c>
      <c r="D1399" t="s">
        <v>1040</v>
      </c>
      <c r="E1399" t="s">
        <v>49</v>
      </c>
      <c r="F1399" t="s">
        <v>1044</v>
      </c>
    </row>
    <row r="1400" spans="1:6">
      <c r="A1400">
        <v>178005</v>
      </c>
      <c r="B1400" t="s">
        <v>32</v>
      </c>
      <c r="C1400" t="s">
        <v>9</v>
      </c>
      <c r="D1400" t="s">
        <v>1040</v>
      </c>
      <c r="E1400" t="s">
        <v>49</v>
      </c>
      <c r="F1400" t="s">
        <v>1045</v>
      </c>
    </row>
    <row r="1401" spans="1:6">
      <c r="A1401">
        <v>178006</v>
      </c>
      <c r="B1401" t="s">
        <v>32</v>
      </c>
      <c r="C1401" t="s">
        <v>9</v>
      </c>
      <c r="D1401" t="s">
        <v>1040</v>
      </c>
      <c r="E1401" t="s">
        <v>49</v>
      </c>
      <c r="F1401" t="s">
        <v>1046</v>
      </c>
    </row>
    <row r="1402" spans="1:6">
      <c r="A1402">
        <v>178007</v>
      </c>
      <c r="B1402" t="s">
        <v>32</v>
      </c>
      <c r="C1402" t="s">
        <v>9</v>
      </c>
      <c r="D1402" t="s">
        <v>1040</v>
      </c>
      <c r="E1402" t="s">
        <v>49</v>
      </c>
      <c r="F1402" t="s">
        <v>1047</v>
      </c>
    </row>
    <row r="1403" spans="1:6">
      <c r="B1403" t="s">
        <v>32</v>
      </c>
      <c r="C1403" t="s">
        <v>9</v>
      </c>
      <c r="D1403" t="s">
        <v>1040</v>
      </c>
      <c r="E1403" t="s">
        <v>49</v>
      </c>
      <c r="F1403" t="s">
        <v>57</v>
      </c>
    </row>
    <row r="1404" spans="1:6">
      <c r="B1404" t="s">
        <v>32</v>
      </c>
      <c r="C1404" t="s">
        <v>9</v>
      </c>
      <c r="D1404" t="s">
        <v>1040</v>
      </c>
      <c r="E1404" t="s">
        <v>58</v>
      </c>
      <c r="F1404" t="s">
        <v>59</v>
      </c>
    </row>
    <row r="1405" spans="1:6">
      <c r="A1405">
        <v>180000</v>
      </c>
      <c r="B1405" t="s">
        <v>18</v>
      </c>
      <c r="C1405" t="s">
        <v>9</v>
      </c>
      <c r="D1405" t="s">
        <v>1048</v>
      </c>
      <c r="E1405" t="s">
        <v>48</v>
      </c>
      <c r="F1405" t="s">
        <v>1048</v>
      </c>
    </row>
    <row r="1406" spans="1:6">
      <c r="A1406">
        <v>180001</v>
      </c>
      <c r="B1406" t="s">
        <v>18</v>
      </c>
      <c r="C1406" t="s">
        <v>9</v>
      </c>
      <c r="D1406" t="s">
        <v>1048</v>
      </c>
      <c r="E1406" t="s">
        <v>49</v>
      </c>
      <c r="F1406" t="s">
        <v>1049</v>
      </c>
    </row>
    <row r="1407" spans="1:6">
      <c r="A1407">
        <v>180002</v>
      </c>
      <c r="B1407" t="s">
        <v>18</v>
      </c>
      <c r="C1407" t="s">
        <v>9</v>
      </c>
      <c r="D1407" t="s">
        <v>1048</v>
      </c>
      <c r="E1407" t="s">
        <v>49</v>
      </c>
      <c r="F1407" t="s">
        <v>1050</v>
      </c>
    </row>
    <row r="1408" spans="1:6">
      <c r="A1408">
        <v>180003</v>
      </c>
      <c r="B1408" t="s">
        <v>18</v>
      </c>
      <c r="C1408" t="s">
        <v>9</v>
      </c>
      <c r="D1408" t="s">
        <v>1048</v>
      </c>
      <c r="E1408" t="s">
        <v>49</v>
      </c>
      <c r="F1408" t="s">
        <v>1051</v>
      </c>
    </row>
    <row r="1409" spans="1:7">
      <c r="A1409">
        <v>180004</v>
      </c>
      <c r="B1409" t="s">
        <v>18</v>
      </c>
      <c r="C1409" t="s">
        <v>9</v>
      </c>
      <c r="D1409" t="s">
        <v>1048</v>
      </c>
      <c r="E1409" t="s">
        <v>49</v>
      </c>
      <c r="F1409" t="s">
        <v>1052</v>
      </c>
    </row>
    <row r="1410" spans="1:7">
      <c r="A1410">
        <v>180005</v>
      </c>
      <c r="B1410" t="s">
        <v>18</v>
      </c>
      <c r="C1410" t="s">
        <v>9</v>
      </c>
      <c r="D1410" t="s">
        <v>1048</v>
      </c>
      <c r="E1410" t="s">
        <v>49</v>
      </c>
      <c r="F1410" t="s">
        <v>1053</v>
      </c>
    </row>
    <row r="1411" spans="1:7">
      <c r="B1411" t="s">
        <v>18</v>
      </c>
      <c r="C1411" t="s">
        <v>9</v>
      </c>
      <c r="D1411" t="s">
        <v>1048</v>
      </c>
      <c r="E1411" t="s">
        <v>49</v>
      </c>
      <c r="F1411" t="s">
        <v>57</v>
      </c>
    </row>
    <row r="1412" spans="1:7">
      <c r="B1412" t="s">
        <v>18</v>
      </c>
      <c r="C1412" t="s">
        <v>9</v>
      </c>
      <c r="D1412" t="s">
        <v>1048</v>
      </c>
      <c r="E1412" t="s">
        <v>58</v>
      </c>
      <c r="F1412" t="s">
        <v>59</v>
      </c>
    </row>
    <row r="1413" spans="1:7">
      <c r="A1413">
        <v>181000</v>
      </c>
      <c r="B1413" t="s">
        <v>567</v>
      </c>
      <c r="C1413" t="s">
        <v>9</v>
      </c>
      <c r="D1413" t="s">
        <v>1054</v>
      </c>
      <c r="E1413" t="s">
        <v>48</v>
      </c>
      <c r="F1413" t="s">
        <v>1054</v>
      </c>
    </row>
    <row r="1414" spans="1:7">
      <c r="A1414">
        <v>181001</v>
      </c>
      <c r="B1414" t="s">
        <v>567</v>
      </c>
      <c r="C1414" t="s">
        <v>9</v>
      </c>
      <c r="D1414" t="s">
        <v>1054</v>
      </c>
      <c r="E1414" t="s">
        <v>49</v>
      </c>
      <c r="F1414" t="s">
        <v>1055</v>
      </c>
    </row>
    <row r="1415" spans="1:7">
      <c r="A1415">
        <v>181002</v>
      </c>
      <c r="B1415" t="s">
        <v>567</v>
      </c>
      <c r="C1415" t="s">
        <v>9</v>
      </c>
      <c r="D1415" t="s">
        <v>1054</v>
      </c>
      <c r="E1415" t="s">
        <v>796</v>
      </c>
      <c r="F1415" t="s">
        <v>1056</v>
      </c>
      <c r="G1415" t="s">
        <v>1057</v>
      </c>
    </row>
    <row r="1416" spans="1:7">
      <c r="A1416">
        <v>181003</v>
      </c>
      <c r="B1416" t="s">
        <v>567</v>
      </c>
      <c r="C1416" t="s">
        <v>9</v>
      </c>
      <c r="D1416" t="s">
        <v>1054</v>
      </c>
      <c r="E1416" t="s">
        <v>796</v>
      </c>
      <c r="F1416" t="s">
        <v>1058</v>
      </c>
      <c r="G1416" t="s">
        <v>1059</v>
      </c>
    </row>
    <row r="1417" spans="1:7">
      <c r="A1417">
        <v>181004</v>
      </c>
      <c r="B1417" t="s">
        <v>567</v>
      </c>
      <c r="C1417" t="s">
        <v>9</v>
      </c>
      <c r="D1417" t="s">
        <v>1054</v>
      </c>
      <c r="E1417" t="s">
        <v>791</v>
      </c>
      <c r="F1417" t="s">
        <v>1060</v>
      </c>
    </row>
    <row r="1418" spans="1:7">
      <c r="A1418">
        <v>181005</v>
      </c>
      <c r="B1418" t="s">
        <v>567</v>
      </c>
      <c r="C1418" t="s">
        <v>9</v>
      </c>
      <c r="D1418" t="s">
        <v>1054</v>
      </c>
      <c r="E1418" t="s">
        <v>66</v>
      </c>
      <c r="F1418" t="s">
        <v>1061</v>
      </c>
      <c r="G1418" t="s">
        <v>1062</v>
      </c>
    </row>
    <row r="1419" spans="1:7">
      <c r="A1419">
        <v>181006</v>
      </c>
      <c r="B1419" t="s">
        <v>567</v>
      </c>
      <c r="C1419" t="s">
        <v>9</v>
      </c>
      <c r="D1419" t="s">
        <v>1054</v>
      </c>
      <c r="E1419" t="s">
        <v>791</v>
      </c>
      <c r="F1419" t="s">
        <v>1060</v>
      </c>
    </row>
    <row r="1420" spans="1:7">
      <c r="A1420">
        <v>181007</v>
      </c>
      <c r="B1420" t="s">
        <v>567</v>
      </c>
      <c r="C1420" t="s">
        <v>9</v>
      </c>
      <c r="D1420" t="s">
        <v>1054</v>
      </c>
      <c r="E1420" t="s">
        <v>66</v>
      </c>
      <c r="F1420" t="s">
        <v>1063</v>
      </c>
      <c r="G1420" t="s">
        <v>1064</v>
      </c>
    </row>
    <row r="1421" spans="1:7">
      <c r="A1421">
        <v>181008</v>
      </c>
      <c r="B1421" t="s">
        <v>567</v>
      </c>
      <c r="C1421" t="s">
        <v>9</v>
      </c>
      <c r="D1421" t="s">
        <v>1054</v>
      </c>
      <c r="E1421" t="s">
        <v>791</v>
      </c>
      <c r="F1421" t="s">
        <v>1060</v>
      </c>
    </row>
    <row r="1422" spans="1:7">
      <c r="A1422">
        <v>181009</v>
      </c>
      <c r="B1422" t="s">
        <v>567</v>
      </c>
      <c r="C1422" t="s">
        <v>9</v>
      </c>
      <c r="D1422" t="s">
        <v>1054</v>
      </c>
      <c r="E1422" t="s">
        <v>796</v>
      </c>
      <c r="F1422" t="s">
        <v>1065</v>
      </c>
      <c r="G1422" t="s">
        <v>1066</v>
      </c>
    </row>
    <row r="1423" spans="1:7">
      <c r="A1423">
        <v>181010</v>
      </c>
      <c r="B1423" t="s">
        <v>567</v>
      </c>
      <c r="C1423" t="s">
        <v>9</v>
      </c>
      <c r="D1423" t="s">
        <v>1054</v>
      </c>
      <c r="E1423" t="s">
        <v>791</v>
      </c>
      <c r="F1423" t="s">
        <v>1060</v>
      </c>
    </row>
    <row r="1424" spans="1:7">
      <c r="A1424">
        <v>181011</v>
      </c>
      <c r="B1424" t="s">
        <v>567</v>
      </c>
      <c r="C1424" t="s">
        <v>9</v>
      </c>
      <c r="D1424" t="s">
        <v>1054</v>
      </c>
      <c r="E1424" t="s">
        <v>796</v>
      </c>
      <c r="F1424" t="s">
        <v>1067</v>
      </c>
      <c r="G1424" t="s">
        <v>287</v>
      </c>
    </row>
    <row r="1425" spans="1:6">
      <c r="A1425">
        <v>181012</v>
      </c>
      <c r="B1425" t="s">
        <v>567</v>
      </c>
      <c r="C1425" t="s">
        <v>9</v>
      </c>
      <c r="D1425" t="s">
        <v>1054</v>
      </c>
      <c r="E1425" t="s">
        <v>58</v>
      </c>
      <c r="F1425" t="s">
        <v>1068</v>
      </c>
    </row>
    <row r="1426" spans="1:6">
      <c r="B1426" t="s">
        <v>567</v>
      </c>
      <c r="C1426" t="s">
        <v>9</v>
      </c>
      <c r="D1426" t="s">
        <v>1054</v>
      </c>
      <c r="E1426" t="s">
        <v>49</v>
      </c>
      <c r="F1426" t="s">
        <v>57</v>
      </c>
    </row>
    <row r="1427" spans="1:6">
      <c r="B1427" t="s">
        <v>567</v>
      </c>
      <c r="C1427" t="s">
        <v>9</v>
      </c>
      <c r="D1427" t="s">
        <v>1054</v>
      </c>
      <c r="E1427" t="s">
        <v>58</v>
      </c>
      <c r="F1427" t="s">
        <v>59</v>
      </c>
    </row>
    <row r="1428" spans="1:6">
      <c r="A1428">
        <v>182000</v>
      </c>
      <c r="B1428" t="s">
        <v>18</v>
      </c>
      <c r="C1428" t="s">
        <v>9</v>
      </c>
      <c r="D1428" t="s">
        <v>1069</v>
      </c>
      <c r="E1428" t="s">
        <v>1070</v>
      </c>
      <c r="F1428" t="s">
        <v>1069</v>
      </c>
    </row>
    <row r="1429" spans="1:6">
      <c r="A1429">
        <v>182001</v>
      </c>
      <c r="B1429" t="s">
        <v>18</v>
      </c>
      <c r="C1429" t="s">
        <v>9</v>
      </c>
      <c r="D1429" t="s">
        <v>1069</v>
      </c>
      <c r="E1429" t="s">
        <v>831</v>
      </c>
      <c r="F1429" t="s">
        <v>1071</v>
      </c>
    </row>
    <row r="1430" spans="1:6">
      <c r="A1430">
        <v>182002</v>
      </c>
      <c r="B1430" t="s">
        <v>18</v>
      </c>
      <c r="C1430" t="s">
        <v>9</v>
      </c>
      <c r="D1430" t="s">
        <v>1069</v>
      </c>
      <c r="E1430" t="s">
        <v>831</v>
      </c>
      <c r="F1430" t="s">
        <v>1072</v>
      </c>
    </row>
    <row r="1431" spans="1:6">
      <c r="A1431">
        <v>182003</v>
      </c>
      <c r="B1431" t="s">
        <v>18</v>
      </c>
      <c r="C1431" t="s">
        <v>9</v>
      </c>
      <c r="D1431" t="s">
        <v>1069</v>
      </c>
      <c r="E1431" t="s">
        <v>831</v>
      </c>
      <c r="F1431" t="s">
        <v>1073</v>
      </c>
    </row>
    <row r="1432" spans="1:6">
      <c r="A1432">
        <v>182004</v>
      </c>
      <c r="B1432" t="s">
        <v>18</v>
      </c>
      <c r="C1432" t="s">
        <v>9</v>
      </c>
      <c r="D1432" t="s">
        <v>1069</v>
      </c>
      <c r="E1432" t="s">
        <v>831</v>
      </c>
      <c r="F1432" t="s">
        <v>1074</v>
      </c>
    </row>
    <row r="1433" spans="1:6">
      <c r="A1433">
        <v>182005</v>
      </c>
      <c r="B1433" t="s">
        <v>18</v>
      </c>
      <c r="C1433" t="s">
        <v>9</v>
      </c>
      <c r="D1433" t="s">
        <v>1069</v>
      </c>
      <c r="E1433" t="s">
        <v>831</v>
      </c>
      <c r="F1433" t="s">
        <v>1075</v>
      </c>
    </row>
    <row r="1434" spans="1:6">
      <c r="A1434">
        <v>182006</v>
      </c>
      <c r="B1434" t="s">
        <v>18</v>
      </c>
      <c r="C1434" t="s">
        <v>9</v>
      </c>
      <c r="D1434" t="s">
        <v>1069</v>
      </c>
      <c r="E1434" t="s">
        <v>831</v>
      </c>
      <c r="F1434" t="s">
        <v>1076</v>
      </c>
    </row>
    <row r="1435" spans="1:6">
      <c r="A1435">
        <v>182007</v>
      </c>
      <c r="B1435" t="s">
        <v>18</v>
      </c>
      <c r="C1435" t="s">
        <v>9</v>
      </c>
      <c r="D1435" t="s">
        <v>1069</v>
      </c>
      <c r="E1435" t="s">
        <v>831</v>
      </c>
      <c r="F1435" t="s">
        <v>1077</v>
      </c>
    </row>
    <row r="1436" spans="1:6">
      <c r="A1436">
        <v>182008</v>
      </c>
      <c r="B1436" t="s">
        <v>18</v>
      </c>
      <c r="C1436" t="s">
        <v>9</v>
      </c>
      <c r="D1436" t="s">
        <v>1069</v>
      </c>
      <c r="E1436" t="s">
        <v>831</v>
      </c>
      <c r="F1436" t="s">
        <v>1078</v>
      </c>
    </row>
    <row r="1437" spans="1:6">
      <c r="A1437">
        <v>182009</v>
      </c>
      <c r="B1437" t="s">
        <v>18</v>
      </c>
      <c r="C1437" t="s">
        <v>9</v>
      </c>
      <c r="D1437" t="s">
        <v>1069</v>
      </c>
      <c r="E1437" t="s">
        <v>831</v>
      </c>
      <c r="F1437" t="s">
        <v>1079</v>
      </c>
    </row>
    <row r="1438" spans="1:6">
      <c r="B1438" t="s">
        <v>18</v>
      </c>
      <c r="C1438" t="s">
        <v>9</v>
      </c>
      <c r="D1438" t="s">
        <v>1069</v>
      </c>
      <c r="E1438" t="s">
        <v>49</v>
      </c>
      <c r="F1438" t="s">
        <v>57</v>
      </c>
    </row>
    <row r="1439" spans="1:6">
      <c r="B1439" t="s">
        <v>18</v>
      </c>
      <c r="C1439" t="s">
        <v>9</v>
      </c>
      <c r="D1439" t="s">
        <v>1069</v>
      </c>
      <c r="E1439" t="s">
        <v>58</v>
      </c>
      <c r="F1439" t="s">
        <v>59</v>
      </c>
    </row>
    <row r="1440" spans="1:6">
      <c r="A1440">
        <v>183000</v>
      </c>
      <c r="B1440" t="s">
        <v>18</v>
      </c>
      <c r="C1440" t="s">
        <v>9</v>
      </c>
      <c r="D1440" t="s">
        <v>1080</v>
      </c>
      <c r="E1440" t="s">
        <v>48</v>
      </c>
      <c r="F1440" t="s">
        <v>1080</v>
      </c>
    </row>
    <row r="1441" spans="1:6">
      <c r="A1441">
        <v>183001</v>
      </c>
      <c r="B1441" t="s">
        <v>18</v>
      </c>
      <c r="C1441" t="s">
        <v>9</v>
      </c>
      <c r="D1441" t="s">
        <v>1080</v>
      </c>
      <c r="E1441" t="s">
        <v>831</v>
      </c>
      <c r="F1441" t="s">
        <v>1081</v>
      </c>
    </row>
    <row r="1442" spans="1:6">
      <c r="A1442">
        <v>183002</v>
      </c>
      <c r="B1442" t="s">
        <v>18</v>
      </c>
      <c r="C1442" t="s">
        <v>9</v>
      </c>
      <c r="D1442" t="s">
        <v>1080</v>
      </c>
      <c r="E1442" t="s">
        <v>831</v>
      </c>
      <c r="F1442" t="s">
        <v>1082</v>
      </c>
    </row>
    <row r="1443" spans="1:6">
      <c r="A1443">
        <v>183003</v>
      </c>
      <c r="B1443" t="s">
        <v>18</v>
      </c>
      <c r="C1443" t="s">
        <v>9</v>
      </c>
      <c r="D1443" t="s">
        <v>1080</v>
      </c>
      <c r="E1443" t="s">
        <v>831</v>
      </c>
      <c r="F1443" t="s">
        <v>1083</v>
      </c>
    </row>
    <row r="1444" spans="1:6">
      <c r="A1444">
        <v>183004</v>
      </c>
      <c r="B1444" t="s">
        <v>18</v>
      </c>
      <c r="C1444" t="s">
        <v>9</v>
      </c>
      <c r="D1444" t="s">
        <v>1080</v>
      </c>
      <c r="E1444" t="s">
        <v>831</v>
      </c>
      <c r="F1444" t="s">
        <v>1084</v>
      </c>
    </row>
    <row r="1445" spans="1:6">
      <c r="A1445">
        <v>183005</v>
      </c>
      <c r="B1445" t="s">
        <v>18</v>
      </c>
      <c r="C1445" t="s">
        <v>9</v>
      </c>
      <c r="D1445" t="s">
        <v>1080</v>
      </c>
      <c r="E1445" t="s">
        <v>831</v>
      </c>
      <c r="F1445" t="s">
        <v>1085</v>
      </c>
    </row>
    <row r="1446" spans="1:6">
      <c r="A1446">
        <v>183006</v>
      </c>
      <c r="B1446" t="s">
        <v>18</v>
      </c>
      <c r="C1446" t="s">
        <v>9</v>
      </c>
      <c r="D1446" t="s">
        <v>1080</v>
      </c>
      <c r="E1446" t="s">
        <v>831</v>
      </c>
      <c r="F1446" t="s">
        <v>1086</v>
      </c>
    </row>
    <row r="1447" spans="1:6">
      <c r="A1447">
        <v>183007</v>
      </c>
      <c r="B1447" t="s">
        <v>18</v>
      </c>
      <c r="C1447" t="s">
        <v>9</v>
      </c>
      <c r="D1447" t="s">
        <v>1080</v>
      </c>
      <c r="E1447" t="s">
        <v>831</v>
      </c>
      <c r="F1447" t="s">
        <v>1087</v>
      </c>
    </row>
    <row r="1448" spans="1:6">
      <c r="A1448">
        <v>183008</v>
      </c>
      <c r="B1448" t="s">
        <v>18</v>
      </c>
      <c r="C1448" t="s">
        <v>9</v>
      </c>
      <c r="D1448" t="s">
        <v>1080</v>
      </c>
      <c r="E1448" t="s">
        <v>831</v>
      </c>
      <c r="F1448" t="s">
        <v>1088</v>
      </c>
    </row>
    <row r="1449" spans="1:6">
      <c r="A1449">
        <v>183009</v>
      </c>
      <c r="B1449" t="s">
        <v>18</v>
      </c>
      <c r="C1449" t="s">
        <v>9</v>
      </c>
      <c r="D1449" t="s">
        <v>1080</v>
      </c>
      <c r="E1449" t="s">
        <v>831</v>
      </c>
      <c r="F1449" t="s">
        <v>1089</v>
      </c>
    </row>
    <row r="1450" spans="1:6">
      <c r="B1450" t="s">
        <v>18</v>
      </c>
      <c r="C1450" t="s">
        <v>9</v>
      </c>
      <c r="D1450" t="s">
        <v>1080</v>
      </c>
      <c r="E1450" t="s">
        <v>49</v>
      </c>
      <c r="F1450" t="s">
        <v>57</v>
      </c>
    </row>
    <row r="1451" spans="1:6">
      <c r="B1451" t="s">
        <v>18</v>
      </c>
      <c r="C1451" t="s">
        <v>9</v>
      </c>
      <c r="D1451" t="s">
        <v>1080</v>
      </c>
      <c r="E1451" t="s">
        <v>58</v>
      </c>
      <c r="F1451" t="s">
        <v>59</v>
      </c>
    </row>
    <row r="1452" spans="1:6">
      <c r="A1452">
        <v>184000</v>
      </c>
      <c r="B1452" t="s">
        <v>18</v>
      </c>
      <c r="C1452" t="s">
        <v>9</v>
      </c>
      <c r="D1452" t="s">
        <v>1090</v>
      </c>
      <c r="E1452" t="s">
        <v>119</v>
      </c>
      <c r="F1452" t="s">
        <v>1090</v>
      </c>
    </row>
    <row r="1453" spans="1:6">
      <c r="A1453">
        <v>184001</v>
      </c>
      <c r="B1453" t="s">
        <v>18</v>
      </c>
      <c r="C1453" t="s">
        <v>9</v>
      </c>
      <c r="D1453" t="s">
        <v>1090</v>
      </c>
      <c r="E1453" t="s">
        <v>120</v>
      </c>
      <c r="F1453" t="s">
        <v>950</v>
      </c>
    </row>
    <row r="1454" spans="1:6">
      <c r="A1454">
        <v>184002</v>
      </c>
      <c r="B1454" t="s">
        <v>18</v>
      </c>
      <c r="C1454" t="s">
        <v>9</v>
      </c>
      <c r="D1454" t="s">
        <v>1090</v>
      </c>
      <c r="E1454" t="s">
        <v>49</v>
      </c>
      <c r="F1454" t="s">
        <v>1091</v>
      </c>
    </row>
    <row r="1455" spans="1:6">
      <c r="A1455">
        <v>184003</v>
      </c>
      <c r="B1455" t="s">
        <v>18</v>
      </c>
      <c r="C1455" t="s">
        <v>9</v>
      </c>
      <c r="D1455" t="s">
        <v>1090</v>
      </c>
      <c r="E1455" t="s">
        <v>49</v>
      </c>
      <c r="F1455" t="s">
        <v>1092</v>
      </c>
    </row>
    <row r="1456" spans="1:6">
      <c r="A1456">
        <v>184004</v>
      </c>
      <c r="B1456" t="s">
        <v>18</v>
      </c>
      <c r="C1456" t="s">
        <v>9</v>
      </c>
      <c r="D1456" t="s">
        <v>1090</v>
      </c>
      <c r="E1456" t="s">
        <v>120</v>
      </c>
      <c r="F1456" t="s">
        <v>418</v>
      </c>
    </row>
    <row r="1457" spans="1:6">
      <c r="A1457">
        <v>184005</v>
      </c>
      <c r="B1457" t="s">
        <v>18</v>
      </c>
      <c r="C1457" t="s">
        <v>9</v>
      </c>
      <c r="D1457" t="s">
        <v>1090</v>
      </c>
      <c r="E1457" t="s">
        <v>49</v>
      </c>
      <c r="F1457" t="s">
        <v>1093</v>
      </c>
    </row>
    <row r="1458" spans="1:6">
      <c r="A1458">
        <v>184006</v>
      </c>
      <c r="B1458" t="s">
        <v>18</v>
      </c>
      <c r="C1458" t="s">
        <v>9</v>
      </c>
      <c r="D1458" t="s">
        <v>1090</v>
      </c>
      <c r="E1458" t="s">
        <v>49</v>
      </c>
      <c r="F1458" t="s">
        <v>1094</v>
      </c>
    </row>
    <row r="1459" spans="1:6">
      <c r="A1459">
        <v>184007</v>
      </c>
      <c r="B1459" t="s">
        <v>18</v>
      </c>
      <c r="C1459" t="s">
        <v>9</v>
      </c>
      <c r="D1459" t="s">
        <v>1090</v>
      </c>
      <c r="E1459" t="s">
        <v>120</v>
      </c>
      <c r="F1459" t="s">
        <v>1095</v>
      </c>
    </row>
    <row r="1460" spans="1:6">
      <c r="A1460">
        <v>184008</v>
      </c>
      <c r="B1460" t="s">
        <v>18</v>
      </c>
      <c r="C1460" t="s">
        <v>9</v>
      </c>
      <c r="D1460" t="s">
        <v>1090</v>
      </c>
      <c r="E1460" t="s">
        <v>49</v>
      </c>
      <c r="F1460" t="s">
        <v>1096</v>
      </c>
    </row>
    <row r="1461" spans="1:6">
      <c r="A1461">
        <v>184009</v>
      </c>
      <c r="B1461" t="s">
        <v>18</v>
      </c>
      <c r="C1461" t="s">
        <v>9</v>
      </c>
      <c r="D1461" t="s">
        <v>1090</v>
      </c>
      <c r="E1461" t="s">
        <v>49</v>
      </c>
      <c r="F1461" t="s">
        <v>1097</v>
      </c>
    </row>
    <row r="1462" spans="1:6">
      <c r="A1462">
        <v>184010</v>
      </c>
      <c r="B1462" t="s">
        <v>18</v>
      </c>
      <c r="C1462" t="s">
        <v>9</v>
      </c>
      <c r="D1462" t="s">
        <v>1090</v>
      </c>
      <c r="E1462" t="s">
        <v>49</v>
      </c>
      <c r="F1462" t="s">
        <v>1098</v>
      </c>
    </row>
    <row r="1463" spans="1:6">
      <c r="A1463">
        <v>184011</v>
      </c>
      <c r="B1463" t="s">
        <v>18</v>
      </c>
      <c r="C1463" t="s">
        <v>9</v>
      </c>
      <c r="D1463" t="s">
        <v>1090</v>
      </c>
      <c r="E1463" t="s">
        <v>49</v>
      </c>
      <c r="F1463" t="s">
        <v>1099</v>
      </c>
    </row>
    <row r="1464" spans="1:6">
      <c r="B1464" t="s">
        <v>18</v>
      </c>
      <c r="C1464" t="s">
        <v>9</v>
      </c>
      <c r="D1464" t="s">
        <v>1090</v>
      </c>
      <c r="E1464" t="s">
        <v>49</v>
      </c>
      <c r="F1464" t="s">
        <v>57</v>
      </c>
    </row>
    <row r="1465" spans="1:6">
      <c r="B1465" t="s">
        <v>18</v>
      </c>
      <c r="C1465" t="s">
        <v>9</v>
      </c>
      <c r="D1465" t="s">
        <v>1090</v>
      </c>
      <c r="E1465" t="s">
        <v>58</v>
      </c>
      <c r="F1465" t="s">
        <v>59</v>
      </c>
    </row>
    <row r="1466" spans="1:6">
      <c r="A1466">
        <v>185000</v>
      </c>
      <c r="B1466" t="s">
        <v>18</v>
      </c>
      <c r="C1466" t="s">
        <v>9</v>
      </c>
      <c r="D1466" t="s">
        <v>1100</v>
      </c>
      <c r="E1466" t="s">
        <v>119</v>
      </c>
      <c r="F1466" t="s">
        <v>1100</v>
      </c>
    </row>
    <row r="1467" spans="1:6">
      <c r="A1467">
        <v>185001</v>
      </c>
      <c r="B1467" t="s">
        <v>18</v>
      </c>
      <c r="C1467" t="s">
        <v>9</v>
      </c>
      <c r="D1467" t="s">
        <v>1100</v>
      </c>
      <c r="E1467" t="s">
        <v>120</v>
      </c>
      <c r="F1467" t="s">
        <v>1101</v>
      </c>
    </row>
    <row r="1468" spans="1:6">
      <c r="A1468">
        <v>185002</v>
      </c>
      <c r="B1468" t="s">
        <v>18</v>
      </c>
      <c r="C1468" t="s">
        <v>9</v>
      </c>
      <c r="D1468" t="s">
        <v>1100</v>
      </c>
      <c r="E1468" t="s">
        <v>49</v>
      </c>
      <c r="F1468" t="s">
        <v>1102</v>
      </c>
    </row>
    <row r="1469" spans="1:6">
      <c r="A1469">
        <v>185003</v>
      </c>
      <c r="B1469" t="s">
        <v>18</v>
      </c>
      <c r="C1469" t="s">
        <v>9</v>
      </c>
      <c r="D1469" t="s">
        <v>1100</v>
      </c>
      <c r="E1469" t="s">
        <v>49</v>
      </c>
      <c r="F1469" t="s">
        <v>1103</v>
      </c>
    </row>
    <row r="1470" spans="1:6">
      <c r="A1470">
        <v>185004</v>
      </c>
      <c r="B1470" t="s">
        <v>18</v>
      </c>
      <c r="C1470" t="s">
        <v>9</v>
      </c>
      <c r="D1470" t="s">
        <v>1100</v>
      </c>
      <c r="E1470" t="s">
        <v>49</v>
      </c>
      <c r="F1470" t="s">
        <v>1104</v>
      </c>
    </row>
    <row r="1471" spans="1:6">
      <c r="A1471">
        <v>185005</v>
      </c>
      <c r="B1471" t="s">
        <v>18</v>
      </c>
      <c r="C1471" t="s">
        <v>9</v>
      </c>
      <c r="D1471" t="s">
        <v>1100</v>
      </c>
      <c r="E1471" t="s">
        <v>49</v>
      </c>
      <c r="F1471" t="s">
        <v>1105</v>
      </c>
    </row>
    <row r="1472" spans="1:6">
      <c r="A1472">
        <v>185006</v>
      </c>
      <c r="B1472" t="s">
        <v>18</v>
      </c>
      <c r="C1472" t="s">
        <v>9</v>
      </c>
      <c r="D1472" t="s">
        <v>1100</v>
      </c>
      <c r="E1472" t="s">
        <v>49</v>
      </c>
      <c r="F1472" t="s">
        <v>1106</v>
      </c>
    </row>
    <row r="1473" spans="1:6">
      <c r="A1473">
        <v>185007</v>
      </c>
      <c r="B1473" t="s">
        <v>18</v>
      </c>
      <c r="C1473" t="s">
        <v>9</v>
      </c>
      <c r="D1473" t="s">
        <v>1100</v>
      </c>
      <c r="E1473" t="s">
        <v>49</v>
      </c>
      <c r="F1473" t="s">
        <v>1107</v>
      </c>
    </row>
    <row r="1474" spans="1:6">
      <c r="A1474">
        <v>185008</v>
      </c>
      <c r="B1474" t="s">
        <v>18</v>
      </c>
      <c r="C1474" t="s">
        <v>9</v>
      </c>
      <c r="D1474" t="s">
        <v>1100</v>
      </c>
      <c r="E1474" t="s">
        <v>120</v>
      </c>
      <c r="F1474" t="s">
        <v>1108</v>
      </c>
    </row>
    <row r="1475" spans="1:6">
      <c r="A1475">
        <v>185009</v>
      </c>
      <c r="B1475" t="s">
        <v>18</v>
      </c>
      <c r="C1475" t="s">
        <v>9</v>
      </c>
      <c r="D1475" t="s">
        <v>1100</v>
      </c>
      <c r="E1475" t="s">
        <v>49</v>
      </c>
      <c r="F1475" t="s">
        <v>1109</v>
      </c>
    </row>
    <row r="1476" spans="1:6">
      <c r="A1476">
        <v>185010</v>
      </c>
      <c r="B1476" t="s">
        <v>18</v>
      </c>
      <c r="C1476" t="s">
        <v>9</v>
      </c>
      <c r="D1476" t="s">
        <v>1100</v>
      </c>
      <c r="E1476" t="s">
        <v>120</v>
      </c>
      <c r="F1476" t="s">
        <v>1110</v>
      </c>
    </row>
    <row r="1477" spans="1:6">
      <c r="A1477">
        <v>185011</v>
      </c>
      <c r="B1477" t="s">
        <v>18</v>
      </c>
      <c r="C1477" t="s">
        <v>9</v>
      </c>
      <c r="D1477" t="s">
        <v>1100</v>
      </c>
      <c r="E1477" t="s">
        <v>49</v>
      </c>
      <c r="F1477" t="s">
        <v>1111</v>
      </c>
    </row>
    <row r="1478" spans="1:6">
      <c r="A1478">
        <v>185012</v>
      </c>
      <c r="B1478" t="s">
        <v>18</v>
      </c>
      <c r="C1478" t="s">
        <v>9</v>
      </c>
      <c r="D1478" t="s">
        <v>1100</v>
      </c>
      <c r="E1478" t="s">
        <v>120</v>
      </c>
      <c r="F1478" t="s">
        <v>1112</v>
      </c>
    </row>
    <row r="1479" spans="1:6">
      <c r="A1479">
        <v>185013</v>
      </c>
      <c r="B1479" t="s">
        <v>18</v>
      </c>
      <c r="C1479" t="s">
        <v>9</v>
      </c>
      <c r="D1479" t="s">
        <v>1100</v>
      </c>
      <c r="E1479" t="s">
        <v>49</v>
      </c>
      <c r="F1479" t="s">
        <v>1113</v>
      </c>
    </row>
    <row r="1480" spans="1:6">
      <c r="A1480">
        <v>185014</v>
      </c>
      <c r="B1480" t="s">
        <v>18</v>
      </c>
      <c r="C1480" t="s">
        <v>9</v>
      </c>
      <c r="D1480" t="s">
        <v>1100</v>
      </c>
      <c r="E1480" t="s">
        <v>49</v>
      </c>
      <c r="F1480" t="s">
        <v>1114</v>
      </c>
    </row>
    <row r="1481" spans="1:6">
      <c r="A1481">
        <v>185015</v>
      </c>
      <c r="B1481" t="s">
        <v>18</v>
      </c>
      <c r="C1481" t="s">
        <v>9</v>
      </c>
      <c r="D1481" t="s">
        <v>1100</v>
      </c>
      <c r="E1481" t="s">
        <v>120</v>
      </c>
      <c r="F1481" t="s">
        <v>34</v>
      </c>
    </row>
    <row r="1482" spans="1:6">
      <c r="A1482">
        <v>185016</v>
      </c>
      <c r="B1482" t="s">
        <v>18</v>
      </c>
      <c r="C1482" t="s">
        <v>9</v>
      </c>
      <c r="D1482" t="s">
        <v>1100</v>
      </c>
      <c r="E1482" t="s">
        <v>49</v>
      </c>
      <c r="F1482" t="s">
        <v>1115</v>
      </c>
    </row>
    <row r="1483" spans="1:6">
      <c r="A1483">
        <v>185017</v>
      </c>
      <c r="B1483" t="s">
        <v>18</v>
      </c>
      <c r="C1483" t="s">
        <v>9</v>
      </c>
      <c r="D1483" t="s">
        <v>1100</v>
      </c>
      <c r="E1483" t="s">
        <v>49</v>
      </c>
      <c r="F1483" t="s">
        <v>1116</v>
      </c>
    </row>
    <row r="1484" spans="1:6">
      <c r="B1484" t="s">
        <v>18</v>
      </c>
      <c r="C1484" t="s">
        <v>9</v>
      </c>
      <c r="D1484" t="s">
        <v>1100</v>
      </c>
      <c r="E1484" t="s">
        <v>49</v>
      </c>
      <c r="F1484" t="s">
        <v>57</v>
      </c>
    </row>
    <row r="1485" spans="1:6">
      <c r="B1485" t="s">
        <v>18</v>
      </c>
      <c r="C1485" t="s">
        <v>9</v>
      </c>
      <c r="D1485" t="s">
        <v>1100</v>
      </c>
      <c r="E1485" t="s">
        <v>58</v>
      </c>
      <c r="F1485" t="s">
        <v>59</v>
      </c>
    </row>
    <row r="1486" spans="1:6">
      <c r="A1486">
        <v>186000</v>
      </c>
      <c r="B1486" t="s">
        <v>18</v>
      </c>
      <c r="C1486" t="s">
        <v>9</v>
      </c>
      <c r="D1486" t="s">
        <v>1117</v>
      </c>
      <c r="E1486" t="s">
        <v>48</v>
      </c>
      <c r="F1486" t="s">
        <v>1117</v>
      </c>
    </row>
    <row r="1487" spans="1:6">
      <c r="A1487">
        <v>186001</v>
      </c>
      <c r="B1487" t="s">
        <v>18</v>
      </c>
      <c r="C1487" t="s">
        <v>9</v>
      </c>
      <c r="D1487" t="s">
        <v>1117</v>
      </c>
      <c r="E1487" t="s">
        <v>49</v>
      </c>
      <c r="F1487" t="s">
        <v>1118</v>
      </c>
    </row>
    <row r="1488" spans="1:6">
      <c r="A1488">
        <v>186002</v>
      </c>
      <c r="B1488" t="s">
        <v>18</v>
      </c>
      <c r="C1488" t="s">
        <v>9</v>
      </c>
      <c r="D1488" t="s">
        <v>1117</v>
      </c>
      <c r="E1488" t="s">
        <v>1119</v>
      </c>
      <c r="F1488" t="s">
        <v>1068</v>
      </c>
    </row>
    <row r="1489" spans="1:6">
      <c r="B1489" t="s">
        <v>18</v>
      </c>
      <c r="C1489" t="s">
        <v>9</v>
      </c>
      <c r="D1489" t="s">
        <v>1117</v>
      </c>
      <c r="E1489" t="s">
        <v>49</v>
      </c>
      <c r="F1489" t="s">
        <v>57</v>
      </c>
    </row>
    <row r="1490" spans="1:6">
      <c r="B1490" t="s">
        <v>18</v>
      </c>
      <c r="C1490" t="s">
        <v>9</v>
      </c>
      <c r="D1490" t="s">
        <v>1117</v>
      </c>
      <c r="E1490" t="s">
        <v>58</v>
      </c>
      <c r="F1490" t="s">
        <v>59</v>
      </c>
    </row>
    <row r="1491" spans="1:6">
      <c r="A1491">
        <v>187000</v>
      </c>
      <c r="B1491" t="s">
        <v>22</v>
      </c>
      <c r="C1491" t="s">
        <v>9</v>
      </c>
      <c r="D1491" t="s">
        <v>1120</v>
      </c>
      <c r="E1491" t="s">
        <v>119</v>
      </c>
      <c r="F1491" t="s">
        <v>1120</v>
      </c>
    </row>
    <row r="1492" spans="1:6">
      <c r="A1492">
        <v>187001</v>
      </c>
      <c r="B1492" t="s">
        <v>22</v>
      </c>
      <c r="C1492" t="s">
        <v>9</v>
      </c>
      <c r="D1492" t="s">
        <v>1120</v>
      </c>
      <c r="E1492" t="s">
        <v>120</v>
      </c>
      <c r="F1492" t="s">
        <v>1121</v>
      </c>
    </row>
    <row r="1493" spans="1:6">
      <c r="A1493">
        <v>187002</v>
      </c>
      <c r="B1493" t="s">
        <v>22</v>
      </c>
      <c r="C1493" t="s">
        <v>9</v>
      </c>
      <c r="D1493" t="s">
        <v>1120</v>
      </c>
      <c r="E1493" t="s">
        <v>49</v>
      </c>
      <c r="F1493" t="s">
        <v>1122</v>
      </c>
    </row>
    <row r="1494" spans="1:6">
      <c r="A1494">
        <v>187003</v>
      </c>
      <c r="B1494" t="s">
        <v>22</v>
      </c>
      <c r="C1494" t="s">
        <v>9</v>
      </c>
      <c r="D1494" t="s">
        <v>1120</v>
      </c>
      <c r="E1494" t="s">
        <v>49</v>
      </c>
      <c r="F1494" t="s">
        <v>1123</v>
      </c>
    </row>
    <row r="1495" spans="1:6">
      <c r="A1495">
        <v>187004</v>
      </c>
      <c r="B1495" t="s">
        <v>22</v>
      </c>
      <c r="C1495" t="s">
        <v>9</v>
      </c>
      <c r="D1495" t="s">
        <v>1120</v>
      </c>
      <c r="E1495" t="s">
        <v>49</v>
      </c>
      <c r="F1495" t="s">
        <v>1124</v>
      </c>
    </row>
    <row r="1496" spans="1:6">
      <c r="A1496">
        <v>187005</v>
      </c>
      <c r="B1496" t="s">
        <v>22</v>
      </c>
      <c r="C1496" t="s">
        <v>9</v>
      </c>
      <c r="D1496" t="s">
        <v>1120</v>
      </c>
      <c r="E1496" t="s">
        <v>49</v>
      </c>
      <c r="F1496" t="s">
        <v>1125</v>
      </c>
    </row>
    <row r="1497" spans="1:6">
      <c r="A1497">
        <v>187006</v>
      </c>
      <c r="B1497" t="s">
        <v>22</v>
      </c>
      <c r="C1497" t="s">
        <v>9</v>
      </c>
      <c r="D1497" t="s">
        <v>1120</v>
      </c>
      <c r="E1497" t="s">
        <v>49</v>
      </c>
      <c r="F1497" t="s">
        <v>1126</v>
      </c>
    </row>
    <row r="1498" spans="1:6">
      <c r="A1498">
        <v>187007</v>
      </c>
      <c r="B1498" t="s">
        <v>22</v>
      </c>
      <c r="C1498" t="s">
        <v>9</v>
      </c>
      <c r="D1498" t="s">
        <v>1120</v>
      </c>
      <c r="E1498" t="s">
        <v>120</v>
      </c>
      <c r="F1498" t="s">
        <v>1127</v>
      </c>
    </row>
    <row r="1499" spans="1:6">
      <c r="A1499">
        <v>187008</v>
      </c>
      <c r="B1499" t="s">
        <v>22</v>
      </c>
      <c r="C1499" t="s">
        <v>9</v>
      </c>
      <c r="D1499" t="s">
        <v>1120</v>
      </c>
      <c r="E1499" t="s">
        <v>49</v>
      </c>
      <c r="F1499" t="s">
        <v>1128</v>
      </c>
    </row>
    <row r="1500" spans="1:6">
      <c r="A1500">
        <v>187009</v>
      </c>
      <c r="B1500" t="s">
        <v>22</v>
      </c>
      <c r="C1500" t="s">
        <v>9</v>
      </c>
      <c r="D1500" t="s">
        <v>1120</v>
      </c>
      <c r="E1500" t="s">
        <v>49</v>
      </c>
      <c r="F1500" t="s">
        <v>1129</v>
      </c>
    </row>
    <row r="1501" spans="1:6">
      <c r="A1501">
        <v>187010</v>
      </c>
      <c r="B1501" t="s">
        <v>22</v>
      </c>
      <c r="C1501" t="s">
        <v>9</v>
      </c>
      <c r="D1501" t="s">
        <v>1120</v>
      </c>
      <c r="E1501" t="s">
        <v>49</v>
      </c>
      <c r="F1501" t="s">
        <v>1130</v>
      </c>
    </row>
    <row r="1502" spans="1:6">
      <c r="A1502">
        <v>187011</v>
      </c>
      <c r="B1502" t="s">
        <v>22</v>
      </c>
      <c r="C1502" t="s">
        <v>9</v>
      </c>
      <c r="D1502" t="s">
        <v>1120</v>
      </c>
      <c r="E1502" t="s">
        <v>49</v>
      </c>
      <c r="F1502" t="s">
        <v>1131</v>
      </c>
    </row>
    <row r="1503" spans="1:6">
      <c r="A1503">
        <v>187012</v>
      </c>
      <c r="B1503" t="s">
        <v>22</v>
      </c>
      <c r="C1503" t="s">
        <v>9</v>
      </c>
      <c r="D1503" t="s">
        <v>1120</v>
      </c>
      <c r="E1503" t="s">
        <v>49</v>
      </c>
      <c r="F1503" t="s">
        <v>1132</v>
      </c>
    </row>
    <row r="1504" spans="1:6">
      <c r="A1504">
        <v>187013</v>
      </c>
      <c r="B1504" t="s">
        <v>22</v>
      </c>
      <c r="C1504" t="s">
        <v>9</v>
      </c>
      <c r="D1504" t="s">
        <v>1120</v>
      </c>
      <c r="E1504" t="s">
        <v>49</v>
      </c>
      <c r="F1504" t="s">
        <v>1126</v>
      </c>
    </row>
    <row r="1505" spans="1:6">
      <c r="A1505">
        <v>187014</v>
      </c>
      <c r="B1505" t="s">
        <v>22</v>
      </c>
      <c r="C1505" t="s">
        <v>9</v>
      </c>
      <c r="D1505" t="s">
        <v>1120</v>
      </c>
      <c r="E1505" t="s">
        <v>120</v>
      </c>
      <c r="F1505" t="s">
        <v>1133</v>
      </c>
    </row>
    <row r="1506" spans="1:6">
      <c r="A1506">
        <v>187015</v>
      </c>
      <c r="B1506" t="s">
        <v>22</v>
      </c>
      <c r="C1506" t="s">
        <v>9</v>
      </c>
      <c r="D1506" t="s">
        <v>1120</v>
      </c>
      <c r="E1506" t="s">
        <v>49</v>
      </c>
      <c r="F1506" t="s">
        <v>1134</v>
      </c>
    </row>
    <row r="1507" spans="1:6">
      <c r="A1507">
        <v>187016</v>
      </c>
      <c r="B1507" t="s">
        <v>22</v>
      </c>
      <c r="C1507" t="s">
        <v>9</v>
      </c>
      <c r="D1507" t="s">
        <v>1120</v>
      </c>
      <c r="E1507" t="s">
        <v>49</v>
      </c>
      <c r="F1507" t="s">
        <v>1135</v>
      </c>
    </row>
    <row r="1508" spans="1:6">
      <c r="A1508">
        <v>187017</v>
      </c>
      <c r="B1508" t="s">
        <v>22</v>
      </c>
      <c r="C1508" t="s">
        <v>9</v>
      </c>
      <c r="D1508" t="s">
        <v>1120</v>
      </c>
      <c r="E1508" t="s">
        <v>49</v>
      </c>
      <c r="F1508" t="s">
        <v>1136</v>
      </c>
    </row>
    <row r="1509" spans="1:6">
      <c r="A1509">
        <v>187018</v>
      </c>
      <c r="B1509" t="s">
        <v>22</v>
      </c>
      <c r="C1509" t="s">
        <v>9</v>
      </c>
      <c r="D1509" t="s">
        <v>1120</v>
      </c>
      <c r="E1509" t="s">
        <v>49</v>
      </c>
      <c r="F1509" t="s">
        <v>1137</v>
      </c>
    </row>
    <row r="1510" spans="1:6">
      <c r="A1510">
        <v>187019</v>
      </c>
      <c r="B1510" t="s">
        <v>22</v>
      </c>
      <c r="C1510" t="s">
        <v>9</v>
      </c>
      <c r="D1510" t="s">
        <v>1120</v>
      </c>
      <c r="E1510" t="s">
        <v>49</v>
      </c>
      <c r="F1510" t="s">
        <v>1138</v>
      </c>
    </row>
    <row r="1511" spans="1:6">
      <c r="A1511">
        <v>187020</v>
      </c>
      <c r="B1511" t="s">
        <v>22</v>
      </c>
      <c r="C1511" t="s">
        <v>9</v>
      </c>
      <c r="D1511" t="s">
        <v>1120</v>
      </c>
      <c r="E1511" t="s">
        <v>49</v>
      </c>
      <c r="F1511" t="s">
        <v>1126</v>
      </c>
    </row>
    <row r="1512" spans="1:6">
      <c r="A1512">
        <v>187021</v>
      </c>
      <c r="B1512" t="s">
        <v>22</v>
      </c>
      <c r="C1512" t="s">
        <v>9</v>
      </c>
      <c r="D1512" t="s">
        <v>1120</v>
      </c>
      <c r="E1512" t="s">
        <v>120</v>
      </c>
      <c r="F1512" t="s">
        <v>1139</v>
      </c>
    </row>
    <row r="1513" spans="1:6">
      <c r="A1513">
        <v>187022</v>
      </c>
      <c r="B1513" t="s">
        <v>22</v>
      </c>
      <c r="C1513" t="s">
        <v>9</v>
      </c>
      <c r="D1513" t="s">
        <v>1120</v>
      </c>
      <c r="E1513" t="s">
        <v>49</v>
      </c>
      <c r="F1513" t="s">
        <v>1140</v>
      </c>
    </row>
    <row r="1514" spans="1:6">
      <c r="A1514">
        <v>187023</v>
      </c>
      <c r="B1514" t="s">
        <v>22</v>
      </c>
      <c r="C1514" t="s">
        <v>9</v>
      </c>
      <c r="D1514" t="s">
        <v>1120</v>
      </c>
      <c r="E1514" t="s">
        <v>49</v>
      </c>
      <c r="F1514" t="s">
        <v>1141</v>
      </c>
    </row>
    <row r="1515" spans="1:6">
      <c r="A1515">
        <v>187024</v>
      </c>
      <c r="B1515" t="s">
        <v>22</v>
      </c>
      <c r="C1515" t="s">
        <v>9</v>
      </c>
      <c r="D1515" t="s">
        <v>1120</v>
      </c>
      <c r="E1515" t="s">
        <v>49</v>
      </c>
      <c r="F1515" t="s">
        <v>1142</v>
      </c>
    </row>
    <row r="1516" spans="1:6">
      <c r="A1516">
        <v>187025</v>
      </c>
      <c r="B1516" t="s">
        <v>22</v>
      </c>
      <c r="C1516" t="s">
        <v>9</v>
      </c>
      <c r="D1516" t="s">
        <v>1120</v>
      </c>
      <c r="E1516" t="s">
        <v>49</v>
      </c>
      <c r="F1516" t="s">
        <v>1143</v>
      </c>
    </row>
    <row r="1517" spans="1:6">
      <c r="A1517">
        <v>187026</v>
      </c>
      <c r="B1517" t="s">
        <v>22</v>
      </c>
      <c r="C1517" t="s">
        <v>9</v>
      </c>
      <c r="D1517" t="s">
        <v>1120</v>
      </c>
      <c r="E1517" t="s">
        <v>49</v>
      </c>
      <c r="F1517" t="s">
        <v>1144</v>
      </c>
    </row>
    <row r="1518" spans="1:6">
      <c r="A1518">
        <v>187027</v>
      </c>
      <c r="B1518" t="s">
        <v>22</v>
      </c>
      <c r="C1518" t="s">
        <v>9</v>
      </c>
      <c r="D1518" t="s">
        <v>1120</v>
      </c>
      <c r="E1518" t="s">
        <v>49</v>
      </c>
      <c r="F1518" t="s">
        <v>1126</v>
      </c>
    </row>
    <row r="1519" spans="1:6">
      <c r="A1519">
        <v>187028</v>
      </c>
      <c r="B1519" t="s">
        <v>22</v>
      </c>
      <c r="C1519" t="s">
        <v>9</v>
      </c>
      <c r="D1519" t="s">
        <v>1120</v>
      </c>
      <c r="E1519" t="s">
        <v>120</v>
      </c>
      <c r="F1519" t="s">
        <v>1145</v>
      </c>
    </row>
    <row r="1520" spans="1:6">
      <c r="A1520">
        <v>187029</v>
      </c>
      <c r="B1520" t="s">
        <v>22</v>
      </c>
      <c r="C1520" t="s">
        <v>9</v>
      </c>
      <c r="D1520" t="s">
        <v>1120</v>
      </c>
      <c r="E1520" t="s">
        <v>49</v>
      </c>
      <c r="F1520" t="s">
        <v>1146</v>
      </c>
    </row>
    <row r="1521" spans="1:6">
      <c r="A1521">
        <v>187030</v>
      </c>
      <c r="B1521" t="s">
        <v>22</v>
      </c>
      <c r="C1521" t="s">
        <v>9</v>
      </c>
      <c r="D1521" t="s">
        <v>1120</v>
      </c>
      <c r="E1521" t="s">
        <v>49</v>
      </c>
      <c r="F1521" t="s">
        <v>1147</v>
      </c>
    </row>
    <row r="1522" spans="1:6">
      <c r="A1522">
        <v>187031</v>
      </c>
      <c r="B1522" t="s">
        <v>22</v>
      </c>
      <c r="C1522" t="s">
        <v>9</v>
      </c>
      <c r="D1522" t="s">
        <v>1120</v>
      </c>
      <c r="E1522" t="s">
        <v>49</v>
      </c>
      <c r="F1522" t="s">
        <v>1148</v>
      </c>
    </row>
    <row r="1523" spans="1:6">
      <c r="A1523">
        <v>187032</v>
      </c>
      <c r="B1523" t="s">
        <v>22</v>
      </c>
      <c r="C1523" t="s">
        <v>9</v>
      </c>
      <c r="D1523" t="s">
        <v>1120</v>
      </c>
      <c r="E1523" t="s">
        <v>49</v>
      </c>
      <c r="F1523" t="s">
        <v>1149</v>
      </c>
    </row>
    <row r="1524" spans="1:6">
      <c r="A1524">
        <v>187033</v>
      </c>
      <c r="B1524" t="s">
        <v>22</v>
      </c>
      <c r="C1524" t="s">
        <v>9</v>
      </c>
      <c r="D1524" t="s">
        <v>1120</v>
      </c>
      <c r="E1524" t="s">
        <v>49</v>
      </c>
      <c r="F1524" t="s">
        <v>1126</v>
      </c>
    </row>
    <row r="1525" spans="1:6">
      <c r="B1525" t="s">
        <v>22</v>
      </c>
      <c r="C1525" t="s">
        <v>9</v>
      </c>
      <c r="D1525" t="s">
        <v>1120</v>
      </c>
      <c r="E1525" t="s">
        <v>49</v>
      </c>
      <c r="F1525" t="s">
        <v>57</v>
      </c>
    </row>
    <row r="1526" spans="1:6">
      <c r="B1526" t="s">
        <v>22</v>
      </c>
      <c r="C1526" t="s">
        <v>9</v>
      </c>
      <c r="D1526" t="s">
        <v>1120</v>
      </c>
      <c r="E1526" t="s">
        <v>58</v>
      </c>
      <c r="F1526" t="s">
        <v>59</v>
      </c>
    </row>
    <row r="1527" spans="1:6">
      <c r="A1527">
        <v>188000</v>
      </c>
      <c r="B1527" t="s">
        <v>22</v>
      </c>
      <c r="C1527" t="s">
        <v>9</v>
      </c>
      <c r="D1527" t="s">
        <v>1150</v>
      </c>
      <c r="E1527" t="s">
        <v>48</v>
      </c>
      <c r="F1527" t="s">
        <v>1150</v>
      </c>
    </row>
    <row r="1528" spans="1:6">
      <c r="A1528">
        <v>188001</v>
      </c>
      <c r="B1528" t="s">
        <v>22</v>
      </c>
      <c r="C1528" t="s">
        <v>9</v>
      </c>
      <c r="D1528" t="s">
        <v>1150</v>
      </c>
      <c r="E1528" t="s">
        <v>49</v>
      </c>
      <c r="F1528" t="s">
        <v>540</v>
      </c>
    </row>
    <row r="1529" spans="1:6">
      <c r="A1529">
        <v>188002</v>
      </c>
      <c r="B1529" t="s">
        <v>22</v>
      </c>
      <c r="C1529" t="s">
        <v>9</v>
      </c>
      <c r="D1529" t="s">
        <v>1150</v>
      </c>
      <c r="E1529" t="s">
        <v>49</v>
      </c>
      <c r="F1529" t="s">
        <v>541</v>
      </c>
    </row>
    <row r="1530" spans="1:6">
      <c r="A1530">
        <v>188003</v>
      </c>
      <c r="B1530" t="s">
        <v>22</v>
      </c>
      <c r="C1530" t="s">
        <v>9</v>
      </c>
      <c r="D1530" t="s">
        <v>1150</v>
      </c>
      <c r="E1530" t="s">
        <v>49</v>
      </c>
      <c r="F1530" t="s">
        <v>542</v>
      </c>
    </row>
    <row r="1531" spans="1:6">
      <c r="A1531">
        <v>188004</v>
      </c>
      <c r="B1531" t="s">
        <v>22</v>
      </c>
      <c r="C1531" t="s">
        <v>9</v>
      </c>
      <c r="D1531" t="s">
        <v>1150</v>
      </c>
      <c r="E1531" t="s">
        <v>49</v>
      </c>
      <c r="F1531" t="s">
        <v>543</v>
      </c>
    </row>
    <row r="1532" spans="1:6">
      <c r="A1532">
        <v>188005</v>
      </c>
      <c r="B1532" t="s">
        <v>22</v>
      </c>
      <c r="C1532" t="s">
        <v>9</v>
      </c>
      <c r="D1532" t="s">
        <v>1150</v>
      </c>
      <c r="E1532" t="s">
        <v>49</v>
      </c>
      <c r="F1532" t="s">
        <v>544</v>
      </c>
    </row>
    <row r="1533" spans="1:6">
      <c r="A1533">
        <v>188006</v>
      </c>
      <c r="B1533" t="s">
        <v>22</v>
      </c>
      <c r="C1533" t="s">
        <v>9</v>
      </c>
      <c r="D1533" t="s">
        <v>1150</v>
      </c>
      <c r="E1533" t="s">
        <v>49</v>
      </c>
      <c r="F1533" t="s">
        <v>545</v>
      </c>
    </row>
    <row r="1534" spans="1:6">
      <c r="A1534">
        <v>188007</v>
      </c>
      <c r="B1534" t="s">
        <v>22</v>
      </c>
      <c r="C1534" t="s">
        <v>9</v>
      </c>
      <c r="D1534" t="s">
        <v>1150</v>
      </c>
      <c r="E1534" t="s">
        <v>49</v>
      </c>
      <c r="F1534" t="s">
        <v>546</v>
      </c>
    </row>
    <row r="1535" spans="1:6">
      <c r="B1535" t="s">
        <v>22</v>
      </c>
      <c r="C1535" t="s">
        <v>9</v>
      </c>
      <c r="D1535" t="s">
        <v>1150</v>
      </c>
      <c r="E1535" t="s">
        <v>49</v>
      </c>
      <c r="F1535" t="s">
        <v>57</v>
      </c>
    </row>
    <row r="1536" spans="1:6">
      <c r="B1536" t="s">
        <v>22</v>
      </c>
      <c r="C1536" t="s">
        <v>9</v>
      </c>
      <c r="D1536" t="s">
        <v>1150</v>
      </c>
      <c r="E1536" t="s">
        <v>58</v>
      </c>
      <c r="F1536" t="s">
        <v>59</v>
      </c>
    </row>
    <row r="1537" spans="1:6">
      <c r="A1537">
        <v>189000</v>
      </c>
      <c r="B1537" t="s">
        <v>22</v>
      </c>
      <c r="C1537" t="s">
        <v>9</v>
      </c>
      <c r="D1537" t="s">
        <v>1151</v>
      </c>
      <c r="E1537" t="s">
        <v>48</v>
      </c>
      <c r="F1537" t="s">
        <v>1151</v>
      </c>
    </row>
    <row r="1538" spans="1:6">
      <c r="A1538">
        <v>189001</v>
      </c>
      <c r="B1538" t="s">
        <v>22</v>
      </c>
      <c r="C1538" t="s">
        <v>9</v>
      </c>
      <c r="D1538" t="s">
        <v>1151</v>
      </c>
      <c r="E1538" t="s">
        <v>49</v>
      </c>
      <c r="F1538" t="s">
        <v>540</v>
      </c>
    </row>
    <row r="1539" spans="1:6">
      <c r="A1539">
        <v>189002</v>
      </c>
      <c r="B1539" t="s">
        <v>22</v>
      </c>
      <c r="C1539" t="s">
        <v>9</v>
      </c>
      <c r="D1539" t="s">
        <v>1151</v>
      </c>
      <c r="E1539" t="s">
        <v>49</v>
      </c>
      <c r="F1539" t="s">
        <v>541</v>
      </c>
    </row>
    <row r="1540" spans="1:6">
      <c r="A1540">
        <v>189003</v>
      </c>
      <c r="B1540" t="s">
        <v>22</v>
      </c>
      <c r="C1540" t="s">
        <v>9</v>
      </c>
      <c r="D1540" t="s">
        <v>1151</v>
      </c>
      <c r="E1540" t="s">
        <v>49</v>
      </c>
      <c r="F1540" t="s">
        <v>542</v>
      </c>
    </row>
    <row r="1541" spans="1:6">
      <c r="A1541">
        <v>189004</v>
      </c>
      <c r="B1541" t="s">
        <v>22</v>
      </c>
      <c r="C1541" t="s">
        <v>9</v>
      </c>
      <c r="D1541" t="s">
        <v>1151</v>
      </c>
      <c r="E1541" t="s">
        <v>49</v>
      </c>
      <c r="F1541" t="s">
        <v>543</v>
      </c>
    </row>
    <row r="1542" spans="1:6">
      <c r="A1542">
        <v>189005</v>
      </c>
      <c r="B1542" t="s">
        <v>22</v>
      </c>
      <c r="C1542" t="s">
        <v>9</v>
      </c>
      <c r="D1542" t="s">
        <v>1151</v>
      </c>
      <c r="E1542" t="s">
        <v>49</v>
      </c>
      <c r="F1542" t="s">
        <v>544</v>
      </c>
    </row>
    <row r="1543" spans="1:6">
      <c r="A1543">
        <v>189006</v>
      </c>
      <c r="B1543" t="s">
        <v>22</v>
      </c>
      <c r="C1543" t="s">
        <v>9</v>
      </c>
      <c r="D1543" t="s">
        <v>1151</v>
      </c>
      <c r="E1543" t="s">
        <v>49</v>
      </c>
      <c r="F1543" t="s">
        <v>545</v>
      </c>
    </row>
    <row r="1544" spans="1:6">
      <c r="A1544">
        <v>189007</v>
      </c>
      <c r="B1544" t="s">
        <v>22</v>
      </c>
      <c r="C1544" t="s">
        <v>9</v>
      </c>
      <c r="D1544" t="s">
        <v>1151</v>
      </c>
      <c r="E1544" t="s">
        <v>49</v>
      </c>
      <c r="F1544" t="s">
        <v>546</v>
      </c>
    </row>
    <row r="1545" spans="1:6">
      <c r="B1545" t="s">
        <v>22</v>
      </c>
      <c r="C1545" t="s">
        <v>9</v>
      </c>
      <c r="D1545" t="s">
        <v>1151</v>
      </c>
      <c r="E1545" t="s">
        <v>49</v>
      </c>
      <c r="F1545" t="s">
        <v>57</v>
      </c>
    </row>
    <row r="1546" spans="1:6">
      <c r="B1546" t="s">
        <v>22</v>
      </c>
      <c r="C1546" t="s">
        <v>9</v>
      </c>
      <c r="D1546" t="s">
        <v>1151</v>
      </c>
      <c r="E1546" t="s">
        <v>58</v>
      </c>
      <c r="F1546" t="s">
        <v>59</v>
      </c>
    </row>
    <row r="1547" spans="1:6">
      <c r="A1547">
        <v>190000</v>
      </c>
      <c r="B1547" t="s">
        <v>22</v>
      </c>
      <c r="C1547" t="s">
        <v>9</v>
      </c>
      <c r="D1547" t="s">
        <v>1152</v>
      </c>
      <c r="E1547" t="s">
        <v>119</v>
      </c>
      <c r="F1547" t="s">
        <v>1152</v>
      </c>
    </row>
    <row r="1548" spans="1:6">
      <c r="A1548">
        <v>190001</v>
      </c>
      <c r="B1548" t="s">
        <v>22</v>
      </c>
      <c r="C1548" t="s">
        <v>9</v>
      </c>
      <c r="D1548" t="s">
        <v>1152</v>
      </c>
      <c r="E1548" t="s">
        <v>120</v>
      </c>
      <c r="F1548" t="s">
        <v>491</v>
      </c>
    </row>
    <row r="1549" spans="1:6">
      <c r="A1549">
        <v>190002</v>
      </c>
      <c r="B1549" t="s">
        <v>22</v>
      </c>
      <c r="C1549" t="s">
        <v>9</v>
      </c>
      <c r="D1549" t="s">
        <v>1152</v>
      </c>
      <c r="E1549" t="s">
        <v>49</v>
      </c>
      <c r="F1549" t="s">
        <v>502</v>
      </c>
    </row>
    <row r="1550" spans="1:6">
      <c r="A1550">
        <v>190003</v>
      </c>
      <c r="B1550" t="s">
        <v>22</v>
      </c>
      <c r="C1550" t="s">
        <v>9</v>
      </c>
      <c r="D1550" t="s">
        <v>1152</v>
      </c>
      <c r="E1550" t="s">
        <v>49</v>
      </c>
      <c r="F1550" t="s">
        <v>503</v>
      </c>
    </row>
    <row r="1551" spans="1:6">
      <c r="A1551">
        <v>190004</v>
      </c>
      <c r="B1551" t="s">
        <v>22</v>
      </c>
      <c r="C1551" t="s">
        <v>9</v>
      </c>
      <c r="D1551" t="s">
        <v>1152</v>
      </c>
      <c r="E1551" t="s">
        <v>120</v>
      </c>
      <c r="F1551" t="s">
        <v>504</v>
      </c>
    </row>
    <row r="1552" spans="1:6">
      <c r="A1552">
        <v>190005</v>
      </c>
      <c r="B1552" t="s">
        <v>22</v>
      </c>
      <c r="C1552" t="s">
        <v>9</v>
      </c>
      <c r="D1552" t="s">
        <v>1152</v>
      </c>
      <c r="E1552" t="s">
        <v>49</v>
      </c>
      <c r="F1552" t="s">
        <v>1153</v>
      </c>
    </row>
    <row r="1553" spans="1:6">
      <c r="A1553">
        <v>190006</v>
      </c>
      <c r="B1553" t="s">
        <v>22</v>
      </c>
      <c r="C1553" t="s">
        <v>9</v>
      </c>
      <c r="D1553" t="s">
        <v>1152</v>
      </c>
      <c r="E1553" t="s">
        <v>49</v>
      </c>
      <c r="F1553" t="s">
        <v>1154</v>
      </c>
    </row>
    <row r="1554" spans="1:6">
      <c r="A1554">
        <v>190007</v>
      </c>
      <c r="B1554" t="s">
        <v>22</v>
      </c>
      <c r="C1554" t="s">
        <v>9</v>
      </c>
      <c r="D1554" t="s">
        <v>1152</v>
      </c>
      <c r="E1554" t="s">
        <v>49</v>
      </c>
      <c r="F1554" t="s">
        <v>1155</v>
      </c>
    </row>
    <row r="1555" spans="1:6">
      <c r="A1555">
        <v>190008</v>
      </c>
      <c r="B1555" t="s">
        <v>22</v>
      </c>
      <c r="C1555" t="s">
        <v>9</v>
      </c>
      <c r="D1555" t="s">
        <v>1152</v>
      </c>
      <c r="E1555" t="s">
        <v>49</v>
      </c>
      <c r="F1555" t="s">
        <v>507</v>
      </c>
    </row>
    <row r="1556" spans="1:6">
      <c r="A1556">
        <v>190009</v>
      </c>
      <c r="B1556" t="s">
        <v>22</v>
      </c>
      <c r="C1556" t="s">
        <v>9</v>
      </c>
      <c r="D1556" t="s">
        <v>1152</v>
      </c>
      <c r="E1556" t="s">
        <v>49</v>
      </c>
      <c r="F1556" t="s">
        <v>508</v>
      </c>
    </row>
    <row r="1557" spans="1:6">
      <c r="A1557">
        <v>190010</v>
      </c>
      <c r="B1557" t="s">
        <v>22</v>
      </c>
      <c r="C1557" t="s">
        <v>9</v>
      </c>
      <c r="D1557" t="s">
        <v>1152</v>
      </c>
      <c r="E1557" t="s">
        <v>49</v>
      </c>
      <c r="F1557" t="s">
        <v>509</v>
      </c>
    </row>
    <row r="1558" spans="1:6">
      <c r="A1558">
        <v>190011</v>
      </c>
      <c r="B1558" t="s">
        <v>22</v>
      </c>
      <c r="C1558" t="s">
        <v>9</v>
      </c>
      <c r="D1558" t="s">
        <v>1152</v>
      </c>
      <c r="E1558" t="s">
        <v>49</v>
      </c>
      <c r="F1558" t="s">
        <v>1156</v>
      </c>
    </row>
    <row r="1559" spans="1:6">
      <c r="B1559" t="s">
        <v>22</v>
      </c>
      <c r="C1559" t="s">
        <v>9</v>
      </c>
      <c r="D1559" t="s">
        <v>1152</v>
      </c>
      <c r="E1559" t="s">
        <v>49</v>
      </c>
      <c r="F1559" t="s">
        <v>57</v>
      </c>
    </row>
    <row r="1560" spans="1:6">
      <c r="B1560" t="s">
        <v>22</v>
      </c>
      <c r="C1560" t="s">
        <v>9</v>
      </c>
      <c r="D1560" t="s">
        <v>1152</v>
      </c>
      <c r="E1560" t="s">
        <v>58</v>
      </c>
      <c r="F1560" t="s">
        <v>59</v>
      </c>
    </row>
    <row r="1561" spans="1:6">
      <c r="A1561">
        <v>192000</v>
      </c>
      <c r="B1561" t="s">
        <v>22</v>
      </c>
      <c r="C1561" t="s">
        <v>9</v>
      </c>
      <c r="D1561" t="s">
        <v>1157</v>
      </c>
      <c r="E1561" t="s">
        <v>48</v>
      </c>
      <c r="F1561" t="s">
        <v>1157</v>
      </c>
    </row>
    <row r="1562" spans="1:6">
      <c r="A1562">
        <v>192001</v>
      </c>
      <c r="B1562" t="s">
        <v>22</v>
      </c>
      <c r="C1562" t="s">
        <v>9</v>
      </c>
      <c r="D1562" t="s">
        <v>1157</v>
      </c>
      <c r="E1562" t="s">
        <v>49</v>
      </c>
      <c r="F1562" t="s">
        <v>1158</v>
      </c>
    </row>
    <row r="1563" spans="1:6">
      <c r="A1563">
        <v>192002</v>
      </c>
      <c r="B1563" t="s">
        <v>22</v>
      </c>
      <c r="C1563" t="s">
        <v>9</v>
      </c>
      <c r="D1563" t="s">
        <v>1157</v>
      </c>
      <c r="E1563" t="s">
        <v>49</v>
      </c>
      <c r="F1563" t="s">
        <v>1159</v>
      </c>
    </row>
    <row r="1564" spans="1:6">
      <c r="A1564">
        <v>192003</v>
      </c>
      <c r="B1564" t="s">
        <v>22</v>
      </c>
      <c r="C1564" t="s">
        <v>9</v>
      </c>
      <c r="D1564" t="s">
        <v>1157</v>
      </c>
      <c r="E1564" t="s">
        <v>49</v>
      </c>
      <c r="F1564" t="s">
        <v>1160</v>
      </c>
    </row>
    <row r="1565" spans="1:6">
      <c r="A1565">
        <v>192004</v>
      </c>
      <c r="B1565" t="s">
        <v>22</v>
      </c>
      <c r="C1565" t="s">
        <v>9</v>
      </c>
      <c r="D1565" t="s">
        <v>1157</v>
      </c>
      <c r="E1565" t="s">
        <v>49</v>
      </c>
      <c r="F1565" t="s">
        <v>1161</v>
      </c>
    </row>
    <row r="1566" spans="1:6">
      <c r="A1566">
        <v>192005</v>
      </c>
      <c r="B1566" t="s">
        <v>22</v>
      </c>
      <c r="C1566" t="s">
        <v>9</v>
      </c>
      <c r="D1566" t="s">
        <v>1157</v>
      </c>
      <c r="E1566" t="s">
        <v>49</v>
      </c>
      <c r="F1566" t="s">
        <v>1162</v>
      </c>
    </row>
    <row r="1567" spans="1:6">
      <c r="B1567" t="s">
        <v>22</v>
      </c>
      <c r="C1567" t="s">
        <v>9</v>
      </c>
      <c r="D1567" t="s">
        <v>1157</v>
      </c>
      <c r="E1567" t="s">
        <v>49</v>
      </c>
      <c r="F1567" t="s">
        <v>57</v>
      </c>
    </row>
    <row r="1568" spans="1:6">
      <c r="B1568" t="s">
        <v>22</v>
      </c>
      <c r="C1568" t="s">
        <v>9</v>
      </c>
      <c r="D1568" t="s">
        <v>1157</v>
      </c>
      <c r="E1568" t="s">
        <v>58</v>
      </c>
      <c r="F1568" t="s">
        <v>59</v>
      </c>
    </row>
    <row r="1569" spans="1:6">
      <c r="A1569">
        <v>193000</v>
      </c>
      <c r="B1569" t="s">
        <v>598</v>
      </c>
      <c r="C1569" t="s">
        <v>9</v>
      </c>
      <c r="D1569" t="s">
        <v>1163</v>
      </c>
      <c r="E1569" t="s">
        <v>48</v>
      </c>
      <c r="F1569" t="s">
        <v>1163</v>
      </c>
    </row>
    <row r="1570" spans="1:6">
      <c r="A1570">
        <v>193001</v>
      </c>
      <c r="B1570" t="s">
        <v>598</v>
      </c>
      <c r="C1570" t="s">
        <v>9</v>
      </c>
      <c r="D1570" t="s">
        <v>1163</v>
      </c>
      <c r="E1570" t="s">
        <v>49</v>
      </c>
      <c r="F1570" t="s">
        <v>1164</v>
      </c>
    </row>
    <row r="1571" spans="1:6">
      <c r="A1571">
        <v>193002</v>
      </c>
      <c r="B1571" t="s">
        <v>598</v>
      </c>
      <c r="C1571" t="s">
        <v>9</v>
      </c>
      <c r="D1571" t="s">
        <v>1163</v>
      </c>
      <c r="E1571" t="s">
        <v>49</v>
      </c>
      <c r="F1571" t="s">
        <v>1165</v>
      </c>
    </row>
    <row r="1572" spans="1:6">
      <c r="A1572">
        <v>193003</v>
      </c>
      <c r="B1572" t="s">
        <v>598</v>
      </c>
      <c r="C1572" t="s">
        <v>9</v>
      </c>
      <c r="D1572" t="s">
        <v>1163</v>
      </c>
      <c r="E1572" t="s">
        <v>49</v>
      </c>
      <c r="F1572" t="s">
        <v>1166</v>
      </c>
    </row>
    <row r="1573" spans="1:6">
      <c r="A1573">
        <v>193004</v>
      </c>
      <c r="B1573" t="s">
        <v>598</v>
      </c>
      <c r="C1573" t="s">
        <v>9</v>
      </c>
      <c r="D1573" t="s">
        <v>1163</v>
      </c>
      <c r="E1573" t="s">
        <v>49</v>
      </c>
      <c r="F1573" t="s">
        <v>1167</v>
      </c>
    </row>
    <row r="1574" spans="1:6">
      <c r="A1574">
        <v>193005</v>
      </c>
      <c r="B1574" t="s">
        <v>598</v>
      </c>
      <c r="C1574" t="s">
        <v>9</v>
      </c>
      <c r="D1574" t="s">
        <v>1163</v>
      </c>
      <c r="E1574" t="s">
        <v>58</v>
      </c>
      <c r="F1574" t="s">
        <v>883</v>
      </c>
    </row>
    <row r="1575" spans="1:6">
      <c r="B1575" t="s">
        <v>598</v>
      </c>
      <c r="C1575" t="s">
        <v>9</v>
      </c>
      <c r="D1575" t="s">
        <v>1163</v>
      </c>
      <c r="E1575" t="s">
        <v>49</v>
      </c>
      <c r="F1575" t="s">
        <v>57</v>
      </c>
    </row>
    <row r="1576" spans="1:6">
      <c r="B1576" t="s">
        <v>598</v>
      </c>
      <c r="C1576" t="s">
        <v>9</v>
      </c>
      <c r="D1576" t="s">
        <v>1163</v>
      </c>
      <c r="E1576" t="s">
        <v>58</v>
      </c>
      <c r="F1576" t="s">
        <v>59</v>
      </c>
    </row>
    <row r="1577" spans="1:6">
      <c r="A1577">
        <v>194000</v>
      </c>
      <c r="B1577" t="s">
        <v>598</v>
      </c>
      <c r="C1577" t="s">
        <v>9</v>
      </c>
      <c r="D1577" t="s">
        <v>1168</v>
      </c>
      <c r="E1577" t="s">
        <v>48</v>
      </c>
      <c r="F1577" t="s">
        <v>1168</v>
      </c>
    </row>
    <row r="1578" spans="1:6">
      <c r="A1578">
        <v>194001</v>
      </c>
      <c r="B1578" t="s">
        <v>598</v>
      </c>
      <c r="C1578" t="s">
        <v>9</v>
      </c>
      <c r="D1578" t="s">
        <v>1168</v>
      </c>
      <c r="E1578" t="s">
        <v>49</v>
      </c>
      <c r="F1578" t="s">
        <v>1169</v>
      </c>
    </row>
    <row r="1579" spans="1:6">
      <c r="A1579">
        <v>194002</v>
      </c>
      <c r="B1579" t="s">
        <v>598</v>
      </c>
      <c r="C1579" t="s">
        <v>9</v>
      </c>
      <c r="D1579" t="s">
        <v>1168</v>
      </c>
      <c r="E1579" t="s">
        <v>49</v>
      </c>
      <c r="F1579" t="s">
        <v>1170</v>
      </c>
    </row>
    <row r="1580" spans="1:6">
      <c r="A1580">
        <v>194003</v>
      </c>
      <c r="B1580" t="s">
        <v>598</v>
      </c>
      <c r="C1580" t="s">
        <v>9</v>
      </c>
      <c r="D1580" t="s">
        <v>1168</v>
      </c>
      <c r="E1580" t="s">
        <v>49</v>
      </c>
      <c r="F1580" t="s">
        <v>1171</v>
      </c>
    </row>
    <row r="1581" spans="1:6">
      <c r="A1581">
        <v>194004</v>
      </c>
      <c r="B1581" t="s">
        <v>598</v>
      </c>
      <c r="C1581" t="s">
        <v>9</v>
      </c>
      <c r="D1581" t="s">
        <v>1168</v>
      </c>
      <c r="E1581" t="s">
        <v>49</v>
      </c>
      <c r="F1581" t="s">
        <v>1167</v>
      </c>
    </row>
    <row r="1582" spans="1:6">
      <c r="A1582">
        <v>194005</v>
      </c>
      <c r="B1582" t="s">
        <v>598</v>
      </c>
      <c r="C1582" t="s">
        <v>9</v>
      </c>
      <c r="D1582" t="s">
        <v>1168</v>
      </c>
      <c r="E1582" t="s">
        <v>49</v>
      </c>
      <c r="F1582" t="s">
        <v>1172</v>
      </c>
    </row>
    <row r="1583" spans="1:6">
      <c r="A1583">
        <v>194006</v>
      </c>
      <c r="B1583" t="s">
        <v>598</v>
      </c>
      <c r="C1583" t="s">
        <v>9</v>
      </c>
      <c r="D1583" t="s">
        <v>1168</v>
      </c>
      <c r="E1583" t="s">
        <v>58</v>
      </c>
      <c r="F1583" t="s">
        <v>883</v>
      </c>
    </row>
    <row r="1584" spans="1:6">
      <c r="B1584" t="s">
        <v>598</v>
      </c>
      <c r="C1584" t="s">
        <v>9</v>
      </c>
      <c r="D1584" t="s">
        <v>1168</v>
      </c>
      <c r="E1584" t="s">
        <v>49</v>
      </c>
      <c r="F1584" t="s">
        <v>57</v>
      </c>
    </row>
    <row r="1585" spans="1:6">
      <c r="B1585" t="s">
        <v>598</v>
      </c>
      <c r="C1585" t="s">
        <v>9</v>
      </c>
      <c r="D1585" t="s">
        <v>1168</v>
      </c>
      <c r="E1585" t="s">
        <v>58</v>
      </c>
      <c r="F1585" t="s">
        <v>59</v>
      </c>
    </row>
    <row r="1586" spans="1:6">
      <c r="A1586">
        <v>195000</v>
      </c>
      <c r="B1586" t="s">
        <v>598</v>
      </c>
      <c r="C1586" t="s">
        <v>9</v>
      </c>
      <c r="D1586" t="s">
        <v>1173</v>
      </c>
      <c r="E1586" t="s">
        <v>48</v>
      </c>
      <c r="F1586" t="s">
        <v>1173</v>
      </c>
    </row>
    <row r="1587" spans="1:6">
      <c r="A1587">
        <v>195001</v>
      </c>
      <c r="B1587" t="s">
        <v>598</v>
      </c>
      <c r="C1587" t="s">
        <v>9</v>
      </c>
      <c r="D1587" t="s">
        <v>1173</v>
      </c>
      <c r="E1587" t="s">
        <v>49</v>
      </c>
      <c r="F1587" t="s">
        <v>1174</v>
      </c>
    </row>
    <row r="1588" spans="1:6">
      <c r="A1588">
        <v>195002</v>
      </c>
      <c r="B1588" t="s">
        <v>598</v>
      </c>
      <c r="C1588" t="s">
        <v>9</v>
      </c>
      <c r="D1588" t="s">
        <v>1173</v>
      </c>
      <c r="E1588" t="s">
        <v>49</v>
      </c>
      <c r="F1588" t="s">
        <v>1175</v>
      </c>
    </row>
    <row r="1589" spans="1:6">
      <c r="A1589">
        <v>195003</v>
      </c>
      <c r="B1589" t="s">
        <v>598</v>
      </c>
      <c r="C1589" t="s">
        <v>9</v>
      </c>
      <c r="D1589" t="s">
        <v>1173</v>
      </c>
      <c r="E1589" t="s">
        <v>49</v>
      </c>
      <c r="F1589" t="s">
        <v>1176</v>
      </c>
    </row>
    <row r="1590" spans="1:6">
      <c r="A1590">
        <v>195004</v>
      </c>
      <c r="B1590" t="s">
        <v>598</v>
      </c>
      <c r="C1590" t="s">
        <v>9</v>
      </c>
      <c r="D1590" t="s">
        <v>1173</v>
      </c>
      <c r="E1590" t="s">
        <v>49</v>
      </c>
      <c r="F1590" t="s">
        <v>1177</v>
      </c>
    </row>
    <row r="1591" spans="1:6">
      <c r="A1591">
        <v>195005</v>
      </c>
      <c r="B1591" t="s">
        <v>598</v>
      </c>
      <c r="C1591" t="s">
        <v>9</v>
      </c>
      <c r="D1591" t="s">
        <v>1173</v>
      </c>
      <c r="E1591" t="s">
        <v>49</v>
      </c>
      <c r="F1591" t="s">
        <v>1178</v>
      </c>
    </row>
    <row r="1592" spans="1:6">
      <c r="B1592" t="s">
        <v>598</v>
      </c>
      <c r="C1592" t="s">
        <v>9</v>
      </c>
      <c r="D1592" t="s">
        <v>1173</v>
      </c>
      <c r="E1592" t="s">
        <v>49</v>
      </c>
      <c r="F1592" t="s">
        <v>57</v>
      </c>
    </row>
    <row r="1593" spans="1:6">
      <c r="B1593" t="s">
        <v>598</v>
      </c>
      <c r="C1593" t="s">
        <v>9</v>
      </c>
      <c r="D1593" t="s">
        <v>1173</v>
      </c>
      <c r="E1593" t="s">
        <v>58</v>
      </c>
      <c r="F1593" t="s">
        <v>59</v>
      </c>
    </row>
    <row r="1594" spans="1:6">
      <c r="A1594">
        <v>196000</v>
      </c>
      <c r="B1594" t="s">
        <v>32</v>
      </c>
      <c r="C1594" t="s">
        <v>9</v>
      </c>
      <c r="D1594" t="s">
        <v>1179</v>
      </c>
      <c r="E1594" t="s">
        <v>119</v>
      </c>
      <c r="F1594" t="s">
        <v>1179</v>
      </c>
    </row>
    <row r="1595" spans="1:6">
      <c r="A1595">
        <v>196001</v>
      </c>
      <c r="B1595" t="s">
        <v>32</v>
      </c>
      <c r="C1595" t="s">
        <v>9</v>
      </c>
      <c r="D1595" t="s">
        <v>1179</v>
      </c>
      <c r="E1595" t="s">
        <v>49</v>
      </c>
      <c r="F1595" t="s">
        <v>1180</v>
      </c>
    </row>
    <row r="1596" spans="1:6">
      <c r="A1596">
        <v>196002</v>
      </c>
      <c r="B1596" t="s">
        <v>32</v>
      </c>
      <c r="C1596" t="s">
        <v>9</v>
      </c>
      <c r="D1596" t="s">
        <v>1179</v>
      </c>
      <c r="E1596" t="s">
        <v>49</v>
      </c>
      <c r="F1596" t="s">
        <v>1181</v>
      </c>
    </row>
    <row r="1597" spans="1:6">
      <c r="A1597">
        <v>196003</v>
      </c>
      <c r="B1597" t="s">
        <v>32</v>
      </c>
      <c r="C1597" t="s">
        <v>9</v>
      </c>
      <c r="D1597" t="s">
        <v>1179</v>
      </c>
      <c r="E1597" t="s">
        <v>49</v>
      </c>
      <c r="F1597" t="s">
        <v>1182</v>
      </c>
    </row>
    <row r="1598" spans="1:6">
      <c r="A1598">
        <v>196004</v>
      </c>
      <c r="B1598" t="s">
        <v>32</v>
      </c>
      <c r="C1598" t="s">
        <v>9</v>
      </c>
      <c r="D1598" t="s">
        <v>1179</v>
      </c>
      <c r="E1598" t="s">
        <v>49</v>
      </c>
      <c r="F1598" t="s">
        <v>1183</v>
      </c>
    </row>
    <row r="1599" spans="1:6">
      <c r="A1599">
        <v>196005</v>
      </c>
      <c r="B1599" t="s">
        <v>32</v>
      </c>
      <c r="C1599" t="s">
        <v>9</v>
      </c>
      <c r="D1599" t="s">
        <v>1179</v>
      </c>
      <c r="E1599" t="s">
        <v>49</v>
      </c>
      <c r="F1599" t="s">
        <v>1184</v>
      </c>
    </row>
    <row r="1600" spans="1:6">
      <c r="A1600">
        <v>196006</v>
      </c>
      <c r="B1600" t="s">
        <v>32</v>
      </c>
      <c r="C1600" t="s">
        <v>9</v>
      </c>
      <c r="D1600" t="s">
        <v>1179</v>
      </c>
      <c r="E1600" t="s">
        <v>49</v>
      </c>
      <c r="F1600" t="s">
        <v>1185</v>
      </c>
    </row>
    <row r="1601" spans="1:6">
      <c r="A1601">
        <v>196007</v>
      </c>
      <c r="B1601" t="s">
        <v>32</v>
      </c>
      <c r="C1601" t="s">
        <v>9</v>
      </c>
      <c r="D1601" t="s">
        <v>1179</v>
      </c>
      <c r="E1601" t="s">
        <v>49</v>
      </c>
      <c r="F1601" t="s">
        <v>1186</v>
      </c>
    </row>
    <row r="1602" spans="1:6">
      <c r="A1602">
        <v>196008</v>
      </c>
      <c r="B1602" t="s">
        <v>32</v>
      </c>
      <c r="C1602" t="s">
        <v>9</v>
      </c>
      <c r="D1602" t="s">
        <v>1179</v>
      </c>
      <c r="E1602" t="s">
        <v>49</v>
      </c>
      <c r="F1602" t="s">
        <v>1187</v>
      </c>
    </row>
    <row r="1603" spans="1:6">
      <c r="A1603">
        <v>196009</v>
      </c>
      <c r="B1603" t="s">
        <v>32</v>
      </c>
      <c r="C1603" t="s">
        <v>9</v>
      </c>
      <c r="D1603" t="s">
        <v>1179</v>
      </c>
      <c r="E1603" t="s">
        <v>49</v>
      </c>
      <c r="F1603" t="s">
        <v>1188</v>
      </c>
    </row>
    <row r="1604" spans="1:6">
      <c r="B1604" t="s">
        <v>32</v>
      </c>
      <c r="C1604" t="s">
        <v>9</v>
      </c>
      <c r="D1604" t="s">
        <v>1179</v>
      </c>
      <c r="E1604" t="s">
        <v>49</v>
      </c>
      <c r="F1604" t="s">
        <v>57</v>
      </c>
    </row>
    <row r="1605" spans="1:6">
      <c r="B1605" t="s">
        <v>32</v>
      </c>
      <c r="C1605" t="s">
        <v>9</v>
      </c>
      <c r="D1605" t="s">
        <v>1179</v>
      </c>
      <c r="E1605" t="s">
        <v>58</v>
      </c>
      <c r="F1605" t="s">
        <v>59</v>
      </c>
    </row>
    <row r="1606" spans="1:6">
      <c r="A1606">
        <v>197000</v>
      </c>
      <c r="B1606" t="s">
        <v>8</v>
      </c>
      <c r="C1606" t="s">
        <v>9</v>
      </c>
      <c r="D1606" t="s">
        <v>1189</v>
      </c>
      <c r="E1606" t="s">
        <v>48</v>
      </c>
      <c r="F1606" t="s">
        <v>1189</v>
      </c>
    </row>
    <row r="1607" spans="1:6">
      <c r="A1607">
        <v>197001</v>
      </c>
      <c r="B1607" t="s">
        <v>8</v>
      </c>
      <c r="C1607" t="s">
        <v>9</v>
      </c>
      <c r="D1607" t="s">
        <v>1189</v>
      </c>
      <c r="E1607" t="s">
        <v>49</v>
      </c>
      <c r="F1607" t="s">
        <v>74</v>
      </c>
    </row>
    <row r="1608" spans="1:6">
      <c r="A1608">
        <v>197002</v>
      </c>
      <c r="B1608" t="s">
        <v>8</v>
      </c>
      <c r="C1608" t="s">
        <v>9</v>
      </c>
      <c r="D1608" t="s">
        <v>1189</v>
      </c>
      <c r="E1608" t="s">
        <v>49</v>
      </c>
      <c r="F1608" t="s">
        <v>1190</v>
      </c>
    </row>
    <row r="1609" spans="1:6">
      <c r="A1609">
        <v>197003</v>
      </c>
      <c r="B1609" t="s">
        <v>8</v>
      </c>
      <c r="C1609" t="s">
        <v>9</v>
      </c>
      <c r="D1609" t="s">
        <v>1189</v>
      </c>
      <c r="E1609" t="s">
        <v>49</v>
      </c>
      <c r="F1609" t="s">
        <v>77</v>
      </c>
    </row>
    <row r="1610" spans="1:6">
      <c r="A1610">
        <v>197004</v>
      </c>
      <c r="B1610" t="s">
        <v>8</v>
      </c>
      <c r="C1610" t="s">
        <v>9</v>
      </c>
      <c r="D1610" t="s">
        <v>1189</v>
      </c>
      <c r="E1610" t="s">
        <v>49</v>
      </c>
      <c r="F1610" t="s">
        <v>78</v>
      </c>
    </row>
    <row r="1611" spans="1:6">
      <c r="A1611">
        <v>197005</v>
      </c>
      <c r="B1611" t="s">
        <v>8</v>
      </c>
      <c r="C1611" t="s">
        <v>9</v>
      </c>
      <c r="D1611" t="s">
        <v>1189</v>
      </c>
      <c r="E1611" t="s">
        <v>49</v>
      </c>
      <c r="F1611" t="s">
        <v>1191</v>
      </c>
    </row>
    <row r="1612" spans="1:6">
      <c r="A1612">
        <v>197006</v>
      </c>
      <c r="B1612" t="s">
        <v>8</v>
      </c>
      <c r="C1612" t="s">
        <v>9</v>
      </c>
      <c r="D1612" t="s">
        <v>1189</v>
      </c>
      <c r="E1612" t="s">
        <v>49</v>
      </c>
      <c r="F1612" t="s">
        <v>435</v>
      </c>
    </row>
    <row r="1613" spans="1:6">
      <c r="B1613" t="s">
        <v>8</v>
      </c>
      <c r="C1613" t="s">
        <v>9</v>
      </c>
      <c r="D1613" t="s">
        <v>1189</v>
      </c>
      <c r="E1613" t="s">
        <v>49</v>
      </c>
      <c r="F1613" t="s">
        <v>57</v>
      </c>
    </row>
    <row r="1614" spans="1:6">
      <c r="B1614" t="s">
        <v>8</v>
      </c>
      <c r="C1614" t="s">
        <v>9</v>
      </c>
      <c r="D1614" t="s">
        <v>1189</v>
      </c>
      <c r="E1614" t="s">
        <v>58</v>
      </c>
      <c r="F1614" t="s">
        <v>59</v>
      </c>
    </row>
    <row r="1615" spans="1:6">
      <c r="A1615">
        <v>198000</v>
      </c>
      <c r="B1615" t="s">
        <v>8</v>
      </c>
      <c r="C1615" t="s">
        <v>9</v>
      </c>
      <c r="D1615" t="s">
        <v>1192</v>
      </c>
      <c r="E1615" t="s">
        <v>48</v>
      </c>
      <c r="F1615" t="s">
        <v>1192</v>
      </c>
    </row>
    <row r="1616" spans="1:6">
      <c r="A1616">
        <v>198001</v>
      </c>
      <c r="B1616" t="s">
        <v>8</v>
      </c>
      <c r="C1616" t="s">
        <v>9</v>
      </c>
      <c r="D1616" t="s">
        <v>1192</v>
      </c>
      <c r="E1616" t="s">
        <v>49</v>
      </c>
      <c r="F1616" t="s">
        <v>74</v>
      </c>
    </row>
    <row r="1617" spans="1:6">
      <c r="A1617">
        <v>198002</v>
      </c>
      <c r="B1617" t="s">
        <v>8</v>
      </c>
      <c r="C1617" t="s">
        <v>9</v>
      </c>
      <c r="D1617" t="s">
        <v>1192</v>
      </c>
      <c r="E1617" t="s">
        <v>49</v>
      </c>
      <c r="F1617" t="s">
        <v>75</v>
      </c>
    </row>
    <row r="1618" spans="1:6">
      <c r="A1618">
        <v>198003</v>
      </c>
      <c r="B1618" t="s">
        <v>8</v>
      </c>
      <c r="C1618" t="s">
        <v>9</v>
      </c>
      <c r="D1618" t="s">
        <v>1192</v>
      </c>
      <c r="E1618" t="s">
        <v>49</v>
      </c>
      <c r="F1618" t="s">
        <v>77</v>
      </c>
    </row>
    <row r="1619" spans="1:6">
      <c r="A1619">
        <v>198004</v>
      </c>
      <c r="B1619" t="s">
        <v>8</v>
      </c>
      <c r="C1619" t="s">
        <v>9</v>
      </c>
      <c r="D1619" t="s">
        <v>1192</v>
      </c>
      <c r="E1619" t="s">
        <v>49</v>
      </c>
      <c r="F1619" t="s">
        <v>1193</v>
      </c>
    </row>
    <row r="1620" spans="1:6">
      <c r="A1620">
        <v>198005</v>
      </c>
      <c r="B1620" t="s">
        <v>8</v>
      </c>
      <c r="C1620" t="s">
        <v>9</v>
      </c>
      <c r="D1620" t="s">
        <v>1192</v>
      </c>
      <c r="E1620" t="s">
        <v>49</v>
      </c>
      <c r="F1620" t="s">
        <v>1194</v>
      </c>
    </row>
    <row r="1621" spans="1:6">
      <c r="A1621">
        <v>198006</v>
      </c>
      <c r="B1621" t="s">
        <v>8</v>
      </c>
      <c r="C1621" t="s">
        <v>9</v>
      </c>
      <c r="D1621" t="s">
        <v>1192</v>
      </c>
      <c r="E1621" t="s">
        <v>49</v>
      </c>
      <c r="F1621" t="s">
        <v>1195</v>
      </c>
    </row>
    <row r="1622" spans="1:6">
      <c r="A1622">
        <v>198007</v>
      </c>
      <c r="B1622" t="s">
        <v>8</v>
      </c>
      <c r="C1622" t="s">
        <v>9</v>
      </c>
      <c r="D1622" t="s">
        <v>1192</v>
      </c>
      <c r="E1622" t="s">
        <v>49</v>
      </c>
      <c r="F1622" t="s">
        <v>1196</v>
      </c>
    </row>
    <row r="1623" spans="1:6">
      <c r="A1623">
        <v>198008</v>
      </c>
      <c r="B1623" t="s">
        <v>8</v>
      </c>
      <c r="C1623" t="s">
        <v>9</v>
      </c>
      <c r="D1623" t="s">
        <v>1192</v>
      </c>
      <c r="E1623" t="s">
        <v>49</v>
      </c>
      <c r="F1623" t="s">
        <v>1197</v>
      </c>
    </row>
    <row r="1624" spans="1:6">
      <c r="A1624">
        <v>198009</v>
      </c>
      <c r="B1624" t="s">
        <v>8</v>
      </c>
      <c r="C1624" t="s">
        <v>9</v>
      </c>
      <c r="D1624" t="s">
        <v>1192</v>
      </c>
      <c r="E1624" t="s">
        <v>49</v>
      </c>
      <c r="F1624" t="s">
        <v>1198</v>
      </c>
    </row>
    <row r="1625" spans="1:6">
      <c r="A1625">
        <v>198010</v>
      </c>
      <c r="B1625" t="s">
        <v>8</v>
      </c>
      <c r="C1625" t="s">
        <v>9</v>
      </c>
      <c r="D1625" t="s">
        <v>1192</v>
      </c>
      <c r="E1625" t="s">
        <v>49</v>
      </c>
      <c r="F1625" t="s">
        <v>82</v>
      </c>
    </row>
    <row r="1626" spans="1:6">
      <c r="B1626" t="s">
        <v>8</v>
      </c>
      <c r="C1626" t="s">
        <v>9</v>
      </c>
      <c r="D1626" t="s">
        <v>1192</v>
      </c>
      <c r="E1626" t="s">
        <v>49</v>
      </c>
      <c r="F1626" t="s">
        <v>57</v>
      </c>
    </row>
    <row r="1627" spans="1:6">
      <c r="B1627" t="s">
        <v>8</v>
      </c>
      <c r="C1627" t="s">
        <v>9</v>
      </c>
      <c r="D1627" t="s">
        <v>1192</v>
      </c>
      <c r="E1627" t="s">
        <v>58</v>
      </c>
      <c r="F1627" t="s">
        <v>59</v>
      </c>
    </row>
    <row r="1628" spans="1:6">
      <c r="A1628">
        <v>199000</v>
      </c>
      <c r="B1628" t="s">
        <v>8</v>
      </c>
      <c r="C1628" t="s">
        <v>9</v>
      </c>
      <c r="D1628" t="s">
        <v>1199</v>
      </c>
      <c r="E1628" t="s">
        <v>48</v>
      </c>
      <c r="F1628" t="s">
        <v>1199</v>
      </c>
    </row>
    <row r="1629" spans="1:6">
      <c r="A1629">
        <v>199001</v>
      </c>
      <c r="B1629" t="s">
        <v>8</v>
      </c>
      <c r="C1629" t="s">
        <v>9</v>
      </c>
      <c r="D1629" t="s">
        <v>1199</v>
      </c>
      <c r="E1629" t="s">
        <v>49</v>
      </c>
      <c r="F1629" t="s">
        <v>74</v>
      </c>
    </row>
    <row r="1630" spans="1:6">
      <c r="A1630">
        <v>199002</v>
      </c>
      <c r="B1630" t="s">
        <v>8</v>
      </c>
      <c r="C1630" t="s">
        <v>9</v>
      </c>
      <c r="D1630" t="s">
        <v>1199</v>
      </c>
      <c r="E1630" t="s">
        <v>49</v>
      </c>
      <c r="F1630" t="s">
        <v>75</v>
      </c>
    </row>
    <row r="1631" spans="1:6">
      <c r="A1631">
        <v>199003</v>
      </c>
      <c r="B1631" t="s">
        <v>8</v>
      </c>
      <c r="C1631" t="s">
        <v>9</v>
      </c>
      <c r="D1631" t="s">
        <v>1199</v>
      </c>
      <c r="E1631" t="s">
        <v>49</v>
      </c>
      <c r="F1631" t="s">
        <v>77</v>
      </c>
    </row>
    <row r="1632" spans="1:6">
      <c r="A1632">
        <v>199004</v>
      </c>
      <c r="B1632" t="s">
        <v>8</v>
      </c>
      <c r="C1632" t="s">
        <v>9</v>
      </c>
      <c r="D1632" t="s">
        <v>1199</v>
      </c>
      <c r="E1632" t="s">
        <v>49</v>
      </c>
      <c r="F1632" t="s">
        <v>1200</v>
      </c>
    </row>
    <row r="1633" spans="1:6">
      <c r="A1633">
        <v>199005</v>
      </c>
      <c r="B1633" t="s">
        <v>8</v>
      </c>
      <c r="C1633" t="s">
        <v>9</v>
      </c>
      <c r="D1633" t="s">
        <v>1199</v>
      </c>
      <c r="E1633" t="s">
        <v>49</v>
      </c>
      <c r="F1633" t="s">
        <v>1201</v>
      </c>
    </row>
    <row r="1634" spans="1:6">
      <c r="B1634" t="s">
        <v>8</v>
      </c>
      <c r="C1634" t="s">
        <v>9</v>
      </c>
      <c r="D1634" t="s">
        <v>1199</v>
      </c>
      <c r="E1634" t="s">
        <v>49</v>
      </c>
      <c r="F1634" t="s">
        <v>57</v>
      </c>
    </row>
    <row r="1635" spans="1:6">
      <c r="B1635" t="s">
        <v>8</v>
      </c>
      <c r="C1635" t="s">
        <v>9</v>
      </c>
      <c r="D1635" t="s">
        <v>1199</v>
      </c>
      <c r="E1635" t="s">
        <v>58</v>
      </c>
      <c r="F1635" t="s">
        <v>59</v>
      </c>
    </row>
    <row r="1636" spans="1:6">
      <c r="A1636">
        <v>200000</v>
      </c>
      <c r="B1636" t="s">
        <v>13</v>
      </c>
      <c r="C1636" t="s">
        <v>9</v>
      </c>
      <c r="D1636" t="s">
        <v>1202</v>
      </c>
      <c r="E1636" t="s">
        <v>48</v>
      </c>
      <c r="F1636" t="s">
        <v>1202</v>
      </c>
    </row>
    <row r="1637" spans="1:6">
      <c r="A1637">
        <v>200001</v>
      </c>
      <c r="B1637" t="s">
        <v>13</v>
      </c>
      <c r="C1637" t="s">
        <v>9</v>
      </c>
      <c r="D1637" t="s">
        <v>1202</v>
      </c>
      <c r="E1637" t="s">
        <v>49</v>
      </c>
      <c r="F1637" t="s">
        <v>1203</v>
      </c>
    </row>
    <row r="1638" spans="1:6">
      <c r="A1638">
        <v>200002</v>
      </c>
      <c r="B1638" t="s">
        <v>13</v>
      </c>
      <c r="C1638" t="s">
        <v>9</v>
      </c>
      <c r="D1638" t="s">
        <v>1202</v>
      </c>
      <c r="E1638" t="s">
        <v>49</v>
      </c>
      <c r="F1638" t="s">
        <v>1204</v>
      </c>
    </row>
    <row r="1639" spans="1:6">
      <c r="A1639">
        <v>200003</v>
      </c>
      <c r="B1639" t="s">
        <v>13</v>
      </c>
      <c r="C1639" t="s">
        <v>9</v>
      </c>
      <c r="D1639" t="s">
        <v>1202</v>
      </c>
      <c r="E1639" t="s">
        <v>49</v>
      </c>
      <c r="F1639" t="s">
        <v>1205</v>
      </c>
    </row>
    <row r="1640" spans="1:6">
      <c r="B1640" t="s">
        <v>13</v>
      </c>
      <c r="C1640" t="s">
        <v>9</v>
      </c>
      <c r="D1640" t="s">
        <v>1202</v>
      </c>
      <c r="E1640" t="s">
        <v>49</v>
      </c>
      <c r="F1640" t="s">
        <v>57</v>
      </c>
    </row>
    <row r="1641" spans="1:6">
      <c r="B1641" t="s">
        <v>13</v>
      </c>
      <c r="C1641" t="s">
        <v>9</v>
      </c>
      <c r="D1641" t="s">
        <v>1202</v>
      </c>
      <c r="E1641" t="s">
        <v>58</v>
      </c>
      <c r="F1641" t="s">
        <v>59</v>
      </c>
    </row>
    <row r="1642" spans="1:6">
      <c r="A1642">
        <v>201000</v>
      </c>
      <c r="B1642" t="s">
        <v>1206</v>
      </c>
      <c r="C1642" t="s">
        <v>9</v>
      </c>
      <c r="D1642" t="s">
        <v>1207</v>
      </c>
      <c r="E1642" t="s">
        <v>48</v>
      </c>
      <c r="F1642" t="s">
        <v>1207</v>
      </c>
    </row>
    <row r="1643" spans="1:6">
      <c r="A1643">
        <v>201001</v>
      </c>
      <c r="B1643" t="s">
        <v>1206</v>
      </c>
      <c r="C1643" t="s">
        <v>9</v>
      </c>
      <c r="D1643" t="s">
        <v>1207</v>
      </c>
      <c r="E1643" t="s">
        <v>49</v>
      </c>
      <c r="F1643" t="s">
        <v>1208</v>
      </c>
    </row>
    <row r="1644" spans="1:6">
      <c r="A1644">
        <v>201002</v>
      </c>
      <c r="B1644" t="s">
        <v>1206</v>
      </c>
      <c r="C1644" t="s">
        <v>9</v>
      </c>
      <c r="D1644" t="s">
        <v>1207</v>
      </c>
      <c r="E1644" t="s">
        <v>66</v>
      </c>
      <c r="F1644" t="s">
        <v>1209</v>
      </c>
    </row>
    <row r="1645" spans="1:6">
      <c r="A1645">
        <v>201003</v>
      </c>
      <c r="B1645" t="s">
        <v>1206</v>
      </c>
      <c r="C1645" t="s">
        <v>9</v>
      </c>
      <c r="D1645" t="s">
        <v>1207</v>
      </c>
      <c r="E1645" t="s">
        <v>901</v>
      </c>
      <c r="F1645" t="s">
        <v>1210</v>
      </c>
    </row>
    <row r="1646" spans="1:6">
      <c r="A1646">
        <v>201004</v>
      </c>
      <c r="B1646" t="s">
        <v>1206</v>
      </c>
      <c r="C1646" t="s">
        <v>9</v>
      </c>
      <c r="D1646" t="s">
        <v>1207</v>
      </c>
      <c r="E1646" t="s">
        <v>58</v>
      </c>
      <c r="F1646" t="s">
        <v>209</v>
      </c>
    </row>
    <row r="1647" spans="1:6">
      <c r="B1647" t="s">
        <v>1206</v>
      </c>
      <c r="C1647" t="s">
        <v>9</v>
      </c>
      <c r="D1647" t="s">
        <v>1207</v>
      </c>
      <c r="E1647" t="s">
        <v>49</v>
      </c>
      <c r="F1647" t="s">
        <v>57</v>
      </c>
    </row>
    <row r="1648" spans="1:6">
      <c r="B1648" t="s">
        <v>1206</v>
      </c>
      <c r="C1648" t="s">
        <v>9</v>
      </c>
      <c r="D1648" t="s">
        <v>1207</v>
      </c>
      <c r="E1648" t="s">
        <v>58</v>
      </c>
      <c r="F1648" t="s">
        <v>59</v>
      </c>
    </row>
    <row r="1649" spans="1:6">
      <c r="A1649">
        <v>202000</v>
      </c>
      <c r="B1649" t="s">
        <v>18</v>
      </c>
      <c r="C1649" t="s">
        <v>9</v>
      </c>
      <c r="D1649" t="s">
        <v>1211</v>
      </c>
      <c r="E1649" t="s">
        <v>48</v>
      </c>
      <c r="F1649" t="s">
        <v>1211</v>
      </c>
    </row>
    <row r="1650" spans="1:6">
      <c r="A1650">
        <v>202001</v>
      </c>
      <c r="B1650" t="s">
        <v>18</v>
      </c>
      <c r="C1650" t="s">
        <v>9</v>
      </c>
      <c r="D1650" t="s">
        <v>1211</v>
      </c>
      <c r="E1650" t="s">
        <v>49</v>
      </c>
      <c r="F1650" t="s">
        <v>1212</v>
      </c>
    </row>
    <row r="1651" spans="1:6">
      <c r="A1651">
        <v>202002</v>
      </c>
      <c r="B1651" t="s">
        <v>18</v>
      </c>
      <c r="C1651" t="s">
        <v>9</v>
      </c>
      <c r="D1651" t="s">
        <v>1211</v>
      </c>
      <c r="E1651" t="s">
        <v>49</v>
      </c>
      <c r="F1651" t="s">
        <v>1213</v>
      </c>
    </row>
    <row r="1652" spans="1:6">
      <c r="A1652">
        <v>202003</v>
      </c>
      <c r="B1652" t="s">
        <v>18</v>
      </c>
      <c r="C1652" t="s">
        <v>9</v>
      </c>
      <c r="D1652" t="s">
        <v>1211</v>
      </c>
      <c r="E1652" t="s">
        <v>49</v>
      </c>
      <c r="F1652" t="s">
        <v>1214</v>
      </c>
    </row>
    <row r="1653" spans="1:6">
      <c r="B1653" t="s">
        <v>18</v>
      </c>
      <c r="C1653" t="s">
        <v>9</v>
      </c>
      <c r="D1653" t="s">
        <v>1211</v>
      </c>
      <c r="E1653" t="s">
        <v>49</v>
      </c>
      <c r="F1653" t="s">
        <v>57</v>
      </c>
    </row>
    <row r="1654" spans="1:6">
      <c r="B1654" t="s">
        <v>18</v>
      </c>
      <c r="C1654" t="s">
        <v>9</v>
      </c>
      <c r="D1654" t="s">
        <v>1211</v>
      </c>
      <c r="E1654" t="s">
        <v>58</v>
      </c>
      <c r="F1654" t="s">
        <v>59</v>
      </c>
    </row>
    <row r="1655" spans="1:6">
      <c r="A1655">
        <v>203000</v>
      </c>
      <c r="B1655" t="s">
        <v>598</v>
      </c>
      <c r="C1655" t="s">
        <v>9</v>
      </c>
      <c r="D1655" t="s">
        <v>1215</v>
      </c>
      <c r="E1655" t="s">
        <v>48</v>
      </c>
      <c r="F1655" t="s">
        <v>1215</v>
      </c>
    </row>
    <row r="1656" spans="1:6">
      <c r="A1656">
        <v>203001</v>
      </c>
      <c r="B1656" t="s">
        <v>598</v>
      </c>
      <c r="C1656" t="s">
        <v>9</v>
      </c>
      <c r="D1656" t="s">
        <v>1215</v>
      </c>
      <c r="E1656" t="s">
        <v>49</v>
      </c>
      <c r="F1656" t="s">
        <v>1216</v>
      </c>
    </row>
    <row r="1657" spans="1:6">
      <c r="A1657">
        <v>203002</v>
      </c>
      <c r="B1657" t="s">
        <v>598</v>
      </c>
      <c r="C1657" t="s">
        <v>9</v>
      </c>
      <c r="D1657" t="s">
        <v>1215</v>
      </c>
      <c r="E1657" t="s">
        <v>49</v>
      </c>
      <c r="F1657" t="s">
        <v>1213</v>
      </c>
    </row>
    <row r="1658" spans="1:6">
      <c r="A1658">
        <v>203003</v>
      </c>
      <c r="B1658" t="s">
        <v>598</v>
      </c>
      <c r="C1658" t="s">
        <v>9</v>
      </c>
      <c r="D1658" t="s">
        <v>1215</v>
      </c>
      <c r="E1658" t="s">
        <v>49</v>
      </c>
      <c r="F1658" t="s">
        <v>1214</v>
      </c>
    </row>
    <row r="1659" spans="1:6">
      <c r="A1659">
        <v>203004</v>
      </c>
      <c r="B1659" t="s">
        <v>598</v>
      </c>
      <c r="C1659" t="s">
        <v>9</v>
      </c>
      <c r="D1659" t="s">
        <v>1215</v>
      </c>
      <c r="E1659" t="s">
        <v>49</v>
      </c>
      <c r="F1659" t="s">
        <v>645</v>
      </c>
    </row>
    <row r="1660" spans="1:6">
      <c r="A1660">
        <v>203005</v>
      </c>
      <c r="B1660" t="s">
        <v>598</v>
      </c>
      <c r="C1660" t="s">
        <v>9</v>
      </c>
      <c r="D1660" t="s">
        <v>1215</v>
      </c>
      <c r="E1660" t="s">
        <v>49</v>
      </c>
      <c r="F1660" t="s">
        <v>1217</v>
      </c>
    </row>
    <row r="1661" spans="1:6">
      <c r="B1661" t="s">
        <v>598</v>
      </c>
      <c r="C1661" t="s">
        <v>9</v>
      </c>
      <c r="D1661" t="s">
        <v>1215</v>
      </c>
      <c r="E1661" t="s">
        <v>49</v>
      </c>
      <c r="F1661" t="s">
        <v>57</v>
      </c>
    </row>
    <row r="1662" spans="1:6">
      <c r="B1662" t="s">
        <v>598</v>
      </c>
      <c r="C1662" t="s">
        <v>9</v>
      </c>
      <c r="D1662" t="s">
        <v>1215</v>
      </c>
      <c r="E1662" t="s">
        <v>58</v>
      </c>
      <c r="F1662" t="s">
        <v>59</v>
      </c>
    </row>
    <row r="1663" spans="1:6">
      <c r="A1663">
        <v>204000</v>
      </c>
      <c r="B1663" t="s">
        <v>598</v>
      </c>
      <c r="C1663" t="s">
        <v>9</v>
      </c>
      <c r="D1663" t="s">
        <v>1218</v>
      </c>
      <c r="E1663" t="s">
        <v>119</v>
      </c>
      <c r="F1663" t="s">
        <v>1218</v>
      </c>
    </row>
    <row r="1664" spans="1:6">
      <c r="A1664">
        <v>204001</v>
      </c>
      <c r="B1664" t="s">
        <v>598</v>
      </c>
      <c r="C1664" t="s">
        <v>9</v>
      </c>
      <c r="D1664" t="s">
        <v>1218</v>
      </c>
      <c r="E1664" t="s">
        <v>49</v>
      </c>
      <c r="F1664" t="s">
        <v>1219</v>
      </c>
    </row>
    <row r="1665" spans="1:6">
      <c r="A1665">
        <v>204002</v>
      </c>
      <c r="B1665" t="s">
        <v>598</v>
      </c>
      <c r="C1665" t="s">
        <v>9</v>
      </c>
      <c r="D1665" t="s">
        <v>1218</v>
      </c>
      <c r="E1665" t="s">
        <v>49</v>
      </c>
      <c r="F1665" t="s">
        <v>1220</v>
      </c>
    </row>
    <row r="1666" spans="1:6">
      <c r="A1666">
        <v>204003</v>
      </c>
      <c r="B1666" t="s">
        <v>598</v>
      </c>
      <c r="C1666" t="s">
        <v>9</v>
      </c>
      <c r="D1666" t="s">
        <v>1218</v>
      </c>
      <c r="E1666" t="s">
        <v>49</v>
      </c>
      <c r="F1666" t="s">
        <v>1221</v>
      </c>
    </row>
    <row r="1667" spans="1:6">
      <c r="A1667">
        <v>204004</v>
      </c>
      <c r="B1667" t="s">
        <v>598</v>
      </c>
      <c r="C1667" t="s">
        <v>9</v>
      </c>
      <c r="D1667" t="s">
        <v>1218</v>
      </c>
      <c r="E1667" t="s">
        <v>49</v>
      </c>
      <c r="F1667" t="s">
        <v>1222</v>
      </c>
    </row>
    <row r="1668" spans="1:6">
      <c r="A1668">
        <v>204005</v>
      </c>
      <c r="B1668" t="s">
        <v>598</v>
      </c>
      <c r="C1668" t="s">
        <v>9</v>
      </c>
      <c r="D1668" t="s">
        <v>1218</v>
      </c>
      <c r="E1668" t="s">
        <v>49</v>
      </c>
      <c r="F1668" t="s">
        <v>1223</v>
      </c>
    </row>
    <row r="1669" spans="1:6">
      <c r="A1669">
        <v>204006</v>
      </c>
      <c r="B1669" t="s">
        <v>598</v>
      </c>
      <c r="C1669" t="s">
        <v>9</v>
      </c>
      <c r="D1669" t="s">
        <v>1218</v>
      </c>
      <c r="E1669" t="s">
        <v>49</v>
      </c>
      <c r="F1669" t="s">
        <v>1224</v>
      </c>
    </row>
    <row r="1670" spans="1:6">
      <c r="B1670" t="s">
        <v>598</v>
      </c>
      <c r="C1670" t="s">
        <v>9</v>
      </c>
      <c r="D1670" t="s">
        <v>1218</v>
      </c>
      <c r="E1670" t="s">
        <v>49</v>
      </c>
      <c r="F1670" t="s">
        <v>57</v>
      </c>
    </row>
    <row r="1671" spans="1:6">
      <c r="B1671" t="s">
        <v>598</v>
      </c>
      <c r="C1671" t="s">
        <v>9</v>
      </c>
      <c r="D1671" t="s">
        <v>1218</v>
      </c>
      <c r="E1671" t="s">
        <v>58</v>
      </c>
      <c r="F1671" t="s">
        <v>59</v>
      </c>
    </row>
    <row r="1672" spans="1:6">
      <c r="A1672">
        <v>205000</v>
      </c>
      <c r="B1672" t="s">
        <v>598</v>
      </c>
      <c r="C1672" t="s">
        <v>9</v>
      </c>
      <c r="D1672" t="s">
        <v>1225</v>
      </c>
      <c r="E1672" t="s">
        <v>48</v>
      </c>
      <c r="F1672" t="s">
        <v>1225</v>
      </c>
    </row>
    <row r="1673" spans="1:6">
      <c r="A1673">
        <v>205001</v>
      </c>
      <c r="B1673" t="s">
        <v>598</v>
      </c>
      <c r="C1673" t="s">
        <v>9</v>
      </c>
      <c r="D1673" t="s">
        <v>1225</v>
      </c>
      <c r="E1673" t="s">
        <v>49</v>
      </c>
      <c r="F1673" t="s">
        <v>1226</v>
      </c>
    </row>
    <row r="1674" spans="1:6">
      <c r="A1674">
        <v>205002</v>
      </c>
      <c r="B1674" t="s">
        <v>598</v>
      </c>
      <c r="C1674" t="s">
        <v>9</v>
      </c>
      <c r="D1674" t="s">
        <v>1225</v>
      </c>
      <c r="E1674" t="s">
        <v>49</v>
      </c>
      <c r="F1674" t="s">
        <v>1213</v>
      </c>
    </row>
    <row r="1675" spans="1:6">
      <c r="A1675">
        <v>205003</v>
      </c>
      <c r="B1675" t="s">
        <v>598</v>
      </c>
      <c r="C1675" t="s">
        <v>9</v>
      </c>
      <c r="D1675" t="s">
        <v>1225</v>
      </c>
      <c r="E1675" t="s">
        <v>49</v>
      </c>
      <c r="F1675" t="s">
        <v>1214</v>
      </c>
    </row>
    <row r="1676" spans="1:6">
      <c r="B1676" t="s">
        <v>598</v>
      </c>
      <c r="C1676" t="s">
        <v>9</v>
      </c>
      <c r="D1676" t="s">
        <v>1225</v>
      </c>
      <c r="E1676" t="s">
        <v>49</v>
      </c>
      <c r="F1676" t="s">
        <v>57</v>
      </c>
    </row>
    <row r="1677" spans="1:6">
      <c r="B1677" t="s">
        <v>598</v>
      </c>
      <c r="C1677" t="s">
        <v>9</v>
      </c>
      <c r="D1677" t="s">
        <v>1225</v>
      </c>
      <c r="E1677" t="s">
        <v>58</v>
      </c>
      <c r="F1677" t="s">
        <v>59</v>
      </c>
    </row>
    <row r="1678" spans="1:6">
      <c r="A1678">
        <v>206000</v>
      </c>
      <c r="B1678" t="s">
        <v>18</v>
      </c>
      <c r="C1678" t="s">
        <v>9</v>
      </c>
      <c r="D1678" t="s">
        <v>1227</v>
      </c>
      <c r="E1678" t="s">
        <v>48</v>
      </c>
      <c r="F1678" t="s">
        <v>1227</v>
      </c>
    </row>
    <row r="1679" spans="1:6">
      <c r="A1679">
        <v>206001</v>
      </c>
      <c r="B1679" t="s">
        <v>18</v>
      </c>
      <c r="C1679" t="s">
        <v>9</v>
      </c>
      <c r="D1679" t="s">
        <v>1227</v>
      </c>
      <c r="E1679" t="s">
        <v>49</v>
      </c>
      <c r="F1679" t="s">
        <v>1228</v>
      </c>
    </row>
    <row r="1680" spans="1:6">
      <c r="A1680">
        <v>206002</v>
      </c>
      <c r="B1680" t="s">
        <v>18</v>
      </c>
      <c r="C1680" t="s">
        <v>9</v>
      </c>
      <c r="D1680" t="s">
        <v>1227</v>
      </c>
      <c r="E1680" t="s">
        <v>124</v>
      </c>
      <c r="F1680" t="s">
        <v>1229</v>
      </c>
    </row>
    <row r="1681" spans="1:6">
      <c r="A1681">
        <v>206003</v>
      </c>
      <c r="B1681" t="s">
        <v>18</v>
      </c>
      <c r="C1681" t="s">
        <v>9</v>
      </c>
      <c r="D1681" t="s">
        <v>1227</v>
      </c>
      <c r="E1681" t="s">
        <v>49</v>
      </c>
      <c r="F1681" t="s">
        <v>1230</v>
      </c>
    </row>
    <row r="1682" spans="1:6">
      <c r="A1682">
        <v>206004</v>
      </c>
      <c r="B1682" t="s">
        <v>18</v>
      </c>
      <c r="C1682" t="s">
        <v>9</v>
      </c>
      <c r="D1682" t="s">
        <v>1227</v>
      </c>
      <c r="E1682" t="s">
        <v>49</v>
      </c>
      <c r="F1682" t="s">
        <v>1231</v>
      </c>
    </row>
    <row r="1683" spans="1:6">
      <c r="A1683">
        <v>206005</v>
      </c>
      <c r="B1683" t="s">
        <v>18</v>
      </c>
      <c r="C1683" t="s">
        <v>9</v>
      </c>
      <c r="D1683" t="s">
        <v>1227</v>
      </c>
      <c r="E1683" t="s">
        <v>49</v>
      </c>
      <c r="F1683" t="s">
        <v>1232</v>
      </c>
    </row>
    <row r="1684" spans="1:6">
      <c r="A1684">
        <v>206006</v>
      </c>
      <c r="B1684" t="s">
        <v>18</v>
      </c>
      <c r="C1684" t="s">
        <v>9</v>
      </c>
      <c r="D1684" t="s">
        <v>1227</v>
      </c>
      <c r="E1684" t="s">
        <v>49</v>
      </c>
      <c r="F1684" t="s">
        <v>1233</v>
      </c>
    </row>
    <row r="1685" spans="1:6">
      <c r="A1685">
        <v>206007</v>
      </c>
      <c r="B1685" t="s">
        <v>18</v>
      </c>
      <c r="C1685" t="s">
        <v>9</v>
      </c>
      <c r="D1685" t="s">
        <v>1227</v>
      </c>
      <c r="E1685" t="s">
        <v>49</v>
      </c>
      <c r="F1685" t="s">
        <v>1234</v>
      </c>
    </row>
    <row r="1686" spans="1:6">
      <c r="A1686">
        <v>206008</v>
      </c>
      <c r="B1686" t="s">
        <v>18</v>
      </c>
      <c r="C1686" t="s">
        <v>9</v>
      </c>
      <c r="D1686" t="s">
        <v>1227</v>
      </c>
      <c r="E1686" t="s">
        <v>124</v>
      </c>
      <c r="F1686" t="s">
        <v>1235</v>
      </c>
    </row>
    <row r="1687" spans="1:6">
      <c r="A1687">
        <v>206009</v>
      </c>
      <c r="B1687" t="s">
        <v>18</v>
      </c>
      <c r="C1687" t="s">
        <v>9</v>
      </c>
      <c r="D1687" t="s">
        <v>1227</v>
      </c>
      <c r="E1687" t="s">
        <v>49</v>
      </c>
      <c r="F1687" t="s">
        <v>1236</v>
      </c>
    </row>
    <row r="1688" spans="1:6">
      <c r="A1688">
        <v>206010</v>
      </c>
      <c r="B1688" t="s">
        <v>18</v>
      </c>
      <c r="C1688" t="s">
        <v>9</v>
      </c>
      <c r="D1688" t="s">
        <v>1227</v>
      </c>
      <c r="E1688" t="s">
        <v>124</v>
      </c>
      <c r="F1688" t="s">
        <v>1237</v>
      </c>
    </row>
    <row r="1689" spans="1:6">
      <c r="A1689">
        <v>206011</v>
      </c>
      <c r="B1689" t="s">
        <v>18</v>
      </c>
      <c r="C1689" t="s">
        <v>9</v>
      </c>
      <c r="D1689" t="s">
        <v>1227</v>
      </c>
      <c r="E1689" t="s">
        <v>49</v>
      </c>
      <c r="F1689" t="s">
        <v>1238</v>
      </c>
    </row>
    <row r="1690" spans="1:6">
      <c r="B1690" t="s">
        <v>18</v>
      </c>
      <c r="C1690" t="s">
        <v>9</v>
      </c>
      <c r="D1690" t="s">
        <v>1227</v>
      </c>
      <c r="E1690" t="s">
        <v>49</v>
      </c>
      <c r="F1690" t="s">
        <v>57</v>
      </c>
    </row>
    <row r="1691" spans="1:6">
      <c r="B1691" t="s">
        <v>18</v>
      </c>
      <c r="C1691" t="s">
        <v>9</v>
      </c>
      <c r="D1691" t="s">
        <v>1227</v>
      </c>
      <c r="E1691" t="s">
        <v>58</v>
      </c>
      <c r="F1691" t="s">
        <v>59</v>
      </c>
    </row>
    <row r="1692" spans="1:6">
      <c r="A1692">
        <v>207000</v>
      </c>
      <c r="B1692" t="s">
        <v>13</v>
      </c>
      <c r="C1692" t="s">
        <v>9</v>
      </c>
      <c r="D1692" t="s">
        <v>1239</v>
      </c>
      <c r="E1692" t="s">
        <v>48</v>
      </c>
      <c r="F1692" t="s">
        <v>1239</v>
      </c>
    </row>
    <row r="1693" spans="1:6">
      <c r="A1693">
        <v>207001</v>
      </c>
      <c r="B1693" t="s">
        <v>13</v>
      </c>
      <c r="C1693" t="s">
        <v>9</v>
      </c>
      <c r="D1693" t="s">
        <v>1239</v>
      </c>
      <c r="E1693" t="s">
        <v>49</v>
      </c>
      <c r="F1693" t="s">
        <v>1240</v>
      </c>
    </row>
    <row r="1694" spans="1:6">
      <c r="A1694">
        <v>207002</v>
      </c>
      <c r="B1694" t="s">
        <v>13</v>
      </c>
      <c r="C1694" t="s">
        <v>9</v>
      </c>
      <c r="D1694" t="s">
        <v>1239</v>
      </c>
      <c r="E1694" t="s">
        <v>124</v>
      </c>
      <c r="F1694" t="s">
        <v>1241</v>
      </c>
    </row>
    <row r="1695" spans="1:6">
      <c r="A1695">
        <v>207003</v>
      </c>
      <c r="B1695" t="s">
        <v>13</v>
      </c>
      <c r="C1695" t="s">
        <v>9</v>
      </c>
      <c r="D1695" t="s">
        <v>1239</v>
      </c>
      <c r="E1695" t="s">
        <v>124</v>
      </c>
      <c r="F1695" t="s">
        <v>1229</v>
      </c>
    </row>
    <row r="1696" spans="1:6">
      <c r="A1696">
        <v>207004</v>
      </c>
      <c r="B1696" t="s">
        <v>13</v>
      </c>
      <c r="C1696" t="s">
        <v>9</v>
      </c>
      <c r="D1696" t="s">
        <v>1239</v>
      </c>
      <c r="E1696" t="s">
        <v>124</v>
      </c>
      <c r="F1696" t="s">
        <v>1242</v>
      </c>
    </row>
    <row r="1697" spans="1:6">
      <c r="A1697">
        <v>207005</v>
      </c>
      <c r="B1697" t="s">
        <v>13</v>
      </c>
      <c r="C1697" t="s">
        <v>9</v>
      </c>
      <c r="D1697" t="s">
        <v>1239</v>
      </c>
      <c r="E1697" t="s">
        <v>124</v>
      </c>
      <c r="F1697" t="s">
        <v>793</v>
      </c>
    </row>
    <row r="1698" spans="1:6">
      <c r="A1698">
        <v>207006</v>
      </c>
      <c r="B1698" t="s">
        <v>13</v>
      </c>
      <c r="C1698" t="s">
        <v>9</v>
      </c>
      <c r="D1698" t="s">
        <v>1239</v>
      </c>
      <c r="E1698" t="s">
        <v>124</v>
      </c>
      <c r="F1698" t="s">
        <v>1243</v>
      </c>
    </row>
    <row r="1699" spans="1:6">
      <c r="A1699">
        <v>207007</v>
      </c>
      <c r="B1699" t="s">
        <v>13</v>
      </c>
      <c r="C1699" t="s">
        <v>9</v>
      </c>
      <c r="D1699" t="s">
        <v>1239</v>
      </c>
      <c r="E1699" t="s">
        <v>124</v>
      </c>
      <c r="F1699" t="s">
        <v>1244</v>
      </c>
    </row>
    <row r="1700" spans="1:6">
      <c r="A1700">
        <v>207008</v>
      </c>
      <c r="B1700" t="s">
        <v>13</v>
      </c>
      <c r="C1700" t="s">
        <v>9</v>
      </c>
      <c r="D1700" t="s">
        <v>1239</v>
      </c>
      <c r="E1700" t="s">
        <v>49</v>
      </c>
      <c r="F1700" t="s">
        <v>1245</v>
      </c>
    </row>
    <row r="1701" spans="1:6">
      <c r="A1701">
        <v>207009</v>
      </c>
      <c r="B1701" t="s">
        <v>13</v>
      </c>
      <c r="C1701" t="s">
        <v>9</v>
      </c>
      <c r="D1701" t="s">
        <v>1239</v>
      </c>
      <c r="E1701" t="s">
        <v>49</v>
      </c>
      <c r="F1701" t="s">
        <v>1246</v>
      </c>
    </row>
    <row r="1702" spans="1:6">
      <c r="A1702">
        <v>207010</v>
      </c>
      <c r="B1702" t="s">
        <v>13</v>
      </c>
      <c r="C1702" t="s">
        <v>9</v>
      </c>
      <c r="D1702" t="s">
        <v>1239</v>
      </c>
      <c r="E1702" t="s">
        <v>49</v>
      </c>
      <c r="F1702" t="s">
        <v>1247</v>
      </c>
    </row>
    <row r="1703" spans="1:6">
      <c r="A1703">
        <v>207011</v>
      </c>
      <c r="B1703" t="s">
        <v>13</v>
      </c>
      <c r="C1703" t="s">
        <v>9</v>
      </c>
      <c r="D1703" t="s">
        <v>1239</v>
      </c>
      <c r="E1703" t="s">
        <v>49</v>
      </c>
      <c r="F1703" t="s">
        <v>1248</v>
      </c>
    </row>
    <row r="1704" spans="1:6">
      <c r="B1704" t="s">
        <v>13</v>
      </c>
      <c r="C1704" t="s">
        <v>9</v>
      </c>
      <c r="D1704" t="s">
        <v>1239</v>
      </c>
      <c r="E1704" t="s">
        <v>49</v>
      </c>
      <c r="F1704" t="s">
        <v>57</v>
      </c>
    </row>
    <row r="1705" spans="1:6">
      <c r="B1705" t="s">
        <v>13</v>
      </c>
      <c r="C1705" t="s">
        <v>9</v>
      </c>
      <c r="D1705" t="s">
        <v>1239</v>
      </c>
      <c r="E1705" t="s">
        <v>58</v>
      </c>
      <c r="F1705" t="s">
        <v>59</v>
      </c>
    </row>
    <row r="1706" spans="1:6">
      <c r="A1706">
        <v>209000</v>
      </c>
      <c r="B1706" t="s">
        <v>18</v>
      </c>
      <c r="C1706" t="s">
        <v>9</v>
      </c>
      <c r="D1706" t="s">
        <v>1249</v>
      </c>
      <c r="E1706" t="s">
        <v>48</v>
      </c>
      <c r="F1706" t="s">
        <v>1249</v>
      </c>
    </row>
    <row r="1707" spans="1:6">
      <c r="A1707">
        <v>209001</v>
      </c>
      <c r="B1707" t="s">
        <v>18</v>
      </c>
      <c r="C1707" t="s">
        <v>9</v>
      </c>
      <c r="D1707" t="s">
        <v>1249</v>
      </c>
      <c r="E1707" t="s">
        <v>49</v>
      </c>
      <c r="F1707" t="s">
        <v>1250</v>
      </c>
    </row>
    <row r="1708" spans="1:6">
      <c r="A1708">
        <v>209002</v>
      </c>
      <c r="B1708" t="s">
        <v>18</v>
      </c>
      <c r="C1708" t="s">
        <v>9</v>
      </c>
      <c r="D1708" t="s">
        <v>1249</v>
      </c>
      <c r="E1708" t="s">
        <v>49</v>
      </c>
      <c r="F1708" t="s">
        <v>1251</v>
      </c>
    </row>
    <row r="1709" spans="1:6">
      <c r="A1709">
        <v>209003</v>
      </c>
      <c r="B1709" t="s">
        <v>18</v>
      </c>
      <c r="C1709" t="s">
        <v>9</v>
      </c>
      <c r="D1709" t="s">
        <v>1249</v>
      </c>
      <c r="E1709" t="s">
        <v>49</v>
      </c>
      <c r="F1709" t="s">
        <v>1252</v>
      </c>
    </row>
    <row r="1710" spans="1:6">
      <c r="A1710">
        <v>209004</v>
      </c>
      <c r="B1710" t="s">
        <v>18</v>
      </c>
      <c r="C1710" t="s">
        <v>9</v>
      </c>
      <c r="D1710" t="s">
        <v>1249</v>
      </c>
      <c r="E1710" t="s">
        <v>49</v>
      </c>
      <c r="F1710" t="s">
        <v>1253</v>
      </c>
    </row>
    <row r="1711" spans="1:6">
      <c r="B1711" t="s">
        <v>18</v>
      </c>
      <c r="C1711" t="s">
        <v>9</v>
      </c>
      <c r="D1711" t="s">
        <v>1249</v>
      </c>
      <c r="E1711" t="s">
        <v>49</v>
      </c>
      <c r="F1711" t="s">
        <v>57</v>
      </c>
    </row>
    <row r="1712" spans="1:6">
      <c r="B1712" t="s">
        <v>18</v>
      </c>
      <c r="C1712" t="s">
        <v>9</v>
      </c>
      <c r="D1712" t="s">
        <v>1249</v>
      </c>
      <c r="E1712" t="s">
        <v>58</v>
      </c>
      <c r="F1712" t="s">
        <v>59</v>
      </c>
    </row>
    <row r="1713" spans="1:6">
      <c r="A1713">
        <v>210000</v>
      </c>
      <c r="B1713" t="s">
        <v>18</v>
      </c>
      <c r="C1713" t="s">
        <v>9</v>
      </c>
      <c r="D1713" t="s">
        <v>1254</v>
      </c>
      <c r="E1713" t="s">
        <v>48</v>
      </c>
      <c r="F1713" t="s">
        <v>1254</v>
      </c>
    </row>
    <row r="1714" spans="1:6">
      <c r="A1714">
        <v>210001</v>
      </c>
      <c r="B1714" t="s">
        <v>18</v>
      </c>
      <c r="C1714" t="s">
        <v>9</v>
      </c>
      <c r="D1714" t="s">
        <v>1254</v>
      </c>
      <c r="E1714" t="s">
        <v>49</v>
      </c>
      <c r="F1714" t="s">
        <v>806</v>
      </c>
    </row>
    <row r="1715" spans="1:6">
      <c r="A1715">
        <v>210002</v>
      </c>
      <c r="B1715" t="s">
        <v>18</v>
      </c>
      <c r="C1715" t="s">
        <v>9</v>
      </c>
      <c r="D1715" t="s">
        <v>1254</v>
      </c>
      <c r="E1715" t="s">
        <v>49</v>
      </c>
      <c r="F1715" t="s">
        <v>1255</v>
      </c>
    </row>
    <row r="1716" spans="1:6">
      <c r="A1716">
        <v>210003</v>
      </c>
      <c r="B1716" t="s">
        <v>18</v>
      </c>
      <c r="C1716" t="s">
        <v>9</v>
      </c>
      <c r="D1716" t="s">
        <v>1254</v>
      </c>
      <c r="E1716" t="s">
        <v>49</v>
      </c>
      <c r="F1716" t="s">
        <v>377</v>
      </c>
    </row>
    <row r="1717" spans="1:6">
      <c r="A1717">
        <v>210004</v>
      </c>
      <c r="B1717" t="s">
        <v>18</v>
      </c>
      <c r="C1717" t="s">
        <v>9</v>
      </c>
      <c r="D1717" t="s">
        <v>1254</v>
      </c>
      <c r="E1717" t="s">
        <v>49</v>
      </c>
      <c r="F1717" t="s">
        <v>1256</v>
      </c>
    </row>
    <row r="1718" spans="1:6">
      <c r="A1718">
        <v>210005</v>
      </c>
      <c r="B1718" t="s">
        <v>18</v>
      </c>
      <c r="C1718" t="s">
        <v>9</v>
      </c>
      <c r="D1718" t="s">
        <v>1254</v>
      </c>
      <c r="E1718" t="s">
        <v>49</v>
      </c>
      <c r="F1718" t="s">
        <v>1257</v>
      </c>
    </row>
    <row r="1719" spans="1:6">
      <c r="B1719" t="s">
        <v>18</v>
      </c>
      <c r="C1719" t="s">
        <v>9</v>
      </c>
      <c r="D1719" t="s">
        <v>1254</v>
      </c>
      <c r="E1719" t="s">
        <v>49</v>
      </c>
      <c r="F1719" t="s">
        <v>57</v>
      </c>
    </row>
    <row r="1720" spans="1:6">
      <c r="B1720" t="s">
        <v>18</v>
      </c>
      <c r="C1720" t="s">
        <v>9</v>
      </c>
      <c r="D1720" t="s">
        <v>1254</v>
      </c>
      <c r="E1720" t="s">
        <v>58</v>
      </c>
      <c r="F1720" t="s">
        <v>59</v>
      </c>
    </row>
  </sheetData>
  <sheetProtection sheet="1" objects="1" scenarios="1" selectLockedCells="1" selectUnlockedCells="1"/>
  <phoneticPr fontId="2" type="noConversion"/>
  <conditionalFormatting sqref="A2:G1720">
    <cfRule type="expression" dxfId="345" priority="2">
      <formula>$E2="section"</formula>
    </cfRule>
    <cfRule type="expression" dxfId="344" priority="4">
      <formula>OR($E2="checklist", $E2="checklist-flat")</formula>
    </cfRule>
  </conditionalFormatting>
  <conditionalFormatting sqref="A1:G1720">
    <cfRule type="expression" dxfId="343" priority="1">
      <formula>ISBLANK($A1)</formula>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725"/>
  <sheetViews>
    <sheetView topLeftCell="A2669" zoomScale="70" zoomScaleNormal="70" workbookViewId="0">
      <selection activeCell="L2686" sqref="L2686:L2725"/>
    </sheetView>
    <sheetView topLeftCell="E1" workbookViewId="1">
      <selection activeCell="F995" sqref="F995"/>
    </sheetView>
  </sheetViews>
  <sheetFormatPr defaultRowHeight="13.5"/>
  <cols>
    <col min="1" max="1" width="9" customWidth="1"/>
    <col min="2" max="2" width="14.875" customWidth="1"/>
    <col min="3" max="3" width="9.625" hidden="1" customWidth="1"/>
    <col min="4" max="4" width="18.5" customWidth="1"/>
    <col min="5" max="5" width="21.375" customWidth="1"/>
    <col min="6" max="6" width="78.625" style="2" bestFit="1" customWidth="1"/>
    <col min="7" max="7" width="21.375" customWidth="1"/>
    <col min="8" max="8" width="72" style="2" customWidth="1"/>
    <col min="9" max="9" width="23.5" customWidth="1"/>
    <col min="10" max="10" width="13.875" customWidth="1"/>
    <col min="11" max="11" width="17" customWidth="1"/>
    <col min="14" max="14" width="29.625" customWidth="1"/>
  </cols>
  <sheetData>
    <row r="1" spans="1:12">
      <c r="A1" t="s">
        <v>1258</v>
      </c>
      <c r="B1" t="s">
        <v>42</v>
      </c>
      <c r="C1" t="s">
        <v>1259</v>
      </c>
      <c r="D1" t="s">
        <v>2</v>
      </c>
      <c r="E1" t="s">
        <v>3</v>
      </c>
      <c r="F1" s="2" t="s">
        <v>43</v>
      </c>
      <c r="G1" t="s">
        <v>44</v>
      </c>
      <c r="H1" s="2" t="s">
        <v>45</v>
      </c>
      <c r="I1" t="s">
        <v>46</v>
      </c>
      <c r="J1" t="s">
        <v>1260</v>
      </c>
      <c r="K1" t="s">
        <v>1261</v>
      </c>
      <c r="L1" t="s">
        <v>1</v>
      </c>
    </row>
    <row r="2" spans="1:12" ht="15.75">
      <c r="A2" s="23">
        <f t="shared" ref="A2:A65" si="0">IFERROR(A1+1,1)</f>
        <v>1</v>
      </c>
      <c r="B2" s="21">
        <f ca="1">Master[[#This Row],[ChecklistID]]+Master[[#This Row],[Checklist Order]]</f>
        <v>1000</v>
      </c>
      <c r="C2" s="22"/>
      <c r="D2" s="9" t="str" cm="1">
        <f t="array" aca="1" ref="D2" ca="1">_xlfn.SWITCH(MID(Master[[#This Row],[Checklist]],1,4),"C - ","Civil","F - ","Foundation","ST -","Structure","FC -","Façade","PRE ","Pre-Line","POST","Post-Line","H - ","Handover","S - ","Services","CST ","Completion Docs", "I - ", "Inspection")</f>
        <v>Civil</v>
      </c>
      <c r="E2" s="23" t="str">
        <f ca="1">IF(NOT(ISERROR(SEARCH("- S -", Master[[#This Row],[Checklist]]))), "Subcontractor",IF(NOT(ISERROR(SEARCH("- R -", Master[[#This Row],[Checklist]]))), "Ryman",IF(NOT(ISERROR(SEARCH("- C -", Master[[#This Row],[Checklist]]))), "Consultant",IF(NOT(ISERROR(SEARCH("- I -", Master[[#This Row],[Checklist]]))),  "Inspection Test Plan", "Naming Error"))))</f>
        <v>Ryman</v>
      </c>
      <c r="F2" s="24" t="str">
        <f ca="1">IF(OR(Master[[#This Row],[Type]]="checklist", Master[[#This Row],[Type]]="checklist-flat"), Master[[#This Row],[Name]], F1)</f>
        <v>C - R - Bulk Excavation</v>
      </c>
      <c r="G2" s="3" t="s">
        <v>48</v>
      </c>
      <c r="H2" s="24" t="s">
        <v>1262</v>
      </c>
      <c r="I2" s="3"/>
      <c r="J2" s="21">
        <f ca="1">_xlfn.XLOOKUP(Master[[#This Row],[Checklist]],Ref!A:A,Ref!B:B)*1000</f>
        <v>1000</v>
      </c>
      <c r="K2" s="21">
        <f ca="1">COUNTIF($J$2:Master[[#This Row],[ChecklistID]],Master[[#This Row],[ChecklistID]])-1</f>
        <v>0</v>
      </c>
      <c r="L2" s="23" t="s">
        <v>6</v>
      </c>
    </row>
    <row r="3" spans="1:12" ht="15.75">
      <c r="A3" s="23">
        <f t="shared" si="0"/>
        <v>2</v>
      </c>
      <c r="B3" s="21">
        <f ca="1">Master[[#This Row],[ChecklistID]]+Master[[#This Row],[Checklist Order]]</f>
        <v>1001</v>
      </c>
      <c r="C3" s="22"/>
      <c r="D3" s="3" t="str" cm="1">
        <f t="array" aca="1" ref="D3" ca="1">_xlfn.SWITCH(MID(Master[[#This Row],[Checklist]],1,4),"C - ","Civil","F - ","Foundation","ST -","Structure","FC -","Façade","PRE ","Pre-Line","POST","Post-Line","H - ","Handover","S - ","Services","CST ","Completion Docs", "I - ", "Inspection")</f>
        <v>Civil</v>
      </c>
      <c r="E3" s="23" t="str">
        <f ca="1">IF(NOT(ISERROR(SEARCH("- S -", Master[[#This Row],[Checklist]]))), "Subcontractor",IF(NOT(ISERROR(SEARCH("- R -", Master[[#This Row],[Checklist]]))), "Ryman",IF(NOT(ISERROR(SEARCH("- C -", Master[[#This Row],[Checklist]]))), "Consultant",IF(NOT(ISERROR(SEARCH("- I -", Master[[#This Row],[Checklist]]))),  "Inspection Test Plan", "Naming Error"))))</f>
        <v>Ryman</v>
      </c>
      <c r="F3" s="31" t="str">
        <f ca="1">IF(OR(Master[[#This Row],[Type]]="checklist", Master[[#This Row],[Type]]="checklist-flat"), Master[[#This Row],[Name]], F2)</f>
        <v>C - R - Bulk Excavation</v>
      </c>
      <c r="G3" s="3" t="s">
        <v>49</v>
      </c>
      <c r="H3" s="24" t="s">
        <v>1263</v>
      </c>
      <c r="I3" s="3"/>
      <c r="J3" s="21">
        <f ca="1">_xlfn.XLOOKUP(Master[[#This Row],[Checklist]],Ref!A:A,Ref!B:B)*1000</f>
        <v>1000</v>
      </c>
      <c r="K3" s="21">
        <f ca="1">COUNTIF($J$2:Master[[#This Row],[ChecklistID]],Master[[#This Row],[ChecklistID]])-1</f>
        <v>1</v>
      </c>
      <c r="L3" s="23" t="s">
        <v>6</v>
      </c>
    </row>
    <row r="4" spans="1:12" ht="15.75">
      <c r="A4" s="23">
        <f t="shared" si="0"/>
        <v>3</v>
      </c>
      <c r="B4" s="21">
        <f ca="1">Master[[#This Row],[ChecklistID]]+Master[[#This Row],[Checklist Order]]</f>
        <v>1002</v>
      </c>
      <c r="C4" s="22"/>
      <c r="D4" s="3" t="str" cm="1">
        <f t="array" aca="1" ref="D4" ca="1">_xlfn.SWITCH(MID(Master[[#This Row],[Checklist]],1,4),"C - ","Civil","F - ","Foundation","ST -","Structure","FC -","Façade","PRE ","Pre-Line","POST","Post-Line","H - ","Handover","S - ","Services","CST ","Completion Docs", "I - ", "Inspection")</f>
        <v>Civil</v>
      </c>
      <c r="E4" s="23" t="str">
        <f ca="1">IF(NOT(ISERROR(SEARCH("- S -", Master[[#This Row],[Checklist]]))), "Subcontractor",IF(NOT(ISERROR(SEARCH("- R -", Master[[#This Row],[Checklist]]))), "Ryman",IF(NOT(ISERROR(SEARCH("- C -", Master[[#This Row],[Checklist]]))), "Consultant",IF(NOT(ISERROR(SEARCH("- I -", Master[[#This Row],[Checklist]]))),  "Inspection Test Plan", "Naming Error"))))</f>
        <v>Ryman</v>
      </c>
      <c r="F4" s="31" t="str">
        <f ca="1">IF(OR(Master[[#This Row],[Type]]="checklist", Master[[#This Row],[Type]]="checklist-flat"), Master[[#This Row],[Name]], F3)</f>
        <v>C - R - Bulk Excavation</v>
      </c>
      <c r="G4" s="3" t="s">
        <v>49</v>
      </c>
      <c r="H4" s="24" t="s">
        <v>1264</v>
      </c>
      <c r="I4" s="3"/>
      <c r="J4" s="21">
        <f ca="1">_xlfn.XLOOKUP(Master[[#This Row],[Checklist]],Ref!A:A,Ref!B:B)*1000</f>
        <v>1000</v>
      </c>
      <c r="K4" s="21">
        <f ca="1">COUNTIF($J$2:Master[[#This Row],[ChecklistID]],Master[[#This Row],[ChecklistID]])-1</f>
        <v>2</v>
      </c>
      <c r="L4" s="23" t="s">
        <v>6</v>
      </c>
    </row>
    <row r="5" spans="1:12" ht="15.75">
      <c r="A5" s="23">
        <f t="shared" si="0"/>
        <v>4</v>
      </c>
      <c r="B5" s="21">
        <f ca="1">Master[[#This Row],[ChecklistID]]+Master[[#This Row],[Checklist Order]]</f>
        <v>1003</v>
      </c>
      <c r="C5" s="22"/>
      <c r="D5" s="3" t="str" cm="1">
        <f t="array" aca="1" ref="D5" ca="1">_xlfn.SWITCH(MID(Master[[#This Row],[Checklist]],1,4),"C - ","Civil","F - ","Foundation","ST -","Structure","FC -","Façade","PRE ","Pre-Line","POST","Post-Line","H - ","Handover","S - ","Services","CST ","Completion Docs", "I - ", "Inspection")</f>
        <v>Civil</v>
      </c>
      <c r="E5" s="23" t="str">
        <f ca="1">IF(NOT(ISERROR(SEARCH("- S -", Master[[#This Row],[Checklist]]))), "Subcontractor",IF(NOT(ISERROR(SEARCH("- R -", Master[[#This Row],[Checklist]]))), "Ryman",IF(NOT(ISERROR(SEARCH("- C -", Master[[#This Row],[Checklist]]))), "Consultant",IF(NOT(ISERROR(SEARCH("- I -", Master[[#This Row],[Checklist]]))),  "Inspection Test Plan", "Naming Error"))))</f>
        <v>Ryman</v>
      </c>
      <c r="F5" s="31" t="str">
        <f ca="1">IF(OR(Master[[#This Row],[Type]]="checklist", Master[[#This Row],[Type]]="checklist-flat"), Master[[#This Row],[Name]], F4)</f>
        <v>C - R - Bulk Excavation</v>
      </c>
      <c r="G5" s="3" t="s">
        <v>58</v>
      </c>
      <c r="H5" s="24" t="s">
        <v>306</v>
      </c>
      <c r="I5" s="3"/>
      <c r="J5" s="21">
        <f ca="1">_xlfn.XLOOKUP(Master[[#This Row],[Checklist]],Ref!A:A,Ref!B:B)*1000</f>
        <v>1000</v>
      </c>
      <c r="K5" s="21">
        <f ca="1">COUNTIF($J$2:Master[[#This Row],[ChecklistID]],Master[[#This Row],[ChecklistID]])-1</f>
        <v>3</v>
      </c>
      <c r="L5" s="23" t="s">
        <v>6</v>
      </c>
    </row>
    <row r="6" spans="1:12" ht="15.75">
      <c r="A6" s="23">
        <f t="shared" si="0"/>
        <v>5</v>
      </c>
      <c r="B6" s="21">
        <f ca="1">Master[[#This Row],[ChecklistID]]+Master[[#This Row],[Checklist Order]]</f>
        <v>1004</v>
      </c>
      <c r="C6" s="22"/>
      <c r="D6" s="3" t="str" cm="1">
        <f t="array" aca="1" ref="D6" ca="1">_xlfn.SWITCH(MID(Master[[#This Row],[Checklist]],1,4),"C - ","Civil","F - ","Foundation","ST -","Structure","FC -","Façade","PRE ","Pre-Line","POST","Post-Line","H - ","Handover","S - ","Services","CST ","Completion Docs", "I - ", "Inspection")</f>
        <v>Civil</v>
      </c>
      <c r="E6" s="23" t="str">
        <f ca="1">IF(NOT(ISERROR(SEARCH("- S -", Master[[#This Row],[Checklist]]))), "Subcontractor",IF(NOT(ISERROR(SEARCH("- R -", Master[[#This Row],[Checklist]]))), "Ryman",IF(NOT(ISERROR(SEARCH("- C -", Master[[#This Row],[Checklist]]))), "Consultant",IF(NOT(ISERROR(SEARCH("- I -", Master[[#This Row],[Checklist]]))),  "Inspection Test Plan", "Naming Error"))))</f>
        <v>Ryman</v>
      </c>
      <c r="F6" s="31" t="str">
        <f ca="1">IF(OR(Master[[#This Row],[Type]]="checklist", Master[[#This Row],[Type]]="checklist-flat"), Master[[#This Row],[Name]], F5)</f>
        <v>C - R - Bulk Excavation</v>
      </c>
      <c r="G6" s="3" t="s">
        <v>49</v>
      </c>
      <c r="H6" s="24" t="s">
        <v>56</v>
      </c>
      <c r="I6" s="3"/>
      <c r="J6" s="21">
        <f ca="1">_xlfn.XLOOKUP(Master[[#This Row],[Checklist]],Ref!A:A,Ref!B:B)*1000</f>
        <v>1000</v>
      </c>
      <c r="K6" s="21">
        <f ca="1">COUNTIF($J$2:Master[[#This Row],[ChecklistID]],Master[[#This Row],[ChecklistID]])-1</f>
        <v>4</v>
      </c>
      <c r="L6" s="23" t="s">
        <v>6</v>
      </c>
    </row>
    <row r="7" spans="1:12" ht="15.75">
      <c r="A7" s="23">
        <f t="shared" si="0"/>
        <v>6</v>
      </c>
      <c r="B7" s="21">
        <f ca="1">Master[[#This Row],[ChecklistID]]+Master[[#This Row],[Checklist Order]]</f>
        <v>2000</v>
      </c>
      <c r="C7" s="22"/>
      <c r="D7" s="3" t="str" cm="1">
        <f t="array" aca="1" ref="D7" ca="1">_xlfn.SWITCH(MID(Master[[#This Row],[Checklist]],1,4),"C - ","Civil","F - ","Foundation","ST -","Structure","FC -","Façade","PRE ","Pre-Line","POST","Post-Line","H - ","Handover","S - ","Services","CST ","Completion Docs", "I - ", "Inspection")</f>
        <v>Civil</v>
      </c>
      <c r="E7" s="23" t="str">
        <f ca="1">IF(NOT(ISERROR(SEARCH("- S -", Master[[#This Row],[Checklist]]))), "Subcontractor",IF(NOT(ISERROR(SEARCH("- R -", Master[[#This Row],[Checklist]]))), "Ryman",IF(NOT(ISERROR(SEARCH("- C -", Master[[#This Row],[Checklist]]))), "Consultant",IF(NOT(ISERROR(SEARCH("- I -", Master[[#This Row],[Checklist]]))),  "Inspection Test Plan", "Naming Error"))))</f>
        <v>Ryman</v>
      </c>
      <c r="F7" s="31" t="str">
        <f ca="1">IF(OR(Master[[#This Row],[Type]]="checklist", Master[[#This Row],[Type]]="checklist-flat"), Master[[#This Row],[Name]], F6)</f>
        <v>C - R - Detailed Excavation</v>
      </c>
      <c r="G7" s="3" t="s">
        <v>48</v>
      </c>
      <c r="H7" s="24" t="s">
        <v>1265</v>
      </c>
      <c r="I7" s="3"/>
      <c r="J7" s="21">
        <f ca="1">_xlfn.XLOOKUP(Master[[#This Row],[Checklist]],Ref!A:A,Ref!B:B)*1000</f>
        <v>2000</v>
      </c>
      <c r="K7" s="21">
        <f ca="1">COUNTIF($J$2:Master[[#This Row],[ChecklistID]],Master[[#This Row],[ChecklistID]])-1</f>
        <v>0</v>
      </c>
      <c r="L7" s="23" t="s">
        <v>6</v>
      </c>
    </row>
    <row r="8" spans="1:12" ht="15.75">
      <c r="A8" s="23">
        <f t="shared" si="0"/>
        <v>7</v>
      </c>
      <c r="B8" s="21">
        <f ca="1">Master[[#This Row],[ChecklistID]]+Master[[#This Row],[Checklist Order]]</f>
        <v>2001</v>
      </c>
      <c r="C8" s="22"/>
      <c r="D8" s="3" t="str" cm="1">
        <f t="array" aca="1" ref="D8" ca="1">_xlfn.SWITCH(MID(Master[[#This Row],[Checklist]],1,4),"C - ","Civil","F - ","Foundation","ST -","Structure","FC -","Façade","PRE ","Pre-Line","POST","Post-Line","H - ","Handover","S - ","Services","CST ","Completion Docs", "I - ", "Inspection")</f>
        <v>Civil</v>
      </c>
      <c r="E8" s="23" t="str">
        <f ca="1">IF(NOT(ISERROR(SEARCH("- S -", Master[[#This Row],[Checklist]]))), "Subcontractor",IF(NOT(ISERROR(SEARCH("- R -", Master[[#This Row],[Checklist]]))), "Ryman",IF(NOT(ISERROR(SEARCH("- C -", Master[[#This Row],[Checklist]]))), "Consultant",IF(NOT(ISERROR(SEARCH("- I -", Master[[#This Row],[Checklist]]))),  "Inspection Test Plan", "Naming Error"))))</f>
        <v>Ryman</v>
      </c>
      <c r="F8" s="31" t="str">
        <f ca="1">IF(OR(Master[[#This Row],[Type]]="checklist", Master[[#This Row],[Type]]="checklist-flat"), Master[[#This Row],[Name]], F7)</f>
        <v>C - R - Detailed Excavation</v>
      </c>
      <c r="G8" s="3" t="s">
        <v>49</v>
      </c>
      <c r="H8" s="24" t="s">
        <v>1263</v>
      </c>
      <c r="I8" s="3"/>
      <c r="J8" s="21">
        <f ca="1">_xlfn.XLOOKUP(Master[[#This Row],[Checklist]],Ref!A:A,Ref!B:B)*1000</f>
        <v>2000</v>
      </c>
      <c r="K8" s="21">
        <f ca="1">COUNTIF($J$2:Master[[#This Row],[ChecklistID]],Master[[#This Row],[ChecklistID]])-1</f>
        <v>1</v>
      </c>
      <c r="L8" s="23" t="s">
        <v>6</v>
      </c>
    </row>
    <row r="9" spans="1:12" ht="15.75">
      <c r="A9" s="23">
        <f t="shared" si="0"/>
        <v>8</v>
      </c>
      <c r="B9" s="21">
        <f ca="1">Master[[#This Row],[ChecklistID]]+Master[[#This Row],[Checklist Order]]</f>
        <v>2002</v>
      </c>
      <c r="C9" s="22"/>
      <c r="D9" s="3" t="str" cm="1">
        <f t="array" aca="1" ref="D9" ca="1">_xlfn.SWITCH(MID(Master[[#This Row],[Checklist]],1,4),"C - ","Civil","F - ","Foundation","ST -","Structure","FC -","Façade","PRE ","Pre-Line","POST","Post-Line","H - ","Handover","S - ","Services","CST ","Completion Docs", "I - ", "Inspection")</f>
        <v>Civil</v>
      </c>
      <c r="E9" s="23" t="str">
        <f ca="1">IF(NOT(ISERROR(SEARCH("- S -", Master[[#This Row],[Checklist]]))), "Subcontractor",IF(NOT(ISERROR(SEARCH("- R -", Master[[#This Row],[Checklist]]))), "Ryman",IF(NOT(ISERROR(SEARCH("- C -", Master[[#This Row],[Checklist]]))), "Consultant",IF(NOT(ISERROR(SEARCH("- I -", Master[[#This Row],[Checklist]]))),  "Inspection Test Plan", "Naming Error"))))</f>
        <v>Ryman</v>
      </c>
      <c r="F9" s="31" t="str">
        <f ca="1">IF(OR(Master[[#This Row],[Type]]="checklist", Master[[#This Row],[Type]]="checklist-flat"), Master[[#This Row],[Name]], F8)</f>
        <v>C - R - Detailed Excavation</v>
      </c>
      <c r="G9" s="3" t="s">
        <v>49</v>
      </c>
      <c r="H9" s="24" t="s">
        <v>1264</v>
      </c>
      <c r="I9" s="3"/>
      <c r="J9" s="21">
        <f ca="1">_xlfn.XLOOKUP(Master[[#This Row],[Checklist]],Ref!A:A,Ref!B:B)*1000</f>
        <v>2000</v>
      </c>
      <c r="K9" s="21">
        <f ca="1">COUNTIF($J$2:Master[[#This Row],[ChecklistID]],Master[[#This Row],[ChecklistID]])-1</f>
        <v>2</v>
      </c>
      <c r="L9" s="23" t="s">
        <v>6</v>
      </c>
    </row>
    <row r="10" spans="1:12" ht="15.75">
      <c r="A10" s="23">
        <f t="shared" si="0"/>
        <v>9</v>
      </c>
      <c r="B10" s="21">
        <f ca="1">Master[[#This Row],[ChecklistID]]+Master[[#This Row],[Checklist Order]]</f>
        <v>2003</v>
      </c>
      <c r="C10" s="22"/>
      <c r="D10" s="3" t="str" cm="1">
        <f t="array" aca="1" ref="D10" ca="1">_xlfn.SWITCH(MID(Master[[#This Row],[Checklist]],1,4),"C - ","Civil","F - ","Foundation","ST -","Structure","FC -","Façade","PRE ","Pre-Line","POST","Post-Line","H - ","Handover","S - ","Services","CST ","Completion Docs", "I - ", "Inspection")</f>
        <v>Civil</v>
      </c>
      <c r="E10" s="23" t="str">
        <f ca="1">IF(NOT(ISERROR(SEARCH("- S -", Master[[#This Row],[Checklist]]))), "Subcontractor",IF(NOT(ISERROR(SEARCH("- R -", Master[[#This Row],[Checklist]]))), "Ryman",IF(NOT(ISERROR(SEARCH("- C -", Master[[#This Row],[Checklist]]))), "Consultant",IF(NOT(ISERROR(SEARCH("- I -", Master[[#This Row],[Checklist]]))),  "Inspection Test Plan", "Naming Error"))))</f>
        <v>Ryman</v>
      </c>
      <c r="F10" s="24" t="str">
        <f ca="1">IF(OR(Master[[#This Row],[Type]]="checklist", Master[[#This Row],[Type]]="checklist-flat"), Master[[#This Row],[Name]], F9)</f>
        <v>C - R - Detailed Excavation</v>
      </c>
      <c r="G10" s="3" t="s">
        <v>58</v>
      </c>
      <c r="H10" s="24" t="s">
        <v>306</v>
      </c>
      <c r="I10" s="3"/>
      <c r="J10" s="21">
        <f ca="1">_xlfn.XLOOKUP(Master[[#This Row],[Checklist]],Ref!A:A,Ref!B:B)*1000</f>
        <v>2000</v>
      </c>
      <c r="K10" s="21">
        <f ca="1">COUNTIF($J$2:Master[[#This Row],[ChecklistID]],Master[[#This Row],[ChecklistID]])-1</f>
        <v>3</v>
      </c>
      <c r="L10" s="23" t="s">
        <v>6</v>
      </c>
    </row>
    <row r="11" spans="1:12" ht="15.75">
      <c r="A11" s="23">
        <f t="shared" si="0"/>
        <v>10</v>
      </c>
      <c r="B11" s="21">
        <f ca="1">Master[[#This Row],[ChecklistID]]+Master[[#This Row],[Checklist Order]]</f>
        <v>2004</v>
      </c>
      <c r="C11" s="22"/>
      <c r="D11" s="3" t="str" cm="1">
        <f t="array" aca="1" ref="D11" ca="1">_xlfn.SWITCH(MID(Master[[#This Row],[Checklist]],1,4),"C - ","Civil","F - ","Foundation","ST -","Structure","FC -","Façade","PRE ","Pre-Line","POST","Post-Line","H - ","Handover","S - ","Services","CST ","Completion Docs", "I - ", "Inspection")</f>
        <v>Civil</v>
      </c>
      <c r="E11" s="23" t="str">
        <f ca="1">IF(NOT(ISERROR(SEARCH("- S -", Master[[#This Row],[Checklist]]))), "Subcontractor",IF(NOT(ISERROR(SEARCH("- R -", Master[[#This Row],[Checklist]]))), "Ryman",IF(NOT(ISERROR(SEARCH("- C -", Master[[#This Row],[Checklist]]))), "Consultant",IF(NOT(ISERROR(SEARCH("- I -", Master[[#This Row],[Checklist]]))),  "Inspection Test Plan", "Naming Error"))))</f>
        <v>Ryman</v>
      </c>
      <c r="F11" s="24" t="str">
        <f ca="1">IF(OR(Master[[#This Row],[Type]]="checklist", Master[[#This Row],[Type]]="checklist-flat"), Master[[#This Row],[Name]], F10)</f>
        <v>C - R - Detailed Excavation</v>
      </c>
      <c r="G11" s="3" t="s">
        <v>49</v>
      </c>
      <c r="H11" s="24" t="s">
        <v>56</v>
      </c>
      <c r="I11" s="3"/>
      <c r="J11" s="21">
        <f ca="1">_xlfn.XLOOKUP(Master[[#This Row],[Checklist]],Ref!A:A,Ref!B:B)*1000</f>
        <v>2000</v>
      </c>
      <c r="K11" s="21">
        <f ca="1">COUNTIF($J$2:Master[[#This Row],[ChecklistID]],Master[[#This Row],[ChecklistID]])-1</f>
        <v>4</v>
      </c>
      <c r="L11" s="23" t="s">
        <v>6</v>
      </c>
    </row>
    <row r="12" spans="1:12" ht="15.75">
      <c r="A12" s="23">
        <f t="shared" si="0"/>
        <v>11</v>
      </c>
      <c r="B12" s="21">
        <f ca="1">Master[[#This Row],[ChecklistID]]+Master[[#This Row],[Checklist Order]]</f>
        <v>3000</v>
      </c>
      <c r="C12" s="22"/>
      <c r="D12" s="3" t="str" cm="1">
        <f t="array" aca="1" ref="D12" ca="1">_xlfn.SWITCH(MID(Master[[#This Row],[Checklist]],1,4),"C - ","Civil","F - ","Foundation","ST -","Structure","FC -","Façade","PRE ","Pre-Line","POST","Post-Line","H - ","Handover","S - ","Services","CST ","Completion Docs", "I - ", "Inspection")</f>
        <v>Civil</v>
      </c>
      <c r="E12" s="23" t="str">
        <f ca="1">IF(NOT(ISERROR(SEARCH("- S -", Master[[#This Row],[Checklist]]))), "Subcontractor",IF(NOT(ISERROR(SEARCH("- R -", Master[[#This Row],[Checklist]]))), "Ryman",IF(NOT(ISERROR(SEARCH("- C -", Master[[#This Row],[Checklist]]))), "Consultant",IF(NOT(ISERROR(SEARCH("- I -", Master[[#This Row],[Checklist]]))),  "Inspection Test Plan", "Naming Error"))))</f>
        <v>Ryman</v>
      </c>
      <c r="F12" s="24" t="str">
        <f ca="1">IF(OR(Master[[#This Row],[Type]]="checklist", Master[[#This Row],[Type]]="checklist-flat"), Master[[#This Row],[Name]], F11)</f>
        <v>C - R - Manhole Installation</v>
      </c>
      <c r="G12" s="3" t="s">
        <v>48</v>
      </c>
      <c r="H12" s="24" t="s">
        <v>1266</v>
      </c>
      <c r="I12" s="3"/>
      <c r="J12" s="21">
        <f ca="1">_xlfn.XLOOKUP(Master[[#This Row],[Checklist]],Ref!A:A,Ref!B:B)*1000</f>
        <v>3000</v>
      </c>
      <c r="K12" s="21">
        <f ca="1">COUNTIF($J$2:Master[[#This Row],[ChecklistID]],Master[[#This Row],[ChecklistID]])-1</f>
        <v>0</v>
      </c>
      <c r="L12" s="23" t="s">
        <v>6</v>
      </c>
    </row>
    <row r="13" spans="1:12" ht="15.75">
      <c r="A13" s="23">
        <f t="shared" si="0"/>
        <v>12</v>
      </c>
      <c r="B13" s="21">
        <f ca="1">Master[[#This Row],[ChecklistID]]+Master[[#This Row],[Checklist Order]]</f>
        <v>3001</v>
      </c>
      <c r="C13" s="22"/>
      <c r="D13" s="3" t="str" cm="1">
        <f t="array" aca="1" ref="D13" ca="1">_xlfn.SWITCH(MID(Master[[#This Row],[Checklist]],1,4),"C - ","Civil","F - ","Foundation","ST -","Structure","FC -","Façade","PRE ","Pre-Line","POST","Post-Line","H - ","Handover","S - ","Services","CST ","Completion Docs", "I - ", "Inspection")</f>
        <v>Civil</v>
      </c>
      <c r="E13" s="23" t="str">
        <f ca="1">IF(NOT(ISERROR(SEARCH("- S -", Master[[#This Row],[Checklist]]))), "Subcontractor",IF(NOT(ISERROR(SEARCH("- R -", Master[[#This Row],[Checklist]]))), "Ryman",IF(NOT(ISERROR(SEARCH("- C -", Master[[#This Row],[Checklist]]))), "Consultant",IF(NOT(ISERROR(SEARCH("- I -", Master[[#This Row],[Checklist]]))),  "Inspection Test Plan", "Naming Error"))))</f>
        <v>Ryman</v>
      </c>
      <c r="F13" s="24" t="str">
        <f ca="1">IF(OR(Master[[#This Row],[Type]]="checklist", Master[[#This Row],[Type]]="checklist-flat"), Master[[#This Row],[Name]], F12)</f>
        <v>C - R - Manhole Installation</v>
      </c>
      <c r="G13" s="3" t="s">
        <v>49</v>
      </c>
      <c r="H13" s="24" t="s">
        <v>1263</v>
      </c>
      <c r="I13" s="3"/>
      <c r="J13" s="21">
        <f ca="1">_xlfn.XLOOKUP(Master[[#This Row],[Checklist]],Ref!A:A,Ref!B:B)*1000</f>
        <v>3000</v>
      </c>
      <c r="K13" s="21">
        <f ca="1">COUNTIF($J$2:Master[[#This Row],[ChecklistID]],Master[[#This Row],[ChecklistID]])-1</f>
        <v>1</v>
      </c>
      <c r="L13" s="23" t="s">
        <v>6</v>
      </c>
    </row>
    <row r="14" spans="1:12" ht="15.75">
      <c r="A14" s="23">
        <f t="shared" si="0"/>
        <v>13</v>
      </c>
      <c r="B14" s="21">
        <f ca="1">Master[[#This Row],[ChecklistID]]+Master[[#This Row],[Checklist Order]]</f>
        <v>3002</v>
      </c>
      <c r="C14" s="22"/>
      <c r="D14" s="3" t="str" cm="1">
        <f t="array" aca="1" ref="D14" ca="1">_xlfn.SWITCH(MID(Master[[#This Row],[Checklist]],1,4),"C - ","Civil","F - ","Foundation","ST -","Structure","FC -","Façade","PRE ","Pre-Line","POST","Post-Line","H - ","Handover","S - ","Services","CST ","Completion Docs", "I - ", "Inspection")</f>
        <v>Civil</v>
      </c>
      <c r="E14" s="23" t="str">
        <f ca="1">IF(NOT(ISERROR(SEARCH("- S -", Master[[#This Row],[Checklist]]))), "Subcontractor",IF(NOT(ISERROR(SEARCH("- R -", Master[[#This Row],[Checklist]]))), "Ryman",IF(NOT(ISERROR(SEARCH("- C -", Master[[#This Row],[Checklist]]))), "Consultant",IF(NOT(ISERROR(SEARCH("- I -", Master[[#This Row],[Checklist]]))),  "Inspection Test Plan", "Naming Error"))))</f>
        <v>Ryman</v>
      </c>
      <c r="F14" s="24" t="str">
        <f ca="1">IF(OR(Master[[#This Row],[Type]]="checklist", Master[[#This Row],[Type]]="checklist-flat"), Master[[#This Row],[Name]], F13)</f>
        <v>C - R - Manhole Installation</v>
      </c>
      <c r="G14" s="3" t="s">
        <v>49</v>
      </c>
      <c r="H14" s="24" t="s">
        <v>1264</v>
      </c>
      <c r="I14" s="3"/>
      <c r="J14" s="21">
        <f ca="1">_xlfn.XLOOKUP(Master[[#This Row],[Checklist]],Ref!A:A,Ref!B:B)*1000</f>
        <v>3000</v>
      </c>
      <c r="K14" s="21">
        <f ca="1">COUNTIF($J$2:Master[[#This Row],[ChecklistID]],Master[[#This Row],[ChecklistID]])-1</f>
        <v>2</v>
      </c>
      <c r="L14" s="23" t="s">
        <v>6</v>
      </c>
    </row>
    <row r="15" spans="1:12" ht="15.75">
      <c r="A15" s="23">
        <f t="shared" si="0"/>
        <v>14</v>
      </c>
      <c r="B15" s="21">
        <f ca="1">Master[[#This Row],[ChecklistID]]+Master[[#This Row],[Checklist Order]]</f>
        <v>3003</v>
      </c>
      <c r="C15" s="22"/>
      <c r="D15" s="3" t="str" cm="1">
        <f t="array" aca="1" ref="D15" ca="1">_xlfn.SWITCH(MID(Master[[#This Row],[Checklist]],1,4),"C - ","Civil","F - ","Foundation","ST -","Structure","FC -","Façade","PRE ","Pre-Line","POST","Post-Line","H - ","Handover","S - ","Services","CST ","Completion Docs", "I - ", "Inspection")</f>
        <v>Civil</v>
      </c>
      <c r="E15" s="23" t="str">
        <f ca="1">IF(NOT(ISERROR(SEARCH("- S -", Master[[#This Row],[Checklist]]))), "Subcontractor",IF(NOT(ISERROR(SEARCH("- R -", Master[[#This Row],[Checklist]]))), "Ryman",IF(NOT(ISERROR(SEARCH("- C -", Master[[#This Row],[Checklist]]))), "Consultant",IF(NOT(ISERROR(SEARCH("- I -", Master[[#This Row],[Checklist]]))),  "Inspection Test Plan", "Naming Error"))))</f>
        <v>Ryman</v>
      </c>
      <c r="F15" s="24" t="str">
        <f ca="1">IF(OR(Master[[#This Row],[Type]]="checklist", Master[[#This Row],[Type]]="checklist-flat"), Master[[#This Row],[Name]], F14)</f>
        <v>C - R - Manhole Installation</v>
      </c>
      <c r="G15" s="3" t="s">
        <v>58</v>
      </c>
      <c r="H15" s="24" t="s">
        <v>306</v>
      </c>
      <c r="I15" s="3"/>
      <c r="J15" s="21">
        <f ca="1">_xlfn.XLOOKUP(Master[[#This Row],[Checklist]],Ref!A:A,Ref!B:B)*1000</f>
        <v>3000</v>
      </c>
      <c r="K15" s="21">
        <f ca="1">COUNTIF($J$2:Master[[#This Row],[ChecklistID]],Master[[#This Row],[ChecklistID]])-1</f>
        <v>3</v>
      </c>
      <c r="L15" s="23" t="s">
        <v>6</v>
      </c>
    </row>
    <row r="16" spans="1:12" ht="15.75">
      <c r="A16" s="23">
        <f t="shared" si="0"/>
        <v>15</v>
      </c>
      <c r="B16" s="21">
        <f ca="1">Master[[#This Row],[ChecklistID]]+Master[[#This Row],[Checklist Order]]</f>
        <v>3004</v>
      </c>
      <c r="C16" s="22"/>
      <c r="D16" s="3" t="str" cm="1">
        <f t="array" aca="1" ref="D16" ca="1">_xlfn.SWITCH(MID(Master[[#This Row],[Checklist]],1,4),"C - ","Civil","F - ","Foundation","ST -","Structure","FC -","Façade","PRE ","Pre-Line","POST","Post-Line","H - ","Handover","S - ","Services","CST ","Completion Docs", "I - ", "Inspection")</f>
        <v>Civil</v>
      </c>
      <c r="E16" s="23" t="str">
        <f ca="1">IF(NOT(ISERROR(SEARCH("- S -", Master[[#This Row],[Checklist]]))), "Subcontractor",IF(NOT(ISERROR(SEARCH("- R -", Master[[#This Row],[Checklist]]))), "Ryman",IF(NOT(ISERROR(SEARCH("- C -", Master[[#This Row],[Checklist]]))), "Consultant",IF(NOT(ISERROR(SEARCH("- I -", Master[[#This Row],[Checklist]]))),  "Inspection Test Plan", "Naming Error"))))</f>
        <v>Ryman</v>
      </c>
      <c r="F16" s="24" t="str">
        <f ca="1">IF(OR(Master[[#This Row],[Type]]="checklist", Master[[#This Row],[Type]]="checklist-flat"), Master[[#This Row],[Name]], F15)</f>
        <v>C - R - Manhole Installation</v>
      </c>
      <c r="G16" s="3" t="s">
        <v>49</v>
      </c>
      <c r="H16" s="24" t="s">
        <v>1267</v>
      </c>
      <c r="I16" s="3"/>
      <c r="J16" s="21">
        <f ca="1">_xlfn.XLOOKUP(Master[[#This Row],[Checklist]],Ref!A:A,Ref!B:B)*1000</f>
        <v>3000</v>
      </c>
      <c r="K16" s="21">
        <f ca="1">COUNTIF($J$2:Master[[#This Row],[ChecklistID]],Master[[#This Row],[ChecklistID]])-1</f>
        <v>4</v>
      </c>
      <c r="L16" s="23" t="s">
        <v>6</v>
      </c>
    </row>
    <row r="17" spans="1:12" ht="15.75">
      <c r="A17" s="23">
        <f t="shared" si="0"/>
        <v>16</v>
      </c>
      <c r="B17" s="21">
        <f ca="1">Master[[#This Row],[ChecklistID]]+Master[[#This Row],[Checklist Order]]</f>
        <v>4000</v>
      </c>
      <c r="C17" s="22"/>
      <c r="D17" s="3" t="str" cm="1">
        <f t="array" aca="1" ref="D17" ca="1">_xlfn.SWITCH(MID(Master[[#This Row],[Checklist]],1,4),"C - ","Civil","F - ","Foundation","ST -","Structure","FC -","Façade","PRE ","Pre-Line","POST","Post-Line","H - ","Handover","S - ","Services","CST ","Completion Docs", "I - ", "Inspection")</f>
        <v>Civil</v>
      </c>
      <c r="E17" s="23" t="str">
        <f ca="1">IF(NOT(ISERROR(SEARCH("- S -", Master[[#This Row],[Checklist]]))), "Subcontractor",IF(NOT(ISERROR(SEARCH("- R -", Master[[#This Row],[Checklist]]))), "Ryman",IF(NOT(ISERROR(SEARCH("- C -", Master[[#This Row],[Checklist]]))), "Consultant",IF(NOT(ISERROR(SEARCH("- I -", Master[[#This Row],[Checklist]]))),  "Inspection Test Plan", "Naming Error"))))</f>
        <v>Ryman</v>
      </c>
      <c r="F17" s="24" t="str">
        <f ca="1">IF(OR(Master[[#This Row],[Type]]="checklist", Master[[#This Row],[Type]]="checklist-flat"), Master[[#This Row],[Name]], F16)</f>
        <v>C - R - Pipe Laying - Stormwater</v>
      </c>
      <c r="G17" s="3" t="s">
        <v>48</v>
      </c>
      <c r="H17" s="24" t="s">
        <v>1268</v>
      </c>
      <c r="I17" s="3"/>
      <c r="J17" s="21">
        <f ca="1">_xlfn.XLOOKUP(Master[[#This Row],[Checklist]],Ref!A:A,Ref!B:B)*1000</f>
        <v>4000</v>
      </c>
      <c r="K17" s="21">
        <f ca="1">COUNTIF($J$2:Master[[#This Row],[ChecklistID]],Master[[#This Row],[ChecklistID]])-1</f>
        <v>0</v>
      </c>
      <c r="L17" s="23" t="s">
        <v>6</v>
      </c>
    </row>
    <row r="18" spans="1:12" ht="15.75">
      <c r="A18" s="23">
        <f t="shared" si="0"/>
        <v>17</v>
      </c>
      <c r="B18" s="21">
        <f ca="1">Master[[#This Row],[ChecklistID]]+Master[[#This Row],[Checklist Order]]</f>
        <v>4001</v>
      </c>
      <c r="C18" s="22"/>
      <c r="D18" s="3" t="str" cm="1">
        <f t="array" aca="1" ref="D18" ca="1">_xlfn.SWITCH(MID(Master[[#This Row],[Checklist]],1,4),"C - ","Civil","F - ","Foundation","ST -","Structure","FC -","Façade","PRE ","Pre-Line","POST","Post-Line","H - ","Handover","S - ","Services","CST ","Completion Docs", "I - ", "Inspection")</f>
        <v>Civil</v>
      </c>
      <c r="E18" s="23" t="str">
        <f ca="1">IF(NOT(ISERROR(SEARCH("- S -", Master[[#This Row],[Checklist]]))), "Subcontractor",IF(NOT(ISERROR(SEARCH("- R -", Master[[#This Row],[Checklist]]))), "Ryman",IF(NOT(ISERROR(SEARCH("- C -", Master[[#This Row],[Checklist]]))), "Consultant",IF(NOT(ISERROR(SEARCH("- I -", Master[[#This Row],[Checklist]]))),  "Inspection Test Plan", "Naming Error"))))</f>
        <v>Ryman</v>
      </c>
      <c r="F18" s="24" t="str">
        <f ca="1">IF(OR(Master[[#This Row],[Type]]="checklist", Master[[#This Row],[Type]]="checklist-flat"), Master[[#This Row],[Name]], F17)</f>
        <v>C - R - Pipe Laying - Stormwater</v>
      </c>
      <c r="G18" s="3" t="s">
        <v>49</v>
      </c>
      <c r="H18" s="24" t="s">
        <v>1263</v>
      </c>
      <c r="I18" s="3"/>
      <c r="J18" s="21">
        <f ca="1">_xlfn.XLOOKUP(Master[[#This Row],[Checklist]],Ref!A:A,Ref!B:B)*1000</f>
        <v>4000</v>
      </c>
      <c r="K18" s="21">
        <f ca="1">COUNTIF($J$2:Master[[#This Row],[ChecklistID]],Master[[#This Row],[ChecklistID]])-1</f>
        <v>1</v>
      </c>
      <c r="L18" s="23" t="s">
        <v>6</v>
      </c>
    </row>
    <row r="19" spans="1:12" ht="15.75">
      <c r="A19" s="23">
        <f t="shared" si="0"/>
        <v>18</v>
      </c>
      <c r="B19" s="21">
        <f ca="1">Master[[#This Row],[ChecklistID]]+Master[[#This Row],[Checklist Order]]</f>
        <v>4002</v>
      </c>
      <c r="C19" s="22"/>
      <c r="D19" s="3" t="str" cm="1">
        <f t="array" aca="1" ref="D19" ca="1">_xlfn.SWITCH(MID(Master[[#This Row],[Checklist]],1,4),"C - ","Civil","F - ","Foundation","ST -","Structure","FC -","Façade","PRE ","Pre-Line","POST","Post-Line","H - ","Handover","S - ","Services","CST ","Completion Docs", "I - ", "Inspection")</f>
        <v>Civil</v>
      </c>
      <c r="E19" s="23" t="str">
        <f ca="1">IF(NOT(ISERROR(SEARCH("- S -", Master[[#This Row],[Checklist]]))), "Subcontractor",IF(NOT(ISERROR(SEARCH("- R -", Master[[#This Row],[Checklist]]))), "Ryman",IF(NOT(ISERROR(SEARCH("- C -", Master[[#This Row],[Checklist]]))), "Consultant",IF(NOT(ISERROR(SEARCH("- I -", Master[[#This Row],[Checklist]]))),  "Inspection Test Plan", "Naming Error"))))</f>
        <v>Ryman</v>
      </c>
      <c r="F19" s="24" t="str">
        <f ca="1">IF(OR(Master[[#This Row],[Type]]="checklist", Master[[#This Row],[Type]]="checklist-flat"), Master[[#This Row],[Name]], F18)</f>
        <v>C - R - Pipe Laying - Stormwater</v>
      </c>
      <c r="G19" s="3" t="s">
        <v>49</v>
      </c>
      <c r="H19" s="24" t="s">
        <v>1264</v>
      </c>
      <c r="I19" s="3"/>
      <c r="J19" s="21">
        <f ca="1">_xlfn.XLOOKUP(Master[[#This Row],[Checklist]],Ref!A:A,Ref!B:B)*1000</f>
        <v>4000</v>
      </c>
      <c r="K19" s="21">
        <f ca="1">COUNTIF($J$2:Master[[#This Row],[ChecklistID]],Master[[#This Row],[ChecklistID]])-1</f>
        <v>2</v>
      </c>
      <c r="L19" s="23" t="s">
        <v>6</v>
      </c>
    </row>
    <row r="20" spans="1:12" ht="15.75">
      <c r="A20" s="23">
        <f t="shared" si="0"/>
        <v>19</v>
      </c>
      <c r="B20" s="21">
        <f ca="1">Master[[#This Row],[ChecklistID]]+Master[[#This Row],[Checklist Order]]</f>
        <v>4003</v>
      </c>
      <c r="C20" s="22"/>
      <c r="D20" s="3" t="str" cm="1">
        <f t="array" aca="1" ref="D20" ca="1">_xlfn.SWITCH(MID(Master[[#This Row],[Checklist]],1,4),"C - ","Civil","F - ","Foundation","ST -","Structure","FC -","Façade","PRE ","Pre-Line","POST","Post-Line","H - ","Handover","S - ","Services","CST ","Completion Docs", "I - ", "Inspection")</f>
        <v>Civil</v>
      </c>
      <c r="E20" s="23" t="str">
        <f ca="1">IF(NOT(ISERROR(SEARCH("- S -", Master[[#This Row],[Checklist]]))), "Subcontractor",IF(NOT(ISERROR(SEARCH("- R -", Master[[#This Row],[Checklist]]))), "Ryman",IF(NOT(ISERROR(SEARCH("- C -", Master[[#This Row],[Checklist]]))), "Consultant",IF(NOT(ISERROR(SEARCH("- I -", Master[[#This Row],[Checklist]]))),  "Inspection Test Plan", "Naming Error"))))</f>
        <v>Ryman</v>
      </c>
      <c r="F20" s="24" t="str">
        <f ca="1">IF(OR(Master[[#This Row],[Type]]="checklist", Master[[#This Row],[Type]]="checklist-flat"), Master[[#This Row],[Name]], F19)</f>
        <v>C - R - Pipe Laying - Stormwater</v>
      </c>
      <c r="G20" s="3" t="s">
        <v>58</v>
      </c>
      <c r="H20" s="24" t="s">
        <v>306</v>
      </c>
      <c r="I20" s="3"/>
      <c r="J20" s="21">
        <f ca="1">_xlfn.XLOOKUP(Master[[#This Row],[Checklist]],Ref!A:A,Ref!B:B)*1000</f>
        <v>4000</v>
      </c>
      <c r="K20" s="21">
        <f ca="1">COUNTIF($J$2:Master[[#This Row],[ChecklistID]],Master[[#This Row],[ChecklistID]])-1</f>
        <v>3</v>
      </c>
      <c r="L20" s="23" t="s">
        <v>6</v>
      </c>
    </row>
    <row r="21" spans="1:12" ht="15.75">
      <c r="A21" s="23">
        <f t="shared" si="0"/>
        <v>20</v>
      </c>
      <c r="B21" s="21">
        <f ca="1">Master[[#This Row],[ChecklistID]]+Master[[#This Row],[Checklist Order]]</f>
        <v>4004</v>
      </c>
      <c r="C21" s="22"/>
      <c r="D21" s="3" t="str" cm="1">
        <f t="array" aca="1" ref="D21" ca="1">_xlfn.SWITCH(MID(Master[[#This Row],[Checklist]],1,4),"C - ","Civil","F - ","Foundation","ST -","Structure","FC -","Façade","PRE ","Pre-Line","POST","Post-Line","H - ","Handover","S - ","Services","CST ","Completion Docs", "I - ", "Inspection")</f>
        <v>Civil</v>
      </c>
      <c r="E21" s="23" t="str">
        <f ca="1">IF(NOT(ISERROR(SEARCH("- S -", Master[[#This Row],[Checklist]]))), "Subcontractor",IF(NOT(ISERROR(SEARCH("- R -", Master[[#This Row],[Checklist]]))), "Ryman",IF(NOT(ISERROR(SEARCH("- C -", Master[[#This Row],[Checklist]]))), "Consultant",IF(NOT(ISERROR(SEARCH("- I -", Master[[#This Row],[Checklist]]))),  "Inspection Test Plan", "Naming Error"))))</f>
        <v>Ryman</v>
      </c>
      <c r="F21" s="24" t="str">
        <f ca="1">IF(OR(Master[[#This Row],[Type]]="checklist", Master[[#This Row],[Type]]="checklist-flat"), Master[[#This Row],[Name]], F20)</f>
        <v>C - R - Pipe Laying - Stormwater</v>
      </c>
      <c r="G21" s="3" t="s">
        <v>49</v>
      </c>
      <c r="H21" s="24" t="s">
        <v>1269</v>
      </c>
      <c r="I21" s="3"/>
      <c r="J21" s="21">
        <f ca="1">_xlfn.XLOOKUP(Master[[#This Row],[Checklist]],Ref!A:A,Ref!B:B)*1000</f>
        <v>4000</v>
      </c>
      <c r="K21" s="21">
        <f ca="1">COUNTIF($J$2:Master[[#This Row],[ChecklistID]],Master[[#This Row],[ChecklistID]])-1</f>
        <v>4</v>
      </c>
      <c r="L21" s="23" t="s">
        <v>6</v>
      </c>
    </row>
    <row r="22" spans="1:12" ht="15.75">
      <c r="A22" s="23">
        <f t="shared" si="0"/>
        <v>21</v>
      </c>
      <c r="B22" s="21">
        <f ca="1">Master[[#This Row],[ChecklistID]]+Master[[#This Row],[Checklist Order]]</f>
        <v>5000</v>
      </c>
      <c r="C22" s="22"/>
      <c r="D22" s="3" t="str" cm="1">
        <f t="array" aca="1" ref="D22" ca="1">_xlfn.SWITCH(MID(Master[[#This Row],[Checklist]],1,4),"C - ","Civil","F - ","Foundation","ST -","Structure","FC -","Façade","PRE ","Pre-Line","POST","Post-Line","H - ","Handover","S - ","Services","CST ","Completion Docs", "I - ", "Inspection")</f>
        <v>Civil</v>
      </c>
      <c r="E22" s="23" t="str">
        <f ca="1">IF(NOT(ISERROR(SEARCH("- S -", Master[[#This Row],[Checklist]]))), "Subcontractor",IF(NOT(ISERROR(SEARCH("- R -", Master[[#This Row],[Checklist]]))), "Ryman",IF(NOT(ISERROR(SEARCH("- C -", Master[[#This Row],[Checklist]]))), "Consultant",IF(NOT(ISERROR(SEARCH("- I -", Master[[#This Row],[Checklist]]))),  "Inspection Test Plan", "Naming Error"))))</f>
        <v>Ryman</v>
      </c>
      <c r="F22" s="24" t="str">
        <f ca="1">IF(OR(Master[[#This Row],[Type]]="checklist", Master[[#This Row],[Type]]="checklist-flat"), Master[[#This Row],[Name]], F21)</f>
        <v>C - R - Pipe Laying - Wastewater</v>
      </c>
      <c r="G22" s="3" t="s">
        <v>48</v>
      </c>
      <c r="H22" s="24" t="s">
        <v>1270</v>
      </c>
      <c r="I22" s="3"/>
      <c r="J22" s="21">
        <f ca="1">_xlfn.XLOOKUP(Master[[#This Row],[Checklist]],Ref!A:A,Ref!B:B)*1000</f>
        <v>5000</v>
      </c>
      <c r="K22" s="21">
        <f ca="1">COUNTIF($J$2:Master[[#This Row],[ChecklistID]],Master[[#This Row],[ChecklistID]])-1</f>
        <v>0</v>
      </c>
      <c r="L22" s="23" t="s">
        <v>6</v>
      </c>
    </row>
    <row r="23" spans="1:12" ht="15.75">
      <c r="A23" s="23">
        <f t="shared" si="0"/>
        <v>22</v>
      </c>
      <c r="B23" s="21">
        <f ca="1">Master[[#This Row],[ChecklistID]]+Master[[#This Row],[Checklist Order]]</f>
        <v>5001</v>
      </c>
      <c r="C23" s="22"/>
      <c r="D23" s="3" t="str" cm="1">
        <f t="array" aca="1" ref="D23" ca="1">_xlfn.SWITCH(MID(Master[[#This Row],[Checklist]],1,4),"C - ","Civil","F - ","Foundation","ST -","Structure","FC -","Façade","PRE ","Pre-Line","POST","Post-Line","H - ","Handover","S - ","Services","CST ","Completion Docs", "I - ", "Inspection")</f>
        <v>Civil</v>
      </c>
      <c r="E23" s="23" t="str">
        <f ca="1">IF(NOT(ISERROR(SEARCH("- S -", Master[[#This Row],[Checklist]]))), "Subcontractor",IF(NOT(ISERROR(SEARCH("- R -", Master[[#This Row],[Checklist]]))), "Ryman",IF(NOT(ISERROR(SEARCH("- C -", Master[[#This Row],[Checklist]]))), "Consultant",IF(NOT(ISERROR(SEARCH("- I -", Master[[#This Row],[Checklist]]))),  "Inspection Test Plan", "Naming Error"))))</f>
        <v>Ryman</v>
      </c>
      <c r="F23" s="24" t="str">
        <f ca="1">IF(OR(Master[[#This Row],[Type]]="checklist", Master[[#This Row],[Type]]="checklist-flat"), Master[[#This Row],[Name]], F22)</f>
        <v>C - R - Pipe Laying - Wastewater</v>
      </c>
      <c r="G23" s="3" t="s">
        <v>49</v>
      </c>
      <c r="H23" s="24" t="s">
        <v>1263</v>
      </c>
      <c r="I23" s="3"/>
      <c r="J23" s="21">
        <f ca="1">_xlfn.XLOOKUP(Master[[#This Row],[Checklist]],Ref!A:A,Ref!B:B)*1000</f>
        <v>5000</v>
      </c>
      <c r="K23" s="21">
        <f ca="1">COUNTIF($J$2:Master[[#This Row],[ChecklistID]],Master[[#This Row],[ChecklistID]])-1</f>
        <v>1</v>
      </c>
      <c r="L23" s="23" t="s">
        <v>6</v>
      </c>
    </row>
    <row r="24" spans="1:12" ht="15.75">
      <c r="A24" s="23">
        <f t="shared" si="0"/>
        <v>23</v>
      </c>
      <c r="B24" s="21">
        <f ca="1">Master[[#This Row],[ChecklistID]]+Master[[#This Row],[Checklist Order]]</f>
        <v>5002</v>
      </c>
      <c r="C24" s="22"/>
      <c r="D24" s="3" t="str" cm="1">
        <f t="array" aca="1" ref="D24" ca="1">_xlfn.SWITCH(MID(Master[[#This Row],[Checklist]],1,4),"C - ","Civil","F - ","Foundation","ST -","Structure","FC -","Façade","PRE ","Pre-Line","POST","Post-Line","H - ","Handover","S - ","Services","CST ","Completion Docs", "I - ", "Inspection")</f>
        <v>Civil</v>
      </c>
      <c r="E24" s="23" t="str">
        <f ca="1">IF(NOT(ISERROR(SEARCH("- S -", Master[[#This Row],[Checklist]]))), "Subcontractor",IF(NOT(ISERROR(SEARCH("- R -", Master[[#This Row],[Checklist]]))), "Ryman",IF(NOT(ISERROR(SEARCH("- C -", Master[[#This Row],[Checklist]]))), "Consultant",IF(NOT(ISERROR(SEARCH("- I -", Master[[#This Row],[Checklist]]))),  "Inspection Test Plan", "Naming Error"))))</f>
        <v>Ryman</v>
      </c>
      <c r="F24" s="24" t="str">
        <f ca="1">IF(OR(Master[[#This Row],[Type]]="checklist", Master[[#This Row],[Type]]="checklist-flat"), Master[[#This Row],[Name]], F23)</f>
        <v>C - R - Pipe Laying - Wastewater</v>
      </c>
      <c r="G24" s="3" t="s">
        <v>49</v>
      </c>
      <c r="H24" s="24" t="s">
        <v>1264</v>
      </c>
      <c r="I24" s="3"/>
      <c r="J24" s="21">
        <f ca="1">_xlfn.XLOOKUP(Master[[#This Row],[Checklist]],Ref!A:A,Ref!B:B)*1000</f>
        <v>5000</v>
      </c>
      <c r="K24" s="21">
        <f ca="1">COUNTIF($J$2:Master[[#This Row],[ChecklistID]],Master[[#This Row],[ChecklistID]])-1</f>
        <v>2</v>
      </c>
      <c r="L24" s="23" t="s">
        <v>6</v>
      </c>
    </row>
    <row r="25" spans="1:12" ht="15.75">
      <c r="A25" s="23">
        <f t="shared" si="0"/>
        <v>24</v>
      </c>
      <c r="B25" s="21">
        <f ca="1">Master[[#This Row],[ChecklistID]]+Master[[#This Row],[Checklist Order]]</f>
        <v>5003</v>
      </c>
      <c r="C25" s="22"/>
      <c r="D25" s="3" t="str" cm="1">
        <f t="array" aca="1" ref="D25" ca="1">_xlfn.SWITCH(MID(Master[[#This Row],[Checklist]],1,4),"C - ","Civil","F - ","Foundation","ST -","Structure","FC -","Façade","PRE ","Pre-Line","POST","Post-Line","H - ","Handover","S - ","Services","CST ","Completion Docs", "I - ", "Inspection")</f>
        <v>Civil</v>
      </c>
      <c r="E25" s="23" t="str">
        <f ca="1">IF(NOT(ISERROR(SEARCH("- S -", Master[[#This Row],[Checklist]]))), "Subcontractor",IF(NOT(ISERROR(SEARCH("- R -", Master[[#This Row],[Checklist]]))), "Ryman",IF(NOT(ISERROR(SEARCH("- C -", Master[[#This Row],[Checklist]]))), "Consultant",IF(NOT(ISERROR(SEARCH("- I -", Master[[#This Row],[Checklist]]))),  "Inspection Test Plan", "Naming Error"))))</f>
        <v>Ryman</v>
      </c>
      <c r="F25" s="24" t="str">
        <f ca="1">IF(OR(Master[[#This Row],[Type]]="checklist", Master[[#This Row],[Type]]="checklist-flat"), Master[[#This Row],[Name]], F24)</f>
        <v>C - R - Pipe Laying - Wastewater</v>
      </c>
      <c r="G25" s="3" t="s">
        <v>58</v>
      </c>
      <c r="H25" s="24" t="s">
        <v>306</v>
      </c>
      <c r="I25" s="3"/>
      <c r="J25" s="21">
        <f ca="1">_xlfn.XLOOKUP(Master[[#This Row],[Checklist]],Ref!A:A,Ref!B:B)*1000</f>
        <v>5000</v>
      </c>
      <c r="K25" s="21">
        <f ca="1">COUNTIF($J$2:Master[[#This Row],[ChecklistID]],Master[[#This Row],[ChecklistID]])-1</f>
        <v>3</v>
      </c>
      <c r="L25" s="23" t="s">
        <v>6</v>
      </c>
    </row>
    <row r="26" spans="1:12" ht="15.75">
      <c r="A26" s="23">
        <f t="shared" si="0"/>
        <v>25</v>
      </c>
      <c r="B26" s="21">
        <f ca="1">Master[[#This Row],[ChecklistID]]+Master[[#This Row],[Checklist Order]]</f>
        <v>5004</v>
      </c>
      <c r="C26" s="22"/>
      <c r="D26" s="3" t="str" cm="1">
        <f t="array" aca="1" ref="D26" ca="1">_xlfn.SWITCH(MID(Master[[#This Row],[Checklist]],1,4),"C - ","Civil","F - ","Foundation","ST -","Structure","FC -","Façade","PRE ","Pre-Line","POST","Post-Line","H - ","Handover","S - ","Services","CST ","Completion Docs", "I - ", "Inspection")</f>
        <v>Civil</v>
      </c>
      <c r="E26" s="23" t="str">
        <f ca="1">IF(NOT(ISERROR(SEARCH("- S -", Master[[#This Row],[Checklist]]))), "Subcontractor",IF(NOT(ISERROR(SEARCH("- R -", Master[[#This Row],[Checklist]]))), "Ryman",IF(NOT(ISERROR(SEARCH("- C -", Master[[#This Row],[Checklist]]))), "Consultant",IF(NOT(ISERROR(SEARCH("- I -", Master[[#This Row],[Checklist]]))),  "Inspection Test Plan", "Naming Error"))))</f>
        <v>Ryman</v>
      </c>
      <c r="F26" s="24" t="str">
        <f ca="1">IF(OR(Master[[#This Row],[Type]]="checklist", Master[[#This Row],[Type]]="checklist-flat"), Master[[#This Row],[Name]], F25)</f>
        <v>C - R - Pipe Laying - Wastewater</v>
      </c>
      <c r="G26" s="3" t="s">
        <v>49</v>
      </c>
      <c r="H26" s="24" t="s">
        <v>1271</v>
      </c>
      <c r="I26" s="3"/>
      <c r="J26" s="21">
        <f ca="1">_xlfn.XLOOKUP(Master[[#This Row],[Checklist]],Ref!A:A,Ref!B:B)*1000</f>
        <v>5000</v>
      </c>
      <c r="K26" s="21">
        <f ca="1">COUNTIF($J$2:Master[[#This Row],[ChecklistID]],Master[[#This Row],[ChecklistID]])-1</f>
        <v>4</v>
      </c>
      <c r="L26" s="23" t="s">
        <v>6</v>
      </c>
    </row>
    <row r="27" spans="1:12" ht="15.75">
      <c r="A27" s="23">
        <f t="shared" si="0"/>
        <v>26</v>
      </c>
      <c r="B27" s="21">
        <f ca="1">Master[[#This Row],[ChecklistID]]+Master[[#This Row],[Checklist Order]]</f>
        <v>6000</v>
      </c>
      <c r="C27" s="22"/>
      <c r="D27" s="3" t="str" cm="1">
        <f t="array" aca="1" ref="D27" ca="1">_xlfn.SWITCH(MID(Master[[#This Row],[Checklist]],1,4),"C - ","Civil","F - ","Foundation","ST -","Structure","FC -","Façade","PRE ","Pre-Line","POST","Post-Line","H - ","Handover","S - ","Services","CST ","Completion Docs", "I - ", "Inspection")</f>
        <v>Civil</v>
      </c>
      <c r="E27" s="23" t="str">
        <f ca="1">IF(NOT(ISERROR(SEARCH("- S -", Master[[#This Row],[Checklist]]))), "Subcontractor",IF(NOT(ISERROR(SEARCH("- R -", Master[[#This Row],[Checklist]]))), "Ryman",IF(NOT(ISERROR(SEARCH("- C -", Master[[#This Row],[Checklist]]))), "Consultant",IF(NOT(ISERROR(SEARCH("- I -", Master[[#This Row],[Checklist]]))),  "Inspection Test Plan", "Naming Error"))))</f>
        <v>Ryman</v>
      </c>
      <c r="F27" s="24" t="str">
        <f ca="1">IF(OR(Master[[#This Row],[Type]]="checklist", Master[[#This Row],[Type]]="checklist-flat"), Master[[#This Row],[Name]], F26)</f>
        <v>C - R - Service Trenches - Common Service Trenches</v>
      </c>
      <c r="G27" s="3" t="s">
        <v>48</v>
      </c>
      <c r="H27" s="24" t="s">
        <v>1272</v>
      </c>
      <c r="I27" s="3"/>
      <c r="J27" s="21">
        <f ca="1">_xlfn.XLOOKUP(Master[[#This Row],[Checklist]],Ref!A:A,Ref!B:B)*1000</f>
        <v>6000</v>
      </c>
      <c r="K27" s="21">
        <f ca="1">COUNTIF($J$2:Master[[#This Row],[ChecklistID]],Master[[#This Row],[ChecklistID]])-1</f>
        <v>0</v>
      </c>
      <c r="L27" s="23" t="s">
        <v>6</v>
      </c>
    </row>
    <row r="28" spans="1:12" ht="15.75">
      <c r="A28" s="23">
        <f t="shared" si="0"/>
        <v>27</v>
      </c>
      <c r="B28" s="21">
        <f ca="1">Master[[#This Row],[ChecklistID]]+Master[[#This Row],[Checklist Order]]</f>
        <v>6001</v>
      </c>
      <c r="C28" s="22"/>
      <c r="D28" s="3" t="str" cm="1">
        <f t="array" aca="1" ref="D28" ca="1">_xlfn.SWITCH(MID(Master[[#This Row],[Checklist]],1,4),"C - ","Civil","F - ","Foundation","ST -","Structure","FC -","Façade","PRE ","Pre-Line","POST","Post-Line","H - ","Handover","S - ","Services","CST ","Completion Docs", "I - ", "Inspection")</f>
        <v>Civil</v>
      </c>
      <c r="E28" s="23" t="str">
        <f ca="1">IF(NOT(ISERROR(SEARCH("- S -", Master[[#This Row],[Checklist]]))), "Subcontractor",IF(NOT(ISERROR(SEARCH("- R -", Master[[#This Row],[Checklist]]))), "Ryman",IF(NOT(ISERROR(SEARCH("- C -", Master[[#This Row],[Checklist]]))), "Consultant",IF(NOT(ISERROR(SEARCH("- I -", Master[[#This Row],[Checklist]]))),  "Inspection Test Plan", "Naming Error"))))</f>
        <v>Ryman</v>
      </c>
      <c r="F28" s="24" t="str">
        <f ca="1">IF(OR(Master[[#This Row],[Type]]="checklist", Master[[#This Row],[Type]]="checklist-flat"), Master[[#This Row],[Name]], F27)</f>
        <v>C - R - Service Trenches - Common Service Trenches</v>
      </c>
      <c r="G28" s="3" t="s">
        <v>49</v>
      </c>
      <c r="H28" s="24" t="s">
        <v>1263</v>
      </c>
      <c r="I28" s="3"/>
      <c r="J28" s="21">
        <f ca="1">_xlfn.XLOOKUP(Master[[#This Row],[Checklist]],Ref!A:A,Ref!B:B)*1000</f>
        <v>6000</v>
      </c>
      <c r="K28" s="21">
        <f ca="1">COUNTIF($J$2:Master[[#This Row],[ChecklistID]],Master[[#This Row],[ChecklistID]])-1</f>
        <v>1</v>
      </c>
      <c r="L28" s="23" t="s">
        <v>6</v>
      </c>
    </row>
    <row r="29" spans="1:12" ht="15.75">
      <c r="A29" s="23">
        <f t="shared" si="0"/>
        <v>28</v>
      </c>
      <c r="B29" s="21">
        <f ca="1">Master[[#This Row],[ChecklistID]]+Master[[#This Row],[Checklist Order]]</f>
        <v>6002</v>
      </c>
      <c r="C29" s="22"/>
      <c r="D29" s="3" t="str" cm="1">
        <f t="array" aca="1" ref="D29" ca="1">_xlfn.SWITCH(MID(Master[[#This Row],[Checklist]],1,4),"C - ","Civil","F - ","Foundation","ST -","Structure","FC -","Façade","PRE ","Pre-Line","POST","Post-Line","H - ","Handover","S - ","Services","CST ","Completion Docs", "I - ", "Inspection")</f>
        <v>Civil</v>
      </c>
      <c r="E29" s="23" t="str">
        <f ca="1">IF(NOT(ISERROR(SEARCH("- S -", Master[[#This Row],[Checklist]]))), "Subcontractor",IF(NOT(ISERROR(SEARCH("- R -", Master[[#This Row],[Checklist]]))), "Ryman",IF(NOT(ISERROR(SEARCH("- C -", Master[[#This Row],[Checklist]]))), "Consultant",IF(NOT(ISERROR(SEARCH("- I -", Master[[#This Row],[Checklist]]))),  "Inspection Test Plan", "Naming Error"))))</f>
        <v>Ryman</v>
      </c>
      <c r="F29" s="24" t="str">
        <f ca="1">IF(OR(Master[[#This Row],[Type]]="checklist", Master[[#This Row],[Type]]="checklist-flat"), Master[[#This Row],[Name]], F28)</f>
        <v>C - R - Service Trenches - Common Service Trenches</v>
      </c>
      <c r="G29" s="3" t="s">
        <v>49</v>
      </c>
      <c r="H29" s="24" t="s">
        <v>1264</v>
      </c>
      <c r="I29" s="3"/>
      <c r="J29" s="21">
        <f ca="1">_xlfn.XLOOKUP(Master[[#This Row],[Checklist]],Ref!A:A,Ref!B:B)*1000</f>
        <v>6000</v>
      </c>
      <c r="K29" s="21">
        <f ca="1">COUNTIF($J$2:Master[[#This Row],[ChecklistID]],Master[[#This Row],[ChecklistID]])-1</f>
        <v>2</v>
      </c>
      <c r="L29" s="23" t="s">
        <v>6</v>
      </c>
    </row>
    <row r="30" spans="1:12" ht="15.75">
      <c r="A30" s="23">
        <f t="shared" si="0"/>
        <v>29</v>
      </c>
      <c r="B30" s="21">
        <f ca="1">Master[[#This Row],[ChecklistID]]+Master[[#This Row],[Checklist Order]]</f>
        <v>6003</v>
      </c>
      <c r="C30" s="22"/>
      <c r="D30" s="3" t="str" cm="1">
        <f t="array" aca="1" ref="D30" ca="1">_xlfn.SWITCH(MID(Master[[#This Row],[Checklist]],1,4),"C - ","Civil","F - ","Foundation","ST -","Structure","FC -","Façade","PRE ","Pre-Line","POST","Post-Line","H - ","Handover","S - ","Services","CST ","Completion Docs", "I - ", "Inspection")</f>
        <v>Civil</v>
      </c>
      <c r="E30" s="23" t="str">
        <f ca="1">IF(NOT(ISERROR(SEARCH("- S -", Master[[#This Row],[Checklist]]))), "Subcontractor",IF(NOT(ISERROR(SEARCH("- R -", Master[[#This Row],[Checklist]]))), "Ryman",IF(NOT(ISERROR(SEARCH("- C -", Master[[#This Row],[Checklist]]))), "Consultant",IF(NOT(ISERROR(SEARCH("- I -", Master[[#This Row],[Checklist]]))),  "Inspection Test Plan", "Naming Error"))))</f>
        <v>Ryman</v>
      </c>
      <c r="F30" s="24" t="str">
        <f ca="1">IF(OR(Master[[#This Row],[Type]]="checklist", Master[[#This Row],[Type]]="checklist-flat"), Master[[#This Row],[Name]], F29)</f>
        <v>C - R - Service Trenches - Common Service Trenches</v>
      </c>
      <c r="G30" s="3" t="s">
        <v>58</v>
      </c>
      <c r="H30" s="24" t="s">
        <v>306</v>
      </c>
      <c r="I30" s="3"/>
      <c r="J30" s="21">
        <f ca="1">_xlfn.XLOOKUP(Master[[#This Row],[Checklist]],Ref!A:A,Ref!B:B)*1000</f>
        <v>6000</v>
      </c>
      <c r="K30" s="21">
        <f ca="1">COUNTIF($J$2:Master[[#This Row],[ChecklistID]],Master[[#This Row],[ChecklistID]])-1</f>
        <v>3</v>
      </c>
      <c r="L30" s="23" t="s">
        <v>6</v>
      </c>
    </row>
    <row r="31" spans="1:12" ht="15.75">
      <c r="A31" s="23">
        <f t="shared" si="0"/>
        <v>30</v>
      </c>
      <c r="B31" s="21">
        <f ca="1">Master[[#This Row],[ChecklistID]]+Master[[#This Row],[Checklist Order]]</f>
        <v>6004</v>
      </c>
      <c r="C31" s="22"/>
      <c r="D31" s="3" t="str" cm="1">
        <f t="array" aca="1" ref="D31" ca="1">_xlfn.SWITCH(MID(Master[[#This Row],[Checklist]],1,4),"C - ","Civil","F - ","Foundation","ST -","Structure","FC -","Façade","PRE ","Pre-Line","POST","Post-Line","H - ","Handover","S - ","Services","CST ","Completion Docs", "I - ", "Inspection")</f>
        <v>Civil</v>
      </c>
      <c r="E31" s="23" t="str">
        <f ca="1">IF(NOT(ISERROR(SEARCH("- S -", Master[[#This Row],[Checklist]]))), "Subcontractor",IF(NOT(ISERROR(SEARCH("- R -", Master[[#This Row],[Checklist]]))), "Ryman",IF(NOT(ISERROR(SEARCH("- C -", Master[[#This Row],[Checklist]]))), "Consultant",IF(NOT(ISERROR(SEARCH("- I -", Master[[#This Row],[Checklist]]))),  "Inspection Test Plan", "Naming Error"))))</f>
        <v>Ryman</v>
      </c>
      <c r="F31" s="24" t="str">
        <f ca="1">IF(OR(Master[[#This Row],[Type]]="checklist", Master[[#This Row],[Type]]="checklist-flat"), Master[[#This Row],[Name]], F30)</f>
        <v>C - R - Service Trenches - Common Service Trenches</v>
      </c>
      <c r="G31" s="3" t="s">
        <v>49</v>
      </c>
      <c r="H31" s="24" t="s">
        <v>1273</v>
      </c>
      <c r="I31" s="3"/>
      <c r="J31" s="21">
        <f ca="1">_xlfn.XLOOKUP(Master[[#This Row],[Checklist]],Ref!A:A,Ref!B:B)*1000</f>
        <v>6000</v>
      </c>
      <c r="K31" s="21">
        <f ca="1">COUNTIF($J$2:Master[[#This Row],[ChecklistID]],Master[[#This Row],[ChecklistID]])-1</f>
        <v>4</v>
      </c>
      <c r="L31" s="23" t="s">
        <v>6</v>
      </c>
    </row>
    <row r="32" spans="1:12" ht="15.75">
      <c r="A32" s="23">
        <f t="shared" si="0"/>
        <v>31</v>
      </c>
      <c r="B32" s="21">
        <f ca="1">Master[[#This Row],[ChecklistID]]+Master[[#This Row],[Checklist Order]]</f>
        <v>7000</v>
      </c>
      <c r="C32" s="22"/>
      <c r="D32" s="3" t="str" cm="1">
        <f t="array" aca="1" ref="D32" ca="1">_xlfn.SWITCH(MID(Master[[#This Row],[Checklist]],1,4),"C - ","Civil","F - ","Foundation","ST -","Structure","FC -","Façade","PRE ","Pre-Line","POST","Post-Line","H - ","Handover","S - ","Services","CST ","Completion Docs", "I - ", "Inspection")</f>
        <v>Civil</v>
      </c>
      <c r="E32" s="23" t="str">
        <f ca="1">IF(NOT(ISERROR(SEARCH("- S -", Master[[#This Row],[Checklist]]))), "Subcontractor",IF(NOT(ISERROR(SEARCH("- R -", Master[[#This Row],[Checklist]]))), "Ryman",IF(NOT(ISERROR(SEARCH("- C -", Master[[#This Row],[Checklist]]))), "Consultant",IF(NOT(ISERROR(SEARCH("- I -", Master[[#This Row],[Checklist]]))),  "Inspection Test Plan", "Naming Error"))))</f>
        <v>Ryman</v>
      </c>
      <c r="F32" s="24" t="str">
        <f ca="1">IF(OR(Master[[#This Row],[Type]]="checklist", Master[[#This Row],[Type]]="checklist-flat"), Master[[#This Row],[Name]], F31)</f>
        <v>C - R - Service Trenches - Pulling Pits</v>
      </c>
      <c r="G32" s="3" t="s">
        <v>48</v>
      </c>
      <c r="H32" s="24" t="s">
        <v>1274</v>
      </c>
      <c r="I32" s="3"/>
      <c r="J32" s="21">
        <f ca="1">_xlfn.XLOOKUP(Master[[#This Row],[Checklist]],Ref!A:A,Ref!B:B)*1000</f>
        <v>7000</v>
      </c>
      <c r="K32" s="21">
        <f ca="1">COUNTIF($J$2:Master[[#This Row],[ChecklistID]],Master[[#This Row],[ChecklistID]])-1</f>
        <v>0</v>
      </c>
      <c r="L32" s="23" t="s">
        <v>6</v>
      </c>
    </row>
    <row r="33" spans="1:12" ht="15.75">
      <c r="A33" s="23">
        <f t="shared" si="0"/>
        <v>32</v>
      </c>
      <c r="B33" s="21">
        <f ca="1">Master[[#This Row],[ChecklistID]]+Master[[#This Row],[Checklist Order]]</f>
        <v>7001</v>
      </c>
      <c r="C33" s="22"/>
      <c r="D33" s="3" t="str" cm="1">
        <f t="array" aca="1" ref="D33" ca="1">_xlfn.SWITCH(MID(Master[[#This Row],[Checklist]],1,4),"C - ","Civil","F - ","Foundation","ST -","Structure","FC -","Façade","PRE ","Pre-Line","POST","Post-Line","H - ","Handover","S - ","Services","CST ","Completion Docs", "I - ", "Inspection")</f>
        <v>Civil</v>
      </c>
      <c r="E33" s="23" t="str">
        <f ca="1">IF(NOT(ISERROR(SEARCH("- S -", Master[[#This Row],[Checklist]]))), "Subcontractor",IF(NOT(ISERROR(SEARCH("- R -", Master[[#This Row],[Checklist]]))), "Ryman",IF(NOT(ISERROR(SEARCH("- C -", Master[[#This Row],[Checklist]]))), "Consultant",IF(NOT(ISERROR(SEARCH("- I -", Master[[#This Row],[Checklist]]))),  "Inspection Test Plan", "Naming Error"))))</f>
        <v>Ryman</v>
      </c>
      <c r="F33" s="24" t="str">
        <f ca="1">IF(OR(Master[[#This Row],[Type]]="checklist", Master[[#This Row],[Type]]="checklist-flat"), Master[[#This Row],[Name]], F32)</f>
        <v>C - R - Service Trenches - Pulling Pits</v>
      </c>
      <c r="G33" s="3" t="s">
        <v>49</v>
      </c>
      <c r="H33" s="24" t="s">
        <v>1263</v>
      </c>
      <c r="I33" s="3"/>
      <c r="J33" s="21">
        <f ca="1">_xlfn.XLOOKUP(Master[[#This Row],[Checklist]],Ref!A:A,Ref!B:B)*1000</f>
        <v>7000</v>
      </c>
      <c r="K33" s="21">
        <f ca="1">COUNTIF($J$2:Master[[#This Row],[ChecklistID]],Master[[#This Row],[ChecklistID]])-1</f>
        <v>1</v>
      </c>
      <c r="L33" s="23" t="s">
        <v>6</v>
      </c>
    </row>
    <row r="34" spans="1:12" ht="15.75">
      <c r="A34" s="23">
        <f t="shared" si="0"/>
        <v>33</v>
      </c>
      <c r="B34" s="21">
        <f ca="1">Master[[#This Row],[ChecklistID]]+Master[[#This Row],[Checklist Order]]</f>
        <v>7002</v>
      </c>
      <c r="C34" s="22"/>
      <c r="D34" s="3" t="str" cm="1">
        <f t="array" aca="1" ref="D34" ca="1">_xlfn.SWITCH(MID(Master[[#This Row],[Checklist]],1,4),"C - ","Civil","F - ","Foundation","ST -","Structure","FC -","Façade","PRE ","Pre-Line","POST","Post-Line","H - ","Handover","S - ","Services","CST ","Completion Docs", "I - ", "Inspection")</f>
        <v>Civil</v>
      </c>
      <c r="E34" s="23" t="str">
        <f ca="1">IF(NOT(ISERROR(SEARCH("- S -", Master[[#This Row],[Checklist]]))), "Subcontractor",IF(NOT(ISERROR(SEARCH("- R -", Master[[#This Row],[Checklist]]))), "Ryman",IF(NOT(ISERROR(SEARCH("- C -", Master[[#This Row],[Checklist]]))), "Consultant",IF(NOT(ISERROR(SEARCH("- I -", Master[[#This Row],[Checklist]]))),  "Inspection Test Plan", "Naming Error"))))</f>
        <v>Ryman</v>
      </c>
      <c r="F34" s="24" t="str">
        <f ca="1">IF(OR(Master[[#This Row],[Type]]="checklist", Master[[#This Row],[Type]]="checklist-flat"), Master[[#This Row],[Name]], F33)</f>
        <v>C - R - Service Trenches - Pulling Pits</v>
      </c>
      <c r="G34" s="3" t="s">
        <v>49</v>
      </c>
      <c r="H34" s="24" t="s">
        <v>1264</v>
      </c>
      <c r="I34" s="3"/>
      <c r="J34" s="21">
        <f ca="1">_xlfn.XLOOKUP(Master[[#This Row],[Checklist]],Ref!A:A,Ref!B:B)*1000</f>
        <v>7000</v>
      </c>
      <c r="K34" s="21">
        <f ca="1">COUNTIF($J$2:Master[[#This Row],[ChecklistID]],Master[[#This Row],[ChecklistID]])-1</f>
        <v>2</v>
      </c>
      <c r="L34" s="23" t="s">
        <v>6</v>
      </c>
    </row>
    <row r="35" spans="1:12" ht="15.75">
      <c r="A35" s="23">
        <f t="shared" si="0"/>
        <v>34</v>
      </c>
      <c r="B35" s="21">
        <f ca="1">Master[[#This Row],[ChecklistID]]+Master[[#This Row],[Checklist Order]]</f>
        <v>7003</v>
      </c>
      <c r="C35" s="22"/>
      <c r="D35" s="3" t="str" cm="1">
        <f t="array" aca="1" ref="D35" ca="1">_xlfn.SWITCH(MID(Master[[#This Row],[Checklist]],1,4),"C - ","Civil","F - ","Foundation","ST -","Structure","FC -","Façade","PRE ","Pre-Line","POST","Post-Line","H - ","Handover","S - ","Services","CST ","Completion Docs", "I - ", "Inspection")</f>
        <v>Civil</v>
      </c>
      <c r="E35" s="23" t="str">
        <f ca="1">IF(NOT(ISERROR(SEARCH("- S -", Master[[#This Row],[Checklist]]))), "Subcontractor",IF(NOT(ISERROR(SEARCH("- R -", Master[[#This Row],[Checklist]]))), "Ryman",IF(NOT(ISERROR(SEARCH("- C -", Master[[#This Row],[Checklist]]))), "Consultant",IF(NOT(ISERROR(SEARCH("- I -", Master[[#This Row],[Checklist]]))),  "Inspection Test Plan", "Naming Error"))))</f>
        <v>Ryman</v>
      </c>
      <c r="F35" s="24" t="str">
        <f ca="1">IF(OR(Master[[#This Row],[Type]]="checklist", Master[[#This Row],[Type]]="checklist-flat"), Master[[#This Row],[Name]], F34)</f>
        <v>C - R - Service Trenches - Pulling Pits</v>
      </c>
      <c r="G35" s="3" t="s">
        <v>58</v>
      </c>
      <c r="H35" s="24" t="s">
        <v>306</v>
      </c>
      <c r="I35" s="3"/>
      <c r="J35" s="21">
        <f ca="1">_xlfn.XLOOKUP(Master[[#This Row],[Checklist]],Ref!A:A,Ref!B:B)*1000</f>
        <v>7000</v>
      </c>
      <c r="K35" s="21">
        <f ca="1">COUNTIF($J$2:Master[[#This Row],[ChecklistID]],Master[[#This Row],[ChecklistID]])-1</f>
        <v>3</v>
      </c>
      <c r="L35" s="23" t="s">
        <v>6</v>
      </c>
    </row>
    <row r="36" spans="1:12" ht="15.75">
      <c r="A36" s="23">
        <f t="shared" si="0"/>
        <v>35</v>
      </c>
      <c r="B36" s="21">
        <f ca="1">Master[[#This Row],[ChecklistID]]+Master[[#This Row],[Checklist Order]]</f>
        <v>7004</v>
      </c>
      <c r="C36" s="22"/>
      <c r="D36" s="3" t="str" cm="1">
        <f t="array" aca="1" ref="D36" ca="1">_xlfn.SWITCH(MID(Master[[#This Row],[Checklist]],1,4),"C - ","Civil","F - ","Foundation","ST -","Structure","FC -","Façade","PRE ","Pre-Line","POST","Post-Line","H - ","Handover","S - ","Services","CST ","Completion Docs", "I - ", "Inspection")</f>
        <v>Civil</v>
      </c>
      <c r="E36" s="23" t="str">
        <f ca="1">IF(NOT(ISERROR(SEARCH("- S -", Master[[#This Row],[Checklist]]))), "Subcontractor",IF(NOT(ISERROR(SEARCH("- R -", Master[[#This Row],[Checklist]]))), "Ryman",IF(NOT(ISERROR(SEARCH("- C -", Master[[#This Row],[Checklist]]))), "Consultant",IF(NOT(ISERROR(SEARCH("- I -", Master[[#This Row],[Checklist]]))),  "Inspection Test Plan", "Naming Error"))))</f>
        <v>Ryman</v>
      </c>
      <c r="F36" s="24" t="str">
        <f ca="1">IF(OR(Master[[#This Row],[Type]]="checklist", Master[[#This Row],[Type]]="checklist-flat"), Master[[#This Row],[Name]], F35)</f>
        <v>C - R - Service Trenches - Pulling Pits</v>
      </c>
      <c r="G36" s="3" t="s">
        <v>49</v>
      </c>
      <c r="H36" s="24" t="s">
        <v>1275</v>
      </c>
      <c r="I36" s="3"/>
      <c r="J36" s="21">
        <f ca="1">_xlfn.XLOOKUP(Master[[#This Row],[Checklist]],Ref!A:A,Ref!B:B)*1000</f>
        <v>7000</v>
      </c>
      <c r="K36" s="21">
        <f ca="1">COUNTIF($J$2:Master[[#This Row],[ChecklistID]],Master[[#This Row],[ChecklistID]])-1</f>
        <v>4</v>
      </c>
      <c r="L36" s="23" t="s">
        <v>6</v>
      </c>
    </row>
    <row r="37" spans="1:12" ht="15.75">
      <c r="A37" s="23">
        <f t="shared" si="0"/>
        <v>36</v>
      </c>
      <c r="B37" s="21">
        <f ca="1">Master[[#This Row],[ChecklistID]]+Master[[#This Row],[Checklist Order]]</f>
        <v>8000</v>
      </c>
      <c r="C37" s="22"/>
      <c r="D37" s="3" t="str" cm="1">
        <f t="array" aca="1" ref="D37" ca="1">_xlfn.SWITCH(MID(Master[[#This Row],[Checklist]],1,4),"C - ","Civil","F - ","Foundation","ST -","Structure","FC -","Façade","PRE ","Pre-Line","POST","Post-Line","H - ","Handover","S - ","Services","CST ","Completion Docs", "I - ", "Inspection")</f>
        <v>Civil</v>
      </c>
      <c r="E37" s="23" t="str">
        <f ca="1">IF(NOT(ISERROR(SEARCH("- S -", Master[[#This Row],[Checklist]]))), "Subcontractor",IF(NOT(ISERROR(SEARCH("- R -", Master[[#This Row],[Checklist]]))), "Ryman",IF(NOT(ISERROR(SEARCH("- C -", Master[[#This Row],[Checklist]]))), "Consultant",IF(NOT(ISERROR(SEARCH("- I -", Master[[#This Row],[Checklist]]))),  "Inspection Test Plan", "Naming Error"))))</f>
        <v>Ryman</v>
      </c>
      <c r="F37" s="24" t="str">
        <f ca="1">IF(OR(Master[[#This Row],[Type]]="checklist", Master[[#This Row],[Type]]="checklist-flat"), Master[[#This Row],[Name]], F36)</f>
        <v>C - R - Connection to public systems</v>
      </c>
      <c r="G37" s="3" t="s">
        <v>48</v>
      </c>
      <c r="H37" s="24" t="s">
        <v>1276</v>
      </c>
      <c r="I37" s="3"/>
      <c r="J37" s="21">
        <f ca="1">_xlfn.XLOOKUP(Master[[#This Row],[Checklist]],Ref!A:A,Ref!B:B)*1000</f>
        <v>8000</v>
      </c>
      <c r="K37" s="21">
        <f ca="1">COUNTIF($J$2:Master[[#This Row],[ChecklistID]],Master[[#This Row],[ChecklistID]])-1</f>
        <v>0</v>
      </c>
      <c r="L37" s="23" t="s">
        <v>6</v>
      </c>
    </row>
    <row r="38" spans="1:12" ht="15.75">
      <c r="A38" s="23">
        <f t="shared" si="0"/>
        <v>37</v>
      </c>
      <c r="B38" s="21">
        <f ca="1">Master[[#This Row],[ChecklistID]]+Master[[#This Row],[Checklist Order]]</f>
        <v>8001</v>
      </c>
      <c r="C38" s="22"/>
      <c r="D38" s="3" t="str" cm="1">
        <f t="array" aca="1" ref="D38" ca="1">_xlfn.SWITCH(MID(Master[[#This Row],[Checklist]],1,4),"C - ","Civil","F - ","Foundation","ST -","Structure","FC -","Façade","PRE ","Pre-Line","POST","Post-Line","H - ","Handover","S - ","Services","CST ","Completion Docs", "I - ", "Inspection")</f>
        <v>Civil</v>
      </c>
      <c r="E38" s="23" t="str">
        <f ca="1">IF(NOT(ISERROR(SEARCH("- S -", Master[[#This Row],[Checklist]]))), "Subcontractor",IF(NOT(ISERROR(SEARCH("- R -", Master[[#This Row],[Checklist]]))), "Ryman",IF(NOT(ISERROR(SEARCH("- C -", Master[[#This Row],[Checklist]]))), "Consultant",IF(NOT(ISERROR(SEARCH("- I -", Master[[#This Row],[Checklist]]))),  "Inspection Test Plan", "Naming Error"))))</f>
        <v>Ryman</v>
      </c>
      <c r="F38" s="24" t="str">
        <f ca="1">IF(OR(Master[[#This Row],[Type]]="checklist", Master[[#This Row],[Type]]="checklist-flat"), Master[[#This Row],[Name]], F37)</f>
        <v>C - R - Connection to public systems</v>
      </c>
      <c r="G38" s="3" t="s">
        <v>49</v>
      </c>
      <c r="H38" s="24" t="s">
        <v>1277</v>
      </c>
      <c r="I38" s="3"/>
      <c r="J38" s="21">
        <f ca="1">_xlfn.XLOOKUP(Master[[#This Row],[Checklist]],Ref!A:A,Ref!B:B)*1000</f>
        <v>8000</v>
      </c>
      <c r="K38" s="21">
        <f ca="1">COUNTIF($J$2:Master[[#This Row],[ChecklistID]],Master[[#This Row],[ChecklistID]])-1</f>
        <v>1</v>
      </c>
      <c r="L38" s="23" t="s">
        <v>6</v>
      </c>
    </row>
    <row r="39" spans="1:12" ht="15.75">
      <c r="A39" s="23">
        <f t="shared" si="0"/>
        <v>38</v>
      </c>
      <c r="B39" s="21">
        <f ca="1">Master[[#This Row],[ChecklistID]]+Master[[#This Row],[Checklist Order]]</f>
        <v>8002</v>
      </c>
      <c r="C39" s="22"/>
      <c r="D39" s="3" t="str" cm="1">
        <f t="array" aca="1" ref="D39" ca="1">_xlfn.SWITCH(MID(Master[[#This Row],[Checklist]],1,4),"C - ","Civil","F - ","Foundation","ST -","Structure","FC -","Façade","PRE ","Pre-Line","POST","Post-Line","H - ","Handover","S - ","Services","CST ","Completion Docs", "I - ", "Inspection")</f>
        <v>Civil</v>
      </c>
      <c r="E39" s="23" t="str">
        <f ca="1">IF(NOT(ISERROR(SEARCH("- S -", Master[[#This Row],[Checklist]]))), "Subcontractor",IF(NOT(ISERROR(SEARCH("- R -", Master[[#This Row],[Checklist]]))), "Ryman",IF(NOT(ISERROR(SEARCH("- C -", Master[[#This Row],[Checklist]]))), "Consultant",IF(NOT(ISERROR(SEARCH("- I -", Master[[#This Row],[Checklist]]))),  "Inspection Test Plan", "Naming Error"))))</f>
        <v>Ryman</v>
      </c>
      <c r="F39" s="24" t="str">
        <f ca="1">IF(OR(Master[[#This Row],[Type]]="checklist", Master[[#This Row],[Type]]="checklist-flat"), Master[[#This Row],[Name]], F38)</f>
        <v>C - R - Connection to public systems</v>
      </c>
      <c r="G39" s="3" t="s">
        <v>49</v>
      </c>
      <c r="H39" s="24" t="s">
        <v>1278</v>
      </c>
      <c r="I39" s="3"/>
      <c r="J39" s="21">
        <f ca="1">_xlfn.XLOOKUP(Master[[#This Row],[Checklist]],Ref!A:A,Ref!B:B)*1000</f>
        <v>8000</v>
      </c>
      <c r="K39" s="21">
        <f ca="1">COUNTIF($J$2:Master[[#This Row],[ChecklistID]],Master[[#This Row],[ChecklistID]])-1</f>
        <v>2</v>
      </c>
      <c r="L39" s="23" t="s">
        <v>6</v>
      </c>
    </row>
    <row r="40" spans="1:12" ht="15.75">
      <c r="A40" s="23">
        <f t="shared" si="0"/>
        <v>39</v>
      </c>
      <c r="B40" s="21">
        <f ca="1">Master[[#This Row],[ChecklistID]]+Master[[#This Row],[Checklist Order]]</f>
        <v>8003</v>
      </c>
      <c r="C40" s="22"/>
      <c r="D40" s="3" t="str" cm="1">
        <f t="array" aca="1" ref="D40" ca="1">_xlfn.SWITCH(MID(Master[[#This Row],[Checklist]],1,4),"C - ","Civil","F - ","Foundation","ST -","Structure","FC -","Façade","PRE ","Pre-Line","POST","Post-Line","H - ","Handover","S - ","Services","CST ","Completion Docs", "I - ", "Inspection")</f>
        <v>Civil</v>
      </c>
      <c r="E40" s="23" t="str">
        <f ca="1">IF(NOT(ISERROR(SEARCH("- S -", Master[[#This Row],[Checklist]]))), "Subcontractor",IF(NOT(ISERROR(SEARCH("- R -", Master[[#This Row],[Checklist]]))), "Ryman",IF(NOT(ISERROR(SEARCH("- C -", Master[[#This Row],[Checklist]]))), "Consultant",IF(NOT(ISERROR(SEARCH("- I -", Master[[#This Row],[Checklist]]))),  "Inspection Test Plan", "Naming Error"))))</f>
        <v>Ryman</v>
      </c>
      <c r="F40" s="24" t="str">
        <f ca="1">IF(OR(Master[[#This Row],[Type]]="checklist", Master[[#This Row],[Type]]="checklist-flat"), Master[[#This Row],[Name]], F39)</f>
        <v>C - R - Connection to public systems</v>
      </c>
      <c r="G40" s="3" t="s">
        <v>49</v>
      </c>
      <c r="H40" s="24" t="s">
        <v>1279</v>
      </c>
      <c r="I40" s="3"/>
      <c r="J40" s="21">
        <f ca="1">_xlfn.XLOOKUP(Master[[#This Row],[Checklist]],Ref!A:A,Ref!B:B)*1000</f>
        <v>8000</v>
      </c>
      <c r="K40" s="21">
        <f ca="1">COUNTIF($J$2:Master[[#This Row],[ChecklistID]],Master[[#This Row],[ChecklistID]])-1</f>
        <v>3</v>
      </c>
      <c r="L40" s="23" t="s">
        <v>6</v>
      </c>
    </row>
    <row r="41" spans="1:12" ht="15.75">
      <c r="A41" s="23">
        <f t="shared" si="0"/>
        <v>40</v>
      </c>
      <c r="B41" s="21">
        <f ca="1">Master[[#This Row],[ChecklistID]]+Master[[#This Row],[Checklist Order]]</f>
        <v>9000</v>
      </c>
      <c r="C41" s="22"/>
      <c r="D41" s="3" t="str" cm="1">
        <f t="array" aca="1" ref="D41" ca="1">_xlfn.SWITCH(MID(Master[[#This Row],[Checklist]],1,4),"C - ","Civil","F - ","Foundation","ST -","Structure","FC -","Façade","PRE ","Pre-Line","POST","Post-Line","H - ","Handover","S - ","Services","CST ","Completion Docs", "I - ", "Inspection")</f>
        <v>Civil</v>
      </c>
      <c r="E41" s="23" t="str">
        <f ca="1">IF(NOT(ISERROR(SEARCH("- S -", Master[[#This Row],[Checklist]]))), "Subcontractor",IF(NOT(ISERROR(SEARCH("- R -", Master[[#This Row],[Checklist]]))), "Ryman",IF(NOT(ISERROR(SEARCH("- C -", Master[[#This Row],[Checklist]]))), "Consultant",IF(NOT(ISERROR(SEARCH("- I -", Master[[#This Row],[Checklist]]))),  "Inspection Test Plan", "Naming Error"))))</f>
        <v>Ryman</v>
      </c>
      <c r="F41" s="24" t="str">
        <f ca="1">IF(OR(Master[[#This Row],[Type]]="checklist", Master[[#This Row],[Type]]="checklist-flat"), Master[[#This Row],[Name]], F40)</f>
        <v>C - R - Demolition</v>
      </c>
      <c r="G41" s="3" t="s">
        <v>48</v>
      </c>
      <c r="H41" s="24" t="s">
        <v>1280</v>
      </c>
      <c r="I41" s="3"/>
      <c r="J41" s="21">
        <f ca="1">_xlfn.XLOOKUP(Master[[#This Row],[Checklist]],Ref!A:A,Ref!B:B)*1000</f>
        <v>9000</v>
      </c>
      <c r="K41" s="21">
        <f ca="1">COUNTIF($J$2:Master[[#This Row],[ChecklistID]],Master[[#This Row],[ChecklistID]])-1</f>
        <v>0</v>
      </c>
      <c r="L41" s="23" t="s">
        <v>6</v>
      </c>
    </row>
    <row r="42" spans="1:12" ht="15.75">
      <c r="A42" s="23">
        <f t="shared" si="0"/>
        <v>41</v>
      </c>
      <c r="B42" s="21">
        <f ca="1">Master[[#This Row],[ChecklistID]]+Master[[#This Row],[Checklist Order]]</f>
        <v>9001</v>
      </c>
      <c r="C42" s="22"/>
      <c r="D42" s="3" t="str" cm="1">
        <f t="array" aca="1" ref="D42" ca="1">_xlfn.SWITCH(MID(Master[[#This Row],[Checklist]],1,4),"C - ","Civil","F - ","Foundation","ST -","Structure","FC -","Façade","PRE ","Pre-Line","POST","Post-Line","H - ","Handover","S - ","Services","CST ","Completion Docs", "I - ", "Inspection")</f>
        <v>Civil</v>
      </c>
      <c r="E42" s="23" t="str">
        <f ca="1">IF(NOT(ISERROR(SEARCH("- S -", Master[[#This Row],[Checklist]]))), "Subcontractor",IF(NOT(ISERROR(SEARCH("- R -", Master[[#This Row],[Checklist]]))), "Ryman",IF(NOT(ISERROR(SEARCH("- C -", Master[[#This Row],[Checklist]]))), "Consultant",IF(NOT(ISERROR(SEARCH("- I -", Master[[#This Row],[Checklist]]))),  "Inspection Test Plan", "Naming Error"))))</f>
        <v>Ryman</v>
      </c>
      <c r="F42" s="24" t="str">
        <f ca="1">IF(OR(Master[[#This Row],[Type]]="checklist", Master[[#This Row],[Type]]="checklist-flat"), Master[[#This Row],[Name]], F41)</f>
        <v>C - R - Demolition</v>
      </c>
      <c r="G42" s="3" t="s">
        <v>49</v>
      </c>
      <c r="H42" s="24" t="s">
        <v>1263</v>
      </c>
      <c r="I42" s="3"/>
      <c r="J42" s="21">
        <f ca="1">_xlfn.XLOOKUP(Master[[#This Row],[Checklist]],Ref!A:A,Ref!B:B)*1000</f>
        <v>9000</v>
      </c>
      <c r="K42" s="21">
        <f ca="1">COUNTIF($J$2:Master[[#This Row],[ChecklistID]],Master[[#This Row],[ChecklistID]])-1</f>
        <v>1</v>
      </c>
      <c r="L42" s="23" t="s">
        <v>6</v>
      </c>
    </row>
    <row r="43" spans="1:12" ht="15.75">
      <c r="A43" s="23">
        <f t="shared" si="0"/>
        <v>42</v>
      </c>
      <c r="B43" s="21">
        <f ca="1">Master[[#This Row],[ChecklistID]]+Master[[#This Row],[Checklist Order]]</f>
        <v>9002</v>
      </c>
      <c r="C43" s="22"/>
      <c r="D43" s="3" t="str" cm="1">
        <f t="array" aca="1" ref="D43" ca="1">_xlfn.SWITCH(MID(Master[[#This Row],[Checklist]],1,4),"C - ","Civil","F - ","Foundation","ST -","Structure","FC -","Façade","PRE ","Pre-Line","POST","Post-Line","H - ","Handover","S - ","Services","CST ","Completion Docs", "I - ", "Inspection")</f>
        <v>Civil</v>
      </c>
      <c r="E43" s="23" t="str">
        <f ca="1">IF(NOT(ISERROR(SEARCH("- S -", Master[[#This Row],[Checklist]]))), "Subcontractor",IF(NOT(ISERROR(SEARCH("- R -", Master[[#This Row],[Checklist]]))), "Ryman",IF(NOT(ISERROR(SEARCH("- C -", Master[[#This Row],[Checklist]]))), "Consultant",IF(NOT(ISERROR(SEARCH("- I -", Master[[#This Row],[Checklist]]))),  "Inspection Test Plan", "Naming Error"))))</f>
        <v>Ryman</v>
      </c>
      <c r="F43" s="24" t="str">
        <f ca="1">IF(OR(Master[[#This Row],[Type]]="checklist", Master[[#This Row],[Type]]="checklist-flat"), Master[[#This Row],[Name]], F42)</f>
        <v>C - R - Demolition</v>
      </c>
      <c r="G43" s="3" t="s">
        <v>49</v>
      </c>
      <c r="H43" s="24" t="s">
        <v>1264</v>
      </c>
      <c r="I43" s="3"/>
      <c r="J43" s="21">
        <f ca="1">_xlfn.XLOOKUP(Master[[#This Row],[Checklist]],Ref!A:A,Ref!B:B)*1000</f>
        <v>9000</v>
      </c>
      <c r="K43" s="21">
        <f ca="1">COUNTIF($J$2:Master[[#This Row],[ChecklistID]],Master[[#This Row],[ChecklistID]])-1</f>
        <v>2</v>
      </c>
      <c r="L43" s="23" t="s">
        <v>6</v>
      </c>
    </row>
    <row r="44" spans="1:12" ht="15.75">
      <c r="A44" s="23">
        <f t="shared" si="0"/>
        <v>43</v>
      </c>
      <c r="B44" s="21">
        <f ca="1">Master[[#This Row],[ChecklistID]]+Master[[#This Row],[Checklist Order]]</f>
        <v>9003</v>
      </c>
      <c r="C44" s="22"/>
      <c r="D44" s="3" t="str" cm="1">
        <f t="array" aca="1" ref="D44" ca="1">_xlfn.SWITCH(MID(Master[[#This Row],[Checklist]],1,4),"C - ","Civil","F - ","Foundation","ST -","Structure","FC -","Façade","PRE ","Pre-Line","POST","Post-Line","H - ","Handover","S - ","Services","CST ","Completion Docs", "I - ", "Inspection")</f>
        <v>Civil</v>
      </c>
      <c r="E44" s="23" t="str">
        <f ca="1">IF(NOT(ISERROR(SEARCH("- S -", Master[[#This Row],[Checklist]]))), "Subcontractor",IF(NOT(ISERROR(SEARCH("- R -", Master[[#This Row],[Checklist]]))), "Ryman",IF(NOT(ISERROR(SEARCH("- C -", Master[[#This Row],[Checklist]]))), "Consultant",IF(NOT(ISERROR(SEARCH("- I -", Master[[#This Row],[Checklist]]))),  "Inspection Test Plan", "Naming Error"))))</f>
        <v>Ryman</v>
      </c>
      <c r="F44" s="24" t="str">
        <f ca="1">IF(OR(Master[[#This Row],[Type]]="checklist", Master[[#This Row],[Type]]="checklist-flat"), Master[[#This Row],[Name]], F43)</f>
        <v>C - R - Demolition</v>
      </c>
      <c r="G44" s="3" t="s">
        <v>58</v>
      </c>
      <c r="H44" s="24" t="s">
        <v>306</v>
      </c>
      <c r="I44" s="3"/>
      <c r="J44" s="21">
        <f ca="1">_xlfn.XLOOKUP(Master[[#This Row],[Checklist]],Ref!A:A,Ref!B:B)*1000</f>
        <v>9000</v>
      </c>
      <c r="K44" s="21">
        <f ca="1">COUNTIF($J$2:Master[[#This Row],[ChecklistID]],Master[[#This Row],[ChecklistID]])-1</f>
        <v>3</v>
      </c>
      <c r="L44" s="23" t="s">
        <v>6</v>
      </c>
    </row>
    <row r="45" spans="1:12" ht="15.75">
      <c r="A45" s="23">
        <f t="shared" si="0"/>
        <v>44</v>
      </c>
      <c r="B45" s="21">
        <f ca="1">Master[[#This Row],[ChecklistID]]+Master[[#This Row],[Checklist Order]]</f>
        <v>9004</v>
      </c>
      <c r="C45" s="22"/>
      <c r="D45" s="3" t="str" cm="1">
        <f t="array" aca="1" ref="D45" ca="1">_xlfn.SWITCH(MID(Master[[#This Row],[Checklist]],1,4),"C - ","Civil","F - ","Foundation","ST -","Structure","FC -","Façade","PRE ","Pre-Line","POST","Post-Line","H - ","Handover","S - ","Services","CST ","Completion Docs", "I - ", "Inspection")</f>
        <v>Civil</v>
      </c>
      <c r="E45" s="23" t="str">
        <f ca="1">IF(NOT(ISERROR(SEARCH("- S -", Master[[#This Row],[Checklist]]))), "Subcontractor",IF(NOT(ISERROR(SEARCH("- R -", Master[[#This Row],[Checklist]]))), "Ryman",IF(NOT(ISERROR(SEARCH("- C -", Master[[#This Row],[Checklist]]))), "Consultant",IF(NOT(ISERROR(SEARCH("- I -", Master[[#This Row],[Checklist]]))),  "Inspection Test Plan", "Naming Error"))))</f>
        <v>Ryman</v>
      </c>
      <c r="F45" s="24" t="str">
        <f ca="1">IF(OR(Master[[#This Row],[Type]]="checklist", Master[[#This Row],[Type]]="checklist-flat"), Master[[#This Row],[Name]], F44)</f>
        <v>C - R - Demolition</v>
      </c>
      <c r="G45" s="3" t="s">
        <v>49</v>
      </c>
      <c r="H45" s="24" t="s">
        <v>1281</v>
      </c>
      <c r="I45" s="3"/>
      <c r="J45" s="21">
        <f ca="1">_xlfn.XLOOKUP(Master[[#This Row],[Checklist]],Ref!A:A,Ref!B:B)*1000</f>
        <v>9000</v>
      </c>
      <c r="K45" s="21">
        <f ca="1">COUNTIF($J$2:Master[[#This Row],[ChecklistID]],Master[[#This Row],[ChecklistID]])-1</f>
        <v>4</v>
      </c>
      <c r="L45" s="23" t="s">
        <v>6</v>
      </c>
    </row>
    <row r="46" spans="1:12" ht="15.75">
      <c r="A46" s="23">
        <f t="shared" si="0"/>
        <v>45</v>
      </c>
      <c r="B46" s="21">
        <f ca="1">Master[[#This Row],[ChecklistID]]+Master[[#This Row],[Checklist Order]]</f>
        <v>10000</v>
      </c>
      <c r="C46" s="22"/>
      <c r="D46" s="3" t="str" cm="1">
        <f t="array" aca="1" ref="D46" ca="1">_xlfn.SWITCH(MID(Master[[#This Row],[Checklist]],1,4),"C - ","Civil","F - ","Foundation","ST -","Structure","FC -","Façade","PRE ","Pre-Line","POST","Post-Line","H - ","Handover","S - ","Services","CST ","Completion Docs", "I - ", "Inspection")</f>
        <v>Civil</v>
      </c>
      <c r="E46" s="23" t="str">
        <f ca="1">IF(NOT(ISERROR(SEARCH("- S -", Master[[#This Row],[Checklist]]))), "Subcontractor",IF(NOT(ISERROR(SEARCH("- R -", Master[[#This Row],[Checklist]]))), "Ryman",IF(NOT(ISERROR(SEARCH("- C -", Master[[#This Row],[Checklist]]))), "Consultant",IF(NOT(ISERROR(SEARCH("- I -", Master[[#This Row],[Checklist]]))),  "Inspection Test Plan", "Naming Error"))))</f>
        <v>Ryman</v>
      </c>
      <c r="F46" s="24" t="str">
        <f ca="1">IF(OR(Master[[#This Row],[Type]]="checklist", Master[[#This Row],[Type]]="checklist-flat"), Master[[#This Row],[Name]], F45)</f>
        <v>C - R - Asbestos Removal</v>
      </c>
      <c r="G46" s="3" t="s">
        <v>48</v>
      </c>
      <c r="H46" t="s">
        <v>1282</v>
      </c>
      <c r="I46" s="3"/>
      <c r="J46" s="21">
        <f ca="1">_xlfn.XLOOKUP(Master[[#This Row],[Checklist]],Ref!A:A,Ref!B:B)*1000</f>
        <v>10000</v>
      </c>
      <c r="K46" s="21">
        <f ca="1">COUNTIF($J$2:Master[[#This Row],[ChecklistID]],Master[[#This Row],[ChecklistID]])-1</f>
        <v>0</v>
      </c>
      <c r="L46" s="23" t="s">
        <v>6</v>
      </c>
    </row>
    <row r="47" spans="1:12" ht="15.75">
      <c r="A47" s="23">
        <f t="shared" si="0"/>
        <v>46</v>
      </c>
      <c r="B47" s="21">
        <f ca="1">Master[[#This Row],[ChecklistID]]+Master[[#This Row],[Checklist Order]]</f>
        <v>10001</v>
      </c>
      <c r="C47" s="22"/>
      <c r="D47" s="3" t="str" cm="1">
        <f t="array" aca="1" ref="D47" ca="1">_xlfn.SWITCH(MID(Master[[#This Row],[Checklist]],1,4),"C - ","Civil","F - ","Foundation","ST -","Structure","FC -","Façade","PRE ","Pre-Line","POST","Post-Line","H - ","Handover","S - ","Services","CST ","Completion Docs", "I - ", "Inspection")</f>
        <v>Civil</v>
      </c>
      <c r="E47" s="23" t="str">
        <f ca="1">IF(NOT(ISERROR(SEARCH("- S -", Master[[#This Row],[Checklist]]))), "Subcontractor",IF(NOT(ISERROR(SEARCH("- R -", Master[[#This Row],[Checklist]]))), "Ryman",IF(NOT(ISERROR(SEARCH("- C -", Master[[#This Row],[Checklist]]))), "Consultant",IF(NOT(ISERROR(SEARCH("- I -", Master[[#This Row],[Checklist]]))),  "Inspection Test Plan", "Naming Error"))))</f>
        <v>Ryman</v>
      </c>
      <c r="F47" s="24" t="str">
        <f ca="1">IF(OR(Master[[#This Row],[Type]]="checklist", Master[[#This Row],[Type]]="checklist-flat"), Master[[#This Row],[Name]], F46)</f>
        <v>C - R - Asbestos Removal</v>
      </c>
      <c r="G47" s="3" t="s">
        <v>49</v>
      </c>
      <c r="H47" s="34" t="s">
        <v>1283</v>
      </c>
      <c r="I47" s="3"/>
      <c r="J47" s="21">
        <f ca="1">_xlfn.XLOOKUP(Master[[#This Row],[Checklist]],Ref!A:A,Ref!B:B)*1000</f>
        <v>10000</v>
      </c>
      <c r="K47" s="21">
        <f ca="1">COUNTIF($J$2:Master[[#This Row],[ChecklistID]],Master[[#This Row],[ChecklistID]])-1</f>
        <v>1</v>
      </c>
      <c r="L47" s="23" t="s">
        <v>6</v>
      </c>
    </row>
    <row r="48" spans="1:12" ht="15.75">
      <c r="A48" s="23">
        <f t="shared" si="0"/>
        <v>47</v>
      </c>
      <c r="B48" s="21">
        <f ca="1">Master[[#This Row],[ChecklistID]]+Master[[#This Row],[Checklist Order]]</f>
        <v>10002</v>
      </c>
      <c r="C48" s="22"/>
      <c r="D48" s="3" t="str" cm="1">
        <f t="array" aca="1" ref="D48" ca="1">_xlfn.SWITCH(MID(Master[[#This Row],[Checklist]],1,4),"C - ","Civil","F - ","Foundation","ST -","Structure","FC -","Façade","PRE ","Pre-Line","POST","Post-Line","H - ","Handover","S - ","Services","CST ","Completion Docs", "I - ", "Inspection")</f>
        <v>Civil</v>
      </c>
      <c r="E48" s="23" t="str">
        <f ca="1">IF(NOT(ISERROR(SEARCH("- S -", Master[[#This Row],[Checklist]]))), "Subcontractor",IF(NOT(ISERROR(SEARCH("- R -", Master[[#This Row],[Checklist]]))), "Ryman",IF(NOT(ISERROR(SEARCH("- C -", Master[[#This Row],[Checklist]]))), "Consultant",IF(NOT(ISERROR(SEARCH("- I -", Master[[#This Row],[Checklist]]))),  "Inspection Test Plan", "Naming Error"))))</f>
        <v>Ryman</v>
      </c>
      <c r="F48" s="24" t="str">
        <f ca="1">IF(OR(Master[[#This Row],[Type]]="checklist", Master[[#This Row],[Type]]="checklist-flat"), Master[[#This Row],[Name]], F47)</f>
        <v>C - R - Asbestos Removal</v>
      </c>
      <c r="G48" s="3" t="s">
        <v>49</v>
      </c>
      <c r="H48" t="s">
        <v>1284</v>
      </c>
      <c r="I48" s="3"/>
      <c r="J48" s="21">
        <f ca="1">_xlfn.XLOOKUP(Master[[#This Row],[Checklist]],Ref!A:A,Ref!B:B)*1000</f>
        <v>10000</v>
      </c>
      <c r="K48" s="21">
        <f ca="1">COUNTIF($J$2:Master[[#This Row],[ChecklistID]],Master[[#This Row],[ChecklistID]])-1</f>
        <v>2</v>
      </c>
      <c r="L48" s="23" t="s">
        <v>6</v>
      </c>
    </row>
    <row r="49" spans="1:12" ht="15.75">
      <c r="A49" s="23">
        <f t="shared" si="0"/>
        <v>48</v>
      </c>
      <c r="B49" s="21">
        <f ca="1">Master[[#This Row],[ChecklistID]]+Master[[#This Row],[Checklist Order]]</f>
        <v>10003</v>
      </c>
      <c r="C49" s="22"/>
      <c r="D49" s="3" t="str" cm="1">
        <f t="array" aca="1" ref="D49" ca="1">_xlfn.SWITCH(MID(Master[[#This Row],[Checklist]],1,4),"C - ","Civil","F - ","Foundation","ST -","Structure","FC -","Façade","PRE ","Pre-Line","POST","Post-Line","H - ","Handover","S - ","Services","CST ","Completion Docs", "I - ", "Inspection")</f>
        <v>Civil</v>
      </c>
      <c r="E49" s="23" t="str">
        <f ca="1">IF(NOT(ISERROR(SEARCH("- S -", Master[[#This Row],[Checklist]]))), "Subcontractor",IF(NOT(ISERROR(SEARCH("- R -", Master[[#This Row],[Checklist]]))), "Ryman",IF(NOT(ISERROR(SEARCH("- C -", Master[[#This Row],[Checklist]]))), "Consultant",IF(NOT(ISERROR(SEARCH("- I -", Master[[#This Row],[Checklist]]))),  "Inspection Test Plan", "Naming Error"))))</f>
        <v>Ryman</v>
      </c>
      <c r="F49" s="24" t="str">
        <f ca="1">IF(OR(Master[[#This Row],[Type]]="checklist", Master[[#This Row],[Type]]="checklist-flat"), Master[[#This Row],[Name]], F48)</f>
        <v>C - R - Asbestos Removal</v>
      </c>
      <c r="G49" s="3" t="s">
        <v>49</v>
      </c>
      <c r="H49" t="s">
        <v>1285</v>
      </c>
      <c r="I49" s="3"/>
      <c r="J49" s="21">
        <f ca="1">_xlfn.XLOOKUP(Master[[#This Row],[Checklist]],Ref!A:A,Ref!B:B)*1000</f>
        <v>10000</v>
      </c>
      <c r="K49" s="21">
        <f ca="1">COUNTIF($J$2:Master[[#This Row],[ChecklistID]],Master[[#This Row],[ChecklistID]])-1</f>
        <v>3</v>
      </c>
      <c r="L49" s="23" t="s">
        <v>6</v>
      </c>
    </row>
    <row r="50" spans="1:12" ht="15.75">
      <c r="A50" s="23">
        <f t="shared" si="0"/>
        <v>49</v>
      </c>
      <c r="B50" s="21">
        <f ca="1">Master[[#This Row],[ChecklistID]]+Master[[#This Row],[Checklist Order]]</f>
        <v>10004</v>
      </c>
      <c r="C50" s="22"/>
      <c r="D50" s="3" t="str" cm="1">
        <f t="array" aca="1" ref="D50" ca="1">_xlfn.SWITCH(MID(Master[[#This Row],[Checklist]],1,4),"C - ","Civil","F - ","Foundation","ST -","Structure","FC -","Façade","PRE ","Pre-Line","POST","Post-Line","H - ","Handover","S - ","Services","CST ","Completion Docs", "I - ", "Inspection")</f>
        <v>Civil</v>
      </c>
      <c r="E50" s="23" t="str">
        <f ca="1">IF(NOT(ISERROR(SEARCH("- S -", Master[[#This Row],[Checklist]]))), "Subcontractor",IF(NOT(ISERROR(SEARCH("- R -", Master[[#This Row],[Checklist]]))), "Ryman",IF(NOT(ISERROR(SEARCH("- C -", Master[[#This Row],[Checklist]]))), "Consultant",IF(NOT(ISERROR(SEARCH("- I -", Master[[#This Row],[Checklist]]))),  "Inspection Test Plan", "Naming Error"))))</f>
        <v>Ryman</v>
      </c>
      <c r="F50" s="24" t="str">
        <f ca="1">IF(OR(Master[[#This Row],[Type]]="checklist", Master[[#This Row],[Type]]="checklist-flat"), Master[[#This Row],[Name]], F49)</f>
        <v>C - R - Asbestos Removal</v>
      </c>
      <c r="G50" s="3" t="s">
        <v>49</v>
      </c>
      <c r="H50" t="s">
        <v>1286</v>
      </c>
      <c r="I50" s="3"/>
      <c r="J50" s="21">
        <f ca="1">_xlfn.XLOOKUP(Master[[#This Row],[Checklist]],Ref!A:A,Ref!B:B)*1000</f>
        <v>10000</v>
      </c>
      <c r="K50" s="21">
        <f ca="1">COUNTIF($J$2:Master[[#This Row],[ChecklistID]],Master[[#This Row],[ChecklistID]])-1</f>
        <v>4</v>
      </c>
      <c r="L50" s="23" t="s">
        <v>6</v>
      </c>
    </row>
    <row r="51" spans="1:12" ht="15.75">
      <c r="A51" s="23">
        <f t="shared" si="0"/>
        <v>50</v>
      </c>
      <c r="B51" s="21">
        <f ca="1">Master[[#This Row],[ChecklistID]]+Master[[#This Row],[Checklist Order]]</f>
        <v>10005</v>
      </c>
      <c r="C51" s="22"/>
      <c r="D51" s="3" t="str" cm="1">
        <f t="array" aca="1" ref="D51" ca="1">_xlfn.SWITCH(MID(Master[[#This Row],[Checklist]],1,4),"C - ","Civil","F - ","Foundation","ST -","Structure","FC -","Façade","PRE ","Pre-Line","POST","Post-Line","H - ","Handover","S - ","Services","CST ","Completion Docs", "I - ", "Inspection")</f>
        <v>Civil</v>
      </c>
      <c r="E51" s="23" t="str">
        <f ca="1">IF(NOT(ISERROR(SEARCH("- S -", Master[[#This Row],[Checklist]]))), "Subcontractor",IF(NOT(ISERROR(SEARCH("- R -", Master[[#This Row],[Checklist]]))), "Ryman",IF(NOT(ISERROR(SEARCH("- C -", Master[[#This Row],[Checklist]]))), "Consultant",IF(NOT(ISERROR(SEARCH("- I -", Master[[#This Row],[Checklist]]))),  "Inspection Test Plan", "Naming Error"))))</f>
        <v>Ryman</v>
      </c>
      <c r="F51" s="24" t="str">
        <f ca="1">IF(OR(Master[[#This Row],[Type]]="checklist", Master[[#This Row],[Type]]="checklist-flat"), Master[[#This Row],[Name]], F50)</f>
        <v>C - R - Asbestos Removal</v>
      </c>
      <c r="G51" s="3" t="s">
        <v>49</v>
      </c>
      <c r="H51" t="s">
        <v>1287</v>
      </c>
      <c r="I51" s="3"/>
      <c r="J51" s="21">
        <f ca="1">_xlfn.XLOOKUP(Master[[#This Row],[Checklist]],Ref!A:A,Ref!B:B)*1000</f>
        <v>10000</v>
      </c>
      <c r="K51" s="21">
        <f ca="1">COUNTIF($J$2:Master[[#This Row],[ChecklistID]],Master[[#This Row],[ChecklistID]])-1</f>
        <v>5</v>
      </c>
      <c r="L51" s="23" t="s">
        <v>6</v>
      </c>
    </row>
    <row r="52" spans="1:12" ht="15.75">
      <c r="A52" s="23">
        <f t="shared" si="0"/>
        <v>51</v>
      </c>
      <c r="B52" s="21">
        <f ca="1">Master[[#This Row],[ChecklistID]]+Master[[#This Row],[Checklist Order]]</f>
        <v>11000</v>
      </c>
      <c r="C52" s="22"/>
      <c r="D52" s="3" t="str" cm="1">
        <f t="array" aca="1" ref="D52" ca="1">_xlfn.SWITCH(MID(Master[[#This Row],[Checklist]],1,4),"C - ","Civil","F - ","Foundation","ST -","Structure","FC -","Façade","PRE ","Pre-Line","POST","Post-Line","H - ","Handover","S - ","Services","CST ","Completion Docs", "I - ", "Inspection")</f>
        <v>Foundation</v>
      </c>
      <c r="E52" s="23" t="str">
        <f ca="1">IF(NOT(ISERROR(SEARCH("- S -", Master[[#This Row],[Checklist]]))), "Subcontractor",IF(NOT(ISERROR(SEARCH("- R -", Master[[#This Row],[Checklist]]))), "Ryman",IF(NOT(ISERROR(SEARCH("- C -", Master[[#This Row],[Checklist]]))), "Consultant",IF(NOT(ISERROR(SEARCH("- I -", Master[[#This Row],[Checklist]]))),  "Inspection Test Plan", "Naming Error"))))</f>
        <v>Ryman</v>
      </c>
      <c r="F52" s="24" t="str">
        <f ca="1">IF(OR(Master[[#This Row],[Type]]="checklist", Master[[#This Row],[Type]]="checklist-flat"), Master[[#This Row],[Name]], F51)</f>
        <v>F - R - Crane Piling</v>
      </c>
      <c r="G52" s="3" t="s">
        <v>48</v>
      </c>
      <c r="H52" s="32" t="s">
        <v>1288</v>
      </c>
      <c r="I52" s="15"/>
      <c r="J52" s="21">
        <f ca="1">_xlfn.XLOOKUP(Master[[#This Row],[Checklist]],Ref!A:A,Ref!B:B)*1000</f>
        <v>11000</v>
      </c>
      <c r="K52" s="21">
        <f ca="1">COUNTIF($J$2:Master[[#This Row],[ChecklistID]],Master[[#This Row],[ChecklistID]])-1</f>
        <v>0</v>
      </c>
      <c r="L52" s="23" t="s">
        <v>6</v>
      </c>
    </row>
    <row r="53" spans="1:12" ht="15.75">
      <c r="A53" s="23">
        <f t="shared" si="0"/>
        <v>52</v>
      </c>
      <c r="B53" s="21">
        <f ca="1">Master[[#This Row],[ChecklistID]]+Master[[#This Row],[Checklist Order]]</f>
        <v>11001</v>
      </c>
      <c r="C53" s="22"/>
      <c r="D53" s="3" t="str" cm="1">
        <f t="array" aca="1" ref="D53" ca="1">_xlfn.SWITCH(MID(Master[[#This Row],[Checklist]],1,4),"C - ","Civil","F - ","Foundation","ST -","Structure","FC -","Façade","PRE ","Pre-Line","POST","Post-Line","H - ","Handover","S - ","Services","CST ","Completion Docs", "I - ", "Inspection")</f>
        <v>Foundation</v>
      </c>
      <c r="E53" s="23" t="str">
        <f ca="1">IF(NOT(ISERROR(SEARCH("- S -", Master[[#This Row],[Checklist]]))), "Subcontractor",IF(NOT(ISERROR(SEARCH("- R -", Master[[#This Row],[Checklist]]))), "Ryman",IF(NOT(ISERROR(SEARCH("- C -", Master[[#This Row],[Checklist]]))), "Consultant",IF(NOT(ISERROR(SEARCH("- I -", Master[[#This Row],[Checklist]]))),  "Inspection Test Plan", "Naming Error"))))</f>
        <v>Ryman</v>
      </c>
      <c r="F53" s="24" t="str">
        <f ca="1">IF(OR(Master[[#This Row],[Type]]="checklist", Master[[#This Row],[Type]]="checklist-flat"), Master[[#This Row],[Name]], F52)</f>
        <v>F - R - Crane Piling</v>
      </c>
      <c r="G53" s="15" t="s">
        <v>49</v>
      </c>
      <c r="H53" s="32" t="s">
        <v>1263</v>
      </c>
      <c r="I53" s="15"/>
      <c r="J53" s="21">
        <f ca="1">_xlfn.XLOOKUP(Master[[#This Row],[Checklist]],Ref!A:A,Ref!B:B)*1000</f>
        <v>11000</v>
      </c>
      <c r="K53" s="21">
        <f ca="1">COUNTIF($J$2:Master[[#This Row],[ChecklistID]],Master[[#This Row],[ChecklistID]])-1</f>
        <v>1</v>
      </c>
      <c r="L53" s="23" t="s">
        <v>6</v>
      </c>
    </row>
    <row r="54" spans="1:12" ht="15.75">
      <c r="A54" s="23">
        <f t="shared" si="0"/>
        <v>53</v>
      </c>
      <c r="B54" s="21">
        <f ca="1">Master[[#This Row],[ChecklistID]]+Master[[#This Row],[Checklist Order]]</f>
        <v>11002</v>
      </c>
      <c r="C54" s="22"/>
      <c r="D54" s="3" t="str" cm="1">
        <f t="array" aca="1" ref="D54" ca="1">_xlfn.SWITCH(MID(Master[[#This Row],[Checklist]],1,4),"C - ","Civil","F - ","Foundation","ST -","Structure","FC -","Façade","PRE ","Pre-Line","POST","Post-Line","H - ","Handover","S - ","Services","CST ","Completion Docs", "I - ", "Inspection")</f>
        <v>Foundation</v>
      </c>
      <c r="E54" s="23" t="str">
        <f ca="1">IF(NOT(ISERROR(SEARCH("- S -", Master[[#This Row],[Checklist]]))), "Subcontractor",IF(NOT(ISERROR(SEARCH("- R -", Master[[#This Row],[Checklist]]))), "Ryman",IF(NOT(ISERROR(SEARCH("- C -", Master[[#This Row],[Checklist]]))), "Consultant",IF(NOT(ISERROR(SEARCH("- I -", Master[[#This Row],[Checklist]]))),  "Inspection Test Plan", "Naming Error"))))</f>
        <v>Ryman</v>
      </c>
      <c r="F54" s="24" t="str">
        <f ca="1">IF(OR(Master[[#This Row],[Type]]="checklist", Master[[#This Row],[Type]]="checklist-flat"), Master[[#This Row],[Name]], F53)</f>
        <v>F - R - Crane Piling</v>
      </c>
      <c r="G54" s="15" t="s">
        <v>49</v>
      </c>
      <c r="H54" s="32" t="s">
        <v>1264</v>
      </c>
      <c r="I54" s="15"/>
      <c r="J54" s="21">
        <f ca="1">_xlfn.XLOOKUP(Master[[#This Row],[Checklist]],Ref!A:A,Ref!B:B)*1000</f>
        <v>11000</v>
      </c>
      <c r="K54" s="21">
        <f ca="1">COUNTIF($J$2:Master[[#This Row],[ChecklistID]],Master[[#This Row],[ChecklistID]])-1</f>
        <v>2</v>
      </c>
      <c r="L54" s="23" t="s">
        <v>6</v>
      </c>
    </row>
    <row r="55" spans="1:12" ht="15.75">
      <c r="A55" s="23">
        <f t="shared" si="0"/>
        <v>54</v>
      </c>
      <c r="B55" s="21">
        <f ca="1">Master[[#This Row],[ChecklistID]]+Master[[#This Row],[Checklist Order]]</f>
        <v>11003</v>
      </c>
      <c r="C55" s="22"/>
      <c r="D55" s="3" t="str" cm="1">
        <f t="array" aca="1" ref="D55" ca="1">_xlfn.SWITCH(MID(Master[[#This Row],[Checklist]],1,4),"C - ","Civil","F - ","Foundation","ST -","Structure","FC -","Façade","PRE ","Pre-Line","POST","Post-Line","H - ","Handover","S - ","Services","CST ","Completion Docs", "I - ", "Inspection")</f>
        <v>Foundation</v>
      </c>
      <c r="E55" s="23" t="str">
        <f ca="1">IF(NOT(ISERROR(SEARCH("- S -", Master[[#This Row],[Checklist]]))), "Subcontractor",IF(NOT(ISERROR(SEARCH("- R -", Master[[#This Row],[Checklist]]))), "Ryman",IF(NOT(ISERROR(SEARCH("- C -", Master[[#This Row],[Checklist]]))), "Consultant",IF(NOT(ISERROR(SEARCH("- I -", Master[[#This Row],[Checklist]]))),  "Inspection Test Plan", "Naming Error"))))</f>
        <v>Ryman</v>
      </c>
      <c r="F55" s="24" t="str">
        <f ca="1">IF(OR(Master[[#This Row],[Type]]="checklist", Master[[#This Row],[Type]]="checklist-flat"), Master[[#This Row],[Name]], F54)</f>
        <v>F - R - Crane Piling</v>
      </c>
      <c r="G55" s="15" t="s">
        <v>58</v>
      </c>
      <c r="H55" s="32" t="s">
        <v>306</v>
      </c>
      <c r="I55" s="15"/>
      <c r="J55" s="21">
        <f ca="1">_xlfn.XLOOKUP(Master[[#This Row],[Checklist]],Ref!A:A,Ref!B:B)*1000</f>
        <v>11000</v>
      </c>
      <c r="K55" s="21">
        <f ca="1">COUNTIF($J$2:Master[[#This Row],[ChecklistID]],Master[[#This Row],[ChecklistID]])-1</f>
        <v>3</v>
      </c>
      <c r="L55" s="23" t="s">
        <v>6</v>
      </c>
    </row>
    <row r="56" spans="1:12" ht="15.75">
      <c r="A56" s="23">
        <f t="shared" si="0"/>
        <v>55</v>
      </c>
      <c r="B56" s="21">
        <f ca="1">Master[[#This Row],[ChecklistID]]+Master[[#This Row],[Checklist Order]]</f>
        <v>11004</v>
      </c>
      <c r="C56" s="22"/>
      <c r="D56" s="3" t="str" cm="1">
        <f t="array" aca="1" ref="D56" ca="1">_xlfn.SWITCH(MID(Master[[#This Row],[Checklist]],1,4),"C - ","Civil","F - ","Foundation","ST -","Structure","FC -","Façade","PRE ","Pre-Line","POST","Post-Line","H - ","Handover","S - ","Services","CST ","Completion Docs", "I - ", "Inspection")</f>
        <v>Foundation</v>
      </c>
      <c r="E56" s="23" t="str">
        <f ca="1">IF(NOT(ISERROR(SEARCH("- S -", Master[[#This Row],[Checklist]]))), "Subcontractor",IF(NOT(ISERROR(SEARCH("- R -", Master[[#This Row],[Checklist]]))), "Ryman",IF(NOT(ISERROR(SEARCH("- C -", Master[[#This Row],[Checklist]]))), "Consultant",IF(NOT(ISERROR(SEARCH("- I -", Master[[#This Row],[Checklist]]))),  "Inspection Test Plan", "Naming Error"))))</f>
        <v>Ryman</v>
      </c>
      <c r="F56" s="24" t="str">
        <f ca="1">IF(OR(Master[[#This Row],[Type]]="checklist", Master[[#This Row],[Type]]="checklist-flat"), Master[[#This Row],[Name]], F55)</f>
        <v>F - R - Crane Piling</v>
      </c>
      <c r="G56" s="15" t="s">
        <v>49</v>
      </c>
      <c r="H56" s="32" t="s">
        <v>1289</v>
      </c>
      <c r="I56" s="15"/>
      <c r="J56" s="21">
        <f ca="1">_xlfn.XLOOKUP(Master[[#This Row],[Checklist]],Ref!A:A,Ref!B:B)*1000</f>
        <v>11000</v>
      </c>
      <c r="K56" s="21">
        <f ca="1">COUNTIF($J$2:Master[[#This Row],[ChecklistID]],Master[[#This Row],[ChecklistID]])-1</f>
        <v>4</v>
      </c>
      <c r="L56" s="23" t="s">
        <v>6</v>
      </c>
    </row>
    <row r="57" spans="1:12" ht="15.75">
      <c r="A57" s="23">
        <f t="shared" si="0"/>
        <v>56</v>
      </c>
      <c r="B57" s="21">
        <f ca="1">Master[[#This Row],[ChecklistID]]+Master[[#This Row],[Checklist Order]]</f>
        <v>12000</v>
      </c>
      <c r="C57" s="22"/>
      <c r="D57" s="3" t="str" cm="1">
        <f t="array" aca="1" ref="D57" ca="1">_xlfn.SWITCH(MID(Master[[#This Row],[Checklist]],1,4),"C - ","Civil","F - ","Foundation","ST -","Structure","FC -","Façade","PRE ","Pre-Line","POST","Post-Line","H - ","Handover","S - ","Services","CST ","Completion Docs", "I - ", "Inspection")</f>
        <v>Foundation</v>
      </c>
      <c r="E57" s="23" t="str">
        <f ca="1">IF(NOT(ISERROR(SEARCH("- S -", Master[[#This Row],[Checklist]]))), "Subcontractor",IF(NOT(ISERROR(SEARCH("- R -", Master[[#This Row],[Checklist]]))), "Ryman",IF(NOT(ISERROR(SEARCH("- C -", Master[[#This Row],[Checklist]]))), "Consultant",IF(NOT(ISERROR(SEARCH("- I -", Master[[#This Row],[Checklist]]))),  "Inspection Test Plan", "Naming Error"))))</f>
        <v>Ryman</v>
      </c>
      <c r="F57" s="24" t="str">
        <f ca="1">IF(OR(Master[[#This Row],[Type]]="checklist", Master[[#This Row],[Type]]="checklist-flat"), Master[[#This Row],[Name]], F56)</f>
        <v>F - R - Sheet Piling</v>
      </c>
      <c r="G57" s="3" t="s">
        <v>48</v>
      </c>
      <c r="H57" s="24" t="s">
        <v>1290</v>
      </c>
      <c r="I57" s="3"/>
      <c r="J57" s="21">
        <f ca="1">_xlfn.XLOOKUP(Master[[#This Row],[Checklist]],Ref!A:A,Ref!B:B)*1000</f>
        <v>12000</v>
      </c>
      <c r="K57" s="21">
        <f ca="1">COUNTIF($J$2:Master[[#This Row],[ChecklistID]],Master[[#This Row],[ChecklistID]])-1</f>
        <v>0</v>
      </c>
      <c r="L57" s="23" t="s">
        <v>6</v>
      </c>
    </row>
    <row r="58" spans="1:12" ht="15.75">
      <c r="A58" s="23">
        <f t="shared" si="0"/>
        <v>57</v>
      </c>
      <c r="B58" s="21">
        <f ca="1">Master[[#This Row],[ChecklistID]]+Master[[#This Row],[Checklist Order]]</f>
        <v>12001</v>
      </c>
      <c r="C58" s="22"/>
      <c r="D58" s="3" t="str" cm="1">
        <f t="array" aca="1" ref="D58" ca="1">_xlfn.SWITCH(MID(Master[[#This Row],[Checklist]],1,4),"C - ","Civil","F - ","Foundation","ST -","Structure","FC -","Façade","PRE ","Pre-Line","POST","Post-Line","H - ","Handover","S - ","Services","CST ","Completion Docs", "I - ", "Inspection")</f>
        <v>Foundation</v>
      </c>
      <c r="E58" s="23" t="str">
        <f ca="1">IF(NOT(ISERROR(SEARCH("- S -", Master[[#This Row],[Checklist]]))), "Subcontractor",IF(NOT(ISERROR(SEARCH("- R -", Master[[#This Row],[Checklist]]))), "Ryman",IF(NOT(ISERROR(SEARCH("- C -", Master[[#This Row],[Checklist]]))), "Consultant",IF(NOT(ISERROR(SEARCH("- I -", Master[[#This Row],[Checklist]]))),  "Inspection Test Plan", "Naming Error"))))</f>
        <v>Ryman</v>
      </c>
      <c r="F58" s="24" t="str">
        <f ca="1">IF(OR(Master[[#This Row],[Type]]="checklist", Master[[#This Row],[Type]]="checklist-flat"), Master[[#This Row],[Name]], F57)</f>
        <v>F - R - Sheet Piling</v>
      </c>
      <c r="G58" s="3" t="s">
        <v>49</v>
      </c>
      <c r="H58" s="24" t="s">
        <v>1263</v>
      </c>
      <c r="I58" s="3"/>
      <c r="J58" s="21">
        <f ca="1">_xlfn.XLOOKUP(Master[[#This Row],[Checklist]],Ref!A:A,Ref!B:B)*1000</f>
        <v>12000</v>
      </c>
      <c r="K58" s="21">
        <f ca="1">COUNTIF($J$2:Master[[#This Row],[ChecklistID]],Master[[#This Row],[ChecklistID]])-1</f>
        <v>1</v>
      </c>
      <c r="L58" s="23" t="s">
        <v>6</v>
      </c>
    </row>
    <row r="59" spans="1:12" ht="15.75">
      <c r="A59" s="23">
        <f t="shared" si="0"/>
        <v>58</v>
      </c>
      <c r="B59" s="21">
        <f ca="1">Master[[#This Row],[ChecklistID]]+Master[[#This Row],[Checklist Order]]</f>
        <v>12002</v>
      </c>
      <c r="C59" s="22"/>
      <c r="D59" s="3" t="str" cm="1">
        <f t="array" aca="1" ref="D59" ca="1">_xlfn.SWITCH(MID(Master[[#This Row],[Checklist]],1,4),"C - ","Civil","F - ","Foundation","ST -","Structure","FC -","Façade","PRE ","Pre-Line","POST","Post-Line","H - ","Handover","S - ","Services","CST ","Completion Docs", "I - ", "Inspection")</f>
        <v>Foundation</v>
      </c>
      <c r="E59" s="23" t="str">
        <f ca="1">IF(NOT(ISERROR(SEARCH("- S -", Master[[#This Row],[Checklist]]))), "Subcontractor",IF(NOT(ISERROR(SEARCH("- R -", Master[[#This Row],[Checklist]]))), "Ryman",IF(NOT(ISERROR(SEARCH("- C -", Master[[#This Row],[Checklist]]))), "Consultant",IF(NOT(ISERROR(SEARCH("- I -", Master[[#This Row],[Checklist]]))),  "Inspection Test Plan", "Naming Error"))))</f>
        <v>Ryman</v>
      </c>
      <c r="F59" s="24" t="str">
        <f ca="1">IF(OR(Master[[#This Row],[Type]]="checklist", Master[[#This Row],[Type]]="checklist-flat"), Master[[#This Row],[Name]], F58)</f>
        <v>F - R - Sheet Piling</v>
      </c>
      <c r="G59" s="3" t="s">
        <v>49</v>
      </c>
      <c r="H59" s="24" t="s">
        <v>1264</v>
      </c>
      <c r="I59" s="3"/>
      <c r="J59" s="21">
        <f ca="1">_xlfn.XLOOKUP(Master[[#This Row],[Checklist]],Ref!A:A,Ref!B:B)*1000</f>
        <v>12000</v>
      </c>
      <c r="K59" s="21">
        <f ca="1">COUNTIF($J$2:Master[[#This Row],[ChecklistID]],Master[[#This Row],[ChecklistID]])-1</f>
        <v>2</v>
      </c>
      <c r="L59" s="23" t="s">
        <v>6</v>
      </c>
    </row>
    <row r="60" spans="1:12" ht="15.75">
      <c r="A60" s="23">
        <f t="shared" si="0"/>
        <v>59</v>
      </c>
      <c r="B60" s="21">
        <f ca="1">Master[[#This Row],[ChecklistID]]+Master[[#This Row],[Checklist Order]]</f>
        <v>12003</v>
      </c>
      <c r="C60" s="22"/>
      <c r="D60" s="3" t="str" cm="1">
        <f t="array" aca="1" ref="D60" ca="1">_xlfn.SWITCH(MID(Master[[#This Row],[Checklist]],1,4),"C - ","Civil","F - ","Foundation","ST -","Structure","FC -","Façade","PRE ","Pre-Line","POST","Post-Line","H - ","Handover","S - ","Services","CST ","Completion Docs", "I - ", "Inspection")</f>
        <v>Foundation</v>
      </c>
      <c r="E60" s="23" t="str">
        <f ca="1">IF(NOT(ISERROR(SEARCH("- S -", Master[[#This Row],[Checklist]]))), "Subcontractor",IF(NOT(ISERROR(SEARCH("- R -", Master[[#This Row],[Checklist]]))), "Ryman",IF(NOT(ISERROR(SEARCH("- C -", Master[[#This Row],[Checklist]]))), "Consultant",IF(NOT(ISERROR(SEARCH("- I -", Master[[#This Row],[Checklist]]))),  "Inspection Test Plan", "Naming Error"))))</f>
        <v>Ryman</v>
      </c>
      <c r="F60" s="24" t="str">
        <f ca="1">IF(OR(Master[[#This Row],[Type]]="checklist", Master[[#This Row],[Type]]="checklist-flat"), Master[[#This Row],[Name]], F59)</f>
        <v>F - R - Sheet Piling</v>
      </c>
      <c r="G60" s="3" t="s">
        <v>58</v>
      </c>
      <c r="H60" s="24" t="s">
        <v>306</v>
      </c>
      <c r="I60" s="3"/>
      <c r="J60" s="21">
        <f ca="1">_xlfn.XLOOKUP(Master[[#This Row],[Checklist]],Ref!A:A,Ref!B:B)*1000</f>
        <v>12000</v>
      </c>
      <c r="K60" s="21">
        <f ca="1">COUNTIF($J$2:Master[[#This Row],[ChecklistID]],Master[[#This Row],[ChecklistID]])-1</f>
        <v>3</v>
      </c>
      <c r="L60" s="23" t="s">
        <v>6</v>
      </c>
    </row>
    <row r="61" spans="1:12" ht="15.75">
      <c r="A61" s="23">
        <f t="shared" si="0"/>
        <v>60</v>
      </c>
      <c r="B61" s="21">
        <f ca="1">Master[[#This Row],[ChecklistID]]+Master[[#This Row],[Checklist Order]]</f>
        <v>12004</v>
      </c>
      <c r="C61" s="22"/>
      <c r="D61" s="3" t="str" cm="1">
        <f t="array" aca="1" ref="D61" ca="1">_xlfn.SWITCH(MID(Master[[#This Row],[Checklist]],1,4),"C - ","Civil","F - ","Foundation","ST -","Structure","FC -","Façade","PRE ","Pre-Line","POST","Post-Line","H - ","Handover","S - ","Services","CST ","Completion Docs", "I - ", "Inspection")</f>
        <v>Foundation</v>
      </c>
      <c r="E61" s="23" t="str">
        <f ca="1">IF(NOT(ISERROR(SEARCH("- S -", Master[[#This Row],[Checklist]]))), "Subcontractor",IF(NOT(ISERROR(SEARCH("- R -", Master[[#This Row],[Checklist]]))), "Ryman",IF(NOT(ISERROR(SEARCH("- C -", Master[[#This Row],[Checklist]]))), "Consultant",IF(NOT(ISERROR(SEARCH("- I -", Master[[#This Row],[Checklist]]))),  "Inspection Test Plan", "Naming Error"))))</f>
        <v>Ryman</v>
      </c>
      <c r="F61" s="24" t="str">
        <f ca="1">IF(OR(Master[[#This Row],[Type]]="checklist", Master[[#This Row],[Type]]="checklist-flat"), Master[[#This Row],[Name]], F60)</f>
        <v>F - R - Sheet Piling</v>
      </c>
      <c r="G61" s="3" t="s">
        <v>49</v>
      </c>
      <c r="H61" s="24" t="s">
        <v>117</v>
      </c>
      <c r="I61" s="3"/>
      <c r="J61" s="21">
        <f ca="1">_xlfn.XLOOKUP(Master[[#This Row],[Checklist]],Ref!A:A,Ref!B:B)*1000</f>
        <v>12000</v>
      </c>
      <c r="K61" s="21">
        <f ca="1">COUNTIF($J$2:Master[[#This Row],[ChecklistID]],Master[[#This Row],[ChecklistID]])-1</f>
        <v>4</v>
      </c>
      <c r="L61" s="23" t="s">
        <v>6</v>
      </c>
    </row>
    <row r="62" spans="1:12" ht="15.75">
      <c r="A62" s="23">
        <f t="shared" si="0"/>
        <v>61</v>
      </c>
      <c r="B62" s="21">
        <f ca="1">Master[[#This Row],[ChecklistID]]+Master[[#This Row],[Checklist Order]]</f>
        <v>13000</v>
      </c>
      <c r="C62" s="22"/>
      <c r="D62" s="3" t="str" cm="1">
        <f t="array" aca="1" ref="D62" ca="1">_xlfn.SWITCH(MID(Master[[#This Row],[Checklist]],1,4),"C - ","Civil","F - ","Foundation","ST -","Structure","FC -","Façade","PRE ","Pre-Line","POST","Post-Line","H - ","Handover","S - ","Services","CST ","Completion Docs", "I - ", "Inspection")</f>
        <v>Foundation</v>
      </c>
      <c r="E62" s="23" t="str">
        <f ca="1">IF(NOT(ISERROR(SEARCH("- S -", Master[[#This Row],[Checklist]]))), "Subcontractor",IF(NOT(ISERROR(SEARCH("- R -", Master[[#This Row],[Checklist]]))), "Ryman",IF(NOT(ISERROR(SEARCH("- C -", Master[[#This Row],[Checklist]]))), "Consultant",IF(NOT(ISERROR(SEARCH("- I -", Master[[#This Row],[Checklist]]))),  "Inspection Test Plan", "Naming Error"))))</f>
        <v>Ryman</v>
      </c>
      <c r="F62" s="24" t="str">
        <f ca="1">IF(OR(Master[[#This Row],[Type]]="checklist", Master[[#This Row],[Type]]="checklist-flat"), Master[[#This Row],[Name]], F61)</f>
        <v>F - R - Piling</v>
      </c>
      <c r="G62" s="3" t="s">
        <v>48</v>
      </c>
      <c r="H62" s="24" t="s">
        <v>1291</v>
      </c>
      <c r="I62" s="3"/>
      <c r="J62" s="21">
        <f ca="1">_xlfn.XLOOKUP(Master[[#This Row],[Checklist]],Ref!A:A,Ref!B:B)*1000</f>
        <v>13000</v>
      </c>
      <c r="K62" s="21">
        <f ca="1">COUNTIF($J$2:Master[[#This Row],[ChecklistID]],Master[[#This Row],[ChecklistID]])-1</f>
        <v>0</v>
      </c>
      <c r="L62" s="23" t="s">
        <v>6</v>
      </c>
    </row>
    <row r="63" spans="1:12" ht="15.75">
      <c r="A63" s="23">
        <f t="shared" si="0"/>
        <v>62</v>
      </c>
      <c r="B63" s="21">
        <f ca="1">Master[[#This Row],[ChecklistID]]+Master[[#This Row],[Checklist Order]]</f>
        <v>13001</v>
      </c>
      <c r="C63" s="22"/>
      <c r="D63" s="3" t="str" cm="1">
        <f t="array" aca="1" ref="D63" ca="1">_xlfn.SWITCH(MID(Master[[#This Row],[Checklist]],1,4),"C - ","Civil","F - ","Foundation","ST -","Structure","FC -","Façade","PRE ","Pre-Line","POST","Post-Line","H - ","Handover","S - ","Services","CST ","Completion Docs", "I - ", "Inspection")</f>
        <v>Foundation</v>
      </c>
      <c r="E63" s="23" t="str">
        <f ca="1">IF(NOT(ISERROR(SEARCH("- S -", Master[[#This Row],[Checklist]]))), "Subcontractor",IF(NOT(ISERROR(SEARCH("- R -", Master[[#This Row],[Checklist]]))), "Ryman",IF(NOT(ISERROR(SEARCH("- C -", Master[[#This Row],[Checklist]]))), "Consultant",IF(NOT(ISERROR(SEARCH("- I -", Master[[#This Row],[Checklist]]))),  "Inspection Test Plan", "Naming Error"))))</f>
        <v>Ryman</v>
      </c>
      <c r="F63" s="24" t="str">
        <f ca="1">IF(OR(Master[[#This Row],[Type]]="checklist", Master[[#This Row],[Type]]="checklist-flat"), Master[[#This Row],[Name]], F62)</f>
        <v>F - R - Piling</v>
      </c>
      <c r="G63" s="3" t="s">
        <v>49</v>
      </c>
      <c r="H63" s="24" t="s">
        <v>1263</v>
      </c>
      <c r="I63" s="3"/>
      <c r="J63" s="21">
        <f ca="1">_xlfn.XLOOKUP(Master[[#This Row],[Checklist]],Ref!A:A,Ref!B:B)*1000</f>
        <v>13000</v>
      </c>
      <c r="K63" s="21">
        <f ca="1">COUNTIF($J$2:Master[[#This Row],[ChecklistID]],Master[[#This Row],[ChecklistID]])-1</f>
        <v>1</v>
      </c>
      <c r="L63" s="23" t="s">
        <v>6</v>
      </c>
    </row>
    <row r="64" spans="1:12" ht="15.75">
      <c r="A64" s="23">
        <f t="shared" si="0"/>
        <v>63</v>
      </c>
      <c r="B64" s="21">
        <f ca="1">Master[[#This Row],[ChecklistID]]+Master[[#This Row],[Checklist Order]]</f>
        <v>13002</v>
      </c>
      <c r="C64" s="22"/>
      <c r="D64" s="3" t="str" cm="1">
        <f t="array" aca="1" ref="D64" ca="1">_xlfn.SWITCH(MID(Master[[#This Row],[Checklist]],1,4),"C - ","Civil","F - ","Foundation","ST -","Structure","FC -","Façade","PRE ","Pre-Line","POST","Post-Line","H - ","Handover","S - ","Services","CST ","Completion Docs", "I - ", "Inspection")</f>
        <v>Foundation</v>
      </c>
      <c r="E64" s="23" t="str">
        <f ca="1">IF(NOT(ISERROR(SEARCH("- S -", Master[[#This Row],[Checklist]]))), "Subcontractor",IF(NOT(ISERROR(SEARCH("- R -", Master[[#This Row],[Checklist]]))), "Ryman",IF(NOT(ISERROR(SEARCH("- C -", Master[[#This Row],[Checklist]]))), "Consultant",IF(NOT(ISERROR(SEARCH("- I -", Master[[#This Row],[Checklist]]))),  "Inspection Test Plan", "Naming Error"))))</f>
        <v>Ryman</v>
      </c>
      <c r="F64" s="24" t="str">
        <f ca="1">IF(OR(Master[[#This Row],[Type]]="checklist", Master[[#This Row],[Type]]="checklist-flat"), Master[[#This Row],[Name]], F63)</f>
        <v>F - R - Piling</v>
      </c>
      <c r="G64" s="3" t="s">
        <v>49</v>
      </c>
      <c r="H64" s="24" t="s">
        <v>1264</v>
      </c>
      <c r="I64" s="3"/>
      <c r="J64" s="21">
        <f ca="1">_xlfn.XLOOKUP(Master[[#This Row],[Checklist]],Ref!A:A,Ref!B:B)*1000</f>
        <v>13000</v>
      </c>
      <c r="K64" s="21">
        <f ca="1">COUNTIF($J$2:Master[[#This Row],[ChecklistID]],Master[[#This Row],[ChecklistID]])-1</f>
        <v>2</v>
      </c>
      <c r="L64" s="23" t="s">
        <v>6</v>
      </c>
    </row>
    <row r="65" spans="1:12" ht="15.75">
      <c r="A65" s="23">
        <f t="shared" si="0"/>
        <v>64</v>
      </c>
      <c r="B65" s="21">
        <f ca="1">Master[[#This Row],[ChecklistID]]+Master[[#This Row],[Checklist Order]]</f>
        <v>13003</v>
      </c>
      <c r="C65" s="22"/>
      <c r="D65" s="3" t="str" cm="1">
        <f t="array" aca="1" ref="D65" ca="1">_xlfn.SWITCH(MID(Master[[#This Row],[Checklist]],1,4),"C - ","Civil","F - ","Foundation","ST -","Structure","FC -","Façade","PRE ","Pre-Line","POST","Post-Line","H - ","Handover","S - ","Services","CST ","Completion Docs", "I - ", "Inspection")</f>
        <v>Foundation</v>
      </c>
      <c r="E65" s="23" t="str">
        <f ca="1">IF(NOT(ISERROR(SEARCH("- S -", Master[[#This Row],[Checklist]]))), "Subcontractor",IF(NOT(ISERROR(SEARCH("- R -", Master[[#This Row],[Checklist]]))), "Ryman",IF(NOT(ISERROR(SEARCH("- C -", Master[[#This Row],[Checklist]]))), "Consultant",IF(NOT(ISERROR(SEARCH("- I -", Master[[#This Row],[Checklist]]))),  "Inspection Test Plan", "Naming Error"))))</f>
        <v>Ryman</v>
      </c>
      <c r="F65" s="24" t="str">
        <f ca="1">IF(OR(Master[[#This Row],[Type]]="checklist", Master[[#This Row],[Type]]="checklist-flat"), Master[[#This Row],[Name]], F64)</f>
        <v>F - R - Piling</v>
      </c>
      <c r="G65" s="3" t="s">
        <v>58</v>
      </c>
      <c r="H65" s="24" t="s">
        <v>306</v>
      </c>
      <c r="I65" s="3"/>
      <c r="J65" s="21">
        <f ca="1">_xlfn.XLOOKUP(Master[[#This Row],[Checklist]],Ref!A:A,Ref!B:B)*1000</f>
        <v>13000</v>
      </c>
      <c r="K65" s="21">
        <f ca="1">COUNTIF($J$2:Master[[#This Row],[ChecklistID]],Master[[#This Row],[ChecklistID]])-1</f>
        <v>3</v>
      </c>
      <c r="L65" s="23" t="s">
        <v>6</v>
      </c>
    </row>
    <row r="66" spans="1:12" ht="15.75">
      <c r="A66" s="23">
        <f t="shared" ref="A66:A129" si="1">IFERROR(A65+1,1)</f>
        <v>65</v>
      </c>
      <c r="B66" s="21">
        <f ca="1">Master[[#This Row],[ChecklistID]]+Master[[#This Row],[Checklist Order]]</f>
        <v>13004</v>
      </c>
      <c r="C66" s="22"/>
      <c r="D66" s="3" t="str" cm="1">
        <f t="array" aca="1" ref="D66" ca="1">_xlfn.SWITCH(MID(Master[[#This Row],[Checklist]],1,4),"C - ","Civil","F - ","Foundation","ST -","Structure","FC -","Façade","PRE ","Pre-Line","POST","Post-Line","H - ","Handover","S - ","Services","CST ","Completion Docs", "I - ", "Inspection")</f>
        <v>Foundation</v>
      </c>
      <c r="E66" s="23" t="str">
        <f ca="1">IF(NOT(ISERROR(SEARCH("- S -", Master[[#This Row],[Checklist]]))), "Subcontractor",IF(NOT(ISERROR(SEARCH("- R -", Master[[#This Row],[Checklist]]))), "Ryman",IF(NOT(ISERROR(SEARCH("- C -", Master[[#This Row],[Checklist]]))), "Consultant",IF(NOT(ISERROR(SEARCH("- I -", Master[[#This Row],[Checklist]]))),  "Inspection Test Plan", "Naming Error"))))</f>
        <v>Ryman</v>
      </c>
      <c r="F66" s="24" t="str">
        <f ca="1">IF(OR(Master[[#This Row],[Type]]="checklist", Master[[#This Row],[Type]]="checklist-flat"), Master[[#This Row],[Name]], F65)</f>
        <v>F - R - Piling</v>
      </c>
      <c r="G66" s="3" t="s">
        <v>49</v>
      </c>
      <c r="H66" s="24" t="s">
        <v>1292</v>
      </c>
      <c r="I66" s="3"/>
      <c r="J66" s="21">
        <f ca="1">_xlfn.XLOOKUP(Master[[#This Row],[Checklist]],Ref!A:A,Ref!B:B)*1000</f>
        <v>13000</v>
      </c>
      <c r="K66" s="21">
        <f ca="1">COUNTIF($J$2:Master[[#This Row],[ChecklistID]],Master[[#This Row],[ChecklistID]])-1</f>
        <v>4</v>
      </c>
      <c r="L66" s="23" t="s">
        <v>6</v>
      </c>
    </row>
    <row r="67" spans="1:12" ht="15.75">
      <c r="A67" s="23">
        <f t="shared" si="1"/>
        <v>66</v>
      </c>
      <c r="B67" s="21">
        <f ca="1">Master[[#This Row],[ChecklistID]]+Master[[#This Row],[Checklist Order]]</f>
        <v>14000</v>
      </c>
      <c r="C67" s="22"/>
      <c r="D67" s="3" t="str" cm="1">
        <f t="array" aca="1" ref="D67" ca="1">_xlfn.SWITCH(MID(Master[[#This Row],[Checklist]],1,4),"C - ","Civil","F - ","Foundation","ST -","Structure","FC -","Façade","PRE ","Pre-Line","POST","Post-Line","H - ","Handover","S - ","Services","CST ","Completion Docs", "I - ", "Inspection")</f>
        <v>Foundation</v>
      </c>
      <c r="E67" s="23" t="str">
        <f ca="1">IF(NOT(ISERROR(SEARCH("- S -", Master[[#This Row],[Checklist]]))), "Subcontractor",IF(NOT(ISERROR(SEARCH("- R -", Master[[#This Row],[Checklist]]))), "Ryman",IF(NOT(ISERROR(SEARCH("- C -", Master[[#This Row],[Checklist]]))), "Consultant",IF(NOT(ISERROR(SEARCH("- I -", Master[[#This Row],[Checklist]]))),  "Inspection Test Plan", "Naming Error"))))</f>
        <v>Ryman</v>
      </c>
      <c r="F67" s="24" t="str">
        <f ca="1">IF(OR(Master[[#This Row],[Type]]="checklist", Master[[#This Row],[Type]]="checklist-flat"), Master[[#This Row],[Name]], F66)</f>
        <v>F - R - Shell Beam Installation</v>
      </c>
      <c r="G67" s="3" t="s">
        <v>48</v>
      </c>
      <c r="H67" s="24" t="s">
        <v>1293</v>
      </c>
      <c r="I67" s="3"/>
      <c r="J67" s="21">
        <f ca="1">_xlfn.XLOOKUP(Master[[#This Row],[Checklist]],Ref!A:A,Ref!B:B)*1000</f>
        <v>14000</v>
      </c>
      <c r="K67" s="21">
        <f ca="1">COUNTIF($J$2:Master[[#This Row],[ChecklistID]],Master[[#This Row],[ChecklistID]])-1</f>
        <v>0</v>
      </c>
      <c r="L67" s="23" t="s">
        <v>6</v>
      </c>
    </row>
    <row r="68" spans="1:12" ht="15.75">
      <c r="A68" s="23">
        <f t="shared" si="1"/>
        <v>67</v>
      </c>
      <c r="B68" s="21">
        <f ca="1">Master[[#This Row],[ChecklistID]]+Master[[#This Row],[Checklist Order]]</f>
        <v>14001</v>
      </c>
      <c r="C68" s="22"/>
      <c r="D68" s="3" t="str" cm="1">
        <f t="array" aca="1" ref="D68" ca="1">_xlfn.SWITCH(MID(Master[[#This Row],[Checklist]],1,4),"C - ","Civil","F - ","Foundation","ST -","Structure","FC -","Façade","PRE ","Pre-Line","POST","Post-Line","H - ","Handover","S - ","Services","CST ","Completion Docs", "I - ", "Inspection")</f>
        <v>Foundation</v>
      </c>
      <c r="E68" s="23" t="str">
        <f ca="1">IF(NOT(ISERROR(SEARCH("- S -", Master[[#This Row],[Checklist]]))), "Subcontractor",IF(NOT(ISERROR(SEARCH("- R -", Master[[#This Row],[Checklist]]))), "Ryman",IF(NOT(ISERROR(SEARCH("- C -", Master[[#This Row],[Checklist]]))), "Consultant",IF(NOT(ISERROR(SEARCH("- I -", Master[[#This Row],[Checklist]]))),  "Inspection Test Plan", "Naming Error"))))</f>
        <v>Ryman</v>
      </c>
      <c r="F68" s="24" t="str">
        <f ca="1">IF(OR(Master[[#This Row],[Type]]="checklist", Master[[#This Row],[Type]]="checklist-flat"), Master[[#This Row],[Name]], F67)</f>
        <v>F - R - Shell Beam Installation</v>
      </c>
      <c r="G68" s="3" t="s">
        <v>49</v>
      </c>
      <c r="H68" s="24" t="s">
        <v>1263</v>
      </c>
      <c r="I68" s="3"/>
      <c r="J68" s="21">
        <f ca="1">_xlfn.XLOOKUP(Master[[#This Row],[Checklist]],Ref!A:A,Ref!B:B)*1000</f>
        <v>14000</v>
      </c>
      <c r="K68" s="21">
        <f ca="1">COUNTIF($J$2:Master[[#This Row],[ChecklistID]],Master[[#This Row],[ChecklistID]])-1</f>
        <v>1</v>
      </c>
      <c r="L68" s="23" t="s">
        <v>6</v>
      </c>
    </row>
    <row r="69" spans="1:12" ht="15.75">
      <c r="A69" s="23">
        <f t="shared" si="1"/>
        <v>68</v>
      </c>
      <c r="B69" s="21">
        <f ca="1">Master[[#This Row],[ChecklistID]]+Master[[#This Row],[Checklist Order]]</f>
        <v>14002</v>
      </c>
      <c r="C69" s="22"/>
      <c r="D69" s="3" t="str" cm="1">
        <f t="array" aca="1" ref="D69" ca="1">_xlfn.SWITCH(MID(Master[[#This Row],[Checklist]],1,4),"C - ","Civil","F - ","Foundation","ST -","Structure","FC -","Façade","PRE ","Pre-Line","POST","Post-Line","H - ","Handover","S - ","Services","CST ","Completion Docs", "I - ", "Inspection")</f>
        <v>Foundation</v>
      </c>
      <c r="E69" s="23" t="str">
        <f ca="1">IF(NOT(ISERROR(SEARCH("- S -", Master[[#This Row],[Checklist]]))), "Subcontractor",IF(NOT(ISERROR(SEARCH("- R -", Master[[#This Row],[Checklist]]))), "Ryman",IF(NOT(ISERROR(SEARCH("- C -", Master[[#This Row],[Checklist]]))), "Consultant",IF(NOT(ISERROR(SEARCH("- I -", Master[[#This Row],[Checklist]]))),  "Inspection Test Plan", "Naming Error"))))</f>
        <v>Ryman</v>
      </c>
      <c r="F69" s="24" t="str">
        <f ca="1">IF(OR(Master[[#This Row],[Type]]="checklist", Master[[#This Row],[Type]]="checklist-flat"), Master[[#This Row],[Name]], F68)</f>
        <v>F - R - Shell Beam Installation</v>
      </c>
      <c r="G69" s="3" t="s">
        <v>49</v>
      </c>
      <c r="H69" s="24" t="s">
        <v>1264</v>
      </c>
      <c r="I69" s="3"/>
      <c r="J69" s="21">
        <f ca="1">_xlfn.XLOOKUP(Master[[#This Row],[Checklist]],Ref!A:A,Ref!B:B)*1000</f>
        <v>14000</v>
      </c>
      <c r="K69" s="21">
        <f ca="1">COUNTIF($J$2:Master[[#This Row],[ChecklistID]],Master[[#This Row],[ChecklistID]])-1</f>
        <v>2</v>
      </c>
      <c r="L69" s="23" t="s">
        <v>6</v>
      </c>
    </row>
    <row r="70" spans="1:12" ht="15.75">
      <c r="A70" s="23">
        <f t="shared" si="1"/>
        <v>69</v>
      </c>
      <c r="B70" s="21">
        <f ca="1">Master[[#This Row],[ChecklistID]]+Master[[#This Row],[Checklist Order]]</f>
        <v>14003</v>
      </c>
      <c r="C70" s="22"/>
      <c r="D70" s="3" t="str" cm="1">
        <f t="array" aca="1" ref="D70" ca="1">_xlfn.SWITCH(MID(Master[[#This Row],[Checklist]],1,4),"C - ","Civil","F - ","Foundation","ST -","Structure","FC -","Façade","PRE ","Pre-Line","POST","Post-Line","H - ","Handover","S - ","Services","CST ","Completion Docs", "I - ", "Inspection")</f>
        <v>Foundation</v>
      </c>
      <c r="E70" s="23" t="str">
        <f ca="1">IF(NOT(ISERROR(SEARCH("- S -", Master[[#This Row],[Checklist]]))), "Subcontractor",IF(NOT(ISERROR(SEARCH("- R -", Master[[#This Row],[Checklist]]))), "Ryman",IF(NOT(ISERROR(SEARCH("- C -", Master[[#This Row],[Checklist]]))), "Consultant",IF(NOT(ISERROR(SEARCH("- I -", Master[[#This Row],[Checklist]]))),  "Inspection Test Plan", "Naming Error"))))</f>
        <v>Ryman</v>
      </c>
      <c r="F70" s="24" t="str">
        <f ca="1">IF(OR(Master[[#This Row],[Type]]="checklist", Master[[#This Row],[Type]]="checklist-flat"), Master[[#This Row],[Name]], F69)</f>
        <v>F - R - Shell Beam Installation</v>
      </c>
      <c r="G70" s="3" t="s">
        <v>58</v>
      </c>
      <c r="H70" s="24" t="s">
        <v>306</v>
      </c>
      <c r="I70" s="3"/>
      <c r="J70" s="21">
        <f ca="1">_xlfn.XLOOKUP(Master[[#This Row],[Checklist]],Ref!A:A,Ref!B:B)*1000</f>
        <v>14000</v>
      </c>
      <c r="K70" s="21">
        <f ca="1">COUNTIF($J$2:Master[[#This Row],[ChecklistID]],Master[[#This Row],[ChecklistID]])-1</f>
        <v>3</v>
      </c>
      <c r="L70" s="23" t="s">
        <v>6</v>
      </c>
    </row>
    <row r="71" spans="1:12" ht="15.75">
      <c r="A71" s="23">
        <f t="shared" si="1"/>
        <v>70</v>
      </c>
      <c r="B71" s="21">
        <f ca="1">Master[[#This Row],[ChecklistID]]+Master[[#This Row],[Checklist Order]]</f>
        <v>14004</v>
      </c>
      <c r="C71" s="22"/>
      <c r="D71" s="3" t="str" cm="1">
        <f t="array" aca="1" ref="D71" ca="1">_xlfn.SWITCH(MID(Master[[#This Row],[Checklist]],1,4),"C - ","Civil","F - ","Foundation","ST -","Structure","FC -","Façade","PRE ","Pre-Line","POST","Post-Line","H - ","Handover","S - ","Services","CST ","Completion Docs", "I - ", "Inspection")</f>
        <v>Foundation</v>
      </c>
      <c r="E71" s="23" t="str">
        <f ca="1">IF(NOT(ISERROR(SEARCH("- S -", Master[[#This Row],[Checklist]]))), "Subcontractor",IF(NOT(ISERROR(SEARCH("- R -", Master[[#This Row],[Checklist]]))), "Ryman",IF(NOT(ISERROR(SEARCH("- C -", Master[[#This Row],[Checklist]]))), "Consultant",IF(NOT(ISERROR(SEARCH("- I -", Master[[#This Row],[Checklist]]))),  "Inspection Test Plan", "Naming Error"))))</f>
        <v>Ryman</v>
      </c>
      <c r="F71" s="24" t="str">
        <f ca="1">IF(OR(Master[[#This Row],[Type]]="checklist", Master[[#This Row],[Type]]="checklist-flat"), Master[[#This Row],[Name]], F70)</f>
        <v>F - R - Shell Beam Installation</v>
      </c>
      <c r="G71" s="3" t="s">
        <v>49</v>
      </c>
      <c r="H71" s="24" t="s">
        <v>1294</v>
      </c>
      <c r="I71" s="3"/>
      <c r="J71" s="21">
        <f ca="1">_xlfn.XLOOKUP(Master[[#This Row],[Checklist]],Ref!A:A,Ref!B:B)*1000</f>
        <v>14000</v>
      </c>
      <c r="K71" s="21">
        <f ca="1">COUNTIF($J$2:Master[[#This Row],[ChecklistID]],Master[[#This Row],[ChecklistID]])-1</f>
        <v>4</v>
      </c>
      <c r="L71" s="23" t="s">
        <v>6</v>
      </c>
    </row>
    <row r="72" spans="1:12" ht="15.75">
      <c r="A72" s="23">
        <f t="shared" si="1"/>
        <v>71</v>
      </c>
      <c r="B72" s="21">
        <f ca="1">Master[[#This Row],[ChecklistID]]+Master[[#This Row],[Checklist Order]]</f>
        <v>15000</v>
      </c>
      <c r="C72" s="22"/>
      <c r="D72" s="3" t="str" cm="1">
        <f t="array" aca="1" ref="D72" ca="1">_xlfn.SWITCH(MID(Master[[#This Row],[Checklist]],1,4),"C - ","Civil","F - ","Foundation","ST -","Structure","FC -","Façade","PRE ","Pre-Line","POST","Post-Line","H - ","Handover","S - ","Services","CST ","Completion Docs", "I - ", "Inspection")</f>
        <v>Foundation</v>
      </c>
      <c r="E72" s="23" t="str">
        <f ca="1">IF(NOT(ISERROR(SEARCH("- S -", Master[[#This Row],[Checklist]]))), "Subcontractor",IF(NOT(ISERROR(SEARCH("- R -", Master[[#This Row],[Checklist]]))), "Ryman",IF(NOT(ISERROR(SEARCH("- C -", Master[[#This Row],[Checklist]]))), "Consultant",IF(NOT(ISERROR(SEARCH("- I -", Master[[#This Row],[Checklist]]))),  "Inspection Test Plan", "Naming Error"))))</f>
        <v>Ryman</v>
      </c>
      <c r="F72" s="24" t="str">
        <f ca="1">IF(OR(Master[[#This Row],[Type]]="checklist", Master[[#This Row],[Type]]="checklist-flat"), Master[[#This Row],[Name]], F71)</f>
        <v>F - R - Backfilling</v>
      </c>
      <c r="G72" s="3" t="s">
        <v>48</v>
      </c>
      <c r="H72" s="24" t="s">
        <v>1295</v>
      </c>
      <c r="I72" s="3"/>
      <c r="J72" s="21">
        <f ca="1">_xlfn.XLOOKUP(Master[[#This Row],[Checklist]],Ref!A:A,Ref!B:B)*1000</f>
        <v>15000</v>
      </c>
      <c r="K72" s="21">
        <f ca="1">COUNTIF($J$2:Master[[#This Row],[ChecklistID]],Master[[#This Row],[ChecklistID]])-1</f>
        <v>0</v>
      </c>
      <c r="L72" s="23" t="s">
        <v>6</v>
      </c>
    </row>
    <row r="73" spans="1:12" ht="15.75">
      <c r="A73" s="23">
        <f t="shared" si="1"/>
        <v>72</v>
      </c>
      <c r="B73" s="21">
        <f ca="1">Master[[#This Row],[ChecklistID]]+Master[[#This Row],[Checklist Order]]</f>
        <v>15001</v>
      </c>
      <c r="C73" s="22"/>
      <c r="D73" s="3" t="str" cm="1">
        <f t="array" aca="1" ref="D73" ca="1">_xlfn.SWITCH(MID(Master[[#This Row],[Checklist]],1,4),"C - ","Civil","F - ","Foundation","ST -","Structure","FC -","Façade","PRE ","Pre-Line","POST","Post-Line","H - ","Handover","S - ","Services","CST ","Completion Docs", "I - ", "Inspection")</f>
        <v>Foundation</v>
      </c>
      <c r="E73" s="23" t="str">
        <f ca="1">IF(NOT(ISERROR(SEARCH("- S -", Master[[#This Row],[Checklist]]))), "Subcontractor",IF(NOT(ISERROR(SEARCH("- R -", Master[[#This Row],[Checklist]]))), "Ryman",IF(NOT(ISERROR(SEARCH("- C -", Master[[#This Row],[Checklist]]))), "Consultant",IF(NOT(ISERROR(SEARCH("- I -", Master[[#This Row],[Checklist]]))),  "Inspection Test Plan", "Naming Error"))))</f>
        <v>Ryman</v>
      </c>
      <c r="F73" s="24" t="str">
        <f ca="1">IF(OR(Master[[#This Row],[Type]]="checklist", Master[[#This Row],[Type]]="checklist-flat"), Master[[#This Row],[Name]], F72)</f>
        <v>F - R - Backfilling</v>
      </c>
      <c r="G73" s="3" t="s">
        <v>49</v>
      </c>
      <c r="H73" s="24" t="s">
        <v>1263</v>
      </c>
      <c r="I73" s="3"/>
      <c r="J73" s="21">
        <f ca="1">_xlfn.XLOOKUP(Master[[#This Row],[Checklist]],Ref!A:A,Ref!B:B)*1000</f>
        <v>15000</v>
      </c>
      <c r="K73" s="21">
        <f ca="1">COUNTIF($J$2:Master[[#This Row],[ChecklistID]],Master[[#This Row],[ChecklistID]])-1</f>
        <v>1</v>
      </c>
      <c r="L73" s="23" t="s">
        <v>6</v>
      </c>
    </row>
    <row r="74" spans="1:12" ht="15.75">
      <c r="A74" s="23">
        <f t="shared" si="1"/>
        <v>73</v>
      </c>
      <c r="B74" s="21">
        <f ca="1">Master[[#This Row],[ChecklistID]]+Master[[#This Row],[Checklist Order]]</f>
        <v>15002</v>
      </c>
      <c r="C74" s="22"/>
      <c r="D74" s="3" t="str" cm="1">
        <f t="array" aca="1" ref="D74" ca="1">_xlfn.SWITCH(MID(Master[[#This Row],[Checklist]],1,4),"C - ","Civil","F - ","Foundation","ST -","Structure","FC -","Façade","PRE ","Pre-Line","POST","Post-Line","H - ","Handover","S - ","Services","CST ","Completion Docs", "I - ", "Inspection")</f>
        <v>Foundation</v>
      </c>
      <c r="E74" s="23" t="str">
        <f ca="1">IF(NOT(ISERROR(SEARCH("- S -", Master[[#This Row],[Checklist]]))), "Subcontractor",IF(NOT(ISERROR(SEARCH("- R -", Master[[#This Row],[Checklist]]))), "Ryman",IF(NOT(ISERROR(SEARCH("- C -", Master[[#This Row],[Checklist]]))), "Consultant",IF(NOT(ISERROR(SEARCH("- I -", Master[[#This Row],[Checklist]]))),  "Inspection Test Plan", "Naming Error"))))</f>
        <v>Ryman</v>
      </c>
      <c r="F74" s="24" t="str">
        <f ca="1">IF(OR(Master[[#This Row],[Type]]="checklist", Master[[#This Row],[Type]]="checklist-flat"), Master[[#This Row],[Name]], F73)</f>
        <v>F - R - Backfilling</v>
      </c>
      <c r="G74" s="3" t="s">
        <v>49</v>
      </c>
      <c r="H74" s="24" t="s">
        <v>1264</v>
      </c>
      <c r="I74" s="3"/>
      <c r="J74" s="21">
        <f ca="1">_xlfn.XLOOKUP(Master[[#This Row],[Checklist]],Ref!A:A,Ref!B:B)*1000</f>
        <v>15000</v>
      </c>
      <c r="K74" s="21">
        <f ca="1">COUNTIF($J$2:Master[[#This Row],[ChecklistID]],Master[[#This Row],[ChecklistID]])-1</f>
        <v>2</v>
      </c>
      <c r="L74" s="23" t="s">
        <v>6</v>
      </c>
    </row>
    <row r="75" spans="1:12" ht="15.75">
      <c r="A75" s="23">
        <f t="shared" si="1"/>
        <v>74</v>
      </c>
      <c r="B75" s="21">
        <f ca="1">Master[[#This Row],[ChecklistID]]+Master[[#This Row],[Checklist Order]]</f>
        <v>15003</v>
      </c>
      <c r="C75" s="22"/>
      <c r="D75" s="3" t="str" cm="1">
        <f t="array" aca="1" ref="D75" ca="1">_xlfn.SWITCH(MID(Master[[#This Row],[Checklist]],1,4),"C - ","Civil","F - ","Foundation","ST -","Structure","FC -","Façade","PRE ","Pre-Line","POST","Post-Line","H - ","Handover","S - ","Services","CST ","Completion Docs", "I - ", "Inspection")</f>
        <v>Foundation</v>
      </c>
      <c r="E75" s="23" t="str">
        <f ca="1">IF(NOT(ISERROR(SEARCH("- S -", Master[[#This Row],[Checklist]]))), "Subcontractor",IF(NOT(ISERROR(SEARCH("- R -", Master[[#This Row],[Checklist]]))), "Ryman",IF(NOT(ISERROR(SEARCH("- C -", Master[[#This Row],[Checklist]]))), "Consultant",IF(NOT(ISERROR(SEARCH("- I -", Master[[#This Row],[Checklist]]))),  "Inspection Test Plan", "Naming Error"))))</f>
        <v>Ryman</v>
      </c>
      <c r="F75" s="24" t="str">
        <f ca="1">IF(OR(Master[[#This Row],[Type]]="checklist", Master[[#This Row],[Type]]="checklist-flat"), Master[[#This Row],[Name]], F74)</f>
        <v>F - R - Backfilling</v>
      </c>
      <c r="G75" s="3" t="s">
        <v>58</v>
      </c>
      <c r="H75" s="24" t="s">
        <v>306</v>
      </c>
      <c r="I75" s="3"/>
      <c r="J75" s="21">
        <f ca="1">_xlfn.XLOOKUP(Master[[#This Row],[Checklist]],Ref!A:A,Ref!B:B)*1000</f>
        <v>15000</v>
      </c>
      <c r="K75" s="21">
        <f ca="1">COUNTIF($J$2:Master[[#This Row],[ChecklistID]],Master[[#This Row],[ChecklistID]])-1</f>
        <v>3</v>
      </c>
      <c r="L75" s="23" t="s">
        <v>6</v>
      </c>
    </row>
    <row r="76" spans="1:12" ht="15.75">
      <c r="A76" s="23">
        <f t="shared" si="1"/>
        <v>75</v>
      </c>
      <c r="B76" s="21">
        <f ca="1">Master[[#This Row],[ChecklistID]]+Master[[#This Row],[Checklist Order]]</f>
        <v>15004</v>
      </c>
      <c r="C76" s="22"/>
      <c r="D76" s="3" t="str" cm="1">
        <f t="array" aca="1" ref="D76" ca="1">_xlfn.SWITCH(MID(Master[[#This Row],[Checklist]],1,4),"C - ","Civil","F - ","Foundation","ST -","Structure","FC -","Façade","PRE ","Pre-Line","POST","Post-Line","H - ","Handover","S - ","Services","CST ","Completion Docs", "I - ", "Inspection")</f>
        <v>Foundation</v>
      </c>
      <c r="E76" s="23" t="str">
        <f ca="1">IF(NOT(ISERROR(SEARCH("- S -", Master[[#This Row],[Checklist]]))), "Subcontractor",IF(NOT(ISERROR(SEARCH("- R -", Master[[#This Row],[Checklist]]))), "Ryman",IF(NOT(ISERROR(SEARCH("- C -", Master[[#This Row],[Checklist]]))), "Consultant",IF(NOT(ISERROR(SEARCH("- I -", Master[[#This Row],[Checklist]]))),  "Inspection Test Plan", "Naming Error"))))</f>
        <v>Ryman</v>
      </c>
      <c r="F76" s="24" t="str">
        <f ca="1">IF(OR(Master[[#This Row],[Type]]="checklist", Master[[#This Row],[Type]]="checklist-flat"), Master[[#This Row],[Name]], F75)</f>
        <v>F - R - Backfilling</v>
      </c>
      <c r="G76" s="3" t="s">
        <v>49</v>
      </c>
      <c r="H76" s="24" t="s">
        <v>1296</v>
      </c>
      <c r="I76" s="3"/>
      <c r="J76" s="21">
        <f ca="1">_xlfn.XLOOKUP(Master[[#This Row],[Checklist]],Ref!A:A,Ref!B:B)*1000</f>
        <v>15000</v>
      </c>
      <c r="K76" s="21">
        <f ca="1">COUNTIF($J$2:Master[[#This Row],[ChecklistID]],Master[[#This Row],[ChecklistID]])-1</f>
        <v>4</v>
      </c>
      <c r="L76" s="23" t="s">
        <v>6</v>
      </c>
    </row>
    <row r="77" spans="1:12" ht="15.75">
      <c r="A77" s="23">
        <f t="shared" si="1"/>
        <v>76</v>
      </c>
      <c r="B77" s="21">
        <f ca="1">Master[[#This Row],[ChecklistID]]+Master[[#This Row],[Checklist Order]]</f>
        <v>16000</v>
      </c>
      <c r="C77" s="22"/>
      <c r="D77" s="3" t="str" cm="1">
        <f t="array" aca="1" ref="D77" ca="1">_xlfn.SWITCH(MID(Master[[#This Row],[Checklist]],1,4),"C - ","Civil","F - ","Foundation","ST -","Structure","FC -","Façade","PRE ","Pre-Line","POST","Post-Line","H - ","Handover","S - ","Services","CST ","Completion Docs", "I - ", "Inspection")</f>
        <v>Foundation</v>
      </c>
      <c r="E77" s="23" t="str">
        <f ca="1">IF(NOT(ISERROR(SEARCH("- S -", Master[[#This Row],[Checklist]]))), "Subcontractor",IF(NOT(ISERROR(SEARCH("- R -", Master[[#This Row],[Checklist]]))), "Ryman",IF(NOT(ISERROR(SEARCH("- C -", Master[[#This Row],[Checklist]]))), "Consultant",IF(NOT(ISERROR(SEARCH("- I -", Master[[#This Row],[Checklist]]))),  "Inspection Test Plan", "Naming Error"))))</f>
        <v>Ryman</v>
      </c>
      <c r="F77" s="24" t="str">
        <f ca="1">IF(OR(Master[[#This Row],[Type]]="checklist", Master[[#This Row],[Type]]="checklist-flat"), Master[[#This Row],[Name]], F76)</f>
        <v>F - R - Underground services</v>
      </c>
      <c r="G77" s="3" t="s">
        <v>48</v>
      </c>
      <c r="H77" s="24" t="s">
        <v>1297</v>
      </c>
      <c r="I77" s="3"/>
      <c r="J77" s="21">
        <f ca="1">_xlfn.XLOOKUP(Master[[#This Row],[Checklist]],Ref!A:A,Ref!B:B)*1000</f>
        <v>16000</v>
      </c>
      <c r="K77" s="21">
        <f ca="1">COUNTIF($J$2:Master[[#This Row],[ChecklistID]],Master[[#This Row],[ChecklistID]])-1</f>
        <v>0</v>
      </c>
      <c r="L77" s="23" t="s">
        <v>6</v>
      </c>
    </row>
    <row r="78" spans="1:12" ht="15.75">
      <c r="A78" s="23">
        <f t="shared" si="1"/>
        <v>77</v>
      </c>
      <c r="B78" s="21">
        <f ca="1">Master[[#This Row],[ChecklistID]]+Master[[#This Row],[Checklist Order]]</f>
        <v>16001</v>
      </c>
      <c r="C78" s="22"/>
      <c r="D78" s="3" t="str" cm="1">
        <f t="array" aca="1" ref="D78" ca="1">_xlfn.SWITCH(MID(Master[[#This Row],[Checklist]],1,4),"C - ","Civil","F - ","Foundation","ST -","Structure","FC -","Façade","PRE ","Pre-Line","POST","Post-Line","H - ","Handover","S - ","Services","CST ","Completion Docs", "I - ", "Inspection")</f>
        <v>Foundation</v>
      </c>
      <c r="E78" s="23" t="str">
        <f ca="1">IF(NOT(ISERROR(SEARCH("- S -", Master[[#This Row],[Checklist]]))), "Subcontractor",IF(NOT(ISERROR(SEARCH("- R -", Master[[#This Row],[Checklist]]))), "Ryman",IF(NOT(ISERROR(SEARCH("- C -", Master[[#This Row],[Checklist]]))), "Consultant",IF(NOT(ISERROR(SEARCH("- I -", Master[[#This Row],[Checklist]]))),  "Inspection Test Plan", "Naming Error"))))</f>
        <v>Ryman</v>
      </c>
      <c r="F78" s="24" t="str">
        <f ca="1">IF(OR(Master[[#This Row],[Type]]="checklist", Master[[#This Row],[Type]]="checklist-flat"), Master[[#This Row],[Name]], F77)</f>
        <v>F - R - Underground services</v>
      </c>
      <c r="G78" s="3" t="s">
        <v>49</v>
      </c>
      <c r="H78" s="24" t="s">
        <v>1263</v>
      </c>
      <c r="I78" s="3"/>
      <c r="J78" s="21">
        <f ca="1">_xlfn.XLOOKUP(Master[[#This Row],[Checklist]],Ref!A:A,Ref!B:B)*1000</f>
        <v>16000</v>
      </c>
      <c r="K78" s="21">
        <f ca="1">COUNTIF($J$2:Master[[#This Row],[ChecklistID]],Master[[#This Row],[ChecklistID]])-1</f>
        <v>1</v>
      </c>
      <c r="L78" s="23" t="s">
        <v>6</v>
      </c>
    </row>
    <row r="79" spans="1:12" ht="15.75">
      <c r="A79" s="23">
        <f t="shared" si="1"/>
        <v>78</v>
      </c>
      <c r="B79" s="21">
        <f ca="1">Master[[#This Row],[ChecklistID]]+Master[[#This Row],[Checklist Order]]</f>
        <v>16002</v>
      </c>
      <c r="C79" s="22"/>
      <c r="D79" s="3" t="str" cm="1">
        <f t="array" aca="1" ref="D79" ca="1">_xlfn.SWITCH(MID(Master[[#This Row],[Checklist]],1,4),"C - ","Civil","F - ","Foundation","ST -","Structure","FC -","Façade","PRE ","Pre-Line","POST","Post-Line","H - ","Handover","S - ","Services","CST ","Completion Docs", "I - ", "Inspection")</f>
        <v>Foundation</v>
      </c>
      <c r="E79" s="23" t="str">
        <f ca="1">IF(NOT(ISERROR(SEARCH("- S -", Master[[#This Row],[Checklist]]))), "Subcontractor",IF(NOT(ISERROR(SEARCH("- R -", Master[[#This Row],[Checklist]]))), "Ryman",IF(NOT(ISERROR(SEARCH("- C -", Master[[#This Row],[Checklist]]))), "Consultant",IF(NOT(ISERROR(SEARCH("- I -", Master[[#This Row],[Checklist]]))),  "Inspection Test Plan", "Naming Error"))))</f>
        <v>Ryman</v>
      </c>
      <c r="F79" s="24" t="str">
        <f ca="1">IF(OR(Master[[#This Row],[Type]]="checklist", Master[[#This Row],[Type]]="checklist-flat"), Master[[#This Row],[Name]], F78)</f>
        <v>F - R - Underground services</v>
      </c>
      <c r="G79" s="3" t="s">
        <v>49</v>
      </c>
      <c r="H79" s="24" t="s">
        <v>1264</v>
      </c>
      <c r="I79" s="3"/>
      <c r="J79" s="21">
        <f ca="1">_xlfn.XLOOKUP(Master[[#This Row],[Checklist]],Ref!A:A,Ref!B:B)*1000</f>
        <v>16000</v>
      </c>
      <c r="K79" s="21">
        <f ca="1">COUNTIF($J$2:Master[[#This Row],[ChecklistID]],Master[[#This Row],[ChecklistID]])-1</f>
        <v>2</v>
      </c>
      <c r="L79" s="23" t="s">
        <v>6</v>
      </c>
    </row>
    <row r="80" spans="1:12" ht="15.75">
      <c r="A80" s="23">
        <f t="shared" si="1"/>
        <v>79</v>
      </c>
      <c r="B80" s="21">
        <f ca="1">Master[[#This Row],[ChecklistID]]+Master[[#This Row],[Checklist Order]]</f>
        <v>16003</v>
      </c>
      <c r="C80" s="22"/>
      <c r="D80" s="3" t="str" cm="1">
        <f t="array" aca="1" ref="D80" ca="1">_xlfn.SWITCH(MID(Master[[#This Row],[Checklist]],1,4),"C - ","Civil","F - ","Foundation","ST -","Structure","FC -","Façade","PRE ","Pre-Line","POST","Post-Line","H - ","Handover","S - ","Services","CST ","Completion Docs", "I - ", "Inspection")</f>
        <v>Foundation</v>
      </c>
      <c r="E80" s="23" t="str">
        <f ca="1">IF(NOT(ISERROR(SEARCH("- S -", Master[[#This Row],[Checklist]]))), "Subcontractor",IF(NOT(ISERROR(SEARCH("- R -", Master[[#This Row],[Checklist]]))), "Ryman",IF(NOT(ISERROR(SEARCH("- C -", Master[[#This Row],[Checklist]]))), "Consultant",IF(NOT(ISERROR(SEARCH("- I -", Master[[#This Row],[Checklist]]))),  "Inspection Test Plan", "Naming Error"))))</f>
        <v>Ryman</v>
      </c>
      <c r="F80" s="24" t="str">
        <f ca="1">IF(OR(Master[[#This Row],[Type]]="checklist", Master[[#This Row],[Type]]="checklist-flat"), Master[[#This Row],[Name]], F79)</f>
        <v>F - R - Underground services</v>
      </c>
      <c r="G80" s="3" t="s">
        <v>58</v>
      </c>
      <c r="H80" s="24" t="s">
        <v>306</v>
      </c>
      <c r="I80" s="3"/>
      <c r="J80" s="21">
        <f ca="1">_xlfn.XLOOKUP(Master[[#This Row],[Checklist]],Ref!A:A,Ref!B:B)*1000</f>
        <v>16000</v>
      </c>
      <c r="K80" s="21">
        <f ca="1">COUNTIF($J$2:Master[[#This Row],[ChecklistID]],Master[[#This Row],[ChecklistID]])-1</f>
        <v>3</v>
      </c>
      <c r="L80" s="23" t="s">
        <v>6</v>
      </c>
    </row>
    <row r="81" spans="1:12" ht="15.75">
      <c r="A81" s="23">
        <f t="shared" si="1"/>
        <v>80</v>
      </c>
      <c r="B81" s="21">
        <f ca="1">Master[[#This Row],[ChecklistID]]+Master[[#This Row],[Checklist Order]]</f>
        <v>16004</v>
      </c>
      <c r="C81" s="22"/>
      <c r="D81" s="3" t="str" cm="1">
        <f t="array" aca="1" ref="D81" ca="1">_xlfn.SWITCH(MID(Master[[#This Row],[Checklist]],1,4),"C - ","Civil","F - ","Foundation","ST -","Structure","FC -","Façade","PRE ","Pre-Line","POST","Post-Line","H - ","Handover","S - ","Services","CST ","Completion Docs", "I - ", "Inspection")</f>
        <v>Foundation</v>
      </c>
      <c r="E81" s="23" t="str">
        <f ca="1">IF(NOT(ISERROR(SEARCH("- S -", Master[[#This Row],[Checklist]]))), "Subcontractor",IF(NOT(ISERROR(SEARCH("- R -", Master[[#This Row],[Checklist]]))), "Ryman",IF(NOT(ISERROR(SEARCH("- C -", Master[[#This Row],[Checklist]]))), "Consultant",IF(NOT(ISERROR(SEARCH("- I -", Master[[#This Row],[Checklist]]))),  "Inspection Test Plan", "Naming Error"))))</f>
        <v>Ryman</v>
      </c>
      <c r="F81" s="24" t="str">
        <f ca="1">IF(OR(Master[[#This Row],[Type]]="checklist", Master[[#This Row],[Type]]="checklist-flat"), Master[[#This Row],[Name]], F80)</f>
        <v>F - R - Underground services</v>
      </c>
      <c r="G81" s="3" t="s">
        <v>49</v>
      </c>
      <c r="H81" s="24" t="s">
        <v>1298</v>
      </c>
      <c r="I81" s="3"/>
      <c r="J81" s="21">
        <f ca="1">_xlfn.XLOOKUP(Master[[#This Row],[Checklist]],Ref!A:A,Ref!B:B)*1000</f>
        <v>16000</v>
      </c>
      <c r="K81" s="21">
        <f ca="1">COUNTIF($J$2:Master[[#This Row],[ChecklistID]],Master[[#This Row],[ChecklistID]])-1</f>
        <v>4</v>
      </c>
      <c r="L81" s="23" t="s">
        <v>6</v>
      </c>
    </row>
    <row r="82" spans="1:12" ht="15.75">
      <c r="A82" s="23">
        <f t="shared" si="1"/>
        <v>81</v>
      </c>
      <c r="B82" s="21">
        <f ca="1">Master[[#This Row],[ChecklistID]]+Master[[#This Row],[Checklist Order]]</f>
        <v>17000</v>
      </c>
      <c r="C82" s="22"/>
      <c r="D82" s="3" t="str" cm="1">
        <f t="array" aca="1" ref="D82" ca="1">_xlfn.SWITCH(MID(Master[[#This Row],[Checklist]],1,4),"C - ","Civil","F - ","Foundation","ST -","Structure","FC -","Façade","PRE ","Pre-Line","POST","Post-Line","H - ","Handover","S - ","Services","CST ","Completion Docs", "I - ", "Inspection")</f>
        <v>Foundation</v>
      </c>
      <c r="E82" s="23" t="str">
        <f ca="1">IF(NOT(ISERROR(SEARCH("- S -", Master[[#This Row],[Checklist]]))), "Subcontractor",IF(NOT(ISERROR(SEARCH("- R -", Master[[#This Row],[Checklist]]))), "Ryman",IF(NOT(ISERROR(SEARCH("- C -", Master[[#This Row],[Checklist]]))), "Consultant",IF(NOT(ISERROR(SEARCH("- I -", Master[[#This Row],[Checklist]]))),  "Inspection Test Plan", "Naming Error"))))</f>
        <v>Ryman</v>
      </c>
      <c r="F82" s="24" t="str">
        <f ca="1">IF(OR(Master[[#This Row],[Type]]="checklist", Master[[#This Row],[Type]]="checklist-flat"), Master[[#This Row],[Name]], F81)</f>
        <v>F - R - Underslab plumbing</v>
      </c>
      <c r="G82" s="3" t="s">
        <v>48</v>
      </c>
      <c r="H82" s="24" t="s">
        <v>1299</v>
      </c>
      <c r="I82" s="3"/>
      <c r="J82" s="21">
        <f ca="1">_xlfn.XLOOKUP(Master[[#This Row],[Checklist]],Ref!A:A,Ref!B:B)*1000</f>
        <v>17000</v>
      </c>
      <c r="K82" s="21">
        <f ca="1">COUNTIF($J$2:Master[[#This Row],[ChecklistID]],Master[[#This Row],[ChecklistID]])-1</f>
        <v>0</v>
      </c>
      <c r="L82" s="23" t="s">
        <v>6</v>
      </c>
    </row>
    <row r="83" spans="1:12" ht="15.75">
      <c r="A83" s="23">
        <f t="shared" si="1"/>
        <v>82</v>
      </c>
      <c r="B83" s="21">
        <f ca="1">Master[[#This Row],[ChecklistID]]+Master[[#This Row],[Checklist Order]]</f>
        <v>17001</v>
      </c>
      <c r="C83" s="22"/>
      <c r="D83" s="3" t="str" cm="1">
        <f t="array" aca="1" ref="D83" ca="1">_xlfn.SWITCH(MID(Master[[#This Row],[Checklist]],1,4),"C - ","Civil","F - ","Foundation","ST -","Structure","FC -","Façade","PRE ","Pre-Line","POST","Post-Line","H - ","Handover","S - ","Services","CST ","Completion Docs", "I - ", "Inspection")</f>
        <v>Foundation</v>
      </c>
      <c r="E83" s="23" t="str">
        <f ca="1">IF(NOT(ISERROR(SEARCH("- S -", Master[[#This Row],[Checklist]]))), "Subcontractor",IF(NOT(ISERROR(SEARCH("- R -", Master[[#This Row],[Checklist]]))), "Ryman",IF(NOT(ISERROR(SEARCH("- C -", Master[[#This Row],[Checklist]]))), "Consultant",IF(NOT(ISERROR(SEARCH("- I -", Master[[#This Row],[Checklist]]))),  "Inspection Test Plan", "Naming Error"))))</f>
        <v>Ryman</v>
      </c>
      <c r="F83" s="24" t="str">
        <f ca="1">IF(OR(Master[[#This Row],[Type]]="checklist", Master[[#This Row],[Type]]="checklist-flat"), Master[[#This Row],[Name]], F82)</f>
        <v>F - R - Underslab plumbing</v>
      </c>
      <c r="G83" s="3" t="s">
        <v>49</v>
      </c>
      <c r="H83" s="24" t="s">
        <v>1263</v>
      </c>
      <c r="I83" s="3"/>
      <c r="J83" s="21">
        <f ca="1">_xlfn.XLOOKUP(Master[[#This Row],[Checklist]],Ref!A:A,Ref!B:B)*1000</f>
        <v>17000</v>
      </c>
      <c r="K83" s="21">
        <f ca="1">COUNTIF($J$2:Master[[#This Row],[ChecklistID]],Master[[#This Row],[ChecklistID]])-1</f>
        <v>1</v>
      </c>
      <c r="L83" s="23" t="s">
        <v>6</v>
      </c>
    </row>
    <row r="84" spans="1:12" ht="15.75">
      <c r="A84" s="23">
        <f t="shared" si="1"/>
        <v>83</v>
      </c>
      <c r="B84" s="21">
        <f ca="1">Master[[#This Row],[ChecklistID]]+Master[[#This Row],[Checklist Order]]</f>
        <v>17002</v>
      </c>
      <c r="C84" s="22"/>
      <c r="D84" s="3" t="str" cm="1">
        <f t="array" aca="1" ref="D84" ca="1">_xlfn.SWITCH(MID(Master[[#This Row],[Checklist]],1,4),"C - ","Civil","F - ","Foundation","ST -","Structure","FC -","Façade","PRE ","Pre-Line","POST","Post-Line","H - ","Handover","S - ","Services","CST ","Completion Docs", "I - ", "Inspection")</f>
        <v>Foundation</v>
      </c>
      <c r="E84" s="23" t="str">
        <f ca="1">IF(NOT(ISERROR(SEARCH("- S -", Master[[#This Row],[Checklist]]))), "Subcontractor",IF(NOT(ISERROR(SEARCH("- R -", Master[[#This Row],[Checklist]]))), "Ryman",IF(NOT(ISERROR(SEARCH("- C -", Master[[#This Row],[Checklist]]))), "Consultant",IF(NOT(ISERROR(SEARCH("- I -", Master[[#This Row],[Checklist]]))),  "Inspection Test Plan", "Naming Error"))))</f>
        <v>Ryman</v>
      </c>
      <c r="F84" s="24" t="str">
        <f ca="1">IF(OR(Master[[#This Row],[Type]]="checklist", Master[[#This Row],[Type]]="checklist-flat"), Master[[#This Row],[Name]], F83)</f>
        <v>F - R - Underslab plumbing</v>
      </c>
      <c r="G84" s="3" t="s">
        <v>49</v>
      </c>
      <c r="H84" s="24" t="s">
        <v>1264</v>
      </c>
      <c r="I84" s="3"/>
      <c r="J84" s="21">
        <f ca="1">_xlfn.XLOOKUP(Master[[#This Row],[Checklist]],Ref!A:A,Ref!B:B)*1000</f>
        <v>17000</v>
      </c>
      <c r="K84" s="21">
        <f ca="1">COUNTIF($J$2:Master[[#This Row],[ChecklistID]],Master[[#This Row],[ChecklistID]])-1</f>
        <v>2</v>
      </c>
      <c r="L84" s="23" t="s">
        <v>6</v>
      </c>
    </row>
    <row r="85" spans="1:12" ht="15.75">
      <c r="A85" s="23">
        <f t="shared" si="1"/>
        <v>84</v>
      </c>
      <c r="B85" s="21">
        <f ca="1">Master[[#This Row],[ChecklistID]]+Master[[#This Row],[Checklist Order]]</f>
        <v>17003</v>
      </c>
      <c r="C85" s="22"/>
      <c r="D85" s="3" t="str" cm="1">
        <f t="array" aca="1" ref="D85" ca="1">_xlfn.SWITCH(MID(Master[[#This Row],[Checklist]],1,4),"C - ","Civil","F - ","Foundation","ST -","Structure","FC -","Façade","PRE ","Pre-Line","POST","Post-Line","H - ","Handover","S - ","Services","CST ","Completion Docs", "I - ", "Inspection")</f>
        <v>Foundation</v>
      </c>
      <c r="E85" s="23" t="str">
        <f ca="1">IF(NOT(ISERROR(SEARCH("- S -", Master[[#This Row],[Checklist]]))), "Subcontractor",IF(NOT(ISERROR(SEARCH("- R -", Master[[#This Row],[Checklist]]))), "Ryman",IF(NOT(ISERROR(SEARCH("- C -", Master[[#This Row],[Checklist]]))), "Consultant",IF(NOT(ISERROR(SEARCH("- I -", Master[[#This Row],[Checklist]]))),  "Inspection Test Plan", "Naming Error"))))</f>
        <v>Ryman</v>
      </c>
      <c r="F85" s="24" t="str">
        <f ca="1">IF(OR(Master[[#This Row],[Type]]="checklist", Master[[#This Row],[Type]]="checklist-flat"), Master[[#This Row],[Name]], F84)</f>
        <v>F - R - Underslab plumbing</v>
      </c>
      <c r="G85" s="3" t="s">
        <v>58</v>
      </c>
      <c r="H85" s="24" t="s">
        <v>306</v>
      </c>
      <c r="I85" s="3"/>
      <c r="J85" s="21">
        <f ca="1">_xlfn.XLOOKUP(Master[[#This Row],[Checklist]],Ref!A:A,Ref!B:B)*1000</f>
        <v>17000</v>
      </c>
      <c r="K85" s="21">
        <f ca="1">COUNTIF($J$2:Master[[#This Row],[ChecklistID]],Master[[#This Row],[ChecklistID]])-1</f>
        <v>3</v>
      </c>
      <c r="L85" s="23" t="s">
        <v>6</v>
      </c>
    </row>
    <row r="86" spans="1:12" ht="15.75">
      <c r="A86" s="23">
        <f t="shared" si="1"/>
        <v>85</v>
      </c>
      <c r="B86" s="21">
        <f ca="1">Master[[#This Row],[ChecklistID]]+Master[[#This Row],[Checklist Order]]</f>
        <v>17004</v>
      </c>
      <c r="C86" s="22"/>
      <c r="D86" s="3" t="str" cm="1">
        <f t="array" aca="1" ref="D86" ca="1">_xlfn.SWITCH(MID(Master[[#This Row],[Checklist]],1,4),"C - ","Civil","F - ","Foundation","ST -","Structure","FC -","Façade","PRE ","Pre-Line","POST","Post-Line","H - ","Handover","S - ","Services","CST ","Completion Docs", "I - ", "Inspection")</f>
        <v>Foundation</v>
      </c>
      <c r="E86" s="23" t="str">
        <f ca="1">IF(NOT(ISERROR(SEARCH("- S -", Master[[#This Row],[Checklist]]))), "Subcontractor",IF(NOT(ISERROR(SEARCH("- R -", Master[[#This Row],[Checklist]]))), "Ryman",IF(NOT(ISERROR(SEARCH("- C -", Master[[#This Row],[Checklist]]))), "Consultant",IF(NOT(ISERROR(SEARCH("- I -", Master[[#This Row],[Checklist]]))),  "Inspection Test Plan", "Naming Error"))))</f>
        <v>Ryman</v>
      </c>
      <c r="F86" s="24" t="str">
        <f ca="1">IF(OR(Master[[#This Row],[Type]]="checklist", Master[[#This Row],[Type]]="checklist-flat"), Master[[#This Row],[Name]], F85)</f>
        <v>F - R - Underslab plumbing</v>
      </c>
      <c r="G86" s="3" t="s">
        <v>49</v>
      </c>
      <c r="H86" s="24" t="s">
        <v>1300</v>
      </c>
      <c r="I86" s="3"/>
      <c r="J86" s="21">
        <f ca="1">_xlfn.XLOOKUP(Master[[#This Row],[Checklist]],Ref!A:A,Ref!B:B)*1000</f>
        <v>17000</v>
      </c>
      <c r="K86" s="21">
        <f ca="1">COUNTIF($J$2:Master[[#This Row],[ChecklistID]],Master[[#This Row],[ChecklistID]])-1</f>
        <v>4</v>
      </c>
      <c r="L86" s="23" t="s">
        <v>6</v>
      </c>
    </row>
    <row r="87" spans="1:12" ht="15.75">
      <c r="A87" s="23">
        <f t="shared" si="1"/>
        <v>86</v>
      </c>
      <c r="B87" s="21">
        <f ca="1">Master[[#This Row],[ChecklistID]]+Master[[#This Row],[Checklist Order]]</f>
        <v>18000</v>
      </c>
      <c r="C87" s="22"/>
      <c r="D87" s="3" t="str" cm="1">
        <f t="array" aca="1" ref="D87" ca="1">_xlfn.SWITCH(MID(Master[[#This Row],[Checklist]],1,4),"C - ","Civil","F - ","Foundation","ST -","Structure","FC -","Façade","PRE ","Pre-Line","POST","Post-Line","H - ","Handover","S - ","Services","CST ","Completion Docs", "I - ", "Inspection")</f>
        <v>Foundation</v>
      </c>
      <c r="E87" s="23" t="str">
        <f ca="1">IF(NOT(ISERROR(SEARCH("- S -", Master[[#This Row],[Checklist]]))), "Subcontractor",IF(NOT(ISERROR(SEARCH("- R -", Master[[#This Row],[Checklist]]))), "Ryman",IF(NOT(ISERROR(SEARCH("- C -", Master[[#This Row],[Checklist]]))), "Consultant",IF(NOT(ISERROR(SEARCH("- I -", Master[[#This Row],[Checklist]]))),  "Inspection Test Plan", "Naming Error"))))</f>
        <v>Ryman</v>
      </c>
      <c r="F87" s="24" t="str">
        <f ca="1">IF(OR(Master[[#This Row],[Type]]="checklist", Master[[#This Row],[Type]]="checklist-flat"), Master[[#This Row],[Name]], F86)</f>
        <v>F - R - Waterproofing</v>
      </c>
      <c r="G87" s="3" t="s">
        <v>48</v>
      </c>
      <c r="H87" s="24" t="s">
        <v>1301</v>
      </c>
      <c r="I87" s="3"/>
      <c r="J87" s="21">
        <f ca="1">_xlfn.XLOOKUP(Master[[#This Row],[Checklist]],Ref!A:A,Ref!B:B)*1000</f>
        <v>18000</v>
      </c>
      <c r="K87" s="21">
        <f ca="1">COUNTIF($J$2:Master[[#This Row],[ChecklistID]],Master[[#This Row],[ChecklistID]])-1</f>
        <v>0</v>
      </c>
      <c r="L87" s="23" t="s">
        <v>6</v>
      </c>
    </row>
    <row r="88" spans="1:12" ht="15.75">
      <c r="A88" s="23">
        <f t="shared" si="1"/>
        <v>87</v>
      </c>
      <c r="B88" s="21">
        <f ca="1">Master[[#This Row],[ChecklistID]]+Master[[#This Row],[Checklist Order]]</f>
        <v>18001</v>
      </c>
      <c r="C88" s="22"/>
      <c r="D88" s="3" t="str" cm="1">
        <f t="array" aca="1" ref="D88" ca="1">_xlfn.SWITCH(MID(Master[[#This Row],[Checklist]],1,4),"C - ","Civil","F - ","Foundation","ST -","Structure","FC -","Façade","PRE ","Pre-Line","POST","Post-Line","H - ","Handover","S - ","Services","CST ","Completion Docs", "I - ", "Inspection")</f>
        <v>Foundation</v>
      </c>
      <c r="E88" s="23" t="str">
        <f ca="1">IF(NOT(ISERROR(SEARCH("- S -", Master[[#This Row],[Checklist]]))), "Subcontractor",IF(NOT(ISERROR(SEARCH("- R -", Master[[#This Row],[Checklist]]))), "Ryman",IF(NOT(ISERROR(SEARCH("- C -", Master[[#This Row],[Checklist]]))), "Consultant",IF(NOT(ISERROR(SEARCH("- I -", Master[[#This Row],[Checklist]]))),  "Inspection Test Plan", "Naming Error"))))</f>
        <v>Ryman</v>
      </c>
      <c r="F88" s="24" t="str">
        <f ca="1">IF(OR(Master[[#This Row],[Type]]="checklist", Master[[#This Row],[Type]]="checklist-flat"), Master[[#This Row],[Name]], F87)</f>
        <v>F - R - Waterproofing</v>
      </c>
      <c r="G88" s="3" t="s">
        <v>49</v>
      </c>
      <c r="H88" s="24" t="s">
        <v>1263</v>
      </c>
      <c r="I88" s="3"/>
      <c r="J88" s="21">
        <f ca="1">_xlfn.XLOOKUP(Master[[#This Row],[Checklist]],Ref!A:A,Ref!B:B)*1000</f>
        <v>18000</v>
      </c>
      <c r="K88" s="21">
        <f ca="1">COUNTIF($J$2:Master[[#This Row],[ChecklistID]],Master[[#This Row],[ChecklistID]])-1</f>
        <v>1</v>
      </c>
      <c r="L88" s="23" t="s">
        <v>6</v>
      </c>
    </row>
    <row r="89" spans="1:12" ht="15.75">
      <c r="A89" s="23">
        <f t="shared" si="1"/>
        <v>88</v>
      </c>
      <c r="B89" s="21">
        <f ca="1">Master[[#This Row],[ChecklistID]]+Master[[#This Row],[Checklist Order]]</f>
        <v>18002</v>
      </c>
      <c r="C89" s="22"/>
      <c r="D89" s="3" t="str" cm="1">
        <f t="array" aca="1" ref="D89" ca="1">_xlfn.SWITCH(MID(Master[[#This Row],[Checklist]],1,4),"C - ","Civil","F - ","Foundation","ST -","Structure","FC -","Façade","PRE ","Pre-Line","POST","Post-Line","H - ","Handover","S - ","Services","CST ","Completion Docs", "I - ", "Inspection")</f>
        <v>Foundation</v>
      </c>
      <c r="E89" s="23" t="str">
        <f ca="1">IF(NOT(ISERROR(SEARCH("- S -", Master[[#This Row],[Checklist]]))), "Subcontractor",IF(NOT(ISERROR(SEARCH("- R -", Master[[#This Row],[Checklist]]))), "Ryman",IF(NOT(ISERROR(SEARCH("- C -", Master[[#This Row],[Checklist]]))), "Consultant",IF(NOT(ISERROR(SEARCH("- I -", Master[[#This Row],[Checklist]]))),  "Inspection Test Plan", "Naming Error"))))</f>
        <v>Ryman</v>
      </c>
      <c r="F89" s="24" t="str">
        <f ca="1">IF(OR(Master[[#This Row],[Type]]="checklist", Master[[#This Row],[Type]]="checklist-flat"), Master[[#This Row],[Name]], F88)</f>
        <v>F - R - Waterproofing</v>
      </c>
      <c r="G89" s="3" t="s">
        <v>49</v>
      </c>
      <c r="H89" s="24" t="s">
        <v>1264</v>
      </c>
      <c r="I89" s="3"/>
      <c r="J89" s="21">
        <f ca="1">_xlfn.XLOOKUP(Master[[#This Row],[Checklist]],Ref!A:A,Ref!B:B)*1000</f>
        <v>18000</v>
      </c>
      <c r="K89" s="21">
        <f ca="1">COUNTIF($J$2:Master[[#This Row],[ChecklistID]],Master[[#This Row],[ChecklistID]])-1</f>
        <v>2</v>
      </c>
      <c r="L89" s="23" t="s">
        <v>6</v>
      </c>
    </row>
    <row r="90" spans="1:12" ht="15.75">
      <c r="A90" s="23">
        <f t="shared" si="1"/>
        <v>89</v>
      </c>
      <c r="B90" s="21">
        <f ca="1">Master[[#This Row],[ChecklistID]]+Master[[#This Row],[Checklist Order]]</f>
        <v>18003</v>
      </c>
      <c r="C90" s="22"/>
      <c r="D90" s="3" t="str" cm="1">
        <f t="array" aca="1" ref="D90" ca="1">_xlfn.SWITCH(MID(Master[[#This Row],[Checklist]],1,4),"C - ","Civil","F - ","Foundation","ST -","Structure","FC -","Façade","PRE ","Pre-Line","POST","Post-Line","H - ","Handover","S - ","Services","CST ","Completion Docs", "I - ", "Inspection")</f>
        <v>Foundation</v>
      </c>
      <c r="E90" s="23" t="str">
        <f ca="1">IF(NOT(ISERROR(SEARCH("- S -", Master[[#This Row],[Checklist]]))), "Subcontractor",IF(NOT(ISERROR(SEARCH("- R -", Master[[#This Row],[Checklist]]))), "Ryman",IF(NOT(ISERROR(SEARCH("- C -", Master[[#This Row],[Checklist]]))), "Consultant",IF(NOT(ISERROR(SEARCH("- I -", Master[[#This Row],[Checklist]]))),  "Inspection Test Plan", "Naming Error"))))</f>
        <v>Ryman</v>
      </c>
      <c r="F90" s="24" t="str">
        <f ca="1">IF(OR(Master[[#This Row],[Type]]="checklist", Master[[#This Row],[Type]]="checklist-flat"), Master[[#This Row],[Name]], F89)</f>
        <v>F - R - Waterproofing</v>
      </c>
      <c r="G90" s="3" t="s">
        <v>58</v>
      </c>
      <c r="H90" s="24" t="s">
        <v>306</v>
      </c>
      <c r="I90" s="3"/>
      <c r="J90" s="21">
        <f ca="1">_xlfn.XLOOKUP(Master[[#This Row],[Checklist]],Ref!A:A,Ref!B:B)*1000</f>
        <v>18000</v>
      </c>
      <c r="K90" s="21">
        <f ca="1">COUNTIF($J$2:Master[[#This Row],[ChecklistID]],Master[[#This Row],[ChecklistID]])-1</f>
        <v>3</v>
      </c>
      <c r="L90" s="23" t="s">
        <v>6</v>
      </c>
    </row>
    <row r="91" spans="1:12" ht="15.75">
      <c r="A91" s="23">
        <f t="shared" si="1"/>
        <v>90</v>
      </c>
      <c r="B91" s="21">
        <f ca="1">Master[[#This Row],[ChecklistID]]+Master[[#This Row],[Checklist Order]]</f>
        <v>18004</v>
      </c>
      <c r="C91" s="22"/>
      <c r="D91" s="3" t="str" cm="1">
        <f t="array" aca="1" ref="D91" ca="1">_xlfn.SWITCH(MID(Master[[#This Row],[Checklist]],1,4),"C - ","Civil","F - ","Foundation","ST -","Structure","FC -","Façade","PRE ","Pre-Line","POST","Post-Line","H - ","Handover","S - ","Services","CST ","Completion Docs", "I - ", "Inspection")</f>
        <v>Foundation</v>
      </c>
      <c r="E91" s="23" t="str">
        <f ca="1">IF(NOT(ISERROR(SEARCH("- S -", Master[[#This Row],[Checklist]]))), "Subcontractor",IF(NOT(ISERROR(SEARCH("- R -", Master[[#This Row],[Checklist]]))), "Ryman",IF(NOT(ISERROR(SEARCH("- C -", Master[[#This Row],[Checklist]]))), "Consultant",IF(NOT(ISERROR(SEARCH("- I -", Master[[#This Row],[Checklist]]))),  "Inspection Test Plan", "Naming Error"))))</f>
        <v>Ryman</v>
      </c>
      <c r="F91" s="24" t="str">
        <f ca="1">IF(OR(Master[[#This Row],[Type]]="checklist", Master[[#This Row],[Type]]="checklist-flat"), Master[[#This Row],[Name]], F90)</f>
        <v>F - R - Waterproofing</v>
      </c>
      <c r="G91" s="3" t="s">
        <v>49</v>
      </c>
      <c r="H91" s="24" t="s">
        <v>1302</v>
      </c>
      <c r="I91" s="3"/>
      <c r="J91" s="21">
        <f ca="1">_xlfn.XLOOKUP(Master[[#This Row],[Checklist]],Ref!A:A,Ref!B:B)*1000</f>
        <v>18000</v>
      </c>
      <c r="K91" s="21">
        <f ca="1">COUNTIF($J$2:Master[[#This Row],[ChecklistID]],Master[[#This Row],[ChecklistID]])-1</f>
        <v>4</v>
      </c>
      <c r="L91" s="23" t="s">
        <v>6</v>
      </c>
    </row>
    <row r="92" spans="1:12" ht="15.75">
      <c r="A92" s="23">
        <f t="shared" si="1"/>
        <v>91</v>
      </c>
      <c r="B92" s="21">
        <f ca="1">Master[[#This Row],[ChecklistID]]+Master[[#This Row],[Checklist Order]]</f>
        <v>19000</v>
      </c>
      <c r="C92" s="22"/>
      <c r="D92" s="3" t="str" cm="1">
        <f t="array" aca="1" ref="D92" ca="1">_xlfn.SWITCH(MID(Master[[#This Row],[Checklist]],1,4),"C - ","Civil","F - ","Foundation","ST -","Structure","FC -","Façade","PRE ","Pre-Line","POST","Post-Line","H - ","Handover","S - ","Services","CST ","Completion Docs", "I - ", "Inspection")</f>
        <v>Structure</v>
      </c>
      <c r="E92" s="23" t="str">
        <f ca="1">IF(NOT(ISERROR(SEARCH("- S -", Master[[#This Row],[Checklist]]))), "Subcontractor",IF(NOT(ISERROR(SEARCH("- R -", Master[[#This Row],[Checklist]]))), "Ryman",IF(NOT(ISERROR(SEARCH("- C -", Master[[#This Row],[Checklist]]))), "Consultant",IF(NOT(ISERROR(SEARCH("- I -", Master[[#This Row],[Checklist]]))),  "Inspection Test Plan", "Naming Error"))))</f>
        <v>Ryman</v>
      </c>
      <c r="F92" s="24" t="str">
        <f ca="1">IF(OR(Master[[#This Row],[Type]]="checklist", Master[[#This Row],[Type]]="checklist-flat"), Master[[#This Row],[Name]], F91)</f>
        <v>ST - R - Blockwork</v>
      </c>
      <c r="G92" s="3" t="s">
        <v>48</v>
      </c>
      <c r="H92" s="32" t="s">
        <v>1303</v>
      </c>
      <c r="I92" s="3"/>
      <c r="J92" s="21">
        <f ca="1">_xlfn.XLOOKUP(Master[[#This Row],[Checklist]],Ref!A:A,Ref!B:B)*1000</f>
        <v>19000</v>
      </c>
      <c r="K92" s="21">
        <f ca="1">COUNTIF($J$2:Master[[#This Row],[ChecklistID]],Master[[#This Row],[ChecklistID]])-1</f>
        <v>0</v>
      </c>
      <c r="L92" s="23" t="s">
        <v>6</v>
      </c>
    </row>
    <row r="93" spans="1:12" ht="31.5">
      <c r="A93" s="23">
        <f t="shared" si="1"/>
        <v>92</v>
      </c>
      <c r="B93" s="21">
        <f ca="1">Master[[#This Row],[ChecklistID]]+Master[[#This Row],[Checklist Order]]</f>
        <v>19001</v>
      </c>
      <c r="C93" s="22"/>
      <c r="D93" s="3" t="str" cm="1">
        <f t="array" aca="1" ref="D93" ca="1">_xlfn.SWITCH(MID(Master[[#This Row],[Checklist]],1,4),"C - ","Civil","F - ","Foundation","ST -","Structure","FC -","Façade","PRE ","Pre-Line","POST","Post-Line","H - ","Handover","S - ","Services","CST ","Completion Docs", "I - ", "Inspection")</f>
        <v>Structure</v>
      </c>
      <c r="E93" s="23" t="str">
        <f ca="1">IF(NOT(ISERROR(SEARCH("- S -", Master[[#This Row],[Checklist]]))), "Subcontractor",IF(NOT(ISERROR(SEARCH("- R -", Master[[#This Row],[Checklist]]))), "Ryman",IF(NOT(ISERROR(SEARCH("- C -", Master[[#This Row],[Checklist]]))), "Consultant",IF(NOT(ISERROR(SEARCH("- I -", Master[[#This Row],[Checklist]]))),  "Inspection Test Plan", "Naming Error"))))</f>
        <v>Ryman</v>
      </c>
      <c r="F93" s="24" t="str">
        <f ca="1">IF(OR(Master[[#This Row],[Type]]="checklist", Master[[#This Row],[Type]]="checklist-flat"), Master[[#This Row],[Name]], F92)</f>
        <v>ST - R - Blockwork</v>
      </c>
      <c r="G93" s="15" t="s">
        <v>49</v>
      </c>
      <c r="H93" s="33" t="s">
        <v>1263</v>
      </c>
      <c r="I93" s="3"/>
      <c r="J93" s="21">
        <f ca="1">_xlfn.XLOOKUP(Master[[#This Row],[Checklist]],Ref!A:A,Ref!B:B)*1000</f>
        <v>19000</v>
      </c>
      <c r="K93" s="21">
        <f ca="1">COUNTIF($J$2:Master[[#This Row],[ChecklistID]],Master[[#This Row],[ChecklistID]])-1</f>
        <v>1</v>
      </c>
      <c r="L93" s="23" t="s">
        <v>6</v>
      </c>
    </row>
    <row r="94" spans="1:12" ht="15.75">
      <c r="A94" s="23">
        <f t="shared" si="1"/>
        <v>93</v>
      </c>
      <c r="B94" s="21">
        <f ca="1">Master[[#This Row],[ChecklistID]]+Master[[#This Row],[Checklist Order]]</f>
        <v>19002</v>
      </c>
      <c r="C94" s="22"/>
      <c r="D94" s="3" t="str" cm="1">
        <f t="array" aca="1" ref="D94" ca="1">_xlfn.SWITCH(MID(Master[[#This Row],[Checklist]],1,4),"C - ","Civil","F - ","Foundation","ST -","Structure","FC -","Façade","PRE ","Pre-Line","POST","Post-Line","H - ","Handover","S - ","Services","CST ","Completion Docs", "I - ", "Inspection")</f>
        <v>Structure</v>
      </c>
      <c r="E94" s="23" t="str">
        <f ca="1">IF(NOT(ISERROR(SEARCH("- S -", Master[[#This Row],[Checklist]]))), "Subcontractor",IF(NOT(ISERROR(SEARCH("- R -", Master[[#This Row],[Checklist]]))), "Ryman",IF(NOT(ISERROR(SEARCH("- C -", Master[[#This Row],[Checklist]]))), "Consultant",IF(NOT(ISERROR(SEARCH("- I -", Master[[#This Row],[Checklist]]))),  "Inspection Test Plan", "Naming Error"))))</f>
        <v>Ryman</v>
      </c>
      <c r="F94" s="24" t="str">
        <f ca="1">IF(OR(Master[[#This Row],[Type]]="checklist", Master[[#This Row],[Type]]="checklist-flat"), Master[[#This Row],[Name]], F93)</f>
        <v>ST - R - Blockwork</v>
      </c>
      <c r="G94" s="15" t="s">
        <v>49</v>
      </c>
      <c r="H94" s="32" t="s">
        <v>1264</v>
      </c>
      <c r="I94" s="3"/>
      <c r="J94" s="21">
        <f ca="1">_xlfn.XLOOKUP(Master[[#This Row],[Checklist]],Ref!A:A,Ref!B:B)*1000</f>
        <v>19000</v>
      </c>
      <c r="K94" s="21">
        <f ca="1">COUNTIF($J$2:Master[[#This Row],[ChecklistID]],Master[[#This Row],[ChecklistID]])-1</f>
        <v>2</v>
      </c>
      <c r="L94" s="23" t="s">
        <v>6</v>
      </c>
    </row>
    <row r="95" spans="1:12" ht="15.75">
      <c r="A95" s="23">
        <f t="shared" si="1"/>
        <v>94</v>
      </c>
      <c r="B95" s="21">
        <f ca="1">Master[[#This Row],[ChecklistID]]+Master[[#This Row],[Checklist Order]]</f>
        <v>19003</v>
      </c>
      <c r="C95" s="22"/>
      <c r="D95" s="3" t="str" cm="1">
        <f t="array" aca="1" ref="D95" ca="1">_xlfn.SWITCH(MID(Master[[#This Row],[Checklist]],1,4),"C - ","Civil","F - ","Foundation","ST -","Structure","FC -","Façade","PRE ","Pre-Line","POST","Post-Line","H - ","Handover","S - ","Services","CST ","Completion Docs", "I - ", "Inspection")</f>
        <v>Structure</v>
      </c>
      <c r="E95" s="23" t="str">
        <f ca="1">IF(NOT(ISERROR(SEARCH("- S -", Master[[#This Row],[Checklist]]))), "Subcontractor",IF(NOT(ISERROR(SEARCH("- R -", Master[[#This Row],[Checklist]]))), "Ryman",IF(NOT(ISERROR(SEARCH("- C -", Master[[#This Row],[Checklist]]))), "Consultant",IF(NOT(ISERROR(SEARCH("- I -", Master[[#This Row],[Checklist]]))),  "Inspection Test Plan", "Naming Error"))))</f>
        <v>Ryman</v>
      </c>
      <c r="F95" s="24" t="str">
        <f ca="1">IF(OR(Master[[#This Row],[Type]]="checklist", Master[[#This Row],[Type]]="checklist-flat"), Master[[#This Row],[Name]], F94)</f>
        <v>ST - R - Blockwork</v>
      </c>
      <c r="G95" s="15" t="s">
        <v>58</v>
      </c>
      <c r="H95" s="32" t="s">
        <v>306</v>
      </c>
      <c r="I95" s="3"/>
      <c r="J95" s="21">
        <f ca="1">_xlfn.XLOOKUP(Master[[#This Row],[Checklist]],Ref!A:A,Ref!B:B)*1000</f>
        <v>19000</v>
      </c>
      <c r="K95" s="21">
        <f ca="1">COUNTIF($J$2:Master[[#This Row],[ChecklistID]],Master[[#This Row],[ChecklistID]])-1</f>
        <v>3</v>
      </c>
      <c r="L95" s="23" t="s">
        <v>6</v>
      </c>
    </row>
    <row r="96" spans="1:12" ht="15.75">
      <c r="A96" s="23">
        <f t="shared" si="1"/>
        <v>95</v>
      </c>
      <c r="B96" s="21">
        <f ca="1">Master[[#This Row],[ChecklistID]]+Master[[#This Row],[Checklist Order]]</f>
        <v>19004</v>
      </c>
      <c r="C96" s="22"/>
      <c r="D96" s="3" t="str" cm="1">
        <f t="array" aca="1" ref="D96" ca="1">_xlfn.SWITCH(MID(Master[[#This Row],[Checklist]],1,4),"C - ","Civil","F - ","Foundation","ST -","Structure","FC -","Façade","PRE ","Pre-Line","POST","Post-Line","H - ","Handover","S - ","Services","CST ","Completion Docs", "I - ", "Inspection")</f>
        <v>Structure</v>
      </c>
      <c r="E96" s="23" t="str">
        <f ca="1">IF(NOT(ISERROR(SEARCH("- S -", Master[[#This Row],[Checklist]]))), "Subcontractor",IF(NOT(ISERROR(SEARCH("- R -", Master[[#This Row],[Checklist]]))), "Ryman",IF(NOT(ISERROR(SEARCH("- C -", Master[[#This Row],[Checklist]]))), "Consultant",IF(NOT(ISERROR(SEARCH("- I -", Master[[#This Row],[Checklist]]))),  "Inspection Test Plan", "Naming Error"))))</f>
        <v>Ryman</v>
      </c>
      <c r="F96" s="24" t="str">
        <f ca="1">IF(OR(Master[[#This Row],[Type]]="checklist", Master[[#This Row],[Type]]="checklist-flat"), Master[[#This Row],[Name]], F95)</f>
        <v>ST - R - Blockwork</v>
      </c>
      <c r="G96" s="15" t="s">
        <v>49</v>
      </c>
      <c r="H96" s="32" t="s">
        <v>1304</v>
      </c>
      <c r="I96" s="3"/>
      <c r="J96" s="21">
        <f ca="1">_xlfn.XLOOKUP(Master[[#This Row],[Checklist]],Ref!A:A,Ref!B:B)*1000</f>
        <v>19000</v>
      </c>
      <c r="K96" s="21">
        <f ca="1">COUNTIF($J$2:Master[[#This Row],[ChecklistID]],Master[[#This Row],[ChecklistID]])-1</f>
        <v>4</v>
      </c>
      <c r="L96" s="23" t="s">
        <v>6</v>
      </c>
    </row>
    <row r="97" spans="1:12" ht="15.75">
      <c r="A97" s="23">
        <f t="shared" si="1"/>
        <v>96</v>
      </c>
      <c r="B97" s="21">
        <f ca="1">Master[[#This Row],[ChecklistID]]+Master[[#This Row],[Checklist Order]]</f>
        <v>20000</v>
      </c>
      <c r="C97" s="22"/>
      <c r="D97" s="3" t="str" cm="1">
        <f t="array" aca="1" ref="D97" ca="1">_xlfn.SWITCH(MID(Master[[#This Row],[Checklist]],1,4),"C - ","Civil","F - ","Foundation","ST -","Structure","FC -","Façade","PRE ","Pre-Line","POST","Post-Line","H - ","Handover","S - ","Services","CST ","Completion Docs", "I - ", "Inspection")</f>
        <v>Structure</v>
      </c>
      <c r="E97" s="23" t="str">
        <f ca="1">IF(NOT(ISERROR(SEARCH("- S -", Master[[#This Row],[Checklist]]))), "Subcontractor",IF(NOT(ISERROR(SEARCH("- R -", Master[[#This Row],[Checklist]]))), "Ryman",IF(NOT(ISERROR(SEARCH("- C -", Master[[#This Row],[Checklist]]))), "Consultant",IF(NOT(ISERROR(SEARCH("- I -", Master[[#This Row],[Checklist]]))),  "Inspection Test Plan", "Naming Error"))))</f>
        <v>Ryman</v>
      </c>
      <c r="F97" s="24" t="str">
        <f ca="1">IF(OR(Master[[#This Row],[Type]]="checklist", Master[[#This Row],[Type]]="checklist-flat"), Master[[#This Row],[Name]], F96)</f>
        <v>ST - R - Concrete Pour</v>
      </c>
      <c r="G97" s="3" t="s">
        <v>48</v>
      </c>
      <c r="H97" s="32" t="s">
        <v>1305</v>
      </c>
      <c r="I97" s="3"/>
      <c r="J97" s="21">
        <f ca="1">_xlfn.XLOOKUP(Master[[#This Row],[Checklist]],Ref!A:A,Ref!B:B)*1000</f>
        <v>20000</v>
      </c>
      <c r="K97" s="21">
        <f ca="1">COUNTIF($J$2:Master[[#This Row],[ChecklistID]],Master[[#This Row],[ChecklistID]])-1</f>
        <v>0</v>
      </c>
      <c r="L97" s="23" t="s">
        <v>6</v>
      </c>
    </row>
    <row r="98" spans="1:12" ht="15.75">
      <c r="A98" s="23">
        <f t="shared" si="1"/>
        <v>97</v>
      </c>
      <c r="B98" s="21">
        <f ca="1">Master[[#This Row],[ChecklistID]]+Master[[#This Row],[Checklist Order]]</f>
        <v>20001</v>
      </c>
      <c r="C98" s="22"/>
      <c r="D98" s="3" t="str" cm="1">
        <f t="array" aca="1" ref="D98" ca="1">_xlfn.SWITCH(MID(Master[[#This Row],[Checklist]],1,4),"C - ","Civil","F - ","Foundation","ST -","Structure","FC -","Façade","PRE ","Pre-Line","POST","Post-Line","H - ","Handover","S - ","Services","CST ","Completion Docs", "I - ", "Inspection")</f>
        <v>Structure</v>
      </c>
      <c r="E98" s="23" t="str">
        <f ca="1">IF(NOT(ISERROR(SEARCH("- S -", Master[[#This Row],[Checklist]]))), "Subcontractor",IF(NOT(ISERROR(SEARCH("- R -", Master[[#This Row],[Checklist]]))), "Ryman",IF(NOT(ISERROR(SEARCH("- C -", Master[[#This Row],[Checklist]]))), "Consultant",IF(NOT(ISERROR(SEARCH("- I -", Master[[#This Row],[Checklist]]))),  "Inspection Test Plan", "Naming Error"))))</f>
        <v>Ryman</v>
      </c>
      <c r="F98" s="24" t="str">
        <f ca="1">IF(OR(Master[[#This Row],[Type]]="checklist", Master[[#This Row],[Type]]="checklist-flat"), Master[[#This Row],[Name]], F97)</f>
        <v>ST - R - Concrete Pour</v>
      </c>
      <c r="G98" s="15" t="s">
        <v>49</v>
      </c>
      <c r="H98" s="32" t="s">
        <v>1263</v>
      </c>
      <c r="I98" s="3"/>
      <c r="J98" s="21">
        <f ca="1">_xlfn.XLOOKUP(Master[[#This Row],[Checklist]],Ref!A:A,Ref!B:B)*1000</f>
        <v>20000</v>
      </c>
      <c r="K98" s="21">
        <f ca="1">COUNTIF($J$2:Master[[#This Row],[ChecklistID]],Master[[#This Row],[ChecklistID]])-1</f>
        <v>1</v>
      </c>
      <c r="L98" s="23" t="s">
        <v>6</v>
      </c>
    </row>
    <row r="99" spans="1:12" ht="15.75">
      <c r="A99" s="23">
        <f t="shared" si="1"/>
        <v>98</v>
      </c>
      <c r="B99" s="21">
        <f ca="1">Master[[#This Row],[ChecklistID]]+Master[[#This Row],[Checklist Order]]</f>
        <v>20002</v>
      </c>
      <c r="C99" s="22"/>
      <c r="D99" s="3" t="str" cm="1">
        <f t="array" aca="1" ref="D99" ca="1">_xlfn.SWITCH(MID(Master[[#This Row],[Checklist]],1,4),"C - ","Civil","F - ","Foundation","ST -","Structure","FC -","Façade","PRE ","Pre-Line","POST","Post-Line","H - ","Handover","S - ","Services","CST ","Completion Docs", "I - ", "Inspection")</f>
        <v>Structure</v>
      </c>
      <c r="E99" s="23" t="str">
        <f ca="1">IF(NOT(ISERROR(SEARCH("- S -", Master[[#This Row],[Checklist]]))), "Subcontractor",IF(NOT(ISERROR(SEARCH("- R -", Master[[#This Row],[Checklist]]))), "Ryman",IF(NOT(ISERROR(SEARCH("- C -", Master[[#This Row],[Checklist]]))), "Consultant",IF(NOT(ISERROR(SEARCH("- I -", Master[[#This Row],[Checklist]]))),  "Inspection Test Plan", "Naming Error"))))</f>
        <v>Ryman</v>
      </c>
      <c r="F99" s="24" t="str">
        <f ca="1">IF(OR(Master[[#This Row],[Type]]="checklist", Master[[#This Row],[Type]]="checklist-flat"), Master[[#This Row],[Name]], F98)</f>
        <v>ST - R - Concrete Pour</v>
      </c>
      <c r="G99" s="15" t="s">
        <v>49</v>
      </c>
      <c r="H99" s="2" t="s">
        <v>288</v>
      </c>
      <c r="I99" s="3"/>
      <c r="J99" s="21">
        <f ca="1">_xlfn.XLOOKUP(Master[[#This Row],[Checklist]],Ref!A:A,Ref!B:B)*1000</f>
        <v>20000</v>
      </c>
      <c r="K99" s="21">
        <f ca="1">COUNTIF($J$2:Master[[#This Row],[ChecklistID]],Master[[#This Row],[ChecklistID]])-1</f>
        <v>2</v>
      </c>
      <c r="L99" s="23" t="s">
        <v>6</v>
      </c>
    </row>
    <row r="100" spans="1:12" ht="15.75">
      <c r="A100" s="23">
        <f t="shared" si="1"/>
        <v>99</v>
      </c>
      <c r="B100" s="21">
        <f ca="1">Master[[#This Row],[ChecklistID]]+Master[[#This Row],[Checklist Order]]</f>
        <v>20003</v>
      </c>
      <c r="C100" s="22"/>
      <c r="D100" s="3" t="str" cm="1">
        <f t="array" aca="1" ref="D100" ca="1">_xlfn.SWITCH(MID(Master[[#This Row],[Checklist]],1,4),"C - ","Civil","F - ","Foundation","ST -","Structure","FC -","Façade","PRE ","Pre-Line","POST","Post-Line","H - ","Handover","S - ","Services","CST ","Completion Docs", "I - ", "Inspection")</f>
        <v>Structure</v>
      </c>
      <c r="E100" s="23" t="str">
        <f ca="1">IF(NOT(ISERROR(SEARCH("- S -", Master[[#This Row],[Checklist]]))), "Subcontractor",IF(NOT(ISERROR(SEARCH("- R -", Master[[#This Row],[Checklist]]))), "Ryman",IF(NOT(ISERROR(SEARCH("- C -", Master[[#This Row],[Checklist]]))), "Consultant",IF(NOT(ISERROR(SEARCH("- I -", Master[[#This Row],[Checklist]]))),  "Inspection Test Plan", "Naming Error"))))</f>
        <v>Ryman</v>
      </c>
      <c r="F100" s="24" t="str">
        <f ca="1">IF(OR(Master[[#This Row],[Type]]="checklist", Master[[#This Row],[Type]]="checklist-flat"), Master[[#This Row],[Name]], F99)</f>
        <v>ST - R - Concrete Pour</v>
      </c>
      <c r="G100" s="15" t="s">
        <v>49</v>
      </c>
      <c r="H100" s="2" t="s">
        <v>289</v>
      </c>
      <c r="I100" s="3"/>
      <c r="J100" s="21">
        <f ca="1">_xlfn.XLOOKUP(Master[[#This Row],[Checklist]],Ref!A:A,Ref!B:B)*1000</f>
        <v>20000</v>
      </c>
      <c r="K100" s="21">
        <f ca="1">COUNTIF($J$2:Master[[#This Row],[ChecklistID]],Master[[#This Row],[ChecklistID]])-1</f>
        <v>3</v>
      </c>
      <c r="L100" s="23" t="s">
        <v>6</v>
      </c>
    </row>
    <row r="101" spans="1:12" ht="15.75">
      <c r="A101" s="23">
        <f t="shared" si="1"/>
        <v>100</v>
      </c>
      <c r="B101" s="21">
        <f ca="1">Master[[#This Row],[ChecklistID]]+Master[[#This Row],[Checklist Order]]</f>
        <v>20004</v>
      </c>
      <c r="C101" s="22"/>
      <c r="D101" s="3" t="str" cm="1">
        <f t="array" aca="1" ref="D101" ca="1">_xlfn.SWITCH(MID(Master[[#This Row],[Checklist]],1,4),"C - ","Civil","F - ","Foundation","ST -","Structure","FC -","Façade","PRE ","Pre-Line","POST","Post-Line","H - ","Handover","S - ","Services","CST ","Completion Docs", "I - ", "Inspection")</f>
        <v>Structure</v>
      </c>
      <c r="E101" s="23" t="str">
        <f ca="1">IF(NOT(ISERROR(SEARCH("- S -", Master[[#This Row],[Checklist]]))), "Subcontractor",IF(NOT(ISERROR(SEARCH("- R -", Master[[#This Row],[Checklist]]))), "Ryman",IF(NOT(ISERROR(SEARCH("- C -", Master[[#This Row],[Checklist]]))), "Consultant",IF(NOT(ISERROR(SEARCH("- I -", Master[[#This Row],[Checklist]]))),  "Inspection Test Plan", "Naming Error"))))</f>
        <v>Ryman</v>
      </c>
      <c r="F101" s="24" t="str">
        <f ca="1">IF(OR(Master[[#This Row],[Type]]="checklist", Master[[#This Row],[Type]]="checklist-flat"), Master[[#This Row],[Name]], F100)</f>
        <v>ST - R - Concrete Pour</v>
      </c>
      <c r="G101" s="3" t="s">
        <v>49</v>
      </c>
      <c r="H101" t="s">
        <v>271</v>
      </c>
      <c r="I101" s="3"/>
      <c r="J101" s="21">
        <f ca="1">_xlfn.XLOOKUP(Master[[#This Row],[Checklist]],Ref!A:A,Ref!B:B)*1000</f>
        <v>20000</v>
      </c>
      <c r="K101" s="21">
        <f ca="1">COUNTIF($J$2:Master[[#This Row],[ChecklistID]],Master[[#This Row],[ChecklistID]])-1</f>
        <v>4</v>
      </c>
      <c r="L101" s="23" t="s">
        <v>6</v>
      </c>
    </row>
    <row r="102" spans="1:12" ht="15.75">
      <c r="A102" s="23">
        <f t="shared" si="1"/>
        <v>101</v>
      </c>
      <c r="B102" s="21">
        <f ca="1">Master[[#This Row],[ChecklistID]]+Master[[#This Row],[Checklist Order]]</f>
        <v>20005</v>
      </c>
      <c r="C102" s="22"/>
      <c r="D102" s="3" t="str" cm="1">
        <f t="array" aca="1" ref="D102" ca="1">_xlfn.SWITCH(MID(Master[[#This Row],[Checklist]],1,4),"C - ","Civil","F - ","Foundation","ST -","Structure","FC -","Façade","PRE ","Pre-Line","POST","Post-Line","H - ","Handover","S - ","Services","CST ","Completion Docs", "I - ", "Inspection")</f>
        <v>Structure</v>
      </c>
      <c r="E102" s="23" t="str">
        <f ca="1">IF(NOT(ISERROR(SEARCH("- S -", Master[[#This Row],[Checklist]]))), "Subcontractor",IF(NOT(ISERROR(SEARCH("- R -", Master[[#This Row],[Checklist]]))), "Ryman",IF(NOT(ISERROR(SEARCH("- C -", Master[[#This Row],[Checklist]]))), "Consultant",IF(NOT(ISERROR(SEARCH("- I -", Master[[#This Row],[Checklist]]))),  "Inspection Test Plan", "Naming Error"))))</f>
        <v>Ryman</v>
      </c>
      <c r="F102" s="24" t="str">
        <f ca="1">IF(OR(Master[[#This Row],[Type]]="checklist", Master[[#This Row],[Type]]="checklist-flat"), Master[[#This Row],[Name]], F101)</f>
        <v>ST - R - Concrete Pour</v>
      </c>
      <c r="G102" s="15" t="s">
        <v>49</v>
      </c>
      <c r="H102" s="32" t="s">
        <v>1264</v>
      </c>
      <c r="I102" s="3"/>
      <c r="J102" s="21">
        <f ca="1">_xlfn.XLOOKUP(Master[[#This Row],[Checklist]],Ref!A:A,Ref!B:B)*1000</f>
        <v>20000</v>
      </c>
      <c r="K102" s="21">
        <f ca="1">COUNTIF($J$2:Master[[#This Row],[ChecklistID]],Master[[#This Row],[ChecklistID]])-1</f>
        <v>5</v>
      </c>
      <c r="L102" s="23" t="s">
        <v>6</v>
      </c>
    </row>
    <row r="103" spans="1:12" ht="15.75">
      <c r="A103" s="23">
        <f t="shared" si="1"/>
        <v>102</v>
      </c>
      <c r="B103" s="21">
        <f ca="1">Master[[#This Row],[ChecklistID]]+Master[[#This Row],[Checklist Order]]</f>
        <v>20006</v>
      </c>
      <c r="C103" s="22"/>
      <c r="D103" s="3" t="str" cm="1">
        <f t="array" aca="1" ref="D103" ca="1">_xlfn.SWITCH(MID(Master[[#This Row],[Checklist]],1,4),"C - ","Civil","F - ","Foundation","ST -","Structure","FC -","Façade","PRE ","Pre-Line","POST","Post-Line","H - ","Handover","S - ","Services","CST ","Completion Docs", "I - ", "Inspection")</f>
        <v>Structure</v>
      </c>
      <c r="E103" s="23" t="str">
        <f ca="1">IF(NOT(ISERROR(SEARCH("- S -", Master[[#This Row],[Checklist]]))), "Subcontractor",IF(NOT(ISERROR(SEARCH("- R -", Master[[#This Row],[Checklist]]))), "Ryman",IF(NOT(ISERROR(SEARCH("- C -", Master[[#This Row],[Checklist]]))), "Consultant",IF(NOT(ISERROR(SEARCH("- I -", Master[[#This Row],[Checklist]]))),  "Inspection Test Plan", "Naming Error"))))</f>
        <v>Ryman</v>
      </c>
      <c r="F103" s="24" t="str">
        <f ca="1">IF(OR(Master[[#This Row],[Type]]="checklist", Master[[#This Row],[Type]]="checklist-flat"), Master[[#This Row],[Name]], F102)</f>
        <v>ST - R - Concrete Pour</v>
      </c>
      <c r="G103" s="15" t="s">
        <v>58</v>
      </c>
      <c r="H103" s="32" t="s">
        <v>306</v>
      </c>
      <c r="I103" s="3"/>
      <c r="J103" s="21">
        <f ca="1">_xlfn.XLOOKUP(Master[[#This Row],[Checklist]],Ref!A:A,Ref!B:B)*1000</f>
        <v>20000</v>
      </c>
      <c r="K103" s="21">
        <f ca="1">COUNTIF($J$2:Master[[#This Row],[ChecklistID]],Master[[#This Row],[ChecklistID]])-1</f>
        <v>6</v>
      </c>
      <c r="L103" s="23" t="s">
        <v>6</v>
      </c>
    </row>
    <row r="104" spans="1:12" ht="15.75">
      <c r="A104" s="23">
        <f t="shared" si="1"/>
        <v>103</v>
      </c>
      <c r="B104" s="21">
        <f ca="1">Master[[#This Row],[ChecklistID]]+Master[[#This Row],[Checklist Order]]</f>
        <v>20007</v>
      </c>
      <c r="C104" s="22"/>
      <c r="D104" s="3" t="str" cm="1">
        <f t="array" aca="1" ref="D104" ca="1">_xlfn.SWITCH(MID(Master[[#This Row],[Checklist]],1,4),"C - ","Civil","F - ","Foundation","ST -","Structure","FC -","Façade","PRE ","Pre-Line","POST","Post-Line","H - ","Handover","S - ","Services","CST ","Completion Docs", "I - ", "Inspection")</f>
        <v>Structure</v>
      </c>
      <c r="E104" s="23" t="str">
        <f ca="1">IF(NOT(ISERROR(SEARCH("- S -", Master[[#This Row],[Checklist]]))), "Subcontractor",IF(NOT(ISERROR(SEARCH("- R -", Master[[#This Row],[Checklist]]))), "Ryman",IF(NOT(ISERROR(SEARCH("- C -", Master[[#This Row],[Checklist]]))), "Consultant",IF(NOT(ISERROR(SEARCH("- I -", Master[[#This Row],[Checklist]]))),  "Inspection Test Plan", "Naming Error"))))</f>
        <v>Ryman</v>
      </c>
      <c r="F104" s="24" t="str">
        <f ca="1">IF(OR(Master[[#This Row],[Type]]="checklist", Master[[#This Row],[Type]]="checklist-flat"), Master[[#This Row],[Name]], F103)</f>
        <v>ST - R - Concrete Pour</v>
      </c>
      <c r="G104" s="15" t="s">
        <v>49</v>
      </c>
      <c r="H104" s="32" t="s">
        <v>1306</v>
      </c>
      <c r="I104" s="3"/>
      <c r="J104" s="21">
        <f ca="1">_xlfn.XLOOKUP(Master[[#This Row],[Checklist]],Ref!A:A,Ref!B:B)*1000</f>
        <v>20000</v>
      </c>
      <c r="K104" s="21">
        <f ca="1">COUNTIF($J$2:Master[[#This Row],[ChecklistID]],Master[[#This Row],[ChecklistID]])-1</f>
        <v>7</v>
      </c>
      <c r="L104" s="23" t="s">
        <v>6</v>
      </c>
    </row>
    <row r="105" spans="1:12" ht="15.75">
      <c r="A105" s="23">
        <f t="shared" si="1"/>
        <v>104</v>
      </c>
      <c r="B105" s="21">
        <f ca="1">Master[[#This Row],[ChecklistID]]+Master[[#This Row],[Checklist Order]]</f>
        <v>21000</v>
      </c>
      <c r="C105" s="22"/>
      <c r="D105" s="3" t="str" cm="1">
        <f t="array" aca="1" ref="D105" ca="1">_xlfn.SWITCH(MID(Master[[#This Row],[Checklist]],1,4),"C - ","Civil","F - ","Foundation","ST -","Structure","FC -","Façade","PRE ","Pre-Line","POST","Post-Line","H - ","Handover","S - ","Services","CST ","Completion Docs", "I - ", "Inspection")</f>
        <v>Structure</v>
      </c>
      <c r="E105" s="23" t="str">
        <f ca="1">IF(NOT(ISERROR(SEARCH("- S -", Master[[#This Row],[Checklist]]))), "Subcontractor",IF(NOT(ISERROR(SEARCH("- R -", Master[[#This Row],[Checklist]]))), "Ryman",IF(NOT(ISERROR(SEARCH("- C -", Master[[#This Row],[Checklist]]))), "Consultant",IF(NOT(ISERROR(SEARCH("- I -", Master[[#This Row],[Checklist]]))),  "Inspection Test Plan", "Naming Error"))))</f>
        <v>Ryman</v>
      </c>
      <c r="F105" s="24" t="str">
        <f ca="1">IF(OR(Master[[#This Row],[Type]]="checklist", Master[[#This Row],[Type]]="checklist-flat"), Master[[#This Row],[Name]], F104)</f>
        <v xml:space="preserve">ST - R - Insitu Stitch Joints </v>
      </c>
      <c r="G105" s="3" t="s">
        <v>48</v>
      </c>
      <c r="H105" s="32" t="s">
        <v>1307</v>
      </c>
      <c r="I105" s="3"/>
      <c r="J105" s="21">
        <f ca="1">_xlfn.XLOOKUP(Master[[#This Row],[Checklist]],Ref!A:A,Ref!B:B)*1000</f>
        <v>21000</v>
      </c>
      <c r="K105" s="21">
        <f ca="1">COUNTIF($J$2:Master[[#This Row],[ChecklistID]],Master[[#This Row],[ChecklistID]])-1</f>
        <v>0</v>
      </c>
      <c r="L105" s="23" t="s">
        <v>6</v>
      </c>
    </row>
    <row r="106" spans="1:12" ht="15.75">
      <c r="A106" s="23">
        <f t="shared" si="1"/>
        <v>105</v>
      </c>
      <c r="B106" s="21">
        <f ca="1">Master[[#This Row],[ChecklistID]]+Master[[#This Row],[Checklist Order]]</f>
        <v>21001</v>
      </c>
      <c r="C106" s="22"/>
      <c r="D106" s="3" t="str" cm="1">
        <f t="array" aca="1" ref="D106" ca="1">_xlfn.SWITCH(MID(Master[[#This Row],[Checklist]],1,4),"C - ","Civil","F - ","Foundation","ST -","Structure","FC -","Façade","PRE ","Pre-Line","POST","Post-Line","H - ","Handover","S - ","Services","CST ","Completion Docs", "I - ", "Inspection")</f>
        <v>Structure</v>
      </c>
      <c r="E106" s="23" t="str">
        <f ca="1">IF(NOT(ISERROR(SEARCH("- S -", Master[[#This Row],[Checklist]]))), "Subcontractor",IF(NOT(ISERROR(SEARCH("- R -", Master[[#This Row],[Checklist]]))), "Ryman",IF(NOT(ISERROR(SEARCH("- C -", Master[[#This Row],[Checklist]]))), "Consultant",IF(NOT(ISERROR(SEARCH("- I -", Master[[#This Row],[Checklist]]))),  "Inspection Test Plan", "Naming Error"))))</f>
        <v>Ryman</v>
      </c>
      <c r="F106" s="24" t="str">
        <f ca="1">IF(OR(Master[[#This Row],[Type]]="checklist", Master[[#This Row],[Type]]="checklist-flat"), Master[[#This Row],[Name]], F105)</f>
        <v xml:space="preserve">ST - R - Insitu Stitch Joints </v>
      </c>
      <c r="G106" s="15" t="s">
        <v>49</v>
      </c>
      <c r="H106" s="32" t="s">
        <v>1263</v>
      </c>
      <c r="I106" s="3"/>
      <c r="J106" s="21">
        <f ca="1">_xlfn.XLOOKUP(Master[[#This Row],[Checklist]],Ref!A:A,Ref!B:B)*1000</f>
        <v>21000</v>
      </c>
      <c r="K106" s="21">
        <f ca="1">COUNTIF($J$2:Master[[#This Row],[ChecklistID]],Master[[#This Row],[ChecklistID]])-1</f>
        <v>1</v>
      </c>
      <c r="L106" s="23" t="s">
        <v>6</v>
      </c>
    </row>
    <row r="107" spans="1:12" ht="15.75">
      <c r="A107" s="23">
        <f t="shared" si="1"/>
        <v>106</v>
      </c>
      <c r="B107" s="21">
        <f ca="1">Master[[#This Row],[ChecklistID]]+Master[[#This Row],[Checklist Order]]</f>
        <v>21002</v>
      </c>
      <c r="C107" s="22"/>
      <c r="D107" s="3" t="str" cm="1">
        <f t="array" aca="1" ref="D107" ca="1">_xlfn.SWITCH(MID(Master[[#This Row],[Checklist]],1,4),"C - ","Civil","F - ","Foundation","ST -","Structure","FC -","Façade","PRE ","Pre-Line","POST","Post-Line","H - ","Handover","S - ","Services","CST ","Completion Docs", "I - ", "Inspection")</f>
        <v>Structure</v>
      </c>
      <c r="E107" s="23" t="str">
        <f ca="1">IF(NOT(ISERROR(SEARCH("- S -", Master[[#This Row],[Checklist]]))), "Subcontractor",IF(NOT(ISERROR(SEARCH("- R -", Master[[#This Row],[Checklist]]))), "Ryman",IF(NOT(ISERROR(SEARCH("- C -", Master[[#This Row],[Checklist]]))), "Consultant",IF(NOT(ISERROR(SEARCH("- I -", Master[[#This Row],[Checklist]]))),  "Inspection Test Plan", "Naming Error"))))</f>
        <v>Ryman</v>
      </c>
      <c r="F107" s="24" t="str">
        <f ca="1">IF(OR(Master[[#This Row],[Type]]="checklist", Master[[#This Row],[Type]]="checklist-flat"), Master[[#This Row],[Name]], F106)</f>
        <v xml:space="preserve">ST - R - Insitu Stitch Joints </v>
      </c>
      <c r="G107" t="s">
        <v>49</v>
      </c>
      <c r="H107" s="2" t="s">
        <v>288</v>
      </c>
      <c r="I107" s="3"/>
      <c r="J107" s="21">
        <f ca="1">_xlfn.XLOOKUP(Master[[#This Row],[Checklist]],Ref!A:A,Ref!B:B)*1000</f>
        <v>21000</v>
      </c>
      <c r="K107" s="21">
        <f ca="1">COUNTIF($J$2:Master[[#This Row],[ChecklistID]],Master[[#This Row],[ChecklistID]])-1</f>
        <v>2</v>
      </c>
      <c r="L107" s="23" t="s">
        <v>6</v>
      </c>
    </row>
    <row r="108" spans="1:12" ht="15.75">
      <c r="A108" s="23">
        <f t="shared" si="1"/>
        <v>107</v>
      </c>
      <c r="B108" s="21">
        <f ca="1">Master[[#This Row],[ChecklistID]]+Master[[#This Row],[Checklist Order]]</f>
        <v>21003</v>
      </c>
      <c r="C108" s="22"/>
      <c r="D108" s="3" t="str" cm="1">
        <f t="array" aca="1" ref="D108" ca="1">_xlfn.SWITCH(MID(Master[[#This Row],[Checklist]],1,4),"C - ","Civil","F - ","Foundation","ST -","Structure","FC -","Façade","PRE ","Pre-Line","POST","Post-Line","H - ","Handover","S - ","Services","CST ","Completion Docs", "I - ", "Inspection")</f>
        <v>Structure</v>
      </c>
      <c r="E108" s="23" t="str">
        <f ca="1">IF(NOT(ISERROR(SEARCH("- S -", Master[[#This Row],[Checklist]]))), "Subcontractor",IF(NOT(ISERROR(SEARCH("- R -", Master[[#This Row],[Checklist]]))), "Ryman",IF(NOT(ISERROR(SEARCH("- C -", Master[[#This Row],[Checklist]]))), "Consultant",IF(NOT(ISERROR(SEARCH("- I -", Master[[#This Row],[Checklist]]))),  "Inspection Test Plan", "Naming Error"))))</f>
        <v>Ryman</v>
      </c>
      <c r="F108" s="24" t="str">
        <f ca="1">IF(OR(Master[[#This Row],[Type]]="checklist", Master[[#This Row],[Type]]="checklist-flat"), Master[[#This Row],[Name]], F107)</f>
        <v xml:space="preserve">ST - R - Insitu Stitch Joints </v>
      </c>
      <c r="G108" t="s">
        <v>49</v>
      </c>
      <c r="H108" s="2" t="s">
        <v>289</v>
      </c>
      <c r="I108" s="3"/>
      <c r="J108" s="21">
        <f ca="1">_xlfn.XLOOKUP(Master[[#This Row],[Checklist]],Ref!A:A,Ref!B:B)*1000</f>
        <v>21000</v>
      </c>
      <c r="K108" s="21">
        <f ca="1">COUNTIF($J$2:Master[[#This Row],[ChecklistID]],Master[[#This Row],[ChecklistID]])-1</f>
        <v>3</v>
      </c>
      <c r="L108" s="23" t="s">
        <v>6</v>
      </c>
    </row>
    <row r="109" spans="1:12" ht="15.75">
      <c r="A109" s="23">
        <f t="shared" si="1"/>
        <v>108</v>
      </c>
      <c r="B109" s="21">
        <f ca="1">Master[[#This Row],[ChecklistID]]+Master[[#This Row],[Checklist Order]]</f>
        <v>21004</v>
      </c>
      <c r="C109" s="22"/>
      <c r="D109" s="3" t="str" cm="1">
        <f t="array" aca="1" ref="D109" ca="1">_xlfn.SWITCH(MID(Master[[#This Row],[Checklist]],1,4),"C - ","Civil","F - ","Foundation","ST -","Structure","FC -","Façade","PRE ","Pre-Line","POST","Post-Line","H - ","Handover","S - ","Services","CST ","Completion Docs", "I - ", "Inspection")</f>
        <v>Structure</v>
      </c>
      <c r="E109" s="23" t="str">
        <f ca="1">IF(NOT(ISERROR(SEARCH("- S -", Master[[#This Row],[Checklist]]))), "Subcontractor",IF(NOT(ISERROR(SEARCH("- R -", Master[[#This Row],[Checklist]]))), "Ryman",IF(NOT(ISERROR(SEARCH("- C -", Master[[#This Row],[Checklist]]))), "Consultant",IF(NOT(ISERROR(SEARCH("- I -", Master[[#This Row],[Checklist]]))),  "Inspection Test Plan", "Naming Error"))))</f>
        <v>Ryman</v>
      </c>
      <c r="F109" s="24" t="str">
        <f ca="1">IF(OR(Master[[#This Row],[Type]]="checklist", Master[[#This Row],[Type]]="checklist-flat"), Master[[#This Row],[Name]], F108)</f>
        <v xml:space="preserve">ST - R - Insitu Stitch Joints </v>
      </c>
      <c r="G109" s="15" t="s">
        <v>49</v>
      </c>
      <c r="H109" s="32" t="s">
        <v>1264</v>
      </c>
      <c r="I109" s="3"/>
      <c r="J109" s="21">
        <f ca="1">_xlfn.XLOOKUP(Master[[#This Row],[Checklist]],Ref!A:A,Ref!B:B)*1000</f>
        <v>21000</v>
      </c>
      <c r="K109" s="21">
        <f ca="1">COUNTIF($J$2:Master[[#This Row],[ChecklistID]],Master[[#This Row],[ChecklistID]])-1</f>
        <v>4</v>
      </c>
      <c r="L109" s="23" t="s">
        <v>6</v>
      </c>
    </row>
    <row r="110" spans="1:12" ht="15.75">
      <c r="A110" s="23">
        <f t="shared" si="1"/>
        <v>109</v>
      </c>
      <c r="B110" s="21">
        <f ca="1">Master[[#This Row],[ChecklistID]]+Master[[#This Row],[Checklist Order]]</f>
        <v>21005</v>
      </c>
      <c r="C110" s="22"/>
      <c r="D110" s="3" t="str" cm="1">
        <f t="array" aca="1" ref="D110" ca="1">_xlfn.SWITCH(MID(Master[[#This Row],[Checklist]],1,4),"C - ","Civil","F - ","Foundation","ST -","Structure","FC -","Façade","PRE ","Pre-Line","POST","Post-Line","H - ","Handover","S - ","Services","CST ","Completion Docs", "I - ", "Inspection")</f>
        <v>Structure</v>
      </c>
      <c r="E110" s="23" t="str">
        <f ca="1">IF(NOT(ISERROR(SEARCH("- S -", Master[[#This Row],[Checklist]]))), "Subcontractor",IF(NOT(ISERROR(SEARCH("- R -", Master[[#This Row],[Checklist]]))), "Ryman",IF(NOT(ISERROR(SEARCH("- C -", Master[[#This Row],[Checklist]]))), "Consultant",IF(NOT(ISERROR(SEARCH("- I -", Master[[#This Row],[Checklist]]))),  "Inspection Test Plan", "Naming Error"))))</f>
        <v>Ryman</v>
      </c>
      <c r="F110" s="24" t="str">
        <f ca="1">IF(OR(Master[[#This Row],[Type]]="checklist", Master[[#This Row],[Type]]="checklist-flat"), Master[[#This Row],[Name]], F109)</f>
        <v xml:space="preserve">ST - R - Insitu Stitch Joints </v>
      </c>
      <c r="G110" s="15" t="s">
        <v>58</v>
      </c>
      <c r="H110" s="32" t="s">
        <v>306</v>
      </c>
      <c r="I110" s="3"/>
      <c r="J110" s="21">
        <f ca="1">_xlfn.XLOOKUP(Master[[#This Row],[Checklist]],Ref!A:A,Ref!B:B)*1000</f>
        <v>21000</v>
      </c>
      <c r="K110" s="21">
        <f ca="1">COUNTIF($J$2:Master[[#This Row],[ChecklistID]],Master[[#This Row],[ChecklistID]])-1</f>
        <v>5</v>
      </c>
      <c r="L110" s="23" t="s">
        <v>6</v>
      </c>
    </row>
    <row r="111" spans="1:12" ht="15.75">
      <c r="A111" s="23">
        <f t="shared" si="1"/>
        <v>110</v>
      </c>
      <c r="B111" s="21">
        <f ca="1">Master[[#This Row],[ChecklistID]]+Master[[#This Row],[Checklist Order]]</f>
        <v>21006</v>
      </c>
      <c r="C111" s="22"/>
      <c r="D111" s="3" t="str" cm="1">
        <f t="array" aca="1" ref="D111" ca="1">_xlfn.SWITCH(MID(Master[[#This Row],[Checklist]],1,4),"C - ","Civil","F - ","Foundation","ST -","Structure","FC -","Façade","PRE ","Pre-Line","POST","Post-Line","H - ","Handover","S - ","Services","CST ","Completion Docs", "I - ", "Inspection")</f>
        <v>Structure</v>
      </c>
      <c r="E111" s="23" t="str">
        <f ca="1">IF(NOT(ISERROR(SEARCH("- S -", Master[[#This Row],[Checklist]]))), "Subcontractor",IF(NOT(ISERROR(SEARCH("- R -", Master[[#This Row],[Checklist]]))), "Ryman",IF(NOT(ISERROR(SEARCH("- C -", Master[[#This Row],[Checklist]]))), "Consultant",IF(NOT(ISERROR(SEARCH("- I -", Master[[#This Row],[Checklist]]))),  "Inspection Test Plan", "Naming Error"))))</f>
        <v>Ryman</v>
      </c>
      <c r="F111" s="24" t="str">
        <f ca="1">IF(OR(Master[[#This Row],[Type]]="checklist", Master[[#This Row],[Type]]="checklist-flat"), Master[[#This Row],[Name]], F110)</f>
        <v xml:space="preserve">ST - R - Insitu Stitch Joints </v>
      </c>
      <c r="G111" s="15" t="s">
        <v>49</v>
      </c>
      <c r="H111" s="32" t="s">
        <v>1308</v>
      </c>
      <c r="I111" s="3"/>
      <c r="J111" s="21">
        <f ca="1">_xlfn.XLOOKUP(Master[[#This Row],[Checklist]],Ref!A:A,Ref!B:B)*1000</f>
        <v>21000</v>
      </c>
      <c r="K111" s="21">
        <f ca="1">COUNTIF($J$2:Master[[#This Row],[ChecklistID]],Master[[#This Row],[ChecklistID]])-1</f>
        <v>6</v>
      </c>
      <c r="L111" s="23" t="s">
        <v>6</v>
      </c>
    </row>
    <row r="112" spans="1:12" ht="15.75">
      <c r="A112" s="23">
        <f t="shared" si="1"/>
        <v>111</v>
      </c>
      <c r="B112" s="21">
        <f ca="1">Master[[#This Row],[ChecklistID]]+Master[[#This Row],[Checklist Order]]</f>
        <v>22000</v>
      </c>
      <c r="C112" s="22"/>
      <c r="D112" s="3" t="str" cm="1">
        <f t="array" aca="1" ref="D112" ca="1">_xlfn.SWITCH(MID(Master[[#This Row],[Checklist]],1,4),"C - ","Civil","F - ","Foundation","ST -","Structure","FC -","Façade","PRE ","Pre-Line","POST","Post-Line","H - ","Handover","S - ","Services","CST ","Completion Docs", "I - ", "Inspection")</f>
        <v>Structure</v>
      </c>
      <c r="E112" s="23" t="str">
        <f ca="1">IF(NOT(ISERROR(SEARCH("- S -", Master[[#This Row],[Checklist]]))), "Subcontractor",IF(NOT(ISERROR(SEARCH("- R -", Master[[#This Row],[Checklist]]))), "Ryman",IF(NOT(ISERROR(SEARCH("- C -", Master[[#This Row],[Checklist]]))), "Consultant",IF(NOT(ISERROR(SEARCH("- I -", Master[[#This Row],[Checklist]]))),  "Inspection Test Plan", "Naming Error"))))</f>
        <v>Ryman</v>
      </c>
      <c r="F112" s="24" t="str">
        <f ca="1">IF(OR(Master[[#This Row],[Type]]="checklist", Master[[#This Row],[Type]]="checklist-flat"), Master[[#This Row],[Name]], F111)</f>
        <v>ST - R - Intumescent Painting</v>
      </c>
      <c r="G112" s="3" t="s">
        <v>48</v>
      </c>
      <c r="H112" s="32" t="s">
        <v>1309</v>
      </c>
      <c r="I112" s="3"/>
      <c r="J112" s="21">
        <f ca="1">_xlfn.XLOOKUP(Master[[#This Row],[Checklist]],Ref!A:A,Ref!B:B)*1000</f>
        <v>22000</v>
      </c>
      <c r="K112" s="21">
        <f ca="1">COUNTIF($J$2:Master[[#This Row],[ChecklistID]],Master[[#This Row],[ChecklistID]])-1</f>
        <v>0</v>
      </c>
      <c r="L112" s="23" t="s">
        <v>6</v>
      </c>
    </row>
    <row r="113" spans="1:12" ht="15.75">
      <c r="A113" s="23">
        <f t="shared" si="1"/>
        <v>112</v>
      </c>
      <c r="B113" s="21">
        <f ca="1">Master[[#This Row],[ChecklistID]]+Master[[#This Row],[Checklist Order]]</f>
        <v>22001</v>
      </c>
      <c r="C113" s="22"/>
      <c r="D113" s="3" t="str" cm="1">
        <f t="array" aca="1" ref="D113" ca="1">_xlfn.SWITCH(MID(Master[[#This Row],[Checklist]],1,4),"C - ","Civil","F - ","Foundation","ST -","Structure","FC -","Façade","PRE ","Pre-Line","POST","Post-Line","H - ","Handover","S - ","Services","CST ","Completion Docs", "I - ", "Inspection")</f>
        <v>Structure</v>
      </c>
      <c r="E113" s="23" t="str">
        <f ca="1">IF(NOT(ISERROR(SEARCH("- S -", Master[[#This Row],[Checklist]]))), "Subcontractor",IF(NOT(ISERROR(SEARCH("- R -", Master[[#This Row],[Checklist]]))), "Ryman",IF(NOT(ISERROR(SEARCH("- C -", Master[[#This Row],[Checklist]]))), "Consultant",IF(NOT(ISERROR(SEARCH("- I -", Master[[#This Row],[Checklist]]))),  "Inspection Test Plan", "Naming Error"))))</f>
        <v>Ryman</v>
      </c>
      <c r="F113" s="24" t="str">
        <f ca="1">IF(OR(Master[[#This Row],[Type]]="checklist", Master[[#This Row],[Type]]="checklist-flat"), Master[[#This Row],[Name]], F112)</f>
        <v>ST - R - Intumescent Painting</v>
      </c>
      <c r="G113" s="15" t="s">
        <v>49</v>
      </c>
      <c r="H113" s="32" t="s">
        <v>1263</v>
      </c>
      <c r="I113" s="3"/>
      <c r="J113" s="21">
        <f ca="1">_xlfn.XLOOKUP(Master[[#This Row],[Checklist]],Ref!A:A,Ref!B:B)*1000</f>
        <v>22000</v>
      </c>
      <c r="K113" s="21">
        <f ca="1">COUNTIF($J$2:Master[[#This Row],[ChecklistID]],Master[[#This Row],[ChecklistID]])-1</f>
        <v>1</v>
      </c>
      <c r="L113" s="23" t="s">
        <v>6</v>
      </c>
    </row>
    <row r="114" spans="1:12" ht="15.75">
      <c r="A114" s="23">
        <f t="shared" si="1"/>
        <v>113</v>
      </c>
      <c r="B114" s="21">
        <f ca="1">Master[[#This Row],[ChecklistID]]+Master[[#This Row],[Checklist Order]]</f>
        <v>22002</v>
      </c>
      <c r="C114" s="22"/>
      <c r="D114" s="3" t="str" cm="1">
        <f t="array" aca="1" ref="D114" ca="1">_xlfn.SWITCH(MID(Master[[#This Row],[Checklist]],1,4),"C - ","Civil","F - ","Foundation","ST -","Structure","FC -","Façade","PRE ","Pre-Line","POST","Post-Line","H - ","Handover","S - ","Services","CST ","Completion Docs", "I - ", "Inspection")</f>
        <v>Structure</v>
      </c>
      <c r="E114" s="23" t="str">
        <f ca="1">IF(NOT(ISERROR(SEARCH("- S -", Master[[#This Row],[Checklist]]))), "Subcontractor",IF(NOT(ISERROR(SEARCH("- R -", Master[[#This Row],[Checklist]]))), "Ryman",IF(NOT(ISERROR(SEARCH("- C -", Master[[#This Row],[Checklist]]))), "Consultant",IF(NOT(ISERROR(SEARCH("- I -", Master[[#This Row],[Checklist]]))),  "Inspection Test Plan", "Naming Error"))))</f>
        <v>Ryman</v>
      </c>
      <c r="F114" s="24" t="str">
        <f ca="1">IF(OR(Master[[#This Row],[Type]]="checklist", Master[[#This Row],[Type]]="checklist-flat"), Master[[#This Row],[Name]], F113)</f>
        <v>ST - R - Intumescent Painting</v>
      </c>
      <c r="G114" s="15" t="s">
        <v>49</v>
      </c>
      <c r="H114" s="32" t="s">
        <v>1264</v>
      </c>
      <c r="I114" s="3"/>
      <c r="J114" s="21">
        <f ca="1">_xlfn.XLOOKUP(Master[[#This Row],[Checklist]],Ref!A:A,Ref!B:B)*1000</f>
        <v>22000</v>
      </c>
      <c r="K114" s="21">
        <f ca="1">COUNTIF($J$2:Master[[#This Row],[ChecklistID]],Master[[#This Row],[ChecklistID]])-1</f>
        <v>2</v>
      </c>
      <c r="L114" s="23" t="s">
        <v>6</v>
      </c>
    </row>
    <row r="115" spans="1:12" ht="15.75">
      <c r="A115" s="23">
        <f t="shared" si="1"/>
        <v>114</v>
      </c>
      <c r="B115" s="21">
        <f ca="1">Master[[#This Row],[ChecklistID]]+Master[[#This Row],[Checklist Order]]</f>
        <v>22003</v>
      </c>
      <c r="C115" s="22"/>
      <c r="D115" s="3" t="str" cm="1">
        <f t="array" aca="1" ref="D115" ca="1">_xlfn.SWITCH(MID(Master[[#This Row],[Checklist]],1,4),"C - ","Civil","F - ","Foundation","ST -","Structure","FC -","Façade","PRE ","Pre-Line","POST","Post-Line","H - ","Handover","S - ","Services","CST ","Completion Docs", "I - ", "Inspection")</f>
        <v>Structure</v>
      </c>
      <c r="E115" s="23" t="str">
        <f ca="1">IF(NOT(ISERROR(SEARCH("- S -", Master[[#This Row],[Checklist]]))), "Subcontractor",IF(NOT(ISERROR(SEARCH("- R -", Master[[#This Row],[Checklist]]))), "Ryman",IF(NOT(ISERROR(SEARCH("- C -", Master[[#This Row],[Checklist]]))), "Consultant",IF(NOT(ISERROR(SEARCH("- I -", Master[[#This Row],[Checklist]]))),  "Inspection Test Plan", "Naming Error"))))</f>
        <v>Ryman</v>
      </c>
      <c r="F115" s="24" t="str">
        <f ca="1">IF(OR(Master[[#This Row],[Type]]="checklist", Master[[#This Row],[Type]]="checklist-flat"), Master[[#This Row],[Name]], F114)</f>
        <v>ST - R - Intumescent Painting</v>
      </c>
      <c r="G115" s="15" t="s">
        <v>58</v>
      </c>
      <c r="H115" s="32" t="s">
        <v>306</v>
      </c>
      <c r="I115" s="3"/>
      <c r="J115" s="21">
        <f ca="1">_xlfn.XLOOKUP(Master[[#This Row],[Checklist]],Ref!A:A,Ref!B:B)*1000</f>
        <v>22000</v>
      </c>
      <c r="K115" s="21">
        <f ca="1">COUNTIF($J$2:Master[[#This Row],[ChecklistID]],Master[[#This Row],[ChecklistID]])-1</f>
        <v>3</v>
      </c>
      <c r="L115" s="23" t="s">
        <v>6</v>
      </c>
    </row>
    <row r="116" spans="1:12" ht="15.75">
      <c r="A116" s="23">
        <f t="shared" si="1"/>
        <v>115</v>
      </c>
      <c r="B116" s="21">
        <f ca="1">Master[[#This Row],[ChecklistID]]+Master[[#This Row],[Checklist Order]]</f>
        <v>22004</v>
      </c>
      <c r="C116" s="22"/>
      <c r="D116" s="3" t="str" cm="1">
        <f t="array" aca="1" ref="D116" ca="1">_xlfn.SWITCH(MID(Master[[#This Row],[Checklist]],1,4),"C - ","Civil","F - ","Foundation","ST -","Structure","FC -","Façade","PRE ","Pre-Line","POST","Post-Line","H - ","Handover","S - ","Services","CST ","Completion Docs", "I - ", "Inspection")</f>
        <v>Structure</v>
      </c>
      <c r="E116" s="23" t="str">
        <f ca="1">IF(NOT(ISERROR(SEARCH("- S -", Master[[#This Row],[Checklist]]))), "Subcontractor",IF(NOT(ISERROR(SEARCH("- R -", Master[[#This Row],[Checklist]]))), "Ryman",IF(NOT(ISERROR(SEARCH("- C -", Master[[#This Row],[Checklist]]))), "Consultant",IF(NOT(ISERROR(SEARCH("- I -", Master[[#This Row],[Checklist]]))),  "Inspection Test Plan", "Naming Error"))))</f>
        <v>Ryman</v>
      </c>
      <c r="F116" s="24" t="str">
        <f ca="1">IF(OR(Master[[#This Row],[Type]]="checklist", Master[[#This Row],[Type]]="checklist-flat"), Master[[#This Row],[Name]], F115)</f>
        <v>ST - R - Intumescent Painting</v>
      </c>
      <c r="G116" s="15" t="s">
        <v>49</v>
      </c>
      <c r="H116" s="32" t="s">
        <v>1310</v>
      </c>
      <c r="I116" s="3"/>
      <c r="J116" s="21">
        <f ca="1">_xlfn.XLOOKUP(Master[[#This Row],[Checklist]],Ref!A:A,Ref!B:B)*1000</f>
        <v>22000</v>
      </c>
      <c r="K116" s="21">
        <f ca="1">COUNTIF($J$2:Master[[#This Row],[ChecklistID]],Master[[#This Row],[ChecklistID]])-1</f>
        <v>4</v>
      </c>
      <c r="L116" s="23" t="s">
        <v>6</v>
      </c>
    </row>
    <row r="117" spans="1:12" ht="15.75">
      <c r="A117" s="23">
        <f t="shared" si="1"/>
        <v>116</v>
      </c>
      <c r="B117" s="21">
        <f ca="1">Master[[#This Row],[ChecklistID]]+Master[[#This Row],[Checklist Order]]</f>
        <v>23000</v>
      </c>
      <c r="C117" s="22"/>
      <c r="D117" s="3" t="str" cm="1">
        <f t="array" aca="1" ref="D117" ca="1">_xlfn.SWITCH(MID(Master[[#This Row],[Checklist]],1,4),"C - ","Civil","F - ","Foundation","ST -","Structure","FC -","Façade","PRE ","Pre-Line","POST","Post-Line","H - ","Handover","S - ","Services","CST ","Completion Docs", "I - ", "Inspection")</f>
        <v>Structure</v>
      </c>
      <c r="E117" s="23" t="str">
        <f ca="1">IF(NOT(ISERROR(SEARCH("- S -", Master[[#This Row],[Checklist]]))), "Subcontractor",IF(NOT(ISERROR(SEARCH("- R -", Master[[#This Row],[Checklist]]))), "Ryman",IF(NOT(ISERROR(SEARCH("- C -", Master[[#This Row],[Checklist]]))), "Consultant",IF(NOT(ISERROR(SEARCH("- I -", Master[[#This Row],[Checklist]]))),  "Inspection Test Plan", "Naming Error"))))</f>
        <v>Ryman</v>
      </c>
      <c r="F117" s="24" t="str">
        <f ca="1">IF(OR(Master[[#This Row],[Type]]="checklist", Master[[#This Row],[Type]]="checklist-flat"), Master[[#This Row],[Name]], F116)</f>
        <v>ST - R - Precast Edge Beams Installation</v>
      </c>
      <c r="G117" s="3" t="s">
        <v>48</v>
      </c>
      <c r="H117" s="32" t="s">
        <v>1311</v>
      </c>
      <c r="I117" s="3"/>
      <c r="J117" s="21">
        <f ca="1">_xlfn.XLOOKUP(Master[[#This Row],[Checklist]],Ref!A:A,Ref!B:B)*1000</f>
        <v>23000</v>
      </c>
      <c r="K117" s="21">
        <f ca="1">COUNTIF($J$2:Master[[#This Row],[ChecklistID]],Master[[#This Row],[ChecklistID]])-1</f>
        <v>0</v>
      </c>
      <c r="L117" s="23" t="s">
        <v>6</v>
      </c>
    </row>
    <row r="118" spans="1:12" ht="15.75">
      <c r="A118" s="23">
        <f t="shared" si="1"/>
        <v>117</v>
      </c>
      <c r="B118" s="21">
        <f ca="1">Master[[#This Row],[ChecklistID]]+Master[[#This Row],[Checklist Order]]</f>
        <v>23001</v>
      </c>
      <c r="C118" s="22"/>
      <c r="D118" s="3" t="str" cm="1">
        <f t="array" aca="1" ref="D118" ca="1">_xlfn.SWITCH(MID(Master[[#This Row],[Checklist]],1,4),"C - ","Civil","F - ","Foundation","ST -","Structure","FC -","Façade","PRE ","Pre-Line","POST","Post-Line","H - ","Handover","S - ","Services","CST ","Completion Docs", "I - ", "Inspection")</f>
        <v>Structure</v>
      </c>
      <c r="E118" s="23" t="str">
        <f ca="1">IF(NOT(ISERROR(SEARCH("- S -", Master[[#This Row],[Checklist]]))), "Subcontractor",IF(NOT(ISERROR(SEARCH("- R -", Master[[#This Row],[Checklist]]))), "Ryman",IF(NOT(ISERROR(SEARCH("- C -", Master[[#This Row],[Checklist]]))), "Consultant",IF(NOT(ISERROR(SEARCH("- I -", Master[[#This Row],[Checklist]]))),  "Inspection Test Plan", "Naming Error"))))</f>
        <v>Ryman</v>
      </c>
      <c r="F118" s="24" t="str">
        <f ca="1">IF(OR(Master[[#This Row],[Type]]="checklist", Master[[#This Row],[Type]]="checklist-flat"), Master[[#This Row],[Name]], F117)</f>
        <v>ST - R - Precast Edge Beams Installation</v>
      </c>
      <c r="G118" s="15" t="s">
        <v>49</v>
      </c>
      <c r="H118" s="32" t="s">
        <v>1263</v>
      </c>
      <c r="I118" s="3"/>
      <c r="J118" s="21">
        <f ca="1">_xlfn.XLOOKUP(Master[[#This Row],[Checklist]],Ref!A:A,Ref!B:B)*1000</f>
        <v>23000</v>
      </c>
      <c r="K118" s="21">
        <f ca="1">COUNTIF($J$2:Master[[#This Row],[ChecklistID]],Master[[#This Row],[ChecklistID]])-1</f>
        <v>1</v>
      </c>
      <c r="L118" s="23" t="s">
        <v>6</v>
      </c>
    </row>
    <row r="119" spans="1:12" ht="15.75">
      <c r="A119" s="23">
        <f t="shared" si="1"/>
        <v>118</v>
      </c>
      <c r="B119" s="21">
        <f ca="1">Master[[#This Row],[ChecklistID]]+Master[[#This Row],[Checklist Order]]</f>
        <v>23002</v>
      </c>
      <c r="C119" s="22"/>
      <c r="D119" s="3" t="str" cm="1">
        <f t="array" aca="1" ref="D119" ca="1">_xlfn.SWITCH(MID(Master[[#This Row],[Checklist]],1,4),"C - ","Civil","F - ","Foundation","ST -","Structure","FC -","Façade","PRE ","Pre-Line","POST","Post-Line","H - ","Handover","S - ","Services","CST ","Completion Docs", "I - ", "Inspection")</f>
        <v>Structure</v>
      </c>
      <c r="E119" s="23" t="str">
        <f ca="1">IF(NOT(ISERROR(SEARCH("- S -", Master[[#This Row],[Checklist]]))), "Subcontractor",IF(NOT(ISERROR(SEARCH("- R -", Master[[#This Row],[Checklist]]))), "Ryman",IF(NOT(ISERROR(SEARCH("- C -", Master[[#This Row],[Checklist]]))), "Consultant",IF(NOT(ISERROR(SEARCH("- I -", Master[[#This Row],[Checklist]]))),  "Inspection Test Plan", "Naming Error"))))</f>
        <v>Ryman</v>
      </c>
      <c r="F119" s="24" t="str">
        <f ca="1">IF(OR(Master[[#This Row],[Type]]="checklist", Master[[#This Row],[Type]]="checklist-flat"), Master[[#This Row],[Name]], F118)</f>
        <v>ST - R - Precast Edge Beams Installation</v>
      </c>
      <c r="G119" s="15" t="s">
        <v>49</v>
      </c>
      <c r="H119" s="32" t="s">
        <v>1264</v>
      </c>
      <c r="I119" s="3"/>
      <c r="J119" s="21">
        <f ca="1">_xlfn.XLOOKUP(Master[[#This Row],[Checklist]],Ref!A:A,Ref!B:B)*1000</f>
        <v>23000</v>
      </c>
      <c r="K119" s="21">
        <f ca="1">COUNTIF($J$2:Master[[#This Row],[ChecklistID]],Master[[#This Row],[ChecklistID]])-1</f>
        <v>2</v>
      </c>
      <c r="L119" s="23" t="s">
        <v>6</v>
      </c>
    </row>
    <row r="120" spans="1:12" ht="15.75">
      <c r="A120" s="23">
        <f t="shared" si="1"/>
        <v>119</v>
      </c>
      <c r="B120" s="21">
        <f ca="1">Master[[#This Row],[ChecklistID]]+Master[[#This Row],[Checklist Order]]</f>
        <v>23003</v>
      </c>
      <c r="C120" s="22"/>
      <c r="D120" s="3" t="str" cm="1">
        <f t="array" aca="1" ref="D120" ca="1">_xlfn.SWITCH(MID(Master[[#This Row],[Checklist]],1,4),"C - ","Civil","F - ","Foundation","ST -","Structure","FC -","Façade","PRE ","Pre-Line","POST","Post-Line","H - ","Handover","S - ","Services","CST ","Completion Docs", "I - ", "Inspection")</f>
        <v>Structure</v>
      </c>
      <c r="E120" s="23" t="str">
        <f ca="1">IF(NOT(ISERROR(SEARCH("- S -", Master[[#This Row],[Checklist]]))), "Subcontractor",IF(NOT(ISERROR(SEARCH("- R -", Master[[#This Row],[Checklist]]))), "Ryman",IF(NOT(ISERROR(SEARCH("- C -", Master[[#This Row],[Checklist]]))), "Consultant",IF(NOT(ISERROR(SEARCH("- I -", Master[[#This Row],[Checklist]]))),  "Inspection Test Plan", "Naming Error"))))</f>
        <v>Ryman</v>
      </c>
      <c r="F120" s="24" t="str">
        <f ca="1">IF(OR(Master[[#This Row],[Type]]="checklist", Master[[#This Row],[Type]]="checklist-flat"), Master[[#This Row],[Name]], F119)</f>
        <v>ST - R - Precast Edge Beams Installation</v>
      </c>
      <c r="G120" s="15" t="s">
        <v>58</v>
      </c>
      <c r="H120" s="32" t="s">
        <v>306</v>
      </c>
      <c r="I120" s="3"/>
      <c r="J120" s="21">
        <f ca="1">_xlfn.XLOOKUP(Master[[#This Row],[Checklist]],Ref!A:A,Ref!B:B)*1000</f>
        <v>23000</v>
      </c>
      <c r="K120" s="21">
        <f ca="1">COUNTIF($J$2:Master[[#This Row],[ChecklistID]],Master[[#This Row],[ChecklistID]])-1</f>
        <v>3</v>
      </c>
      <c r="L120" s="23" t="s">
        <v>6</v>
      </c>
    </row>
    <row r="121" spans="1:12" ht="15.75">
      <c r="A121" s="23">
        <f t="shared" si="1"/>
        <v>120</v>
      </c>
      <c r="B121" s="21">
        <f ca="1">Master[[#This Row],[ChecklistID]]+Master[[#This Row],[Checklist Order]]</f>
        <v>23004</v>
      </c>
      <c r="C121" s="22"/>
      <c r="D121" s="3" t="str" cm="1">
        <f t="array" aca="1" ref="D121" ca="1">_xlfn.SWITCH(MID(Master[[#This Row],[Checklist]],1,4),"C - ","Civil","F - ","Foundation","ST -","Structure","FC -","Façade","PRE ","Pre-Line","POST","Post-Line","H - ","Handover","S - ","Services","CST ","Completion Docs", "I - ", "Inspection")</f>
        <v>Structure</v>
      </c>
      <c r="E121" s="23" t="str">
        <f ca="1">IF(NOT(ISERROR(SEARCH("- S -", Master[[#This Row],[Checklist]]))), "Subcontractor",IF(NOT(ISERROR(SEARCH("- R -", Master[[#This Row],[Checklist]]))), "Ryman",IF(NOT(ISERROR(SEARCH("- C -", Master[[#This Row],[Checklist]]))), "Consultant",IF(NOT(ISERROR(SEARCH("- I -", Master[[#This Row],[Checklist]]))),  "Inspection Test Plan", "Naming Error"))))</f>
        <v>Ryman</v>
      </c>
      <c r="F121" s="24" t="str">
        <f ca="1">IF(OR(Master[[#This Row],[Type]]="checklist", Master[[#This Row],[Type]]="checklist-flat"), Master[[#This Row],[Name]], F120)</f>
        <v>ST - R - Precast Edge Beams Installation</v>
      </c>
      <c r="G121" s="15" t="s">
        <v>49</v>
      </c>
      <c r="H121" s="32" t="s">
        <v>1312</v>
      </c>
      <c r="I121" s="3"/>
      <c r="J121" s="21">
        <f ca="1">_xlfn.XLOOKUP(Master[[#This Row],[Checklist]],Ref!A:A,Ref!B:B)*1000</f>
        <v>23000</v>
      </c>
      <c r="K121" s="21">
        <f ca="1">COUNTIF($J$2:Master[[#This Row],[ChecklistID]],Master[[#This Row],[ChecklistID]])-1</f>
        <v>4</v>
      </c>
      <c r="L121" s="23" t="s">
        <v>6</v>
      </c>
    </row>
    <row r="122" spans="1:12" ht="15.75">
      <c r="A122" s="23">
        <f t="shared" si="1"/>
        <v>121</v>
      </c>
      <c r="B122" s="21">
        <f ca="1">Master[[#This Row],[ChecklistID]]+Master[[#This Row],[Checklist Order]]</f>
        <v>24000</v>
      </c>
      <c r="C122" s="22"/>
      <c r="D122" s="3" t="str" cm="1">
        <f t="array" aca="1" ref="D122" ca="1">_xlfn.SWITCH(MID(Master[[#This Row],[Checklist]],1,4),"C - ","Civil","F - ","Foundation","ST -","Structure","FC -","Façade","PRE ","Pre-Line","POST","Post-Line","H - ","Handover","S - ","Services","CST ","Completion Docs", "I - ", "Inspection")</f>
        <v>Structure</v>
      </c>
      <c r="E122" s="23" t="str">
        <f ca="1">IF(NOT(ISERROR(SEARCH("- S -", Master[[#This Row],[Checklist]]))), "Subcontractor",IF(NOT(ISERROR(SEARCH("- R -", Master[[#This Row],[Checklist]]))), "Ryman",IF(NOT(ISERROR(SEARCH("- C -", Master[[#This Row],[Checklist]]))), "Consultant",IF(NOT(ISERROR(SEARCH("- I -", Master[[#This Row],[Checklist]]))),  "Inspection Test Plan", "Naming Error"))))</f>
        <v>Ryman</v>
      </c>
      <c r="F122" s="24" t="str">
        <f ca="1">IF(OR(Master[[#This Row],[Type]]="checklist", Master[[#This Row],[Type]]="checklist-flat"), Master[[#This Row],[Name]], F121)</f>
        <v xml:space="preserve">ST - R - Precast Shell Beam Lintel Installation </v>
      </c>
      <c r="G122" s="3" t="s">
        <v>48</v>
      </c>
      <c r="H122" s="32" t="s">
        <v>1313</v>
      </c>
      <c r="I122" s="3"/>
      <c r="J122" s="21">
        <f ca="1">_xlfn.XLOOKUP(Master[[#This Row],[Checklist]],Ref!A:A,Ref!B:B)*1000</f>
        <v>24000</v>
      </c>
      <c r="K122" s="21">
        <f ca="1">COUNTIF($J$2:Master[[#This Row],[ChecklistID]],Master[[#This Row],[ChecklistID]])-1</f>
        <v>0</v>
      </c>
      <c r="L122" s="23" t="s">
        <v>6</v>
      </c>
    </row>
    <row r="123" spans="1:12" ht="15.75">
      <c r="A123" s="23">
        <f t="shared" si="1"/>
        <v>122</v>
      </c>
      <c r="B123" s="21">
        <f ca="1">Master[[#This Row],[ChecklistID]]+Master[[#This Row],[Checklist Order]]</f>
        <v>24001</v>
      </c>
      <c r="C123" s="22"/>
      <c r="D123" s="3" t="str" cm="1">
        <f t="array" aca="1" ref="D123" ca="1">_xlfn.SWITCH(MID(Master[[#This Row],[Checklist]],1,4),"C - ","Civil","F - ","Foundation","ST -","Structure","FC -","Façade","PRE ","Pre-Line","POST","Post-Line","H - ","Handover","S - ","Services","CST ","Completion Docs", "I - ", "Inspection")</f>
        <v>Structure</v>
      </c>
      <c r="E123" s="23" t="str">
        <f ca="1">IF(NOT(ISERROR(SEARCH("- S -", Master[[#This Row],[Checklist]]))), "Subcontractor",IF(NOT(ISERROR(SEARCH("- R -", Master[[#This Row],[Checklist]]))), "Ryman",IF(NOT(ISERROR(SEARCH("- C -", Master[[#This Row],[Checklist]]))), "Consultant",IF(NOT(ISERROR(SEARCH("- I -", Master[[#This Row],[Checklist]]))),  "Inspection Test Plan", "Naming Error"))))</f>
        <v>Ryman</v>
      </c>
      <c r="F123" s="24" t="str">
        <f ca="1">IF(OR(Master[[#This Row],[Type]]="checklist", Master[[#This Row],[Type]]="checklist-flat"), Master[[#This Row],[Name]], F122)</f>
        <v xml:space="preserve">ST - R - Precast Shell Beam Lintel Installation </v>
      </c>
      <c r="G123" s="15" t="s">
        <v>49</v>
      </c>
      <c r="H123" s="32" t="s">
        <v>1263</v>
      </c>
      <c r="I123" s="3"/>
      <c r="J123" s="21">
        <f ca="1">_xlfn.XLOOKUP(Master[[#This Row],[Checklist]],Ref!A:A,Ref!B:B)*1000</f>
        <v>24000</v>
      </c>
      <c r="K123" s="21">
        <f ca="1">COUNTIF($J$2:Master[[#This Row],[ChecklistID]],Master[[#This Row],[ChecklistID]])-1</f>
        <v>1</v>
      </c>
      <c r="L123" s="23" t="s">
        <v>6</v>
      </c>
    </row>
    <row r="124" spans="1:12" ht="15.75">
      <c r="A124" s="23">
        <f t="shared" si="1"/>
        <v>123</v>
      </c>
      <c r="B124" s="21">
        <f ca="1">Master[[#This Row],[ChecklistID]]+Master[[#This Row],[Checklist Order]]</f>
        <v>24002</v>
      </c>
      <c r="C124" s="22"/>
      <c r="D124" s="3" t="str" cm="1">
        <f t="array" aca="1" ref="D124" ca="1">_xlfn.SWITCH(MID(Master[[#This Row],[Checklist]],1,4),"C - ","Civil","F - ","Foundation","ST -","Structure","FC -","Façade","PRE ","Pre-Line","POST","Post-Line","H - ","Handover","S - ","Services","CST ","Completion Docs", "I - ", "Inspection")</f>
        <v>Structure</v>
      </c>
      <c r="E124" s="23" t="str">
        <f ca="1">IF(NOT(ISERROR(SEARCH("- S -", Master[[#This Row],[Checklist]]))), "Subcontractor",IF(NOT(ISERROR(SEARCH("- R -", Master[[#This Row],[Checklist]]))), "Ryman",IF(NOT(ISERROR(SEARCH("- C -", Master[[#This Row],[Checklist]]))), "Consultant",IF(NOT(ISERROR(SEARCH("- I -", Master[[#This Row],[Checklist]]))),  "Inspection Test Plan", "Naming Error"))))</f>
        <v>Ryman</v>
      </c>
      <c r="F124" s="24" t="str">
        <f ca="1">IF(OR(Master[[#This Row],[Type]]="checklist", Master[[#This Row],[Type]]="checklist-flat"), Master[[#This Row],[Name]], F123)</f>
        <v xml:space="preserve">ST - R - Precast Shell Beam Lintel Installation </v>
      </c>
      <c r="G124" s="15" t="s">
        <v>49</v>
      </c>
      <c r="H124" s="32" t="s">
        <v>1264</v>
      </c>
      <c r="I124" s="3"/>
      <c r="J124" s="21">
        <f ca="1">_xlfn.XLOOKUP(Master[[#This Row],[Checklist]],Ref!A:A,Ref!B:B)*1000</f>
        <v>24000</v>
      </c>
      <c r="K124" s="21">
        <f ca="1">COUNTIF($J$2:Master[[#This Row],[ChecklistID]],Master[[#This Row],[ChecklistID]])-1</f>
        <v>2</v>
      </c>
      <c r="L124" s="23" t="s">
        <v>6</v>
      </c>
    </row>
    <row r="125" spans="1:12" ht="15.75">
      <c r="A125" s="23">
        <f t="shared" si="1"/>
        <v>124</v>
      </c>
      <c r="B125" s="21">
        <f ca="1">Master[[#This Row],[ChecklistID]]+Master[[#This Row],[Checklist Order]]</f>
        <v>24003</v>
      </c>
      <c r="C125" s="22"/>
      <c r="D125" s="3" t="str" cm="1">
        <f t="array" aca="1" ref="D125" ca="1">_xlfn.SWITCH(MID(Master[[#This Row],[Checklist]],1,4),"C - ","Civil","F - ","Foundation","ST -","Structure","FC -","Façade","PRE ","Pre-Line","POST","Post-Line","H - ","Handover","S - ","Services","CST ","Completion Docs", "I - ", "Inspection")</f>
        <v>Structure</v>
      </c>
      <c r="E125" s="23" t="str">
        <f ca="1">IF(NOT(ISERROR(SEARCH("- S -", Master[[#This Row],[Checklist]]))), "Subcontractor",IF(NOT(ISERROR(SEARCH("- R -", Master[[#This Row],[Checklist]]))), "Ryman",IF(NOT(ISERROR(SEARCH("- C -", Master[[#This Row],[Checklist]]))), "Consultant",IF(NOT(ISERROR(SEARCH("- I -", Master[[#This Row],[Checklist]]))),  "Inspection Test Plan", "Naming Error"))))</f>
        <v>Ryman</v>
      </c>
      <c r="F125" s="24" t="str">
        <f ca="1">IF(OR(Master[[#This Row],[Type]]="checklist", Master[[#This Row],[Type]]="checklist-flat"), Master[[#This Row],[Name]], F124)</f>
        <v xml:space="preserve">ST - R - Precast Shell Beam Lintel Installation </v>
      </c>
      <c r="G125" s="15" t="s">
        <v>58</v>
      </c>
      <c r="H125" s="32" t="s">
        <v>306</v>
      </c>
      <c r="I125" s="3"/>
      <c r="J125" s="21">
        <f ca="1">_xlfn.XLOOKUP(Master[[#This Row],[Checklist]],Ref!A:A,Ref!B:B)*1000</f>
        <v>24000</v>
      </c>
      <c r="K125" s="21">
        <f ca="1">COUNTIF($J$2:Master[[#This Row],[ChecklistID]],Master[[#This Row],[ChecklistID]])-1</f>
        <v>3</v>
      </c>
      <c r="L125" s="23" t="s">
        <v>6</v>
      </c>
    </row>
    <row r="126" spans="1:12" ht="15.75">
      <c r="A126" s="23">
        <f t="shared" si="1"/>
        <v>125</v>
      </c>
      <c r="B126" s="21">
        <f ca="1">Master[[#This Row],[ChecklistID]]+Master[[#This Row],[Checklist Order]]</f>
        <v>24004</v>
      </c>
      <c r="C126" s="22"/>
      <c r="D126" s="3" t="str" cm="1">
        <f t="array" aca="1" ref="D126" ca="1">_xlfn.SWITCH(MID(Master[[#This Row],[Checklist]],1,4),"C - ","Civil","F - ","Foundation","ST -","Structure","FC -","Façade","PRE ","Pre-Line","POST","Post-Line","H - ","Handover","S - ","Services","CST ","Completion Docs", "I - ", "Inspection")</f>
        <v>Structure</v>
      </c>
      <c r="E126" s="23" t="str">
        <f ca="1">IF(NOT(ISERROR(SEARCH("- S -", Master[[#This Row],[Checklist]]))), "Subcontractor",IF(NOT(ISERROR(SEARCH("- R -", Master[[#This Row],[Checklist]]))), "Ryman",IF(NOT(ISERROR(SEARCH("- C -", Master[[#This Row],[Checklist]]))), "Consultant",IF(NOT(ISERROR(SEARCH("- I -", Master[[#This Row],[Checklist]]))),  "Inspection Test Plan", "Naming Error"))))</f>
        <v>Ryman</v>
      </c>
      <c r="F126" s="24" t="str">
        <f ca="1">IF(OR(Master[[#This Row],[Type]]="checklist", Master[[#This Row],[Type]]="checklist-flat"), Master[[#This Row],[Name]], F125)</f>
        <v xml:space="preserve">ST - R - Precast Shell Beam Lintel Installation </v>
      </c>
      <c r="G126" s="15" t="s">
        <v>49</v>
      </c>
      <c r="H126" s="32" t="s">
        <v>1314</v>
      </c>
      <c r="I126" s="3"/>
      <c r="J126" s="21">
        <f ca="1">_xlfn.XLOOKUP(Master[[#This Row],[Checklist]],Ref!A:A,Ref!B:B)*1000</f>
        <v>24000</v>
      </c>
      <c r="K126" s="21">
        <f ca="1">COUNTIF($J$2:Master[[#This Row],[ChecklistID]],Master[[#This Row],[ChecklistID]])-1</f>
        <v>4</v>
      </c>
      <c r="L126" s="23" t="s">
        <v>6</v>
      </c>
    </row>
    <row r="127" spans="1:12" ht="15.75">
      <c r="A127" s="23">
        <f t="shared" si="1"/>
        <v>126</v>
      </c>
      <c r="B127" s="21">
        <f ca="1">Master[[#This Row],[ChecklistID]]+Master[[#This Row],[Checklist Order]]</f>
        <v>25000</v>
      </c>
      <c r="C127" s="22"/>
      <c r="D127" s="3" t="str" cm="1">
        <f t="array" aca="1" ref="D127" ca="1">_xlfn.SWITCH(MID(Master[[#This Row],[Checklist]],1,4),"C - ","Civil","F - ","Foundation","ST -","Structure","FC -","Façade","PRE ","Pre-Line","POST","Post-Line","H - ","Handover","S - ","Services","CST ","Completion Docs", "I - ", "Inspection")</f>
        <v>Structure</v>
      </c>
      <c r="E127" s="23" t="str">
        <f ca="1">IF(NOT(ISERROR(SEARCH("- S -", Master[[#This Row],[Checklist]]))), "Subcontractor",IF(NOT(ISERROR(SEARCH("- R -", Master[[#This Row],[Checklist]]))), "Ryman",IF(NOT(ISERROR(SEARCH("- C -", Master[[#This Row],[Checklist]]))), "Consultant",IF(NOT(ISERROR(SEARCH("- I -", Master[[#This Row],[Checklist]]))),  "Inspection Test Plan", "Naming Error"))))</f>
        <v>Ryman</v>
      </c>
      <c r="F127" s="24" t="str">
        <f ca="1">IF(OR(Master[[#This Row],[Type]]="checklist", Master[[#This Row],[Type]]="checklist-flat"), Master[[#This Row],[Name]], F126)</f>
        <v>ST - R - Precast Spandrel Panel Installation</v>
      </c>
      <c r="G127" s="3" t="s">
        <v>48</v>
      </c>
      <c r="H127" s="32" t="s">
        <v>1315</v>
      </c>
      <c r="I127" s="3"/>
      <c r="J127" s="21">
        <f ca="1">_xlfn.XLOOKUP(Master[[#This Row],[Checklist]],Ref!A:A,Ref!B:B)*1000</f>
        <v>25000</v>
      </c>
      <c r="K127" s="21">
        <f ca="1">COUNTIF($J$2:Master[[#This Row],[ChecklistID]],Master[[#This Row],[ChecklistID]])-1</f>
        <v>0</v>
      </c>
      <c r="L127" s="23" t="s">
        <v>6</v>
      </c>
    </row>
    <row r="128" spans="1:12" ht="15.75">
      <c r="A128" s="23">
        <f t="shared" si="1"/>
        <v>127</v>
      </c>
      <c r="B128" s="21">
        <f ca="1">Master[[#This Row],[ChecklistID]]+Master[[#This Row],[Checklist Order]]</f>
        <v>25001</v>
      </c>
      <c r="C128" s="22"/>
      <c r="D128" s="3" t="str" cm="1">
        <f t="array" aca="1" ref="D128" ca="1">_xlfn.SWITCH(MID(Master[[#This Row],[Checklist]],1,4),"C - ","Civil","F - ","Foundation","ST -","Structure","FC -","Façade","PRE ","Pre-Line","POST","Post-Line","H - ","Handover","S - ","Services","CST ","Completion Docs", "I - ", "Inspection")</f>
        <v>Structure</v>
      </c>
      <c r="E128" s="23" t="str">
        <f ca="1">IF(NOT(ISERROR(SEARCH("- S -", Master[[#This Row],[Checklist]]))), "Subcontractor",IF(NOT(ISERROR(SEARCH("- R -", Master[[#This Row],[Checklist]]))), "Ryman",IF(NOT(ISERROR(SEARCH("- C -", Master[[#This Row],[Checklist]]))), "Consultant",IF(NOT(ISERROR(SEARCH("- I -", Master[[#This Row],[Checklist]]))),  "Inspection Test Plan", "Naming Error"))))</f>
        <v>Ryman</v>
      </c>
      <c r="F128" s="24" t="str">
        <f ca="1">IF(OR(Master[[#This Row],[Type]]="checklist", Master[[#This Row],[Type]]="checklist-flat"), Master[[#This Row],[Name]], F127)</f>
        <v>ST - R - Precast Spandrel Panel Installation</v>
      </c>
      <c r="G128" s="15" t="s">
        <v>49</v>
      </c>
      <c r="H128" s="32" t="s">
        <v>1263</v>
      </c>
      <c r="I128" s="3"/>
      <c r="J128" s="21">
        <f ca="1">_xlfn.XLOOKUP(Master[[#This Row],[Checklist]],Ref!A:A,Ref!B:B)*1000</f>
        <v>25000</v>
      </c>
      <c r="K128" s="21">
        <f ca="1">COUNTIF($J$2:Master[[#This Row],[ChecklistID]],Master[[#This Row],[ChecklistID]])-1</f>
        <v>1</v>
      </c>
      <c r="L128" s="23" t="s">
        <v>6</v>
      </c>
    </row>
    <row r="129" spans="1:12" ht="15.75">
      <c r="A129" s="23">
        <f t="shared" si="1"/>
        <v>128</v>
      </c>
      <c r="B129" s="21">
        <f ca="1">Master[[#This Row],[ChecklistID]]+Master[[#This Row],[Checklist Order]]</f>
        <v>25002</v>
      </c>
      <c r="C129" s="22"/>
      <c r="D129" s="3" t="str" cm="1">
        <f t="array" aca="1" ref="D129" ca="1">_xlfn.SWITCH(MID(Master[[#This Row],[Checklist]],1,4),"C - ","Civil","F - ","Foundation","ST -","Structure","FC -","Façade","PRE ","Pre-Line","POST","Post-Line","H - ","Handover","S - ","Services","CST ","Completion Docs", "I - ", "Inspection")</f>
        <v>Structure</v>
      </c>
      <c r="E129" s="23" t="str">
        <f ca="1">IF(NOT(ISERROR(SEARCH("- S -", Master[[#This Row],[Checklist]]))), "Subcontractor",IF(NOT(ISERROR(SEARCH("- R -", Master[[#This Row],[Checklist]]))), "Ryman",IF(NOT(ISERROR(SEARCH("- C -", Master[[#This Row],[Checklist]]))), "Consultant",IF(NOT(ISERROR(SEARCH("- I -", Master[[#This Row],[Checklist]]))),  "Inspection Test Plan", "Naming Error"))))</f>
        <v>Ryman</v>
      </c>
      <c r="F129" s="24" t="str">
        <f ca="1">IF(OR(Master[[#This Row],[Type]]="checklist", Master[[#This Row],[Type]]="checklist-flat"), Master[[#This Row],[Name]], F128)</f>
        <v>ST - R - Precast Spandrel Panel Installation</v>
      </c>
      <c r="G129" s="15" t="s">
        <v>49</v>
      </c>
      <c r="H129" s="32" t="s">
        <v>1264</v>
      </c>
      <c r="I129" s="3"/>
      <c r="J129" s="21">
        <f ca="1">_xlfn.XLOOKUP(Master[[#This Row],[Checklist]],Ref!A:A,Ref!B:B)*1000</f>
        <v>25000</v>
      </c>
      <c r="K129" s="21">
        <f ca="1">COUNTIF($J$2:Master[[#This Row],[ChecklistID]],Master[[#This Row],[ChecklistID]])-1</f>
        <v>2</v>
      </c>
      <c r="L129" s="23" t="s">
        <v>6</v>
      </c>
    </row>
    <row r="130" spans="1:12" ht="15.75">
      <c r="A130" s="23">
        <f t="shared" ref="A130:A193" si="2">IFERROR(A129+1,1)</f>
        <v>129</v>
      </c>
      <c r="B130" s="21">
        <f ca="1">Master[[#This Row],[ChecklistID]]+Master[[#This Row],[Checklist Order]]</f>
        <v>25003</v>
      </c>
      <c r="C130" s="22"/>
      <c r="D130" s="3" t="str" cm="1">
        <f t="array" aca="1" ref="D130" ca="1">_xlfn.SWITCH(MID(Master[[#This Row],[Checklist]],1,4),"C - ","Civil","F - ","Foundation","ST -","Structure","FC -","Façade","PRE ","Pre-Line","POST","Post-Line","H - ","Handover","S - ","Services","CST ","Completion Docs", "I - ", "Inspection")</f>
        <v>Structure</v>
      </c>
      <c r="E130" s="23" t="str">
        <f ca="1">IF(NOT(ISERROR(SEARCH("- S -", Master[[#This Row],[Checklist]]))), "Subcontractor",IF(NOT(ISERROR(SEARCH("- R -", Master[[#This Row],[Checklist]]))), "Ryman",IF(NOT(ISERROR(SEARCH("- C -", Master[[#This Row],[Checklist]]))), "Consultant",IF(NOT(ISERROR(SEARCH("- I -", Master[[#This Row],[Checklist]]))),  "Inspection Test Plan", "Naming Error"))))</f>
        <v>Ryman</v>
      </c>
      <c r="F130" s="24" t="str">
        <f ca="1">IF(OR(Master[[#This Row],[Type]]="checklist", Master[[#This Row],[Type]]="checklist-flat"), Master[[#This Row],[Name]], F129)</f>
        <v>ST - R - Precast Spandrel Panel Installation</v>
      </c>
      <c r="G130" s="15" t="s">
        <v>58</v>
      </c>
      <c r="H130" s="32" t="s">
        <v>306</v>
      </c>
      <c r="I130" s="3"/>
      <c r="J130" s="21">
        <f ca="1">_xlfn.XLOOKUP(Master[[#This Row],[Checklist]],Ref!A:A,Ref!B:B)*1000</f>
        <v>25000</v>
      </c>
      <c r="K130" s="21">
        <f ca="1">COUNTIF($J$2:Master[[#This Row],[ChecklistID]],Master[[#This Row],[ChecklistID]])-1</f>
        <v>3</v>
      </c>
      <c r="L130" s="23" t="s">
        <v>6</v>
      </c>
    </row>
    <row r="131" spans="1:12" ht="15.75">
      <c r="A131" s="23">
        <f t="shared" si="2"/>
        <v>130</v>
      </c>
      <c r="B131" s="21">
        <f ca="1">Master[[#This Row],[ChecklistID]]+Master[[#This Row],[Checklist Order]]</f>
        <v>25004</v>
      </c>
      <c r="C131" s="22"/>
      <c r="D131" s="3" t="str" cm="1">
        <f t="array" aca="1" ref="D131" ca="1">_xlfn.SWITCH(MID(Master[[#This Row],[Checklist]],1,4),"C - ","Civil","F - ","Foundation","ST -","Structure","FC -","Façade","PRE ","Pre-Line","POST","Post-Line","H - ","Handover","S - ","Services","CST ","Completion Docs", "I - ", "Inspection")</f>
        <v>Structure</v>
      </c>
      <c r="E131" s="23" t="str">
        <f ca="1">IF(NOT(ISERROR(SEARCH("- S -", Master[[#This Row],[Checklist]]))), "Subcontractor",IF(NOT(ISERROR(SEARCH("- R -", Master[[#This Row],[Checklist]]))), "Ryman",IF(NOT(ISERROR(SEARCH("- C -", Master[[#This Row],[Checklist]]))), "Consultant",IF(NOT(ISERROR(SEARCH("- I -", Master[[#This Row],[Checklist]]))),  "Inspection Test Plan", "Naming Error"))))</f>
        <v>Ryman</v>
      </c>
      <c r="F131" s="24" t="str">
        <f ca="1">IF(OR(Master[[#This Row],[Type]]="checklist", Master[[#This Row],[Type]]="checklist-flat"), Master[[#This Row],[Name]], F130)</f>
        <v>ST - R - Precast Spandrel Panel Installation</v>
      </c>
      <c r="G131" s="15" t="s">
        <v>49</v>
      </c>
      <c r="H131" s="32" t="s">
        <v>1316</v>
      </c>
      <c r="I131" s="3"/>
      <c r="J131" s="21">
        <f ca="1">_xlfn.XLOOKUP(Master[[#This Row],[Checklist]],Ref!A:A,Ref!B:B)*1000</f>
        <v>25000</v>
      </c>
      <c r="K131" s="21">
        <f ca="1">COUNTIF($J$2:Master[[#This Row],[ChecklistID]],Master[[#This Row],[ChecklistID]])-1</f>
        <v>4</v>
      </c>
      <c r="L131" s="23" t="s">
        <v>6</v>
      </c>
    </row>
    <row r="132" spans="1:12" ht="15.75">
      <c r="A132" s="23">
        <f t="shared" si="2"/>
        <v>131</v>
      </c>
      <c r="B132" s="21">
        <f ca="1">Master[[#This Row],[ChecklistID]]+Master[[#This Row],[Checklist Order]]</f>
        <v>26000</v>
      </c>
      <c r="C132" s="22"/>
      <c r="D132" s="3" t="str" cm="1">
        <f t="array" aca="1" ref="D132" ca="1">_xlfn.SWITCH(MID(Master[[#This Row],[Checklist]],1,4),"C - ","Civil","F - ","Foundation","ST -","Structure","FC -","Façade","PRE ","Pre-Line","POST","Post-Line","H - ","Handover","S - ","Services","CST ","Completion Docs", "I - ", "Inspection")</f>
        <v>Structure</v>
      </c>
      <c r="E132" s="23" t="str">
        <f ca="1">IF(NOT(ISERROR(SEARCH("- S -", Master[[#This Row],[Checklist]]))), "Subcontractor",IF(NOT(ISERROR(SEARCH("- R -", Master[[#This Row],[Checklist]]))), "Ryman",IF(NOT(ISERROR(SEARCH("- C -", Master[[#This Row],[Checklist]]))), "Consultant",IF(NOT(ISERROR(SEARCH("- I -", Master[[#This Row],[Checklist]]))),  "Inspection Test Plan", "Naming Error"))))</f>
        <v>Ryman</v>
      </c>
      <c r="F132" s="24" t="str">
        <f ca="1">IF(OR(Master[[#This Row],[Type]]="checklist", Master[[#This Row],[Type]]="checklist-flat"), Master[[#This Row],[Name]], F131)</f>
        <v>ST - R - Precast Wall Bracket Installation</v>
      </c>
      <c r="G132" s="3" t="s">
        <v>48</v>
      </c>
      <c r="H132" s="32" t="s">
        <v>1317</v>
      </c>
      <c r="I132" s="3"/>
      <c r="J132" s="21">
        <f ca="1">_xlfn.XLOOKUP(Master[[#This Row],[Checklist]],Ref!A:A,Ref!B:B)*1000</f>
        <v>26000</v>
      </c>
      <c r="K132" s="21">
        <f ca="1">COUNTIF($J$2:Master[[#This Row],[ChecklistID]],Master[[#This Row],[ChecklistID]])-1</f>
        <v>0</v>
      </c>
      <c r="L132" s="23" t="s">
        <v>6</v>
      </c>
    </row>
    <row r="133" spans="1:12" ht="15.75">
      <c r="A133" s="23">
        <f t="shared" si="2"/>
        <v>132</v>
      </c>
      <c r="B133" s="21">
        <f ca="1">Master[[#This Row],[ChecklistID]]+Master[[#This Row],[Checklist Order]]</f>
        <v>26001</v>
      </c>
      <c r="C133" s="22"/>
      <c r="D133" s="3" t="str" cm="1">
        <f t="array" aca="1" ref="D133" ca="1">_xlfn.SWITCH(MID(Master[[#This Row],[Checklist]],1,4),"C - ","Civil","F - ","Foundation","ST -","Structure","FC -","Façade","PRE ","Pre-Line","POST","Post-Line","H - ","Handover","S - ","Services","CST ","Completion Docs", "I - ", "Inspection")</f>
        <v>Structure</v>
      </c>
      <c r="E133" s="23" t="str">
        <f ca="1">IF(NOT(ISERROR(SEARCH("- S -", Master[[#This Row],[Checklist]]))), "Subcontractor",IF(NOT(ISERROR(SEARCH("- R -", Master[[#This Row],[Checklist]]))), "Ryman",IF(NOT(ISERROR(SEARCH("- C -", Master[[#This Row],[Checklist]]))), "Consultant",IF(NOT(ISERROR(SEARCH("- I -", Master[[#This Row],[Checklist]]))),  "Inspection Test Plan", "Naming Error"))))</f>
        <v>Ryman</v>
      </c>
      <c r="F133" s="24" t="str">
        <f ca="1">IF(OR(Master[[#This Row],[Type]]="checklist", Master[[#This Row],[Type]]="checklist-flat"), Master[[#This Row],[Name]], F132)</f>
        <v>ST - R - Precast Wall Bracket Installation</v>
      </c>
      <c r="G133" s="15" t="s">
        <v>49</v>
      </c>
      <c r="H133" s="32" t="s">
        <v>1263</v>
      </c>
      <c r="I133" s="3"/>
      <c r="J133" s="21">
        <f ca="1">_xlfn.XLOOKUP(Master[[#This Row],[Checklist]],Ref!A:A,Ref!B:B)*1000</f>
        <v>26000</v>
      </c>
      <c r="K133" s="21">
        <f ca="1">COUNTIF($J$2:Master[[#This Row],[ChecklistID]],Master[[#This Row],[ChecklistID]])-1</f>
        <v>1</v>
      </c>
      <c r="L133" s="23" t="s">
        <v>6</v>
      </c>
    </row>
    <row r="134" spans="1:12" ht="15.75">
      <c r="A134" s="23">
        <f t="shared" si="2"/>
        <v>133</v>
      </c>
      <c r="B134" s="21">
        <f ca="1">Master[[#This Row],[ChecklistID]]+Master[[#This Row],[Checklist Order]]</f>
        <v>26002</v>
      </c>
      <c r="C134" s="22"/>
      <c r="D134" s="3" t="str" cm="1">
        <f t="array" aca="1" ref="D134" ca="1">_xlfn.SWITCH(MID(Master[[#This Row],[Checklist]],1,4),"C - ","Civil","F - ","Foundation","ST -","Structure","FC -","Façade","PRE ","Pre-Line","POST","Post-Line","H - ","Handover","S - ","Services","CST ","Completion Docs", "I - ", "Inspection")</f>
        <v>Structure</v>
      </c>
      <c r="E134" s="23" t="str">
        <f ca="1">IF(NOT(ISERROR(SEARCH("- S -", Master[[#This Row],[Checklist]]))), "Subcontractor",IF(NOT(ISERROR(SEARCH("- R -", Master[[#This Row],[Checklist]]))), "Ryman",IF(NOT(ISERROR(SEARCH("- C -", Master[[#This Row],[Checklist]]))), "Consultant",IF(NOT(ISERROR(SEARCH("- I -", Master[[#This Row],[Checklist]]))),  "Inspection Test Plan", "Naming Error"))))</f>
        <v>Ryman</v>
      </c>
      <c r="F134" s="24" t="str">
        <f ca="1">IF(OR(Master[[#This Row],[Type]]="checklist", Master[[#This Row],[Type]]="checklist-flat"), Master[[#This Row],[Name]], F133)</f>
        <v>ST - R - Precast Wall Bracket Installation</v>
      </c>
      <c r="G134" s="15" t="s">
        <v>49</v>
      </c>
      <c r="H134" s="32" t="s">
        <v>1264</v>
      </c>
      <c r="I134" s="3"/>
      <c r="J134" s="21">
        <f ca="1">_xlfn.XLOOKUP(Master[[#This Row],[Checklist]],Ref!A:A,Ref!B:B)*1000</f>
        <v>26000</v>
      </c>
      <c r="K134" s="21">
        <f ca="1">COUNTIF($J$2:Master[[#This Row],[ChecklistID]],Master[[#This Row],[ChecklistID]])-1</f>
        <v>2</v>
      </c>
      <c r="L134" s="23" t="s">
        <v>6</v>
      </c>
    </row>
    <row r="135" spans="1:12" ht="15.75">
      <c r="A135" s="23">
        <f t="shared" si="2"/>
        <v>134</v>
      </c>
      <c r="B135" s="21">
        <f ca="1">Master[[#This Row],[ChecklistID]]+Master[[#This Row],[Checklist Order]]</f>
        <v>26003</v>
      </c>
      <c r="C135" s="22"/>
      <c r="D135" s="3" t="str" cm="1">
        <f t="array" aca="1" ref="D135" ca="1">_xlfn.SWITCH(MID(Master[[#This Row],[Checklist]],1,4),"C - ","Civil","F - ","Foundation","ST -","Structure","FC -","Façade","PRE ","Pre-Line","POST","Post-Line","H - ","Handover","S - ","Services","CST ","Completion Docs", "I - ", "Inspection")</f>
        <v>Structure</v>
      </c>
      <c r="E135" s="23" t="str">
        <f ca="1">IF(NOT(ISERROR(SEARCH("- S -", Master[[#This Row],[Checklist]]))), "Subcontractor",IF(NOT(ISERROR(SEARCH("- R -", Master[[#This Row],[Checklist]]))), "Ryman",IF(NOT(ISERROR(SEARCH("- C -", Master[[#This Row],[Checklist]]))), "Consultant",IF(NOT(ISERROR(SEARCH("- I -", Master[[#This Row],[Checklist]]))),  "Inspection Test Plan", "Naming Error"))))</f>
        <v>Ryman</v>
      </c>
      <c r="F135" s="24" t="str">
        <f ca="1">IF(OR(Master[[#This Row],[Type]]="checklist", Master[[#This Row],[Type]]="checklist-flat"), Master[[#This Row],[Name]], F134)</f>
        <v>ST - R - Precast Wall Bracket Installation</v>
      </c>
      <c r="G135" s="15" t="s">
        <v>58</v>
      </c>
      <c r="H135" s="32" t="s">
        <v>306</v>
      </c>
      <c r="I135" s="3"/>
      <c r="J135" s="21">
        <f ca="1">_xlfn.XLOOKUP(Master[[#This Row],[Checklist]],Ref!A:A,Ref!B:B)*1000</f>
        <v>26000</v>
      </c>
      <c r="K135" s="21">
        <f ca="1">COUNTIF($J$2:Master[[#This Row],[ChecklistID]],Master[[#This Row],[ChecklistID]])-1</f>
        <v>3</v>
      </c>
      <c r="L135" s="23" t="s">
        <v>6</v>
      </c>
    </row>
    <row r="136" spans="1:12" ht="15.75">
      <c r="A136" s="23">
        <f t="shared" si="2"/>
        <v>135</v>
      </c>
      <c r="B136" s="21">
        <f ca="1">Master[[#This Row],[ChecklistID]]+Master[[#This Row],[Checklist Order]]</f>
        <v>26004</v>
      </c>
      <c r="C136" s="22"/>
      <c r="D136" s="3" t="str" cm="1">
        <f t="array" aca="1" ref="D136" ca="1">_xlfn.SWITCH(MID(Master[[#This Row],[Checklist]],1,4),"C - ","Civil","F - ","Foundation","ST -","Structure","FC -","Façade","PRE ","Pre-Line","POST","Post-Line","H - ","Handover","S - ","Services","CST ","Completion Docs", "I - ", "Inspection")</f>
        <v>Structure</v>
      </c>
      <c r="E136" s="23" t="str">
        <f ca="1">IF(NOT(ISERROR(SEARCH("- S -", Master[[#This Row],[Checklist]]))), "Subcontractor",IF(NOT(ISERROR(SEARCH("- R -", Master[[#This Row],[Checklist]]))), "Ryman",IF(NOT(ISERROR(SEARCH("- C -", Master[[#This Row],[Checklist]]))), "Consultant",IF(NOT(ISERROR(SEARCH("- I -", Master[[#This Row],[Checklist]]))),  "Inspection Test Plan", "Naming Error"))))</f>
        <v>Ryman</v>
      </c>
      <c r="F136" s="24" t="str">
        <f ca="1">IF(OR(Master[[#This Row],[Type]]="checklist", Master[[#This Row],[Type]]="checklist-flat"), Master[[#This Row],[Name]], F135)</f>
        <v>ST - R - Precast Wall Bracket Installation</v>
      </c>
      <c r="G136" s="15" t="s">
        <v>49</v>
      </c>
      <c r="H136" s="32" t="s">
        <v>1318</v>
      </c>
      <c r="I136" s="3"/>
      <c r="J136" s="21">
        <f ca="1">_xlfn.XLOOKUP(Master[[#This Row],[Checklist]],Ref!A:A,Ref!B:B)*1000</f>
        <v>26000</v>
      </c>
      <c r="K136" s="21">
        <f ca="1">COUNTIF($J$2:Master[[#This Row],[ChecklistID]],Master[[#This Row],[ChecklistID]])-1</f>
        <v>4</v>
      </c>
      <c r="L136" s="23" t="s">
        <v>6</v>
      </c>
    </row>
    <row r="137" spans="1:12" ht="15.75">
      <c r="A137" s="23">
        <f t="shared" si="2"/>
        <v>136</v>
      </c>
      <c r="B137" s="21">
        <f ca="1">Master[[#This Row],[ChecklistID]]+Master[[#This Row],[Checklist Order]]</f>
        <v>27000</v>
      </c>
      <c r="C137" s="22"/>
      <c r="D137" s="3" t="str" cm="1">
        <f t="array" aca="1" ref="D137" ca="1">_xlfn.SWITCH(MID(Master[[#This Row],[Checklist]],1,4),"C - ","Civil","F - ","Foundation","ST -","Structure","FC -","Façade","PRE ","Pre-Line","POST","Post-Line","H - ","Handover","S - ","Services","CST ","Completion Docs", "I - ", "Inspection")</f>
        <v>Structure</v>
      </c>
      <c r="E137" s="23" t="str">
        <f ca="1">IF(NOT(ISERROR(SEARCH("- S -", Master[[#This Row],[Checklist]]))), "Subcontractor",IF(NOT(ISERROR(SEARCH("- R -", Master[[#This Row],[Checklist]]))), "Ryman",IF(NOT(ISERROR(SEARCH("- C -", Master[[#This Row],[Checklist]]))), "Consultant",IF(NOT(ISERROR(SEARCH("- I -", Master[[#This Row],[Checklist]]))),  "Inspection Test Plan", "Naming Error"))))</f>
        <v>Ryman</v>
      </c>
      <c r="F137" s="24" t="str">
        <f ca="1">IF(OR(Master[[#This Row],[Type]]="checklist", Master[[#This Row],[Type]]="checklist-flat"), Master[[#This Row],[Name]], F136)</f>
        <v>ST - R - Precast Wall Panel Installation</v>
      </c>
      <c r="G137" s="3" t="s">
        <v>48</v>
      </c>
      <c r="H137" s="32" t="s">
        <v>1319</v>
      </c>
      <c r="I137" s="3"/>
      <c r="J137" s="21">
        <f ca="1">_xlfn.XLOOKUP(Master[[#This Row],[Checklist]],Ref!A:A,Ref!B:B)*1000</f>
        <v>27000</v>
      </c>
      <c r="K137" s="21">
        <f ca="1">COUNTIF($J$2:Master[[#This Row],[ChecklistID]],Master[[#This Row],[ChecklistID]])-1</f>
        <v>0</v>
      </c>
      <c r="L137" s="23" t="s">
        <v>6</v>
      </c>
    </row>
    <row r="138" spans="1:12" ht="15.75">
      <c r="A138" s="23">
        <f t="shared" si="2"/>
        <v>137</v>
      </c>
      <c r="B138" s="21">
        <f ca="1">Master[[#This Row],[ChecklistID]]+Master[[#This Row],[Checklist Order]]</f>
        <v>27001</v>
      </c>
      <c r="C138" s="22"/>
      <c r="D138" s="3" t="str" cm="1">
        <f t="array" aca="1" ref="D138" ca="1">_xlfn.SWITCH(MID(Master[[#This Row],[Checklist]],1,4),"C - ","Civil","F - ","Foundation","ST -","Structure","FC -","Façade","PRE ","Pre-Line","POST","Post-Line","H - ","Handover","S - ","Services","CST ","Completion Docs", "I - ", "Inspection")</f>
        <v>Structure</v>
      </c>
      <c r="E138" s="23" t="str">
        <f ca="1">IF(NOT(ISERROR(SEARCH("- S -", Master[[#This Row],[Checklist]]))), "Subcontractor",IF(NOT(ISERROR(SEARCH("- R -", Master[[#This Row],[Checklist]]))), "Ryman",IF(NOT(ISERROR(SEARCH("- C -", Master[[#This Row],[Checklist]]))), "Consultant",IF(NOT(ISERROR(SEARCH("- I -", Master[[#This Row],[Checklist]]))),  "Inspection Test Plan", "Naming Error"))))</f>
        <v>Ryman</v>
      </c>
      <c r="F138" s="24" t="str">
        <f ca="1">IF(OR(Master[[#This Row],[Type]]="checklist", Master[[#This Row],[Type]]="checklist-flat"), Master[[#This Row],[Name]], F137)</f>
        <v>ST - R - Precast Wall Panel Installation</v>
      </c>
      <c r="G138" s="15" t="s">
        <v>49</v>
      </c>
      <c r="H138" s="32" t="s">
        <v>1263</v>
      </c>
      <c r="I138" s="3"/>
      <c r="J138" s="21">
        <f ca="1">_xlfn.XLOOKUP(Master[[#This Row],[Checklist]],Ref!A:A,Ref!B:B)*1000</f>
        <v>27000</v>
      </c>
      <c r="K138" s="21">
        <f ca="1">COUNTIF($J$2:Master[[#This Row],[ChecklistID]],Master[[#This Row],[ChecklistID]])-1</f>
        <v>1</v>
      </c>
      <c r="L138" s="23" t="s">
        <v>6</v>
      </c>
    </row>
    <row r="139" spans="1:12" ht="15.75">
      <c r="A139" s="23">
        <f t="shared" si="2"/>
        <v>138</v>
      </c>
      <c r="B139" s="21">
        <f ca="1">Master[[#This Row],[ChecklistID]]+Master[[#This Row],[Checklist Order]]</f>
        <v>27002</v>
      </c>
      <c r="C139" s="22"/>
      <c r="D139" s="3" t="str" cm="1">
        <f t="array" aca="1" ref="D139" ca="1">_xlfn.SWITCH(MID(Master[[#This Row],[Checklist]],1,4),"C - ","Civil","F - ","Foundation","ST -","Structure","FC -","Façade","PRE ","Pre-Line","POST","Post-Line","H - ","Handover","S - ","Services","CST ","Completion Docs", "I - ", "Inspection")</f>
        <v>Structure</v>
      </c>
      <c r="E139" s="23" t="str">
        <f ca="1">IF(NOT(ISERROR(SEARCH("- S -", Master[[#This Row],[Checklist]]))), "Subcontractor",IF(NOT(ISERROR(SEARCH("- R -", Master[[#This Row],[Checklist]]))), "Ryman",IF(NOT(ISERROR(SEARCH("- C -", Master[[#This Row],[Checklist]]))), "Consultant",IF(NOT(ISERROR(SEARCH("- I -", Master[[#This Row],[Checklist]]))),  "Inspection Test Plan", "Naming Error"))))</f>
        <v>Ryman</v>
      </c>
      <c r="F139" s="24" t="str">
        <f ca="1">IF(OR(Master[[#This Row],[Type]]="checklist", Master[[#This Row],[Type]]="checklist-flat"), Master[[#This Row],[Name]], F138)</f>
        <v>ST - R - Precast Wall Panel Installation</v>
      </c>
      <c r="G139" s="15" t="s">
        <v>49</v>
      </c>
      <c r="H139" s="32" t="s">
        <v>1264</v>
      </c>
      <c r="I139" s="3"/>
      <c r="J139" s="21">
        <f ca="1">_xlfn.XLOOKUP(Master[[#This Row],[Checklist]],Ref!A:A,Ref!B:B)*1000</f>
        <v>27000</v>
      </c>
      <c r="K139" s="21">
        <f ca="1">COUNTIF($J$2:Master[[#This Row],[ChecklistID]],Master[[#This Row],[ChecklistID]])-1</f>
        <v>2</v>
      </c>
      <c r="L139" s="23" t="s">
        <v>6</v>
      </c>
    </row>
    <row r="140" spans="1:12" ht="15.75">
      <c r="A140" s="23">
        <f t="shared" si="2"/>
        <v>139</v>
      </c>
      <c r="B140" s="21">
        <f ca="1">Master[[#This Row],[ChecklistID]]+Master[[#This Row],[Checklist Order]]</f>
        <v>27003</v>
      </c>
      <c r="C140" s="22"/>
      <c r="D140" s="3" t="str" cm="1">
        <f t="array" aca="1" ref="D140" ca="1">_xlfn.SWITCH(MID(Master[[#This Row],[Checklist]],1,4),"C - ","Civil","F - ","Foundation","ST -","Structure","FC -","Façade","PRE ","Pre-Line","POST","Post-Line","H - ","Handover","S - ","Services","CST ","Completion Docs", "I - ", "Inspection")</f>
        <v>Structure</v>
      </c>
      <c r="E140" s="23" t="str">
        <f ca="1">IF(NOT(ISERROR(SEARCH("- S -", Master[[#This Row],[Checklist]]))), "Subcontractor",IF(NOT(ISERROR(SEARCH("- R -", Master[[#This Row],[Checklist]]))), "Ryman",IF(NOT(ISERROR(SEARCH("- C -", Master[[#This Row],[Checklist]]))), "Consultant",IF(NOT(ISERROR(SEARCH("- I -", Master[[#This Row],[Checklist]]))),  "Inspection Test Plan", "Naming Error"))))</f>
        <v>Ryman</v>
      </c>
      <c r="F140" s="24" t="str">
        <f ca="1">IF(OR(Master[[#This Row],[Type]]="checklist", Master[[#This Row],[Type]]="checklist-flat"), Master[[#This Row],[Name]], F139)</f>
        <v>ST - R - Precast Wall Panel Installation</v>
      </c>
      <c r="G140" s="15" t="s">
        <v>58</v>
      </c>
      <c r="H140" s="32" t="s">
        <v>306</v>
      </c>
      <c r="I140" s="3"/>
      <c r="J140" s="21">
        <f ca="1">_xlfn.XLOOKUP(Master[[#This Row],[Checklist]],Ref!A:A,Ref!B:B)*1000</f>
        <v>27000</v>
      </c>
      <c r="K140" s="21">
        <f ca="1">COUNTIF($J$2:Master[[#This Row],[ChecklistID]],Master[[#This Row],[ChecklistID]])-1</f>
        <v>3</v>
      </c>
      <c r="L140" s="23" t="s">
        <v>6</v>
      </c>
    </row>
    <row r="141" spans="1:12" ht="15.75">
      <c r="A141" s="23">
        <f t="shared" si="2"/>
        <v>140</v>
      </c>
      <c r="B141" s="21">
        <f ca="1">Master[[#This Row],[ChecklistID]]+Master[[#This Row],[Checklist Order]]</f>
        <v>27004</v>
      </c>
      <c r="C141" s="22"/>
      <c r="D141" s="3" t="str" cm="1">
        <f t="array" aca="1" ref="D141" ca="1">_xlfn.SWITCH(MID(Master[[#This Row],[Checklist]],1,4),"C - ","Civil","F - ","Foundation","ST -","Structure","FC -","Façade","PRE ","Pre-Line","POST","Post-Line","H - ","Handover","S - ","Services","CST ","Completion Docs", "I - ", "Inspection")</f>
        <v>Structure</v>
      </c>
      <c r="E141" s="23" t="str">
        <f ca="1">IF(NOT(ISERROR(SEARCH("- S -", Master[[#This Row],[Checklist]]))), "Subcontractor",IF(NOT(ISERROR(SEARCH("- R -", Master[[#This Row],[Checklist]]))), "Ryman",IF(NOT(ISERROR(SEARCH("- C -", Master[[#This Row],[Checklist]]))), "Consultant",IF(NOT(ISERROR(SEARCH("- I -", Master[[#This Row],[Checklist]]))),  "Inspection Test Plan", "Naming Error"))))</f>
        <v>Ryman</v>
      </c>
      <c r="F141" s="24" t="str">
        <f ca="1">IF(OR(Master[[#This Row],[Type]]="checklist", Master[[#This Row],[Type]]="checklist-flat"), Master[[#This Row],[Name]], F140)</f>
        <v>ST - R - Precast Wall Panel Installation</v>
      </c>
      <c r="G141" s="15" t="s">
        <v>49</v>
      </c>
      <c r="H141" s="32" t="s">
        <v>1320</v>
      </c>
      <c r="I141" s="3"/>
      <c r="J141" s="21">
        <f ca="1">_xlfn.XLOOKUP(Master[[#This Row],[Checklist]],Ref!A:A,Ref!B:B)*1000</f>
        <v>27000</v>
      </c>
      <c r="K141" s="21">
        <f ca="1">COUNTIF($J$2:Master[[#This Row],[ChecklistID]],Master[[#This Row],[ChecklistID]])-1</f>
        <v>4</v>
      </c>
      <c r="L141" s="23" t="s">
        <v>6</v>
      </c>
    </row>
    <row r="142" spans="1:12" ht="15.75">
      <c r="A142" s="23">
        <f t="shared" si="2"/>
        <v>141</v>
      </c>
      <c r="B142" s="21">
        <f ca="1">Master[[#This Row],[ChecklistID]]+Master[[#This Row],[Checklist Order]]</f>
        <v>28000</v>
      </c>
      <c r="C142" s="22"/>
      <c r="D142" s="3" t="str" cm="1">
        <f t="array" aca="1" ref="D142" ca="1">_xlfn.SWITCH(MID(Master[[#This Row],[Checklist]],1,4),"C - ","Civil","F - ","Foundation","ST -","Structure","FC -","Façade","PRE ","Pre-Line","POST","Post-Line","H - ","Handover","S - ","Services","CST ","Completion Docs", "I - ", "Inspection")</f>
        <v>Structure</v>
      </c>
      <c r="E142" s="23" t="str">
        <f ca="1">IF(NOT(ISERROR(SEARCH("- S -", Master[[#This Row],[Checklist]]))), "Subcontractor",IF(NOT(ISERROR(SEARCH("- R -", Master[[#This Row],[Checklist]]))), "Ryman",IF(NOT(ISERROR(SEARCH("- C -", Master[[#This Row],[Checklist]]))), "Consultant",IF(NOT(ISERROR(SEARCH("- I -", Master[[#This Row],[Checklist]]))),  "Inspection Test Plan", "Naming Error"))))</f>
        <v>Ryman</v>
      </c>
      <c r="F142" s="24" t="str">
        <f ca="1">IF(OR(Master[[#This Row],[Type]]="checklist", Master[[#This Row],[Type]]="checklist-flat"), Master[[#This Row],[Name]], F141)</f>
        <v>ST - R - Rib &amp; Infill Installation</v>
      </c>
      <c r="G142" s="30" t="s">
        <v>119</v>
      </c>
      <c r="H142" s="38" t="s">
        <v>1321</v>
      </c>
      <c r="I142" s="3"/>
      <c r="J142" s="21">
        <f ca="1">_xlfn.XLOOKUP(Master[[#This Row],[Checklist]],Ref!A:A,Ref!B:B)*1000</f>
        <v>28000</v>
      </c>
      <c r="K142" s="21">
        <f ca="1">COUNTIF($J$2:Master[[#This Row],[ChecklistID]],Master[[#This Row],[ChecklistID]])-1</f>
        <v>0</v>
      </c>
      <c r="L142" s="23" t="s">
        <v>6</v>
      </c>
    </row>
    <row r="143" spans="1:12" ht="15.75">
      <c r="A143" s="23">
        <f t="shared" si="2"/>
        <v>142</v>
      </c>
      <c r="B143" s="21">
        <f ca="1">Master[[#This Row],[ChecklistID]]+Master[[#This Row],[Checklist Order]]</f>
        <v>28001</v>
      </c>
      <c r="C143" s="22"/>
      <c r="D143" s="3" t="str" cm="1">
        <f t="array" aca="1" ref="D143" ca="1">_xlfn.SWITCH(MID(Master[[#This Row],[Checklist]],1,4),"C - ","Civil","F - ","Foundation","ST -","Structure","FC -","Façade","PRE ","Pre-Line","POST","Post-Line","H - ","Handover","S - ","Services","CST ","Completion Docs", "I - ", "Inspection")</f>
        <v>Structure</v>
      </c>
      <c r="E143" s="23" t="str">
        <f ca="1">IF(NOT(ISERROR(SEARCH("- S -", Master[[#This Row],[Checklist]]))), "Subcontractor",IF(NOT(ISERROR(SEARCH("- R -", Master[[#This Row],[Checklist]]))), "Ryman",IF(NOT(ISERROR(SEARCH("- C -", Master[[#This Row],[Checklist]]))), "Consultant",IF(NOT(ISERROR(SEARCH("- I -", Master[[#This Row],[Checklist]]))),  "Inspection Test Plan", "Naming Error"))))</f>
        <v>Ryman</v>
      </c>
      <c r="F143" s="24" t="str">
        <f ca="1">IF(OR(Master[[#This Row],[Type]]="checklist", Master[[#This Row],[Type]]="checklist-flat"), Master[[#This Row],[Name]], F142)</f>
        <v>ST - R - Rib &amp; Infill Installation</v>
      </c>
      <c r="G143" s="3" t="s">
        <v>120</v>
      </c>
      <c r="H143" s="24" t="s">
        <v>360</v>
      </c>
      <c r="I143" s="3"/>
      <c r="J143" s="21">
        <f ca="1">_xlfn.XLOOKUP(Master[[#This Row],[Checklist]],Ref!A:A,Ref!B:B)*1000</f>
        <v>28000</v>
      </c>
      <c r="K143" s="21">
        <f ca="1">COUNTIF($J$2:Master[[#This Row],[ChecklistID]],Master[[#This Row],[ChecklistID]])-1</f>
        <v>1</v>
      </c>
      <c r="L143" s="23" t="s">
        <v>6</v>
      </c>
    </row>
    <row r="144" spans="1:12" ht="15.75">
      <c r="A144" s="23">
        <f t="shared" si="2"/>
        <v>143</v>
      </c>
      <c r="B144" s="21">
        <f ca="1">Master[[#This Row],[ChecklistID]]+Master[[#This Row],[Checklist Order]]</f>
        <v>28002</v>
      </c>
      <c r="C144" s="22"/>
      <c r="D144" s="3" t="str" cm="1">
        <f t="array" aca="1" ref="D144" ca="1">_xlfn.SWITCH(MID(Master[[#This Row],[Checklist]],1,4),"C - ","Civil","F - ","Foundation","ST -","Structure","FC -","Façade","PRE ","Pre-Line","POST","Post-Line","H - ","Handover","S - ","Services","CST ","Completion Docs", "I - ", "Inspection")</f>
        <v>Structure</v>
      </c>
      <c r="E144" s="23" t="str">
        <f ca="1">IF(NOT(ISERROR(SEARCH("- S -", Master[[#This Row],[Checklist]]))), "Subcontractor",IF(NOT(ISERROR(SEARCH("- R -", Master[[#This Row],[Checklist]]))), "Ryman",IF(NOT(ISERROR(SEARCH("- C -", Master[[#This Row],[Checklist]]))), "Consultant",IF(NOT(ISERROR(SEARCH("- I -", Master[[#This Row],[Checklist]]))),  "Inspection Test Plan", "Naming Error"))))</f>
        <v>Ryman</v>
      </c>
      <c r="F144" s="24" t="str">
        <f ca="1">IF(OR(Master[[#This Row],[Type]]="checklist", Master[[#This Row],[Type]]="checklist-flat"), Master[[#This Row],[Name]], F143)</f>
        <v>ST - R - Rib &amp; Infill Installation</v>
      </c>
      <c r="G144" s="3" t="s">
        <v>49</v>
      </c>
      <c r="H144" s="24" t="s">
        <v>1322</v>
      </c>
      <c r="I144" s="3"/>
      <c r="J144" s="21">
        <f ca="1">_xlfn.XLOOKUP(Master[[#This Row],[Checklist]],Ref!A:A,Ref!B:B)*1000</f>
        <v>28000</v>
      </c>
      <c r="K144" s="21">
        <f ca="1">COUNTIF($J$2:Master[[#This Row],[ChecklistID]],Master[[#This Row],[ChecklistID]])-1</f>
        <v>2</v>
      </c>
      <c r="L144" s="23" t="s">
        <v>6</v>
      </c>
    </row>
    <row r="145" spans="1:12" ht="15.75">
      <c r="A145" s="23">
        <f t="shared" si="2"/>
        <v>144</v>
      </c>
      <c r="B145" s="21">
        <f ca="1">Master[[#This Row],[ChecklistID]]+Master[[#This Row],[Checklist Order]]</f>
        <v>28003</v>
      </c>
      <c r="C145" s="22"/>
      <c r="D145" s="3" t="str" cm="1">
        <f t="array" aca="1" ref="D145" ca="1">_xlfn.SWITCH(MID(Master[[#This Row],[Checklist]],1,4),"C - ","Civil","F - ","Foundation","ST -","Structure","FC -","Façade","PRE ","Pre-Line","POST","Post-Line","H - ","Handover","S - ","Services","CST ","Completion Docs", "I - ", "Inspection")</f>
        <v>Structure</v>
      </c>
      <c r="E145" s="23" t="str">
        <f ca="1">IF(NOT(ISERROR(SEARCH("- S -", Master[[#This Row],[Checklist]]))), "Subcontractor",IF(NOT(ISERROR(SEARCH("- R -", Master[[#This Row],[Checklist]]))), "Ryman",IF(NOT(ISERROR(SEARCH("- C -", Master[[#This Row],[Checklist]]))), "Consultant",IF(NOT(ISERROR(SEARCH("- I -", Master[[#This Row],[Checklist]]))),  "Inspection Test Plan", "Naming Error"))))</f>
        <v>Ryman</v>
      </c>
      <c r="F145" s="24" t="str">
        <f ca="1">IF(OR(Master[[#This Row],[Type]]="checklist", Master[[#This Row],[Type]]="checklist-flat"), Master[[#This Row],[Name]], F144)</f>
        <v>ST - R - Rib &amp; Infill Installation</v>
      </c>
      <c r="G145" s="3" t="s">
        <v>49</v>
      </c>
      <c r="H145" s="24" t="s">
        <v>1323</v>
      </c>
      <c r="I145" s="3"/>
      <c r="J145" s="21">
        <f ca="1">_xlfn.XLOOKUP(Master[[#This Row],[Checklist]],Ref!A:A,Ref!B:B)*1000</f>
        <v>28000</v>
      </c>
      <c r="K145" s="21">
        <f ca="1">COUNTIF($J$2:Master[[#This Row],[ChecklistID]],Master[[#This Row],[ChecklistID]])-1</f>
        <v>3</v>
      </c>
      <c r="L145" s="23" t="s">
        <v>6</v>
      </c>
    </row>
    <row r="146" spans="1:12" ht="15.75">
      <c r="A146" s="23">
        <f t="shared" si="2"/>
        <v>145</v>
      </c>
      <c r="B146" s="21">
        <f ca="1">Master[[#This Row],[ChecklistID]]+Master[[#This Row],[Checklist Order]]</f>
        <v>28004</v>
      </c>
      <c r="C146" s="22"/>
      <c r="D146" s="23" t="str" cm="1">
        <f t="array" aca="1" ref="D146" ca="1">_xlfn.SWITCH(MID(Master[[#This Row],[Checklist]],1,4),"C - ","Civil","F - ","Foundation","ST -","Structure","FC -","Façade","PRE ","Pre-Line","POST","Post-Line","H - ","Handover","S - ","Services","CST ","Completion Docs", "I - ", "Inspection")</f>
        <v>Structure</v>
      </c>
      <c r="E146" s="23" t="str">
        <f ca="1">IF(NOT(ISERROR(SEARCH("- S -", Master[[#This Row],[Checklist]]))), "Subcontractor",IF(NOT(ISERROR(SEARCH("- R -", Master[[#This Row],[Checklist]]))), "Ryman",IF(NOT(ISERROR(SEARCH("- C -", Master[[#This Row],[Checklist]]))), "Consultant",IF(NOT(ISERROR(SEARCH("- I -", Master[[#This Row],[Checklist]]))),  "Inspection Test Plan", "Naming Error"))))</f>
        <v>Ryman</v>
      </c>
      <c r="F146" s="24" t="str">
        <f ca="1">IF(OR(Master[[#This Row],[Type]]="checklist", Master[[#This Row],[Type]]="checklist-flat"), Master[[#This Row],[Name]], F145)</f>
        <v>ST - R - Rib &amp; Infill Installation</v>
      </c>
      <c r="G146" s="3" t="s">
        <v>49</v>
      </c>
      <c r="H146" s="24" t="s">
        <v>1324</v>
      </c>
      <c r="I146" s="39"/>
      <c r="J146" s="21">
        <f ca="1">_xlfn.XLOOKUP(Master[[#This Row],[Checklist]],Ref!A:A,Ref!B:B)*1000</f>
        <v>28000</v>
      </c>
      <c r="K146" s="21">
        <f ca="1">COUNTIF($J$2:Master[[#This Row],[ChecklistID]],Master[[#This Row],[ChecklistID]])-1</f>
        <v>4</v>
      </c>
      <c r="L146" s="23" t="s">
        <v>6</v>
      </c>
    </row>
    <row r="147" spans="1:12" ht="15.75">
      <c r="A147" s="23">
        <f t="shared" si="2"/>
        <v>146</v>
      </c>
      <c r="B147" s="21">
        <f ca="1">Master[[#This Row],[ChecklistID]]+Master[[#This Row],[Checklist Order]]</f>
        <v>28005</v>
      </c>
      <c r="C147" s="22"/>
      <c r="D147" s="23" t="str" cm="1">
        <f t="array" aca="1" ref="D147" ca="1">_xlfn.SWITCH(MID(Master[[#This Row],[Checklist]],1,4),"C - ","Civil","F - ","Foundation","ST -","Structure","FC -","Façade","PRE ","Pre-Line","POST","Post-Line","H - ","Handover","S - ","Services","CST ","Completion Docs", "I - ", "Inspection")</f>
        <v>Structure</v>
      </c>
      <c r="E147" s="23" t="str">
        <f ca="1">IF(NOT(ISERROR(SEARCH("- S -", Master[[#This Row],[Checklist]]))), "Subcontractor",IF(NOT(ISERROR(SEARCH("- R -", Master[[#This Row],[Checklist]]))), "Ryman",IF(NOT(ISERROR(SEARCH("- C -", Master[[#This Row],[Checklist]]))), "Consultant",IF(NOT(ISERROR(SEARCH("- I -", Master[[#This Row],[Checklist]]))),  "Inspection Test Plan", "Naming Error"))))</f>
        <v>Ryman</v>
      </c>
      <c r="F147" s="24" t="str">
        <f ca="1">IF(OR(Master[[#This Row],[Type]]="checklist", Master[[#This Row],[Type]]="checklist-flat"), Master[[#This Row],[Name]], F146)</f>
        <v>ST - R - Rib &amp; Infill Installation</v>
      </c>
      <c r="G147" s="3" t="s">
        <v>49</v>
      </c>
      <c r="H147" s="24" t="s">
        <v>1325</v>
      </c>
      <c r="I147" s="39"/>
      <c r="J147" s="21">
        <f ca="1">_xlfn.XLOOKUP(Master[[#This Row],[Checklist]],Ref!A:A,Ref!B:B)*1000</f>
        <v>28000</v>
      </c>
      <c r="K147" s="21">
        <f ca="1">COUNTIF($J$2:Master[[#This Row],[ChecklistID]],Master[[#This Row],[ChecklistID]])-1</f>
        <v>5</v>
      </c>
      <c r="L147" s="23" t="s">
        <v>6</v>
      </c>
    </row>
    <row r="148" spans="1:12" ht="15.75">
      <c r="A148" s="23">
        <f t="shared" si="2"/>
        <v>147</v>
      </c>
      <c r="B148" s="21">
        <f ca="1">Master[[#This Row],[ChecklistID]]+Master[[#This Row],[Checklist Order]]</f>
        <v>28006</v>
      </c>
      <c r="C148" s="22"/>
      <c r="D148" s="23" t="str" cm="1">
        <f t="array" aca="1" ref="D148" ca="1">_xlfn.SWITCH(MID(Master[[#This Row],[Checklist]],1,4),"C - ","Civil","F - ","Foundation","ST -","Structure","FC -","Façade","PRE ","Pre-Line","POST","Post-Line","H - ","Handover","S - ","Services","CST ","Completion Docs", "I - ", "Inspection")</f>
        <v>Structure</v>
      </c>
      <c r="E148" s="23" t="str">
        <f ca="1">IF(NOT(ISERROR(SEARCH("- S -", Master[[#This Row],[Checklist]]))), "Subcontractor",IF(NOT(ISERROR(SEARCH("- R -", Master[[#This Row],[Checklist]]))), "Ryman",IF(NOT(ISERROR(SEARCH("- C -", Master[[#This Row],[Checklist]]))), "Consultant",IF(NOT(ISERROR(SEARCH("- I -", Master[[#This Row],[Checklist]]))),  "Inspection Test Plan", "Naming Error"))))</f>
        <v>Ryman</v>
      </c>
      <c r="F148" s="24" t="str">
        <f ca="1">IF(OR(Master[[#This Row],[Type]]="checklist", Master[[#This Row],[Type]]="checklist-flat"), Master[[#This Row],[Name]], F147)</f>
        <v>ST - R - Rib &amp; Infill Installation</v>
      </c>
      <c r="G148" s="3" t="s">
        <v>120</v>
      </c>
      <c r="H148" s="24" t="s">
        <v>1326</v>
      </c>
      <c r="I148" s="39"/>
      <c r="J148" s="21">
        <f ca="1">_xlfn.XLOOKUP(Master[[#This Row],[Checklist]],Ref!A:A,Ref!B:B)*1000</f>
        <v>28000</v>
      </c>
      <c r="K148" s="21">
        <f ca="1">COUNTIF($J$2:Master[[#This Row],[ChecklistID]],Master[[#This Row],[ChecklistID]])-1</f>
        <v>6</v>
      </c>
      <c r="L148" s="23" t="s">
        <v>6</v>
      </c>
    </row>
    <row r="149" spans="1:12" ht="15.75">
      <c r="A149" s="23">
        <f t="shared" si="2"/>
        <v>148</v>
      </c>
      <c r="B149" s="21">
        <f ca="1">Master[[#This Row],[ChecklistID]]+Master[[#This Row],[Checklist Order]]</f>
        <v>28007</v>
      </c>
      <c r="C149" s="22"/>
      <c r="D149" s="23" t="str" cm="1">
        <f t="array" aca="1" ref="D149" ca="1">_xlfn.SWITCH(MID(Master[[#This Row],[Checklist]],1,4),"C - ","Civil","F - ","Foundation","ST -","Structure","FC -","Façade","PRE ","Pre-Line","POST","Post-Line","H - ","Handover","S - ","Services","CST ","Completion Docs", "I - ", "Inspection")</f>
        <v>Structure</v>
      </c>
      <c r="E149" s="23" t="str">
        <f ca="1">IF(NOT(ISERROR(SEARCH("- S -", Master[[#This Row],[Checklist]]))), "Subcontractor",IF(NOT(ISERROR(SEARCH("- R -", Master[[#This Row],[Checklist]]))), "Ryman",IF(NOT(ISERROR(SEARCH("- C -", Master[[#This Row],[Checklist]]))), "Consultant",IF(NOT(ISERROR(SEARCH("- I -", Master[[#This Row],[Checklist]]))),  "Inspection Test Plan", "Naming Error"))))</f>
        <v>Ryman</v>
      </c>
      <c r="F149" s="24" t="str">
        <f ca="1">IF(OR(Master[[#This Row],[Type]]="checklist", Master[[#This Row],[Type]]="checklist-flat"), Master[[#This Row],[Name]], F148)</f>
        <v>ST - R - Rib &amp; Infill Installation</v>
      </c>
      <c r="G149" s="3" t="s">
        <v>49</v>
      </c>
      <c r="H149" s="24" t="s">
        <v>1327</v>
      </c>
      <c r="I149" s="39"/>
      <c r="J149" s="21">
        <f ca="1">_xlfn.XLOOKUP(Master[[#This Row],[Checklist]],Ref!A:A,Ref!B:B)*1000</f>
        <v>28000</v>
      </c>
      <c r="K149" s="21">
        <f ca="1">COUNTIF($J$2:Master[[#This Row],[ChecklistID]],Master[[#This Row],[ChecklistID]])-1</f>
        <v>7</v>
      </c>
      <c r="L149" s="23" t="s">
        <v>6</v>
      </c>
    </row>
    <row r="150" spans="1:12" ht="15.75">
      <c r="A150" s="23">
        <f t="shared" si="2"/>
        <v>149</v>
      </c>
      <c r="B150" s="21">
        <f ca="1">Master[[#This Row],[ChecklistID]]+Master[[#This Row],[Checklist Order]]</f>
        <v>28008</v>
      </c>
      <c r="C150" s="22"/>
      <c r="D150" s="23" t="str" cm="1">
        <f t="array" aca="1" ref="D150" ca="1">_xlfn.SWITCH(MID(Master[[#This Row],[Checklist]],1,4),"C - ","Civil","F - ","Foundation","ST -","Structure","FC -","Façade","PRE ","Pre-Line","POST","Post-Line","H - ","Handover","S - ","Services","CST ","Completion Docs", "I - ", "Inspection")</f>
        <v>Structure</v>
      </c>
      <c r="E150" s="23" t="str">
        <f ca="1">IF(NOT(ISERROR(SEARCH("- S -", Master[[#This Row],[Checklist]]))), "Subcontractor",IF(NOT(ISERROR(SEARCH("- R -", Master[[#This Row],[Checklist]]))), "Ryman",IF(NOT(ISERROR(SEARCH("- C -", Master[[#This Row],[Checklist]]))), "Consultant",IF(NOT(ISERROR(SEARCH("- I -", Master[[#This Row],[Checklist]]))),  "Inspection Test Plan", "Naming Error"))))</f>
        <v>Ryman</v>
      </c>
      <c r="F150" s="24" t="str">
        <f ca="1">IF(OR(Master[[#This Row],[Type]]="checklist", Master[[#This Row],[Type]]="checklist-flat"), Master[[#This Row],[Name]], F149)</f>
        <v>ST - R - Rib &amp; Infill Installation</v>
      </c>
      <c r="G150" s="3" t="s">
        <v>49</v>
      </c>
      <c r="H150" s="24" t="s">
        <v>1328</v>
      </c>
      <c r="I150" s="39"/>
      <c r="J150" s="21">
        <f ca="1">_xlfn.XLOOKUP(Master[[#This Row],[Checklist]],Ref!A:A,Ref!B:B)*1000</f>
        <v>28000</v>
      </c>
      <c r="K150" s="21">
        <f ca="1">COUNTIF($J$2:Master[[#This Row],[ChecklistID]],Master[[#This Row],[ChecklistID]])-1</f>
        <v>8</v>
      </c>
      <c r="L150" s="23" t="s">
        <v>6</v>
      </c>
    </row>
    <row r="151" spans="1:12" ht="15.75">
      <c r="A151" s="23">
        <f t="shared" si="2"/>
        <v>150</v>
      </c>
      <c r="B151" s="21">
        <f ca="1">Master[[#This Row],[ChecklistID]]+Master[[#This Row],[Checklist Order]]</f>
        <v>28009</v>
      </c>
      <c r="C151" s="22"/>
      <c r="D151" s="23" t="str" cm="1">
        <f t="array" aca="1" ref="D151" ca="1">_xlfn.SWITCH(MID(Master[[#This Row],[Checklist]],1,4),"C - ","Civil","F - ","Foundation","ST -","Structure","FC -","Façade","PRE ","Pre-Line","POST","Post-Line","H - ","Handover","S - ","Services","CST ","Completion Docs", "I - ", "Inspection")</f>
        <v>Structure</v>
      </c>
      <c r="E151" s="23" t="str">
        <f ca="1">IF(NOT(ISERROR(SEARCH("- S -", Master[[#This Row],[Checklist]]))), "Subcontractor",IF(NOT(ISERROR(SEARCH("- R -", Master[[#This Row],[Checklist]]))), "Ryman",IF(NOT(ISERROR(SEARCH("- C -", Master[[#This Row],[Checklist]]))), "Consultant",IF(NOT(ISERROR(SEARCH("- I -", Master[[#This Row],[Checklist]]))),  "Inspection Test Plan", "Naming Error"))))</f>
        <v>Ryman</v>
      </c>
      <c r="F151" s="24" t="str">
        <f ca="1">IF(OR(Master[[#This Row],[Type]]="checklist", Master[[#This Row],[Type]]="checklist-flat"), Master[[#This Row],[Name]], F150)</f>
        <v>ST - R - Rib &amp; Infill Installation</v>
      </c>
      <c r="G151" s="3" t="s">
        <v>49</v>
      </c>
      <c r="H151" s="24" t="s">
        <v>1329</v>
      </c>
      <c r="I151" s="39"/>
      <c r="J151" s="21">
        <f ca="1">_xlfn.XLOOKUP(Master[[#This Row],[Checklist]],Ref!A:A,Ref!B:B)*1000</f>
        <v>28000</v>
      </c>
      <c r="K151" s="21">
        <f ca="1">COUNTIF($J$2:Master[[#This Row],[ChecklistID]],Master[[#This Row],[ChecklistID]])-1</f>
        <v>9</v>
      </c>
      <c r="L151" s="23" t="s">
        <v>6</v>
      </c>
    </row>
    <row r="152" spans="1:12" ht="15.75">
      <c r="A152" s="23">
        <f t="shared" si="2"/>
        <v>151</v>
      </c>
      <c r="B152" s="21">
        <f ca="1">Master[[#This Row],[ChecklistID]]+Master[[#This Row],[Checklist Order]]</f>
        <v>28010</v>
      </c>
      <c r="C152" s="22"/>
      <c r="D152" s="23" t="str" cm="1">
        <f t="array" aca="1" ref="D152" ca="1">_xlfn.SWITCH(MID(Master[[#This Row],[Checklist]],1,4),"C - ","Civil","F - ","Foundation","ST -","Structure","FC -","Façade","PRE ","Pre-Line","POST","Post-Line","H - ","Handover","S - ","Services","CST ","Completion Docs", "I - ", "Inspection")</f>
        <v>Structure</v>
      </c>
      <c r="E152" s="23" t="str">
        <f ca="1">IF(NOT(ISERROR(SEARCH("- S -", Master[[#This Row],[Checklist]]))), "Subcontractor",IF(NOT(ISERROR(SEARCH("- R -", Master[[#This Row],[Checklist]]))), "Ryman",IF(NOT(ISERROR(SEARCH("- C -", Master[[#This Row],[Checklist]]))), "Consultant",IF(NOT(ISERROR(SEARCH("- I -", Master[[#This Row],[Checklist]]))),  "Inspection Test Plan", "Naming Error"))))</f>
        <v>Ryman</v>
      </c>
      <c r="F152" s="24" t="str">
        <f ca="1">IF(OR(Master[[#This Row],[Type]]="checklist", Master[[#This Row],[Type]]="checklist-flat"), Master[[#This Row],[Name]], F151)</f>
        <v>ST - R - Rib &amp; Infill Installation</v>
      </c>
      <c r="G152" s="3" t="s">
        <v>120</v>
      </c>
      <c r="H152" s="24" t="s">
        <v>1330</v>
      </c>
      <c r="I152" s="39"/>
      <c r="J152" s="21">
        <f ca="1">_xlfn.XLOOKUP(Master[[#This Row],[Checklist]],Ref!A:A,Ref!B:B)*1000</f>
        <v>28000</v>
      </c>
      <c r="K152" s="21">
        <f ca="1">COUNTIF($J$2:Master[[#This Row],[ChecklistID]],Master[[#This Row],[ChecklistID]])-1</f>
        <v>10</v>
      </c>
      <c r="L152" s="23" t="s">
        <v>6</v>
      </c>
    </row>
    <row r="153" spans="1:12" ht="15.75">
      <c r="A153" s="23">
        <f t="shared" si="2"/>
        <v>152</v>
      </c>
      <c r="B153" s="21">
        <f ca="1">Master[[#This Row],[ChecklistID]]+Master[[#This Row],[Checklist Order]]</f>
        <v>28011</v>
      </c>
      <c r="C153" s="22"/>
      <c r="D153" s="23" t="str" cm="1">
        <f t="array" aca="1" ref="D153" ca="1">_xlfn.SWITCH(MID(Master[[#This Row],[Checklist]],1,4),"C - ","Civil","F - ","Foundation","ST -","Structure","FC -","Façade","PRE ","Pre-Line","POST","Post-Line","H - ","Handover","S - ","Services","CST ","Completion Docs", "I - ", "Inspection")</f>
        <v>Structure</v>
      </c>
      <c r="E153" s="23" t="str">
        <f ca="1">IF(NOT(ISERROR(SEARCH("- S -", Master[[#This Row],[Checklist]]))), "Subcontractor",IF(NOT(ISERROR(SEARCH("- R -", Master[[#This Row],[Checklist]]))), "Ryman",IF(NOT(ISERROR(SEARCH("- C -", Master[[#This Row],[Checklist]]))), "Consultant",IF(NOT(ISERROR(SEARCH("- I -", Master[[#This Row],[Checklist]]))),  "Inspection Test Plan", "Naming Error"))))</f>
        <v>Ryman</v>
      </c>
      <c r="F153" s="24" t="str">
        <f ca="1">IF(OR(Master[[#This Row],[Type]]="checklist", Master[[#This Row],[Type]]="checklist-flat"), Master[[#This Row],[Name]], F152)</f>
        <v>ST - R - Rib &amp; Infill Installation</v>
      </c>
      <c r="G153" s="3" t="s">
        <v>49</v>
      </c>
      <c r="H153" s="24" t="s">
        <v>1331</v>
      </c>
      <c r="I153" s="39"/>
      <c r="J153" s="21">
        <f ca="1">_xlfn.XLOOKUP(Master[[#This Row],[Checklist]],Ref!A:A,Ref!B:B)*1000</f>
        <v>28000</v>
      </c>
      <c r="K153" s="21">
        <f ca="1">COUNTIF($J$2:Master[[#This Row],[ChecklistID]],Master[[#This Row],[ChecklistID]])-1</f>
        <v>11</v>
      </c>
      <c r="L153" s="23" t="s">
        <v>6</v>
      </c>
    </row>
    <row r="154" spans="1:12" ht="15.75">
      <c r="A154" s="23">
        <f t="shared" si="2"/>
        <v>153</v>
      </c>
      <c r="B154" s="21">
        <f ca="1">Master[[#This Row],[ChecklistID]]+Master[[#This Row],[Checklist Order]]</f>
        <v>28012</v>
      </c>
      <c r="C154" s="22"/>
      <c r="D154" s="23" t="str" cm="1">
        <f t="array" aca="1" ref="D154" ca="1">_xlfn.SWITCH(MID(Master[[#This Row],[Checklist]],1,4),"C - ","Civil","F - ","Foundation","ST -","Structure","FC -","Façade","PRE ","Pre-Line","POST","Post-Line","H - ","Handover","S - ","Services","CST ","Completion Docs", "I - ", "Inspection")</f>
        <v>Structure</v>
      </c>
      <c r="E154" s="23" t="str">
        <f ca="1">IF(NOT(ISERROR(SEARCH("- S -", Master[[#This Row],[Checklist]]))), "Subcontractor",IF(NOT(ISERROR(SEARCH("- R -", Master[[#This Row],[Checklist]]))), "Ryman",IF(NOT(ISERROR(SEARCH("- C -", Master[[#This Row],[Checklist]]))), "Consultant",IF(NOT(ISERROR(SEARCH("- I -", Master[[#This Row],[Checklist]]))),  "Inspection Test Plan", "Naming Error"))))</f>
        <v>Ryman</v>
      </c>
      <c r="F154" s="24" t="str">
        <f ca="1">IF(OR(Master[[#This Row],[Type]]="checklist", Master[[#This Row],[Type]]="checklist-flat"), Master[[#This Row],[Name]], F153)</f>
        <v>ST - R - Rib &amp; Infill Installation</v>
      </c>
      <c r="G154" s="3" t="s">
        <v>49</v>
      </c>
      <c r="H154" s="24" t="s">
        <v>1332</v>
      </c>
      <c r="I154" s="39"/>
      <c r="J154" s="21">
        <f ca="1">_xlfn.XLOOKUP(Master[[#This Row],[Checklist]],Ref!A:A,Ref!B:B)*1000</f>
        <v>28000</v>
      </c>
      <c r="K154" s="21">
        <f ca="1">COUNTIF($J$2:Master[[#This Row],[ChecklistID]],Master[[#This Row],[ChecklistID]])-1</f>
        <v>12</v>
      </c>
      <c r="L154" s="23" t="s">
        <v>6</v>
      </c>
    </row>
    <row r="155" spans="1:12" ht="15.75">
      <c r="A155" s="23">
        <f t="shared" si="2"/>
        <v>154</v>
      </c>
      <c r="B155" s="21">
        <f ca="1">Master[[#This Row],[ChecklistID]]+Master[[#This Row],[Checklist Order]]</f>
        <v>28013</v>
      </c>
      <c r="C155" s="22"/>
      <c r="D155" s="23" t="str" cm="1">
        <f t="array" aca="1" ref="D155" ca="1">_xlfn.SWITCH(MID(Master[[#This Row],[Checklist]],1,4),"C - ","Civil","F - ","Foundation","ST -","Structure","FC -","Façade","PRE ","Pre-Line","POST","Post-Line","H - ","Handover","S - ","Services","CST ","Completion Docs", "I - ", "Inspection")</f>
        <v>Structure</v>
      </c>
      <c r="E155" s="23" t="str">
        <f ca="1">IF(NOT(ISERROR(SEARCH("- S -", Master[[#This Row],[Checklist]]))), "Subcontractor",IF(NOT(ISERROR(SEARCH("- R -", Master[[#This Row],[Checklist]]))), "Ryman",IF(NOT(ISERROR(SEARCH("- C -", Master[[#This Row],[Checklist]]))), "Consultant",IF(NOT(ISERROR(SEARCH("- I -", Master[[#This Row],[Checklist]]))),  "Inspection Test Plan", "Naming Error"))))</f>
        <v>Ryman</v>
      </c>
      <c r="F155" s="24" t="str">
        <f ca="1">IF(OR(Master[[#This Row],[Type]]="checklist", Master[[#This Row],[Type]]="checklist-flat"), Master[[#This Row],[Name]], F154)</f>
        <v>ST - R - Rib &amp; Infill Installation</v>
      </c>
      <c r="G155" s="3" t="s">
        <v>49</v>
      </c>
      <c r="H155" s="24" t="s">
        <v>1333</v>
      </c>
      <c r="I155" s="39"/>
      <c r="J155" s="21">
        <f ca="1">_xlfn.XLOOKUP(Master[[#This Row],[Checklist]],Ref!A:A,Ref!B:B)*1000</f>
        <v>28000</v>
      </c>
      <c r="K155" s="21">
        <f ca="1">COUNTIF($J$2:Master[[#This Row],[ChecklistID]],Master[[#This Row],[ChecklistID]])-1</f>
        <v>13</v>
      </c>
      <c r="L155" s="23" t="s">
        <v>6</v>
      </c>
    </row>
    <row r="156" spans="1:12" ht="15.75">
      <c r="A156" s="23">
        <f t="shared" si="2"/>
        <v>155</v>
      </c>
      <c r="B156" s="21">
        <f ca="1">Master[[#This Row],[ChecklistID]]+Master[[#This Row],[Checklist Order]]</f>
        <v>28014</v>
      </c>
      <c r="C156" s="22"/>
      <c r="D156" s="23" t="str" cm="1">
        <f t="array" aca="1" ref="D156" ca="1">_xlfn.SWITCH(MID(Master[[#This Row],[Checklist]],1,4),"C - ","Civil","F - ","Foundation","ST -","Structure","FC -","Façade","PRE ","Pre-Line","POST","Post-Line","H - ","Handover","S - ","Services","CST ","Completion Docs", "I - ", "Inspection")</f>
        <v>Structure</v>
      </c>
      <c r="E156" s="23" t="str">
        <f ca="1">IF(NOT(ISERROR(SEARCH("- S -", Master[[#This Row],[Checklist]]))), "Subcontractor",IF(NOT(ISERROR(SEARCH("- R -", Master[[#This Row],[Checklist]]))), "Ryman",IF(NOT(ISERROR(SEARCH("- C -", Master[[#This Row],[Checklist]]))), "Consultant",IF(NOT(ISERROR(SEARCH("- I -", Master[[#This Row],[Checklist]]))),  "Inspection Test Plan", "Naming Error"))))</f>
        <v>Ryman</v>
      </c>
      <c r="F156" s="24" t="str">
        <f ca="1">IF(OR(Master[[#This Row],[Type]]="checklist", Master[[#This Row],[Type]]="checklist-flat"), Master[[#This Row],[Name]], F155)</f>
        <v>ST - R - Rib &amp; Infill Installation</v>
      </c>
      <c r="G156" s="3" t="s">
        <v>49</v>
      </c>
      <c r="H156" s="24" t="s">
        <v>1334</v>
      </c>
      <c r="I156" s="39"/>
      <c r="J156" s="21">
        <f ca="1">_xlfn.XLOOKUP(Master[[#This Row],[Checklist]],Ref!A:A,Ref!B:B)*1000</f>
        <v>28000</v>
      </c>
      <c r="K156" s="21">
        <f ca="1">COUNTIF($J$2:Master[[#This Row],[ChecklistID]],Master[[#This Row],[ChecklistID]])-1</f>
        <v>14</v>
      </c>
      <c r="L156" s="23" t="s">
        <v>6</v>
      </c>
    </row>
    <row r="157" spans="1:12" ht="15.75">
      <c r="A157" s="23">
        <f t="shared" si="2"/>
        <v>156</v>
      </c>
      <c r="B157" s="21">
        <f ca="1">Master[[#This Row],[ChecklistID]]+Master[[#This Row],[Checklist Order]]</f>
        <v>28015</v>
      </c>
      <c r="C157" s="22"/>
      <c r="D157" s="23" t="str" cm="1">
        <f t="array" aca="1" ref="D157" ca="1">_xlfn.SWITCH(MID(Master[[#This Row],[Checklist]],1,4),"C - ","Civil","F - ","Foundation","ST -","Structure","FC -","Façade","PRE ","Pre-Line","POST","Post-Line","H - ","Handover","S - ","Services","CST ","Completion Docs", "I - ", "Inspection")</f>
        <v>Structure</v>
      </c>
      <c r="E157" s="23" t="str">
        <f ca="1">IF(NOT(ISERROR(SEARCH("- S -", Master[[#This Row],[Checklist]]))), "Subcontractor",IF(NOT(ISERROR(SEARCH("- R -", Master[[#This Row],[Checklist]]))), "Ryman",IF(NOT(ISERROR(SEARCH("- C -", Master[[#This Row],[Checklist]]))), "Consultant",IF(NOT(ISERROR(SEARCH("- I -", Master[[#This Row],[Checklist]]))),  "Inspection Test Plan", "Naming Error"))))</f>
        <v>Ryman</v>
      </c>
      <c r="F157" s="24" t="str">
        <f ca="1">IF(OR(Master[[#This Row],[Type]]="checklist", Master[[#This Row],[Type]]="checklist-flat"), Master[[#This Row],[Name]], F156)</f>
        <v>ST - R - Rib &amp; Infill Installation</v>
      </c>
      <c r="G157" s="3" t="s">
        <v>120</v>
      </c>
      <c r="H157" s="24" t="s">
        <v>1335</v>
      </c>
      <c r="I157" s="39"/>
      <c r="J157" s="21">
        <f ca="1">_xlfn.XLOOKUP(Master[[#This Row],[Checklist]],Ref!A:A,Ref!B:B)*1000</f>
        <v>28000</v>
      </c>
      <c r="K157" s="21">
        <f ca="1">COUNTIF($J$2:Master[[#This Row],[ChecklistID]],Master[[#This Row],[ChecklistID]])-1</f>
        <v>15</v>
      </c>
      <c r="L157" s="23" t="s">
        <v>6</v>
      </c>
    </row>
    <row r="158" spans="1:12" ht="15.75">
      <c r="A158" s="23">
        <f t="shared" si="2"/>
        <v>157</v>
      </c>
      <c r="B158" s="21">
        <f ca="1">Master[[#This Row],[ChecklistID]]+Master[[#This Row],[Checklist Order]]</f>
        <v>28016</v>
      </c>
      <c r="C158" s="22"/>
      <c r="D158" s="23" t="str" cm="1">
        <f t="array" aca="1" ref="D158" ca="1">_xlfn.SWITCH(MID(Master[[#This Row],[Checklist]],1,4),"C - ","Civil","F - ","Foundation","ST -","Structure","FC -","Façade","PRE ","Pre-Line","POST","Post-Line","H - ","Handover","S - ","Services","CST ","Completion Docs", "I - ", "Inspection")</f>
        <v>Structure</v>
      </c>
      <c r="E158" s="23" t="str">
        <f ca="1">IF(NOT(ISERROR(SEARCH("- S -", Master[[#This Row],[Checklist]]))), "Subcontractor",IF(NOT(ISERROR(SEARCH("- R -", Master[[#This Row],[Checklist]]))), "Ryman",IF(NOT(ISERROR(SEARCH("- C -", Master[[#This Row],[Checklist]]))), "Consultant",IF(NOT(ISERROR(SEARCH("- I -", Master[[#This Row],[Checklist]]))),  "Inspection Test Plan", "Naming Error"))))</f>
        <v>Ryman</v>
      </c>
      <c r="F158" s="24" t="str">
        <f ca="1">IF(OR(Master[[#This Row],[Type]]="checklist", Master[[#This Row],[Type]]="checklist-flat"), Master[[#This Row],[Name]], F157)</f>
        <v>ST - R - Rib &amp; Infill Installation</v>
      </c>
      <c r="G158" s="3" t="s">
        <v>49</v>
      </c>
      <c r="H158" s="24" t="s">
        <v>1336</v>
      </c>
      <c r="I158" s="39"/>
      <c r="J158" s="21">
        <f ca="1">_xlfn.XLOOKUP(Master[[#This Row],[Checklist]],Ref!A:A,Ref!B:B)*1000</f>
        <v>28000</v>
      </c>
      <c r="K158" s="21">
        <f ca="1">COUNTIF($J$2:Master[[#This Row],[ChecklistID]],Master[[#This Row],[ChecklistID]])-1</f>
        <v>16</v>
      </c>
      <c r="L158" s="23" t="s">
        <v>6</v>
      </c>
    </row>
    <row r="159" spans="1:12" ht="15.75">
      <c r="A159" s="23">
        <f t="shared" si="2"/>
        <v>158</v>
      </c>
      <c r="B159" s="21">
        <f ca="1">Master[[#This Row],[ChecklistID]]+Master[[#This Row],[Checklist Order]]</f>
        <v>28017</v>
      </c>
      <c r="C159" s="22"/>
      <c r="D159" s="23" t="str" cm="1">
        <f t="array" aca="1" ref="D159" ca="1">_xlfn.SWITCH(MID(Master[[#This Row],[Checklist]],1,4),"C - ","Civil","F - ","Foundation","ST -","Structure","FC -","Façade","PRE ","Pre-Line","POST","Post-Line","H - ","Handover","S - ","Services","CST ","Completion Docs", "I - ", "Inspection")</f>
        <v>Structure</v>
      </c>
      <c r="E159" s="23" t="str">
        <f ca="1">IF(NOT(ISERROR(SEARCH("- S -", Master[[#This Row],[Checklist]]))), "Subcontractor",IF(NOT(ISERROR(SEARCH("- R -", Master[[#This Row],[Checklist]]))), "Ryman",IF(NOT(ISERROR(SEARCH("- C -", Master[[#This Row],[Checklist]]))), "Consultant",IF(NOT(ISERROR(SEARCH("- I -", Master[[#This Row],[Checklist]]))),  "Inspection Test Plan", "Naming Error"))))</f>
        <v>Ryman</v>
      </c>
      <c r="F159" s="24" t="str">
        <f ca="1">IF(OR(Master[[#This Row],[Type]]="checklist", Master[[#This Row],[Type]]="checklist-flat"), Master[[#This Row],[Name]], F158)</f>
        <v>ST - R - Rib &amp; Infill Installation</v>
      </c>
      <c r="G159" s="3" t="s">
        <v>49</v>
      </c>
      <c r="H159" s="24" t="s">
        <v>1337</v>
      </c>
      <c r="I159" s="39"/>
      <c r="J159" s="21">
        <f ca="1">_xlfn.XLOOKUP(Master[[#This Row],[Checklist]],Ref!A:A,Ref!B:B)*1000</f>
        <v>28000</v>
      </c>
      <c r="K159" s="21">
        <f ca="1">COUNTIF($J$2:Master[[#This Row],[ChecklistID]],Master[[#This Row],[ChecklistID]])-1</f>
        <v>17</v>
      </c>
      <c r="L159" s="23" t="s">
        <v>6</v>
      </c>
    </row>
    <row r="160" spans="1:12" ht="15.75">
      <c r="A160" s="23">
        <f t="shared" si="2"/>
        <v>159</v>
      </c>
      <c r="B160" s="21">
        <f ca="1">Master[[#This Row],[ChecklistID]]+Master[[#This Row],[Checklist Order]]</f>
        <v>28018</v>
      </c>
      <c r="C160" s="22"/>
      <c r="D160" s="23" t="str" cm="1">
        <f t="array" aca="1" ref="D160" ca="1">_xlfn.SWITCH(MID(Master[[#This Row],[Checklist]],1,4),"C - ","Civil","F - ","Foundation","ST -","Structure","FC -","Façade","PRE ","Pre-Line","POST","Post-Line","H - ","Handover","S - ","Services","CST ","Completion Docs", "I - ", "Inspection")</f>
        <v>Structure</v>
      </c>
      <c r="E160" s="23" t="str">
        <f ca="1">IF(NOT(ISERROR(SEARCH("- S -", Master[[#This Row],[Checklist]]))), "Subcontractor",IF(NOT(ISERROR(SEARCH("- R -", Master[[#This Row],[Checklist]]))), "Ryman",IF(NOT(ISERROR(SEARCH("- C -", Master[[#This Row],[Checklist]]))), "Consultant",IF(NOT(ISERROR(SEARCH("- I -", Master[[#This Row],[Checklist]]))),  "Inspection Test Plan", "Naming Error"))))</f>
        <v>Ryman</v>
      </c>
      <c r="F160" s="24" t="str">
        <f ca="1">IF(OR(Master[[#This Row],[Type]]="checklist", Master[[#This Row],[Type]]="checklist-flat"), Master[[#This Row],[Name]], F159)</f>
        <v>ST - R - Rib &amp; Infill Installation</v>
      </c>
      <c r="G160" s="3" t="s">
        <v>49</v>
      </c>
      <c r="H160" s="24" t="s">
        <v>1338</v>
      </c>
      <c r="I160" s="39"/>
      <c r="J160" s="21">
        <f ca="1">_xlfn.XLOOKUP(Master[[#This Row],[Checklist]],Ref!A:A,Ref!B:B)*1000</f>
        <v>28000</v>
      </c>
      <c r="K160" s="21">
        <f ca="1">COUNTIF($J$2:Master[[#This Row],[ChecklistID]],Master[[#This Row],[ChecklistID]])-1</f>
        <v>18</v>
      </c>
      <c r="L160" s="23" t="s">
        <v>6</v>
      </c>
    </row>
    <row r="161" spans="1:12" ht="15.75">
      <c r="A161" s="23">
        <f t="shared" si="2"/>
        <v>160</v>
      </c>
      <c r="B161" s="21">
        <f ca="1">Master[[#This Row],[ChecklistID]]+Master[[#This Row],[Checklist Order]]</f>
        <v>28019</v>
      </c>
      <c r="C161" s="22"/>
      <c r="D161" s="23" t="str" cm="1">
        <f t="array" aca="1" ref="D161" ca="1">_xlfn.SWITCH(MID(Master[[#This Row],[Checklist]],1,4),"C - ","Civil","F - ","Foundation","ST -","Structure","FC -","Façade","PRE ","Pre-Line","POST","Post-Line","H - ","Handover","S - ","Services","CST ","Completion Docs", "I - ", "Inspection")</f>
        <v>Structure</v>
      </c>
      <c r="E161" s="23" t="str">
        <f ca="1">IF(NOT(ISERROR(SEARCH("- S -", Master[[#This Row],[Checklist]]))), "Subcontractor",IF(NOT(ISERROR(SEARCH("- R -", Master[[#This Row],[Checklist]]))), "Ryman",IF(NOT(ISERROR(SEARCH("- C -", Master[[#This Row],[Checklist]]))), "Consultant",IF(NOT(ISERROR(SEARCH("- I -", Master[[#This Row],[Checklist]]))),  "Inspection Test Plan", "Naming Error"))))</f>
        <v>Ryman</v>
      </c>
      <c r="F161" s="24" t="str">
        <f ca="1">IF(OR(Master[[#This Row],[Type]]="checklist", Master[[#This Row],[Type]]="checklist-flat"), Master[[#This Row],[Name]], F160)</f>
        <v>ST - R - Rib &amp; Infill Installation</v>
      </c>
      <c r="G161" s="3" t="s">
        <v>49</v>
      </c>
      <c r="H161" s="24" t="s">
        <v>1339</v>
      </c>
      <c r="I161" s="39"/>
      <c r="J161" s="21">
        <f ca="1">_xlfn.XLOOKUP(Master[[#This Row],[Checklist]],Ref!A:A,Ref!B:B)*1000</f>
        <v>28000</v>
      </c>
      <c r="K161" s="21">
        <f ca="1">COUNTIF($J$2:Master[[#This Row],[ChecklistID]],Master[[#This Row],[ChecklistID]])-1</f>
        <v>19</v>
      </c>
      <c r="L161" s="23" t="s">
        <v>6</v>
      </c>
    </row>
    <row r="162" spans="1:12" ht="15.75">
      <c r="A162" s="23">
        <f t="shared" si="2"/>
        <v>161</v>
      </c>
      <c r="B162" s="21">
        <f ca="1">Master[[#This Row],[ChecklistID]]+Master[[#This Row],[Checklist Order]]</f>
        <v>28020</v>
      </c>
      <c r="C162" s="22"/>
      <c r="D162" s="3" t="str" cm="1">
        <f t="array" aca="1" ref="D162" ca="1">_xlfn.SWITCH(MID(Master[[#This Row],[Checklist]],1,4),"C - ","Civil","F - ","Foundation","ST -","Structure","FC -","Façade","PRE ","Pre-Line","POST","Post-Line","H - ","Handover","S - ","Services","CST ","Completion Docs", "I - ", "Inspection")</f>
        <v>Structure</v>
      </c>
      <c r="E162" s="23" t="str">
        <f ca="1">IF(NOT(ISERROR(SEARCH("- S -", Master[[#This Row],[Checklist]]))), "Subcontractor",IF(NOT(ISERROR(SEARCH("- R -", Master[[#This Row],[Checklist]]))), "Ryman",IF(NOT(ISERROR(SEARCH("- C -", Master[[#This Row],[Checklist]]))), "Consultant",IF(NOT(ISERROR(SEARCH("- I -", Master[[#This Row],[Checklist]]))),  "Inspection Test Plan", "Naming Error"))))</f>
        <v>Ryman</v>
      </c>
      <c r="F162" s="24" t="str">
        <f ca="1">IF(OR(Master[[#This Row],[Type]]="checklist", Master[[#This Row],[Type]]="checklist-flat"), Master[[#This Row],[Name]], F161)</f>
        <v>ST - R - Rib &amp; Infill Installation</v>
      </c>
      <c r="G162" s="3" t="s">
        <v>58</v>
      </c>
      <c r="H162" s="24" t="s">
        <v>1340</v>
      </c>
      <c r="I162" s="3"/>
      <c r="J162" s="21">
        <f ca="1">_xlfn.XLOOKUP(Master[[#This Row],[Checklist]],Ref!A:A,Ref!B:B)*1000</f>
        <v>28000</v>
      </c>
      <c r="K162" s="21">
        <f ca="1">COUNTIF($J$2:Master[[#This Row],[ChecklistID]],Master[[#This Row],[ChecklistID]])-1</f>
        <v>20</v>
      </c>
      <c r="L162" s="23" t="s">
        <v>6</v>
      </c>
    </row>
    <row r="163" spans="1:12" ht="15.75">
      <c r="A163" s="23">
        <f t="shared" si="2"/>
        <v>162</v>
      </c>
      <c r="B163" s="21">
        <f ca="1">Master[[#This Row],[ChecklistID]]+Master[[#This Row],[Checklist Order]]</f>
        <v>29000</v>
      </c>
      <c r="C163" s="22"/>
      <c r="D163" s="3" t="str" cm="1">
        <f t="array" aca="1" ref="D163" ca="1">_xlfn.SWITCH(MID(Master[[#This Row],[Checklist]],1,4),"C - ","Civil","F - ","Foundation","ST -","Structure","FC -","Façade","PRE ","Pre-Line","POST","Post-Line","H - ","Handover","S - ","Services","CST ","Completion Docs", "I - ", "Inspection")</f>
        <v>Structure</v>
      </c>
      <c r="E163" s="23" t="str">
        <f ca="1">IF(NOT(ISERROR(SEARCH("- S -", Master[[#This Row],[Checklist]]))), "Subcontractor",IF(NOT(ISERROR(SEARCH("- R -", Master[[#This Row],[Checklist]]))), "Ryman",IF(NOT(ISERROR(SEARCH("- C -", Master[[#This Row],[Checklist]]))), "Consultant",IF(NOT(ISERROR(SEARCH("- I -", Master[[#This Row],[Checklist]]))),  "Inspection Test Plan", "Naming Error"))))</f>
        <v>Ryman</v>
      </c>
      <c r="F163" s="24" t="str">
        <f ca="1">IF(OR(Master[[#This Row],[Type]]="checklist", Master[[#This Row],[Type]]="checklist-flat"), Master[[#This Row],[Name]], F162)</f>
        <v>ST - R - Roof structure - Steel</v>
      </c>
      <c r="G163" s="3" t="s">
        <v>48</v>
      </c>
      <c r="H163" s="32" t="s">
        <v>1341</v>
      </c>
      <c r="I163" s="3"/>
      <c r="J163" s="21">
        <f ca="1">_xlfn.XLOOKUP(Master[[#This Row],[Checklist]],Ref!A:A,Ref!B:B)*1000</f>
        <v>29000</v>
      </c>
      <c r="K163" s="21">
        <f ca="1">COUNTIF($J$2:Master[[#This Row],[ChecklistID]],Master[[#This Row],[ChecklistID]])-1</f>
        <v>0</v>
      </c>
      <c r="L163" s="23" t="s">
        <v>6</v>
      </c>
    </row>
    <row r="164" spans="1:12" ht="15.75">
      <c r="A164" s="23">
        <f t="shared" si="2"/>
        <v>163</v>
      </c>
      <c r="B164" s="21">
        <f ca="1">Master[[#This Row],[ChecklistID]]+Master[[#This Row],[Checklist Order]]</f>
        <v>29001</v>
      </c>
      <c r="C164" s="22"/>
      <c r="D164" s="3" t="str" cm="1">
        <f t="array" aca="1" ref="D164" ca="1">_xlfn.SWITCH(MID(Master[[#This Row],[Checklist]],1,4),"C - ","Civil","F - ","Foundation","ST -","Structure","FC -","Façade","PRE ","Pre-Line","POST","Post-Line","H - ","Handover","S - ","Services","CST ","Completion Docs", "I - ", "Inspection")</f>
        <v>Structure</v>
      </c>
      <c r="E164" s="23" t="str">
        <f ca="1">IF(NOT(ISERROR(SEARCH("- S -", Master[[#This Row],[Checklist]]))), "Subcontractor",IF(NOT(ISERROR(SEARCH("- R -", Master[[#This Row],[Checklist]]))), "Ryman",IF(NOT(ISERROR(SEARCH("- C -", Master[[#This Row],[Checklist]]))), "Consultant",IF(NOT(ISERROR(SEARCH("- I -", Master[[#This Row],[Checklist]]))),  "Inspection Test Plan", "Naming Error"))))</f>
        <v>Ryman</v>
      </c>
      <c r="F164" s="24" t="str">
        <f ca="1">IF(OR(Master[[#This Row],[Type]]="checklist", Master[[#This Row],[Type]]="checklist-flat"), Master[[#This Row],[Name]], F163)</f>
        <v>ST - R - Roof structure - Steel</v>
      </c>
      <c r="G164" s="15" t="s">
        <v>49</v>
      </c>
      <c r="H164" s="32" t="s">
        <v>1263</v>
      </c>
      <c r="I164" s="3"/>
      <c r="J164" s="21">
        <f ca="1">_xlfn.XLOOKUP(Master[[#This Row],[Checklist]],Ref!A:A,Ref!B:B)*1000</f>
        <v>29000</v>
      </c>
      <c r="K164" s="21">
        <f ca="1">COUNTIF($J$2:Master[[#This Row],[ChecklistID]],Master[[#This Row],[ChecklistID]])-1</f>
        <v>1</v>
      </c>
      <c r="L164" s="23" t="s">
        <v>6</v>
      </c>
    </row>
    <row r="165" spans="1:12" ht="15.75">
      <c r="A165" s="23">
        <f t="shared" si="2"/>
        <v>164</v>
      </c>
      <c r="B165" s="21">
        <f ca="1">Master[[#This Row],[ChecklistID]]+Master[[#This Row],[Checklist Order]]</f>
        <v>29002</v>
      </c>
      <c r="C165" s="22"/>
      <c r="D165" s="3" t="str" cm="1">
        <f t="array" aca="1" ref="D165" ca="1">_xlfn.SWITCH(MID(Master[[#This Row],[Checklist]],1,4),"C - ","Civil","F - ","Foundation","ST -","Structure","FC -","Façade","PRE ","Pre-Line","POST","Post-Line","H - ","Handover","S - ","Services","CST ","Completion Docs", "I - ", "Inspection")</f>
        <v>Structure</v>
      </c>
      <c r="E165" s="23" t="str">
        <f ca="1">IF(NOT(ISERROR(SEARCH("- S -", Master[[#This Row],[Checklist]]))), "Subcontractor",IF(NOT(ISERROR(SEARCH("- R -", Master[[#This Row],[Checklist]]))), "Ryman",IF(NOT(ISERROR(SEARCH("- C -", Master[[#This Row],[Checklist]]))), "Consultant",IF(NOT(ISERROR(SEARCH("- I -", Master[[#This Row],[Checklist]]))),  "Inspection Test Plan", "Naming Error"))))</f>
        <v>Ryman</v>
      </c>
      <c r="F165" s="24" t="str">
        <f ca="1">IF(OR(Master[[#This Row],[Type]]="checklist", Master[[#This Row],[Type]]="checklist-flat"), Master[[#This Row],[Name]], F164)</f>
        <v>ST - R - Roof structure - Steel</v>
      </c>
      <c r="G165" s="15" t="s">
        <v>49</v>
      </c>
      <c r="H165" s="32" t="s">
        <v>1264</v>
      </c>
      <c r="I165" s="3"/>
      <c r="J165" s="21">
        <f ca="1">_xlfn.XLOOKUP(Master[[#This Row],[Checklist]],Ref!A:A,Ref!B:B)*1000</f>
        <v>29000</v>
      </c>
      <c r="K165" s="21">
        <f ca="1">COUNTIF($J$2:Master[[#This Row],[ChecklistID]],Master[[#This Row],[ChecklistID]])-1</f>
        <v>2</v>
      </c>
      <c r="L165" s="23" t="s">
        <v>6</v>
      </c>
    </row>
    <row r="166" spans="1:12" ht="15.75">
      <c r="A166" s="23">
        <f t="shared" si="2"/>
        <v>165</v>
      </c>
      <c r="B166" s="21">
        <f ca="1">Master[[#This Row],[ChecklistID]]+Master[[#This Row],[Checklist Order]]</f>
        <v>29003</v>
      </c>
      <c r="C166" s="22"/>
      <c r="D166" s="3" t="str" cm="1">
        <f t="array" aca="1" ref="D166" ca="1">_xlfn.SWITCH(MID(Master[[#This Row],[Checklist]],1,4),"C - ","Civil","F - ","Foundation","ST -","Structure","FC -","Façade","PRE ","Pre-Line","POST","Post-Line","H - ","Handover","S - ","Services","CST ","Completion Docs", "I - ", "Inspection")</f>
        <v>Structure</v>
      </c>
      <c r="E166" s="23" t="str">
        <f ca="1">IF(NOT(ISERROR(SEARCH("- S -", Master[[#This Row],[Checklist]]))), "Subcontractor",IF(NOT(ISERROR(SEARCH("- R -", Master[[#This Row],[Checklist]]))), "Ryman",IF(NOT(ISERROR(SEARCH("- C -", Master[[#This Row],[Checklist]]))), "Consultant",IF(NOT(ISERROR(SEARCH("- I -", Master[[#This Row],[Checklist]]))),  "Inspection Test Plan", "Naming Error"))))</f>
        <v>Ryman</v>
      </c>
      <c r="F166" s="24" t="str">
        <f ca="1">IF(OR(Master[[#This Row],[Type]]="checklist", Master[[#This Row],[Type]]="checklist-flat"), Master[[#This Row],[Name]], F165)</f>
        <v>ST - R - Roof structure - Steel</v>
      </c>
      <c r="G166" s="15" t="s">
        <v>58</v>
      </c>
      <c r="H166" s="32" t="s">
        <v>306</v>
      </c>
      <c r="I166" s="3"/>
      <c r="J166" s="21">
        <f ca="1">_xlfn.XLOOKUP(Master[[#This Row],[Checklist]],Ref!A:A,Ref!B:B)*1000</f>
        <v>29000</v>
      </c>
      <c r="K166" s="21">
        <f ca="1">COUNTIF($J$2:Master[[#This Row],[ChecklistID]],Master[[#This Row],[ChecklistID]])-1</f>
        <v>3</v>
      </c>
      <c r="L166" s="23" t="s">
        <v>6</v>
      </c>
    </row>
    <row r="167" spans="1:12" ht="15.75">
      <c r="A167" s="23">
        <f t="shared" si="2"/>
        <v>166</v>
      </c>
      <c r="B167" s="21">
        <f ca="1">Master[[#This Row],[ChecklistID]]+Master[[#This Row],[Checklist Order]]</f>
        <v>29004</v>
      </c>
      <c r="C167" s="22"/>
      <c r="D167" s="3" t="str" cm="1">
        <f t="array" aca="1" ref="D167" ca="1">_xlfn.SWITCH(MID(Master[[#This Row],[Checklist]],1,4),"C - ","Civil","F - ","Foundation","ST -","Structure","FC -","Façade","PRE ","Pre-Line","POST","Post-Line","H - ","Handover","S - ","Services","CST ","Completion Docs", "I - ", "Inspection")</f>
        <v>Structure</v>
      </c>
      <c r="E167" s="23" t="str">
        <f ca="1">IF(NOT(ISERROR(SEARCH("- S -", Master[[#This Row],[Checklist]]))), "Subcontractor",IF(NOT(ISERROR(SEARCH("- R -", Master[[#This Row],[Checklist]]))), "Ryman",IF(NOT(ISERROR(SEARCH("- C -", Master[[#This Row],[Checklist]]))), "Consultant",IF(NOT(ISERROR(SEARCH("- I -", Master[[#This Row],[Checklist]]))),  "Inspection Test Plan", "Naming Error"))))</f>
        <v>Ryman</v>
      </c>
      <c r="F167" s="24" t="str">
        <f ca="1">IF(OR(Master[[#This Row],[Type]]="checklist", Master[[#This Row],[Type]]="checklist-flat"), Master[[#This Row],[Name]], F166)</f>
        <v>ST - R - Roof structure - Steel</v>
      </c>
      <c r="G167" s="15" t="s">
        <v>49</v>
      </c>
      <c r="H167" s="32" t="s">
        <v>380</v>
      </c>
      <c r="I167" s="3"/>
      <c r="J167" s="21">
        <f ca="1">_xlfn.XLOOKUP(Master[[#This Row],[Checklist]],Ref!A:A,Ref!B:B)*1000</f>
        <v>29000</v>
      </c>
      <c r="K167" s="21">
        <f ca="1">COUNTIF($J$2:Master[[#This Row],[ChecklistID]],Master[[#This Row],[ChecklistID]])-1</f>
        <v>4</v>
      </c>
      <c r="L167" s="23" t="s">
        <v>6</v>
      </c>
    </row>
    <row r="168" spans="1:12" ht="15.75">
      <c r="A168" s="23">
        <f t="shared" si="2"/>
        <v>167</v>
      </c>
      <c r="B168" s="21">
        <f ca="1">Master[[#This Row],[ChecklistID]]+Master[[#This Row],[Checklist Order]]</f>
        <v>30000</v>
      </c>
      <c r="C168" s="22"/>
      <c r="D168" s="3" t="str" cm="1">
        <f t="array" aca="1" ref="D168" ca="1">_xlfn.SWITCH(MID(Master[[#This Row],[Checklist]],1,4),"C - ","Civil","F - ","Foundation","ST -","Structure","FC -","Façade","PRE ","Pre-Line","POST","Post-Line","H - ","Handover","S - ","Services","CST ","Completion Docs", "I - ", "Inspection")</f>
        <v>Structure</v>
      </c>
      <c r="E168" s="23" t="str">
        <f ca="1">IF(NOT(ISERROR(SEARCH("- S -", Master[[#This Row],[Checklist]]))), "Subcontractor",IF(NOT(ISERROR(SEARCH("- R -", Master[[#This Row],[Checklist]]))), "Ryman",IF(NOT(ISERROR(SEARCH("- C -", Master[[#This Row],[Checklist]]))), "Consultant",IF(NOT(ISERROR(SEARCH("- I -", Master[[#This Row],[Checklist]]))),  "Inspection Test Plan", "Naming Error"))))</f>
        <v>Ryman</v>
      </c>
      <c r="F168" s="24" t="str">
        <f ca="1">IF(OR(Master[[#This Row],[Type]]="checklist", Master[[#This Row],[Type]]="checklist-flat"), Master[[#This Row],[Name]], F167)</f>
        <v>ST - R - Roof structure - Timber Trusses</v>
      </c>
      <c r="G168" s="3" t="s">
        <v>48</v>
      </c>
      <c r="H168" s="32" t="s">
        <v>1342</v>
      </c>
      <c r="I168" s="3"/>
      <c r="J168" s="21">
        <f ca="1">_xlfn.XLOOKUP(Master[[#This Row],[Checklist]],Ref!A:A,Ref!B:B)*1000</f>
        <v>30000</v>
      </c>
      <c r="K168" s="21">
        <f ca="1">COUNTIF($J$2:Master[[#This Row],[ChecklistID]],Master[[#This Row],[ChecklistID]])-1</f>
        <v>0</v>
      </c>
      <c r="L168" s="23" t="s">
        <v>6</v>
      </c>
    </row>
    <row r="169" spans="1:12" ht="15.75">
      <c r="A169" s="23">
        <f t="shared" si="2"/>
        <v>168</v>
      </c>
      <c r="B169" s="21">
        <f ca="1">Master[[#This Row],[ChecklistID]]+Master[[#This Row],[Checklist Order]]</f>
        <v>30001</v>
      </c>
      <c r="C169" s="22"/>
      <c r="D169" s="3" t="str" cm="1">
        <f t="array" aca="1" ref="D169" ca="1">_xlfn.SWITCH(MID(Master[[#This Row],[Checklist]],1,4),"C - ","Civil","F - ","Foundation","ST -","Structure","FC -","Façade","PRE ","Pre-Line","POST","Post-Line","H - ","Handover","S - ","Services","CST ","Completion Docs", "I - ", "Inspection")</f>
        <v>Structure</v>
      </c>
      <c r="E169" s="23" t="str">
        <f ca="1">IF(NOT(ISERROR(SEARCH("- S -", Master[[#This Row],[Checklist]]))), "Subcontractor",IF(NOT(ISERROR(SEARCH("- R -", Master[[#This Row],[Checklist]]))), "Ryman",IF(NOT(ISERROR(SEARCH("- C -", Master[[#This Row],[Checklist]]))), "Consultant",IF(NOT(ISERROR(SEARCH("- I -", Master[[#This Row],[Checklist]]))),  "Inspection Test Plan", "Naming Error"))))</f>
        <v>Ryman</v>
      </c>
      <c r="F169" s="24" t="str">
        <f ca="1">IF(OR(Master[[#This Row],[Type]]="checklist", Master[[#This Row],[Type]]="checklist-flat"), Master[[#This Row],[Name]], F168)</f>
        <v>ST - R - Roof structure - Timber Trusses</v>
      </c>
      <c r="G169" s="15" t="s">
        <v>49</v>
      </c>
      <c r="H169" s="32" t="s">
        <v>1263</v>
      </c>
      <c r="I169" s="3"/>
      <c r="J169" s="21">
        <f ca="1">_xlfn.XLOOKUP(Master[[#This Row],[Checklist]],Ref!A:A,Ref!B:B)*1000</f>
        <v>30000</v>
      </c>
      <c r="K169" s="21">
        <f ca="1">COUNTIF($J$2:Master[[#This Row],[ChecklistID]],Master[[#This Row],[ChecklistID]])-1</f>
        <v>1</v>
      </c>
      <c r="L169" s="23" t="s">
        <v>6</v>
      </c>
    </row>
    <row r="170" spans="1:12" ht="15.75">
      <c r="A170" s="23">
        <f t="shared" si="2"/>
        <v>169</v>
      </c>
      <c r="B170" s="21">
        <f ca="1">Master[[#This Row],[ChecklistID]]+Master[[#This Row],[Checklist Order]]</f>
        <v>30002</v>
      </c>
      <c r="C170" s="22"/>
      <c r="D170" s="3" t="str" cm="1">
        <f t="array" aca="1" ref="D170" ca="1">_xlfn.SWITCH(MID(Master[[#This Row],[Checklist]],1,4),"C - ","Civil","F - ","Foundation","ST -","Structure","FC -","Façade","PRE ","Pre-Line","POST","Post-Line","H - ","Handover","S - ","Services","CST ","Completion Docs", "I - ", "Inspection")</f>
        <v>Structure</v>
      </c>
      <c r="E170" s="23" t="str">
        <f ca="1">IF(NOT(ISERROR(SEARCH("- S -", Master[[#This Row],[Checklist]]))), "Subcontractor",IF(NOT(ISERROR(SEARCH("- R -", Master[[#This Row],[Checklist]]))), "Ryman",IF(NOT(ISERROR(SEARCH("- C -", Master[[#This Row],[Checklist]]))), "Consultant",IF(NOT(ISERROR(SEARCH("- I -", Master[[#This Row],[Checklist]]))),  "Inspection Test Plan", "Naming Error"))))</f>
        <v>Ryman</v>
      </c>
      <c r="F170" s="24" t="str">
        <f ca="1">IF(OR(Master[[#This Row],[Type]]="checklist", Master[[#This Row],[Type]]="checklist-flat"), Master[[#This Row],[Name]], F169)</f>
        <v>ST - R - Roof structure - Timber Trusses</v>
      </c>
      <c r="G170" s="15" t="s">
        <v>49</v>
      </c>
      <c r="H170" s="32" t="s">
        <v>1264</v>
      </c>
      <c r="I170" s="3"/>
      <c r="J170" s="21">
        <f ca="1">_xlfn.XLOOKUP(Master[[#This Row],[Checklist]],Ref!A:A,Ref!B:B)*1000</f>
        <v>30000</v>
      </c>
      <c r="K170" s="21">
        <f ca="1">COUNTIF($J$2:Master[[#This Row],[ChecklistID]],Master[[#This Row],[ChecklistID]])-1</f>
        <v>2</v>
      </c>
      <c r="L170" s="23" t="s">
        <v>6</v>
      </c>
    </row>
    <row r="171" spans="1:12" ht="15.75">
      <c r="A171" s="23">
        <f t="shared" si="2"/>
        <v>170</v>
      </c>
      <c r="B171" s="21">
        <f ca="1">Master[[#This Row],[ChecklistID]]+Master[[#This Row],[Checklist Order]]</f>
        <v>30003</v>
      </c>
      <c r="C171" s="22"/>
      <c r="D171" s="3" t="str" cm="1">
        <f t="array" aca="1" ref="D171" ca="1">_xlfn.SWITCH(MID(Master[[#This Row],[Checklist]],1,4),"C - ","Civil","F - ","Foundation","ST -","Structure","FC -","Façade","PRE ","Pre-Line","POST","Post-Line","H - ","Handover","S - ","Services","CST ","Completion Docs", "I - ", "Inspection")</f>
        <v>Structure</v>
      </c>
      <c r="E171" s="23" t="str">
        <f ca="1">IF(NOT(ISERROR(SEARCH("- S -", Master[[#This Row],[Checklist]]))), "Subcontractor",IF(NOT(ISERROR(SEARCH("- R -", Master[[#This Row],[Checklist]]))), "Ryman",IF(NOT(ISERROR(SEARCH("- C -", Master[[#This Row],[Checklist]]))), "Consultant",IF(NOT(ISERROR(SEARCH("- I -", Master[[#This Row],[Checklist]]))),  "Inspection Test Plan", "Naming Error"))))</f>
        <v>Ryman</v>
      </c>
      <c r="F171" s="24" t="str">
        <f ca="1">IF(OR(Master[[#This Row],[Type]]="checklist", Master[[#This Row],[Type]]="checklist-flat"), Master[[#This Row],[Name]], F170)</f>
        <v>ST - R - Roof structure - Timber Trusses</v>
      </c>
      <c r="G171" s="15" t="s">
        <v>58</v>
      </c>
      <c r="H171" s="32" t="s">
        <v>306</v>
      </c>
      <c r="I171" s="3"/>
      <c r="J171" s="21">
        <f ca="1">_xlfn.XLOOKUP(Master[[#This Row],[Checklist]],Ref!A:A,Ref!B:B)*1000</f>
        <v>30000</v>
      </c>
      <c r="K171" s="21">
        <f ca="1">COUNTIF($J$2:Master[[#This Row],[ChecklistID]],Master[[#This Row],[ChecklistID]])-1</f>
        <v>3</v>
      </c>
      <c r="L171" s="23" t="s">
        <v>6</v>
      </c>
    </row>
    <row r="172" spans="1:12" ht="15.75">
      <c r="A172" s="23">
        <f t="shared" si="2"/>
        <v>171</v>
      </c>
      <c r="B172" s="21">
        <f ca="1">Master[[#This Row],[ChecklistID]]+Master[[#This Row],[Checklist Order]]</f>
        <v>30004</v>
      </c>
      <c r="C172" s="22"/>
      <c r="D172" s="3" t="str" cm="1">
        <f t="array" aca="1" ref="D172" ca="1">_xlfn.SWITCH(MID(Master[[#This Row],[Checklist]],1,4),"C - ","Civil","F - ","Foundation","ST -","Structure","FC -","Façade","PRE ","Pre-Line","POST","Post-Line","H - ","Handover","S - ","Services","CST ","Completion Docs", "I - ", "Inspection")</f>
        <v>Structure</v>
      </c>
      <c r="E172" s="23" t="str">
        <f ca="1">IF(NOT(ISERROR(SEARCH("- S -", Master[[#This Row],[Checklist]]))), "Subcontractor",IF(NOT(ISERROR(SEARCH("- R -", Master[[#This Row],[Checklist]]))), "Ryman",IF(NOT(ISERROR(SEARCH("- C -", Master[[#This Row],[Checklist]]))), "Consultant",IF(NOT(ISERROR(SEARCH("- I -", Master[[#This Row],[Checklist]]))),  "Inspection Test Plan", "Naming Error"))))</f>
        <v>Ryman</v>
      </c>
      <c r="F172" s="24" t="str">
        <f ca="1">IF(OR(Master[[#This Row],[Type]]="checklist", Master[[#This Row],[Type]]="checklist-flat"), Master[[#This Row],[Name]], F171)</f>
        <v>ST - R - Roof structure - Timber Trusses</v>
      </c>
      <c r="G172" s="15" t="s">
        <v>49</v>
      </c>
      <c r="H172" s="32" t="s">
        <v>1343</v>
      </c>
      <c r="I172" s="3"/>
      <c r="J172" s="21">
        <f ca="1">_xlfn.XLOOKUP(Master[[#This Row],[Checklist]],Ref!A:A,Ref!B:B)*1000</f>
        <v>30000</v>
      </c>
      <c r="K172" s="21">
        <f ca="1">COUNTIF($J$2:Master[[#This Row],[ChecklistID]],Master[[#This Row],[ChecklistID]])-1</f>
        <v>4</v>
      </c>
      <c r="L172" s="23" t="s">
        <v>6</v>
      </c>
    </row>
    <row r="173" spans="1:12" ht="15.75">
      <c r="A173" s="23">
        <f t="shared" si="2"/>
        <v>172</v>
      </c>
      <c r="B173" s="21">
        <f ca="1">Master[[#This Row],[ChecklistID]]+Master[[#This Row],[Checklist Order]]</f>
        <v>31000</v>
      </c>
      <c r="C173" s="22"/>
      <c r="D173" s="3" t="str" cm="1">
        <f t="array" aca="1" ref="D173" ca="1">_xlfn.SWITCH(MID(Master[[#This Row],[Checklist]],1,4),"C - ","Civil","F - ","Foundation","ST -","Structure","FC -","Façade","PRE ","Pre-Line","POST","Post-Line","H - ","Handover","S - ","Services","CST ","Completion Docs", "I - ", "Inspection")</f>
        <v>Structure</v>
      </c>
      <c r="E173" s="23" t="str">
        <f ca="1">IF(NOT(ISERROR(SEARCH("- S -", Master[[#This Row],[Checklist]]))), "Subcontractor",IF(NOT(ISERROR(SEARCH("- R -", Master[[#This Row],[Checklist]]))), "Ryman",IF(NOT(ISERROR(SEARCH("- C -", Master[[#This Row],[Checklist]]))), "Consultant",IF(NOT(ISERROR(SEARCH("- I -", Master[[#This Row],[Checklist]]))),  "Inspection Test Plan", "Naming Error"))))</f>
        <v>Ryman</v>
      </c>
      <c r="F173" s="24" t="str">
        <f ca="1">IF(OR(Master[[#This Row],[Type]]="checklist", Master[[#This Row],[Type]]="checklist-flat"), Master[[#This Row],[Name]], F172)</f>
        <v>ST - R - Stair Installation</v>
      </c>
      <c r="G173" s="3" t="s">
        <v>48</v>
      </c>
      <c r="H173" s="32" t="s">
        <v>1344</v>
      </c>
      <c r="I173" s="3"/>
      <c r="J173" s="21">
        <f ca="1">_xlfn.XLOOKUP(Master[[#This Row],[Checklist]],Ref!A:A,Ref!B:B)*1000</f>
        <v>31000</v>
      </c>
      <c r="K173" s="21">
        <f ca="1">COUNTIF($J$2:Master[[#This Row],[ChecklistID]],Master[[#This Row],[ChecklistID]])-1</f>
        <v>0</v>
      </c>
      <c r="L173" s="23" t="s">
        <v>6</v>
      </c>
    </row>
    <row r="174" spans="1:12" ht="15.75">
      <c r="A174" s="23">
        <f t="shared" si="2"/>
        <v>173</v>
      </c>
      <c r="B174" s="21">
        <f ca="1">Master[[#This Row],[ChecklistID]]+Master[[#This Row],[Checklist Order]]</f>
        <v>31001</v>
      </c>
      <c r="C174" s="22"/>
      <c r="D174" s="3" t="str" cm="1">
        <f t="array" aca="1" ref="D174" ca="1">_xlfn.SWITCH(MID(Master[[#This Row],[Checklist]],1,4),"C - ","Civil","F - ","Foundation","ST -","Structure","FC -","Façade","PRE ","Pre-Line","POST","Post-Line","H - ","Handover","S - ","Services","CST ","Completion Docs", "I - ", "Inspection")</f>
        <v>Structure</v>
      </c>
      <c r="E174" s="23" t="str">
        <f ca="1">IF(NOT(ISERROR(SEARCH("- S -", Master[[#This Row],[Checklist]]))), "Subcontractor",IF(NOT(ISERROR(SEARCH("- R -", Master[[#This Row],[Checklist]]))), "Ryman",IF(NOT(ISERROR(SEARCH("- C -", Master[[#This Row],[Checklist]]))), "Consultant",IF(NOT(ISERROR(SEARCH("- I -", Master[[#This Row],[Checklist]]))),  "Inspection Test Plan", "Naming Error"))))</f>
        <v>Ryman</v>
      </c>
      <c r="F174" s="24" t="str">
        <f ca="1">IF(OR(Master[[#This Row],[Type]]="checklist", Master[[#This Row],[Type]]="checklist-flat"), Master[[#This Row],[Name]], F173)</f>
        <v>ST - R - Stair Installation</v>
      </c>
      <c r="G174" s="15" t="s">
        <v>49</v>
      </c>
      <c r="H174" s="32" t="s">
        <v>1263</v>
      </c>
      <c r="I174" s="3"/>
      <c r="J174" s="21">
        <f ca="1">_xlfn.XLOOKUP(Master[[#This Row],[Checklist]],Ref!A:A,Ref!B:B)*1000</f>
        <v>31000</v>
      </c>
      <c r="K174" s="21">
        <f ca="1">COUNTIF($J$2:Master[[#This Row],[ChecklistID]],Master[[#This Row],[ChecklistID]])-1</f>
        <v>1</v>
      </c>
      <c r="L174" s="23" t="s">
        <v>6</v>
      </c>
    </row>
    <row r="175" spans="1:12" ht="15.75">
      <c r="A175" s="23">
        <f t="shared" si="2"/>
        <v>174</v>
      </c>
      <c r="B175" s="21">
        <f ca="1">Master[[#This Row],[ChecklistID]]+Master[[#This Row],[Checklist Order]]</f>
        <v>31002</v>
      </c>
      <c r="C175" s="22"/>
      <c r="D175" s="3" t="str" cm="1">
        <f t="array" aca="1" ref="D175" ca="1">_xlfn.SWITCH(MID(Master[[#This Row],[Checklist]],1,4),"C - ","Civil","F - ","Foundation","ST -","Structure","FC -","Façade","PRE ","Pre-Line","POST","Post-Line","H - ","Handover","S - ","Services","CST ","Completion Docs", "I - ", "Inspection")</f>
        <v>Structure</v>
      </c>
      <c r="E175" s="23" t="str">
        <f ca="1">IF(NOT(ISERROR(SEARCH("- S -", Master[[#This Row],[Checklist]]))), "Subcontractor",IF(NOT(ISERROR(SEARCH("- R -", Master[[#This Row],[Checklist]]))), "Ryman",IF(NOT(ISERROR(SEARCH("- C -", Master[[#This Row],[Checklist]]))), "Consultant",IF(NOT(ISERROR(SEARCH("- I -", Master[[#This Row],[Checklist]]))),  "Inspection Test Plan", "Naming Error"))))</f>
        <v>Ryman</v>
      </c>
      <c r="F175" s="24" t="str">
        <f ca="1">IF(OR(Master[[#This Row],[Type]]="checklist", Master[[#This Row],[Type]]="checklist-flat"), Master[[#This Row],[Name]], F174)</f>
        <v>ST - R - Stair Installation</v>
      </c>
      <c r="G175" s="15" t="s">
        <v>49</v>
      </c>
      <c r="H175" s="32" t="s">
        <v>1264</v>
      </c>
      <c r="I175" s="3"/>
      <c r="J175" s="21">
        <f ca="1">_xlfn.XLOOKUP(Master[[#This Row],[Checklist]],Ref!A:A,Ref!B:B)*1000</f>
        <v>31000</v>
      </c>
      <c r="K175" s="21">
        <f ca="1">COUNTIF($J$2:Master[[#This Row],[ChecklistID]],Master[[#This Row],[ChecklistID]])-1</f>
        <v>2</v>
      </c>
      <c r="L175" s="23" t="s">
        <v>6</v>
      </c>
    </row>
    <row r="176" spans="1:12" ht="15.75">
      <c r="A176" s="23">
        <f t="shared" si="2"/>
        <v>175</v>
      </c>
      <c r="B176" s="21">
        <f ca="1">Master[[#This Row],[ChecklistID]]+Master[[#This Row],[Checklist Order]]</f>
        <v>31003</v>
      </c>
      <c r="C176" s="22"/>
      <c r="D176" s="3" t="str" cm="1">
        <f t="array" aca="1" ref="D176" ca="1">_xlfn.SWITCH(MID(Master[[#This Row],[Checklist]],1,4),"C - ","Civil","F - ","Foundation","ST -","Structure","FC -","Façade","PRE ","Pre-Line","POST","Post-Line","H - ","Handover","S - ","Services","CST ","Completion Docs", "I - ", "Inspection")</f>
        <v>Structure</v>
      </c>
      <c r="E176" s="23" t="str">
        <f ca="1">IF(NOT(ISERROR(SEARCH("- S -", Master[[#This Row],[Checklist]]))), "Subcontractor",IF(NOT(ISERROR(SEARCH("- R -", Master[[#This Row],[Checklist]]))), "Ryman",IF(NOT(ISERROR(SEARCH("- C -", Master[[#This Row],[Checklist]]))), "Consultant",IF(NOT(ISERROR(SEARCH("- I -", Master[[#This Row],[Checklist]]))),  "Inspection Test Plan", "Naming Error"))))</f>
        <v>Ryman</v>
      </c>
      <c r="F176" s="24" t="str">
        <f ca="1">IF(OR(Master[[#This Row],[Type]]="checklist", Master[[#This Row],[Type]]="checklist-flat"), Master[[#This Row],[Name]], F175)</f>
        <v>ST - R - Stair Installation</v>
      </c>
      <c r="G176" s="15" t="s">
        <v>58</v>
      </c>
      <c r="H176" s="32" t="s">
        <v>306</v>
      </c>
      <c r="I176" s="3"/>
      <c r="J176" s="21">
        <f ca="1">_xlfn.XLOOKUP(Master[[#This Row],[Checklist]],Ref!A:A,Ref!B:B)*1000</f>
        <v>31000</v>
      </c>
      <c r="K176" s="21">
        <f ca="1">COUNTIF($J$2:Master[[#This Row],[ChecklistID]],Master[[#This Row],[ChecklistID]])-1</f>
        <v>3</v>
      </c>
      <c r="L176" s="23" t="s">
        <v>6</v>
      </c>
    </row>
    <row r="177" spans="1:12" ht="15.75">
      <c r="A177" s="23">
        <f t="shared" si="2"/>
        <v>176</v>
      </c>
      <c r="B177" s="21">
        <f ca="1">Master[[#This Row],[ChecklistID]]+Master[[#This Row],[Checklist Order]]</f>
        <v>31004</v>
      </c>
      <c r="C177" s="22"/>
      <c r="D177" s="3" t="str" cm="1">
        <f t="array" aca="1" ref="D177" ca="1">_xlfn.SWITCH(MID(Master[[#This Row],[Checklist]],1,4),"C - ","Civil","F - ","Foundation","ST -","Structure","FC -","Façade","PRE ","Pre-Line","POST","Post-Line","H - ","Handover","S - ","Services","CST ","Completion Docs", "I - ", "Inspection")</f>
        <v>Structure</v>
      </c>
      <c r="E177" s="23" t="str">
        <f ca="1">IF(NOT(ISERROR(SEARCH("- S -", Master[[#This Row],[Checklist]]))), "Subcontractor",IF(NOT(ISERROR(SEARCH("- R -", Master[[#This Row],[Checklist]]))), "Ryman",IF(NOT(ISERROR(SEARCH("- C -", Master[[#This Row],[Checklist]]))), "Consultant",IF(NOT(ISERROR(SEARCH("- I -", Master[[#This Row],[Checklist]]))),  "Inspection Test Plan", "Naming Error"))))</f>
        <v>Ryman</v>
      </c>
      <c r="F177" s="24" t="str">
        <f ca="1">IF(OR(Master[[#This Row],[Type]]="checklist", Master[[#This Row],[Type]]="checklist-flat"), Master[[#This Row],[Name]], F176)</f>
        <v>ST - R - Stair Installation</v>
      </c>
      <c r="G177" s="15" t="s">
        <v>49</v>
      </c>
      <c r="H177" s="32" t="s">
        <v>1345</v>
      </c>
      <c r="I177" s="3"/>
      <c r="J177" s="21">
        <f ca="1">_xlfn.XLOOKUP(Master[[#This Row],[Checklist]],Ref!A:A,Ref!B:B)*1000</f>
        <v>31000</v>
      </c>
      <c r="K177" s="21">
        <f ca="1">COUNTIF($J$2:Master[[#This Row],[ChecklistID]],Master[[#This Row],[ChecklistID]])-1</f>
        <v>4</v>
      </c>
      <c r="L177" s="23" t="s">
        <v>6</v>
      </c>
    </row>
    <row r="178" spans="1:12" ht="15.75">
      <c r="A178" s="23">
        <f t="shared" si="2"/>
        <v>177</v>
      </c>
      <c r="B178" s="21">
        <f ca="1">Master[[#This Row],[ChecklistID]]+Master[[#This Row],[Checklist Order]]</f>
        <v>32000</v>
      </c>
      <c r="C178" s="22"/>
      <c r="D178" s="3" t="str" cm="1">
        <f t="array" aca="1" ref="D178" ca="1">_xlfn.SWITCH(MID(Master[[#This Row],[Checklist]],1,4),"C - ","Civil","F - ","Foundation","ST -","Structure","FC -","Façade","PRE ","Pre-Line","POST","Post-Line","H - ","Handover","S - ","Services","CST ","Completion Docs", "I - ", "Inspection")</f>
        <v>Structure</v>
      </c>
      <c r="E178" s="23" t="str">
        <f ca="1">IF(NOT(ISERROR(SEARCH("- S -", Master[[#This Row],[Checklist]]))), "Subcontractor",IF(NOT(ISERROR(SEARCH("- R -", Master[[#This Row],[Checklist]]))), "Ryman",IF(NOT(ISERROR(SEARCH("- C -", Master[[#This Row],[Checklist]]))), "Consultant",IF(NOT(ISERROR(SEARCH("- I -", Master[[#This Row],[Checklist]]))),  "Inspection Test Plan", "Naming Error"))))</f>
        <v>Ryman</v>
      </c>
      <c r="F178" s="24" t="str">
        <f ca="1">IF(OR(Master[[#This Row],[Type]]="checklist", Master[[#This Row],[Type]]="checklist-flat"), Master[[#This Row],[Name]], F177)</f>
        <v>ST - R - Structural Steel Installation</v>
      </c>
      <c r="G178" s="3" t="s">
        <v>48</v>
      </c>
      <c r="H178" s="32" t="s">
        <v>1346</v>
      </c>
      <c r="I178" s="3"/>
      <c r="J178" s="21">
        <f ca="1">_xlfn.XLOOKUP(Master[[#This Row],[Checklist]],Ref!A:A,Ref!B:B)*1000</f>
        <v>32000</v>
      </c>
      <c r="K178" s="21">
        <f ca="1">COUNTIF($J$2:Master[[#This Row],[ChecklistID]],Master[[#This Row],[ChecklistID]])-1</f>
        <v>0</v>
      </c>
      <c r="L178" s="23" t="s">
        <v>6</v>
      </c>
    </row>
    <row r="179" spans="1:12" ht="15.75">
      <c r="A179" s="23">
        <f t="shared" si="2"/>
        <v>178</v>
      </c>
      <c r="B179" s="21">
        <f ca="1">Master[[#This Row],[ChecklistID]]+Master[[#This Row],[Checklist Order]]</f>
        <v>32001</v>
      </c>
      <c r="C179" s="22"/>
      <c r="D179" s="3" t="str" cm="1">
        <f t="array" aca="1" ref="D179" ca="1">_xlfn.SWITCH(MID(Master[[#This Row],[Checklist]],1,4),"C - ","Civil","F - ","Foundation","ST -","Structure","FC -","Façade","PRE ","Pre-Line","POST","Post-Line","H - ","Handover","S - ","Services","CST ","Completion Docs", "I - ", "Inspection")</f>
        <v>Structure</v>
      </c>
      <c r="E179" s="23" t="str">
        <f ca="1">IF(NOT(ISERROR(SEARCH("- S -", Master[[#This Row],[Checklist]]))), "Subcontractor",IF(NOT(ISERROR(SEARCH("- R -", Master[[#This Row],[Checklist]]))), "Ryman",IF(NOT(ISERROR(SEARCH("- C -", Master[[#This Row],[Checklist]]))), "Consultant",IF(NOT(ISERROR(SEARCH("- I -", Master[[#This Row],[Checklist]]))),  "Inspection Test Plan", "Naming Error"))))</f>
        <v>Ryman</v>
      </c>
      <c r="F179" s="24" t="str">
        <f ca="1">IF(OR(Master[[#This Row],[Type]]="checklist", Master[[#This Row],[Type]]="checklist-flat"), Master[[#This Row],[Name]], F178)</f>
        <v>ST - R - Structural Steel Installation</v>
      </c>
      <c r="G179" s="15" t="s">
        <v>49</v>
      </c>
      <c r="H179" s="32" t="s">
        <v>403</v>
      </c>
      <c r="I179" s="3"/>
      <c r="J179" s="21">
        <f ca="1">_xlfn.XLOOKUP(Master[[#This Row],[Checklist]],Ref!A:A,Ref!B:B)*1000</f>
        <v>32000</v>
      </c>
      <c r="K179" s="21">
        <f ca="1">COUNTIF($J$2:Master[[#This Row],[ChecklistID]],Master[[#This Row],[ChecklistID]])-1</f>
        <v>1</v>
      </c>
      <c r="L179" s="23" t="s">
        <v>6</v>
      </c>
    </row>
    <row r="180" spans="1:12" ht="15.75">
      <c r="A180" s="23">
        <f t="shared" si="2"/>
        <v>179</v>
      </c>
      <c r="B180" s="21">
        <f ca="1">Master[[#This Row],[ChecklistID]]+Master[[#This Row],[Checklist Order]]</f>
        <v>32002</v>
      </c>
      <c r="C180" s="22"/>
      <c r="D180" s="3" t="str" cm="1">
        <f t="array" aca="1" ref="D180" ca="1">_xlfn.SWITCH(MID(Master[[#This Row],[Checklist]],1,4),"C - ","Civil","F - ","Foundation","ST -","Structure","FC -","Façade","PRE ","Pre-Line","POST","Post-Line","H - ","Handover","S - ","Services","CST ","Completion Docs", "I - ", "Inspection")</f>
        <v>Structure</v>
      </c>
      <c r="E180" s="23" t="str">
        <f ca="1">IF(NOT(ISERROR(SEARCH("- S -", Master[[#This Row],[Checklist]]))), "Subcontractor",IF(NOT(ISERROR(SEARCH("- R -", Master[[#This Row],[Checklist]]))), "Ryman",IF(NOT(ISERROR(SEARCH("- C -", Master[[#This Row],[Checklist]]))), "Consultant",IF(NOT(ISERROR(SEARCH("- I -", Master[[#This Row],[Checklist]]))),  "Inspection Test Plan", "Naming Error"))))</f>
        <v>Ryman</v>
      </c>
      <c r="F180" s="24" t="str">
        <f ca="1">IF(OR(Master[[#This Row],[Type]]="checklist", Master[[#This Row],[Type]]="checklist-flat"), Master[[#This Row],[Name]], F179)</f>
        <v>ST - R - Structural Steel Installation</v>
      </c>
      <c r="G180" s="15" t="s">
        <v>66</v>
      </c>
      <c r="H180" s="32" t="s">
        <v>404</v>
      </c>
      <c r="I180" s="3"/>
      <c r="J180" s="21">
        <f ca="1">_xlfn.XLOOKUP(Master[[#This Row],[Checklist]],Ref!A:A,Ref!B:B)*1000</f>
        <v>32000</v>
      </c>
      <c r="K180" s="21">
        <f ca="1">COUNTIF($J$2:Master[[#This Row],[ChecklistID]],Master[[#This Row],[ChecklistID]])-1</f>
        <v>2</v>
      </c>
      <c r="L180" s="23" t="s">
        <v>6</v>
      </c>
    </row>
    <row r="181" spans="1:12" ht="15.75">
      <c r="A181" s="23">
        <f t="shared" si="2"/>
        <v>180</v>
      </c>
      <c r="B181" s="21">
        <f ca="1">Master[[#This Row],[ChecklistID]]+Master[[#This Row],[Checklist Order]]</f>
        <v>32003</v>
      </c>
      <c r="C181" s="22"/>
      <c r="D181" s="3" t="str" cm="1">
        <f t="array" aca="1" ref="D181" ca="1">_xlfn.SWITCH(MID(Master[[#This Row],[Checklist]],1,4),"C - ","Civil","F - ","Foundation","ST -","Structure","FC -","Façade","PRE ","Pre-Line","POST","Post-Line","H - ","Handover","S - ","Services","CST ","Completion Docs", "I - ", "Inspection")</f>
        <v>Structure</v>
      </c>
      <c r="E181" s="23" t="str">
        <f ca="1">IF(NOT(ISERROR(SEARCH("- S -", Master[[#This Row],[Checklist]]))), "Subcontractor",IF(NOT(ISERROR(SEARCH("- R -", Master[[#This Row],[Checklist]]))), "Ryman",IF(NOT(ISERROR(SEARCH("- C -", Master[[#This Row],[Checklist]]))), "Consultant",IF(NOT(ISERROR(SEARCH("- I -", Master[[#This Row],[Checklist]]))),  "Inspection Test Plan", "Naming Error"))))</f>
        <v>Ryman</v>
      </c>
      <c r="F181" s="24" t="str">
        <f ca="1">IF(OR(Master[[#This Row],[Type]]="checklist", Master[[#This Row],[Type]]="checklist-flat"), Master[[#This Row],[Name]], F180)</f>
        <v>ST - R - Structural Steel Installation</v>
      </c>
      <c r="G181" s="15" t="s">
        <v>66</v>
      </c>
      <c r="H181" s="32" t="s">
        <v>405</v>
      </c>
      <c r="I181" s="3"/>
      <c r="J181" s="21">
        <f ca="1">_xlfn.XLOOKUP(Master[[#This Row],[Checklist]],Ref!A:A,Ref!B:B)*1000</f>
        <v>32000</v>
      </c>
      <c r="K181" s="21">
        <f ca="1">COUNTIF($J$2:Master[[#This Row],[ChecklistID]],Master[[#This Row],[ChecklistID]])-1</f>
        <v>3</v>
      </c>
      <c r="L181" s="23" t="s">
        <v>6</v>
      </c>
    </row>
    <row r="182" spans="1:12" ht="15.75">
      <c r="A182" s="23">
        <f t="shared" si="2"/>
        <v>181</v>
      </c>
      <c r="B182" s="21">
        <f ca="1">Master[[#This Row],[ChecklistID]]+Master[[#This Row],[Checklist Order]]</f>
        <v>32004</v>
      </c>
      <c r="C182" s="22"/>
      <c r="D182" s="3" t="str" cm="1">
        <f t="array" aca="1" ref="D182" ca="1">_xlfn.SWITCH(MID(Master[[#This Row],[Checklist]],1,4),"C - ","Civil","F - ","Foundation","ST -","Structure","FC -","Façade","PRE ","Pre-Line","POST","Post-Line","H - ","Handover","S - ","Services","CST ","Completion Docs", "I - ", "Inspection")</f>
        <v>Structure</v>
      </c>
      <c r="E182" s="23" t="str">
        <f ca="1">IF(NOT(ISERROR(SEARCH("- S -", Master[[#This Row],[Checklist]]))), "Subcontractor",IF(NOT(ISERROR(SEARCH("- R -", Master[[#This Row],[Checklist]]))), "Ryman",IF(NOT(ISERROR(SEARCH("- C -", Master[[#This Row],[Checklist]]))), "Consultant",IF(NOT(ISERROR(SEARCH("- I -", Master[[#This Row],[Checklist]]))),  "Inspection Test Plan", "Naming Error"))))</f>
        <v>Ryman</v>
      </c>
      <c r="F182" s="24" t="str">
        <f ca="1">IF(OR(Master[[#This Row],[Type]]="checklist", Master[[#This Row],[Type]]="checklist-flat"), Master[[#This Row],[Name]], F181)</f>
        <v>ST - R - Structural Steel Installation</v>
      </c>
      <c r="G182" s="15" t="s">
        <v>66</v>
      </c>
      <c r="H182" s="32" t="s">
        <v>406</v>
      </c>
      <c r="I182" s="3"/>
      <c r="J182" s="21">
        <f ca="1">_xlfn.XLOOKUP(Master[[#This Row],[Checklist]],Ref!A:A,Ref!B:B)*1000</f>
        <v>32000</v>
      </c>
      <c r="K182" s="21">
        <f ca="1">COUNTIF($J$2:Master[[#This Row],[ChecklistID]],Master[[#This Row],[ChecklistID]])-1</f>
        <v>4</v>
      </c>
      <c r="L182" s="23" t="s">
        <v>6</v>
      </c>
    </row>
    <row r="183" spans="1:12" ht="15.75">
      <c r="A183" s="23">
        <f t="shared" si="2"/>
        <v>182</v>
      </c>
      <c r="B183" s="21">
        <f ca="1">Master[[#This Row],[ChecklistID]]+Master[[#This Row],[Checklist Order]]</f>
        <v>32005</v>
      </c>
      <c r="C183" s="22"/>
      <c r="D183" s="3" t="str" cm="1">
        <f t="array" aca="1" ref="D183" ca="1">_xlfn.SWITCH(MID(Master[[#This Row],[Checklist]],1,4),"C - ","Civil","F - ","Foundation","ST -","Structure","FC -","Façade","PRE ","Pre-Line","POST","Post-Line","H - ","Handover","S - ","Services","CST ","Completion Docs", "I - ", "Inspection")</f>
        <v>Structure</v>
      </c>
      <c r="E183" s="23" t="str">
        <f ca="1">IF(NOT(ISERROR(SEARCH("- S -", Master[[#This Row],[Checklist]]))), "Subcontractor",IF(NOT(ISERROR(SEARCH("- R -", Master[[#This Row],[Checklist]]))), "Ryman",IF(NOT(ISERROR(SEARCH("- C -", Master[[#This Row],[Checklist]]))), "Consultant",IF(NOT(ISERROR(SEARCH("- I -", Master[[#This Row],[Checklist]]))),  "Inspection Test Plan", "Naming Error"))))</f>
        <v>Ryman</v>
      </c>
      <c r="F183" s="24" t="str">
        <f ca="1">IF(OR(Master[[#This Row],[Type]]="checklist", Master[[#This Row],[Type]]="checklist-flat"), Master[[#This Row],[Name]], F182)</f>
        <v>ST - R - Structural Steel Installation</v>
      </c>
      <c r="G183" s="15" t="s">
        <v>66</v>
      </c>
      <c r="H183" s="32" t="s">
        <v>407</v>
      </c>
      <c r="I183" s="3"/>
      <c r="J183" s="21">
        <f ca="1">_xlfn.XLOOKUP(Master[[#This Row],[Checklist]],Ref!A:A,Ref!B:B)*1000</f>
        <v>32000</v>
      </c>
      <c r="K183" s="21">
        <f ca="1">COUNTIF($J$2:Master[[#This Row],[ChecklistID]],Master[[#This Row],[ChecklistID]])-1</f>
        <v>5</v>
      </c>
      <c r="L183" s="23" t="s">
        <v>6</v>
      </c>
    </row>
    <row r="184" spans="1:12" ht="15.75">
      <c r="A184" s="23">
        <f t="shared" si="2"/>
        <v>183</v>
      </c>
      <c r="B184" s="21">
        <f ca="1">Master[[#This Row],[ChecklistID]]+Master[[#This Row],[Checklist Order]]</f>
        <v>32006</v>
      </c>
      <c r="C184" s="22"/>
      <c r="D184" s="3" t="str" cm="1">
        <f t="array" aca="1" ref="D184" ca="1">_xlfn.SWITCH(MID(Master[[#This Row],[Checklist]],1,4),"C - ","Civil","F - ","Foundation","ST -","Structure","FC -","Façade","PRE ","Pre-Line","POST","Post-Line","H - ","Handover","S - ","Services","CST ","Completion Docs", "I - ", "Inspection")</f>
        <v>Structure</v>
      </c>
      <c r="E184" s="23" t="str">
        <f ca="1">IF(NOT(ISERROR(SEARCH("- S -", Master[[#This Row],[Checklist]]))), "Subcontractor",IF(NOT(ISERROR(SEARCH("- R -", Master[[#This Row],[Checklist]]))), "Ryman",IF(NOT(ISERROR(SEARCH("- C -", Master[[#This Row],[Checklist]]))), "Consultant",IF(NOT(ISERROR(SEARCH("- I -", Master[[#This Row],[Checklist]]))),  "Inspection Test Plan", "Naming Error"))))</f>
        <v>Ryman</v>
      </c>
      <c r="F184" s="24" t="str">
        <f ca="1">IF(OR(Master[[#This Row],[Type]]="checklist", Master[[#This Row],[Type]]="checklist-flat"), Master[[#This Row],[Name]], F183)</f>
        <v>ST - R - Structural Steel Installation</v>
      </c>
      <c r="G184" s="15" t="s">
        <v>49</v>
      </c>
      <c r="H184" s="32" t="s">
        <v>408</v>
      </c>
      <c r="I184" s="3"/>
      <c r="J184" s="21">
        <f ca="1">_xlfn.XLOOKUP(Master[[#This Row],[Checklist]],Ref!A:A,Ref!B:B)*1000</f>
        <v>32000</v>
      </c>
      <c r="K184" s="21">
        <f ca="1">COUNTIF($J$2:Master[[#This Row],[ChecklistID]],Master[[#This Row],[ChecklistID]])-1</f>
        <v>6</v>
      </c>
      <c r="L184" s="23" t="s">
        <v>6</v>
      </c>
    </row>
    <row r="185" spans="1:12" ht="15.75">
      <c r="A185" s="23">
        <f t="shared" si="2"/>
        <v>184</v>
      </c>
      <c r="B185" s="21">
        <f ca="1">Master[[#This Row],[ChecklistID]]+Master[[#This Row],[Checklist Order]]</f>
        <v>32007</v>
      </c>
      <c r="C185" s="22"/>
      <c r="D185" s="3" t="str" cm="1">
        <f t="array" aca="1" ref="D185" ca="1">_xlfn.SWITCH(MID(Master[[#This Row],[Checklist]],1,4),"C - ","Civil","F - ","Foundation","ST -","Structure","FC -","Façade","PRE ","Pre-Line","POST","Post-Line","H - ","Handover","S - ","Services","CST ","Completion Docs", "I - ", "Inspection")</f>
        <v>Structure</v>
      </c>
      <c r="E185" s="23" t="str">
        <f ca="1">IF(NOT(ISERROR(SEARCH("- S -", Master[[#This Row],[Checklist]]))), "Subcontractor",IF(NOT(ISERROR(SEARCH("- R -", Master[[#This Row],[Checklist]]))), "Ryman",IF(NOT(ISERROR(SEARCH("- C -", Master[[#This Row],[Checklist]]))), "Consultant",IF(NOT(ISERROR(SEARCH("- I -", Master[[#This Row],[Checklist]]))),  "Inspection Test Plan", "Naming Error"))))</f>
        <v>Ryman</v>
      </c>
      <c r="F185" s="24" t="str">
        <f ca="1">IF(OR(Master[[#This Row],[Type]]="checklist", Master[[#This Row],[Type]]="checklist-flat"), Master[[#This Row],[Name]], F184)</f>
        <v>ST - R - Structural Steel Installation</v>
      </c>
      <c r="G185" s="15" t="s">
        <v>49</v>
      </c>
      <c r="H185" s="32" t="s">
        <v>409</v>
      </c>
      <c r="I185" s="3"/>
      <c r="J185" s="21">
        <f ca="1">_xlfn.XLOOKUP(Master[[#This Row],[Checklist]],Ref!A:A,Ref!B:B)*1000</f>
        <v>32000</v>
      </c>
      <c r="K185" s="21">
        <f ca="1">COUNTIF($J$2:Master[[#This Row],[ChecklistID]],Master[[#This Row],[ChecklistID]])-1</f>
        <v>7</v>
      </c>
      <c r="L185" s="23" t="s">
        <v>6</v>
      </c>
    </row>
    <row r="186" spans="1:12" ht="15.75">
      <c r="A186" s="23">
        <f t="shared" si="2"/>
        <v>185</v>
      </c>
      <c r="B186" s="21">
        <f ca="1">Master[[#This Row],[ChecklistID]]+Master[[#This Row],[Checklist Order]]</f>
        <v>32008</v>
      </c>
      <c r="C186" s="22"/>
      <c r="D186" s="3" t="str" cm="1">
        <f t="array" aca="1" ref="D186" ca="1">_xlfn.SWITCH(MID(Master[[#This Row],[Checklist]],1,4),"C - ","Civil","F - ","Foundation","ST -","Structure","FC -","Façade","PRE ","Pre-Line","POST","Post-Line","H - ","Handover","S - ","Services","CST ","Completion Docs", "I - ", "Inspection")</f>
        <v>Structure</v>
      </c>
      <c r="E186" s="23" t="str">
        <f ca="1">IF(NOT(ISERROR(SEARCH("- S -", Master[[#This Row],[Checklist]]))), "Subcontractor",IF(NOT(ISERROR(SEARCH("- R -", Master[[#This Row],[Checklist]]))), "Ryman",IF(NOT(ISERROR(SEARCH("- C -", Master[[#This Row],[Checklist]]))), "Consultant",IF(NOT(ISERROR(SEARCH("- I -", Master[[#This Row],[Checklist]]))),  "Inspection Test Plan", "Naming Error"))))</f>
        <v>Ryman</v>
      </c>
      <c r="F186" s="24" t="str">
        <f ca="1">IF(OR(Master[[#This Row],[Type]]="checklist", Master[[#This Row],[Type]]="checklist-flat"), Master[[#This Row],[Name]], F185)</f>
        <v>ST - R - Structural Steel Installation</v>
      </c>
      <c r="G186" s="15" t="s">
        <v>66</v>
      </c>
      <c r="H186" s="32" t="s">
        <v>410</v>
      </c>
      <c r="I186" s="3"/>
      <c r="J186" s="21">
        <f ca="1">_xlfn.XLOOKUP(Master[[#This Row],[Checklist]],Ref!A:A,Ref!B:B)*1000</f>
        <v>32000</v>
      </c>
      <c r="K186" s="21">
        <f ca="1">COUNTIF($J$2:Master[[#This Row],[ChecklistID]],Master[[#This Row],[ChecklistID]])-1</f>
        <v>8</v>
      </c>
      <c r="L186" s="23" t="s">
        <v>6</v>
      </c>
    </row>
    <row r="187" spans="1:12" ht="15.75">
      <c r="A187" s="23">
        <f t="shared" si="2"/>
        <v>186</v>
      </c>
      <c r="B187" s="21">
        <f ca="1">Master[[#This Row],[ChecklistID]]+Master[[#This Row],[Checklist Order]]</f>
        <v>32009</v>
      </c>
      <c r="C187" s="22"/>
      <c r="D187" s="3" t="str" cm="1">
        <f t="array" aca="1" ref="D187" ca="1">_xlfn.SWITCH(MID(Master[[#This Row],[Checklist]],1,4),"C - ","Civil","F - ","Foundation","ST -","Structure","FC -","Façade","PRE ","Pre-Line","POST","Post-Line","H - ","Handover","S - ","Services","CST ","Completion Docs", "I - ", "Inspection")</f>
        <v>Structure</v>
      </c>
      <c r="E187" s="23" t="str">
        <f ca="1">IF(NOT(ISERROR(SEARCH("- S -", Master[[#This Row],[Checklist]]))), "Subcontractor",IF(NOT(ISERROR(SEARCH("- R -", Master[[#This Row],[Checklist]]))), "Ryman",IF(NOT(ISERROR(SEARCH("- C -", Master[[#This Row],[Checklist]]))), "Consultant",IF(NOT(ISERROR(SEARCH("- I -", Master[[#This Row],[Checklist]]))),  "Inspection Test Plan", "Naming Error"))))</f>
        <v>Ryman</v>
      </c>
      <c r="F187" s="24" t="str">
        <f ca="1">IF(OR(Master[[#This Row],[Type]]="checklist", Master[[#This Row],[Type]]="checklist-flat"), Master[[#This Row],[Name]], F186)</f>
        <v>ST - R - Structural Steel Installation</v>
      </c>
      <c r="G187" s="15" t="s">
        <v>49</v>
      </c>
      <c r="H187" s="32" t="s">
        <v>408</v>
      </c>
      <c r="I187" s="3"/>
      <c r="J187" s="21">
        <f ca="1">_xlfn.XLOOKUP(Master[[#This Row],[Checklist]],Ref!A:A,Ref!B:B)*1000</f>
        <v>32000</v>
      </c>
      <c r="K187" s="21">
        <f ca="1">COUNTIF($J$2:Master[[#This Row],[ChecklistID]],Master[[#This Row],[ChecklistID]])-1</f>
        <v>9</v>
      </c>
      <c r="L187" s="23" t="s">
        <v>6</v>
      </c>
    </row>
    <row r="188" spans="1:12" ht="15.75">
      <c r="A188" s="23">
        <f t="shared" si="2"/>
        <v>187</v>
      </c>
      <c r="B188" s="21">
        <f ca="1">Master[[#This Row],[ChecklistID]]+Master[[#This Row],[Checklist Order]]</f>
        <v>32010</v>
      </c>
      <c r="C188" s="22"/>
      <c r="D188" s="3" t="str" cm="1">
        <f t="array" aca="1" ref="D188" ca="1">_xlfn.SWITCH(MID(Master[[#This Row],[Checklist]],1,4),"C - ","Civil","F - ","Foundation","ST -","Structure","FC -","Façade","PRE ","Pre-Line","POST","Post-Line","H - ","Handover","S - ","Services","CST ","Completion Docs", "I - ", "Inspection")</f>
        <v>Structure</v>
      </c>
      <c r="E188" s="23" t="str">
        <f ca="1">IF(NOT(ISERROR(SEARCH("- S -", Master[[#This Row],[Checklist]]))), "Subcontractor",IF(NOT(ISERROR(SEARCH("- R -", Master[[#This Row],[Checklist]]))), "Ryman",IF(NOT(ISERROR(SEARCH("- C -", Master[[#This Row],[Checklist]]))), "Consultant",IF(NOT(ISERROR(SEARCH("- I -", Master[[#This Row],[Checklist]]))),  "Inspection Test Plan", "Naming Error"))))</f>
        <v>Ryman</v>
      </c>
      <c r="F188" s="24" t="str">
        <f ca="1">IF(OR(Master[[#This Row],[Type]]="checklist", Master[[#This Row],[Type]]="checklist-flat"), Master[[#This Row],[Name]], F187)</f>
        <v>ST - R - Structural Steel Installation</v>
      </c>
      <c r="G188" s="15" t="s">
        <v>49</v>
      </c>
      <c r="H188" s="32" t="s">
        <v>1264</v>
      </c>
      <c r="I188" s="3"/>
      <c r="J188" s="21">
        <f ca="1">_xlfn.XLOOKUP(Master[[#This Row],[Checklist]],Ref!A:A,Ref!B:B)*1000</f>
        <v>32000</v>
      </c>
      <c r="K188" s="21">
        <f ca="1">COUNTIF($J$2:Master[[#This Row],[ChecklistID]],Master[[#This Row],[ChecklistID]])-1</f>
        <v>10</v>
      </c>
      <c r="L188" s="23" t="s">
        <v>6</v>
      </c>
    </row>
    <row r="189" spans="1:12" ht="15.75">
      <c r="A189" s="23">
        <f t="shared" si="2"/>
        <v>188</v>
      </c>
      <c r="B189" s="21">
        <f ca="1">Master[[#This Row],[ChecklistID]]+Master[[#This Row],[Checklist Order]]</f>
        <v>32011</v>
      </c>
      <c r="C189" s="22"/>
      <c r="D189" s="3" t="str" cm="1">
        <f t="array" aca="1" ref="D189" ca="1">_xlfn.SWITCH(MID(Master[[#This Row],[Checklist]],1,4),"C - ","Civil","F - ","Foundation","ST -","Structure","FC -","Façade","PRE ","Pre-Line","POST","Post-Line","H - ","Handover","S - ","Services","CST ","Completion Docs", "I - ", "Inspection")</f>
        <v>Structure</v>
      </c>
      <c r="E189" s="23" t="str">
        <f ca="1">IF(NOT(ISERROR(SEARCH("- S -", Master[[#This Row],[Checklist]]))), "Subcontractor",IF(NOT(ISERROR(SEARCH("- R -", Master[[#This Row],[Checklist]]))), "Ryman",IF(NOT(ISERROR(SEARCH("- C -", Master[[#This Row],[Checklist]]))), "Consultant",IF(NOT(ISERROR(SEARCH("- I -", Master[[#This Row],[Checklist]]))),  "Inspection Test Plan", "Naming Error"))))</f>
        <v>Ryman</v>
      </c>
      <c r="F189" s="24" t="str">
        <f ca="1">IF(OR(Master[[#This Row],[Type]]="checklist", Master[[#This Row],[Type]]="checklist-flat"), Master[[#This Row],[Name]], F188)</f>
        <v>ST - R - Structural Steel Installation</v>
      </c>
      <c r="G189" s="15" t="s">
        <v>58</v>
      </c>
      <c r="H189" s="32" t="s">
        <v>306</v>
      </c>
      <c r="I189" s="3"/>
      <c r="J189" s="21">
        <f ca="1">_xlfn.XLOOKUP(Master[[#This Row],[Checklist]],Ref!A:A,Ref!B:B)*1000</f>
        <v>32000</v>
      </c>
      <c r="K189" s="21">
        <f ca="1">COUNTIF($J$2:Master[[#This Row],[ChecklistID]],Master[[#This Row],[ChecklistID]])-1</f>
        <v>11</v>
      </c>
      <c r="L189" s="23" t="s">
        <v>6</v>
      </c>
    </row>
    <row r="190" spans="1:12" ht="15.75">
      <c r="A190" s="23">
        <f t="shared" si="2"/>
        <v>189</v>
      </c>
      <c r="B190" s="21">
        <f ca="1">Master[[#This Row],[ChecklistID]]+Master[[#This Row],[Checklist Order]]</f>
        <v>32012</v>
      </c>
      <c r="C190" s="22"/>
      <c r="D190" s="3" t="str" cm="1">
        <f t="array" aca="1" ref="D190" ca="1">_xlfn.SWITCH(MID(Master[[#This Row],[Checklist]],1,4),"C - ","Civil","F - ","Foundation","ST -","Structure","FC -","Façade","PRE ","Pre-Line","POST","Post-Line","H - ","Handover","S - ","Services","CST ","Completion Docs", "I - ", "Inspection")</f>
        <v>Structure</v>
      </c>
      <c r="E190" s="23" t="str">
        <f ca="1">IF(NOT(ISERROR(SEARCH("- S -", Master[[#This Row],[Checklist]]))), "Subcontractor",IF(NOT(ISERROR(SEARCH("- R -", Master[[#This Row],[Checklist]]))), "Ryman",IF(NOT(ISERROR(SEARCH("- C -", Master[[#This Row],[Checklist]]))), "Consultant",IF(NOT(ISERROR(SEARCH("- I -", Master[[#This Row],[Checklist]]))),  "Inspection Test Plan", "Naming Error"))))</f>
        <v>Ryman</v>
      </c>
      <c r="F190" s="24" t="str">
        <f ca="1">IF(OR(Master[[#This Row],[Type]]="checklist", Master[[#This Row],[Type]]="checklist-flat"), Master[[#This Row],[Name]], F189)</f>
        <v>ST - R - Structural Steel Installation</v>
      </c>
      <c r="G190" s="15" t="s">
        <v>49</v>
      </c>
      <c r="H190" s="32" t="s">
        <v>380</v>
      </c>
      <c r="I190" s="3"/>
      <c r="J190" s="21">
        <f ca="1">_xlfn.XLOOKUP(Master[[#This Row],[Checklist]],Ref!A:A,Ref!B:B)*1000</f>
        <v>32000</v>
      </c>
      <c r="K190" s="21">
        <f ca="1">COUNTIF($J$2:Master[[#This Row],[ChecklistID]],Master[[#This Row],[ChecklistID]])-1</f>
        <v>12</v>
      </c>
      <c r="L190" s="23" t="s">
        <v>6</v>
      </c>
    </row>
    <row r="191" spans="1:12" ht="15.75">
      <c r="A191" s="23">
        <f t="shared" si="2"/>
        <v>190</v>
      </c>
      <c r="B191" s="21">
        <f ca="1">Master[[#This Row],[ChecklistID]]+Master[[#This Row],[Checklist Order]]</f>
        <v>33000</v>
      </c>
      <c r="C191" s="22"/>
      <c r="D191" s="3" t="str" cm="1">
        <f t="array" aca="1" ref="D191" ca="1">_xlfn.SWITCH(MID(Master[[#This Row],[Checklist]],1,4),"C - ","Civil","F - ","Foundation","ST -","Structure","FC -","Façade","PRE ","Pre-Line","POST","Post-Line","H - ","Handover","S - ","Services","CST ","Completion Docs", "I - ", "Inspection")</f>
        <v>Structure</v>
      </c>
      <c r="E191" s="23" t="str">
        <f ca="1">IF(NOT(ISERROR(SEARCH("- S -", Master[[#This Row],[Checklist]]))), "Subcontractor",IF(NOT(ISERROR(SEARCH("- R -", Master[[#This Row],[Checklist]]))), "Ryman",IF(NOT(ISERROR(SEARCH("- C -", Master[[#This Row],[Checklist]]))), "Consultant",IF(NOT(ISERROR(SEARCH("- I -", Master[[#This Row],[Checklist]]))),  "Inspection Test Plan", "Naming Error"))))</f>
        <v>Ryman</v>
      </c>
      <c r="F191" s="24" t="str">
        <f ca="1">IF(OR(Master[[#This Row],[Type]]="checklist", Master[[#This Row],[Type]]="checklist-flat"), Master[[#This Row],[Name]], F190)</f>
        <v>ST - R - Timber Framing</v>
      </c>
      <c r="G191" s="3" t="s">
        <v>48</v>
      </c>
      <c r="H191" s="32" t="s">
        <v>1347</v>
      </c>
      <c r="I191" s="3"/>
      <c r="J191" s="21">
        <f ca="1">_xlfn.XLOOKUP(Master[[#This Row],[Checklist]],Ref!A:A,Ref!B:B)*1000</f>
        <v>33000</v>
      </c>
      <c r="K191" s="21">
        <f ca="1">COUNTIF($J$2:Master[[#This Row],[ChecklistID]],Master[[#This Row],[ChecklistID]])-1</f>
        <v>0</v>
      </c>
      <c r="L191" s="23" t="s">
        <v>6</v>
      </c>
    </row>
    <row r="192" spans="1:12" ht="15.75">
      <c r="A192" s="23">
        <f t="shared" si="2"/>
        <v>191</v>
      </c>
      <c r="B192" s="21">
        <f ca="1">Master[[#This Row],[ChecklistID]]+Master[[#This Row],[Checklist Order]]</f>
        <v>33001</v>
      </c>
      <c r="C192" s="22"/>
      <c r="D192" s="3" t="str" cm="1">
        <f t="array" aca="1" ref="D192" ca="1">_xlfn.SWITCH(MID(Master[[#This Row],[Checklist]],1,4),"C - ","Civil","F - ","Foundation","ST -","Structure","FC -","Façade","PRE ","Pre-Line","POST","Post-Line","H - ","Handover","S - ","Services","CST ","Completion Docs", "I - ", "Inspection")</f>
        <v>Structure</v>
      </c>
      <c r="E192" s="23" t="str">
        <f ca="1">IF(NOT(ISERROR(SEARCH("- S -", Master[[#This Row],[Checklist]]))), "Subcontractor",IF(NOT(ISERROR(SEARCH("- R -", Master[[#This Row],[Checklist]]))), "Ryman",IF(NOT(ISERROR(SEARCH("- C -", Master[[#This Row],[Checklist]]))), "Consultant",IF(NOT(ISERROR(SEARCH("- I -", Master[[#This Row],[Checklist]]))),  "Inspection Test Plan", "Naming Error"))))</f>
        <v>Ryman</v>
      </c>
      <c r="F192" s="24" t="str">
        <f ca="1">IF(OR(Master[[#This Row],[Type]]="checklist", Master[[#This Row],[Type]]="checklist-flat"), Master[[#This Row],[Name]], F191)</f>
        <v>ST - R - Timber Framing</v>
      </c>
      <c r="G192" s="15" t="s">
        <v>49</v>
      </c>
      <c r="H192" s="32" t="s">
        <v>1263</v>
      </c>
      <c r="I192" s="3"/>
      <c r="J192" s="21">
        <f ca="1">_xlfn.XLOOKUP(Master[[#This Row],[Checklist]],Ref!A:A,Ref!B:B)*1000</f>
        <v>33000</v>
      </c>
      <c r="K192" s="21">
        <f ca="1">COUNTIF($J$2:Master[[#This Row],[ChecklistID]],Master[[#This Row],[ChecklistID]])-1</f>
        <v>1</v>
      </c>
      <c r="L192" s="23" t="s">
        <v>6</v>
      </c>
    </row>
    <row r="193" spans="1:12" ht="15.75">
      <c r="A193" s="23">
        <f t="shared" si="2"/>
        <v>192</v>
      </c>
      <c r="B193" s="21">
        <f ca="1">Master[[#This Row],[ChecklistID]]+Master[[#This Row],[Checklist Order]]</f>
        <v>33002</v>
      </c>
      <c r="C193" s="22"/>
      <c r="D193" s="3" t="str" cm="1">
        <f t="array" aca="1" ref="D193" ca="1">_xlfn.SWITCH(MID(Master[[#This Row],[Checklist]],1,4),"C - ","Civil","F - ","Foundation","ST -","Structure","FC -","Façade","PRE ","Pre-Line","POST","Post-Line","H - ","Handover","S - ","Services","CST ","Completion Docs", "I - ", "Inspection")</f>
        <v>Structure</v>
      </c>
      <c r="E193" s="23" t="str">
        <f ca="1">IF(NOT(ISERROR(SEARCH("- S -", Master[[#This Row],[Checklist]]))), "Subcontractor",IF(NOT(ISERROR(SEARCH("- R -", Master[[#This Row],[Checklist]]))), "Ryman",IF(NOT(ISERROR(SEARCH("- C -", Master[[#This Row],[Checklist]]))), "Consultant",IF(NOT(ISERROR(SEARCH("- I -", Master[[#This Row],[Checklist]]))),  "Inspection Test Plan", "Naming Error"))))</f>
        <v>Ryman</v>
      </c>
      <c r="F193" s="24" t="str">
        <f ca="1">IF(OR(Master[[#This Row],[Type]]="checklist", Master[[#This Row],[Type]]="checklist-flat"), Master[[#This Row],[Name]], F192)</f>
        <v>ST - R - Timber Framing</v>
      </c>
      <c r="G193" s="15" t="s">
        <v>49</v>
      </c>
      <c r="H193" s="32" t="s">
        <v>1264</v>
      </c>
      <c r="I193" s="3"/>
      <c r="J193" s="21">
        <f ca="1">_xlfn.XLOOKUP(Master[[#This Row],[Checklist]],Ref!A:A,Ref!B:B)*1000</f>
        <v>33000</v>
      </c>
      <c r="K193" s="21">
        <f ca="1">COUNTIF($J$2:Master[[#This Row],[ChecklistID]],Master[[#This Row],[ChecklistID]])-1</f>
        <v>2</v>
      </c>
      <c r="L193" s="23" t="s">
        <v>6</v>
      </c>
    </row>
    <row r="194" spans="1:12" ht="15.75">
      <c r="A194" s="23">
        <f t="shared" ref="A194:A257" si="3">IFERROR(A193+1,1)</f>
        <v>193</v>
      </c>
      <c r="B194" s="21">
        <f ca="1">Master[[#This Row],[ChecklistID]]+Master[[#This Row],[Checklist Order]]</f>
        <v>33003</v>
      </c>
      <c r="C194" s="22"/>
      <c r="D194" s="3" t="str" cm="1">
        <f t="array" aca="1" ref="D194" ca="1">_xlfn.SWITCH(MID(Master[[#This Row],[Checklist]],1,4),"C - ","Civil","F - ","Foundation","ST -","Structure","FC -","Façade","PRE ","Pre-Line","POST","Post-Line","H - ","Handover","S - ","Services","CST ","Completion Docs", "I - ", "Inspection")</f>
        <v>Structure</v>
      </c>
      <c r="E194" s="23" t="str">
        <f ca="1">IF(NOT(ISERROR(SEARCH("- S -", Master[[#This Row],[Checklist]]))), "Subcontractor",IF(NOT(ISERROR(SEARCH("- R -", Master[[#This Row],[Checklist]]))), "Ryman",IF(NOT(ISERROR(SEARCH("- C -", Master[[#This Row],[Checklist]]))), "Consultant",IF(NOT(ISERROR(SEARCH("- I -", Master[[#This Row],[Checklist]]))),  "Inspection Test Plan", "Naming Error"))))</f>
        <v>Ryman</v>
      </c>
      <c r="F194" s="24" t="str">
        <f ca="1">IF(OR(Master[[#This Row],[Type]]="checklist", Master[[#This Row],[Type]]="checklist-flat"), Master[[#This Row],[Name]], F193)</f>
        <v>ST - R - Timber Framing</v>
      </c>
      <c r="G194" s="15" t="s">
        <v>58</v>
      </c>
      <c r="H194" s="32" t="s">
        <v>306</v>
      </c>
      <c r="I194" s="3"/>
      <c r="J194" s="21">
        <f ca="1">_xlfn.XLOOKUP(Master[[#This Row],[Checklist]],Ref!A:A,Ref!B:B)*1000</f>
        <v>33000</v>
      </c>
      <c r="K194" s="21">
        <f ca="1">COUNTIF($J$2:Master[[#This Row],[ChecklistID]],Master[[#This Row],[ChecklistID]])-1</f>
        <v>3</v>
      </c>
      <c r="L194" s="23" t="s">
        <v>6</v>
      </c>
    </row>
    <row r="195" spans="1:12" ht="15.75">
      <c r="A195" s="23">
        <f t="shared" si="3"/>
        <v>194</v>
      </c>
      <c r="B195" s="21">
        <f ca="1">Master[[#This Row],[ChecklistID]]+Master[[#This Row],[Checklist Order]]</f>
        <v>33004</v>
      </c>
      <c r="C195" s="22"/>
      <c r="D195" s="3" t="str" cm="1">
        <f t="array" aca="1" ref="D195" ca="1">_xlfn.SWITCH(MID(Master[[#This Row],[Checklist]],1,4),"C - ","Civil","F - ","Foundation","ST -","Structure","FC -","Façade","PRE ","Pre-Line","POST","Post-Line","H - ","Handover","S - ","Services","CST ","Completion Docs", "I - ", "Inspection")</f>
        <v>Structure</v>
      </c>
      <c r="E195" s="23" t="str">
        <f ca="1">IF(NOT(ISERROR(SEARCH("- S -", Master[[#This Row],[Checklist]]))), "Subcontractor",IF(NOT(ISERROR(SEARCH("- R -", Master[[#This Row],[Checklist]]))), "Ryman",IF(NOT(ISERROR(SEARCH("- C -", Master[[#This Row],[Checklist]]))), "Consultant",IF(NOT(ISERROR(SEARCH("- I -", Master[[#This Row],[Checklist]]))),  "Inspection Test Plan", "Naming Error"))))</f>
        <v>Ryman</v>
      </c>
      <c r="F195" s="24" t="str">
        <f ca="1">IF(OR(Master[[#This Row],[Type]]="checklist", Master[[#This Row],[Type]]="checklist-flat"), Master[[#This Row],[Name]], F194)</f>
        <v>ST - R - Timber Framing</v>
      </c>
      <c r="G195" s="15" t="s">
        <v>49</v>
      </c>
      <c r="H195" s="32" t="s">
        <v>576</v>
      </c>
      <c r="I195" s="3"/>
      <c r="J195" s="21">
        <f ca="1">_xlfn.XLOOKUP(Master[[#This Row],[Checklist]],Ref!A:A,Ref!B:B)*1000</f>
        <v>33000</v>
      </c>
      <c r="K195" s="21">
        <f ca="1">COUNTIF($J$2:Master[[#This Row],[ChecklistID]],Master[[#This Row],[ChecklistID]])-1</f>
        <v>4</v>
      </c>
      <c r="L195" s="23" t="s">
        <v>6</v>
      </c>
    </row>
    <row r="196" spans="1:12" ht="15.75">
      <c r="A196" s="23">
        <f t="shared" si="3"/>
        <v>195</v>
      </c>
      <c r="B196" s="21">
        <f ca="1">Master[[#This Row],[ChecklistID]]+Master[[#This Row],[Checklist Order]]</f>
        <v>34000</v>
      </c>
      <c r="C196" s="22"/>
      <c r="D196" s="3" t="str" cm="1">
        <f t="array" aca="1" ref="D196" ca="1">_xlfn.SWITCH(MID(Master[[#This Row],[Checklist]],1,4),"C - ","Civil","F - ","Foundation","ST -","Structure","FC -","Façade","PRE ","Pre-Line","POST","Post-Line","H - ","Handover","S - ","Services","CST ","Completion Docs", "I - ", "Inspection")</f>
        <v>Façade</v>
      </c>
      <c r="E196" s="23" t="str">
        <f ca="1">IF(NOT(ISERROR(SEARCH("- S -", Master[[#This Row],[Checklist]]))), "Subcontractor",IF(NOT(ISERROR(SEARCH("- R -", Master[[#This Row],[Checklist]]))), "Ryman",IF(NOT(ISERROR(SEARCH("- C -", Master[[#This Row],[Checklist]]))), "Consultant",IF(NOT(ISERROR(SEARCH("- I -", Master[[#This Row],[Checklist]]))),  "Inspection Test Plan", "Naming Error"))))</f>
        <v>Ryman</v>
      </c>
      <c r="F196" s="24" t="str">
        <f ca="1">IF(OR(Master[[#This Row],[Type]]="checklist", Master[[#This Row],[Type]]="checklist-flat"), Master[[#This Row],[Name]], F195)</f>
        <v>FC - R - Anchor Points - Anchor Point Installation</v>
      </c>
      <c r="G196" s="3" t="s">
        <v>48</v>
      </c>
      <c r="H196" s="24" t="s">
        <v>1348</v>
      </c>
      <c r="I196" s="3"/>
      <c r="J196" s="21">
        <f ca="1">_xlfn.XLOOKUP(Master[[#This Row],[Checklist]],Ref!A:A,Ref!B:B)*1000</f>
        <v>34000</v>
      </c>
      <c r="K196" s="21">
        <f ca="1">COUNTIF($J$2:Master[[#This Row],[ChecklistID]],Master[[#This Row],[ChecklistID]])-1</f>
        <v>0</v>
      </c>
      <c r="L196" s="23" t="s">
        <v>6</v>
      </c>
    </row>
    <row r="197" spans="1:12" ht="31.5">
      <c r="A197" s="23">
        <f t="shared" si="3"/>
        <v>196</v>
      </c>
      <c r="B197" s="21">
        <f ca="1">Master[[#This Row],[ChecklistID]]+Master[[#This Row],[Checklist Order]]</f>
        <v>34001</v>
      </c>
      <c r="C197" s="22"/>
      <c r="D197" s="3" t="str" cm="1">
        <f t="array" aca="1" ref="D197" ca="1">_xlfn.SWITCH(MID(Master[[#This Row],[Checklist]],1,4),"C - ","Civil","F - ","Foundation","ST -","Structure","FC -","Façade","PRE ","Pre-Line","POST","Post-Line","H - ","Handover","S - ","Services","CST ","Completion Docs", "I - ", "Inspection")</f>
        <v>Façade</v>
      </c>
      <c r="E197" s="23" t="str">
        <f ca="1">IF(NOT(ISERROR(SEARCH("- S -", Master[[#This Row],[Checklist]]))), "Subcontractor",IF(NOT(ISERROR(SEARCH("- R -", Master[[#This Row],[Checklist]]))), "Ryman",IF(NOT(ISERROR(SEARCH("- C -", Master[[#This Row],[Checklist]]))), "Consultant",IF(NOT(ISERROR(SEARCH("- I -", Master[[#This Row],[Checklist]]))),  "Inspection Test Plan", "Naming Error"))))</f>
        <v>Ryman</v>
      </c>
      <c r="F197" s="24" t="str">
        <f ca="1">IF(OR(Master[[#This Row],[Type]]="checklist", Master[[#This Row],[Type]]="checklist-flat"), Master[[#This Row],[Name]], F196)</f>
        <v>FC - R - Anchor Points - Anchor Point Installation</v>
      </c>
      <c r="G197" s="3" t="s">
        <v>49</v>
      </c>
      <c r="H197" s="25" t="s">
        <v>1263</v>
      </c>
      <c r="I197" s="3"/>
      <c r="J197" s="21">
        <f ca="1">_xlfn.XLOOKUP(Master[[#This Row],[Checklist]],Ref!A:A,Ref!B:B)*1000</f>
        <v>34000</v>
      </c>
      <c r="K197" s="21">
        <f ca="1">COUNTIF($J$2:Master[[#This Row],[ChecklistID]],Master[[#This Row],[ChecklistID]])-1</f>
        <v>1</v>
      </c>
      <c r="L197" s="23" t="s">
        <v>6</v>
      </c>
    </row>
    <row r="198" spans="1:12" ht="15.75">
      <c r="A198" s="23">
        <f t="shared" si="3"/>
        <v>197</v>
      </c>
      <c r="B198" s="21">
        <f ca="1">Master[[#This Row],[ChecklistID]]+Master[[#This Row],[Checklist Order]]</f>
        <v>34002</v>
      </c>
      <c r="C198" s="22"/>
      <c r="D198" s="3" t="str" cm="1">
        <f t="array" aca="1" ref="D198" ca="1">_xlfn.SWITCH(MID(Master[[#This Row],[Checklist]],1,4),"C - ","Civil","F - ","Foundation","ST -","Structure","FC -","Façade","PRE ","Pre-Line","POST","Post-Line","H - ","Handover","S - ","Services","CST ","Completion Docs", "I - ", "Inspection")</f>
        <v>Façade</v>
      </c>
      <c r="E198" s="23" t="str">
        <f ca="1">IF(NOT(ISERROR(SEARCH("- S -", Master[[#This Row],[Checklist]]))), "Subcontractor",IF(NOT(ISERROR(SEARCH("- R -", Master[[#This Row],[Checklist]]))), "Ryman",IF(NOT(ISERROR(SEARCH("- C -", Master[[#This Row],[Checklist]]))), "Consultant",IF(NOT(ISERROR(SEARCH("- I -", Master[[#This Row],[Checklist]]))),  "Inspection Test Plan", "Naming Error"))))</f>
        <v>Ryman</v>
      </c>
      <c r="F198" s="24" t="str">
        <f ca="1">IF(OR(Master[[#This Row],[Type]]="checklist", Master[[#This Row],[Type]]="checklist-flat"), Master[[#This Row],[Name]], F197)</f>
        <v>FC - R - Anchor Points - Anchor Point Installation</v>
      </c>
      <c r="G198" s="3" t="s">
        <v>49</v>
      </c>
      <c r="H198" s="24" t="s">
        <v>1264</v>
      </c>
      <c r="I198" s="3"/>
      <c r="J198" s="21">
        <f ca="1">_xlfn.XLOOKUP(Master[[#This Row],[Checklist]],Ref!A:A,Ref!B:B)*1000</f>
        <v>34000</v>
      </c>
      <c r="K198" s="21">
        <f ca="1">COUNTIF($J$2:Master[[#This Row],[ChecklistID]],Master[[#This Row],[ChecklistID]])-1</f>
        <v>2</v>
      </c>
      <c r="L198" s="23" t="s">
        <v>6</v>
      </c>
    </row>
    <row r="199" spans="1:12" ht="15.75">
      <c r="A199" s="23">
        <f t="shared" si="3"/>
        <v>198</v>
      </c>
      <c r="B199" s="21">
        <f ca="1">Master[[#This Row],[ChecklistID]]+Master[[#This Row],[Checklist Order]]</f>
        <v>34003</v>
      </c>
      <c r="C199" s="22"/>
      <c r="D199" s="3" t="str" cm="1">
        <f t="array" aca="1" ref="D199" ca="1">_xlfn.SWITCH(MID(Master[[#This Row],[Checklist]],1,4),"C - ","Civil","F - ","Foundation","ST -","Structure","FC -","Façade","PRE ","Pre-Line","POST","Post-Line","H - ","Handover","S - ","Services","CST ","Completion Docs", "I - ", "Inspection")</f>
        <v>Façade</v>
      </c>
      <c r="E199" s="23" t="str">
        <f ca="1">IF(NOT(ISERROR(SEARCH("- S -", Master[[#This Row],[Checklist]]))), "Subcontractor",IF(NOT(ISERROR(SEARCH("- R -", Master[[#This Row],[Checklist]]))), "Ryman",IF(NOT(ISERROR(SEARCH("- C -", Master[[#This Row],[Checklist]]))), "Consultant",IF(NOT(ISERROR(SEARCH("- I -", Master[[#This Row],[Checklist]]))),  "Inspection Test Plan", "Naming Error"))))</f>
        <v>Ryman</v>
      </c>
      <c r="F199" s="24" t="str">
        <f ca="1">IF(OR(Master[[#This Row],[Type]]="checklist", Master[[#This Row],[Type]]="checklist-flat"), Master[[#This Row],[Name]], F198)</f>
        <v>FC - R - Anchor Points - Anchor Point Installation</v>
      </c>
      <c r="G199" s="3" t="s">
        <v>58</v>
      </c>
      <c r="H199" s="24" t="s">
        <v>306</v>
      </c>
      <c r="I199" s="3"/>
      <c r="J199" s="21">
        <f ca="1">_xlfn.XLOOKUP(Master[[#This Row],[Checklist]],Ref!A:A,Ref!B:B)*1000</f>
        <v>34000</v>
      </c>
      <c r="K199" s="21">
        <f ca="1">COUNTIF($J$2:Master[[#This Row],[ChecklistID]],Master[[#This Row],[ChecklistID]])-1</f>
        <v>3</v>
      </c>
      <c r="L199" s="23" t="s">
        <v>6</v>
      </c>
    </row>
    <row r="200" spans="1:12" ht="15.75">
      <c r="A200" s="23">
        <f t="shared" si="3"/>
        <v>199</v>
      </c>
      <c r="B200" s="21">
        <f ca="1">Master[[#This Row],[ChecklistID]]+Master[[#This Row],[Checklist Order]]</f>
        <v>34004</v>
      </c>
      <c r="C200" s="22"/>
      <c r="D200" s="3" t="str" cm="1">
        <f t="array" aca="1" ref="D200" ca="1">_xlfn.SWITCH(MID(Master[[#This Row],[Checklist]],1,4),"C - ","Civil","F - ","Foundation","ST -","Structure","FC -","Façade","PRE ","Pre-Line","POST","Post-Line","H - ","Handover","S - ","Services","CST ","Completion Docs", "I - ", "Inspection")</f>
        <v>Façade</v>
      </c>
      <c r="E200" s="23" t="str">
        <f ca="1">IF(NOT(ISERROR(SEARCH("- S -", Master[[#This Row],[Checklist]]))), "Subcontractor",IF(NOT(ISERROR(SEARCH("- R -", Master[[#This Row],[Checklist]]))), "Ryman",IF(NOT(ISERROR(SEARCH("- C -", Master[[#This Row],[Checklist]]))), "Consultant",IF(NOT(ISERROR(SEARCH("- I -", Master[[#This Row],[Checklist]]))),  "Inspection Test Plan", "Naming Error"))))</f>
        <v>Ryman</v>
      </c>
      <c r="F200" s="24" t="str">
        <f ca="1">IF(OR(Master[[#This Row],[Type]]="checklist", Master[[#This Row],[Type]]="checklist-flat"), Master[[#This Row],[Name]], F199)</f>
        <v>FC - R - Anchor Points - Anchor Point Installation</v>
      </c>
      <c r="G200" s="3" t="s">
        <v>49</v>
      </c>
      <c r="H200" s="24" t="s">
        <v>462</v>
      </c>
      <c r="I200" s="3"/>
      <c r="J200" s="21">
        <f ca="1">_xlfn.XLOOKUP(Master[[#This Row],[Checklist]],Ref!A:A,Ref!B:B)*1000</f>
        <v>34000</v>
      </c>
      <c r="K200" s="21">
        <f ca="1">COUNTIF($J$2:Master[[#This Row],[ChecklistID]],Master[[#This Row],[ChecklistID]])-1</f>
        <v>4</v>
      </c>
      <c r="L200" s="23" t="s">
        <v>6</v>
      </c>
    </row>
    <row r="201" spans="1:12" ht="15.75">
      <c r="A201" s="23">
        <f t="shared" si="3"/>
        <v>200</v>
      </c>
      <c r="B201" s="21">
        <f ca="1">Master[[#This Row],[ChecklistID]]+Master[[#This Row],[Checklist Order]]</f>
        <v>35000</v>
      </c>
      <c r="C201" s="22"/>
      <c r="D201" s="3" t="str" cm="1">
        <f t="array" aca="1" ref="D201" ca="1">_xlfn.SWITCH(MID(Master[[#This Row],[Checklist]],1,4),"C - ","Civil","F - ","Foundation","ST -","Structure","FC -","Façade","PRE ","Pre-Line","POST","Post-Line","H - ","Handover","S - ","Services","CST ","Completion Docs", "I - ", "Inspection")</f>
        <v>Façade</v>
      </c>
      <c r="E201" s="23" t="str">
        <f ca="1">IF(NOT(ISERROR(SEARCH("- S -", Master[[#This Row],[Checklist]]))), "Subcontractor",IF(NOT(ISERROR(SEARCH("- R -", Master[[#This Row],[Checklist]]))), "Ryman",IF(NOT(ISERROR(SEARCH("- C -", Master[[#This Row],[Checklist]]))), "Consultant",IF(NOT(ISERROR(SEARCH("- I -", Master[[#This Row],[Checklist]]))),  "Inspection Test Plan", "Naming Error"))))</f>
        <v>Ryman</v>
      </c>
      <c r="F201" s="24" t="str">
        <f ca="1">IF(OR(Master[[#This Row],[Type]]="checklist", Master[[#This Row],[Type]]="checklist-flat"), Master[[#This Row],[Name]], F200)</f>
        <v>FC - R - Anchor Points - Intermediate, Corner and End Plate Installation</v>
      </c>
      <c r="G201" s="3" t="s">
        <v>48</v>
      </c>
      <c r="H201" s="24" t="s">
        <v>1349</v>
      </c>
      <c r="I201" s="3"/>
      <c r="J201" s="21">
        <f ca="1">_xlfn.XLOOKUP(Master[[#This Row],[Checklist]],Ref!A:A,Ref!B:B)*1000</f>
        <v>35000</v>
      </c>
      <c r="K201" s="21">
        <f ca="1">COUNTIF($J$2:Master[[#This Row],[ChecklistID]],Master[[#This Row],[ChecklistID]])-1</f>
        <v>0</v>
      </c>
      <c r="L201" s="23" t="s">
        <v>6</v>
      </c>
    </row>
    <row r="202" spans="1:12" ht="31.5">
      <c r="A202" s="23">
        <f t="shared" si="3"/>
        <v>201</v>
      </c>
      <c r="B202" s="21">
        <f ca="1">Master[[#This Row],[ChecklistID]]+Master[[#This Row],[Checklist Order]]</f>
        <v>35001</v>
      </c>
      <c r="C202" s="22"/>
      <c r="D202" s="3" t="str" cm="1">
        <f t="array" aca="1" ref="D202" ca="1">_xlfn.SWITCH(MID(Master[[#This Row],[Checklist]],1,4),"C - ","Civil","F - ","Foundation","ST -","Structure","FC -","Façade","PRE ","Pre-Line","POST","Post-Line","H - ","Handover","S - ","Services","CST ","Completion Docs", "I - ", "Inspection")</f>
        <v>Façade</v>
      </c>
      <c r="E202" s="23" t="str">
        <f ca="1">IF(NOT(ISERROR(SEARCH("- S -", Master[[#This Row],[Checklist]]))), "Subcontractor",IF(NOT(ISERROR(SEARCH("- R -", Master[[#This Row],[Checklist]]))), "Ryman",IF(NOT(ISERROR(SEARCH("- C -", Master[[#This Row],[Checklist]]))), "Consultant",IF(NOT(ISERROR(SEARCH("- I -", Master[[#This Row],[Checklist]]))),  "Inspection Test Plan", "Naming Error"))))</f>
        <v>Ryman</v>
      </c>
      <c r="F202" s="24" t="str">
        <f ca="1">IF(OR(Master[[#This Row],[Type]]="checklist", Master[[#This Row],[Type]]="checklist-flat"), Master[[#This Row],[Name]], F201)</f>
        <v>FC - R - Anchor Points - Intermediate, Corner and End Plate Installation</v>
      </c>
      <c r="G202" s="3" t="s">
        <v>49</v>
      </c>
      <c r="H202" s="25" t="s">
        <v>1263</v>
      </c>
      <c r="I202" s="3"/>
      <c r="J202" s="21">
        <f ca="1">_xlfn.XLOOKUP(Master[[#This Row],[Checklist]],Ref!A:A,Ref!B:B)*1000</f>
        <v>35000</v>
      </c>
      <c r="K202" s="21">
        <f ca="1">COUNTIF($J$2:Master[[#This Row],[ChecklistID]],Master[[#This Row],[ChecklistID]])-1</f>
        <v>1</v>
      </c>
      <c r="L202" s="23" t="s">
        <v>6</v>
      </c>
    </row>
    <row r="203" spans="1:12" ht="15.75">
      <c r="A203" s="23">
        <f t="shared" si="3"/>
        <v>202</v>
      </c>
      <c r="B203" s="21">
        <f ca="1">Master[[#This Row],[ChecklistID]]+Master[[#This Row],[Checklist Order]]</f>
        <v>35002</v>
      </c>
      <c r="C203" s="22"/>
      <c r="D203" s="3" t="str" cm="1">
        <f t="array" aca="1" ref="D203" ca="1">_xlfn.SWITCH(MID(Master[[#This Row],[Checklist]],1,4),"C - ","Civil","F - ","Foundation","ST -","Structure","FC -","Façade","PRE ","Pre-Line","POST","Post-Line","H - ","Handover","S - ","Services","CST ","Completion Docs", "I - ", "Inspection")</f>
        <v>Façade</v>
      </c>
      <c r="E203" s="23" t="str">
        <f ca="1">IF(NOT(ISERROR(SEARCH("- S -", Master[[#This Row],[Checklist]]))), "Subcontractor",IF(NOT(ISERROR(SEARCH("- R -", Master[[#This Row],[Checklist]]))), "Ryman",IF(NOT(ISERROR(SEARCH("- C -", Master[[#This Row],[Checklist]]))), "Consultant",IF(NOT(ISERROR(SEARCH("- I -", Master[[#This Row],[Checklist]]))),  "Inspection Test Plan", "Naming Error"))))</f>
        <v>Ryman</v>
      </c>
      <c r="F203" s="24" t="str">
        <f ca="1">IF(OR(Master[[#This Row],[Type]]="checklist", Master[[#This Row],[Type]]="checklist-flat"), Master[[#This Row],[Name]], F202)</f>
        <v>FC - R - Anchor Points - Intermediate, Corner and End Plate Installation</v>
      </c>
      <c r="G203" s="3" t="s">
        <v>49</v>
      </c>
      <c r="H203" s="24" t="s">
        <v>1264</v>
      </c>
      <c r="I203" s="3"/>
      <c r="J203" s="21">
        <f ca="1">_xlfn.XLOOKUP(Master[[#This Row],[Checklist]],Ref!A:A,Ref!B:B)*1000</f>
        <v>35000</v>
      </c>
      <c r="K203" s="21">
        <f ca="1">COUNTIF($J$2:Master[[#This Row],[ChecklistID]],Master[[#This Row],[ChecklistID]])-1</f>
        <v>2</v>
      </c>
      <c r="L203" s="23" t="s">
        <v>6</v>
      </c>
    </row>
    <row r="204" spans="1:12" ht="15.75">
      <c r="A204" s="23">
        <f t="shared" si="3"/>
        <v>203</v>
      </c>
      <c r="B204" s="21">
        <f ca="1">Master[[#This Row],[ChecklistID]]+Master[[#This Row],[Checklist Order]]</f>
        <v>35003</v>
      </c>
      <c r="C204" s="22"/>
      <c r="D204" s="3" t="str" cm="1">
        <f t="array" aca="1" ref="D204" ca="1">_xlfn.SWITCH(MID(Master[[#This Row],[Checklist]],1,4),"C - ","Civil","F - ","Foundation","ST -","Structure","FC -","Façade","PRE ","Pre-Line","POST","Post-Line","H - ","Handover","S - ","Services","CST ","Completion Docs", "I - ", "Inspection")</f>
        <v>Façade</v>
      </c>
      <c r="E204" s="23" t="str">
        <f ca="1">IF(NOT(ISERROR(SEARCH("- S -", Master[[#This Row],[Checklist]]))), "Subcontractor",IF(NOT(ISERROR(SEARCH("- R -", Master[[#This Row],[Checklist]]))), "Ryman",IF(NOT(ISERROR(SEARCH("- C -", Master[[#This Row],[Checklist]]))), "Consultant",IF(NOT(ISERROR(SEARCH("- I -", Master[[#This Row],[Checklist]]))),  "Inspection Test Plan", "Naming Error"))))</f>
        <v>Ryman</v>
      </c>
      <c r="F204" s="24" t="str">
        <f ca="1">IF(OR(Master[[#This Row],[Type]]="checklist", Master[[#This Row],[Type]]="checklist-flat"), Master[[#This Row],[Name]], F203)</f>
        <v>FC - R - Anchor Points - Intermediate, Corner and End Plate Installation</v>
      </c>
      <c r="G204" s="3" t="s">
        <v>58</v>
      </c>
      <c r="H204" s="24" t="s">
        <v>306</v>
      </c>
      <c r="I204" s="3"/>
      <c r="J204" s="21">
        <f ca="1">_xlfn.XLOOKUP(Master[[#This Row],[Checklist]],Ref!A:A,Ref!B:B)*1000</f>
        <v>35000</v>
      </c>
      <c r="K204" s="21">
        <f ca="1">COUNTIF($J$2:Master[[#This Row],[ChecklistID]],Master[[#This Row],[ChecklistID]])-1</f>
        <v>3</v>
      </c>
      <c r="L204" s="23" t="s">
        <v>6</v>
      </c>
    </row>
    <row r="205" spans="1:12" ht="15.75">
      <c r="A205" s="23">
        <f t="shared" si="3"/>
        <v>204</v>
      </c>
      <c r="B205" s="21">
        <f ca="1">Master[[#This Row],[ChecklistID]]+Master[[#This Row],[Checklist Order]]</f>
        <v>35004</v>
      </c>
      <c r="C205" s="22"/>
      <c r="D205" s="3" t="str" cm="1">
        <f t="array" aca="1" ref="D205" ca="1">_xlfn.SWITCH(MID(Master[[#This Row],[Checklist]],1,4),"C - ","Civil","F - ","Foundation","ST -","Structure","FC -","Façade","PRE ","Pre-Line","POST","Post-Line","H - ","Handover","S - ","Services","CST ","Completion Docs", "I - ", "Inspection")</f>
        <v>Façade</v>
      </c>
      <c r="E205" s="23" t="str">
        <f ca="1">IF(NOT(ISERROR(SEARCH("- S -", Master[[#This Row],[Checklist]]))), "Subcontractor",IF(NOT(ISERROR(SEARCH("- R -", Master[[#This Row],[Checklist]]))), "Ryman",IF(NOT(ISERROR(SEARCH("- C -", Master[[#This Row],[Checklist]]))), "Consultant",IF(NOT(ISERROR(SEARCH("- I -", Master[[#This Row],[Checklist]]))),  "Inspection Test Plan", "Naming Error"))))</f>
        <v>Ryman</v>
      </c>
      <c r="F205" s="24" t="str">
        <f ca="1">IF(OR(Master[[#This Row],[Type]]="checklist", Master[[#This Row],[Type]]="checklist-flat"), Master[[#This Row],[Name]], F204)</f>
        <v>FC - R - Anchor Points - Intermediate, Corner and End Plate Installation</v>
      </c>
      <c r="G205" s="3" t="s">
        <v>49</v>
      </c>
      <c r="H205" s="24" t="s">
        <v>468</v>
      </c>
      <c r="I205" s="3"/>
      <c r="J205" s="21">
        <f ca="1">_xlfn.XLOOKUP(Master[[#This Row],[Checklist]],Ref!A:A,Ref!B:B)*1000</f>
        <v>35000</v>
      </c>
      <c r="K205" s="21">
        <f ca="1">COUNTIF($J$2:Master[[#This Row],[ChecklistID]],Master[[#This Row],[ChecklistID]])-1</f>
        <v>4</v>
      </c>
      <c r="L205" s="23" t="s">
        <v>6</v>
      </c>
    </row>
    <row r="206" spans="1:12" ht="15.75">
      <c r="A206" s="23">
        <f t="shared" si="3"/>
        <v>205</v>
      </c>
      <c r="B206" s="21">
        <f ca="1">Master[[#This Row],[ChecklistID]]+Master[[#This Row],[Checklist Order]]</f>
        <v>36000</v>
      </c>
      <c r="C206" s="22"/>
      <c r="D206" s="3" t="str" cm="1">
        <f t="array" aca="1" ref="D206" ca="1">_xlfn.SWITCH(MID(Master[[#This Row],[Checklist]],1,4),"C - ","Civil","F - ","Foundation","ST -","Structure","FC -","Façade","PRE ","Pre-Line","POST","Post-Line","H - ","Handover","S - ","Services","CST ","Completion Docs", "I - ", "Inspection")</f>
        <v>Façade</v>
      </c>
      <c r="E206" s="23" t="str">
        <f ca="1">IF(NOT(ISERROR(SEARCH("- S -", Master[[#This Row],[Checklist]]))), "Subcontractor",IF(NOT(ISERROR(SEARCH("- R -", Master[[#This Row],[Checklist]]))), "Ryman",IF(NOT(ISERROR(SEARCH("- C -", Master[[#This Row],[Checklist]]))), "Consultant",IF(NOT(ISERROR(SEARCH("- I -", Master[[#This Row],[Checklist]]))),  "Inspection Test Plan", "Naming Error"))))</f>
        <v>Ryman</v>
      </c>
      <c r="F206" s="24" t="str">
        <f ca="1">IF(OR(Master[[#This Row],[Type]]="checklist", Master[[#This Row],[Type]]="checklist-flat"), Master[[#This Row],[Name]], F205)</f>
        <v>FC - R - Anchor Points - Static line installation</v>
      </c>
      <c r="G206" s="3" t="s">
        <v>48</v>
      </c>
      <c r="H206" s="24" t="s">
        <v>1350</v>
      </c>
      <c r="I206" s="3"/>
      <c r="J206" s="21">
        <f ca="1">_xlfn.XLOOKUP(Master[[#This Row],[Checklist]],Ref!A:A,Ref!B:B)*1000</f>
        <v>36000</v>
      </c>
      <c r="K206" s="21">
        <f ca="1">COUNTIF($J$2:Master[[#This Row],[ChecklistID]],Master[[#This Row],[ChecklistID]])-1</f>
        <v>0</v>
      </c>
      <c r="L206" s="23" t="s">
        <v>6</v>
      </c>
    </row>
    <row r="207" spans="1:12" ht="31.5">
      <c r="A207" s="23">
        <f t="shared" si="3"/>
        <v>206</v>
      </c>
      <c r="B207" s="21">
        <f ca="1">Master[[#This Row],[ChecklistID]]+Master[[#This Row],[Checklist Order]]</f>
        <v>36001</v>
      </c>
      <c r="C207" s="22"/>
      <c r="D207" s="3" t="str" cm="1">
        <f t="array" aca="1" ref="D207" ca="1">_xlfn.SWITCH(MID(Master[[#This Row],[Checklist]],1,4),"C - ","Civil","F - ","Foundation","ST -","Structure","FC -","Façade","PRE ","Pre-Line","POST","Post-Line","H - ","Handover","S - ","Services","CST ","Completion Docs", "I - ", "Inspection")</f>
        <v>Façade</v>
      </c>
      <c r="E207" s="23" t="str">
        <f ca="1">IF(NOT(ISERROR(SEARCH("- S -", Master[[#This Row],[Checklist]]))), "Subcontractor",IF(NOT(ISERROR(SEARCH("- R -", Master[[#This Row],[Checklist]]))), "Ryman",IF(NOT(ISERROR(SEARCH("- C -", Master[[#This Row],[Checklist]]))), "Consultant",IF(NOT(ISERROR(SEARCH("- I -", Master[[#This Row],[Checklist]]))),  "Inspection Test Plan", "Naming Error"))))</f>
        <v>Ryman</v>
      </c>
      <c r="F207" s="24" t="str">
        <f ca="1">IF(OR(Master[[#This Row],[Type]]="checklist", Master[[#This Row],[Type]]="checklist-flat"), Master[[#This Row],[Name]], F206)</f>
        <v>FC - R - Anchor Points - Static line installation</v>
      </c>
      <c r="G207" s="3" t="s">
        <v>49</v>
      </c>
      <c r="H207" s="25" t="s">
        <v>1263</v>
      </c>
      <c r="I207" s="3"/>
      <c r="J207" s="21">
        <f ca="1">_xlfn.XLOOKUP(Master[[#This Row],[Checklist]],Ref!A:A,Ref!B:B)*1000</f>
        <v>36000</v>
      </c>
      <c r="K207" s="21">
        <f ca="1">COUNTIF($J$2:Master[[#This Row],[ChecklistID]],Master[[#This Row],[ChecklistID]])-1</f>
        <v>1</v>
      </c>
      <c r="L207" s="23" t="s">
        <v>6</v>
      </c>
    </row>
    <row r="208" spans="1:12" ht="15.75">
      <c r="A208" s="23">
        <f t="shared" si="3"/>
        <v>207</v>
      </c>
      <c r="B208" s="21">
        <f ca="1">Master[[#This Row],[ChecklistID]]+Master[[#This Row],[Checklist Order]]</f>
        <v>36002</v>
      </c>
      <c r="C208" s="22"/>
      <c r="D208" s="3" t="str" cm="1">
        <f t="array" aca="1" ref="D208" ca="1">_xlfn.SWITCH(MID(Master[[#This Row],[Checklist]],1,4),"C - ","Civil","F - ","Foundation","ST -","Structure","FC -","Façade","PRE ","Pre-Line","POST","Post-Line","H - ","Handover","S - ","Services","CST ","Completion Docs", "I - ", "Inspection")</f>
        <v>Façade</v>
      </c>
      <c r="E208" s="23" t="str">
        <f ca="1">IF(NOT(ISERROR(SEARCH("- S -", Master[[#This Row],[Checklist]]))), "Subcontractor",IF(NOT(ISERROR(SEARCH("- R -", Master[[#This Row],[Checklist]]))), "Ryman",IF(NOT(ISERROR(SEARCH("- C -", Master[[#This Row],[Checklist]]))), "Consultant",IF(NOT(ISERROR(SEARCH("- I -", Master[[#This Row],[Checklist]]))),  "Inspection Test Plan", "Naming Error"))))</f>
        <v>Ryman</v>
      </c>
      <c r="F208" s="24" t="str">
        <f ca="1">IF(OR(Master[[#This Row],[Type]]="checklist", Master[[#This Row],[Type]]="checklist-flat"), Master[[#This Row],[Name]], F207)</f>
        <v>FC - R - Anchor Points - Static line installation</v>
      </c>
      <c r="G208" s="3" t="s">
        <v>49</v>
      </c>
      <c r="H208" s="24" t="s">
        <v>1264</v>
      </c>
      <c r="I208" s="3"/>
      <c r="J208" s="21">
        <f ca="1">_xlfn.XLOOKUP(Master[[#This Row],[Checklist]],Ref!A:A,Ref!B:B)*1000</f>
        <v>36000</v>
      </c>
      <c r="K208" s="21">
        <f ca="1">COUNTIF($J$2:Master[[#This Row],[ChecklistID]],Master[[#This Row],[ChecklistID]])-1</f>
        <v>2</v>
      </c>
      <c r="L208" s="23" t="s">
        <v>6</v>
      </c>
    </row>
    <row r="209" spans="1:12" ht="15.75">
      <c r="A209" s="23">
        <f t="shared" si="3"/>
        <v>208</v>
      </c>
      <c r="B209" s="21">
        <f ca="1">Master[[#This Row],[ChecklistID]]+Master[[#This Row],[Checklist Order]]</f>
        <v>36003</v>
      </c>
      <c r="C209" s="22"/>
      <c r="D209" s="3" t="str" cm="1">
        <f t="array" aca="1" ref="D209" ca="1">_xlfn.SWITCH(MID(Master[[#This Row],[Checklist]],1,4),"C - ","Civil","F - ","Foundation","ST -","Structure","FC -","Façade","PRE ","Pre-Line","POST","Post-Line","H - ","Handover","S - ","Services","CST ","Completion Docs", "I - ", "Inspection")</f>
        <v>Façade</v>
      </c>
      <c r="E209" s="23" t="str">
        <f ca="1">IF(NOT(ISERROR(SEARCH("- S -", Master[[#This Row],[Checklist]]))), "Subcontractor",IF(NOT(ISERROR(SEARCH("- R -", Master[[#This Row],[Checklist]]))), "Ryman",IF(NOT(ISERROR(SEARCH("- C -", Master[[#This Row],[Checklist]]))), "Consultant",IF(NOT(ISERROR(SEARCH("- I -", Master[[#This Row],[Checklist]]))),  "Inspection Test Plan", "Naming Error"))))</f>
        <v>Ryman</v>
      </c>
      <c r="F209" s="24" t="str">
        <f ca="1">IF(OR(Master[[#This Row],[Type]]="checklist", Master[[#This Row],[Type]]="checklist-flat"), Master[[#This Row],[Name]], F208)</f>
        <v>FC - R - Anchor Points - Static line installation</v>
      </c>
      <c r="G209" s="3" t="s">
        <v>58</v>
      </c>
      <c r="H209" s="24" t="s">
        <v>306</v>
      </c>
      <c r="I209" s="3"/>
      <c r="J209" s="21">
        <f ca="1">_xlfn.XLOOKUP(Master[[#This Row],[Checklist]],Ref!A:A,Ref!B:B)*1000</f>
        <v>36000</v>
      </c>
      <c r="K209" s="21">
        <f ca="1">COUNTIF($J$2:Master[[#This Row],[ChecklistID]],Master[[#This Row],[ChecklistID]])-1</f>
        <v>3</v>
      </c>
      <c r="L209" s="23" t="s">
        <v>6</v>
      </c>
    </row>
    <row r="210" spans="1:12" ht="15.75">
      <c r="A210" s="23">
        <f t="shared" si="3"/>
        <v>209</v>
      </c>
      <c r="B210" s="21">
        <f ca="1">Master[[#This Row],[ChecklistID]]+Master[[#This Row],[Checklist Order]]</f>
        <v>36004</v>
      </c>
      <c r="C210" s="22"/>
      <c r="D210" s="3" t="str" cm="1">
        <f t="array" aca="1" ref="D210" ca="1">_xlfn.SWITCH(MID(Master[[#This Row],[Checklist]],1,4),"C - ","Civil","F - ","Foundation","ST -","Structure","FC -","Façade","PRE ","Pre-Line","POST","Post-Line","H - ","Handover","S - ","Services","CST ","Completion Docs", "I - ", "Inspection")</f>
        <v>Façade</v>
      </c>
      <c r="E210" s="23" t="str">
        <f ca="1">IF(NOT(ISERROR(SEARCH("- S -", Master[[#This Row],[Checklist]]))), "Subcontractor",IF(NOT(ISERROR(SEARCH("- R -", Master[[#This Row],[Checklist]]))), "Ryman",IF(NOT(ISERROR(SEARCH("- C -", Master[[#This Row],[Checklist]]))), "Consultant",IF(NOT(ISERROR(SEARCH("- I -", Master[[#This Row],[Checklist]]))),  "Inspection Test Plan", "Naming Error"))))</f>
        <v>Ryman</v>
      </c>
      <c r="F210" s="24" t="str">
        <f ca="1">IF(OR(Master[[#This Row],[Type]]="checklist", Master[[#This Row],[Type]]="checklist-flat"), Master[[#This Row],[Name]], F209)</f>
        <v>FC - R - Anchor Points - Static line installation</v>
      </c>
      <c r="G210" s="3" t="s">
        <v>49</v>
      </c>
      <c r="H210" s="24" t="s">
        <v>473</v>
      </c>
      <c r="I210" s="3"/>
      <c r="J210" s="21">
        <f ca="1">_xlfn.XLOOKUP(Master[[#This Row],[Checklist]],Ref!A:A,Ref!B:B)*1000</f>
        <v>36000</v>
      </c>
      <c r="K210" s="21">
        <f ca="1">COUNTIF($J$2:Master[[#This Row],[ChecklistID]],Master[[#This Row],[ChecklistID]])-1</f>
        <v>4</v>
      </c>
      <c r="L210" s="23" t="s">
        <v>6</v>
      </c>
    </row>
    <row r="211" spans="1:12" ht="15.75">
      <c r="A211" s="23">
        <f t="shared" si="3"/>
        <v>210</v>
      </c>
      <c r="B211" s="21">
        <f ca="1">Master[[#This Row],[ChecklistID]]+Master[[#This Row],[Checklist Order]]</f>
        <v>37000</v>
      </c>
      <c r="C211" s="22"/>
      <c r="D211" s="3" t="str" cm="1">
        <f t="array" aca="1" ref="D211" ca="1">_xlfn.SWITCH(MID(Master[[#This Row],[Checklist]],1,4),"C - ","Civil","F - ","Foundation","ST -","Structure","FC -","Façade","PRE ","Pre-Line","POST","Post-Line","H - ","Handover","S - ","Services","CST ","Completion Docs", "I - ", "Inspection")</f>
        <v>Façade</v>
      </c>
      <c r="E211" s="23" t="str">
        <f ca="1">IF(NOT(ISERROR(SEARCH("- S -", Master[[#This Row],[Checklist]]))), "Subcontractor",IF(NOT(ISERROR(SEARCH("- R -", Master[[#This Row],[Checklist]]))), "Ryman",IF(NOT(ISERROR(SEARCH("- C -", Master[[#This Row],[Checklist]]))), "Consultant",IF(NOT(ISERROR(SEARCH("- I -", Master[[#This Row],[Checklist]]))),  "Inspection Test Plan", "Naming Error"))))</f>
        <v>Ryman</v>
      </c>
      <c r="F211" s="24" t="str">
        <f ca="1">IF(OR(Master[[#This Row],[Type]]="checklist", Master[[#This Row],[Type]]="checklist-flat"), Master[[#This Row],[Name]], F210)</f>
        <v>FC - R - STO Poly Plaster</v>
      </c>
      <c r="G211" s="3" t="s">
        <v>48</v>
      </c>
      <c r="H211" s="24" t="s">
        <v>1351</v>
      </c>
      <c r="I211" s="3"/>
      <c r="J211" s="21">
        <f ca="1">_xlfn.XLOOKUP(Master[[#This Row],[Checklist]],Ref!A:A,Ref!B:B)*1000</f>
        <v>37000</v>
      </c>
      <c r="K211" s="21">
        <f ca="1">COUNTIF($J$2:Master[[#This Row],[ChecklistID]],Master[[#This Row],[ChecklistID]])-1</f>
        <v>0</v>
      </c>
      <c r="L211" s="23" t="s">
        <v>6</v>
      </c>
    </row>
    <row r="212" spans="1:12" ht="31.5">
      <c r="A212" s="23">
        <f t="shared" si="3"/>
        <v>211</v>
      </c>
      <c r="B212" s="21">
        <f ca="1">Master[[#This Row],[ChecklistID]]+Master[[#This Row],[Checklist Order]]</f>
        <v>37001</v>
      </c>
      <c r="C212" s="22"/>
      <c r="D212" s="3" t="str" cm="1">
        <f t="array" aca="1" ref="D212" ca="1">_xlfn.SWITCH(MID(Master[[#This Row],[Checklist]],1,4),"C - ","Civil","F - ","Foundation","ST -","Structure","FC -","Façade","PRE ","Pre-Line","POST","Post-Line","H - ","Handover","S - ","Services","CST ","Completion Docs", "I - ", "Inspection")</f>
        <v>Façade</v>
      </c>
      <c r="E212" s="23" t="str">
        <f ca="1">IF(NOT(ISERROR(SEARCH("- S -", Master[[#This Row],[Checklist]]))), "Subcontractor",IF(NOT(ISERROR(SEARCH("- R -", Master[[#This Row],[Checklist]]))), "Ryman",IF(NOT(ISERROR(SEARCH("- C -", Master[[#This Row],[Checklist]]))), "Consultant",IF(NOT(ISERROR(SEARCH("- I -", Master[[#This Row],[Checklist]]))),  "Inspection Test Plan", "Naming Error"))))</f>
        <v>Ryman</v>
      </c>
      <c r="F212" s="24" t="str">
        <f ca="1">IF(OR(Master[[#This Row],[Type]]="checklist", Master[[#This Row],[Type]]="checklist-flat"), Master[[#This Row],[Name]], F211)</f>
        <v>FC - R - STO Poly Plaster</v>
      </c>
      <c r="G212" s="3" t="s">
        <v>49</v>
      </c>
      <c r="H212" s="25" t="s">
        <v>1263</v>
      </c>
      <c r="I212" s="3"/>
      <c r="J212" s="21">
        <f ca="1">_xlfn.XLOOKUP(Master[[#This Row],[Checklist]],Ref!A:A,Ref!B:B)*1000</f>
        <v>37000</v>
      </c>
      <c r="K212" s="21">
        <f ca="1">COUNTIF($J$2:Master[[#This Row],[ChecklistID]],Master[[#This Row],[ChecklistID]])-1</f>
        <v>1</v>
      </c>
      <c r="L212" s="23" t="s">
        <v>6</v>
      </c>
    </row>
    <row r="213" spans="1:12" ht="15.75">
      <c r="A213" s="23">
        <f t="shared" si="3"/>
        <v>212</v>
      </c>
      <c r="B213" s="21">
        <f ca="1">Master[[#This Row],[ChecklistID]]+Master[[#This Row],[Checklist Order]]</f>
        <v>37002</v>
      </c>
      <c r="C213" s="22"/>
      <c r="D213" s="3" t="str" cm="1">
        <f t="array" aca="1" ref="D213" ca="1">_xlfn.SWITCH(MID(Master[[#This Row],[Checklist]],1,4),"C - ","Civil","F - ","Foundation","ST -","Structure","FC -","Façade","PRE ","Pre-Line","POST","Post-Line","H - ","Handover","S - ","Services","CST ","Completion Docs", "I - ", "Inspection")</f>
        <v>Façade</v>
      </c>
      <c r="E213" s="23" t="str">
        <f ca="1">IF(NOT(ISERROR(SEARCH("- S -", Master[[#This Row],[Checklist]]))), "Subcontractor",IF(NOT(ISERROR(SEARCH("- R -", Master[[#This Row],[Checklist]]))), "Ryman",IF(NOT(ISERROR(SEARCH("- C -", Master[[#This Row],[Checklist]]))), "Consultant",IF(NOT(ISERROR(SEARCH("- I -", Master[[#This Row],[Checklist]]))),  "Inspection Test Plan", "Naming Error"))))</f>
        <v>Ryman</v>
      </c>
      <c r="F213" s="24" t="str">
        <f ca="1">IF(OR(Master[[#This Row],[Type]]="checklist", Master[[#This Row],[Type]]="checklist-flat"), Master[[#This Row],[Name]], F212)</f>
        <v>FC - R - STO Poly Plaster</v>
      </c>
      <c r="G213" s="3" t="s">
        <v>49</v>
      </c>
      <c r="H213" s="24" t="s">
        <v>1264</v>
      </c>
      <c r="I213" s="3"/>
      <c r="J213" s="21">
        <f ca="1">_xlfn.XLOOKUP(Master[[#This Row],[Checklist]],Ref!A:A,Ref!B:B)*1000</f>
        <v>37000</v>
      </c>
      <c r="K213" s="21">
        <f ca="1">COUNTIF($J$2:Master[[#This Row],[ChecklistID]],Master[[#This Row],[ChecklistID]])-1</f>
        <v>2</v>
      </c>
      <c r="L213" s="23" t="s">
        <v>6</v>
      </c>
    </row>
    <row r="214" spans="1:12" ht="15.75">
      <c r="A214" s="23">
        <f t="shared" si="3"/>
        <v>213</v>
      </c>
      <c r="B214" s="21">
        <f ca="1">Master[[#This Row],[ChecklistID]]+Master[[#This Row],[Checklist Order]]</f>
        <v>37003</v>
      </c>
      <c r="C214" s="22"/>
      <c r="D214" s="3" t="str" cm="1">
        <f t="array" aca="1" ref="D214" ca="1">_xlfn.SWITCH(MID(Master[[#This Row],[Checklist]],1,4),"C - ","Civil","F - ","Foundation","ST -","Structure","FC -","Façade","PRE ","Pre-Line","POST","Post-Line","H - ","Handover","S - ","Services","CST ","Completion Docs", "I - ", "Inspection")</f>
        <v>Façade</v>
      </c>
      <c r="E214" s="23" t="str">
        <f ca="1">IF(NOT(ISERROR(SEARCH("- S -", Master[[#This Row],[Checklist]]))), "Subcontractor",IF(NOT(ISERROR(SEARCH("- R -", Master[[#This Row],[Checklist]]))), "Ryman",IF(NOT(ISERROR(SEARCH("- C -", Master[[#This Row],[Checklist]]))), "Consultant",IF(NOT(ISERROR(SEARCH("- I -", Master[[#This Row],[Checklist]]))),  "Inspection Test Plan", "Naming Error"))))</f>
        <v>Ryman</v>
      </c>
      <c r="F214" s="24" t="str">
        <f ca="1">IF(OR(Master[[#This Row],[Type]]="checklist", Master[[#This Row],[Type]]="checklist-flat"), Master[[#This Row],[Name]], F213)</f>
        <v>FC - R - STO Poly Plaster</v>
      </c>
      <c r="G214" s="3" t="s">
        <v>58</v>
      </c>
      <c r="H214" s="24" t="s">
        <v>306</v>
      </c>
      <c r="I214" s="3"/>
      <c r="J214" s="21">
        <f ca="1">_xlfn.XLOOKUP(Master[[#This Row],[Checklist]],Ref!A:A,Ref!B:B)*1000</f>
        <v>37000</v>
      </c>
      <c r="K214" s="21">
        <f ca="1">COUNTIF($J$2:Master[[#This Row],[ChecklistID]],Master[[#This Row],[ChecklistID]])-1</f>
        <v>3</v>
      </c>
      <c r="L214" s="23" t="s">
        <v>6</v>
      </c>
    </row>
    <row r="215" spans="1:12" ht="15.75">
      <c r="A215" s="23">
        <f t="shared" si="3"/>
        <v>214</v>
      </c>
      <c r="B215" s="21">
        <f ca="1">Master[[#This Row],[ChecklistID]]+Master[[#This Row],[Checklist Order]]</f>
        <v>37004</v>
      </c>
      <c r="C215" s="22"/>
      <c r="D215" s="3" t="str" cm="1">
        <f t="array" aca="1" ref="D215" ca="1">_xlfn.SWITCH(MID(Master[[#This Row],[Checklist]],1,4),"C - ","Civil","F - ","Foundation","ST -","Structure","FC -","Façade","PRE ","Pre-Line","POST","Post-Line","H - ","Handover","S - ","Services","CST ","Completion Docs", "I - ", "Inspection")</f>
        <v>Façade</v>
      </c>
      <c r="E215" s="23" t="str">
        <f ca="1">IF(NOT(ISERROR(SEARCH("- S -", Master[[#This Row],[Checklist]]))), "Subcontractor",IF(NOT(ISERROR(SEARCH("- R -", Master[[#This Row],[Checklist]]))), "Ryman",IF(NOT(ISERROR(SEARCH("- C -", Master[[#This Row],[Checklist]]))), "Consultant",IF(NOT(ISERROR(SEARCH("- I -", Master[[#This Row],[Checklist]]))),  "Inspection Test Plan", "Naming Error"))))</f>
        <v>Ryman</v>
      </c>
      <c r="F215" s="24" t="str">
        <f ca="1">IF(OR(Master[[#This Row],[Type]]="checklist", Master[[#This Row],[Type]]="checklist-flat"), Master[[#This Row],[Name]], F214)</f>
        <v>FC - R - STO Poly Plaster</v>
      </c>
      <c r="G215" s="3" t="s">
        <v>49</v>
      </c>
      <c r="H215" s="24" t="s">
        <v>1352</v>
      </c>
      <c r="I215" s="3"/>
      <c r="J215" s="21">
        <f ca="1">_xlfn.XLOOKUP(Master[[#This Row],[Checklist]],Ref!A:A,Ref!B:B)*1000</f>
        <v>37000</v>
      </c>
      <c r="K215" s="21">
        <f ca="1">COUNTIF($J$2:Master[[#This Row],[ChecklistID]],Master[[#This Row],[ChecklistID]])-1</f>
        <v>4</v>
      </c>
      <c r="L215" s="23" t="s">
        <v>6</v>
      </c>
    </row>
    <row r="216" spans="1:12" ht="15.75">
      <c r="A216" s="23">
        <f t="shared" si="3"/>
        <v>215</v>
      </c>
      <c r="B216" s="21">
        <f ca="1">Master[[#This Row],[ChecklistID]]+Master[[#This Row],[Checklist Order]]</f>
        <v>38000</v>
      </c>
      <c r="C216" s="22"/>
      <c r="D216" s="3" t="str" cm="1">
        <f t="array" aca="1" ref="D216" ca="1">_xlfn.SWITCH(MID(Master[[#This Row],[Checklist]],1,4),"C - ","Civil","F - ","Foundation","ST -","Structure","FC -","Façade","PRE ","Pre-Line","POST","Post-Line","H - ","Handover","S - ","Services","CST ","Completion Docs", "I - ", "Inspection")</f>
        <v>Façade</v>
      </c>
      <c r="E216" s="23" t="str">
        <f ca="1">IF(NOT(ISERROR(SEARCH("- S -", Master[[#This Row],[Checklist]]))), "Subcontractor",IF(NOT(ISERROR(SEARCH("- R -", Master[[#This Row],[Checklist]]))), "Ryman",IF(NOT(ISERROR(SEARCH("- C -", Master[[#This Row],[Checklist]]))), "Consultant",IF(NOT(ISERROR(SEARCH("- I -", Master[[#This Row],[Checklist]]))),  "Inspection Test Plan", "Naming Error"))))</f>
        <v>Ryman</v>
      </c>
      <c r="F216" s="24" t="str">
        <f ca="1">IF(OR(Master[[#This Row],[Type]]="checklist", Master[[#This Row],[Type]]="checklist-flat"), Master[[#This Row],[Name]], F215)</f>
        <v>FC - R - External Plaster - Nibs &amp; Beams</v>
      </c>
      <c r="G216" s="3" t="s">
        <v>48</v>
      </c>
      <c r="H216" s="24" t="s">
        <v>1353</v>
      </c>
      <c r="I216" s="3"/>
      <c r="J216" s="21">
        <f ca="1">_xlfn.XLOOKUP(Master[[#This Row],[Checklist]],Ref!A:A,Ref!B:B)*1000</f>
        <v>38000</v>
      </c>
      <c r="K216" s="21">
        <f ca="1">COUNTIF($J$2:Master[[#This Row],[ChecklistID]],Master[[#This Row],[ChecklistID]])-1</f>
        <v>0</v>
      </c>
      <c r="L216" s="23" t="s">
        <v>6</v>
      </c>
    </row>
    <row r="217" spans="1:12" ht="31.5">
      <c r="A217" s="23">
        <f t="shared" si="3"/>
        <v>216</v>
      </c>
      <c r="B217" s="21">
        <f ca="1">Master[[#This Row],[ChecklistID]]+Master[[#This Row],[Checklist Order]]</f>
        <v>38001</v>
      </c>
      <c r="C217" s="22"/>
      <c r="D217" s="3" t="str" cm="1">
        <f t="array" aca="1" ref="D217" ca="1">_xlfn.SWITCH(MID(Master[[#This Row],[Checklist]],1,4),"C - ","Civil","F - ","Foundation","ST -","Structure","FC -","Façade","PRE ","Pre-Line","POST","Post-Line","H - ","Handover","S - ","Services","CST ","Completion Docs", "I - ", "Inspection")</f>
        <v>Façade</v>
      </c>
      <c r="E217" s="23" t="str">
        <f ca="1">IF(NOT(ISERROR(SEARCH("- S -", Master[[#This Row],[Checklist]]))), "Subcontractor",IF(NOT(ISERROR(SEARCH("- R -", Master[[#This Row],[Checklist]]))), "Ryman",IF(NOT(ISERROR(SEARCH("- C -", Master[[#This Row],[Checklist]]))), "Consultant",IF(NOT(ISERROR(SEARCH("- I -", Master[[#This Row],[Checklist]]))),  "Inspection Test Plan", "Naming Error"))))</f>
        <v>Ryman</v>
      </c>
      <c r="F217" s="24" t="str">
        <f ca="1">IF(OR(Master[[#This Row],[Type]]="checklist", Master[[#This Row],[Type]]="checklist-flat"), Master[[#This Row],[Name]], F216)</f>
        <v>FC - R - External Plaster - Nibs &amp; Beams</v>
      </c>
      <c r="G217" s="3" t="s">
        <v>49</v>
      </c>
      <c r="H217" s="25" t="s">
        <v>1263</v>
      </c>
      <c r="I217" s="3"/>
      <c r="J217" s="21">
        <f ca="1">_xlfn.XLOOKUP(Master[[#This Row],[Checklist]],Ref!A:A,Ref!B:B)*1000</f>
        <v>38000</v>
      </c>
      <c r="K217" s="21">
        <f ca="1">COUNTIF($J$2:Master[[#This Row],[ChecklistID]],Master[[#This Row],[ChecklistID]])-1</f>
        <v>1</v>
      </c>
      <c r="L217" s="23" t="s">
        <v>6</v>
      </c>
    </row>
    <row r="218" spans="1:12" ht="15.75">
      <c r="A218" s="23">
        <f t="shared" si="3"/>
        <v>217</v>
      </c>
      <c r="B218" s="21">
        <f ca="1">Master[[#This Row],[ChecklistID]]+Master[[#This Row],[Checklist Order]]</f>
        <v>38002</v>
      </c>
      <c r="C218" s="22"/>
      <c r="D218" s="3" t="str" cm="1">
        <f t="array" aca="1" ref="D218" ca="1">_xlfn.SWITCH(MID(Master[[#This Row],[Checklist]],1,4),"C - ","Civil","F - ","Foundation","ST -","Structure","FC -","Façade","PRE ","Pre-Line","POST","Post-Line","H - ","Handover","S - ","Services","CST ","Completion Docs", "I - ", "Inspection")</f>
        <v>Façade</v>
      </c>
      <c r="E218" s="23" t="str">
        <f ca="1">IF(NOT(ISERROR(SEARCH("- S -", Master[[#This Row],[Checklist]]))), "Subcontractor",IF(NOT(ISERROR(SEARCH("- R -", Master[[#This Row],[Checklist]]))), "Ryman",IF(NOT(ISERROR(SEARCH("- C -", Master[[#This Row],[Checklist]]))), "Consultant",IF(NOT(ISERROR(SEARCH("- I -", Master[[#This Row],[Checklist]]))),  "Inspection Test Plan", "Naming Error"))))</f>
        <v>Ryman</v>
      </c>
      <c r="F218" s="24" t="str">
        <f ca="1">IF(OR(Master[[#This Row],[Type]]="checklist", Master[[#This Row],[Type]]="checklist-flat"), Master[[#This Row],[Name]], F217)</f>
        <v>FC - R - External Plaster - Nibs &amp; Beams</v>
      </c>
      <c r="G218" s="3" t="s">
        <v>49</v>
      </c>
      <c r="H218" s="24" t="s">
        <v>1264</v>
      </c>
      <c r="I218" s="3"/>
      <c r="J218" s="21">
        <f ca="1">_xlfn.XLOOKUP(Master[[#This Row],[Checklist]],Ref!A:A,Ref!B:B)*1000</f>
        <v>38000</v>
      </c>
      <c r="K218" s="21">
        <f ca="1">COUNTIF($J$2:Master[[#This Row],[ChecklistID]],Master[[#This Row],[ChecklistID]])-1</f>
        <v>2</v>
      </c>
      <c r="L218" s="23" t="s">
        <v>6</v>
      </c>
    </row>
    <row r="219" spans="1:12" ht="15.75">
      <c r="A219" s="23">
        <f t="shared" si="3"/>
        <v>218</v>
      </c>
      <c r="B219" s="21">
        <f ca="1">Master[[#This Row],[ChecklistID]]+Master[[#This Row],[Checklist Order]]</f>
        <v>38003</v>
      </c>
      <c r="C219" s="22"/>
      <c r="D219" s="3" t="str" cm="1">
        <f t="array" aca="1" ref="D219" ca="1">_xlfn.SWITCH(MID(Master[[#This Row],[Checklist]],1,4),"C - ","Civil","F - ","Foundation","ST -","Structure","FC -","Façade","PRE ","Pre-Line","POST","Post-Line","H - ","Handover","S - ","Services","CST ","Completion Docs", "I - ", "Inspection")</f>
        <v>Façade</v>
      </c>
      <c r="E219" s="23" t="str">
        <f ca="1">IF(NOT(ISERROR(SEARCH("- S -", Master[[#This Row],[Checklist]]))), "Subcontractor",IF(NOT(ISERROR(SEARCH("- R -", Master[[#This Row],[Checklist]]))), "Ryman",IF(NOT(ISERROR(SEARCH("- C -", Master[[#This Row],[Checklist]]))), "Consultant",IF(NOT(ISERROR(SEARCH("- I -", Master[[#This Row],[Checklist]]))),  "Inspection Test Plan", "Naming Error"))))</f>
        <v>Ryman</v>
      </c>
      <c r="F219" s="24" t="str">
        <f ca="1">IF(OR(Master[[#This Row],[Type]]="checklist", Master[[#This Row],[Type]]="checklist-flat"), Master[[#This Row],[Name]], F218)</f>
        <v>FC - R - External Plaster - Nibs &amp; Beams</v>
      </c>
      <c r="G219" s="3" t="s">
        <v>58</v>
      </c>
      <c r="H219" s="24" t="s">
        <v>306</v>
      </c>
      <c r="I219" s="3"/>
      <c r="J219" s="21">
        <f ca="1">_xlfn.XLOOKUP(Master[[#This Row],[Checklist]],Ref!A:A,Ref!B:B)*1000</f>
        <v>38000</v>
      </c>
      <c r="K219" s="21">
        <f ca="1">COUNTIF($J$2:Master[[#This Row],[ChecklistID]],Master[[#This Row],[ChecklistID]])-1</f>
        <v>3</v>
      </c>
      <c r="L219" s="23" t="s">
        <v>6</v>
      </c>
    </row>
    <row r="220" spans="1:12" ht="15.75">
      <c r="A220" s="23">
        <f t="shared" si="3"/>
        <v>219</v>
      </c>
      <c r="B220" s="21">
        <f ca="1">Master[[#This Row],[ChecklistID]]+Master[[#This Row],[Checklist Order]]</f>
        <v>38004</v>
      </c>
      <c r="C220" s="22"/>
      <c r="D220" s="3" t="str" cm="1">
        <f t="array" aca="1" ref="D220" ca="1">_xlfn.SWITCH(MID(Master[[#This Row],[Checklist]],1,4),"C - ","Civil","F - ","Foundation","ST -","Structure","FC -","Façade","PRE ","Pre-Line","POST","Post-Line","H - ","Handover","S - ","Services","CST ","Completion Docs", "I - ", "Inspection")</f>
        <v>Façade</v>
      </c>
      <c r="E220" s="23" t="str">
        <f ca="1">IF(NOT(ISERROR(SEARCH("- S -", Master[[#This Row],[Checklist]]))), "Subcontractor",IF(NOT(ISERROR(SEARCH("- R -", Master[[#This Row],[Checklist]]))), "Ryman",IF(NOT(ISERROR(SEARCH("- C -", Master[[#This Row],[Checklist]]))), "Consultant",IF(NOT(ISERROR(SEARCH("- I -", Master[[#This Row],[Checklist]]))),  "Inspection Test Plan", "Naming Error"))))</f>
        <v>Ryman</v>
      </c>
      <c r="F220" s="24" t="str">
        <f ca="1">IF(OR(Master[[#This Row],[Type]]="checklist", Master[[#This Row],[Type]]="checklist-flat"), Master[[#This Row],[Name]], F219)</f>
        <v>FC - R - External Plaster - Nibs &amp; Beams</v>
      </c>
      <c r="G220" s="3" t="s">
        <v>49</v>
      </c>
      <c r="H220" s="24" t="s">
        <v>1354</v>
      </c>
      <c r="I220" s="3"/>
      <c r="J220" s="21">
        <f ca="1">_xlfn.XLOOKUP(Master[[#This Row],[Checklist]],Ref!A:A,Ref!B:B)*1000</f>
        <v>38000</v>
      </c>
      <c r="K220" s="21">
        <f ca="1">COUNTIF($J$2:Master[[#This Row],[ChecklistID]],Master[[#This Row],[ChecklistID]])-1</f>
        <v>4</v>
      </c>
      <c r="L220" s="23" t="s">
        <v>6</v>
      </c>
    </row>
    <row r="221" spans="1:12" ht="15.75">
      <c r="A221" s="23">
        <f t="shared" si="3"/>
        <v>220</v>
      </c>
      <c r="B221" s="21">
        <f ca="1">Master[[#This Row],[ChecklistID]]+Master[[#This Row],[Checklist Order]]</f>
        <v>39000</v>
      </c>
      <c r="C221" s="22"/>
      <c r="D221" s="3" t="str" cm="1">
        <f t="array" aca="1" ref="D221" ca="1">_xlfn.SWITCH(MID(Master[[#This Row],[Checklist]],1,4),"C - ","Civil","F - ","Foundation","ST -","Structure","FC -","Façade","PRE ","Pre-Line","POST","Post-Line","H - ","Handover","S - ","Services","CST ","Completion Docs", "I - ", "Inspection")</f>
        <v>Façade</v>
      </c>
      <c r="E221" s="23" t="str">
        <f ca="1">IF(NOT(ISERROR(SEARCH("- S -", Master[[#This Row],[Checklist]]))), "Subcontractor",IF(NOT(ISERROR(SEARCH("- R -", Master[[#This Row],[Checklist]]))), "Ryman",IF(NOT(ISERROR(SEARCH("- C -", Master[[#This Row],[Checklist]]))), "Consultant",IF(NOT(ISERROR(SEARCH("- I -", Master[[#This Row],[Checklist]]))),  "Inspection Test Plan", "Naming Error"))))</f>
        <v>Ryman</v>
      </c>
      <c r="F221" s="24" t="str">
        <f ca="1">IF(OR(Master[[#This Row],[Type]]="checklist", Master[[#This Row],[Type]]="checklist-flat"), Master[[#This Row],[Name]], F220)</f>
        <v xml:space="preserve">FC - R - Soffits </v>
      </c>
      <c r="G221" s="3" t="s">
        <v>48</v>
      </c>
      <c r="H221" s="24" t="s">
        <v>1355</v>
      </c>
      <c r="I221" s="3"/>
      <c r="J221" s="21">
        <f ca="1">_xlfn.XLOOKUP(Master[[#This Row],[Checklist]],Ref!A:A,Ref!B:B)*1000</f>
        <v>39000</v>
      </c>
      <c r="K221" s="21">
        <f ca="1">COUNTIF($J$2:Master[[#This Row],[ChecklistID]],Master[[#This Row],[ChecklistID]])-1</f>
        <v>0</v>
      </c>
      <c r="L221" s="23" t="s">
        <v>6</v>
      </c>
    </row>
    <row r="222" spans="1:12" ht="31.5">
      <c r="A222" s="23">
        <f t="shared" si="3"/>
        <v>221</v>
      </c>
      <c r="B222" s="21">
        <f ca="1">Master[[#This Row],[ChecklistID]]+Master[[#This Row],[Checklist Order]]</f>
        <v>39001</v>
      </c>
      <c r="C222" s="22"/>
      <c r="D222" s="3" t="str" cm="1">
        <f t="array" aca="1" ref="D222" ca="1">_xlfn.SWITCH(MID(Master[[#This Row],[Checklist]],1,4),"C - ","Civil","F - ","Foundation","ST -","Structure","FC -","Façade","PRE ","Pre-Line","POST","Post-Line","H - ","Handover","S - ","Services","CST ","Completion Docs", "I - ", "Inspection")</f>
        <v>Façade</v>
      </c>
      <c r="E222" s="23" t="str">
        <f ca="1">IF(NOT(ISERROR(SEARCH("- S -", Master[[#This Row],[Checklist]]))), "Subcontractor",IF(NOT(ISERROR(SEARCH("- R -", Master[[#This Row],[Checklist]]))), "Ryman",IF(NOT(ISERROR(SEARCH("- C -", Master[[#This Row],[Checklist]]))), "Consultant",IF(NOT(ISERROR(SEARCH("- I -", Master[[#This Row],[Checklist]]))),  "Inspection Test Plan", "Naming Error"))))</f>
        <v>Ryman</v>
      </c>
      <c r="F222" s="24" t="str">
        <f ca="1">IF(OR(Master[[#This Row],[Type]]="checklist", Master[[#This Row],[Type]]="checklist-flat"), Master[[#This Row],[Name]], F221)</f>
        <v xml:space="preserve">FC - R - Soffits </v>
      </c>
      <c r="G222" s="3" t="s">
        <v>49</v>
      </c>
      <c r="H222" s="25" t="s">
        <v>1263</v>
      </c>
      <c r="I222" s="3"/>
      <c r="J222" s="21">
        <f ca="1">_xlfn.XLOOKUP(Master[[#This Row],[Checklist]],Ref!A:A,Ref!B:B)*1000</f>
        <v>39000</v>
      </c>
      <c r="K222" s="21">
        <f ca="1">COUNTIF($J$2:Master[[#This Row],[ChecklistID]],Master[[#This Row],[ChecklistID]])-1</f>
        <v>1</v>
      </c>
      <c r="L222" s="23" t="s">
        <v>6</v>
      </c>
    </row>
    <row r="223" spans="1:12" ht="15.75">
      <c r="A223" s="23">
        <f t="shared" si="3"/>
        <v>222</v>
      </c>
      <c r="B223" s="21">
        <f ca="1">Master[[#This Row],[ChecklistID]]+Master[[#This Row],[Checklist Order]]</f>
        <v>39002</v>
      </c>
      <c r="C223" s="22"/>
      <c r="D223" s="3" t="str" cm="1">
        <f t="array" aca="1" ref="D223" ca="1">_xlfn.SWITCH(MID(Master[[#This Row],[Checklist]],1,4),"C - ","Civil","F - ","Foundation","ST -","Structure","FC -","Façade","PRE ","Pre-Line","POST","Post-Line","H - ","Handover","S - ","Services","CST ","Completion Docs", "I - ", "Inspection")</f>
        <v>Façade</v>
      </c>
      <c r="E223" s="23" t="str">
        <f ca="1">IF(NOT(ISERROR(SEARCH("- S -", Master[[#This Row],[Checklist]]))), "Subcontractor",IF(NOT(ISERROR(SEARCH("- R -", Master[[#This Row],[Checklist]]))), "Ryman",IF(NOT(ISERROR(SEARCH("- C -", Master[[#This Row],[Checklist]]))), "Consultant",IF(NOT(ISERROR(SEARCH("- I -", Master[[#This Row],[Checklist]]))),  "Inspection Test Plan", "Naming Error"))))</f>
        <v>Ryman</v>
      </c>
      <c r="F223" s="24" t="str">
        <f ca="1">IF(OR(Master[[#This Row],[Type]]="checklist", Master[[#This Row],[Type]]="checklist-flat"), Master[[#This Row],[Name]], F222)</f>
        <v xml:space="preserve">FC - R - Soffits </v>
      </c>
      <c r="G223" s="3" t="s">
        <v>49</v>
      </c>
      <c r="H223" s="24" t="s">
        <v>1264</v>
      </c>
      <c r="I223" s="3"/>
      <c r="J223" s="21">
        <f ca="1">_xlfn.XLOOKUP(Master[[#This Row],[Checklist]],Ref!A:A,Ref!B:B)*1000</f>
        <v>39000</v>
      </c>
      <c r="K223" s="21">
        <f ca="1">COUNTIF($J$2:Master[[#This Row],[ChecklistID]],Master[[#This Row],[ChecklistID]])-1</f>
        <v>2</v>
      </c>
      <c r="L223" s="23" t="s">
        <v>6</v>
      </c>
    </row>
    <row r="224" spans="1:12" ht="15.75">
      <c r="A224" s="23">
        <f t="shared" si="3"/>
        <v>223</v>
      </c>
      <c r="B224" s="21">
        <f ca="1">Master[[#This Row],[ChecklistID]]+Master[[#This Row],[Checklist Order]]</f>
        <v>39003</v>
      </c>
      <c r="C224" s="22"/>
      <c r="D224" s="3" t="str" cm="1">
        <f t="array" aca="1" ref="D224" ca="1">_xlfn.SWITCH(MID(Master[[#This Row],[Checklist]],1,4),"C - ","Civil","F - ","Foundation","ST -","Structure","FC -","Façade","PRE ","Pre-Line","POST","Post-Line","H - ","Handover","S - ","Services","CST ","Completion Docs", "I - ", "Inspection")</f>
        <v>Façade</v>
      </c>
      <c r="E224" s="23" t="str">
        <f ca="1">IF(NOT(ISERROR(SEARCH("- S -", Master[[#This Row],[Checklist]]))), "Subcontractor",IF(NOT(ISERROR(SEARCH("- R -", Master[[#This Row],[Checklist]]))), "Ryman",IF(NOT(ISERROR(SEARCH("- C -", Master[[#This Row],[Checklist]]))), "Consultant",IF(NOT(ISERROR(SEARCH("- I -", Master[[#This Row],[Checklist]]))),  "Inspection Test Plan", "Naming Error"))))</f>
        <v>Ryman</v>
      </c>
      <c r="F224" s="24" t="str">
        <f ca="1">IF(OR(Master[[#This Row],[Type]]="checklist", Master[[#This Row],[Type]]="checklist-flat"), Master[[#This Row],[Name]], F223)</f>
        <v xml:space="preserve">FC - R - Soffits </v>
      </c>
      <c r="G224" s="3" t="s">
        <v>58</v>
      </c>
      <c r="H224" s="24" t="s">
        <v>306</v>
      </c>
      <c r="I224" s="3"/>
      <c r="J224" s="21">
        <f ca="1">_xlfn.XLOOKUP(Master[[#This Row],[Checklist]],Ref!A:A,Ref!B:B)*1000</f>
        <v>39000</v>
      </c>
      <c r="K224" s="21">
        <f ca="1">COUNTIF($J$2:Master[[#This Row],[ChecklistID]],Master[[#This Row],[ChecklistID]])-1</f>
        <v>3</v>
      </c>
      <c r="L224" s="23" t="s">
        <v>6</v>
      </c>
    </row>
    <row r="225" spans="1:12" ht="15.75">
      <c r="A225" s="23">
        <f t="shared" si="3"/>
        <v>224</v>
      </c>
      <c r="B225" s="21">
        <f ca="1">Master[[#This Row],[ChecklistID]]+Master[[#This Row],[Checklist Order]]</f>
        <v>39004</v>
      </c>
      <c r="C225" s="22"/>
      <c r="D225" s="3" t="str" cm="1">
        <f t="array" aca="1" ref="D225" ca="1">_xlfn.SWITCH(MID(Master[[#This Row],[Checklist]],1,4),"C - ","Civil","F - ","Foundation","ST -","Structure","FC -","Façade","PRE ","Pre-Line","POST","Post-Line","H - ","Handover","S - ","Services","CST ","Completion Docs", "I - ", "Inspection")</f>
        <v>Façade</v>
      </c>
      <c r="E225" s="23" t="str">
        <f ca="1">IF(NOT(ISERROR(SEARCH("- S -", Master[[#This Row],[Checklist]]))), "Subcontractor",IF(NOT(ISERROR(SEARCH("- R -", Master[[#This Row],[Checklist]]))), "Ryman",IF(NOT(ISERROR(SEARCH("- C -", Master[[#This Row],[Checklist]]))), "Consultant",IF(NOT(ISERROR(SEARCH("- I -", Master[[#This Row],[Checklist]]))),  "Inspection Test Plan", "Naming Error"))))</f>
        <v>Ryman</v>
      </c>
      <c r="F225" s="24" t="str">
        <f ca="1">IF(OR(Master[[#This Row],[Type]]="checklist", Master[[#This Row],[Type]]="checklist-flat"), Master[[#This Row],[Name]], F224)</f>
        <v xml:space="preserve">FC - R - Soffits </v>
      </c>
      <c r="G225" s="3" t="s">
        <v>49</v>
      </c>
      <c r="H225" s="24" t="s">
        <v>1356</v>
      </c>
      <c r="I225" s="3"/>
      <c r="J225" s="21">
        <f ca="1">_xlfn.XLOOKUP(Master[[#This Row],[Checklist]],Ref!A:A,Ref!B:B)*1000</f>
        <v>39000</v>
      </c>
      <c r="K225" s="21">
        <f ca="1">COUNTIF($J$2:Master[[#This Row],[ChecklistID]],Master[[#This Row],[ChecklistID]])-1</f>
        <v>4</v>
      </c>
      <c r="L225" s="23" t="s">
        <v>6</v>
      </c>
    </row>
    <row r="226" spans="1:12" ht="15.75">
      <c r="A226" s="23">
        <f t="shared" si="3"/>
        <v>225</v>
      </c>
      <c r="B226" s="21">
        <f ca="1">Master[[#This Row],[ChecklistID]]+Master[[#This Row],[Checklist Order]]</f>
        <v>40000</v>
      </c>
      <c r="C226" s="22"/>
      <c r="D226" s="3" t="str" cm="1">
        <f t="array" aca="1" ref="D226" ca="1">_xlfn.SWITCH(MID(Master[[#This Row],[Checklist]],1,4),"C - ","Civil","F - ","Foundation","ST -","Structure","FC -","Façade","PRE ","Pre-Line","POST","Post-Line","H - ","Handover","S - ","Services","CST ","Completion Docs", "I - ", "Inspection")</f>
        <v>Façade</v>
      </c>
      <c r="E226" s="23" t="str">
        <f ca="1">IF(NOT(ISERROR(SEARCH("- S -", Master[[#This Row],[Checklist]]))), "Subcontractor",IF(NOT(ISERROR(SEARCH("- R -", Master[[#This Row],[Checklist]]))), "Ryman",IF(NOT(ISERROR(SEARCH("- C -", Master[[#This Row],[Checklist]]))), "Consultant",IF(NOT(ISERROR(SEARCH("- I -", Master[[#This Row],[Checklist]]))),  "Inspection Test Plan", "Naming Error"))))</f>
        <v>Ryman</v>
      </c>
      <c r="F226" s="24" t="str">
        <f ca="1">IF(OR(Master[[#This Row],[Type]]="checklist", Master[[#This Row],[Type]]="checklist-flat"), Master[[#This Row],[Name]], F225)</f>
        <v>FC - R - Balustrades Installation</v>
      </c>
      <c r="G226" s="3" t="s">
        <v>48</v>
      </c>
      <c r="H226" s="24" t="s">
        <v>1357</v>
      </c>
      <c r="I226" s="3"/>
      <c r="J226" s="21">
        <f ca="1">_xlfn.XLOOKUP(Master[[#This Row],[Checklist]],Ref!A:A,Ref!B:B)*1000</f>
        <v>40000</v>
      </c>
      <c r="K226" s="21">
        <f ca="1">COUNTIF($J$2:Master[[#This Row],[ChecklistID]],Master[[#This Row],[ChecklistID]])-1</f>
        <v>0</v>
      </c>
      <c r="L226" s="23" t="s">
        <v>6</v>
      </c>
    </row>
    <row r="227" spans="1:12" ht="31.5">
      <c r="A227" s="23">
        <f t="shared" si="3"/>
        <v>226</v>
      </c>
      <c r="B227" s="21">
        <f ca="1">Master[[#This Row],[ChecklistID]]+Master[[#This Row],[Checklist Order]]</f>
        <v>40001</v>
      </c>
      <c r="C227" s="22"/>
      <c r="D227" s="3" t="str" cm="1">
        <f t="array" aca="1" ref="D227" ca="1">_xlfn.SWITCH(MID(Master[[#This Row],[Checklist]],1,4),"C - ","Civil","F - ","Foundation","ST -","Structure","FC -","Façade","PRE ","Pre-Line","POST","Post-Line","H - ","Handover","S - ","Services","CST ","Completion Docs", "I - ", "Inspection")</f>
        <v>Façade</v>
      </c>
      <c r="E227" s="23" t="str">
        <f ca="1">IF(NOT(ISERROR(SEARCH("- S -", Master[[#This Row],[Checklist]]))), "Subcontractor",IF(NOT(ISERROR(SEARCH("- R -", Master[[#This Row],[Checklist]]))), "Ryman",IF(NOT(ISERROR(SEARCH("- C -", Master[[#This Row],[Checklist]]))), "Consultant",IF(NOT(ISERROR(SEARCH("- I -", Master[[#This Row],[Checklist]]))),  "Inspection Test Plan", "Naming Error"))))</f>
        <v>Ryman</v>
      </c>
      <c r="F227" s="24" t="str">
        <f ca="1">IF(OR(Master[[#This Row],[Type]]="checklist", Master[[#This Row],[Type]]="checklist-flat"), Master[[#This Row],[Name]], F226)</f>
        <v>FC - R - Balustrades Installation</v>
      </c>
      <c r="G227" s="3" t="s">
        <v>49</v>
      </c>
      <c r="H227" s="25" t="s">
        <v>1263</v>
      </c>
      <c r="I227" s="3"/>
      <c r="J227" s="21">
        <f ca="1">_xlfn.XLOOKUP(Master[[#This Row],[Checklist]],Ref!A:A,Ref!B:B)*1000</f>
        <v>40000</v>
      </c>
      <c r="K227" s="21">
        <f ca="1">COUNTIF($J$2:Master[[#This Row],[ChecklistID]],Master[[#This Row],[ChecklistID]])-1</f>
        <v>1</v>
      </c>
      <c r="L227" s="23" t="s">
        <v>6</v>
      </c>
    </row>
    <row r="228" spans="1:12" ht="15.75">
      <c r="A228" s="23">
        <f t="shared" si="3"/>
        <v>227</v>
      </c>
      <c r="B228" s="21">
        <f ca="1">Master[[#This Row],[ChecklistID]]+Master[[#This Row],[Checklist Order]]</f>
        <v>40002</v>
      </c>
      <c r="C228" s="22"/>
      <c r="D228" s="3" t="str" cm="1">
        <f t="array" aca="1" ref="D228" ca="1">_xlfn.SWITCH(MID(Master[[#This Row],[Checklist]],1,4),"C - ","Civil","F - ","Foundation","ST -","Structure","FC -","Façade","PRE ","Pre-Line","POST","Post-Line","H - ","Handover","S - ","Services","CST ","Completion Docs", "I - ", "Inspection")</f>
        <v>Façade</v>
      </c>
      <c r="E228" s="23" t="str">
        <f ca="1">IF(NOT(ISERROR(SEARCH("- S -", Master[[#This Row],[Checklist]]))), "Subcontractor",IF(NOT(ISERROR(SEARCH("- R -", Master[[#This Row],[Checklist]]))), "Ryman",IF(NOT(ISERROR(SEARCH("- C -", Master[[#This Row],[Checklist]]))), "Consultant",IF(NOT(ISERROR(SEARCH("- I -", Master[[#This Row],[Checklist]]))),  "Inspection Test Plan", "Naming Error"))))</f>
        <v>Ryman</v>
      </c>
      <c r="F228" s="24" t="str">
        <f ca="1">IF(OR(Master[[#This Row],[Type]]="checklist", Master[[#This Row],[Type]]="checklist-flat"), Master[[#This Row],[Name]], F227)</f>
        <v>FC - R - Balustrades Installation</v>
      </c>
      <c r="G228" s="3" t="s">
        <v>49</v>
      </c>
      <c r="H228" s="24" t="s">
        <v>1264</v>
      </c>
      <c r="I228" s="3"/>
      <c r="J228" s="21">
        <f ca="1">_xlfn.XLOOKUP(Master[[#This Row],[Checklist]],Ref!A:A,Ref!B:B)*1000</f>
        <v>40000</v>
      </c>
      <c r="K228" s="21">
        <f ca="1">COUNTIF($J$2:Master[[#This Row],[ChecklistID]],Master[[#This Row],[ChecklistID]])-1</f>
        <v>2</v>
      </c>
      <c r="L228" s="23" t="s">
        <v>6</v>
      </c>
    </row>
    <row r="229" spans="1:12" ht="15.75">
      <c r="A229" s="23">
        <f t="shared" si="3"/>
        <v>228</v>
      </c>
      <c r="B229" s="21">
        <f ca="1">Master[[#This Row],[ChecklistID]]+Master[[#This Row],[Checklist Order]]</f>
        <v>40003</v>
      </c>
      <c r="C229" s="22"/>
      <c r="D229" s="3" t="str" cm="1">
        <f t="array" aca="1" ref="D229" ca="1">_xlfn.SWITCH(MID(Master[[#This Row],[Checklist]],1,4),"C - ","Civil","F - ","Foundation","ST -","Structure","FC -","Façade","PRE ","Pre-Line","POST","Post-Line","H - ","Handover","S - ","Services","CST ","Completion Docs", "I - ", "Inspection")</f>
        <v>Façade</v>
      </c>
      <c r="E229" s="23" t="str">
        <f ca="1">IF(NOT(ISERROR(SEARCH("- S -", Master[[#This Row],[Checklist]]))), "Subcontractor",IF(NOT(ISERROR(SEARCH("- R -", Master[[#This Row],[Checklist]]))), "Ryman",IF(NOT(ISERROR(SEARCH("- C -", Master[[#This Row],[Checklist]]))), "Consultant",IF(NOT(ISERROR(SEARCH("- I -", Master[[#This Row],[Checklist]]))),  "Inspection Test Plan", "Naming Error"))))</f>
        <v>Ryman</v>
      </c>
      <c r="F229" s="24" t="str">
        <f ca="1">IF(OR(Master[[#This Row],[Type]]="checklist", Master[[#This Row],[Type]]="checklist-flat"), Master[[#This Row],[Name]], F228)</f>
        <v>FC - R - Balustrades Installation</v>
      </c>
      <c r="G229" s="3" t="s">
        <v>58</v>
      </c>
      <c r="H229" s="24" t="s">
        <v>306</v>
      </c>
      <c r="I229" s="3"/>
      <c r="J229" s="21">
        <f ca="1">_xlfn.XLOOKUP(Master[[#This Row],[Checklist]],Ref!A:A,Ref!B:B)*1000</f>
        <v>40000</v>
      </c>
      <c r="K229" s="21">
        <f ca="1">COUNTIF($J$2:Master[[#This Row],[ChecklistID]],Master[[#This Row],[ChecklistID]])-1</f>
        <v>3</v>
      </c>
      <c r="L229" s="23" t="s">
        <v>6</v>
      </c>
    </row>
    <row r="230" spans="1:12" ht="15.75">
      <c r="A230" s="23">
        <f t="shared" si="3"/>
        <v>229</v>
      </c>
      <c r="B230" s="21">
        <f ca="1">Master[[#This Row],[ChecklistID]]+Master[[#This Row],[Checklist Order]]</f>
        <v>40004</v>
      </c>
      <c r="C230" s="22"/>
      <c r="D230" s="3" t="str" cm="1">
        <f t="array" aca="1" ref="D230" ca="1">_xlfn.SWITCH(MID(Master[[#This Row],[Checklist]],1,4),"C - ","Civil","F - ","Foundation","ST -","Structure","FC -","Façade","PRE ","Pre-Line","POST","Post-Line","H - ","Handover","S - ","Services","CST ","Completion Docs", "I - ", "Inspection")</f>
        <v>Façade</v>
      </c>
      <c r="E230" s="23" t="str">
        <f ca="1">IF(NOT(ISERROR(SEARCH("- S -", Master[[#This Row],[Checklist]]))), "Subcontractor",IF(NOT(ISERROR(SEARCH("- R -", Master[[#This Row],[Checklist]]))), "Ryman",IF(NOT(ISERROR(SEARCH("- C -", Master[[#This Row],[Checklist]]))), "Consultant",IF(NOT(ISERROR(SEARCH("- I -", Master[[#This Row],[Checklist]]))),  "Inspection Test Plan", "Naming Error"))))</f>
        <v>Ryman</v>
      </c>
      <c r="F230" s="24" t="str">
        <f ca="1">IF(OR(Master[[#This Row],[Type]]="checklist", Master[[#This Row],[Type]]="checklist-flat"), Master[[#This Row],[Name]], F229)</f>
        <v>FC - R - Balustrades Installation</v>
      </c>
      <c r="G230" s="3" t="s">
        <v>49</v>
      </c>
      <c r="H230" s="24" t="s">
        <v>1358</v>
      </c>
      <c r="I230" s="3"/>
      <c r="J230" s="21">
        <f ca="1">_xlfn.XLOOKUP(Master[[#This Row],[Checklist]],Ref!A:A,Ref!B:B)*1000</f>
        <v>40000</v>
      </c>
      <c r="K230" s="21">
        <f ca="1">COUNTIF($J$2:Master[[#This Row],[ChecklistID]],Master[[#This Row],[ChecklistID]])-1</f>
        <v>4</v>
      </c>
      <c r="L230" s="23" t="s">
        <v>6</v>
      </c>
    </row>
    <row r="231" spans="1:12" ht="15.75">
      <c r="A231" s="23">
        <f t="shared" si="3"/>
        <v>230</v>
      </c>
      <c r="B231" s="21">
        <f ca="1">Master[[#This Row],[ChecklistID]]+Master[[#This Row],[Checklist Order]]</f>
        <v>41000</v>
      </c>
      <c r="C231" s="22"/>
      <c r="D231" s="3" t="str" cm="1">
        <f t="array" aca="1" ref="D231" ca="1">_xlfn.SWITCH(MID(Master[[#This Row],[Checklist]],1,4),"C - ","Civil","F - ","Foundation","ST -","Structure","FC -","Façade","PRE ","Pre-Line","POST","Post-Line","H - ","Handover","S - ","Services","CST ","Completion Docs", "I - ", "Inspection")</f>
        <v>Façade</v>
      </c>
      <c r="E231" s="23" t="str">
        <f ca="1">IF(NOT(ISERROR(SEARCH("- S -", Master[[#This Row],[Checklist]]))), "Subcontractor",IF(NOT(ISERROR(SEARCH("- R -", Master[[#This Row],[Checklist]]))), "Ryman",IF(NOT(ISERROR(SEARCH("- C -", Master[[#This Row],[Checklist]]))), "Consultant",IF(NOT(ISERROR(SEARCH("- I -", Master[[#This Row],[Checklist]]))),  "Inspection Test Plan", "Naming Error"))))</f>
        <v>Ryman</v>
      </c>
      <c r="F231" s="24" t="str">
        <f ca="1">IF(OR(Master[[#This Row],[Type]]="checklist", Master[[#This Row],[Type]]="checklist-flat"), Master[[#This Row],[Name]], F230)</f>
        <v>FC - R - Exterior Tiling</v>
      </c>
      <c r="G231" s="3" t="s">
        <v>48</v>
      </c>
      <c r="H231" s="24" t="s">
        <v>1359</v>
      </c>
      <c r="I231" s="3"/>
      <c r="J231" s="21">
        <f ca="1">_xlfn.XLOOKUP(Master[[#This Row],[Checklist]],Ref!A:A,Ref!B:B)*1000</f>
        <v>41000</v>
      </c>
      <c r="K231" s="21">
        <f ca="1">COUNTIF($J$2:Master[[#This Row],[ChecklistID]],Master[[#This Row],[ChecklistID]])-1</f>
        <v>0</v>
      </c>
      <c r="L231" s="23" t="s">
        <v>6</v>
      </c>
    </row>
    <row r="232" spans="1:12" ht="31.5">
      <c r="A232" s="23">
        <f t="shared" si="3"/>
        <v>231</v>
      </c>
      <c r="B232" s="21">
        <f ca="1">Master[[#This Row],[ChecklistID]]+Master[[#This Row],[Checklist Order]]</f>
        <v>41001</v>
      </c>
      <c r="C232" s="22"/>
      <c r="D232" s="3" t="str" cm="1">
        <f t="array" aca="1" ref="D232" ca="1">_xlfn.SWITCH(MID(Master[[#This Row],[Checklist]],1,4),"C - ","Civil","F - ","Foundation","ST -","Structure","FC -","Façade","PRE ","Pre-Line","POST","Post-Line","H - ","Handover","S - ","Services","CST ","Completion Docs", "I - ", "Inspection")</f>
        <v>Façade</v>
      </c>
      <c r="E232" s="23" t="str">
        <f ca="1">IF(NOT(ISERROR(SEARCH("- S -", Master[[#This Row],[Checklist]]))), "Subcontractor",IF(NOT(ISERROR(SEARCH("- R -", Master[[#This Row],[Checklist]]))), "Ryman",IF(NOT(ISERROR(SEARCH("- C -", Master[[#This Row],[Checklist]]))), "Consultant",IF(NOT(ISERROR(SEARCH("- I -", Master[[#This Row],[Checklist]]))),  "Inspection Test Plan", "Naming Error"))))</f>
        <v>Ryman</v>
      </c>
      <c r="F232" s="24" t="str">
        <f ca="1">IF(OR(Master[[#This Row],[Type]]="checklist", Master[[#This Row],[Type]]="checklist-flat"), Master[[#This Row],[Name]], F231)</f>
        <v>FC - R - Exterior Tiling</v>
      </c>
      <c r="G232" s="3" t="s">
        <v>49</v>
      </c>
      <c r="H232" s="25" t="s">
        <v>1263</v>
      </c>
      <c r="I232" s="3"/>
      <c r="J232" s="21">
        <f ca="1">_xlfn.XLOOKUP(Master[[#This Row],[Checklist]],Ref!A:A,Ref!B:B)*1000</f>
        <v>41000</v>
      </c>
      <c r="K232" s="21">
        <f ca="1">COUNTIF($J$2:Master[[#This Row],[ChecklistID]],Master[[#This Row],[ChecklistID]])-1</f>
        <v>1</v>
      </c>
      <c r="L232" s="23" t="s">
        <v>6</v>
      </c>
    </row>
    <row r="233" spans="1:12" ht="15.75">
      <c r="A233" s="23">
        <f t="shared" si="3"/>
        <v>232</v>
      </c>
      <c r="B233" s="21">
        <f ca="1">Master[[#This Row],[ChecklistID]]+Master[[#This Row],[Checklist Order]]</f>
        <v>41002</v>
      </c>
      <c r="C233" s="22"/>
      <c r="D233" s="3" t="str" cm="1">
        <f t="array" aca="1" ref="D233" ca="1">_xlfn.SWITCH(MID(Master[[#This Row],[Checklist]],1,4),"C - ","Civil","F - ","Foundation","ST -","Structure","FC -","Façade","PRE ","Pre-Line","POST","Post-Line","H - ","Handover","S - ","Services","CST ","Completion Docs", "I - ", "Inspection")</f>
        <v>Façade</v>
      </c>
      <c r="E233" s="23" t="str">
        <f ca="1">IF(NOT(ISERROR(SEARCH("- S -", Master[[#This Row],[Checklist]]))), "Subcontractor",IF(NOT(ISERROR(SEARCH("- R -", Master[[#This Row],[Checklist]]))), "Ryman",IF(NOT(ISERROR(SEARCH("- C -", Master[[#This Row],[Checklist]]))), "Consultant",IF(NOT(ISERROR(SEARCH("- I -", Master[[#This Row],[Checklist]]))),  "Inspection Test Plan", "Naming Error"))))</f>
        <v>Ryman</v>
      </c>
      <c r="F233" s="24" t="str">
        <f ca="1">IF(OR(Master[[#This Row],[Type]]="checklist", Master[[#This Row],[Type]]="checklist-flat"), Master[[#This Row],[Name]], F232)</f>
        <v>FC - R - Exterior Tiling</v>
      </c>
      <c r="G233" s="3" t="s">
        <v>49</v>
      </c>
      <c r="H233" s="24" t="s">
        <v>1264</v>
      </c>
      <c r="I233" s="3"/>
      <c r="J233" s="21">
        <f ca="1">_xlfn.XLOOKUP(Master[[#This Row],[Checklist]],Ref!A:A,Ref!B:B)*1000</f>
        <v>41000</v>
      </c>
      <c r="K233" s="21">
        <f ca="1">COUNTIF($J$2:Master[[#This Row],[ChecklistID]],Master[[#This Row],[ChecklistID]])-1</f>
        <v>2</v>
      </c>
      <c r="L233" s="23" t="s">
        <v>6</v>
      </c>
    </row>
    <row r="234" spans="1:12" ht="15.75">
      <c r="A234" s="23">
        <f t="shared" si="3"/>
        <v>233</v>
      </c>
      <c r="B234" s="21">
        <f ca="1">Master[[#This Row],[ChecklistID]]+Master[[#This Row],[Checklist Order]]</f>
        <v>41003</v>
      </c>
      <c r="C234" s="22"/>
      <c r="D234" s="3" t="str" cm="1">
        <f t="array" aca="1" ref="D234" ca="1">_xlfn.SWITCH(MID(Master[[#This Row],[Checklist]],1,4),"C - ","Civil","F - ","Foundation","ST -","Structure","FC -","Façade","PRE ","Pre-Line","POST","Post-Line","H - ","Handover","S - ","Services","CST ","Completion Docs", "I - ", "Inspection")</f>
        <v>Façade</v>
      </c>
      <c r="E234" s="23" t="str">
        <f ca="1">IF(NOT(ISERROR(SEARCH("- S -", Master[[#This Row],[Checklist]]))), "Subcontractor",IF(NOT(ISERROR(SEARCH("- R -", Master[[#This Row],[Checklist]]))), "Ryman",IF(NOT(ISERROR(SEARCH("- C -", Master[[#This Row],[Checklist]]))), "Consultant",IF(NOT(ISERROR(SEARCH("- I -", Master[[#This Row],[Checklist]]))),  "Inspection Test Plan", "Naming Error"))))</f>
        <v>Ryman</v>
      </c>
      <c r="F234" s="24" t="str">
        <f ca="1">IF(OR(Master[[#This Row],[Type]]="checklist", Master[[#This Row],[Type]]="checklist-flat"), Master[[#This Row],[Name]], F233)</f>
        <v>FC - R - Exterior Tiling</v>
      </c>
      <c r="G234" s="3" t="s">
        <v>58</v>
      </c>
      <c r="H234" s="24" t="s">
        <v>306</v>
      </c>
      <c r="I234" s="3"/>
      <c r="J234" s="21">
        <f ca="1">_xlfn.XLOOKUP(Master[[#This Row],[Checklist]],Ref!A:A,Ref!B:B)*1000</f>
        <v>41000</v>
      </c>
      <c r="K234" s="21">
        <f ca="1">COUNTIF($J$2:Master[[#This Row],[ChecklistID]],Master[[#This Row],[ChecklistID]])-1</f>
        <v>3</v>
      </c>
      <c r="L234" s="23" t="s">
        <v>6</v>
      </c>
    </row>
    <row r="235" spans="1:12" ht="15.75">
      <c r="A235" s="23">
        <f t="shared" si="3"/>
        <v>234</v>
      </c>
      <c r="B235" s="21">
        <f ca="1">Master[[#This Row],[ChecklistID]]+Master[[#This Row],[Checklist Order]]</f>
        <v>41004</v>
      </c>
      <c r="C235" s="22"/>
      <c r="D235" s="3" t="str" cm="1">
        <f t="array" aca="1" ref="D235" ca="1">_xlfn.SWITCH(MID(Master[[#This Row],[Checklist]],1,4),"C - ","Civil","F - ","Foundation","ST -","Structure","FC -","Façade","PRE ","Pre-Line","POST","Post-Line","H - ","Handover","S - ","Services","CST ","Completion Docs", "I - ", "Inspection")</f>
        <v>Façade</v>
      </c>
      <c r="E235" s="23" t="str">
        <f ca="1">IF(NOT(ISERROR(SEARCH("- S -", Master[[#This Row],[Checklist]]))), "Subcontractor",IF(NOT(ISERROR(SEARCH("- R -", Master[[#This Row],[Checklist]]))), "Ryman",IF(NOT(ISERROR(SEARCH("- C -", Master[[#This Row],[Checklist]]))), "Consultant",IF(NOT(ISERROR(SEARCH("- I -", Master[[#This Row],[Checklist]]))),  "Inspection Test Plan", "Naming Error"))))</f>
        <v>Ryman</v>
      </c>
      <c r="F235" s="24" t="str">
        <f ca="1">IF(OR(Master[[#This Row],[Type]]="checklist", Master[[#This Row],[Type]]="checklist-flat"), Master[[#This Row],[Name]], F234)</f>
        <v>FC - R - Exterior Tiling</v>
      </c>
      <c r="G235" s="3" t="s">
        <v>49</v>
      </c>
      <c r="H235" s="24" t="s">
        <v>1360</v>
      </c>
      <c r="I235" s="3"/>
      <c r="J235" s="21">
        <f ca="1">_xlfn.XLOOKUP(Master[[#This Row],[Checklist]],Ref!A:A,Ref!B:B)*1000</f>
        <v>41000</v>
      </c>
      <c r="K235" s="21">
        <f ca="1">COUNTIF($J$2:Master[[#This Row],[ChecklistID]],Master[[#This Row],[ChecklistID]])-1</f>
        <v>4</v>
      </c>
      <c r="L235" s="23" t="s">
        <v>6</v>
      </c>
    </row>
    <row r="236" spans="1:12" ht="15.75">
      <c r="A236" s="23">
        <f t="shared" si="3"/>
        <v>235</v>
      </c>
      <c r="B236" s="21">
        <f ca="1">Master[[#This Row],[ChecklistID]]+Master[[#This Row],[Checklist Order]]</f>
        <v>42000</v>
      </c>
      <c r="C236" s="22"/>
      <c r="D236" s="3" t="str" cm="1">
        <f t="array" aca="1" ref="D236" ca="1">_xlfn.SWITCH(MID(Master[[#This Row],[Checklist]],1,4),"C - ","Civil","F - ","Foundation","ST -","Structure","FC -","Façade","PRE ","Pre-Line","POST","Post-Line","H - ","Handover","S - ","Services","CST ","Completion Docs", "I - ", "Inspection")</f>
        <v>Façade</v>
      </c>
      <c r="E236" s="23" t="str">
        <f ca="1">IF(NOT(ISERROR(SEARCH("- S -", Master[[#This Row],[Checklist]]))), "Subcontractor",IF(NOT(ISERROR(SEARCH("- R -", Master[[#This Row],[Checklist]]))), "Ryman",IF(NOT(ISERROR(SEARCH("- C -", Master[[#This Row],[Checklist]]))), "Consultant",IF(NOT(ISERROR(SEARCH("- I -", Master[[#This Row],[Checklist]]))),  "Inspection Test Plan", "Naming Error"))))</f>
        <v>Ryman</v>
      </c>
      <c r="F236" s="24" t="str">
        <f ca="1">IF(OR(Master[[#This Row],[Type]]="checklist", Master[[#This Row],[Type]]="checklist-flat"), Master[[#This Row],[Name]], F235)</f>
        <v xml:space="preserve">FC - R - Flashing installation </v>
      </c>
      <c r="G236" s="3" t="s">
        <v>48</v>
      </c>
      <c r="H236" s="24" t="s">
        <v>1361</v>
      </c>
      <c r="I236" s="3"/>
      <c r="J236" s="21">
        <f ca="1">_xlfn.XLOOKUP(Master[[#This Row],[Checklist]],Ref!A:A,Ref!B:B)*1000</f>
        <v>42000</v>
      </c>
      <c r="K236" s="21">
        <f ca="1">COUNTIF($J$2:Master[[#This Row],[ChecklistID]],Master[[#This Row],[ChecklistID]])-1</f>
        <v>0</v>
      </c>
      <c r="L236" s="23" t="s">
        <v>6</v>
      </c>
    </row>
    <row r="237" spans="1:12" ht="15.75">
      <c r="A237" s="23">
        <f t="shared" si="3"/>
        <v>236</v>
      </c>
      <c r="B237" s="21">
        <f ca="1">Master[[#This Row],[ChecklistID]]+Master[[#This Row],[Checklist Order]]</f>
        <v>42001</v>
      </c>
      <c r="C237" s="22"/>
      <c r="D237" s="3" t="str" cm="1">
        <f t="array" aca="1" ref="D237" ca="1">_xlfn.SWITCH(MID(Master[[#This Row],[Checklist]],1,4),"C - ","Civil","F - ","Foundation","ST -","Structure","FC -","Façade","PRE ","Pre-Line","POST","Post-Line","H - ","Handover","S - ","Services","CST ","Completion Docs", "I - ", "Inspection")</f>
        <v>Façade</v>
      </c>
      <c r="E237" s="23" t="str">
        <f ca="1">IF(NOT(ISERROR(SEARCH("- S -", Master[[#This Row],[Checklist]]))), "Subcontractor",IF(NOT(ISERROR(SEARCH("- R -", Master[[#This Row],[Checklist]]))), "Ryman",IF(NOT(ISERROR(SEARCH("- C -", Master[[#This Row],[Checklist]]))), "Consultant",IF(NOT(ISERROR(SEARCH("- I -", Master[[#This Row],[Checklist]]))),  "Inspection Test Plan", "Naming Error"))))</f>
        <v>Ryman</v>
      </c>
      <c r="F237" s="24" t="str">
        <f ca="1">IF(OR(Master[[#This Row],[Type]]="checklist", Master[[#This Row],[Type]]="checklist-flat"), Master[[#This Row],[Name]], F236)</f>
        <v xml:space="preserve">FC - R - Flashing installation </v>
      </c>
      <c r="G237" s="3" t="s">
        <v>49</v>
      </c>
      <c r="H237" s="24" t="s">
        <v>1263</v>
      </c>
      <c r="I237" s="3"/>
      <c r="J237" s="21">
        <f ca="1">_xlfn.XLOOKUP(Master[[#This Row],[Checklist]],Ref!A:A,Ref!B:B)*1000</f>
        <v>42000</v>
      </c>
      <c r="K237" s="21">
        <f ca="1">COUNTIF($J$2:Master[[#This Row],[ChecklistID]],Master[[#This Row],[ChecklistID]])-1</f>
        <v>1</v>
      </c>
      <c r="L237" s="23" t="s">
        <v>6</v>
      </c>
    </row>
    <row r="238" spans="1:12" ht="15.75">
      <c r="A238" s="23">
        <f t="shared" si="3"/>
        <v>237</v>
      </c>
      <c r="B238" s="21">
        <f ca="1">Master[[#This Row],[ChecklistID]]+Master[[#This Row],[Checklist Order]]</f>
        <v>42002</v>
      </c>
      <c r="C238" s="22"/>
      <c r="D238" s="3" t="str" cm="1">
        <f t="array" aca="1" ref="D238" ca="1">_xlfn.SWITCH(MID(Master[[#This Row],[Checklist]],1,4),"C - ","Civil","F - ","Foundation","ST -","Structure","FC -","Façade","PRE ","Pre-Line","POST","Post-Line","H - ","Handover","S - ","Services","CST ","Completion Docs", "I - ", "Inspection")</f>
        <v>Façade</v>
      </c>
      <c r="E238" s="23" t="str">
        <f ca="1">IF(NOT(ISERROR(SEARCH("- S -", Master[[#This Row],[Checklist]]))), "Subcontractor",IF(NOT(ISERROR(SEARCH("- R -", Master[[#This Row],[Checklist]]))), "Ryman",IF(NOT(ISERROR(SEARCH("- C -", Master[[#This Row],[Checklist]]))), "Consultant",IF(NOT(ISERROR(SEARCH("- I -", Master[[#This Row],[Checklist]]))),  "Inspection Test Plan", "Naming Error"))))</f>
        <v>Ryman</v>
      </c>
      <c r="F238" s="24" t="str">
        <f ca="1">IF(OR(Master[[#This Row],[Type]]="checklist", Master[[#This Row],[Type]]="checklist-flat"), Master[[#This Row],[Name]], F237)</f>
        <v xml:space="preserve">FC - R - Flashing installation </v>
      </c>
      <c r="G238" s="3" t="s">
        <v>49</v>
      </c>
      <c r="H238" s="24" t="s">
        <v>1264</v>
      </c>
      <c r="I238" s="3"/>
      <c r="J238" s="21">
        <f ca="1">_xlfn.XLOOKUP(Master[[#This Row],[Checklist]],Ref!A:A,Ref!B:B)*1000</f>
        <v>42000</v>
      </c>
      <c r="K238" s="21">
        <f ca="1">COUNTIF($J$2:Master[[#This Row],[ChecklistID]],Master[[#This Row],[ChecklistID]])-1</f>
        <v>2</v>
      </c>
      <c r="L238" s="23" t="s">
        <v>6</v>
      </c>
    </row>
    <row r="239" spans="1:12" ht="15.75">
      <c r="A239" s="23">
        <f t="shared" si="3"/>
        <v>238</v>
      </c>
      <c r="B239" s="21">
        <f ca="1">Master[[#This Row],[ChecklistID]]+Master[[#This Row],[Checklist Order]]</f>
        <v>42003</v>
      </c>
      <c r="C239" s="22"/>
      <c r="D239" s="3" t="str" cm="1">
        <f t="array" aca="1" ref="D239" ca="1">_xlfn.SWITCH(MID(Master[[#This Row],[Checklist]],1,4),"C - ","Civil","F - ","Foundation","ST -","Structure","FC -","Façade","PRE ","Pre-Line","POST","Post-Line","H - ","Handover","S - ","Services","CST ","Completion Docs", "I - ", "Inspection")</f>
        <v>Façade</v>
      </c>
      <c r="E239" s="23" t="str">
        <f ca="1">IF(NOT(ISERROR(SEARCH("- S -", Master[[#This Row],[Checklist]]))), "Subcontractor",IF(NOT(ISERROR(SEARCH("- R -", Master[[#This Row],[Checklist]]))), "Ryman",IF(NOT(ISERROR(SEARCH("- C -", Master[[#This Row],[Checklist]]))), "Consultant",IF(NOT(ISERROR(SEARCH("- I -", Master[[#This Row],[Checklist]]))),  "Inspection Test Plan", "Naming Error"))))</f>
        <v>Ryman</v>
      </c>
      <c r="F239" s="24" t="str">
        <f ca="1">IF(OR(Master[[#This Row],[Type]]="checklist", Master[[#This Row],[Type]]="checklist-flat"), Master[[#This Row],[Name]], F238)</f>
        <v xml:space="preserve">FC - R - Flashing installation </v>
      </c>
      <c r="G239" s="3" t="s">
        <v>58</v>
      </c>
      <c r="H239" s="24" t="s">
        <v>306</v>
      </c>
      <c r="I239" s="3"/>
      <c r="J239" s="21">
        <f ca="1">_xlfn.XLOOKUP(Master[[#This Row],[Checklist]],Ref!A:A,Ref!B:B)*1000</f>
        <v>42000</v>
      </c>
      <c r="K239" s="21">
        <f ca="1">COUNTIF($J$2:Master[[#This Row],[ChecklistID]],Master[[#This Row],[ChecklistID]])-1</f>
        <v>3</v>
      </c>
      <c r="L239" s="23" t="s">
        <v>6</v>
      </c>
    </row>
    <row r="240" spans="1:12" ht="15.75">
      <c r="A240" s="23">
        <f t="shared" si="3"/>
        <v>239</v>
      </c>
      <c r="B240" s="21">
        <f ca="1">Master[[#This Row],[ChecklistID]]+Master[[#This Row],[Checklist Order]]</f>
        <v>42004</v>
      </c>
      <c r="C240" s="22"/>
      <c r="D240" s="3" t="str" cm="1">
        <f t="array" aca="1" ref="D240" ca="1">_xlfn.SWITCH(MID(Master[[#This Row],[Checklist]],1,4),"C - ","Civil","F - ","Foundation","ST -","Structure","FC -","Façade","PRE ","Pre-Line","POST","Post-Line","H - ","Handover","S - ","Services","CST ","Completion Docs", "I - ", "Inspection")</f>
        <v>Façade</v>
      </c>
      <c r="E240" s="23" t="str">
        <f ca="1">IF(NOT(ISERROR(SEARCH("- S -", Master[[#This Row],[Checklist]]))), "Subcontractor",IF(NOT(ISERROR(SEARCH("- R -", Master[[#This Row],[Checklist]]))), "Ryman",IF(NOT(ISERROR(SEARCH("- C -", Master[[#This Row],[Checklist]]))), "Consultant",IF(NOT(ISERROR(SEARCH("- I -", Master[[#This Row],[Checklist]]))),  "Inspection Test Plan", "Naming Error"))))</f>
        <v>Ryman</v>
      </c>
      <c r="F240" s="24" t="str">
        <f ca="1">IF(OR(Master[[#This Row],[Type]]="checklist", Master[[#This Row],[Type]]="checklist-flat"), Master[[#This Row],[Name]], F239)</f>
        <v xml:space="preserve">FC - R - Flashing installation </v>
      </c>
      <c r="G240" s="3" t="s">
        <v>49</v>
      </c>
      <c r="H240" s="24" t="s">
        <v>1362</v>
      </c>
      <c r="I240" s="3"/>
      <c r="J240" s="21">
        <f ca="1">_xlfn.XLOOKUP(Master[[#This Row],[Checklist]],Ref!A:A,Ref!B:B)*1000</f>
        <v>42000</v>
      </c>
      <c r="K240" s="21">
        <f ca="1">COUNTIF($J$2:Master[[#This Row],[ChecklistID]],Master[[#This Row],[ChecklistID]])-1</f>
        <v>4</v>
      </c>
      <c r="L240" s="23" t="s">
        <v>6</v>
      </c>
    </row>
    <row r="241" spans="1:12" ht="15.75">
      <c r="A241" s="23">
        <f t="shared" si="3"/>
        <v>240</v>
      </c>
      <c r="B241" s="21">
        <f ca="1">Master[[#This Row],[ChecklistID]]+Master[[#This Row],[Checklist Order]]</f>
        <v>43000</v>
      </c>
      <c r="C241" s="22"/>
      <c r="D241" s="3" t="str" cm="1">
        <f t="array" aca="1" ref="D241" ca="1">_xlfn.SWITCH(MID(Master[[#This Row],[Checklist]],1,4),"C - ","Civil","F - ","Foundation","ST -","Structure","FC -","Façade","PRE ","Pre-Line","POST","Post-Line","H - ","Handover","S - ","Services","CST ","Completion Docs", "I - ", "Inspection")</f>
        <v>Façade</v>
      </c>
      <c r="E241" s="23" t="str">
        <f ca="1">IF(NOT(ISERROR(SEARCH("- S -", Master[[#This Row],[Checklist]]))), "Subcontractor",IF(NOT(ISERROR(SEARCH("- R -", Master[[#This Row],[Checklist]]))), "Ryman",IF(NOT(ISERROR(SEARCH("- C -", Master[[#This Row],[Checklist]]))), "Consultant",IF(NOT(ISERROR(SEARCH("- I -", Master[[#This Row],[Checklist]]))),  "Inspection Test Plan", "Naming Error"))))</f>
        <v>Ryman</v>
      </c>
      <c r="F241" s="24" t="str">
        <f ca="1">IF(OR(Master[[#This Row],[Type]]="checklist", Master[[#This Row],[Type]]="checklist-flat"), Master[[#This Row],[Name]], F240)</f>
        <v>FC - R - Brick Works</v>
      </c>
      <c r="G241" s="3" t="s">
        <v>48</v>
      </c>
      <c r="H241" s="24" t="s">
        <v>1363</v>
      </c>
      <c r="I241" s="3"/>
      <c r="J241" s="21">
        <f ca="1">_xlfn.XLOOKUP(Master[[#This Row],[Checklist]],Ref!A:A,Ref!B:B)*1000</f>
        <v>43000</v>
      </c>
      <c r="K241" s="21">
        <f ca="1">COUNTIF($J$2:Master[[#This Row],[ChecklistID]],Master[[#This Row],[ChecklistID]])-1</f>
        <v>0</v>
      </c>
      <c r="L241" s="23" t="s">
        <v>6</v>
      </c>
    </row>
    <row r="242" spans="1:12" ht="31.5">
      <c r="A242" s="23">
        <f t="shared" si="3"/>
        <v>241</v>
      </c>
      <c r="B242" s="21">
        <f ca="1">Master[[#This Row],[ChecklistID]]+Master[[#This Row],[Checklist Order]]</f>
        <v>43001</v>
      </c>
      <c r="C242" s="22"/>
      <c r="D242" s="3" t="str" cm="1">
        <f t="array" aca="1" ref="D242" ca="1">_xlfn.SWITCH(MID(Master[[#This Row],[Checklist]],1,4),"C - ","Civil","F - ","Foundation","ST -","Structure","FC -","Façade","PRE ","Pre-Line","POST","Post-Line","H - ","Handover","S - ","Services","CST ","Completion Docs", "I - ", "Inspection")</f>
        <v>Façade</v>
      </c>
      <c r="E242" s="23" t="str">
        <f ca="1">IF(NOT(ISERROR(SEARCH("- S -", Master[[#This Row],[Checklist]]))), "Subcontractor",IF(NOT(ISERROR(SEARCH("- R -", Master[[#This Row],[Checklist]]))), "Ryman",IF(NOT(ISERROR(SEARCH("- C -", Master[[#This Row],[Checklist]]))), "Consultant",IF(NOT(ISERROR(SEARCH("- I -", Master[[#This Row],[Checklist]]))),  "Inspection Test Plan", "Naming Error"))))</f>
        <v>Ryman</v>
      </c>
      <c r="F242" s="24" t="str">
        <f ca="1">IF(OR(Master[[#This Row],[Type]]="checklist", Master[[#This Row],[Type]]="checklist-flat"), Master[[#This Row],[Name]], F241)</f>
        <v>FC - R - Brick Works</v>
      </c>
      <c r="G242" s="3" t="s">
        <v>49</v>
      </c>
      <c r="H242" s="25" t="s">
        <v>1263</v>
      </c>
      <c r="I242" s="3"/>
      <c r="J242" s="21">
        <f ca="1">_xlfn.XLOOKUP(Master[[#This Row],[Checklist]],Ref!A:A,Ref!B:B)*1000</f>
        <v>43000</v>
      </c>
      <c r="K242" s="21">
        <f ca="1">COUNTIF($J$2:Master[[#This Row],[ChecklistID]],Master[[#This Row],[ChecklistID]])-1</f>
        <v>1</v>
      </c>
      <c r="L242" s="23" t="s">
        <v>6</v>
      </c>
    </row>
    <row r="243" spans="1:12" ht="15.75">
      <c r="A243" s="23">
        <f t="shared" si="3"/>
        <v>242</v>
      </c>
      <c r="B243" s="21">
        <f ca="1">Master[[#This Row],[ChecklistID]]+Master[[#This Row],[Checklist Order]]</f>
        <v>43002</v>
      </c>
      <c r="C243" s="22"/>
      <c r="D243" s="3" t="str" cm="1">
        <f t="array" aca="1" ref="D243" ca="1">_xlfn.SWITCH(MID(Master[[#This Row],[Checklist]],1,4),"C - ","Civil","F - ","Foundation","ST -","Structure","FC -","Façade","PRE ","Pre-Line","POST","Post-Line","H - ","Handover","S - ","Services","CST ","Completion Docs", "I - ", "Inspection")</f>
        <v>Façade</v>
      </c>
      <c r="E243" s="23" t="str">
        <f ca="1">IF(NOT(ISERROR(SEARCH("- S -", Master[[#This Row],[Checklist]]))), "Subcontractor",IF(NOT(ISERROR(SEARCH("- R -", Master[[#This Row],[Checklist]]))), "Ryman",IF(NOT(ISERROR(SEARCH("- C -", Master[[#This Row],[Checklist]]))), "Consultant",IF(NOT(ISERROR(SEARCH("- I -", Master[[#This Row],[Checklist]]))),  "Inspection Test Plan", "Naming Error"))))</f>
        <v>Ryman</v>
      </c>
      <c r="F243" s="24" t="str">
        <f ca="1">IF(OR(Master[[#This Row],[Type]]="checklist", Master[[#This Row],[Type]]="checklist-flat"), Master[[#This Row],[Name]], F242)</f>
        <v>FC - R - Brick Works</v>
      </c>
      <c r="G243" s="3" t="s">
        <v>49</v>
      </c>
      <c r="H243" s="24" t="s">
        <v>1264</v>
      </c>
      <c r="I243" s="3"/>
      <c r="J243" s="21">
        <f ca="1">_xlfn.XLOOKUP(Master[[#This Row],[Checklist]],Ref!A:A,Ref!B:B)*1000</f>
        <v>43000</v>
      </c>
      <c r="K243" s="21">
        <f ca="1">COUNTIF($J$2:Master[[#This Row],[ChecklistID]],Master[[#This Row],[ChecklistID]])-1</f>
        <v>2</v>
      </c>
      <c r="L243" s="23" t="s">
        <v>6</v>
      </c>
    </row>
    <row r="244" spans="1:12" ht="15.75">
      <c r="A244" s="23">
        <f t="shared" si="3"/>
        <v>243</v>
      </c>
      <c r="B244" s="21">
        <f ca="1">Master[[#This Row],[ChecklistID]]+Master[[#This Row],[Checklist Order]]</f>
        <v>43003</v>
      </c>
      <c r="C244" s="22"/>
      <c r="D244" s="3" t="str" cm="1">
        <f t="array" aca="1" ref="D244" ca="1">_xlfn.SWITCH(MID(Master[[#This Row],[Checklist]],1,4),"C - ","Civil","F - ","Foundation","ST -","Structure","FC -","Façade","PRE ","Pre-Line","POST","Post-Line","H - ","Handover","S - ","Services","CST ","Completion Docs", "I - ", "Inspection")</f>
        <v>Façade</v>
      </c>
      <c r="E244" s="23" t="str">
        <f ca="1">IF(NOT(ISERROR(SEARCH("- S -", Master[[#This Row],[Checklist]]))), "Subcontractor",IF(NOT(ISERROR(SEARCH("- R -", Master[[#This Row],[Checklist]]))), "Ryman",IF(NOT(ISERROR(SEARCH("- C -", Master[[#This Row],[Checklist]]))), "Consultant",IF(NOT(ISERROR(SEARCH("- I -", Master[[#This Row],[Checklist]]))),  "Inspection Test Plan", "Naming Error"))))</f>
        <v>Ryman</v>
      </c>
      <c r="F244" s="24" t="str">
        <f ca="1">IF(OR(Master[[#This Row],[Type]]="checklist", Master[[#This Row],[Type]]="checklist-flat"), Master[[#This Row],[Name]], F243)</f>
        <v>FC - R - Brick Works</v>
      </c>
      <c r="G244" s="3" t="s">
        <v>58</v>
      </c>
      <c r="H244" s="24" t="s">
        <v>306</v>
      </c>
      <c r="I244" s="3"/>
      <c r="J244" s="21">
        <f ca="1">_xlfn.XLOOKUP(Master[[#This Row],[Checklist]],Ref!A:A,Ref!B:B)*1000</f>
        <v>43000</v>
      </c>
      <c r="K244" s="21">
        <f ca="1">COUNTIF($J$2:Master[[#This Row],[ChecklistID]],Master[[#This Row],[ChecklistID]])-1</f>
        <v>3</v>
      </c>
      <c r="L244" s="23" t="s">
        <v>6</v>
      </c>
    </row>
    <row r="245" spans="1:12" ht="15.75">
      <c r="A245" s="23">
        <f t="shared" si="3"/>
        <v>244</v>
      </c>
      <c r="B245" s="21">
        <f ca="1">Master[[#This Row],[ChecklistID]]+Master[[#This Row],[Checklist Order]]</f>
        <v>43004</v>
      </c>
      <c r="C245" s="22"/>
      <c r="D245" s="3" t="str" cm="1">
        <f t="array" aca="1" ref="D245" ca="1">_xlfn.SWITCH(MID(Master[[#This Row],[Checklist]],1,4),"C - ","Civil","F - ","Foundation","ST -","Structure","FC -","Façade","PRE ","Pre-Line","POST","Post-Line","H - ","Handover","S - ","Services","CST ","Completion Docs", "I - ", "Inspection")</f>
        <v>Façade</v>
      </c>
      <c r="E245" s="23" t="str">
        <f ca="1">IF(NOT(ISERROR(SEARCH("- S -", Master[[#This Row],[Checklist]]))), "Subcontractor",IF(NOT(ISERROR(SEARCH("- R -", Master[[#This Row],[Checklist]]))), "Ryman",IF(NOT(ISERROR(SEARCH("- C -", Master[[#This Row],[Checklist]]))), "Consultant",IF(NOT(ISERROR(SEARCH("- I -", Master[[#This Row],[Checklist]]))),  "Inspection Test Plan", "Naming Error"))))</f>
        <v>Ryman</v>
      </c>
      <c r="F245" s="24" t="str">
        <f ca="1">IF(OR(Master[[#This Row],[Type]]="checklist", Master[[#This Row],[Type]]="checklist-flat"), Master[[#This Row],[Name]], F244)</f>
        <v>FC - R - Brick Works</v>
      </c>
      <c r="G245" s="3" t="s">
        <v>49</v>
      </c>
      <c r="H245" s="24" t="s">
        <v>1364</v>
      </c>
      <c r="I245" s="3"/>
      <c r="J245" s="21">
        <f ca="1">_xlfn.XLOOKUP(Master[[#This Row],[Checklist]],Ref!A:A,Ref!B:B)*1000</f>
        <v>43000</v>
      </c>
      <c r="K245" s="21">
        <f ca="1">COUNTIF($J$2:Master[[#This Row],[ChecklistID]],Master[[#This Row],[ChecklistID]])-1</f>
        <v>4</v>
      </c>
      <c r="L245" s="23" t="s">
        <v>6</v>
      </c>
    </row>
    <row r="246" spans="1:12" ht="15.75">
      <c r="A246" s="23">
        <f t="shared" si="3"/>
        <v>245</v>
      </c>
      <c r="B246" s="21">
        <f ca="1">Master[[#This Row],[ChecklistID]]+Master[[#This Row],[Checklist Order]]</f>
        <v>44000</v>
      </c>
      <c r="C246" s="22"/>
      <c r="D246" s="3" t="str" cm="1">
        <f t="array" aca="1" ref="D246" ca="1">_xlfn.SWITCH(MID(Master[[#This Row],[Checklist]],1,4),"C - ","Civil","F - ","Foundation","ST -","Structure","FC -","Façade","PRE ","Pre-Line","POST","Post-Line","H - ","Handover","S - ","Services","CST ","Completion Docs", "I - ", "Inspection")</f>
        <v>Façade</v>
      </c>
      <c r="E246" s="23" t="str">
        <f ca="1">IF(NOT(ISERROR(SEARCH("- S -", Master[[#This Row],[Checklist]]))), "Subcontractor",IF(NOT(ISERROR(SEARCH("- R -", Master[[#This Row],[Checklist]]))), "Ryman",IF(NOT(ISERROR(SEARCH("- C -", Master[[#This Row],[Checklist]]))), "Consultant",IF(NOT(ISERROR(SEARCH("- I -", Master[[#This Row],[Checklist]]))),  "Inspection Test Plan", "Naming Error"))))</f>
        <v>Ryman</v>
      </c>
      <c r="F246" s="24" t="str">
        <f ca="1">IF(OR(Master[[#This Row],[Type]]="checklist", Master[[#This Row],[Type]]="checklist-flat"), Master[[#This Row],[Name]], F245)</f>
        <v>FC - R - Balconies</v>
      </c>
      <c r="G246" s="3" t="s">
        <v>48</v>
      </c>
      <c r="H246" s="24" t="s">
        <v>1365</v>
      </c>
      <c r="I246" s="3"/>
      <c r="J246" s="21">
        <f ca="1">_xlfn.XLOOKUP(Master[[#This Row],[Checklist]],Ref!A:A,Ref!B:B)*1000</f>
        <v>44000</v>
      </c>
      <c r="K246" s="21">
        <f ca="1">COUNTIF($J$2:Master[[#This Row],[ChecklistID]],Master[[#This Row],[ChecklistID]])-1</f>
        <v>0</v>
      </c>
      <c r="L246" s="23" t="s">
        <v>6</v>
      </c>
    </row>
    <row r="247" spans="1:12" ht="15.75">
      <c r="A247" s="23">
        <f t="shared" si="3"/>
        <v>246</v>
      </c>
      <c r="B247" s="21">
        <f ca="1">Master[[#This Row],[ChecklistID]]+Master[[#This Row],[Checklist Order]]</f>
        <v>44001</v>
      </c>
      <c r="C247" s="22"/>
      <c r="D247" s="3" t="str" cm="1">
        <f t="array" aca="1" ref="D247" ca="1">_xlfn.SWITCH(MID(Master[[#This Row],[Checklist]],1,4),"C - ","Civil","F - ","Foundation","ST -","Structure","FC -","Façade","PRE ","Pre-Line","POST","Post-Line","H - ","Handover","S - ","Services","CST ","Completion Docs", "I - ", "Inspection")</f>
        <v>Façade</v>
      </c>
      <c r="E247" s="23" t="str">
        <f ca="1">IF(NOT(ISERROR(SEARCH("- S -", Master[[#This Row],[Checklist]]))), "Subcontractor",IF(NOT(ISERROR(SEARCH("- R -", Master[[#This Row],[Checklist]]))), "Ryman",IF(NOT(ISERROR(SEARCH("- C -", Master[[#This Row],[Checklist]]))), "Consultant",IF(NOT(ISERROR(SEARCH("- I -", Master[[#This Row],[Checklist]]))),  "Inspection Test Plan", "Naming Error"))))</f>
        <v>Ryman</v>
      </c>
      <c r="F247" s="24" t="str">
        <f ca="1">IF(OR(Master[[#This Row],[Type]]="checklist", Master[[#This Row],[Type]]="checklist-flat"), Master[[#This Row],[Name]], F246)</f>
        <v>FC - R - Balconies</v>
      </c>
      <c r="G247" s="26" t="s">
        <v>49</v>
      </c>
      <c r="H247" s="27" t="s">
        <v>1366</v>
      </c>
      <c r="I247" s="26"/>
      <c r="J247" s="21">
        <f ca="1">_xlfn.XLOOKUP(Master[[#This Row],[Checklist]],Ref!A:A,Ref!B:B)*1000</f>
        <v>44000</v>
      </c>
      <c r="K247" s="21">
        <f ca="1">COUNTIF($J$2:Master[[#This Row],[ChecklistID]],Master[[#This Row],[ChecklistID]])-1</f>
        <v>1</v>
      </c>
      <c r="L247" s="23" t="s">
        <v>6</v>
      </c>
    </row>
    <row r="248" spans="1:12" ht="15.75">
      <c r="A248" s="23">
        <f t="shared" si="3"/>
        <v>247</v>
      </c>
      <c r="B248" s="21">
        <f ca="1">Master[[#This Row],[ChecklistID]]+Master[[#This Row],[Checklist Order]]</f>
        <v>44002</v>
      </c>
      <c r="C248" s="22"/>
      <c r="D248" s="3" t="str" cm="1">
        <f t="array" aca="1" ref="D248" ca="1">_xlfn.SWITCH(MID(Master[[#This Row],[Checklist]],1,4),"C - ","Civil","F - ","Foundation","ST -","Structure","FC -","Façade","PRE ","Pre-Line","POST","Post-Line","H - ","Handover","S - ","Services","CST ","Completion Docs", "I - ", "Inspection")</f>
        <v>Façade</v>
      </c>
      <c r="E248" s="23" t="str">
        <f ca="1">IF(NOT(ISERROR(SEARCH("- S -", Master[[#This Row],[Checklist]]))), "Subcontractor",IF(NOT(ISERROR(SEARCH("- R -", Master[[#This Row],[Checklist]]))), "Ryman",IF(NOT(ISERROR(SEARCH("- C -", Master[[#This Row],[Checklist]]))), "Consultant",IF(NOT(ISERROR(SEARCH("- I -", Master[[#This Row],[Checklist]]))),  "Inspection Test Plan", "Naming Error"))))</f>
        <v>Ryman</v>
      </c>
      <c r="F248" s="24" t="str">
        <f ca="1">IF(OR(Master[[#This Row],[Type]]="checklist", Master[[#This Row],[Type]]="checklist-flat"), Master[[#This Row],[Name]], F247)</f>
        <v>FC - R - Balconies</v>
      </c>
      <c r="G248" s="26" t="s">
        <v>49</v>
      </c>
      <c r="H248" s="27" t="s">
        <v>1367</v>
      </c>
      <c r="I248" s="26"/>
      <c r="J248" s="21">
        <f ca="1">_xlfn.XLOOKUP(Master[[#This Row],[Checklist]],Ref!A:A,Ref!B:B)*1000</f>
        <v>44000</v>
      </c>
      <c r="K248" s="21">
        <f ca="1">COUNTIF($J$2:Master[[#This Row],[ChecklistID]],Master[[#This Row],[ChecklistID]])-1</f>
        <v>2</v>
      </c>
      <c r="L248" s="23" t="s">
        <v>6</v>
      </c>
    </row>
    <row r="249" spans="1:12" ht="15.75">
      <c r="A249" s="23">
        <f t="shared" si="3"/>
        <v>248</v>
      </c>
      <c r="B249" s="21">
        <f ca="1">Master[[#This Row],[ChecklistID]]+Master[[#This Row],[Checklist Order]]</f>
        <v>44003</v>
      </c>
      <c r="C249" s="22"/>
      <c r="D249" s="3" t="str" cm="1">
        <f t="array" aca="1" ref="D249" ca="1">_xlfn.SWITCH(MID(Master[[#This Row],[Checklist]],1,4),"C - ","Civil","F - ","Foundation","ST -","Structure","FC -","Façade","PRE ","Pre-Line","POST","Post-Line","H - ","Handover","S - ","Services","CST ","Completion Docs", "I - ", "Inspection")</f>
        <v>Façade</v>
      </c>
      <c r="E249" s="23" t="str">
        <f ca="1">IF(NOT(ISERROR(SEARCH("- S -", Master[[#This Row],[Checklist]]))), "Subcontractor",IF(NOT(ISERROR(SEARCH("- R -", Master[[#This Row],[Checklist]]))), "Ryman",IF(NOT(ISERROR(SEARCH("- C -", Master[[#This Row],[Checklist]]))), "Consultant",IF(NOT(ISERROR(SEARCH("- I -", Master[[#This Row],[Checklist]]))),  "Inspection Test Plan", "Naming Error"))))</f>
        <v>Ryman</v>
      </c>
      <c r="F249" s="24" t="str">
        <f ca="1">IF(OR(Master[[#This Row],[Type]]="checklist", Master[[#This Row],[Type]]="checklist-flat"), Master[[#This Row],[Name]], F248)</f>
        <v>FC - R - Balconies</v>
      </c>
      <c r="G249" s="26" t="s">
        <v>49</v>
      </c>
      <c r="H249" s="27" t="s">
        <v>1368</v>
      </c>
      <c r="I249" s="26"/>
      <c r="J249" s="21">
        <f ca="1">_xlfn.XLOOKUP(Master[[#This Row],[Checklist]],Ref!A:A,Ref!B:B)*1000</f>
        <v>44000</v>
      </c>
      <c r="K249" s="21">
        <f ca="1">COUNTIF($J$2:Master[[#This Row],[ChecklistID]],Master[[#This Row],[ChecklistID]])-1</f>
        <v>3</v>
      </c>
      <c r="L249" s="23" t="s">
        <v>6</v>
      </c>
    </row>
    <row r="250" spans="1:12" ht="15.75">
      <c r="A250" s="23">
        <f t="shared" si="3"/>
        <v>249</v>
      </c>
      <c r="B250" s="21">
        <f ca="1">Master[[#This Row],[ChecklistID]]+Master[[#This Row],[Checklist Order]]</f>
        <v>44004</v>
      </c>
      <c r="C250" s="22"/>
      <c r="D250" s="3" t="str" cm="1">
        <f t="array" aca="1" ref="D250" ca="1">_xlfn.SWITCH(MID(Master[[#This Row],[Checklist]],1,4),"C - ","Civil","F - ","Foundation","ST -","Structure","FC -","Façade","PRE ","Pre-Line","POST","Post-Line","H - ","Handover","S - ","Services","CST ","Completion Docs", "I - ", "Inspection")</f>
        <v>Façade</v>
      </c>
      <c r="E250" s="23" t="str">
        <f ca="1">IF(NOT(ISERROR(SEARCH("- S -", Master[[#This Row],[Checklist]]))), "Subcontractor",IF(NOT(ISERROR(SEARCH("- R -", Master[[#This Row],[Checklist]]))), "Ryman",IF(NOT(ISERROR(SEARCH("- C -", Master[[#This Row],[Checklist]]))), "Consultant",IF(NOT(ISERROR(SEARCH("- I -", Master[[#This Row],[Checklist]]))),  "Inspection Test Plan", "Naming Error"))))</f>
        <v>Ryman</v>
      </c>
      <c r="F250" s="24" t="str">
        <f ca="1">IF(OR(Master[[#This Row],[Type]]="checklist", Master[[#This Row],[Type]]="checklist-flat"), Master[[#This Row],[Name]], F249)</f>
        <v>FC - R - Balconies</v>
      </c>
      <c r="G250" s="26" t="s">
        <v>49</v>
      </c>
      <c r="H250" s="27" t="s">
        <v>1369</v>
      </c>
      <c r="I250" s="26"/>
      <c r="J250" s="21">
        <f ca="1">_xlfn.XLOOKUP(Master[[#This Row],[Checklist]],Ref!A:A,Ref!B:B)*1000</f>
        <v>44000</v>
      </c>
      <c r="K250" s="21">
        <f ca="1">COUNTIF($J$2:Master[[#This Row],[ChecklistID]],Master[[#This Row],[ChecklistID]])-1</f>
        <v>4</v>
      </c>
      <c r="L250" s="23" t="s">
        <v>6</v>
      </c>
    </row>
    <row r="251" spans="1:12" ht="15.75">
      <c r="A251" s="23">
        <f t="shared" si="3"/>
        <v>250</v>
      </c>
      <c r="B251" s="21">
        <f ca="1">Master[[#This Row],[ChecklistID]]+Master[[#This Row],[Checklist Order]]</f>
        <v>44005</v>
      </c>
      <c r="C251" s="22"/>
      <c r="D251" s="3" t="str" cm="1">
        <f t="array" aca="1" ref="D251" ca="1">_xlfn.SWITCH(MID(Master[[#This Row],[Checklist]],1,4),"C - ","Civil","F - ","Foundation","ST -","Structure","FC -","Façade","PRE ","Pre-Line","POST","Post-Line","H - ","Handover","S - ","Services","CST ","Completion Docs", "I - ", "Inspection")</f>
        <v>Façade</v>
      </c>
      <c r="E251" s="23" t="str">
        <f ca="1">IF(NOT(ISERROR(SEARCH("- S -", Master[[#This Row],[Checklist]]))), "Subcontractor",IF(NOT(ISERROR(SEARCH("- R -", Master[[#This Row],[Checklist]]))), "Ryman",IF(NOT(ISERROR(SEARCH("- C -", Master[[#This Row],[Checklist]]))), "Consultant",IF(NOT(ISERROR(SEARCH("- I -", Master[[#This Row],[Checklist]]))),  "Inspection Test Plan", "Naming Error"))))</f>
        <v>Ryman</v>
      </c>
      <c r="F251" s="24" t="str">
        <f ca="1">IF(OR(Master[[#This Row],[Type]]="checklist", Master[[#This Row],[Type]]="checklist-flat"), Master[[#This Row],[Name]], F250)</f>
        <v>FC - R - Balconies</v>
      </c>
      <c r="G251" s="26" t="s">
        <v>49</v>
      </c>
      <c r="H251" s="27" t="s">
        <v>1370</v>
      </c>
      <c r="I251" s="26"/>
      <c r="J251" s="21">
        <f ca="1">_xlfn.XLOOKUP(Master[[#This Row],[Checklist]],Ref!A:A,Ref!B:B)*1000</f>
        <v>44000</v>
      </c>
      <c r="K251" s="21">
        <f ca="1">COUNTIF($J$2:Master[[#This Row],[ChecklistID]],Master[[#This Row],[ChecklistID]])-1</f>
        <v>5</v>
      </c>
      <c r="L251" s="23" t="s">
        <v>6</v>
      </c>
    </row>
    <row r="252" spans="1:12" ht="15.75">
      <c r="A252" s="23">
        <f t="shared" si="3"/>
        <v>251</v>
      </c>
      <c r="B252" s="21">
        <f ca="1">Master[[#This Row],[ChecklistID]]+Master[[#This Row],[Checklist Order]]</f>
        <v>44006</v>
      </c>
      <c r="C252" s="22"/>
      <c r="D252" s="3" t="str" cm="1">
        <f t="array" aca="1" ref="D252" ca="1">_xlfn.SWITCH(MID(Master[[#This Row],[Checklist]],1,4),"C - ","Civil","F - ","Foundation","ST -","Structure","FC -","Façade","PRE ","Pre-Line","POST","Post-Line","H - ","Handover","S - ","Services","CST ","Completion Docs", "I - ", "Inspection")</f>
        <v>Façade</v>
      </c>
      <c r="E252" s="23" t="str">
        <f ca="1">IF(NOT(ISERROR(SEARCH("- S -", Master[[#This Row],[Checklist]]))), "Subcontractor",IF(NOT(ISERROR(SEARCH("- R -", Master[[#This Row],[Checklist]]))), "Ryman",IF(NOT(ISERROR(SEARCH("- C -", Master[[#This Row],[Checklist]]))), "Consultant",IF(NOT(ISERROR(SEARCH("- I -", Master[[#This Row],[Checklist]]))),  "Inspection Test Plan", "Naming Error"))))</f>
        <v>Ryman</v>
      </c>
      <c r="F252" s="24" t="str">
        <f ca="1">IF(OR(Master[[#This Row],[Type]]="checklist", Master[[#This Row],[Type]]="checklist-flat"), Master[[#This Row],[Name]], F251)</f>
        <v>FC - R - Balconies</v>
      </c>
      <c r="G252" s="26" t="s">
        <v>49</v>
      </c>
      <c r="H252" s="27" t="s">
        <v>1371</v>
      </c>
      <c r="I252" s="26"/>
      <c r="J252" s="21">
        <f ca="1">_xlfn.XLOOKUP(Master[[#This Row],[Checklist]],Ref!A:A,Ref!B:B)*1000</f>
        <v>44000</v>
      </c>
      <c r="K252" s="21">
        <f ca="1">COUNTIF($J$2:Master[[#This Row],[ChecklistID]],Master[[#This Row],[ChecklistID]])-1</f>
        <v>6</v>
      </c>
      <c r="L252" s="23" t="s">
        <v>6</v>
      </c>
    </row>
    <row r="253" spans="1:12" ht="15.75">
      <c r="A253" s="23">
        <f t="shared" si="3"/>
        <v>252</v>
      </c>
      <c r="B253" s="21">
        <f ca="1">Master[[#This Row],[ChecklistID]]+Master[[#This Row],[Checklist Order]]</f>
        <v>45000</v>
      </c>
      <c r="C253" s="22"/>
      <c r="D253" s="3" t="str" cm="1">
        <f t="array" aca="1" ref="D253" ca="1">_xlfn.SWITCH(MID(Master[[#This Row],[Checklist]],1,4),"C - ","Civil","F - ","Foundation","ST -","Structure","FC -","Façade","PRE ","Pre-Line","POST","Post-Line","H - ","Handover","S - ","Services","CST ","Completion Docs", "I - ", "Inspection")</f>
        <v>Façade</v>
      </c>
      <c r="E253" s="23" t="str">
        <f ca="1">IF(NOT(ISERROR(SEARCH("- S -", Master[[#This Row],[Checklist]]))), "Subcontractor",IF(NOT(ISERROR(SEARCH("- R -", Master[[#This Row],[Checklist]]))), "Ryman",IF(NOT(ISERROR(SEARCH("- C -", Master[[#This Row],[Checklist]]))), "Consultant",IF(NOT(ISERROR(SEARCH("- I -", Master[[#This Row],[Checklist]]))),  "Inspection Test Plan", "Naming Error"))))</f>
        <v>Ryman</v>
      </c>
      <c r="F253" s="24" t="str">
        <f ca="1">IF(OR(Master[[#This Row],[Type]]="checklist", Master[[#This Row],[Type]]="checklist-flat"), Master[[#This Row],[Name]], F252)</f>
        <v>FC - R - Exterior Timber Framing</v>
      </c>
      <c r="G253" s="3" t="s">
        <v>48</v>
      </c>
      <c r="H253" s="27" t="s">
        <v>1372</v>
      </c>
      <c r="I253" s="26"/>
      <c r="J253" s="21">
        <f ca="1">_xlfn.XLOOKUP(Master[[#This Row],[Checklist]],Ref!A:A,Ref!B:B)*1000</f>
        <v>45000</v>
      </c>
      <c r="K253" s="21">
        <f ca="1">COUNTIF($J$2:Master[[#This Row],[ChecklistID]],Master[[#This Row],[ChecklistID]])-1</f>
        <v>0</v>
      </c>
      <c r="L253" s="23" t="s">
        <v>6</v>
      </c>
    </row>
    <row r="254" spans="1:12" ht="31.5">
      <c r="A254" s="23">
        <f t="shared" si="3"/>
        <v>253</v>
      </c>
      <c r="B254" s="21">
        <f ca="1">Master[[#This Row],[ChecklistID]]+Master[[#This Row],[Checklist Order]]</f>
        <v>45001</v>
      </c>
      <c r="C254" s="22"/>
      <c r="D254" s="3" t="str" cm="1">
        <f t="array" aca="1" ref="D254" ca="1">_xlfn.SWITCH(MID(Master[[#This Row],[Checklist]],1,4),"C - ","Civil","F - ","Foundation","ST -","Structure","FC -","Façade","PRE ","Pre-Line","POST","Post-Line","H - ","Handover","S - ","Services","CST ","Completion Docs", "I - ", "Inspection")</f>
        <v>Façade</v>
      </c>
      <c r="E254" s="23" t="str">
        <f ca="1">IF(NOT(ISERROR(SEARCH("- S -", Master[[#This Row],[Checklist]]))), "Subcontractor",IF(NOT(ISERROR(SEARCH("- R -", Master[[#This Row],[Checklist]]))), "Ryman",IF(NOT(ISERROR(SEARCH("- C -", Master[[#This Row],[Checklist]]))), "Consultant",IF(NOT(ISERROR(SEARCH("- I -", Master[[#This Row],[Checklist]]))),  "Inspection Test Plan", "Naming Error"))))</f>
        <v>Ryman</v>
      </c>
      <c r="F254" s="24" t="str">
        <f ca="1">IF(OR(Master[[#This Row],[Type]]="checklist", Master[[#This Row],[Type]]="checklist-flat"), Master[[#This Row],[Name]], F253)</f>
        <v>FC - R - Exterior Timber Framing</v>
      </c>
      <c r="G254" s="26" t="s">
        <v>49</v>
      </c>
      <c r="H254" s="28" t="s">
        <v>1263</v>
      </c>
      <c r="I254" s="26"/>
      <c r="J254" s="21">
        <f ca="1">_xlfn.XLOOKUP(Master[[#This Row],[Checklist]],Ref!A:A,Ref!B:B)*1000</f>
        <v>45000</v>
      </c>
      <c r="K254" s="21">
        <f ca="1">COUNTIF($J$2:Master[[#This Row],[ChecklistID]],Master[[#This Row],[ChecklistID]])-1</f>
        <v>1</v>
      </c>
      <c r="L254" s="23" t="s">
        <v>6</v>
      </c>
    </row>
    <row r="255" spans="1:12" ht="15.75">
      <c r="A255" s="23">
        <f t="shared" si="3"/>
        <v>254</v>
      </c>
      <c r="B255" s="21">
        <f ca="1">Master[[#This Row],[ChecklistID]]+Master[[#This Row],[Checklist Order]]</f>
        <v>45002</v>
      </c>
      <c r="C255" s="22"/>
      <c r="D255" s="3" t="str" cm="1">
        <f t="array" aca="1" ref="D255" ca="1">_xlfn.SWITCH(MID(Master[[#This Row],[Checklist]],1,4),"C - ","Civil","F - ","Foundation","ST -","Structure","FC -","Façade","PRE ","Pre-Line","POST","Post-Line","H - ","Handover","S - ","Services","CST ","Completion Docs", "I - ", "Inspection")</f>
        <v>Façade</v>
      </c>
      <c r="E255" s="23" t="str">
        <f ca="1">IF(NOT(ISERROR(SEARCH("- S -", Master[[#This Row],[Checklist]]))), "Subcontractor",IF(NOT(ISERROR(SEARCH("- R -", Master[[#This Row],[Checklist]]))), "Ryman",IF(NOT(ISERROR(SEARCH("- C -", Master[[#This Row],[Checklist]]))), "Consultant",IF(NOT(ISERROR(SEARCH("- I -", Master[[#This Row],[Checklist]]))),  "Inspection Test Plan", "Naming Error"))))</f>
        <v>Ryman</v>
      </c>
      <c r="F255" s="24" t="str">
        <f ca="1">IF(OR(Master[[#This Row],[Type]]="checklist", Master[[#This Row],[Type]]="checklist-flat"), Master[[#This Row],[Name]], F254)</f>
        <v>FC - R - Exterior Timber Framing</v>
      </c>
      <c r="G255" s="26" t="s">
        <v>49</v>
      </c>
      <c r="H255" s="27" t="s">
        <v>1264</v>
      </c>
      <c r="I255" s="26"/>
      <c r="J255" s="21">
        <f ca="1">_xlfn.XLOOKUP(Master[[#This Row],[Checklist]],Ref!A:A,Ref!B:B)*1000</f>
        <v>45000</v>
      </c>
      <c r="K255" s="21">
        <f ca="1">COUNTIF($J$2:Master[[#This Row],[ChecklistID]],Master[[#This Row],[ChecklistID]])-1</f>
        <v>2</v>
      </c>
      <c r="L255" s="23" t="s">
        <v>6</v>
      </c>
    </row>
    <row r="256" spans="1:12" ht="15.75">
      <c r="A256" s="23">
        <f t="shared" si="3"/>
        <v>255</v>
      </c>
      <c r="B256" s="21">
        <f ca="1">Master[[#This Row],[ChecklistID]]+Master[[#This Row],[Checklist Order]]</f>
        <v>45003</v>
      </c>
      <c r="C256" s="22"/>
      <c r="D256" s="3" t="str" cm="1">
        <f t="array" aca="1" ref="D256" ca="1">_xlfn.SWITCH(MID(Master[[#This Row],[Checklist]],1,4),"C - ","Civil","F - ","Foundation","ST -","Structure","FC -","Façade","PRE ","Pre-Line","POST","Post-Line","H - ","Handover","S - ","Services","CST ","Completion Docs", "I - ", "Inspection")</f>
        <v>Façade</v>
      </c>
      <c r="E256" s="23" t="str">
        <f ca="1">IF(NOT(ISERROR(SEARCH("- S -", Master[[#This Row],[Checklist]]))), "Subcontractor",IF(NOT(ISERROR(SEARCH("- R -", Master[[#This Row],[Checklist]]))), "Ryman",IF(NOT(ISERROR(SEARCH("- C -", Master[[#This Row],[Checklist]]))), "Consultant",IF(NOT(ISERROR(SEARCH("- I -", Master[[#This Row],[Checklist]]))),  "Inspection Test Plan", "Naming Error"))))</f>
        <v>Ryman</v>
      </c>
      <c r="F256" s="24" t="str">
        <f ca="1">IF(OR(Master[[#This Row],[Type]]="checklist", Master[[#This Row],[Type]]="checklist-flat"), Master[[#This Row],[Name]], F255)</f>
        <v>FC - R - Exterior Timber Framing</v>
      </c>
      <c r="G256" s="26" t="s">
        <v>58</v>
      </c>
      <c r="H256" s="27" t="s">
        <v>306</v>
      </c>
      <c r="I256" s="26"/>
      <c r="J256" s="21">
        <f ca="1">_xlfn.XLOOKUP(Master[[#This Row],[Checklist]],Ref!A:A,Ref!B:B)*1000</f>
        <v>45000</v>
      </c>
      <c r="K256" s="21">
        <f ca="1">COUNTIF($J$2:Master[[#This Row],[ChecklistID]],Master[[#This Row],[ChecklistID]])-1</f>
        <v>3</v>
      </c>
      <c r="L256" s="23" t="s">
        <v>6</v>
      </c>
    </row>
    <row r="257" spans="1:12" ht="15.75">
      <c r="A257" s="23">
        <f t="shared" si="3"/>
        <v>256</v>
      </c>
      <c r="B257" s="21">
        <f ca="1">Master[[#This Row],[ChecklistID]]+Master[[#This Row],[Checklist Order]]</f>
        <v>45004</v>
      </c>
      <c r="C257" s="22"/>
      <c r="D257" s="3" t="str" cm="1">
        <f t="array" aca="1" ref="D257" ca="1">_xlfn.SWITCH(MID(Master[[#This Row],[Checklist]],1,4),"C - ","Civil","F - ","Foundation","ST -","Structure","FC -","Façade","PRE ","Pre-Line","POST","Post-Line","H - ","Handover","S - ","Services","CST ","Completion Docs", "I - ", "Inspection")</f>
        <v>Façade</v>
      </c>
      <c r="E257" s="23" t="str">
        <f ca="1">IF(NOT(ISERROR(SEARCH("- S -", Master[[#This Row],[Checklist]]))), "Subcontractor",IF(NOT(ISERROR(SEARCH("- R -", Master[[#This Row],[Checklist]]))), "Ryman",IF(NOT(ISERROR(SEARCH("- C -", Master[[#This Row],[Checklist]]))), "Consultant",IF(NOT(ISERROR(SEARCH("- I -", Master[[#This Row],[Checklist]]))),  "Inspection Test Plan", "Naming Error"))))</f>
        <v>Ryman</v>
      </c>
      <c r="F257" s="24" t="str">
        <f ca="1">IF(OR(Master[[#This Row],[Type]]="checklist", Master[[#This Row],[Type]]="checklist-flat"), Master[[#This Row],[Name]], F256)</f>
        <v>FC - R - Exterior Timber Framing</v>
      </c>
      <c r="G257" s="26" t="s">
        <v>49</v>
      </c>
      <c r="H257" s="27" t="s">
        <v>1373</v>
      </c>
      <c r="I257" s="26"/>
      <c r="J257" s="21">
        <f ca="1">_xlfn.XLOOKUP(Master[[#This Row],[Checklist]],Ref!A:A,Ref!B:B)*1000</f>
        <v>45000</v>
      </c>
      <c r="K257" s="21">
        <f ca="1">COUNTIF($J$2:Master[[#This Row],[ChecklistID]],Master[[#This Row],[ChecklistID]])-1</f>
        <v>4</v>
      </c>
      <c r="L257" s="23" t="s">
        <v>6</v>
      </c>
    </row>
    <row r="258" spans="1:12" ht="15.75">
      <c r="A258" s="23">
        <f t="shared" ref="A258:A321" si="4">IFERROR(A257+1,1)</f>
        <v>257</v>
      </c>
      <c r="B258" s="21">
        <f ca="1">Master[[#This Row],[ChecklistID]]+Master[[#This Row],[Checklist Order]]</f>
        <v>46000</v>
      </c>
      <c r="C258" s="22"/>
      <c r="D258" s="3" t="str" cm="1">
        <f t="array" aca="1" ref="D258" ca="1">_xlfn.SWITCH(MID(Master[[#This Row],[Checklist]],1,4),"C - ","Civil","F - ","Foundation","ST -","Structure","FC -","Façade","PRE ","Pre-Line","POST","Post-Line","H - ","Handover","S - ","Services","CST ","Completion Docs", "I - ", "Inspection")</f>
        <v>Façade</v>
      </c>
      <c r="E258" s="23" t="str">
        <f ca="1">IF(NOT(ISERROR(SEARCH("- S -", Master[[#This Row],[Checklist]]))), "Subcontractor",IF(NOT(ISERROR(SEARCH("- R -", Master[[#This Row],[Checklist]]))), "Ryman",IF(NOT(ISERROR(SEARCH("- C -", Master[[#This Row],[Checklist]]))), "Consultant",IF(NOT(ISERROR(SEARCH("- I -", Master[[#This Row],[Checklist]]))),  "Inspection Test Plan", "Naming Error"))))</f>
        <v>Ryman</v>
      </c>
      <c r="F258" s="24" t="str">
        <f ca="1">IF(OR(Master[[#This Row],[Type]]="checklist", Master[[#This Row],[Type]]="checklist-flat"), Master[[#This Row],[Name]], F257)</f>
        <v>FC - R - Roofing</v>
      </c>
      <c r="G258" s="3" t="s">
        <v>48</v>
      </c>
      <c r="H258" s="27" t="s">
        <v>1374</v>
      </c>
      <c r="I258" s="26"/>
      <c r="J258" s="21">
        <f ca="1">_xlfn.XLOOKUP(Master[[#This Row],[Checklist]],Ref!A:A,Ref!B:B)*1000</f>
        <v>46000</v>
      </c>
      <c r="K258" s="21">
        <f ca="1">COUNTIF($J$2:Master[[#This Row],[ChecklistID]],Master[[#This Row],[ChecklistID]])-1</f>
        <v>0</v>
      </c>
      <c r="L258" s="23" t="s">
        <v>6</v>
      </c>
    </row>
    <row r="259" spans="1:12" ht="31.5">
      <c r="A259" s="23">
        <f t="shared" si="4"/>
        <v>258</v>
      </c>
      <c r="B259" s="21">
        <f ca="1">Master[[#This Row],[ChecklistID]]+Master[[#This Row],[Checklist Order]]</f>
        <v>46001</v>
      </c>
      <c r="C259" s="22"/>
      <c r="D259" s="3" t="str" cm="1">
        <f t="array" aca="1" ref="D259" ca="1">_xlfn.SWITCH(MID(Master[[#This Row],[Checklist]],1,4),"C - ","Civil","F - ","Foundation","ST -","Structure","FC -","Façade","PRE ","Pre-Line","POST","Post-Line","H - ","Handover","S - ","Services","CST ","Completion Docs", "I - ", "Inspection")</f>
        <v>Façade</v>
      </c>
      <c r="E259" s="23" t="str">
        <f ca="1">IF(NOT(ISERROR(SEARCH("- S -", Master[[#This Row],[Checklist]]))), "Subcontractor",IF(NOT(ISERROR(SEARCH("- R -", Master[[#This Row],[Checklist]]))), "Ryman",IF(NOT(ISERROR(SEARCH("- C -", Master[[#This Row],[Checklist]]))), "Consultant",IF(NOT(ISERROR(SEARCH("- I -", Master[[#This Row],[Checklist]]))),  "Inspection Test Plan", "Naming Error"))))</f>
        <v>Ryman</v>
      </c>
      <c r="F259" s="24" t="str">
        <f ca="1">IF(OR(Master[[#This Row],[Type]]="checklist", Master[[#This Row],[Type]]="checklist-flat"), Master[[#This Row],[Name]], F258)</f>
        <v>FC - R - Roofing</v>
      </c>
      <c r="G259" s="26" t="s">
        <v>49</v>
      </c>
      <c r="H259" s="28" t="s">
        <v>1263</v>
      </c>
      <c r="I259" s="26"/>
      <c r="J259" s="21">
        <f ca="1">_xlfn.XLOOKUP(Master[[#This Row],[Checklist]],Ref!A:A,Ref!B:B)*1000</f>
        <v>46000</v>
      </c>
      <c r="K259" s="21">
        <f ca="1">COUNTIF($J$2:Master[[#This Row],[ChecklistID]],Master[[#This Row],[ChecklistID]])-1</f>
        <v>1</v>
      </c>
      <c r="L259" s="23" t="s">
        <v>6</v>
      </c>
    </row>
    <row r="260" spans="1:12" ht="15.75">
      <c r="A260" s="23">
        <f t="shared" si="4"/>
        <v>259</v>
      </c>
      <c r="B260" s="21">
        <f ca="1">Master[[#This Row],[ChecklistID]]+Master[[#This Row],[Checklist Order]]</f>
        <v>46002</v>
      </c>
      <c r="C260" s="22"/>
      <c r="D260" s="3" t="str" cm="1">
        <f t="array" aca="1" ref="D260" ca="1">_xlfn.SWITCH(MID(Master[[#This Row],[Checklist]],1,4),"C - ","Civil","F - ","Foundation","ST -","Structure","FC -","Façade","PRE ","Pre-Line","POST","Post-Line","H - ","Handover","S - ","Services","CST ","Completion Docs", "I - ", "Inspection")</f>
        <v>Façade</v>
      </c>
      <c r="E260" s="23" t="str">
        <f ca="1">IF(NOT(ISERROR(SEARCH("- S -", Master[[#This Row],[Checklist]]))), "Subcontractor",IF(NOT(ISERROR(SEARCH("- R -", Master[[#This Row],[Checklist]]))), "Ryman",IF(NOT(ISERROR(SEARCH("- C -", Master[[#This Row],[Checklist]]))), "Consultant",IF(NOT(ISERROR(SEARCH("- I -", Master[[#This Row],[Checklist]]))),  "Inspection Test Plan", "Naming Error"))))</f>
        <v>Ryman</v>
      </c>
      <c r="F260" s="24" t="str">
        <f ca="1">IF(OR(Master[[#This Row],[Type]]="checklist", Master[[#This Row],[Type]]="checklist-flat"), Master[[#This Row],[Name]], F259)</f>
        <v>FC - R - Roofing</v>
      </c>
      <c r="G260" s="26" t="s">
        <v>49</v>
      </c>
      <c r="H260" s="27" t="s">
        <v>1264</v>
      </c>
      <c r="I260" s="26"/>
      <c r="J260" s="21">
        <f ca="1">_xlfn.XLOOKUP(Master[[#This Row],[Checklist]],Ref!A:A,Ref!B:B)*1000</f>
        <v>46000</v>
      </c>
      <c r="K260" s="21">
        <f ca="1">COUNTIF($J$2:Master[[#This Row],[ChecklistID]],Master[[#This Row],[ChecklistID]])-1</f>
        <v>2</v>
      </c>
      <c r="L260" s="23" t="s">
        <v>6</v>
      </c>
    </row>
    <row r="261" spans="1:12" ht="15.75">
      <c r="A261" s="23">
        <f t="shared" si="4"/>
        <v>260</v>
      </c>
      <c r="B261" s="21">
        <f ca="1">Master[[#This Row],[ChecklistID]]+Master[[#This Row],[Checklist Order]]</f>
        <v>46003</v>
      </c>
      <c r="C261" s="22"/>
      <c r="D261" s="3" t="str" cm="1">
        <f t="array" aca="1" ref="D261" ca="1">_xlfn.SWITCH(MID(Master[[#This Row],[Checklist]],1,4),"C - ","Civil","F - ","Foundation","ST -","Structure","FC -","Façade","PRE ","Pre-Line","POST","Post-Line","H - ","Handover","S - ","Services","CST ","Completion Docs", "I - ", "Inspection")</f>
        <v>Façade</v>
      </c>
      <c r="E261" s="23" t="str">
        <f ca="1">IF(NOT(ISERROR(SEARCH("- S -", Master[[#This Row],[Checklist]]))), "Subcontractor",IF(NOT(ISERROR(SEARCH("- R -", Master[[#This Row],[Checklist]]))), "Ryman",IF(NOT(ISERROR(SEARCH("- C -", Master[[#This Row],[Checklist]]))), "Consultant",IF(NOT(ISERROR(SEARCH("- I -", Master[[#This Row],[Checklist]]))),  "Inspection Test Plan", "Naming Error"))))</f>
        <v>Ryman</v>
      </c>
      <c r="F261" s="24" t="str">
        <f ca="1">IF(OR(Master[[#This Row],[Type]]="checklist", Master[[#This Row],[Type]]="checklist-flat"), Master[[#This Row],[Name]], F260)</f>
        <v>FC - R - Roofing</v>
      </c>
      <c r="G261" s="26" t="s">
        <v>58</v>
      </c>
      <c r="H261" s="27" t="s">
        <v>306</v>
      </c>
      <c r="I261" s="26"/>
      <c r="J261" s="21">
        <f ca="1">_xlfn.XLOOKUP(Master[[#This Row],[Checklist]],Ref!A:A,Ref!B:B)*1000</f>
        <v>46000</v>
      </c>
      <c r="K261" s="21">
        <f ca="1">COUNTIF($J$2:Master[[#This Row],[ChecklistID]],Master[[#This Row],[ChecklistID]])-1</f>
        <v>3</v>
      </c>
      <c r="L261" s="23" t="s">
        <v>6</v>
      </c>
    </row>
    <row r="262" spans="1:12" ht="15.75">
      <c r="A262" s="23">
        <f t="shared" si="4"/>
        <v>261</v>
      </c>
      <c r="B262" s="21">
        <f ca="1">Master[[#This Row],[ChecklistID]]+Master[[#This Row],[Checklist Order]]</f>
        <v>46004</v>
      </c>
      <c r="C262" s="22"/>
      <c r="D262" s="3" t="str" cm="1">
        <f t="array" aca="1" ref="D262" ca="1">_xlfn.SWITCH(MID(Master[[#This Row],[Checklist]],1,4),"C - ","Civil","F - ","Foundation","ST -","Structure","FC -","Façade","PRE ","Pre-Line","POST","Post-Line","H - ","Handover","S - ","Services","CST ","Completion Docs", "I - ", "Inspection")</f>
        <v>Façade</v>
      </c>
      <c r="E262" s="23" t="str">
        <f ca="1">IF(NOT(ISERROR(SEARCH("- S -", Master[[#This Row],[Checklist]]))), "Subcontractor",IF(NOT(ISERROR(SEARCH("- R -", Master[[#This Row],[Checklist]]))), "Ryman",IF(NOT(ISERROR(SEARCH("- C -", Master[[#This Row],[Checklist]]))), "Consultant",IF(NOT(ISERROR(SEARCH("- I -", Master[[#This Row],[Checklist]]))),  "Inspection Test Plan", "Naming Error"))))</f>
        <v>Ryman</v>
      </c>
      <c r="F262" s="24" t="str">
        <f ca="1">IF(OR(Master[[#This Row],[Type]]="checklist", Master[[#This Row],[Type]]="checklist-flat"), Master[[#This Row],[Name]], F261)</f>
        <v>FC - R - Roofing</v>
      </c>
      <c r="G262" s="26" t="s">
        <v>49</v>
      </c>
      <c r="H262" s="27" t="s">
        <v>1375</v>
      </c>
      <c r="I262" s="26"/>
      <c r="J262" s="21">
        <f ca="1">_xlfn.XLOOKUP(Master[[#This Row],[Checklist]],Ref!A:A,Ref!B:B)*1000</f>
        <v>46000</v>
      </c>
      <c r="K262" s="21">
        <f ca="1">COUNTIF($J$2:Master[[#This Row],[ChecklistID]],Master[[#This Row],[ChecklistID]])-1</f>
        <v>4</v>
      </c>
      <c r="L262" s="23" t="s">
        <v>6</v>
      </c>
    </row>
    <row r="263" spans="1:12" ht="15.75">
      <c r="A263" s="23">
        <f t="shared" si="4"/>
        <v>262</v>
      </c>
      <c r="B263" s="21">
        <f ca="1">Master[[#This Row],[ChecklistID]]+Master[[#This Row],[Checklist Order]]</f>
        <v>47000</v>
      </c>
      <c r="C263" s="22"/>
      <c r="D263" s="3" t="str" cm="1">
        <f t="array" aca="1" ref="D263" ca="1">_xlfn.SWITCH(MID(Master[[#This Row],[Checklist]],1,4),"C - ","Civil","F - ","Foundation","ST -","Structure","FC -","Façade","PRE ","Pre-Line","POST","Post-Line","H - ","Handover","S - ","Services","CST ","Completion Docs", "I - ", "Inspection")</f>
        <v>Pre-Line</v>
      </c>
      <c r="E263" s="23" t="str">
        <f ca="1">IF(NOT(ISERROR(SEARCH("- S -", Master[[#This Row],[Checklist]]))), "Subcontractor",IF(NOT(ISERROR(SEARCH("- R -", Master[[#This Row],[Checklist]]))), "Ryman",IF(NOT(ISERROR(SEARCH("- C -", Master[[#This Row],[Checklist]]))), "Consultant",IF(NOT(ISERROR(SEARCH("- I -", Master[[#This Row],[Checklist]]))),  "Inspection Test Plan", "Naming Error"))))</f>
        <v>Ryman</v>
      </c>
      <c r="F263" s="24" t="str">
        <f ca="1">IF(OR(Master[[#This Row],[Type]]="checklist", Master[[#This Row],[Type]]="checklist-flat"), Master[[#This Row],[Name]], F262)</f>
        <v>PRE - R - PRE-line</v>
      </c>
      <c r="G263" s="3" t="s">
        <v>48</v>
      </c>
      <c r="H263" s="27" t="s">
        <v>1376</v>
      </c>
      <c r="I263" s="26"/>
      <c r="J263" s="21">
        <f ca="1">_xlfn.XLOOKUP(Master[[#This Row],[Checklist]],Ref!A:A,Ref!B:B)*1000</f>
        <v>47000</v>
      </c>
      <c r="K263" s="21">
        <f ca="1">COUNTIF($J$2:Master[[#This Row],[ChecklistID]],Master[[#This Row],[ChecklistID]])-1</f>
        <v>0</v>
      </c>
      <c r="L263" s="23" t="s">
        <v>6</v>
      </c>
    </row>
    <row r="264" spans="1:12" ht="31.5">
      <c r="A264" s="23">
        <f t="shared" si="4"/>
        <v>263</v>
      </c>
      <c r="B264" s="21">
        <f ca="1">Master[[#This Row],[ChecklistID]]+Master[[#This Row],[Checklist Order]]</f>
        <v>47001</v>
      </c>
      <c r="C264" s="22"/>
      <c r="D264" s="3" t="str" cm="1">
        <f t="array" aca="1" ref="D264" ca="1">_xlfn.SWITCH(MID(Master[[#This Row],[Checklist]],1,4),"C - ","Civil","F - ","Foundation","ST -","Structure","FC -","Façade","PRE ","Pre-Line","POST","Post-Line","H - ","Handover","S - ","Services","CST ","Completion Docs", "I - ", "Inspection")</f>
        <v>Pre-Line</v>
      </c>
      <c r="E264" s="23" t="str">
        <f ca="1">IF(NOT(ISERROR(SEARCH("- S -", Master[[#This Row],[Checklist]]))), "Subcontractor",IF(NOT(ISERROR(SEARCH("- R -", Master[[#This Row],[Checklist]]))), "Ryman",IF(NOT(ISERROR(SEARCH("- C -", Master[[#This Row],[Checklist]]))), "Consultant",IF(NOT(ISERROR(SEARCH("- I -", Master[[#This Row],[Checklist]]))),  "Inspection Test Plan", "Naming Error"))))</f>
        <v>Ryman</v>
      </c>
      <c r="F264" s="24" t="str">
        <f ca="1">IF(OR(Master[[#This Row],[Type]]="checklist", Master[[#This Row],[Type]]="checklist-flat"), Master[[#This Row],[Name]], F263)</f>
        <v>PRE - R - PRE-line</v>
      </c>
      <c r="G264" s="26" t="s">
        <v>49</v>
      </c>
      <c r="H264" s="28" t="s">
        <v>1377</v>
      </c>
      <c r="I264" s="26"/>
      <c r="J264" s="21">
        <f ca="1">_xlfn.XLOOKUP(Master[[#This Row],[Checklist]],Ref!A:A,Ref!B:B)*1000</f>
        <v>47000</v>
      </c>
      <c r="K264" s="21">
        <f ca="1">COUNTIF($J$2:Master[[#This Row],[ChecklistID]],Master[[#This Row],[ChecklistID]])-1</f>
        <v>1</v>
      </c>
      <c r="L264" s="23" t="s">
        <v>6</v>
      </c>
    </row>
    <row r="265" spans="1:12" ht="15.75">
      <c r="A265" s="23">
        <f t="shared" si="4"/>
        <v>264</v>
      </c>
      <c r="B265" s="21">
        <f ca="1">Master[[#This Row],[ChecklistID]]+Master[[#This Row],[Checklist Order]]</f>
        <v>47002</v>
      </c>
      <c r="C265" s="22"/>
      <c r="D265" s="3" t="str" cm="1">
        <f t="array" aca="1" ref="D265" ca="1">_xlfn.SWITCH(MID(Master[[#This Row],[Checklist]],1,4),"C - ","Civil","F - ","Foundation","ST -","Structure","FC -","Façade","PRE ","Pre-Line","POST","Post-Line","H - ","Handover","S - ","Services","CST ","Completion Docs", "I - ", "Inspection")</f>
        <v>Pre-Line</v>
      </c>
      <c r="E265" s="23" t="str">
        <f ca="1">IF(NOT(ISERROR(SEARCH("- S -", Master[[#This Row],[Checklist]]))), "Subcontractor",IF(NOT(ISERROR(SEARCH("- R -", Master[[#This Row],[Checklist]]))), "Ryman",IF(NOT(ISERROR(SEARCH("- C -", Master[[#This Row],[Checklist]]))), "Consultant",IF(NOT(ISERROR(SEARCH("- I -", Master[[#This Row],[Checklist]]))),  "Inspection Test Plan", "Naming Error"))))</f>
        <v>Ryman</v>
      </c>
      <c r="F265" s="24" t="str">
        <f ca="1">IF(OR(Master[[#This Row],[Type]]="checklist", Master[[#This Row],[Type]]="checklist-flat"), Master[[#This Row],[Name]], F264)</f>
        <v>PRE - R - PRE-line</v>
      </c>
      <c r="G265" s="26" t="s">
        <v>131</v>
      </c>
      <c r="H265" s="27" t="s">
        <v>576</v>
      </c>
      <c r="I265" s="26" t="s">
        <v>1378</v>
      </c>
      <c r="J265" s="21">
        <f ca="1">_xlfn.XLOOKUP(Master[[#This Row],[Checklist]],Ref!A:A,Ref!B:B)*1000</f>
        <v>47000</v>
      </c>
      <c r="K265" s="21">
        <f ca="1">COUNTIF($J$2:Master[[#This Row],[ChecklistID]],Master[[#This Row],[ChecklistID]])-1</f>
        <v>2</v>
      </c>
      <c r="L265" s="23" t="s">
        <v>6</v>
      </c>
    </row>
    <row r="266" spans="1:12" ht="15.75">
      <c r="A266" s="23">
        <f t="shared" si="4"/>
        <v>265</v>
      </c>
      <c r="B266" s="21">
        <f ca="1">Master[[#This Row],[ChecklistID]]+Master[[#This Row],[Checklist Order]]</f>
        <v>47003</v>
      </c>
      <c r="C266" s="22"/>
      <c r="D266" s="3" t="str" cm="1">
        <f t="array" aca="1" ref="D266" ca="1">_xlfn.SWITCH(MID(Master[[#This Row],[Checklist]],1,4),"C - ","Civil","F - ","Foundation","ST -","Structure","FC -","Façade","PRE ","Pre-Line","POST","Post-Line","H - ","Handover","S - ","Services","CST ","Completion Docs", "I - ", "Inspection")</f>
        <v>Pre-Line</v>
      </c>
      <c r="E266" s="23" t="str">
        <f ca="1">IF(NOT(ISERROR(SEARCH("- S -", Master[[#This Row],[Checklist]]))), "Subcontractor",IF(NOT(ISERROR(SEARCH("- R -", Master[[#This Row],[Checklist]]))), "Ryman",IF(NOT(ISERROR(SEARCH("- C -", Master[[#This Row],[Checklist]]))), "Consultant",IF(NOT(ISERROR(SEARCH("- I -", Master[[#This Row],[Checklist]]))),  "Inspection Test Plan", "Naming Error"))))</f>
        <v>Ryman</v>
      </c>
      <c r="F266" s="24" t="str">
        <f ca="1">IF(OR(Master[[#This Row],[Type]]="checklist", Master[[#This Row],[Type]]="checklist-flat"), Master[[#This Row],[Name]], F265)</f>
        <v>PRE - R - PRE-line</v>
      </c>
      <c r="G266" s="26" t="s">
        <v>131</v>
      </c>
      <c r="H266" s="29" t="s">
        <v>1379</v>
      </c>
      <c r="I266" s="26" t="s">
        <v>1378</v>
      </c>
      <c r="J266" s="21">
        <f ca="1">_xlfn.XLOOKUP(Master[[#This Row],[Checklist]],Ref!A:A,Ref!B:B)*1000</f>
        <v>47000</v>
      </c>
      <c r="K266" s="21">
        <f ca="1">COUNTIF($J$2:Master[[#This Row],[ChecklistID]],Master[[#This Row],[ChecklistID]])-1</f>
        <v>3</v>
      </c>
      <c r="L266" s="23" t="s">
        <v>6</v>
      </c>
    </row>
    <row r="267" spans="1:12" ht="15.75">
      <c r="A267" s="23">
        <f t="shared" si="4"/>
        <v>266</v>
      </c>
      <c r="B267" s="21">
        <f ca="1">Master[[#This Row],[ChecklistID]]+Master[[#This Row],[Checklist Order]]</f>
        <v>47004</v>
      </c>
      <c r="C267" s="22"/>
      <c r="D267" s="3" t="str" cm="1">
        <f t="array" aca="1" ref="D267" ca="1">_xlfn.SWITCH(MID(Master[[#This Row],[Checklist]],1,4),"C - ","Civil","F - ","Foundation","ST -","Structure","FC -","Façade","PRE ","Pre-Line","POST","Post-Line","H - ","Handover","S - ","Services","CST ","Completion Docs", "I - ", "Inspection")</f>
        <v>Pre-Line</v>
      </c>
      <c r="E267" s="23" t="str">
        <f ca="1">IF(NOT(ISERROR(SEARCH("- S -", Master[[#This Row],[Checklist]]))), "Subcontractor",IF(NOT(ISERROR(SEARCH("- R -", Master[[#This Row],[Checklist]]))), "Ryman",IF(NOT(ISERROR(SEARCH("- C -", Master[[#This Row],[Checklist]]))), "Consultant",IF(NOT(ISERROR(SEARCH("- I -", Master[[#This Row],[Checklist]]))),  "Inspection Test Plan", "Naming Error"))))</f>
        <v>Ryman</v>
      </c>
      <c r="F267" s="24" t="str">
        <f ca="1">IF(OR(Master[[#This Row],[Type]]="checklist", Master[[#This Row],[Type]]="checklist-flat"), Master[[#This Row],[Name]], F266)</f>
        <v>PRE - R - PRE-line</v>
      </c>
      <c r="G267" s="26" t="s">
        <v>131</v>
      </c>
      <c r="H267" s="27" t="s">
        <v>1380</v>
      </c>
      <c r="I267" s="26" t="s">
        <v>1378</v>
      </c>
      <c r="J267" s="21">
        <f ca="1">_xlfn.XLOOKUP(Master[[#This Row],[Checklist]],Ref!A:A,Ref!B:B)*1000</f>
        <v>47000</v>
      </c>
      <c r="K267" s="21">
        <f ca="1">COUNTIF($J$2:Master[[#This Row],[ChecklistID]],Master[[#This Row],[ChecklistID]])-1</f>
        <v>4</v>
      </c>
      <c r="L267" s="23" t="s">
        <v>6</v>
      </c>
    </row>
    <row r="268" spans="1:12" ht="15.75">
      <c r="A268" s="23">
        <f t="shared" si="4"/>
        <v>267</v>
      </c>
      <c r="B268" s="21">
        <f ca="1">Master[[#This Row],[ChecklistID]]+Master[[#This Row],[Checklist Order]]</f>
        <v>47005</v>
      </c>
      <c r="C268" s="22"/>
      <c r="D268" s="3" t="str" cm="1">
        <f t="array" aca="1" ref="D268" ca="1">_xlfn.SWITCH(MID(Master[[#This Row],[Checklist]],1,4),"C - ","Civil","F - ","Foundation","ST -","Structure","FC -","Façade","PRE ","Pre-Line","POST","Post-Line","H - ","Handover","S - ","Services","CST ","Completion Docs", "I - ", "Inspection")</f>
        <v>Pre-Line</v>
      </c>
      <c r="E268" s="23" t="str">
        <f ca="1">IF(NOT(ISERROR(SEARCH("- S -", Master[[#This Row],[Checklist]]))), "Subcontractor",IF(NOT(ISERROR(SEARCH("- R -", Master[[#This Row],[Checklist]]))), "Ryman",IF(NOT(ISERROR(SEARCH("- C -", Master[[#This Row],[Checklist]]))), "Consultant",IF(NOT(ISERROR(SEARCH("- I -", Master[[#This Row],[Checklist]]))),  "Inspection Test Plan", "Naming Error"))))</f>
        <v>Ryman</v>
      </c>
      <c r="F268" s="24" t="str">
        <f ca="1">IF(OR(Master[[#This Row],[Type]]="checklist", Master[[#This Row],[Type]]="checklist-flat"), Master[[#This Row],[Name]], F267)</f>
        <v>PRE - R - PRE-line</v>
      </c>
      <c r="G268" s="26" t="s">
        <v>131</v>
      </c>
      <c r="H268" s="27" t="s">
        <v>1381</v>
      </c>
      <c r="I268" s="26" t="s">
        <v>1378</v>
      </c>
      <c r="J268" s="21">
        <f ca="1">_xlfn.XLOOKUP(Master[[#This Row],[Checklist]],Ref!A:A,Ref!B:B)*1000</f>
        <v>47000</v>
      </c>
      <c r="K268" s="21">
        <f ca="1">COUNTIF($J$2:Master[[#This Row],[ChecklistID]],Master[[#This Row],[ChecklistID]])-1</f>
        <v>5</v>
      </c>
      <c r="L268" s="23" t="s">
        <v>6</v>
      </c>
    </row>
    <row r="269" spans="1:12" ht="15.75">
      <c r="A269" s="23">
        <f t="shared" si="4"/>
        <v>268</v>
      </c>
      <c r="B269" s="21">
        <f ca="1">Master[[#This Row],[ChecklistID]]+Master[[#This Row],[Checklist Order]]</f>
        <v>47006</v>
      </c>
      <c r="C269" s="22"/>
      <c r="D269" s="3" t="str" cm="1">
        <f t="array" aca="1" ref="D269" ca="1">_xlfn.SWITCH(MID(Master[[#This Row],[Checklist]],1,4),"C - ","Civil","F - ","Foundation","ST -","Structure","FC -","Façade","PRE ","Pre-Line","POST","Post-Line","H - ","Handover","S - ","Services","CST ","Completion Docs", "I - ", "Inspection")</f>
        <v>Pre-Line</v>
      </c>
      <c r="E269" s="23" t="str">
        <f ca="1">IF(NOT(ISERROR(SEARCH("- S -", Master[[#This Row],[Checklist]]))), "Subcontractor",IF(NOT(ISERROR(SEARCH("- R -", Master[[#This Row],[Checklist]]))), "Ryman",IF(NOT(ISERROR(SEARCH("- C -", Master[[#This Row],[Checklist]]))), "Consultant",IF(NOT(ISERROR(SEARCH("- I -", Master[[#This Row],[Checklist]]))),  "Inspection Test Plan", "Naming Error"))))</f>
        <v>Ryman</v>
      </c>
      <c r="F269" s="24" t="str">
        <f ca="1">IF(OR(Master[[#This Row],[Type]]="checklist", Master[[#This Row],[Type]]="checklist-flat"), Master[[#This Row],[Name]], F268)</f>
        <v>PRE - R - PRE-line</v>
      </c>
      <c r="G269" s="26" t="s">
        <v>131</v>
      </c>
      <c r="H269" s="27" t="s">
        <v>1382</v>
      </c>
      <c r="I269" s="26" t="s">
        <v>1378</v>
      </c>
      <c r="J269" s="21">
        <f ca="1">_xlfn.XLOOKUP(Master[[#This Row],[Checklist]],Ref!A:A,Ref!B:B)*1000</f>
        <v>47000</v>
      </c>
      <c r="K269" s="21">
        <f ca="1">COUNTIF($J$2:Master[[#This Row],[ChecklistID]],Master[[#This Row],[ChecklistID]])-1</f>
        <v>6</v>
      </c>
      <c r="L269" s="23" t="s">
        <v>6</v>
      </c>
    </row>
    <row r="270" spans="1:12" ht="15.75">
      <c r="A270" s="23">
        <f t="shared" si="4"/>
        <v>269</v>
      </c>
      <c r="B270" s="21">
        <f ca="1">Master[[#This Row],[ChecklistID]]+Master[[#This Row],[Checklist Order]]</f>
        <v>47007</v>
      </c>
      <c r="C270" s="22"/>
      <c r="D270" s="3" t="str" cm="1">
        <f t="array" aca="1" ref="D270" ca="1">_xlfn.SWITCH(MID(Master[[#This Row],[Checklist]],1,4),"C - ","Civil","F - ","Foundation","ST -","Structure","FC -","Façade","PRE ","Pre-Line","POST","Post-Line","H - ","Handover","S - ","Services","CST ","Completion Docs", "I - ", "Inspection")</f>
        <v>Pre-Line</v>
      </c>
      <c r="E270" s="23" t="str">
        <f ca="1">IF(NOT(ISERROR(SEARCH("- S -", Master[[#This Row],[Checklist]]))), "Subcontractor",IF(NOT(ISERROR(SEARCH("- R -", Master[[#This Row],[Checklist]]))), "Ryman",IF(NOT(ISERROR(SEARCH("- C -", Master[[#This Row],[Checklist]]))), "Consultant",IF(NOT(ISERROR(SEARCH("- I -", Master[[#This Row],[Checklist]]))),  "Inspection Test Plan", "Naming Error"))))</f>
        <v>Ryman</v>
      </c>
      <c r="F270" s="24" t="str">
        <f ca="1">IF(OR(Master[[#This Row],[Type]]="checklist", Master[[#This Row],[Type]]="checklist-flat"), Master[[#This Row],[Name]], F269)</f>
        <v>PRE - R - PRE-line</v>
      </c>
      <c r="G270" s="26" t="s">
        <v>131</v>
      </c>
      <c r="H270" s="27" t="s">
        <v>1383</v>
      </c>
      <c r="I270" s="26" t="s">
        <v>1378</v>
      </c>
      <c r="J270" s="21">
        <f ca="1">_xlfn.XLOOKUP(Master[[#This Row],[Checklist]],Ref!A:A,Ref!B:B)*1000</f>
        <v>47000</v>
      </c>
      <c r="K270" s="21">
        <f ca="1">COUNTIF($J$2:Master[[#This Row],[ChecklistID]],Master[[#This Row],[ChecklistID]])-1</f>
        <v>7</v>
      </c>
      <c r="L270" s="23" t="s">
        <v>6</v>
      </c>
    </row>
    <row r="271" spans="1:12" ht="15.75">
      <c r="A271" s="23">
        <f t="shared" si="4"/>
        <v>270</v>
      </c>
      <c r="B271" s="21">
        <f ca="1">Master[[#This Row],[ChecklistID]]+Master[[#This Row],[Checklist Order]]</f>
        <v>47008</v>
      </c>
      <c r="C271" s="22"/>
      <c r="D271" s="3" t="str" cm="1">
        <f t="array" aca="1" ref="D271" ca="1">_xlfn.SWITCH(MID(Master[[#This Row],[Checklist]],1,4),"C - ","Civil","F - ","Foundation","ST -","Structure","FC -","Façade","PRE ","Pre-Line","POST","Post-Line","H - ","Handover","S - ","Services","CST ","Completion Docs", "I - ", "Inspection")</f>
        <v>Pre-Line</v>
      </c>
      <c r="E271" s="23" t="str">
        <f ca="1">IF(NOT(ISERROR(SEARCH("- S -", Master[[#This Row],[Checklist]]))), "Subcontractor",IF(NOT(ISERROR(SEARCH("- R -", Master[[#This Row],[Checklist]]))), "Ryman",IF(NOT(ISERROR(SEARCH("- C -", Master[[#This Row],[Checklist]]))), "Consultant",IF(NOT(ISERROR(SEARCH("- I -", Master[[#This Row],[Checklist]]))),  "Inspection Test Plan", "Naming Error"))))</f>
        <v>Ryman</v>
      </c>
      <c r="F271" s="24" t="str">
        <f ca="1">IF(OR(Master[[#This Row],[Type]]="checklist", Master[[#This Row],[Type]]="checklist-flat"), Master[[#This Row],[Name]], F270)</f>
        <v>PRE - R - PRE-line</v>
      </c>
      <c r="G271" s="26" t="s">
        <v>131</v>
      </c>
      <c r="H271" s="27" t="s">
        <v>1384</v>
      </c>
      <c r="I271" s="26" t="s">
        <v>1378</v>
      </c>
      <c r="J271" s="21">
        <f ca="1">_xlfn.XLOOKUP(Master[[#This Row],[Checklist]],Ref!A:A,Ref!B:B)*1000</f>
        <v>47000</v>
      </c>
      <c r="K271" s="21">
        <f ca="1">COUNTIF($J$2:Master[[#This Row],[ChecklistID]],Master[[#This Row],[ChecklistID]])-1</f>
        <v>8</v>
      </c>
      <c r="L271" s="23" t="s">
        <v>6</v>
      </c>
    </row>
    <row r="272" spans="1:12" ht="15.75">
      <c r="A272" s="23">
        <f t="shared" si="4"/>
        <v>271</v>
      </c>
      <c r="B272" s="21">
        <f ca="1">Master[[#This Row],[ChecklistID]]+Master[[#This Row],[Checklist Order]]</f>
        <v>47009</v>
      </c>
      <c r="C272" s="22"/>
      <c r="D272" s="3" t="str" cm="1">
        <f t="array" aca="1" ref="D272" ca="1">_xlfn.SWITCH(MID(Master[[#This Row],[Checklist]],1,4),"C - ","Civil","F - ","Foundation","ST -","Structure","FC -","Façade","PRE ","Pre-Line","POST","Post-Line","H - ","Handover","S - ","Services","CST ","Completion Docs", "I - ", "Inspection")</f>
        <v>Pre-Line</v>
      </c>
      <c r="E272" s="23" t="str">
        <f ca="1">IF(NOT(ISERROR(SEARCH("- S -", Master[[#This Row],[Checklist]]))), "Subcontractor",IF(NOT(ISERROR(SEARCH("- R -", Master[[#This Row],[Checklist]]))), "Ryman",IF(NOT(ISERROR(SEARCH("- C -", Master[[#This Row],[Checklist]]))), "Consultant",IF(NOT(ISERROR(SEARCH("- I -", Master[[#This Row],[Checklist]]))),  "Inspection Test Plan", "Naming Error"))))</f>
        <v>Ryman</v>
      </c>
      <c r="F272" s="24" t="str">
        <f ca="1">IF(OR(Master[[#This Row],[Type]]="checklist", Master[[#This Row],[Type]]="checklist-flat"), Master[[#This Row],[Name]], F271)</f>
        <v>PRE - R - PRE-line</v>
      </c>
      <c r="G272" s="26" t="s">
        <v>131</v>
      </c>
      <c r="H272" s="27" t="s">
        <v>1385</v>
      </c>
      <c r="I272" s="26" t="s">
        <v>1378</v>
      </c>
      <c r="J272" s="21">
        <f ca="1">_xlfn.XLOOKUP(Master[[#This Row],[Checklist]],Ref!A:A,Ref!B:B)*1000</f>
        <v>47000</v>
      </c>
      <c r="K272" s="21">
        <f ca="1">COUNTIF($J$2:Master[[#This Row],[ChecklistID]],Master[[#This Row],[ChecklistID]])-1</f>
        <v>9</v>
      </c>
      <c r="L272" s="23" t="s">
        <v>6</v>
      </c>
    </row>
    <row r="273" spans="1:12" ht="15.75">
      <c r="A273" s="23">
        <f t="shared" si="4"/>
        <v>272</v>
      </c>
      <c r="B273" s="21">
        <f ca="1">Master[[#This Row],[ChecklistID]]+Master[[#This Row],[Checklist Order]]</f>
        <v>47010</v>
      </c>
      <c r="C273" s="22"/>
      <c r="D273" s="3" t="str" cm="1">
        <f t="array" aca="1" ref="D273" ca="1">_xlfn.SWITCH(MID(Master[[#This Row],[Checklist]],1,4),"C - ","Civil","F - ","Foundation","ST -","Structure","FC -","Façade","PRE ","Pre-Line","POST","Post-Line","H - ","Handover","S - ","Services","CST ","Completion Docs", "I - ", "Inspection")</f>
        <v>Pre-Line</v>
      </c>
      <c r="E273" s="23" t="str">
        <f ca="1">IF(NOT(ISERROR(SEARCH("- S -", Master[[#This Row],[Checklist]]))), "Subcontractor",IF(NOT(ISERROR(SEARCH("- R -", Master[[#This Row],[Checklist]]))), "Ryman",IF(NOT(ISERROR(SEARCH("- C -", Master[[#This Row],[Checklist]]))), "Consultant",IF(NOT(ISERROR(SEARCH("- I -", Master[[#This Row],[Checklist]]))),  "Inspection Test Plan", "Naming Error"))))</f>
        <v>Ryman</v>
      </c>
      <c r="F273" s="24" t="str">
        <f ca="1">IF(OR(Master[[#This Row],[Type]]="checklist", Master[[#This Row],[Type]]="checklist-flat"), Master[[#This Row],[Name]], F272)</f>
        <v>PRE - R - PRE-line</v>
      </c>
      <c r="G273" s="26" t="s">
        <v>131</v>
      </c>
      <c r="H273" s="27" t="s">
        <v>1386</v>
      </c>
      <c r="I273" s="26" t="s">
        <v>1378</v>
      </c>
      <c r="J273" s="21">
        <f ca="1">_xlfn.XLOOKUP(Master[[#This Row],[Checklist]],Ref!A:A,Ref!B:B)*1000</f>
        <v>47000</v>
      </c>
      <c r="K273" s="21">
        <f ca="1">COUNTIF($J$2:Master[[#This Row],[ChecklistID]],Master[[#This Row],[ChecklistID]])-1</f>
        <v>10</v>
      </c>
      <c r="L273" s="23" t="s">
        <v>6</v>
      </c>
    </row>
    <row r="274" spans="1:12" ht="15.75">
      <c r="A274" s="23">
        <f t="shared" si="4"/>
        <v>273</v>
      </c>
      <c r="B274" s="21">
        <f ca="1">Master[[#This Row],[ChecklistID]]+Master[[#This Row],[Checklist Order]]</f>
        <v>47011</v>
      </c>
      <c r="C274" s="22"/>
      <c r="D274" s="3" t="str" cm="1">
        <f t="array" aca="1" ref="D274" ca="1">_xlfn.SWITCH(MID(Master[[#This Row],[Checklist]],1,4),"C - ","Civil","F - ","Foundation","ST -","Structure","FC -","Façade","PRE ","Pre-Line","POST","Post-Line","H - ","Handover","S - ","Services","CST ","Completion Docs", "I - ", "Inspection")</f>
        <v>Pre-Line</v>
      </c>
      <c r="E274" s="23" t="str">
        <f ca="1">IF(NOT(ISERROR(SEARCH("- S -", Master[[#This Row],[Checklist]]))), "Subcontractor",IF(NOT(ISERROR(SEARCH("- R -", Master[[#This Row],[Checklist]]))), "Ryman",IF(NOT(ISERROR(SEARCH("- C -", Master[[#This Row],[Checklist]]))), "Consultant",IF(NOT(ISERROR(SEARCH("- I -", Master[[#This Row],[Checklist]]))),  "Inspection Test Plan", "Naming Error"))))</f>
        <v>Ryman</v>
      </c>
      <c r="F274" s="24" t="str">
        <f ca="1">IF(OR(Master[[#This Row],[Type]]="checklist", Master[[#This Row],[Type]]="checklist-flat"), Master[[#This Row],[Name]], F273)</f>
        <v>PRE - R - PRE-line</v>
      </c>
      <c r="G274" s="26" t="s">
        <v>131</v>
      </c>
      <c r="H274" s="29" t="s">
        <v>1387</v>
      </c>
      <c r="I274" s="26" t="s">
        <v>1378</v>
      </c>
      <c r="J274" s="21">
        <f ca="1">_xlfn.XLOOKUP(Master[[#This Row],[Checklist]],Ref!A:A,Ref!B:B)*1000</f>
        <v>47000</v>
      </c>
      <c r="K274" s="21">
        <f ca="1">COUNTIF($J$2:Master[[#This Row],[ChecklistID]],Master[[#This Row],[ChecklistID]])-1</f>
        <v>11</v>
      </c>
      <c r="L274" s="23" t="s">
        <v>6</v>
      </c>
    </row>
    <row r="275" spans="1:12" ht="15.75">
      <c r="A275" s="23">
        <f t="shared" si="4"/>
        <v>274</v>
      </c>
      <c r="B275" s="21">
        <f ca="1">Master[[#This Row],[ChecklistID]]+Master[[#This Row],[Checklist Order]]</f>
        <v>47012</v>
      </c>
      <c r="C275" s="22"/>
      <c r="D275" s="3" t="str" cm="1">
        <f t="array" aca="1" ref="D275" ca="1">_xlfn.SWITCH(MID(Master[[#This Row],[Checklist]],1,4),"C - ","Civil","F - ","Foundation","ST -","Structure","FC -","Façade","PRE ","Pre-Line","POST","Post-Line","H - ","Handover","S - ","Services","CST ","Completion Docs", "I - ", "Inspection")</f>
        <v>Pre-Line</v>
      </c>
      <c r="E275" s="23" t="str">
        <f ca="1">IF(NOT(ISERROR(SEARCH("- S -", Master[[#This Row],[Checklist]]))), "Subcontractor",IF(NOT(ISERROR(SEARCH("- R -", Master[[#This Row],[Checklist]]))), "Ryman",IF(NOT(ISERROR(SEARCH("- C -", Master[[#This Row],[Checklist]]))), "Consultant",IF(NOT(ISERROR(SEARCH("- I -", Master[[#This Row],[Checklist]]))),  "Inspection Test Plan", "Naming Error"))))</f>
        <v>Ryman</v>
      </c>
      <c r="F275" s="24" t="str">
        <f ca="1">IF(OR(Master[[#This Row],[Type]]="checklist", Master[[#This Row],[Type]]="checklist-flat"), Master[[#This Row],[Name]], F274)</f>
        <v>PRE - R - PRE-line</v>
      </c>
      <c r="G275" s="26" t="s">
        <v>131</v>
      </c>
      <c r="H275" s="29" t="s">
        <v>1388</v>
      </c>
      <c r="I275" s="26" t="s">
        <v>1378</v>
      </c>
      <c r="J275" s="21">
        <f ca="1">_xlfn.XLOOKUP(Master[[#This Row],[Checklist]],Ref!A:A,Ref!B:B)*1000</f>
        <v>47000</v>
      </c>
      <c r="K275" s="21">
        <f ca="1">COUNTIF($J$2:Master[[#This Row],[ChecklistID]],Master[[#This Row],[ChecklistID]])-1</f>
        <v>12</v>
      </c>
      <c r="L275" s="23" t="s">
        <v>6</v>
      </c>
    </row>
    <row r="276" spans="1:12" ht="15.75">
      <c r="A276" s="23">
        <f t="shared" si="4"/>
        <v>275</v>
      </c>
      <c r="B276" s="21">
        <f ca="1">Master[[#This Row],[ChecklistID]]+Master[[#This Row],[Checklist Order]]</f>
        <v>47013</v>
      </c>
      <c r="C276" s="22"/>
      <c r="D276" s="3" t="str" cm="1">
        <f t="array" aca="1" ref="D276" ca="1">_xlfn.SWITCH(MID(Master[[#This Row],[Checklist]],1,4),"C - ","Civil","F - ","Foundation","ST -","Structure","FC -","Façade","PRE ","Pre-Line","POST","Post-Line","H - ","Handover","S - ","Services","CST ","Completion Docs", "I - ", "Inspection")</f>
        <v>Pre-Line</v>
      </c>
      <c r="E276" s="23" t="str">
        <f ca="1">IF(NOT(ISERROR(SEARCH("- S -", Master[[#This Row],[Checklist]]))), "Subcontractor",IF(NOT(ISERROR(SEARCH("- R -", Master[[#This Row],[Checklist]]))), "Ryman",IF(NOT(ISERROR(SEARCH("- C -", Master[[#This Row],[Checklist]]))), "Consultant",IF(NOT(ISERROR(SEARCH("- I -", Master[[#This Row],[Checklist]]))),  "Inspection Test Plan", "Naming Error"))))</f>
        <v>Ryman</v>
      </c>
      <c r="F276" s="24" t="str">
        <f ca="1">IF(OR(Master[[#This Row],[Type]]="checklist", Master[[#This Row],[Type]]="checklist-flat"), Master[[#This Row],[Name]], F275)</f>
        <v>PRE - R - PRE-line</v>
      </c>
      <c r="G276" s="26" t="s">
        <v>131</v>
      </c>
      <c r="H276" s="27" t="s">
        <v>1389</v>
      </c>
      <c r="I276" s="26" t="s">
        <v>1378</v>
      </c>
      <c r="J276" s="21">
        <f ca="1">_xlfn.XLOOKUP(Master[[#This Row],[Checklist]],Ref!A:A,Ref!B:B)*1000</f>
        <v>47000</v>
      </c>
      <c r="K276" s="21">
        <f ca="1">COUNTIF($J$2:Master[[#This Row],[ChecklistID]],Master[[#This Row],[ChecklistID]])-1</f>
        <v>13</v>
      </c>
      <c r="L276" s="23" t="s">
        <v>6</v>
      </c>
    </row>
    <row r="277" spans="1:12" ht="15.75">
      <c r="A277" s="23">
        <f t="shared" si="4"/>
        <v>276</v>
      </c>
      <c r="B277" s="21">
        <f ca="1">Master[[#This Row],[ChecklistID]]+Master[[#This Row],[Checklist Order]]</f>
        <v>47014</v>
      </c>
      <c r="C277" s="22"/>
      <c r="D277" s="3" t="str" cm="1">
        <f t="array" aca="1" ref="D277" ca="1">_xlfn.SWITCH(MID(Master[[#This Row],[Checklist]],1,4),"C - ","Civil","F - ","Foundation","ST -","Structure","FC -","Façade","PRE ","Pre-Line","POST","Post-Line","H - ","Handover","S - ","Services","CST ","Completion Docs", "I - ", "Inspection")</f>
        <v>Pre-Line</v>
      </c>
      <c r="E277" s="23" t="str">
        <f ca="1">IF(NOT(ISERROR(SEARCH("- S -", Master[[#This Row],[Checklist]]))), "Subcontractor",IF(NOT(ISERROR(SEARCH("- R -", Master[[#This Row],[Checklist]]))), "Ryman",IF(NOT(ISERROR(SEARCH("- C -", Master[[#This Row],[Checklist]]))), "Consultant",IF(NOT(ISERROR(SEARCH("- I -", Master[[#This Row],[Checklist]]))),  "Inspection Test Plan", "Naming Error"))))</f>
        <v>Ryman</v>
      </c>
      <c r="F277" s="24" t="str">
        <f ca="1">IF(OR(Master[[#This Row],[Type]]="checklist", Master[[#This Row],[Type]]="checklist-flat"), Master[[#This Row],[Name]], F276)</f>
        <v>PRE - R - PRE-line</v>
      </c>
      <c r="G277" s="26" t="s">
        <v>58</v>
      </c>
      <c r="H277" s="27" t="s">
        <v>306</v>
      </c>
      <c r="I277" s="26"/>
      <c r="J277" s="21">
        <f ca="1">_xlfn.XLOOKUP(Master[[#This Row],[Checklist]],Ref!A:A,Ref!B:B)*1000</f>
        <v>47000</v>
      </c>
      <c r="K277" s="21">
        <f ca="1">COUNTIF($J$2:Master[[#This Row],[ChecklistID]],Master[[#This Row],[ChecklistID]])-1</f>
        <v>14</v>
      </c>
      <c r="L277" s="23" t="s">
        <v>6</v>
      </c>
    </row>
    <row r="278" spans="1:12" ht="15.75">
      <c r="A278" s="23">
        <f t="shared" si="4"/>
        <v>277</v>
      </c>
      <c r="B278" s="21">
        <f ca="1">Master[[#This Row],[ChecklistID]]+Master[[#This Row],[Checklist Order]]</f>
        <v>48000</v>
      </c>
      <c r="C278" s="22"/>
      <c r="D278" s="3" t="str" cm="1">
        <f t="array" aca="1" ref="D278" ca="1">_xlfn.SWITCH(MID(Master[[#This Row],[Checklist]],1,4),"C - ","Civil","F - ","Foundation","ST -","Structure","FC -","Façade","PRE ","Pre-Line","POST","Post-Line","H - ","Handover","S - ","Services","CST ","Completion Docs", "I - ", "Inspection")</f>
        <v>Completion Docs</v>
      </c>
      <c r="E278" s="23" t="str">
        <f ca="1">IF(NOT(ISERROR(SEARCH("- S -", Master[[#This Row],[Checklist]]))), "Subcontractor",IF(NOT(ISERROR(SEARCH("- R -", Master[[#This Row],[Checklist]]))), "Ryman",IF(NOT(ISERROR(SEARCH("- C -", Master[[#This Row],[Checklist]]))), "Consultant",IF(NOT(ISERROR(SEARCH("- I -", Master[[#This Row],[Checklist]]))),  "Inspection Test Plan", "Naming Error"))))</f>
        <v>Ryman</v>
      </c>
      <c r="F278" s="24" t="str">
        <f ca="1">IF(OR(Master[[#This Row],[Type]]="checklist", Master[[#This Row],[Type]]="checklist-flat"), Master[[#This Row],[Name]], F277)</f>
        <v>CST - R - Restricted Building Works Consent</v>
      </c>
      <c r="G278" s="3" t="s">
        <v>48</v>
      </c>
      <c r="H278" s="24" t="s">
        <v>1390</v>
      </c>
      <c r="I278" s="3"/>
      <c r="J278" s="21">
        <f ca="1">_xlfn.XLOOKUP(Master[[#This Row],[Checklist]],Ref!A:A,Ref!B:B)*1000</f>
        <v>48000</v>
      </c>
      <c r="K278" s="21">
        <f ca="1">COUNTIF($J$2:Master[[#This Row],[ChecklistID]],Master[[#This Row],[ChecklistID]])-1</f>
        <v>0</v>
      </c>
      <c r="L278" s="23" t="s">
        <v>6</v>
      </c>
    </row>
    <row r="279" spans="1:12" ht="15.75">
      <c r="A279" s="23">
        <f t="shared" si="4"/>
        <v>278</v>
      </c>
      <c r="B279" s="21">
        <f ca="1">Master[[#This Row],[ChecklistID]]+Master[[#This Row],[Checklist Order]]</f>
        <v>48001</v>
      </c>
      <c r="C279" s="22"/>
      <c r="D279" s="3" t="str" cm="1">
        <f t="array" aca="1" ref="D279" ca="1">_xlfn.SWITCH(MID(Master[[#This Row],[Checklist]],1,4),"C - ","Civil","F - ","Foundation","ST -","Structure","FC -","Façade","PRE ","Pre-Line","POST","Post-Line","H - ","Handover","S - ","Services","CST ","Completion Docs", "I - ", "Inspection")</f>
        <v>Completion Docs</v>
      </c>
      <c r="E279" s="23" t="str">
        <f ca="1">IF(NOT(ISERROR(SEARCH("- S -", Master[[#This Row],[Checklist]]))), "Subcontractor",IF(NOT(ISERROR(SEARCH("- R -", Master[[#This Row],[Checklist]]))), "Ryman",IF(NOT(ISERROR(SEARCH("- C -", Master[[#This Row],[Checklist]]))), "Consultant",IF(NOT(ISERROR(SEARCH("- I -", Master[[#This Row],[Checklist]]))),  "Inspection Test Plan", "Naming Error"))))</f>
        <v>Ryman</v>
      </c>
      <c r="F279" s="24" t="str">
        <f ca="1">IF(OR(Master[[#This Row],[Type]]="checklist", Master[[#This Row],[Type]]="checklist-flat"), Master[[#This Row],[Name]], F278)</f>
        <v>CST - R - Restricted Building Works Consent</v>
      </c>
      <c r="G279" s="3" t="s">
        <v>49</v>
      </c>
      <c r="H279" s="24" t="s">
        <v>1391</v>
      </c>
      <c r="I279" s="3"/>
      <c r="J279" s="21">
        <f ca="1">_xlfn.XLOOKUP(Master[[#This Row],[Checklist]],Ref!A:A,Ref!B:B)*1000</f>
        <v>48000</v>
      </c>
      <c r="K279" s="21">
        <f ca="1">COUNTIF($J$2:Master[[#This Row],[ChecklistID]],Master[[#This Row],[ChecklistID]])-1</f>
        <v>1</v>
      </c>
      <c r="L279" s="23" t="s">
        <v>6</v>
      </c>
    </row>
    <row r="280" spans="1:12" ht="15.75">
      <c r="A280" s="23">
        <f t="shared" si="4"/>
        <v>279</v>
      </c>
      <c r="B280" s="21">
        <f ca="1">Master[[#This Row],[ChecklistID]]+Master[[#This Row],[Checklist Order]]</f>
        <v>48002</v>
      </c>
      <c r="C280" s="22"/>
      <c r="D280" s="3" t="str" cm="1">
        <f t="array" aca="1" ref="D280" ca="1">_xlfn.SWITCH(MID(Master[[#This Row],[Checklist]],1,4),"C - ","Civil","F - ","Foundation","ST -","Structure","FC -","Façade","PRE ","Pre-Line","POST","Post-Line","H - ","Handover","S - ","Services","CST ","Completion Docs", "I - ", "Inspection")</f>
        <v>Completion Docs</v>
      </c>
      <c r="E280" s="23" t="str">
        <f ca="1">IF(NOT(ISERROR(SEARCH("- S -", Master[[#This Row],[Checklist]]))), "Subcontractor",IF(NOT(ISERROR(SEARCH("- R -", Master[[#This Row],[Checklist]]))), "Ryman",IF(NOT(ISERROR(SEARCH("- C -", Master[[#This Row],[Checklist]]))), "Consultant",IF(NOT(ISERROR(SEARCH("- I -", Master[[#This Row],[Checklist]]))),  "Inspection Test Plan", "Naming Error"))))</f>
        <v>Ryman</v>
      </c>
      <c r="F280" s="24" t="str">
        <f ca="1">IF(OR(Master[[#This Row],[Type]]="checklist", Master[[#This Row],[Type]]="checklist-flat"), Master[[#This Row],[Name]], F279)</f>
        <v>CST - R - Restricted Building Works Consent</v>
      </c>
      <c r="G280" s="3" t="s">
        <v>49</v>
      </c>
      <c r="H280" s="24" t="s">
        <v>1392</v>
      </c>
      <c r="I280" s="3"/>
      <c r="J280" s="21">
        <f ca="1">_xlfn.XLOOKUP(Master[[#This Row],[Checklist]],Ref!A:A,Ref!B:B)*1000</f>
        <v>48000</v>
      </c>
      <c r="K280" s="21">
        <f ca="1">COUNTIF($J$2:Master[[#This Row],[ChecklistID]],Master[[#This Row],[ChecklistID]])-1</f>
        <v>2</v>
      </c>
      <c r="L280" s="23" t="s">
        <v>6</v>
      </c>
    </row>
    <row r="281" spans="1:12" ht="15.75">
      <c r="A281" s="23">
        <f t="shared" si="4"/>
        <v>280</v>
      </c>
      <c r="B281" s="21">
        <f ca="1">Master[[#This Row],[ChecklistID]]+Master[[#This Row],[Checklist Order]]</f>
        <v>48003</v>
      </c>
      <c r="C281" s="22"/>
      <c r="D281" s="3" t="str" cm="1">
        <f t="array" aca="1" ref="D281" ca="1">_xlfn.SWITCH(MID(Master[[#This Row],[Checklist]],1,4),"C - ","Civil","F - ","Foundation","ST -","Structure","FC -","Façade","PRE ","Pre-Line","POST","Post-Line","H - ","Handover","S - ","Services","CST ","Completion Docs", "I - ", "Inspection")</f>
        <v>Completion Docs</v>
      </c>
      <c r="E281" s="23" t="str">
        <f ca="1">IF(NOT(ISERROR(SEARCH("- S -", Master[[#This Row],[Checklist]]))), "Subcontractor",IF(NOT(ISERROR(SEARCH("- R -", Master[[#This Row],[Checklist]]))), "Ryman",IF(NOT(ISERROR(SEARCH("- C -", Master[[#This Row],[Checklist]]))), "Consultant",IF(NOT(ISERROR(SEARCH("- I -", Master[[#This Row],[Checklist]]))),  "Inspection Test Plan", "Naming Error"))))</f>
        <v>Ryman</v>
      </c>
      <c r="F281" s="24" t="str">
        <f ca="1">IF(OR(Master[[#This Row],[Type]]="checklist", Master[[#This Row],[Type]]="checklist-flat"), Master[[#This Row],[Name]], F280)</f>
        <v>CST - R - Restricted Building Works Consent</v>
      </c>
      <c r="G281" s="3" t="s">
        <v>49</v>
      </c>
      <c r="H281" s="24" t="s">
        <v>1393</v>
      </c>
      <c r="I281" s="3"/>
      <c r="J281" s="21">
        <f ca="1">_xlfn.XLOOKUP(Master[[#This Row],[Checklist]],Ref!A:A,Ref!B:B)*1000</f>
        <v>48000</v>
      </c>
      <c r="K281" s="21">
        <f ca="1">COUNTIF($J$2:Master[[#This Row],[ChecklistID]],Master[[#This Row],[ChecklistID]])-1</f>
        <v>3</v>
      </c>
      <c r="L281" s="23" t="s">
        <v>6</v>
      </c>
    </row>
    <row r="282" spans="1:12" ht="15.75">
      <c r="A282" s="23">
        <f t="shared" si="4"/>
        <v>281</v>
      </c>
      <c r="B282" s="21">
        <f ca="1">Master[[#This Row],[ChecklistID]]+Master[[#This Row],[Checklist Order]]</f>
        <v>48004</v>
      </c>
      <c r="C282" s="22"/>
      <c r="D282" s="3" t="str" cm="1">
        <f t="array" aca="1" ref="D282" ca="1">_xlfn.SWITCH(MID(Master[[#This Row],[Checklist]],1,4),"C - ","Civil","F - ","Foundation","ST -","Structure","FC -","Façade","PRE ","Pre-Line","POST","Post-Line","H - ","Handover","S - ","Services","CST ","Completion Docs", "I - ", "Inspection")</f>
        <v>Completion Docs</v>
      </c>
      <c r="E282" s="23" t="str">
        <f ca="1">IF(NOT(ISERROR(SEARCH("- S -", Master[[#This Row],[Checklist]]))), "Subcontractor",IF(NOT(ISERROR(SEARCH("- R -", Master[[#This Row],[Checklist]]))), "Ryman",IF(NOT(ISERROR(SEARCH("- C -", Master[[#This Row],[Checklist]]))), "Consultant",IF(NOT(ISERROR(SEARCH("- I -", Master[[#This Row],[Checklist]]))),  "Inspection Test Plan", "Naming Error"))))</f>
        <v>Ryman</v>
      </c>
      <c r="F282" s="24" t="str">
        <f ca="1">IF(OR(Master[[#This Row],[Type]]="checklist", Master[[#This Row],[Type]]="checklist-flat"), Master[[#This Row],[Name]], F281)</f>
        <v>CST - R - Restricted Building Works Consent</v>
      </c>
      <c r="G282" s="3" t="s">
        <v>49</v>
      </c>
      <c r="H282" s="24" t="s">
        <v>1394</v>
      </c>
      <c r="I282" s="3"/>
      <c r="J282" s="21">
        <f ca="1">_xlfn.XLOOKUP(Master[[#This Row],[Checklist]],Ref!A:A,Ref!B:B)*1000</f>
        <v>48000</v>
      </c>
      <c r="K282" s="21">
        <f ca="1">COUNTIF($J$2:Master[[#This Row],[ChecklistID]],Master[[#This Row],[ChecklistID]])-1</f>
        <v>4</v>
      </c>
      <c r="L282" s="23" t="s">
        <v>6</v>
      </c>
    </row>
    <row r="283" spans="1:12" ht="15.75">
      <c r="A283" s="23">
        <f t="shared" si="4"/>
        <v>282</v>
      </c>
      <c r="B283" s="21">
        <f ca="1">Master[[#This Row],[ChecklistID]]+Master[[#This Row],[Checklist Order]]</f>
        <v>48005</v>
      </c>
      <c r="C283" s="22"/>
      <c r="D283" s="3" t="str" cm="1">
        <f t="array" aca="1" ref="D283" ca="1">_xlfn.SWITCH(MID(Master[[#This Row],[Checklist]],1,4),"C - ","Civil","F - ","Foundation","ST -","Structure","FC -","Façade","PRE ","Pre-Line","POST","Post-Line","H - ","Handover","S - ","Services","CST ","Completion Docs", "I - ", "Inspection")</f>
        <v>Completion Docs</v>
      </c>
      <c r="E283" s="23" t="str">
        <f ca="1">IF(NOT(ISERROR(SEARCH("- S -", Master[[#This Row],[Checklist]]))), "Subcontractor",IF(NOT(ISERROR(SEARCH("- R -", Master[[#This Row],[Checklist]]))), "Ryman",IF(NOT(ISERROR(SEARCH("- C -", Master[[#This Row],[Checklist]]))), "Consultant",IF(NOT(ISERROR(SEARCH("- I -", Master[[#This Row],[Checklist]]))),  "Inspection Test Plan", "Naming Error"))))</f>
        <v>Ryman</v>
      </c>
      <c r="F283" s="24" t="str">
        <f ca="1">IF(OR(Master[[#This Row],[Type]]="checklist", Master[[#This Row],[Type]]="checklist-flat"), Master[[#This Row],[Name]], F282)</f>
        <v>CST - R - Restricted Building Works Consent</v>
      </c>
      <c r="G283" s="3" t="s">
        <v>49</v>
      </c>
      <c r="H283" s="24" t="s">
        <v>1395</v>
      </c>
      <c r="I283" s="3"/>
      <c r="J283" s="21">
        <f ca="1">_xlfn.XLOOKUP(Master[[#This Row],[Checklist]],Ref!A:A,Ref!B:B)*1000</f>
        <v>48000</v>
      </c>
      <c r="K283" s="21">
        <f ca="1">COUNTIF($J$2:Master[[#This Row],[ChecklistID]],Master[[#This Row],[ChecklistID]])-1</f>
        <v>5</v>
      </c>
      <c r="L283" s="23" t="s">
        <v>6</v>
      </c>
    </row>
    <row r="284" spans="1:12" ht="15.75">
      <c r="A284" s="23">
        <f t="shared" si="4"/>
        <v>283</v>
      </c>
      <c r="B284" s="21">
        <f ca="1">Master[[#This Row],[ChecklistID]]+Master[[#This Row],[Checklist Order]]</f>
        <v>48006</v>
      </c>
      <c r="C284" s="22"/>
      <c r="D284" s="3" t="str" cm="1">
        <f t="array" aca="1" ref="D284" ca="1">_xlfn.SWITCH(MID(Master[[#This Row],[Checklist]],1,4),"C - ","Civil","F - ","Foundation","ST -","Structure","FC -","Façade","PRE ","Pre-Line","POST","Post-Line","H - ","Handover","S - ","Services","CST ","Completion Docs", "I - ", "Inspection")</f>
        <v>Completion Docs</v>
      </c>
      <c r="E284" s="23" t="str">
        <f ca="1">IF(NOT(ISERROR(SEARCH("- S -", Master[[#This Row],[Checklist]]))), "Subcontractor",IF(NOT(ISERROR(SEARCH("- R -", Master[[#This Row],[Checklist]]))), "Ryman",IF(NOT(ISERROR(SEARCH("- C -", Master[[#This Row],[Checklist]]))), "Consultant",IF(NOT(ISERROR(SEARCH("- I -", Master[[#This Row],[Checklist]]))),  "Inspection Test Plan", "Naming Error"))))</f>
        <v>Ryman</v>
      </c>
      <c r="F284" s="24" t="str">
        <f ca="1">IF(OR(Master[[#This Row],[Type]]="checklist", Master[[#This Row],[Type]]="checklist-flat"), Master[[#This Row],[Name]], F283)</f>
        <v>CST - R - Restricted Building Works Consent</v>
      </c>
      <c r="G284" s="3" t="s">
        <v>66</v>
      </c>
      <c r="H284" s="24" t="s">
        <v>1396</v>
      </c>
      <c r="I284" s="3"/>
      <c r="J284" s="21">
        <f ca="1">_xlfn.XLOOKUP(Master[[#This Row],[Checklist]],Ref!A:A,Ref!B:B)*1000</f>
        <v>48000</v>
      </c>
      <c r="K284" s="21">
        <f ca="1">COUNTIF($J$2:Master[[#This Row],[ChecklistID]],Master[[#This Row],[ChecklistID]])-1</f>
        <v>6</v>
      </c>
      <c r="L284" s="23" t="s">
        <v>6</v>
      </c>
    </row>
    <row r="285" spans="1:12" ht="15.75">
      <c r="A285" s="23">
        <f t="shared" si="4"/>
        <v>284</v>
      </c>
      <c r="B285" s="21">
        <f ca="1">Master[[#This Row],[ChecklistID]]+Master[[#This Row],[Checklist Order]]</f>
        <v>48007</v>
      </c>
      <c r="C285" s="22"/>
      <c r="D285" s="3" t="str" cm="1">
        <f t="array" aca="1" ref="D285" ca="1">_xlfn.SWITCH(MID(Master[[#This Row],[Checklist]],1,4),"C - ","Civil","F - ","Foundation","ST -","Structure","FC -","Façade","PRE ","Pre-Line","POST","Post-Line","H - ","Handover","S - ","Services","CST ","Completion Docs", "I - ", "Inspection")</f>
        <v>Completion Docs</v>
      </c>
      <c r="E285" s="23" t="str">
        <f ca="1">IF(NOT(ISERROR(SEARCH("- S -", Master[[#This Row],[Checklist]]))), "Subcontractor",IF(NOT(ISERROR(SEARCH("- R -", Master[[#This Row],[Checklist]]))), "Ryman",IF(NOT(ISERROR(SEARCH("- C -", Master[[#This Row],[Checklist]]))), "Consultant",IF(NOT(ISERROR(SEARCH("- I -", Master[[#This Row],[Checklist]]))),  "Inspection Test Plan", "Naming Error"))))</f>
        <v>Ryman</v>
      </c>
      <c r="F285" s="24" t="str">
        <f ca="1">IF(OR(Master[[#This Row],[Type]]="checklist", Master[[#This Row],[Type]]="checklist-flat"), Master[[#This Row],[Name]], F284)</f>
        <v>CST - R - Restricted Building Works Consent</v>
      </c>
      <c r="G285" s="3" t="s">
        <v>66</v>
      </c>
      <c r="H285" s="24" t="s">
        <v>1397</v>
      </c>
      <c r="I285" s="3"/>
      <c r="J285" s="21">
        <f ca="1">_xlfn.XLOOKUP(Master[[#This Row],[Checklist]],Ref!A:A,Ref!B:B)*1000</f>
        <v>48000</v>
      </c>
      <c r="K285" s="21">
        <f ca="1">COUNTIF($J$2:Master[[#This Row],[ChecklistID]],Master[[#This Row],[ChecklistID]])-1</f>
        <v>7</v>
      </c>
      <c r="L285" s="23" t="s">
        <v>6</v>
      </c>
    </row>
    <row r="286" spans="1:12" ht="15.75">
      <c r="A286" s="23">
        <f t="shared" si="4"/>
        <v>285</v>
      </c>
      <c r="B286" s="21">
        <f ca="1">Master[[#This Row],[ChecklistID]]+Master[[#This Row],[Checklist Order]]</f>
        <v>48008</v>
      </c>
      <c r="C286" s="22"/>
      <c r="D286" s="3" t="str" cm="1">
        <f t="array" aca="1" ref="D286" ca="1">_xlfn.SWITCH(MID(Master[[#This Row],[Checklist]],1,4),"C - ","Civil","F - ","Foundation","ST -","Structure","FC -","Façade","PRE ","Pre-Line","POST","Post-Line","H - ","Handover","S - ","Services","CST ","Completion Docs", "I - ", "Inspection")</f>
        <v>Completion Docs</v>
      </c>
      <c r="E286" s="23" t="str">
        <f ca="1">IF(NOT(ISERROR(SEARCH("- S -", Master[[#This Row],[Checklist]]))), "Subcontractor",IF(NOT(ISERROR(SEARCH("- R -", Master[[#This Row],[Checklist]]))), "Ryman",IF(NOT(ISERROR(SEARCH("- C -", Master[[#This Row],[Checklist]]))), "Consultant",IF(NOT(ISERROR(SEARCH("- I -", Master[[#This Row],[Checklist]]))),  "Inspection Test Plan", "Naming Error"))))</f>
        <v>Ryman</v>
      </c>
      <c r="F286" s="24" t="str">
        <f ca="1">IF(OR(Master[[#This Row],[Type]]="checklist", Master[[#This Row],[Type]]="checklist-flat"), Master[[#This Row],[Name]], F285)</f>
        <v>CST - R - Restricted Building Works Consent</v>
      </c>
      <c r="G286" s="3" t="s">
        <v>66</v>
      </c>
      <c r="H286" s="24" t="s">
        <v>1398</v>
      </c>
      <c r="I286" s="3"/>
      <c r="J286" s="21">
        <f ca="1">_xlfn.XLOOKUP(Master[[#This Row],[Checklist]],Ref!A:A,Ref!B:B)*1000</f>
        <v>48000</v>
      </c>
      <c r="K286" s="21">
        <f ca="1">COUNTIF($J$2:Master[[#This Row],[ChecklistID]],Master[[#This Row],[ChecklistID]])-1</f>
        <v>8</v>
      </c>
      <c r="L286" s="23" t="s">
        <v>6</v>
      </c>
    </row>
    <row r="287" spans="1:12" ht="15.75">
      <c r="A287" s="23">
        <f t="shared" si="4"/>
        <v>286</v>
      </c>
      <c r="B287" s="21">
        <f ca="1">Master[[#This Row],[ChecklistID]]+Master[[#This Row],[Checklist Order]]</f>
        <v>48009</v>
      </c>
      <c r="C287" s="22"/>
      <c r="D287" s="3" t="str" cm="1">
        <f t="array" aca="1" ref="D287" ca="1">_xlfn.SWITCH(MID(Master[[#This Row],[Checklist]],1,4),"C - ","Civil","F - ","Foundation","ST -","Structure","FC -","Façade","PRE ","Pre-Line","POST","Post-Line","H - ","Handover","S - ","Services","CST ","Completion Docs", "I - ", "Inspection")</f>
        <v>Completion Docs</v>
      </c>
      <c r="E287" s="23" t="str">
        <f ca="1">IF(NOT(ISERROR(SEARCH("- S -", Master[[#This Row],[Checklist]]))), "Subcontractor",IF(NOT(ISERROR(SEARCH("- R -", Master[[#This Row],[Checklist]]))), "Ryman",IF(NOT(ISERROR(SEARCH("- C -", Master[[#This Row],[Checklist]]))), "Consultant",IF(NOT(ISERROR(SEARCH("- I -", Master[[#This Row],[Checklist]]))),  "Inspection Test Plan", "Naming Error"))))</f>
        <v>Ryman</v>
      </c>
      <c r="F287" s="24" t="str">
        <f ca="1">IF(OR(Master[[#This Row],[Type]]="checklist", Master[[#This Row],[Type]]="checklist-flat"), Master[[#This Row],[Name]], F286)</f>
        <v>CST - R - Restricted Building Works Consent</v>
      </c>
      <c r="G287" s="3" t="s">
        <v>66</v>
      </c>
      <c r="H287" s="24" t="s">
        <v>1399</v>
      </c>
      <c r="I287" s="3"/>
      <c r="J287" s="21">
        <f ca="1">_xlfn.XLOOKUP(Master[[#This Row],[Checklist]],Ref!A:A,Ref!B:B)*1000</f>
        <v>48000</v>
      </c>
      <c r="K287" s="21">
        <f ca="1">COUNTIF($J$2:Master[[#This Row],[ChecklistID]],Master[[#This Row],[ChecklistID]])-1</f>
        <v>9</v>
      </c>
      <c r="L287" s="23" t="s">
        <v>6</v>
      </c>
    </row>
    <row r="288" spans="1:12" ht="15.75">
      <c r="A288" s="23">
        <f t="shared" si="4"/>
        <v>287</v>
      </c>
      <c r="B288" s="21">
        <f ca="1">Master[[#This Row],[ChecklistID]]+Master[[#This Row],[Checklist Order]]</f>
        <v>48010</v>
      </c>
      <c r="C288" s="22"/>
      <c r="D288" s="3" t="str" cm="1">
        <f t="array" aca="1" ref="D288" ca="1">_xlfn.SWITCH(MID(Master[[#This Row],[Checklist]],1,4),"C - ","Civil","F - ","Foundation","ST -","Structure","FC -","Façade","PRE ","Pre-Line","POST","Post-Line","H - ","Handover","S - ","Services","CST ","Completion Docs", "I - ", "Inspection")</f>
        <v>Completion Docs</v>
      </c>
      <c r="E288" s="23" t="str">
        <f ca="1">IF(NOT(ISERROR(SEARCH("- S -", Master[[#This Row],[Checklist]]))), "Subcontractor",IF(NOT(ISERROR(SEARCH("- R -", Master[[#This Row],[Checklist]]))), "Ryman",IF(NOT(ISERROR(SEARCH("- C -", Master[[#This Row],[Checklist]]))), "Consultant",IF(NOT(ISERROR(SEARCH("- I -", Master[[#This Row],[Checklist]]))),  "Inspection Test Plan", "Naming Error"))))</f>
        <v>Ryman</v>
      </c>
      <c r="F288" s="24" t="str">
        <f ca="1">IF(OR(Master[[#This Row],[Type]]="checklist", Master[[#This Row],[Type]]="checklist-flat"), Master[[#This Row],[Name]], F287)</f>
        <v>CST - R - Restricted Building Works Consent</v>
      </c>
      <c r="G288" s="3" t="s">
        <v>66</v>
      </c>
      <c r="H288" s="24" t="s">
        <v>1400</v>
      </c>
      <c r="I288" s="3"/>
      <c r="J288" s="21">
        <f ca="1">_xlfn.XLOOKUP(Master[[#This Row],[Checklist]],Ref!A:A,Ref!B:B)*1000</f>
        <v>48000</v>
      </c>
      <c r="K288" s="21">
        <f ca="1">COUNTIF($J$2:Master[[#This Row],[ChecklistID]],Master[[#This Row],[ChecklistID]])-1</f>
        <v>10</v>
      </c>
      <c r="L288" s="23" t="s">
        <v>6</v>
      </c>
    </row>
    <row r="289" spans="1:12" ht="15.75">
      <c r="A289" s="23">
        <f t="shared" si="4"/>
        <v>288</v>
      </c>
      <c r="B289" s="21">
        <f ca="1">Master[[#This Row],[ChecklistID]]+Master[[#This Row],[Checklist Order]]</f>
        <v>48011</v>
      </c>
      <c r="C289" s="22"/>
      <c r="D289" s="3" t="str" cm="1">
        <f t="array" aca="1" ref="D289" ca="1">_xlfn.SWITCH(MID(Master[[#This Row],[Checklist]],1,4),"C - ","Civil","F - ","Foundation","ST -","Structure","FC -","Façade","PRE ","Pre-Line","POST","Post-Line","H - ","Handover","S - ","Services","CST ","Completion Docs", "I - ", "Inspection")</f>
        <v>Completion Docs</v>
      </c>
      <c r="E289" s="23" t="str">
        <f ca="1">IF(NOT(ISERROR(SEARCH("- S -", Master[[#This Row],[Checklist]]))), "Subcontractor",IF(NOT(ISERROR(SEARCH("- R -", Master[[#This Row],[Checklist]]))), "Ryman",IF(NOT(ISERROR(SEARCH("- C -", Master[[#This Row],[Checklist]]))), "Consultant",IF(NOT(ISERROR(SEARCH("- I -", Master[[#This Row],[Checklist]]))),  "Inspection Test Plan", "Naming Error"))))</f>
        <v>Ryman</v>
      </c>
      <c r="F289" s="24" t="str">
        <f ca="1">IF(OR(Master[[#This Row],[Type]]="checklist", Master[[#This Row],[Type]]="checklist-flat"), Master[[#This Row],[Name]], F288)</f>
        <v>CST - R - Restricted Building Works Consent</v>
      </c>
      <c r="G289" s="3" t="s">
        <v>66</v>
      </c>
      <c r="H289" s="24" t="s">
        <v>1401</v>
      </c>
      <c r="I289" s="3"/>
      <c r="J289" s="21">
        <f ca="1">_xlfn.XLOOKUP(Master[[#This Row],[Checklist]],Ref!A:A,Ref!B:B)*1000</f>
        <v>48000</v>
      </c>
      <c r="K289" s="21">
        <f ca="1">COUNTIF($J$2:Master[[#This Row],[ChecklistID]],Master[[#This Row],[ChecklistID]])-1</f>
        <v>11</v>
      </c>
      <c r="L289" s="23" t="s">
        <v>6</v>
      </c>
    </row>
    <row r="290" spans="1:12" ht="15.75">
      <c r="A290" s="23">
        <f t="shared" si="4"/>
        <v>289</v>
      </c>
      <c r="B290" s="21">
        <f ca="1">Master[[#This Row],[ChecklistID]]+Master[[#This Row],[Checklist Order]]</f>
        <v>48012</v>
      </c>
      <c r="C290" s="22"/>
      <c r="D290" s="3" t="str" cm="1">
        <f t="array" aca="1" ref="D290" ca="1">_xlfn.SWITCH(MID(Master[[#This Row],[Checklist]],1,4),"C - ","Civil","F - ","Foundation","ST -","Structure","FC -","Façade","PRE ","Pre-Line","POST","Post-Line","H - ","Handover","S - ","Services","CST ","Completion Docs", "I - ", "Inspection")</f>
        <v>Completion Docs</v>
      </c>
      <c r="E290" s="23" t="str">
        <f ca="1">IF(NOT(ISERROR(SEARCH("- S -", Master[[#This Row],[Checklist]]))), "Subcontractor",IF(NOT(ISERROR(SEARCH("- R -", Master[[#This Row],[Checklist]]))), "Ryman",IF(NOT(ISERROR(SEARCH("- C -", Master[[#This Row],[Checklist]]))), "Consultant",IF(NOT(ISERROR(SEARCH("- I -", Master[[#This Row],[Checklist]]))),  "Inspection Test Plan", "Naming Error"))))</f>
        <v>Ryman</v>
      </c>
      <c r="F290" s="24" t="str">
        <f ca="1">IF(OR(Master[[#This Row],[Type]]="checklist", Master[[#This Row],[Type]]="checklist-flat"), Master[[#This Row],[Name]], F289)</f>
        <v>CST - R - Restricted Building Works Consent</v>
      </c>
      <c r="G290" s="3" t="s">
        <v>66</v>
      </c>
      <c r="H290" s="24" t="s">
        <v>1402</v>
      </c>
      <c r="I290" s="3"/>
      <c r="J290" s="21">
        <f ca="1">_xlfn.XLOOKUP(Master[[#This Row],[Checklist]],Ref!A:A,Ref!B:B)*1000</f>
        <v>48000</v>
      </c>
      <c r="K290" s="21">
        <f ca="1">COUNTIF($J$2:Master[[#This Row],[ChecklistID]],Master[[#This Row],[ChecklistID]])-1</f>
        <v>12</v>
      </c>
      <c r="L290" s="23" t="s">
        <v>6</v>
      </c>
    </row>
    <row r="291" spans="1:12" ht="15.75">
      <c r="A291" s="23">
        <f t="shared" si="4"/>
        <v>290</v>
      </c>
      <c r="B291" s="21">
        <f ca="1">Master[[#This Row],[ChecklistID]]+Master[[#This Row],[Checklist Order]]</f>
        <v>48013</v>
      </c>
      <c r="C291" s="22"/>
      <c r="D291" s="3" t="str" cm="1">
        <f t="array" aca="1" ref="D291" ca="1">_xlfn.SWITCH(MID(Master[[#This Row],[Checklist]],1,4),"C - ","Civil","F - ","Foundation","ST -","Structure","FC -","Façade","PRE ","Pre-Line","POST","Post-Line","H - ","Handover","S - ","Services","CST ","Completion Docs", "I - ", "Inspection")</f>
        <v>Completion Docs</v>
      </c>
      <c r="E291" s="23" t="str">
        <f ca="1">IF(NOT(ISERROR(SEARCH("- S -", Master[[#This Row],[Checklist]]))), "Subcontractor",IF(NOT(ISERROR(SEARCH("- R -", Master[[#This Row],[Checklist]]))), "Ryman",IF(NOT(ISERROR(SEARCH("- C -", Master[[#This Row],[Checklist]]))), "Consultant",IF(NOT(ISERROR(SEARCH("- I -", Master[[#This Row],[Checklist]]))),  "Inspection Test Plan", "Naming Error"))))</f>
        <v>Ryman</v>
      </c>
      <c r="F291" s="24" t="str">
        <f ca="1">IF(OR(Master[[#This Row],[Type]]="checklist", Master[[#This Row],[Type]]="checklist-flat"), Master[[#This Row],[Name]], F290)</f>
        <v>CST - R - Restricted Building Works Consent</v>
      </c>
      <c r="G291" s="3" t="s">
        <v>66</v>
      </c>
      <c r="H291" s="24" t="s">
        <v>1403</v>
      </c>
      <c r="I291" s="3"/>
      <c r="J291" s="21">
        <f ca="1">_xlfn.XLOOKUP(Master[[#This Row],[Checklist]],Ref!A:A,Ref!B:B)*1000</f>
        <v>48000</v>
      </c>
      <c r="K291" s="21">
        <f ca="1">COUNTIF($J$2:Master[[#This Row],[ChecklistID]],Master[[#This Row],[ChecklistID]])-1</f>
        <v>13</v>
      </c>
      <c r="L291" s="23" t="s">
        <v>6</v>
      </c>
    </row>
    <row r="292" spans="1:12" ht="15.75">
      <c r="A292" s="23">
        <f t="shared" si="4"/>
        <v>291</v>
      </c>
      <c r="B292" s="21">
        <f ca="1">Master[[#This Row],[ChecklistID]]+Master[[#This Row],[Checklist Order]]</f>
        <v>48014</v>
      </c>
      <c r="C292" s="22"/>
      <c r="D292" s="3" t="str" cm="1">
        <f t="array" aca="1" ref="D292" ca="1">_xlfn.SWITCH(MID(Master[[#This Row],[Checklist]],1,4),"C - ","Civil","F - ","Foundation","ST -","Structure","FC -","Façade","PRE ","Pre-Line","POST","Post-Line","H - ","Handover","S - ","Services","CST ","Completion Docs", "I - ", "Inspection")</f>
        <v>Completion Docs</v>
      </c>
      <c r="E292" s="23" t="str">
        <f ca="1">IF(NOT(ISERROR(SEARCH("- S -", Master[[#This Row],[Checklist]]))), "Subcontractor",IF(NOT(ISERROR(SEARCH("- R -", Master[[#This Row],[Checklist]]))), "Ryman",IF(NOT(ISERROR(SEARCH("- C -", Master[[#This Row],[Checklist]]))), "Consultant",IF(NOT(ISERROR(SEARCH("- I -", Master[[#This Row],[Checklist]]))),  "Inspection Test Plan", "Naming Error"))))</f>
        <v>Ryman</v>
      </c>
      <c r="F292" s="24" t="str">
        <f ca="1">IF(OR(Master[[#This Row],[Type]]="checklist", Master[[#This Row],[Type]]="checklist-flat"), Master[[#This Row],[Name]], F291)</f>
        <v>CST - R - Restricted Building Works Consent</v>
      </c>
      <c r="G292" s="3" t="s">
        <v>66</v>
      </c>
      <c r="H292" s="24" t="s">
        <v>1404</v>
      </c>
      <c r="I292" s="3"/>
      <c r="J292" s="21">
        <f ca="1">_xlfn.XLOOKUP(Master[[#This Row],[Checklist]],Ref!A:A,Ref!B:B)*1000</f>
        <v>48000</v>
      </c>
      <c r="K292" s="21">
        <f ca="1">COUNTIF($J$2:Master[[#This Row],[ChecklistID]],Master[[#This Row],[ChecklistID]])-1</f>
        <v>14</v>
      </c>
      <c r="L292" s="23" t="s">
        <v>6</v>
      </c>
    </row>
    <row r="293" spans="1:12" ht="15.75">
      <c r="A293" s="23">
        <f t="shared" si="4"/>
        <v>292</v>
      </c>
      <c r="B293" s="21">
        <f ca="1">Master[[#This Row],[ChecklistID]]+Master[[#This Row],[Checklist Order]]</f>
        <v>48015</v>
      </c>
      <c r="C293" s="22"/>
      <c r="D293" s="3" t="str" cm="1">
        <f t="array" aca="1" ref="D293" ca="1">_xlfn.SWITCH(MID(Master[[#This Row],[Checklist]],1,4),"C - ","Civil","F - ","Foundation","ST -","Structure","FC -","Façade","PRE ","Pre-Line","POST","Post-Line","H - ","Handover","S - ","Services","CST ","Completion Docs", "I - ", "Inspection")</f>
        <v>Completion Docs</v>
      </c>
      <c r="E293" s="23" t="str">
        <f ca="1">IF(NOT(ISERROR(SEARCH("- S -", Master[[#This Row],[Checklist]]))), "Subcontractor",IF(NOT(ISERROR(SEARCH("- R -", Master[[#This Row],[Checklist]]))), "Ryman",IF(NOT(ISERROR(SEARCH("- C -", Master[[#This Row],[Checklist]]))), "Consultant",IF(NOT(ISERROR(SEARCH("- I -", Master[[#This Row],[Checklist]]))),  "Inspection Test Plan", "Naming Error"))))</f>
        <v>Ryman</v>
      </c>
      <c r="F293" s="24" t="str">
        <f ca="1">IF(OR(Master[[#This Row],[Type]]="checklist", Master[[#This Row],[Type]]="checklist-flat"), Master[[#This Row],[Name]], F292)</f>
        <v>CST - R - Restricted Building Works Consent</v>
      </c>
      <c r="G293" s="3" t="s">
        <v>66</v>
      </c>
      <c r="H293" s="24" t="s">
        <v>1405</v>
      </c>
      <c r="I293" s="3"/>
      <c r="J293" s="21">
        <f ca="1">_xlfn.XLOOKUP(Master[[#This Row],[Checklist]],Ref!A:A,Ref!B:B)*1000</f>
        <v>48000</v>
      </c>
      <c r="K293" s="21">
        <f ca="1">COUNTIF($J$2:Master[[#This Row],[ChecklistID]],Master[[#This Row],[ChecklistID]])-1</f>
        <v>15</v>
      </c>
      <c r="L293" s="23" t="s">
        <v>6</v>
      </c>
    </row>
    <row r="294" spans="1:12" ht="15.75">
      <c r="A294" s="23">
        <f t="shared" si="4"/>
        <v>293</v>
      </c>
      <c r="B294" s="21">
        <f ca="1">Master[[#This Row],[ChecklistID]]+Master[[#This Row],[Checklist Order]]</f>
        <v>48016</v>
      </c>
      <c r="C294" s="22"/>
      <c r="D294" s="3" t="str" cm="1">
        <f t="array" aca="1" ref="D294" ca="1">_xlfn.SWITCH(MID(Master[[#This Row],[Checklist]],1,4),"C - ","Civil","F - ","Foundation","ST -","Structure","FC -","Façade","PRE ","Pre-Line","POST","Post-Line","H - ","Handover","S - ","Services","CST ","Completion Docs", "I - ", "Inspection")</f>
        <v>Completion Docs</v>
      </c>
      <c r="E294" s="23" t="str">
        <f ca="1">IF(NOT(ISERROR(SEARCH("- S -", Master[[#This Row],[Checklist]]))), "Subcontractor",IF(NOT(ISERROR(SEARCH("- R -", Master[[#This Row],[Checklist]]))), "Ryman",IF(NOT(ISERROR(SEARCH("- C -", Master[[#This Row],[Checklist]]))), "Consultant",IF(NOT(ISERROR(SEARCH("- I -", Master[[#This Row],[Checklist]]))),  "Inspection Test Plan", "Naming Error"))))</f>
        <v>Ryman</v>
      </c>
      <c r="F294" s="24" t="str">
        <f ca="1">IF(OR(Master[[#This Row],[Type]]="checklist", Master[[#This Row],[Type]]="checklist-flat"), Master[[#This Row],[Name]], F293)</f>
        <v>CST - R - Restricted Building Works Consent</v>
      </c>
      <c r="G294" s="3" t="s">
        <v>66</v>
      </c>
      <c r="H294" s="24" t="s">
        <v>1406</v>
      </c>
      <c r="I294" s="3"/>
      <c r="J294" s="21">
        <f ca="1">_xlfn.XLOOKUP(Master[[#This Row],[Checklist]],Ref!A:A,Ref!B:B)*1000</f>
        <v>48000</v>
      </c>
      <c r="K294" s="21">
        <f ca="1">COUNTIF($J$2:Master[[#This Row],[ChecklistID]],Master[[#This Row],[ChecklistID]])-1</f>
        <v>16</v>
      </c>
      <c r="L294" s="23" t="s">
        <v>6</v>
      </c>
    </row>
    <row r="295" spans="1:12" ht="15.75">
      <c r="A295" s="23">
        <f t="shared" si="4"/>
        <v>294</v>
      </c>
      <c r="B295" s="21">
        <f ca="1">Master[[#This Row],[ChecklistID]]+Master[[#This Row],[Checklist Order]]</f>
        <v>48017</v>
      </c>
      <c r="C295" s="22"/>
      <c r="D295" s="3" t="str" cm="1">
        <f t="array" aca="1" ref="D295" ca="1">_xlfn.SWITCH(MID(Master[[#This Row],[Checklist]],1,4),"C - ","Civil","F - ","Foundation","ST -","Structure","FC -","Façade","PRE ","Pre-Line","POST","Post-Line","H - ","Handover","S - ","Services","CST ","Completion Docs", "I - ", "Inspection")</f>
        <v>Completion Docs</v>
      </c>
      <c r="E295" s="23" t="str">
        <f ca="1">IF(NOT(ISERROR(SEARCH("- S -", Master[[#This Row],[Checklist]]))), "Subcontractor",IF(NOT(ISERROR(SEARCH("- R -", Master[[#This Row],[Checklist]]))), "Ryman",IF(NOT(ISERROR(SEARCH("- C -", Master[[#This Row],[Checklist]]))), "Consultant",IF(NOT(ISERROR(SEARCH("- I -", Master[[#This Row],[Checklist]]))),  "Inspection Test Plan", "Naming Error"))))</f>
        <v>Ryman</v>
      </c>
      <c r="F295" s="24" t="str">
        <f ca="1">IF(OR(Master[[#This Row],[Type]]="checklist", Master[[#This Row],[Type]]="checklist-flat"), Master[[#This Row],[Name]], F294)</f>
        <v>CST - R - Restricted Building Works Consent</v>
      </c>
      <c r="G295" s="3" t="s">
        <v>66</v>
      </c>
      <c r="H295" s="24" t="s">
        <v>1407</v>
      </c>
      <c r="I295" s="3"/>
      <c r="J295" s="21">
        <f ca="1">_xlfn.XLOOKUP(Master[[#This Row],[Checklist]],Ref!A:A,Ref!B:B)*1000</f>
        <v>48000</v>
      </c>
      <c r="K295" s="21">
        <f ca="1">COUNTIF($J$2:Master[[#This Row],[ChecklistID]],Master[[#This Row],[ChecklistID]])-1</f>
        <v>17</v>
      </c>
      <c r="L295" s="23" t="s">
        <v>6</v>
      </c>
    </row>
    <row r="296" spans="1:12" ht="15.75">
      <c r="A296" s="23">
        <f t="shared" si="4"/>
        <v>295</v>
      </c>
      <c r="B296" s="21">
        <f ca="1">Master[[#This Row],[ChecklistID]]+Master[[#This Row],[Checklist Order]]</f>
        <v>48018</v>
      </c>
      <c r="C296" s="22"/>
      <c r="D296" s="3" t="str" cm="1">
        <f t="array" aca="1" ref="D296" ca="1">_xlfn.SWITCH(MID(Master[[#This Row],[Checklist]],1,4),"C - ","Civil","F - ","Foundation","ST -","Structure","FC -","Façade","PRE ","Pre-Line","POST","Post-Line","H - ","Handover","S - ","Services","CST ","Completion Docs", "I - ", "Inspection")</f>
        <v>Completion Docs</v>
      </c>
      <c r="E296" s="23" t="str">
        <f ca="1">IF(NOT(ISERROR(SEARCH("- S -", Master[[#This Row],[Checklist]]))), "Subcontractor",IF(NOT(ISERROR(SEARCH("- R -", Master[[#This Row],[Checklist]]))), "Ryman",IF(NOT(ISERROR(SEARCH("- C -", Master[[#This Row],[Checklist]]))), "Consultant",IF(NOT(ISERROR(SEARCH("- I -", Master[[#This Row],[Checklist]]))),  "Inspection Test Plan", "Naming Error"))))</f>
        <v>Ryman</v>
      </c>
      <c r="F296" s="24" t="str">
        <f ca="1">IF(OR(Master[[#This Row],[Type]]="checklist", Master[[#This Row],[Type]]="checklist-flat"), Master[[#This Row],[Name]], F295)</f>
        <v>CST - R - Restricted Building Works Consent</v>
      </c>
      <c r="G296" s="3" t="s">
        <v>49</v>
      </c>
      <c r="H296" s="24" t="s">
        <v>1408</v>
      </c>
      <c r="I296" s="3"/>
      <c r="J296" s="21">
        <f ca="1">_xlfn.XLOOKUP(Master[[#This Row],[Checklist]],Ref!A:A,Ref!B:B)*1000</f>
        <v>48000</v>
      </c>
      <c r="K296" s="21">
        <f ca="1">COUNTIF($J$2:Master[[#This Row],[ChecklistID]],Master[[#This Row],[ChecklistID]])-1</f>
        <v>18</v>
      </c>
      <c r="L296" s="23" t="s">
        <v>6</v>
      </c>
    </row>
    <row r="297" spans="1:12" ht="15.75">
      <c r="A297" s="23">
        <f t="shared" si="4"/>
        <v>296</v>
      </c>
      <c r="B297" s="21">
        <f ca="1">Master[[#This Row],[ChecklistID]]+Master[[#This Row],[Checklist Order]]</f>
        <v>49000</v>
      </c>
      <c r="C297" s="22"/>
      <c r="D297" s="3" t="str" cm="1">
        <f t="array" aca="1" ref="D297" ca="1">_xlfn.SWITCH(MID(Master[[#This Row],[Checklist]],1,4),"C - ","Civil","F - ","Foundation","ST -","Structure","FC -","Façade","PRE ","Pre-Line","POST","Post-Line","H - ","Handover","S - ","Services","CST ","Completion Docs", "I - ", "Inspection")</f>
        <v>Completion Docs</v>
      </c>
      <c r="E297" s="23" t="str">
        <f ca="1">IF(NOT(ISERROR(SEARCH("- S -", Master[[#This Row],[Checklist]]))), "Subcontractor",IF(NOT(ISERROR(SEARCH("- R -", Master[[#This Row],[Checklist]]))), "Ryman",IF(NOT(ISERROR(SEARCH("- C -", Master[[#This Row],[Checklist]]))), "Consultant",IF(NOT(ISERROR(SEARCH("- I -", Master[[#This Row],[Checklist]]))),  "Inspection Test Plan", "Naming Error"))))</f>
        <v>Ryman</v>
      </c>
      <c r="F297" s="24" t="str">
        <f ca="1">IF(OR(Master[[#This Row],[Type]]="checklist", Master[[#This Row],[Type]]="checklist-flat"), Master[[#This Row],[Name]], F296)</f>
        <v>CST - R - Civil Consent</v>
      </c>
      <c r="G297" s="3" t="s">
        <v>48</v>
      </c>
      <c r="H297" s="24" t="s">
        <v>1409</v>
      </c>
      <c r="I297" s="3"/>
      <c r="J297" s="21">
        <f ca="1">_xlfn.XLOOKUP(Master[[#This Row],[Checklist]],Ref!A:A,Ref!B:B)*1000</f>
        <v>49000</v>
      </c>
      <c r="K297" s="21">
        <f ca="1">COUNTIF($J$2:Master[[#This Row],[ChecklistID]],Master[[#This Row],[ChecklistID]])-1</f>
        <v>0</v>
      </c>
      <c r="L297" s="23" t="s">
        <v>6</v>
      </c>
    </row>
    <row r="298" spans="1:12" ht="15.75">
      <c r="A298" s="23">
        <f t="shared" si="4"/>
        <v>297</v>
      </c>
      <c r="B298" s="21">
        <f ca="1">Master[[#This Row],[ChecklistID]]+Master[[#This Row],[Checklist Order]]</f>
        <v>49001</v>
      </c>
      <c r="C298" s="22"/>
      <c r="D298" s="3" t="str" cm="1">
        <f t="array" aca="1" ref="D298" ca="1">_xlfn.SWITCH(MID(Master[[#This Row],[Checklist]],1,4),"C - ","Civil","F - ","Foundation","ST -","Structure","FC -","Façade","PRE ","Pre-Line","POST","Post-Line","H - ","Handover","S - ","Services","CST ","Completion Docs", "I - ", "Inspection")</f>
        <v>Completion Docs</v>
      </c>
      <c r="E298" s="23" t="str">
        <f ca="1">IF(NOT(ISERROR(SEARCH("- S -", Master[[#This Row],[Checklist]]))), "Subcontractor",IF(NOT(ISERROR(SEARCH("- R -", Master[[#This Row],[Checklist]]))), "Ryman",IF(NOT(ISERROR(SEARCH("- C -", Master[[#This Row],[Checklist]]))), "Consultant",IF(NOT(ISERROR(SEARCH("- I -", Master[[#This Row],[Checklist]]))),  "Inspection Test Plan", "Naming Error"))))</f>
        <v>Ryman</v>
      </c>
      <c r="F298" s="24" t="str">
        <f ca="1">IF(OR(Master[[#This Row],[Type]]="checklist", Master[[#This Row],[Type]]="checklist-flat"), Master[[#This Row],[Name]], F297)</f>
        <v>CST - R - Civil Consent</v>
      </c>
      <c r="G298" s="3" t="s">
        <v>49</v>
      </c>
      <c r="H298" s="24" t="s">
        <v>1391</v>
      </c>
      <c r="I298" s="3"/>
      <c r="J298" s="21">
        <f ca="1">_xlfn.XLOOKUP(Master[[#This Row],[Checklist]],Ref!A:A,Ref!B:B)*1000</f>
        <v>49000</v>
      </c>
      <c r="K298" s="21">
        <f ca="1">COUNTIF($J$2:Master[[#This Row],[ChecklistID]],Master[[#This Row],[ChecklistID]])-1</f>
        <v>1</v>
      </c>
      <c r="L298" s="23" t="s">
        <v>6</v>
      </c>
    </row>
    <row r="299" spans="1:12" ht="15.75">
      <c r="A299" s="23">
        <f t="shared" si="4"/>
        <v>298</v>
      </c>
      <c r="B299" s="21">
        <f ca="1">Master[[#This Row],[ChecklistID]]+Master[[#This Row],[Checklist Order]]</f>
        <v>49002</v>
      </c>
      <c r="C299" s="22"/>
      <c r="D299" s="3" t="str" cm="1">
        <f t="array" aca="1" ref="D299" ca="1">_xlfn.SWITCH(MID(Master[[#This Row],[Checklist]],1,4),"C - ","Civil","F - ","Foundation","ST -","Structure","FC -","Façade","PRE ","Pre-Line","POST","Post-Line","H - ","Handover","S - ","Services","CST ","Completion Docs", "I - ", "Inspection")</f>
        <v>Completion Docs</v>
      </c>
      <c r="E299" s="23" t="str">
        <f ca="1">IF(NOT(ISERROR(SEARCH("- S -", Master[[#This Row],[Checklist]]))), "Subcontractor",IF(NOT(ISERROR(SEARCH("- R -", Master[[#This Row],[Checklist]]))), "Ryman",IF(NOT(ISERROR(SEARCH("- C -", Master[[#This Row],[Checklist]]))), "Consultant",IF(NOT(ISERROR(SEARCH("- I -", Master[[#This Row],[Checklist]]))),  "Inspection Test Plan", "Naming Error"))))</f>
        <v>Ryman</v>
      </c>
      <c r="F299" s="24" t="str">
        <f ca="1">IF(OR(Master[[#This Row],[Type]]="checklist", Master[[#This Row],[Type]]="checklist-flat"), Master[[#This Row],[Name]], F298)</f>
        <v>CST - R - Civil Consent</v>
      </c>
      <c r="G299" s="3" t="s">
        <v>49</v>
      </c>
      <c r="H299" s="24" t="s">
        <v>1392</v>
      </c>
      <c r="I299" s="3"/>
      <c r="J299" s="21">
        <f ca="1">_xlfn.XLOOKUP(Master[[#This Row],[Checklist]],Ref!A:A,Ref!B:B)*1000</f>
        <v>49000</v>
      </c>
      <c r="K299" s="21">
        <f ca="1">COUNTIF($J$2:Master[[#This Row],[ChecklistID]],Master[[#This Row],[ChecklistID]])-1</f>
        <v>2</v>
      </c>
      <c r="L299" s="23" t="s">
        <v>6</v>
      </c>
    </row>
    <row r="300" spans="1:12" ht="15.75">
      <c r="A300" s="23">
        <f t="shared" si="4"/>
        <v>299</v>
      </c>
      <c r="B300" s="21">
        <f ca="1">Master[[#This Row],[ChecklistID]]+Master[[#This Row],[Checklist Order]]</f>
        <v>49003</v>
      </c>
      <c r="C300" s="22"/>
      <c r="D300" s="3" t="str" cm="1">
        <f t="array" aca="1" ref="D300" ca="1">_xlfn.SWITCH(MID(Master[[#This Row],[Checklist]],1,4),"C - ","Civil","F - ","Foundation","ST -","Structure","FC -","Façade","PRE ","Pre-Line","POST","Post-Line","H - ","Handover","S - ","Services","CST ","Completion Docs", "I - ", "Inspection")</f>
        <v>Completion Docs</v>
      </c>
      <c r="E300" s="23" t="str">
        <f ca="1">IF(NOT(ISERROR(SEARCH("- S -", Master[[#This Row],[Checklist]]))), "Subcontractor",IF(NOT(ISERROR(SEARCH("- R -", Master[[#This Row],[Checklist]]))), "Ryman",IF(NOT(ISERROR(SEARCH("- C -", Master[[#This Row],[Checklist]]))), "Consultant",IF(NOT(ISERROR(SEARCH("- I -", Master[[#This Row],[Checklist]]))),  "Inspection Test Plan", "Naming Error"))))</f>
        <v>Ryman</v>
      </c>
      <c r="F300" s="24" t="str">
        <f ca="1">IF(OR(Master[[#This Row],[Type]]="checklist", Master[[#This Row],[Type]]="checklist-flat"), Master[[#This Row],[Name]], F299)</f>
        <v>CST - R - Civil Consent</v>
      </c>
      <c r="G300" s="3" t="s">
        <v>49</v>
      </c>
      <c r="H300" s="24" t="s">
        <v>1393</v>
      </c>
      <c r="I300" s="3"/>
      <c r="J300" s="21">
        <f ca="1">_xlfn.XLOOKUP(Master[[#This Row],[Checklist]],Ref!A:A,Ref!B:B)*1000</f>
        <v>49000</v>
      </c>
      <c r="K300" s="21">
        <f ca="1">COUNTIF($J$2:Master[[#This Row],[ChecklistID]],Master[[#This Row],[ChecklistID]])-1</f>
        <v>3</v>
      </c>
      <c r="L300" s="23" t="s">
        <v>6</v>
      </c>
    </row>
    <row r="301" spans="1:12" ht="15.75">
      <c r="A301" s="23">
        <f t="shared" si="4"/>
        <v>300</v>
      </c>
      <c r="B301" s="21">
        <f ca="1">Master[[#This Row],[ChecklistID]]+Master[[#This Row],[Checklist Order]]</f>
        <v>49004</v>
      </c>
      <c r="C301" s="22"/>
      <c r="D301" s="3" t="str" cm="1">
        <f t="array" aca="1" ref="D301" ca="1">_xlfn.SWITCH(MID(Master[[#This Row],[Checklist]],1,4),"C - ","Civil","F - ","Foundation","ST -","Structure","FC -","Façade","PRE ","Pre-Line","POST","Post-Line","H - ","Handover","S - ","Services","CST ","Completion Docs", "I - ", "Inspection")</f>
        <v>Completion Docs</v>
      </c>
      <c r="E301" s="23" t="str">
        <f ca="1">IF(NOT(ISERROR(SEARCH("- S -", Master[[#This Row],[Checklist]]))), "Subcontractor",IF(NOT(ISERROR(SEARCH("- R -", Master[[#This Row],[Checklist]]))), "Ryman",IF(NOT(ISERROR(SEARCH("- C -", Master[[#This Row],[Checklist]]))), "Consultant",IF(NOT(ISERROR(SEARCH("- I -", Master[[#This Row],[Checklist]]))),  "Inspection Test Plan", "Naming Error"))))</f>
        <v>Ryman</v>
      </c>
      <c r="F301" s="24" t="str">
        <f ca="1">IF(OR(Master[[#This Row],[Type]]="checklist", Master[[#This Row],[Type]]="checklist-flat"), Master[[#This Row],[Name]], F300)</f>
        <v>CST - R - Civil Consent</v>
      </c>
      <c r="G301" s="3" t="s">
        <v>49</v>
      </c>
      <c r="H301" s="24" t="s">
        <v>1394</v>
      </c>
      <c r="I301" s="3"/>
      <c r="J301" s="21">
        <f ca="1">_xlfn.XLOOKUP(Master[[#This Row],[Checklist]],Ref!A:A,Ref!B:B)*1000</f>
        <v>49000</v>
      </c>
      <c r="K301" s="21">
        <f ca="1">COUNTIF($J$2:Master[[#This Row],[ChecklistID]],Master[[#This Row],[ChecklistID]])-1</f>
        <v>4</v>
      </c>
      <c r="L301" s="23" t="s">
        <v>6</v>
      </c>
    </row>
    <row r="302" spans="1:12" ht="15.75">
      <c r="A302" s="23">
        <f t="shared" si="4"/>
        <v>301</v>
      </c>
      <c r="B302" s="21">
        <f ca="1">Master[[#This Row],[ChecklistID]]+Master[[#This Row],[Checklist Order]]</f>
        <v>49005</v>
      </c>
      <c r="C302" s="22"/>
      <c r="D302" s="3" t="str" cm="1">
        <f t="array" aca="1" ref="D302" ca="1">_xlfn.SWITCH(MID(Master[[#This Row],[Checklist]],1,4),"C - ","Civil","F - ","Foundation","ST -","Structure","FC -","Façade","PRE ","Pre-Line","POST","Post-Line","H - ","Handover","S - ","Services","CST ","Completion Docs", "I - ", "Inspection")</f>
        <v>Completion Docs</v>
      </c>
      <c r="E302" s="23" t="str">
        <f ca="1">IF(NOT(ISERROR(SEARCH("- S -", Master[[#This Row],[Checklist]]))), "Subcontractor",IF(NOT(ISERROR(SEARCH("- R -", Master[[#This Row],[Checklist]]))), "Ryman",IF(NOT(ISERROR(SEARCH("- C -", Master[[#This Row],[Checklist]]))), "Consultant",IF(NOT(ISERROR(SEARCH("- I -", Master[[#This Row],[Checklist]]))),  "Inspection Test Plan", "Naming Error"))))</f>
        <v>Ryman</v>
      </c>
      <c r="F302" s="24" t="str">
        <f ca="1">IF(OR(Master[[#This Row],[Type]]="checklist", Master[[#This Row],[Type]]="checklist-flat"), Master[[#This Row],[Name]], F301)</f>
        <v>CST - R - Civil Consent</v>
      </c>
      <c r="G302" s="3" t="s">
        <v>49</v>
      </c>
      <c r="H302" s="24" t="s">
        <v>1410</v>
      </c>
      <c r="I302" s="3"/>
      <c r="J302" s="21">
        <f ca="1">_xlfn.XLOOKUP(Master[[#This Row],[Checklist]],Ref!A:A,Ref!B:B)*1000</f>
        <v>49000</v>
      </c>
      <c r="K302" s="21">
        <f ca="1">COUNTIF($J$2:Master[[#This Row],[ChecklistID]],Master[[#This Row],[ChecklistID]])-1</f>
        <v>5</v>
      </c>
      <c r="L302" s="23" t="s">
        <v>6</v>
      </c>
    </row>
    <row r="303" spans="1:12" ht="15.75">
      <c r="A303" s="23">
        <f t="shared" si="4"/>
        <v>302</v>
      </c>
      <c r="B303" s="21">
        <f ca="1">Master[[#This Row],[ChecklistID]]+Master[[#This Row],[Checklist Order]]</f>
        <v>49006</v>
      </c>
      <c r="C303" s="22"/>
      <c r="D303" s="3" t="str" cm="1">
        <f t="array" aca="1" ref="D303" ca="1">_xlfn.SWITCH(MID(Master[[#This Row],[Checklist]],1,4),"C - ","Civil","F - ","Foundation","ST -","Structure","FC -","Façade","PRE ","Pre-Line","POST","Post-Line","H - ","Handover","S - ","Services","CST ","Completion Docs", "I - ", "Inspection")</f>
        <v>Completion Docs</v>
      </c>
      <c r="E303" s="23" t="str">
        <f ca="1">IF(NOT(ISERROR(SEARCH("- S -", Master[[#This Row],[Checklist]]))), "Subcontractor",IF(NOT(ISERROR(SEARCH("- R -", Master[[#This Row],[Checklist]]))), "Ryman",IF(NOT(ISERROR(SEARCH("- C -", Master[[#This Row],[Checklist]]))), "Consultant",IF(NOT(ISERROR(SEARCH("- I -", Master[[#This Row],[Checklist]]))),  "Inspection Test Plan", "Naming Error"))))</f>
        <v>Ryman</v>
      </c>
      <c r="F303" s="24" t="str">
        <f ca="1">IF(OR(Master[[#This Row],[Type]]="checklist", Master[[#This Row],[Type]]="checklist-flat"), Master[[#This Row],[Name]], F302)</f>
        <v>CST - R - Civil Consent</v>
      </c>
      <c r="G303" s="3" t="s">
        <v>66</v>
      </c>
      <c r="H303" s="24" t="s">
        <v>1411</v>
      </c>
      <c r="I303" s="3"/>
      <c r="J303" s="21">
        <f ca="1">_xlfn.XLOOKUP(Master[[#This Row],[Checklist]],Ref!A:A,Ref!B:B)*1000</f>
        <v>49000</v>
      </c>
      <c r="K303" s="21">
        <f ca="1">COUNTIF($J$2:Master[[#This Row],[ChecklistID]],Master[[#This Row],[ChecklistID]])-1</f>
        <v>6</v>
      </c>
      <c r="L303" s="23" t="s">
        <v>6</v>
      </c>
    </row>
    <row r="304" spans="1:12" ht="15.75">
      <c r="A304" s="23">
        <f t="shared" si="4"/>
        <v>303</v>
      </c>
      <c r="B304" s="21">
        <f ca="1">Master[[#This Row],[ChecklistID]]+Master[[#This Row],[Checklist Order]]</f>
        <v>49007</v>
      </c>
      <c r="C304" s="22"/>
      <c r="D304" s="3" t="str" cm="1">
        <f t="array" aca="1" ref="D304" ca="1">_xlfn.SWITCH(MID(Master[[#This Row],[Checklist]],1,4),"C - ","Civil","F - ","Foundation","ST -","Structure","FC -","Façade","PRE ","Pre-Line","POST","Post-Line","H - ","Handover","S - ","Services","CST ","Completion Docs", "I - ", "Inspection")</f>
        <v>Completion Docs</v>
      </c>
      <c r="E304" s="23" t="str">
        <f ca="1">IF(NOT(ISERROR(SEARCH("- S -", Master[[#This Row],[Checklist]]))), "Subcontractor",IF(NOT(ISERROR(SEARCH("- R -", Master[[#This Row],[Checklist]]))), "Ryman",IF(NOT(ISERROR(SEARCH("- C -", Master[[#This Row],[Checklist]]))), "Consultant",IF(NOT(ISERROR(SEARCH("- I -", Master[[#This Row],[Checklist]]))),  "Inspection Test Plan", "Naming Error"))))</f>
        <v>Ryman</v>
      </c>
      <c r="F304" s="24" t="str">
        <f ca="1">IF(OR(Master[[#This Row],[Type]]="checklist", Master[[#This Row],[Type]]="checklist-flat"), Master[[#This Row],[Name]], F303)</f>
        <v>CST - R - Civil Consent</v>
      </c>
      <c r="G304" s="3" t="s">
        <v>66</v>
      </c>
      <c r="H304" s="24" t="s">
        <v>1412</v>
      </c>
      <c r="I304" s="3"/>
      <c r="J304" s="21">
        <f ca="1">_xlfn.XLOOKUP(Master[[#This Row],[Checklist]],Ref!A:A,Ref!B:B)*1000</f>
        <v>49000</v>
      </c>
      <c r="K304" s="21">
        <f ca="1">COUNTIF($J$2:Master[[#This Row],[ChecklistID]],Master[[#This Row],[ChecklistID]])-1</f>
        <v>7</v>
      </c>
      <c r="L304" s="23" t="s">
        <v>6</v>
      </c>
    </row>
    <row r="305" spans="1:12" ht="15.75">
      <c r="A305" s="23">
        <f t="shared" si="4"/>
        <v>304</v>
      </c>
      <c r="B305" s="21">
        <f ca="1">Master[[#This Row],[ChecklistID]]+Master[[#This Row],[Checklist Order]]</f>
        <v>49008</v>
      </c>
      <c r="C305" s="22"/>
      <c r="D305" s="3" t="str" cm="1">
        <f t="array" aca="1" ref="D305" ca="1">_xlfn.SWITCH(MID(Master[[#This Row],[Checklist]],1,4),"C - ","Civil","F - ","Foundation","ST -","Structure","FC -","Façade","PRE ","Pre-Line","POST","Post-Line","H - ","Handover","S - ","Services","CST ","Completion Docs", "I - ", "Inspection")</f>
        <v>Completion Docs</v>
      </c>
      <c r="E305" s="23" t="str">
        <f ca="1">IF(NOT(ISERROR(SEARCH("- S -", Master[[#This Row],[Checklist]]))), "Subcontractor",IF(NOT(ISERROR(SEARCH("- R -", Master[[#This Row],[Checklist]]))), "Ryman",IF(NOT(ISERROR(SEARCH("- C -", Master[[#This Row],[Checklist]]))), "Consultant",IF(NOT(ISERROR(SEARCH("- I -", Master[[#This Row],[Checklist]]))),  "Inspection Test Plan", "Naming Error"))))</f>
        <v>Ryman</v>
      </c>
      <c r="F305" s="24" t="str">
        <f ca="1">IF(OR(Master[[#This Row],[Type]]="checklist", Master[[#This Row],[Type]]="checklist-flat"), Master[[#This Row],[Name]], F304)</f>
        <v>CST - R - Civil Consent</v>
      </c>
      <c r="G305" s="3" t="s">
        <v>66</v>
      </c>
      <c r="H305" s="24" t="s">
        <v>1413</v>
      </c>
      <c r="I305" s="3"/>
      <c r="J305" s="21">
        <f ca="1">_xlfn.XLOOKUP(Master[[#This Row],[Checklist]],Ref!A:A,Ref!B:B)*1000</f>
        <v>49000</v>
      </c>
      <c r="K305" s="21">
        <f ca="1">COUNTIF($J$2:Master[[#This Row],[ChecklistID]],Master[[#This Row],[ChecklistID]])-1</f>
        <v>8</v>
      </c>
      <c r="L305" s="23" t="s">
        <v>6</v>
      </c>
    </row>
    <row r="306" spans="1:12" ht="15.75">
      <c r="A306" s="23">
        <f t="shared" si="4"/>
        <v>305</v>
      </c>
      <c r="B306" s="21">
        <f ca="1">Master[[#This Row],[ChecklistID]]+Master[[#This Row],[Checklist Order]]</f>
        <v>49009</v>
      </c>
      <c r="C306" s="22"/>
      <c r="D306" s="3" t="str" cm="1">
        <f t="array" aca="1" ref="D306" ca="1">_xlfn.SWITCH(MID(Master[[#This Row],[Checklist]],1,4),"C - ","Civil","F - ","Foundation","ST -","Structure","FC -","Façade","PRE ","Pre-Line","POST","Post-Line","H - ","Handover","S - ","Services","CST ","Completion Docs", "I - ", "Inspection")</f>
        <v>Completion Docs</v>
      </c>
      <c r="E306" s="23" t="str">
        <f ca="1">IF(NOT(ISERROR(SEARCH("- S -", Master[[#This Row],[Checklist]]))), "Subcontractor",IF(NOT(ISERROR(SEARCH("- R -", Master[[#This Row],[Checklist]]))), "Ryman",IF(NOT(ISERROR(SEARCH("- C -", Master[[#This Row],[Checklist]]))), "Consultant",IF(NOT(ISERROR(SEARCH("- I -", Master[[#This Row],[Checklist]]))),  "Inspection Test Plan", "Naming Error"))))</f>
        <v>Ryman</v>
      </c>
      <c r="F306" s="24" t="str">
        <f ca="1">IF(OR(Master[[#This Row],[Type]]="checklist", Master[[#This Row],[Type]]="checklist-flat"), Master[[#This Row],[Name]], F305)</f>
        <v>CST - R - Civil Consent</v>
      </c>
      <c r="G306" s="3" t="s">
        <v>66</v>
      </c>
      <c r="H306" s="24" t="s">
        <v>1414</v>
      </c>
      <c r="I306" s="3"/>
      <c r="J306" s="21">
        <f ca="1">_xlfn.XLOOKUP(Master[[#This Row],[Checklist]],Ref!A:A,Ref!B:B)*1000</f>
        <v>49000</v>
      </c>
      <c r="K306" s="21">
        <f ca="1">COUNTIF($J$2:Master[[#This Row],[ChecklistID]],Master[[#This Row],[ChecklistID]])-1</f>
        <v>9</v>
      </c>
      <c r="L306" s="23" t="s">
        <v>6</v>
      </c>
    </row>
    <row r="307" spans="1:12" ht="15.75">
      <c r="A307" s="23">
        <f t="shared" si="4"/>
        <v>306</v>
      </c>
      <c r="B307" s="21">
        <f ca="1">Master[[#This Row],[ChecklistID]]+Master[[#This Row],[Checklist Order]]</f>
        <v>49010</v>
      </c>
      <c r="C307" s="22"/>
      <c r="D307" s="3" t="str" cm="1">
        <f t="array" aca="1" ref="D307" ca="1">_xlfn.SWITCH(MID(Master[[#This Row],[Checklist]],1,4),"C - ","Civil","F - ","Foundation","ST -","Structure","FC -","Façade","PRE ","Pre-Line","POST","Post-Line","H - ","Handover","S - ","Services","CST ","Completion Docs", "I - ", "Inspection")</f>
        <v>Completion Docs</v>
      </c>
      <c r="E307" s="23" t="str">
        <f ca="1">IF(NOT(ISERROR(SEARCH("- S -", Master[[#This Row],[Checklist]]))), "Subcontractor",IF(NOT(ISERROR(SEARCH("- R -", Master[[#This Row],[Checklist]]))), "Ryman",IF(NOT(ISERROR(SEARCH("- C -", Master[[#This Row],[Checklist]]))), "Consultant",IF(NOT(ISERROR(SEARCH("- I -", Master[[#This Row],[Checklist]]))),  "Inspection Test Plan", "Naming Error"))))</f>
        <v>Ryman</v>
      </c>
      <c r="F307" s="24" t="str">
        <f ca="1">IF(OR(Master[[#This Row],[Type]]="checklist", Master[[#This Row],[Type]]="checklist-flat"), Master[[#This Row],[Name]], F306)</f>
        <v>CST - R - Civil Consent</v>
      </c>
      <c r="G307" s="3" t="s">
        <v>66</v>
      </c>
      <c r="H307" s="24" t="s">
        <v>1415</v>
      </c>
      <c r="I307" s="3"/>
      <c r="J307" s="21">
        <f ca="1">_xlfn.XLOOKUP(Master[[#This Row],[Checklist]],Ref!A:A,Ref!B:B)*1000</f>
        <v>49000</v>
      </c>
      <c r="K307" s="21">
        <f ca="1">COUNTIF($J$2:Master[[#This Row],[ChecklistID]],Master[[#This Row],[ChecklistID]])-1</f>
        <v>10</v>
      </c>
      <c r="L307" s="23" t="s">
        <v>6</v>
      </c>
    </row>
    <row r="308" spans="1:12" ht="15.75">
      <c r="A308" s="23">
        <f t="shared" si="4"/>
        <v>307</v>
      </c>
      <c r="B308" s="21">
        <f ca="1">Master[[#This Row],[ChecklistID]]+Master[[#This Row],[Checklist Order]]</f>
        <v>49011</v>
      </c>
      <c r="C308" s="22"/>
      <c r="D308" s="3" t="str" cm="1">
        <f t="array" aca="1" ref="D308" ca="1">_xlfn.SWITCH(MID(Master[[#This Row],[Checklist]],1,4),"C - ","Civil","F - ","Foundation","ST -","Structure","FC -","Façade","PRE ","Pre-Line","POST","Post-Line","H - ","Handover","S - ","Services","CST ","Completion Docs", "I - ", "Inspection")</f>
        <v>Completion Docs</v>
      </c>
      <c r="E308" s="23" t="str">
        <f ca="1">IF(NOT(ISERROR(SEARCH("- S -", Master[[#This Row],[Checklist]]))), "Subcontractor",IF(NOT(ISERROR(SEARCH("- R -", Master[[#This Row],[Checklist]]))), "Ryman",IF(NOT(ISERROR(SEARCH("- C -", Master[[#This Row],[Checklist]]))), "Consultant",IF(NOT(ISERROR(SEARCH("- I -", Master[[#This Row],[Checklist]]))),  "Inspection Test Plan", "Naming Error"))))</f>
        <v>Ryman</v>
      </c>
      <c r="F308" s="24" t="str">
        <f ca="1">IF(OR(Master[[#This Row],[Type]]="checklist", Master[[#This Row],[Type]]="checklist-flat"), Master[[#This Row],[Name]], F307)</f>
        <v>CST - R - Civil Consent</v>
      </c>
      <c r="G308" s="3" t="s">
        <v>66</v>
      </c>
      <c r="H308" s="24" t="s">
        <v>1416</v>
      </c>
      <c r="I308" s="3"/>
      <c r="J308" s="21">
        <f ca="1">_xlfn.XLOOKUP(Master[[#This Row],[Checklist]],Ref!A:A,Ref!B:B)*1000</f>
        <v>49000</v>
      </c>
      <c r="K308" s="21">
        <f ca="1">COUNTIF($J$2:Master[[#This Row],[ChecklistID]],Master[[#This Row],[ChecklistID]])-1</f>
        <v>11</v>
      </c>
      <c r="L308" s="23" t="s">
        <v>6</v>
      </c>
    </row>
    <row r="309" spans="1:12" ht="15.75">
      <c r="A309" s="23">
        <f t="shared" si="4"/>
        <v>308</v>
      </c>
      <c r="B309" s="21">
        <f ca="1">Master[[#This Row],[ChecklistID]]+Master[[#This Row],[Checklist Order]]</f>
        <v>49012</v>
      </c>
      <c r="C309" s="22"/>
      <c r="D309" s="3" t="str" cm="1">
        <f t="array" aca="1" ref="D309" ca="1">_xlfn.SWITCH(MID(Master[[#This Row],[Checklist]],1,4),"C - ","Civil","F - ","Foundation","ST -","Structure","FC -","Façade","PRE ","Pre-Line","POST","Post-Line","H - ","Handover","S - ","Services","CST ","Completion Docs", "I - ", "Inspection")</f>
        <v>Completion Docs</v>
      </c>
      <c r="E309" s="23" t="str">
        <f ca="1">IF(NOT(ISERROR(SEARCH("- S -", Master[[#This Row],[Checklist]]))), "Subcontractor",IF(NOT(ISERROR(SEARCH("- R -", Master[[#This Row],[Checklist]]))), "Ryman",IF(NOT(ISERROR(SEARCH("- C -", Master[[#This Row],[Checklist]]))), "Consultant",IF(NOT(ISERROR(SEARCH("- I -", Master[[#This Row],[Checklist]]))),  "Inspection Test Plan", "Naming Error"))))</f>
        <v>Ryman</v>
      </c>
      <c r="F309" s="24" t="str">
        <f ca="1">IF(OR(Master[[#This Row],[Type]]="checklist", Master[[#This Row],[Type]]="checklist-flat"), Master[[#This Row],[Name]], F308)</f>
        <v>CST - R - Civil Consent</v>
      </c>
      <c r="G309" s="3" t="s">
        <v>66</v>
      </c>
      <c r="H309" s="24" t="s">
        <v>1417</v>
      </c>
      <c r="I309" s="3" t="s">
        <v>1418</v>
      </c>
      <c r="J309" s="21">
        <f ca="1">_xlfn.XLOOKUP(Master[[#This Row],[Checklist]],Ref!A:A,Ref!B:B)*1000</f>
        <v>49000</v>
      </c>
      <c r="K309" s="21">
        <f ca="1">COUNTIF($J$2:Master[[#This Row],[ChecklistID]],Master[[#This Row],[ChecklistID]])-1</f>
        <v>12</v>
      </c>
      <c r="L309" s="23" t="s">
        <v>6</v>
      </c>
    </row>
    <row r="310" spans="1:12" ht="15.75">
      <c r="A310" s="23">
        <f t="shared" si="4"/>
        <v>309</v>
      </c>
      <c r="B310" s="21">
        <f ca="1">Master[[#This Row],[ChecklistID]]+Master[[#This Row],[Checklist Order]]</f>
        <v>49013</v>
      </c>
      <c r="C310" s="22"/>
      <c r="D310" s="3" t="str" cm="1">
        <f t="array" aca="1" ref="D310" ca="1">_xlfn.SWITCH(MID(Master[[#This Row],[Checklist]],1,4),"C - ","Civil","F - ","Foundation","ST -","Structure","FC -","Façade","PRE ","Pre-Line","POST","Post-Line","H - ","Handover","S - ","Services","CST ","Completion Docs", "I - ", "Inspection")</f>
        <v>Completion Docs</v>
      </c>
      <c r="E310" s="23" t="str">
        <f ca="1">IF(NOT(ISERROR(SEARCH("- S -", Master[[#This Row],[Checklist]]))), "Subcontractor",IF(NOT(ISERROR(SEARCH("- R -", Master[[#This Row],[Checklist]]))), "Ryman",IF(NOT(ISERROR(SEARCH("- C -", Master[[#This Row],[Checklist]]))), "Consultant",IF(NOT(ISERROR(SEARCH("- I -", Master[[#This Row],[Checklist]]))),  "Inspection Test Plan", "Naming Error"))))</f>
        <v>Ryman</v>
      </c>
      <c r="F310" s="24" t="str">
        <f ca="1">IF(OR(Master[[#This Row],[Type]]="checklist", Master[[#This Row],[Type]]="checklist-flat"), Master[[#This Row],[Name]], F309)</f>
        <v>CST - R - Civil Consent</v>
      </c>
      <c r="G310" s="3" t="s">
        <v>49</v>
      </c>
      <c r="H310" s="24" t="s">
        <v>1419</v>
      </c>
      <c r="I310" s="3"/>
      <c r="J310" s="21">
        <f ca="1">_xlfn.XLOOKUP(Master[[#This Row],[Checklist]],Ref!A:A,Ref!B:B)*1000</f>
        <v>49000</v>
      </c>
      <c r="K310" s="21">
        <f ca="1">COUNTIF($J$2:Master[[#This Row],[ChecklistID]],Master[[#This Row],[ChecklistID]])-1</f>
        <v>13</v>
      </c>
      <c r="L310" s="23" t="s">
        <v>6</v>
      </c>
    </row>
    <row r="311" spans="1:12" ht="15.75">
      <c r="A311" s="23">
        <f t="shared" si="4"/>
        <v>310</v>
      </c>
      <c r="B311" s="21">
        <f ca="1">Master[[#This Row],[ChecklistID]]+Master[[#This Row],[Checklist Order]]</f>
        <v>49014</v>
      </c>
      <c r="C311" s="22"/>
      <c r="D311" s="3" t="str" cm="1">
        <f t="array" aca="1" ref="D311" ca="1">_xlfn.SWITCH(MID(Master[[#This Row],[Checklist]],1,4),"C - ","Civil","F - ","Foundation","ST -","Structure","FC -","Façade","PRE ","Pre-Line","POST","Post-Line","H - ","Handover","S - ","Services","CST ","Completion Docs", "I - ", "Inspection")</f>
        <v>Completion Docs</v>
      </c>
      <c r="E311" s="23" t="str">
        <f ca="1">IF(NOT(ISERROR(SEARCH("- S -", Master[[#This Row],[Checklist]]))), "Subcontractor",IF(NOT(ISERROR(SEARCH("- R -", Master[[#This Row],[Checklist]]))), "Ryman",IF(NOT(ISERROR(SEARCH("- C -", Master[[#This Row],[Checklist]]))), "Consultant",IF(NOT(ISERROR(SEARCH("- I -", Master[[#This Row],[Checklist]]))),  "Inspection Test Plan", "Naming Error"))))</f>
        <v>Ryman</v>
      </c>
      <c r="F311" s="24" t="str">
        <f ca="1">IF(OR(Master[[#This Row],[Type]]="checklist", Master[[#This Row],[Type]]="checklist-flat"), Master[[#This Row],[Name]], F310)</f>
        <v>CST - R - Civil Consent</v>
      </c>
      <c r="G311" s="3" t="s">
        <v>66</v>
      </c>
      <c r="H311" s="24" t="s">
        <v>1420</v>
      </c>
      <c r="I311" s="3"/>
      <c r="J311" s="21">
        <f ca="1">_xlfn.XLOOKUP(Master[[#This Row],[Checklist]],Ref!A:A,Ref!B:B)*1000</f>
        <v>49000</v>
      </c>
      <c r="K311" s="21">
        <f ca="1">COUNTIF($J$2:Master[[#This Row],[ChecklistID]],Master[[#This Row],[ChecklistID]])-1</f>
        <v>14</v>
      </c>
      <c r="L311" s="23" t="s">
        <v>6</v>
      </c>
    </row>
    <row r="312" spans="1:12" ht="15.75">
      <c r="A312" s="23">
        <f t="shared" si="4"/>
        <v>311</v>
      </c>
      <c r="B312" s="21">
        <f ca="1">Master[[#This Row],[ChecklistID]]+Master[[#This Row],[Checklist Order]]</f>
        <v>49015</v>
      </c>
      <c r="C312" s="22"/>
      <c r="D312" s="3" t="str" cm="1">
        <f t="array" aca="1" ref="D312" ca="1">_xlfn.SWITCH(MID(Master[[#This Row],[Checklist]],1,4),"C - ","Civil","F - ","Foundation","ST -","Structure","FC -","Façade","PRE ","Pre-Line","POST","Post-Line","H - ","Handover","S - ","Services","CST ","Completion Docs", "I - ", "Inspection")</f>
        <v>Completion Docs</v>
      </c>
      <c r="E312" s="23" t="str">
        <f ca="1">IF(NOT(ISERROR(SEARCH("- S -", Master[[#This Row],[Checklist]]))), "Subcontractor",IF(NOT(ISERROR(SEARCH("- R -", Master[[#This Row],[Checklist]]))), "Ryman",IF(NOT(ISERROR(SEARCH("- C -", Master[[#This Row],[Checklist]]))), "Consultant",IF(NOT(ISERROR(SEARCH("- I -", Master[[#This Row],[Checklist]]))),  "Inspection Test Plan", "Naming Error"))))</f>
        <v>Ryman</v>
      </c>
      <c r="F312" s="24" t="str">
        <f ca="1">IF(OR(Master[[#This Row],[Type]]="checklist", Master[[#This Row],[Type]]="checklist-flat"), Master[[#This Row],[Name]], F311)</f>
        <v>CST - R - Civil Consent</v>
      </c>
      <c r="G312" s="3" t="s">
        <v>66</v>
      </c>
      <c r="H312" s="24" t="s">
        <v>1421</v>
      </c>
      <c r="I312" s="3"/>
      <c r="J312" s="21">
        <f ca="1">_xlfn.XLOOKUP(Master[[#This Row],[Checklist]],Ref!A:A,Ref!B:B)*1000</f>
        <v>49000</v>
      </c>
      <c r="K312" s="21">
        <f ca="1">COUNTIF($J$2:Master[[#This Row],[ChecklistID]],Master[[#This Row],[ChecklistID]])-1</f>
        <v>15</v>
      </c>
      <c r="L312" s="23" t="s">
        <v>6</v>
      </c>
    </row>
    <row r="313" spans="1:12" ht="15.75">
      <c r="A313" s="23">
        <f t="shared" si="4"/>
        <v>312</v>
      </c>
      <c r="B313" s="21">
        <f ca="1">Master[[#This Row],[ChecklistID]]+Master[[#This Row],[Checklist Order]]</f>
        <v>49016</v>
      </c>
      <c r="C313" s="22"/>
      <c r="D313" s="3" t="str" cm="1">
        <f t="array" aca="1" ref="D313" ca="1">_xlfn.SWITCH(MID(Master[[#This Row],[Checklist]],1,4),"C - ","Civil","F - ","Foundation","ST -","Structure","FC -","Façade","PRE ","Pre-Line","POST","Post-Line","H - ","Handover","S - ","Services","CST ","Completion Docs", "I - ", "Inspection")</f>
        <v>Completion Docs</v>
      </c>
      <c r="E313" s="23" t="str">
        <f ca="1">IF(NOT(ISERROR(SEARCH("- S -", Master[[#This Row],[Checklist]]))), "Subcontractor",IF(NOT(ISERROR(SEARCH("- R -", Master[[#This Row],[Checklist]]))), "Ryman",IF(NOT(ISERROR(SEARCH("- C -", Master[[#This Row],[Checklist]]))), "Consultant",IF(NOT(ISERROR(SEARCH("- I -", Master[[#This Row],[Checklist]]))),  "Inspection Test Plan", "Naming Error"))))</f>
        <v>Ryman</v>
      </c>
      <c r="F313" s="24" t="str">
        <f ca="1">IF(OR(Master[[#This Row],[Type]]="checklist", Master[[#This Row],[Type]]="checklist-flat"), Master[[#This Row],[Name]], F312)</f>
        <v>CST - R - Civil Consent</v>
      </c>
      <c r="G313" s="3" t="s">
        <v>66</v>
      </c>
      <c r="H313" s="24" t="s">
        <v>1422</v>
      </c>
      <c r="I313" s="3"/>
      <c r="J313" s="21">
        <f ca="1">_xlfn.XLOOKUP(Master[[#This Row],[Checklist]],Ref!A:A,Ref!B:B)*1000</f>
        <v>49000</v>
      </c>
      <c r="K313" s="21">
        <f ca="1">COUNTIF($J$2:Master[[#This Row],[ChecklistID]],Master[[#This Row],[ChecklistID]])-1</f>
        <v>16</v>
      </c>
      <c r="L313" s="23" t="s">
        <v>6</v>
      </c>
    </row>
    <row r="314" spans="1:12" ht="15.75">
      <c r="A314" s="23">
        <f t="shared" si="4"/>
        <v>313</v>
      </c>
      <c r="B314" s="21">
        <f ca="1">Master[[#This Row],[ChecklistID]]+Master[[#This Row],[Checklist Order]]</f>
        <v>49017</v>
      </c>
      <c r="C314" s="22"/>
      <c r="D314" s="3" t="str" cm="1">
        <f t="array" aca="1" ref="D314" ca="1">_xlfn.SWITCH(MID(Master[[#This Row],[Checklist]],1,4),"C - ","Civil","F - ","Foundation","ST -","Structure","FC -","Façade","PRE ","Pre-Line","POST","Post-Line","H - ","Handover","S - ","Services","CST ","Completion Docs", "I - ", "Inspection")</f>
        <v>Completion Docs</v>
      </c>
      <c r="E314" s="23" t="str">
        <f ca="1">IF(NOT(ISERROR(SEARCH("- S -", Master[[#This Row],[Checklist]]))), "Subcontractor",IF(NOT(ISERROR(SEARCH("- R -", Master[[#This Row],[Checklist]]))), "Ryman",IF(NOT(ISERROR(SEARCH("- C -", Master[[#This Row],[Checklist]]))), "Consultant",IF(NOT(ISERROR(SEARCH("- I -", Master[[#This Row],[Checklist]]))),  "Inspection Test Plan", "Naming Error"))))</f>
        <v>Ryman</v>
      </c>
      <c r="F314" s="24" t="str">
        <f ca="1">IF(OR(Master[[#This Row],[Type]]="checklist", Master[[#This Row],[Type]]="checklist-flat"), Master[[#This Row],[Name]], F313)</f>
        <v>CST - R - Civil Consent</v>
      </c>
      <c r="G314" s="3" t="s">
        <v>49</v>
      </c>
      <c r="H314" s="24" t="s">
        <v>1423</v>
      </c>
      <c r="I314" s="3"/>
      <c r="J314" s="21">
        <f ca="1">_xlfn.XLOOKUP(Master[[#This Row],[Checklist]],Ref!A:A,Ref!B:B)*1000</f>
        <v>49000</v>
      </c>
      <c r="K314" s="21">
        <f ca="1">COUNTIF($J$2:Master[[#This Row],[ChecklistID]],Master[[#This Row],[ChecklistID]])-1</f>
        <v>17</v>
      </c>
      <c r="L314" s="23" t="s">
        <v>6</v>
      </c>
    </row>
    <row r="315" spans="1:12" ht="15.75">
      <c r="A315" s="23">
        <f t="shared" si="4"/>
        <v>314</v>
      </c>
      <c r="B315" s="21">
        <f ca="1">Master[[#This Row],[ChecklistID]]+Master[[#This Row],[Checklist Order]]</f>
        <v>49018</v>
      </c>
      <c r="C315" s="22"/>
      <c r="D315" s="3" t="str" cm="1">
        <f t="array" aca="1" ref="D315" ca="1">_xlfn.SWITCH(MID(Master[[#This Row],[Checklist]],1,4),"C - ","Civil","F - ","Foundation","ST -","Structure","FC -","Façade","PRE ","Pre-Line","POST","Post-Line","H - ","Handover","S - ","Services","CST ","Completion Docs", "I - ", "Inspection")</f>
        <v>Completion Docs</v>
      </c>
      <c r="E315" s="23" t="str">
        <f ca="1">IF(NOT(ISERROR(SEARCH("- S -", Master[[#This Row],[Checklist]]))), "Subcontractor",IF(NOT(ISERROR(SEARCH("- R -", Master[[#This Row],[Checklist]]))), "Ryman",IF(NOT(ISERROR(SEARCH("- C -", Master[[#This Row],[Checklist]]))), "Consultant",IF(NOT(ISERROR(SEARCH("- I -", Master[[#This Row],[Checklist]]))),  "Inspection Test Plan", "Naming Error"))))</f>
        <v>Ryman</v>
      </c>
      <c r="F315" s="24" t="str">
        <f ca="1">IF(OR(Master[[#This Row],[Type]]="checklist", Master[[#This Row],[Type]]="checklist-flat"), Master[[#This Row],[Name]], F314)</f>
        <v>CST - R - Civil Consent</v>
      </c>
      <c r="G315" s="3" t="s">
        <v>66</v>
      </c>
      <c r="H315" s="24" t="s">
        <v>1424</v>
      </c>
      <c r="I315" s="3"/>
      <c r="J315" s="21">
        <f ca="1">_xlfn.XLOOKUP(Master[[#This Row],[Checklist]],Ref!A:A,Ref!B:B)*1000</f>
        <v>49000</v>
      </c>
      <c r="K315" s="21">
        <f ca="1">COUNTIF($J$2:Master[[#This Row],[ChecklistID]],Master[[#This Row],[ChecklistID]])-1</f>
        <v>18</v>
      </c>
      <c r="L315" s="23" t="s">
        <v>6</v>
      </c>
    </row>
    <row r="316" spans="1:12" ht="15.75">
      <c r="A316" s="23">
        <f t="shared" si="4"/>
        <v>315</v>
      </c>
      <c r="B316" s="21">
        <f ca="1">Master[[#This Row],[ChecklistID]]+Master[[#This Row],[Checklist Order]]</f>
        <v>49019</v>
      </c>
      <c r="C316" s="22"/>
      <c r="D316" s="3" t="str" cm="1">
        <f t="array" aca="1" ref="D316" ca="1">_xlfn.SWITCH(MID(Master[[#This Row],[Checklist]],1,4),"C - ","Civil","F - ","Foundation","ST -","Structure","FC -","Façade","PRE ","Pre-Line","POST","Post-Line","H - ","Handover","S - ","Services","CST ","Completion Docs", "I - ", "Inspection")</f>
        <v>Completion Docs</v>
      </c>
      <c r="E316" s="23" t="str">
        <f ca="1">IF(NOT(ISERROR(SEARCH("- S -", Master[[#This Row],[Checklist]]))), "Subcontractor",IF(NOT(ISERROR(SEARCH("- R -", Master[[#This Row],[Checklist]]))), "Ryman",IF(NOT(ISERROR(SEARCH("- C -", Master[[#This Row],[Checklist]]))), "Consultant",IF(NOT(ISERROR(SEARCH("- I -", Master[[#This Row],[Checklist]]))),  "Inspection Test Plan", "Naming Error"))))</f>
        <v>Ryman</v>
      </c>
      <c r="F316" s="24" t="str">
        <f ca="1">IF(OR(Master[[#This Row],[Type]]="checklist", Master[[#This Row],[Type]]="checklist-flat"), Master[[#This Row],[Name]], F315)</f>
        <v>CST - R - Civil Consent</v>
      </c>
      <c r="G316" s="3" t="s">
        <v>66</v>
      </c>
      <c r="H316" s="24" t="s">
        <v>1425</v>
      </c>
      <c r="I316" s="3"/>
      <c r="J316" s="21">
        <f ca="1">_xlfn.XLOOKUP(Master[[#This Row],[Checklist]],Ref!A:A,Ref!B:B)*1000</f>
        <v>49000</v>
      </c>
      <c r="K316" s="21">
        <f ca="1">COUNTIF($J$2:Master[[#This Row],[ChecklistID]],Master[[#This Row],[ChecklistID]])-1</f>
        <v>19</v>
      </c>
      <c r="L316" s="23" t="s">
        <v>6</v>
      </c>
    </row>
    <row r="317" spans="1:12" ht="15.75">
      <c r="A317" s="23">
        <f t="shared" si="4"/>
        <v>316</v>
      </c>
      <c r="B317" s="21">
        <f ca="1">Master[[#This Row],[ChecklistID]]+Master[[#This Row],[Checklist Order]]</f>
        <v>49020</v>
      </c>
      <c r="C317" s="22"/>
      <c r="D317" s="3" t="str" cm="1">
        <f t="array" aca="1" ref="D317" ca="1">_xlfn.SWITCH(MID(Master[[#This Row],[Checklist]],1,4),"C - ","Civil","F - ","Foundation","ST -","Structure","FC -","Façade","PRE ","Pre-Line","POST","Post-Line","H - ","Handover","S - ","Services","CST ","Completion Docs", "I - ", "Inspection")</f>
        <v>Completion Docs</v>
      </c>
      <c r="E317" s="23" t="str">
        <f ca="1">IF(NOT(ISERROR(SEARCH("- S -", Master[[#This Row],[Checklist]]))), "Subcontractor",IF(NOT(ISERROR(SEARCH("- R -", Master[[#This Row],[Checklist]]))), "Ryman",IF(NOT(ISERROR(SEARCH("- C -", Master[[#This Row],[Checklist]]))), "Consultant",IF(NOT(ISERROR(SEARCH("- I -", Master[[#This Row],[Checklist]]))),  "Inspection Test Plan", "Naming Error"))))</f>
        <v>Ryman</v>
      </c>
      <c r="F317" s="24" t="str">
        <f ca="1">IF(OR(Master[[#This Row],[Type]]="checklist", Master[[#This Row],[Type]]="checklist-flat"), Master[[#This Row],[Name]], F316)</f>
        <v>CST - R - Civil Consent</v>
      </c>
      <c r="G317" s="3" t="s">
        <v>66</v>
      </c>
      <c r="H317" s="24" t="s">
        <v>1426</v>
      </c>
      <c r="I317" s="3"/>
      <c r="J317" s="21">
        <f ca="1">_xlfn.XLOOKUP(Master[[#This Row],[Checklist]],Ref!A:A,Ref!B:B)*1000</f>
        <v>49000</v>
      </c>
      <c r="K317" s="21">
        <f ca="1">COUNTIF($J$2:Master[[#This Row],[ChecklistID]],Master[[#This Row],[ChecklistID]])-1</f>
        <v>20</v>
      </c>
      <c r="L317" s="23" t="s">
        <v>6</v>
      </c>
    </row>
    <row r="318" spans="1:12" ht="15.75">
      <c r="A318" s="23">
        <f t="shared" si="4"/>
        <v>317</v>
      </c>
      <c r="B318" s="21">
        <f ca="1">Master[[#This Row],[ChecklistID]]+Master[[#This Row],[Checklist Order]]</f>
        <v>49021</v>
      </c>
      <c r="C318" s="22"/>
      <c r="D318" s="3" t="str" cm="1">
        <f t="array" aca="1" ref="D318" ca="1">_xlfn.SWITCH(MID(Master[[#This Row],[Checklist]],1,4),"C - ","Civil","F - ","Foundation","ST -","Structure","FC -","Façade","PRE ","Pre-Line","POST","Post-Line","H - ","Handover","S - ","Services","CST ","Completion Docs", "I - ", "Inspection")</f>
        <v>Completion Docs</v>
      </c>
      <c r="E318" s="23" t="str">
        <f ca="1">IF(NOT(ISERROR(SEARCH("- S -", Master[[#This Row],[Checklist]]))), "Subcontractor",IF(NOT(ISERROR(SEARCH("- R -", Master[[#This Row],[Checklist]]))), "Ryman",IF(NOT(ISERROR(SEARCH("- C -", Master[[#This Row],[Checklist]]))), "Consultant",IF(NOT(ISERROR(SEARCH("- I -", Master[[#This Row],[Checklist]]))),  "Inspection Test Plan", "Naming Error"))))</f>
        <v>Ryman</v>
      </c>
      <c r="F318" s="24" t="str">
        <f ca="1">IF(OR(Master[[#This Row],[Type]]="checklist", Master[[#This Row],[Type]]="checklist-flat"), Master[[#This Row],[Name]], F317)</f>
        <v>CST - R - Civil Consent</v>
      </c>
      <c r="G318" s="3" t="s">
        <v>66</v>
      </c>
      <c r="H318" s="24" t="s">
        <v>1427</v>
      </c>
      <c r="I318" s="3"/>
      <c r="J318" s="21">
        <f ca="1">_xlfn.XLOOKUP(Master[[#This Row],[Checklist]],Ref!A:A,Ref!B:B)*1000</f>
        <v>49000</v>
      </c>
      <c r="K318" s="21">
        <f ca="1">COUNTIF($J$2:Master[[#This Row],[ChecklistID]],Master[[#This Row],[ChecklistID]])-1</f>
        <v>21</v>
      </c>
      <c r="L318" s="23" t="s">
        <v>6</v>
      </c>
    </row>
    <row r="319" spans="1:12" ht="15.75">
      <c r="A319" s="23">
        <f t="shared" si="4"/>
        <v>318</v>
      </c>
      <c r="B319" s="21">
        <f ca="1">Master[[#This Row],[ChecklistID]]+Master[[#This Row],[Checklist Order]]</f>
        <v>49022</v>
      </c>
      <c r="C319" s="22"/>
      <c r="D319" s="3" t="str" cm="1">
        <f t="array" aca="1" ref="D319" ca="1">_xlfn.SWITCH(MID(Master[[#This Row],[Checklist]],1,4),"C - ","Civil","F - ","Foundation","ST -","Structure","FC -","Façade","PRE ","Pre-Line","POST","Post-Line","H - ","Handover","S - ","Services","CST ","Completion Docs", "I - ", "Inspection")</f>
        <v>Completion Docs</v>
      </c>
      <c r="E319" s="23" t="str">
        <f ca="1">IF(NOT(ISERROR(SEARCH("- S -", Master[[#This Row],[Checklist]]))), "Subcontractor",IF(NOT(ISERROR(SEARCH("- R -", Master[[#This Row],[Checklist]]))), "Ryman",IF(NOT(ISERROR(SEARCH("- C -", Master[[#This Row],[Checklist]]))), "Consultant",IF(NOT(ISERROR(SEARCH("- I -", Master[[#This Row],[Checklist]]))),  "Inspection Test Plan", "Naming Error"))))</f>
        <v>Ryman</v>
      </c>
      <c r="F319" s="24" t="str">
        <f ca="1">IF(OR(Master[[#This Row],[Type]]="checklist", Master[[#This Row],[Type]]="checklist-flat"), Master[[#This Row],[Name]], F318)</f>
        <v>CST - R - Civil Consent</v>
      </c>
      <c r="G319" s="3" t="s">
        <v>49</v>
      </c>
      <c r="H319" s="24" t="s">
        <v>1428</v>
      </c>
      <c r="I319" s="3"/>
      <c r="J319" s="21">
        <f ca="1">_xlfn.XLOOKUP(Master[[#This Row],[Checklist]],Ref!A:A,Ref!B:B)*1000</f>
        <v>49000</v>
      </c>
      <c r="K319" s="21">
        <f ca="1">COUNTIF($J$2:Master[[#This Row],[ChecklistID]],Master[[#This Row],[ChecklistID]])-1</f>
        <v>22</v>
      </c>
      <c r="L319" s="23" t="s">
        <v>6</v>
      </c>
    </row>
    <row r="320" spans="1:12" ht="15.75">
      <c r="A320" s="23">
        <f t="shared" si="4"/>
        <v>319</v>
      </c>
      <c r="B320" s="21">
        <f ca="1">Master[[#This Row],[ChecklistID]]+Master[[#This Row],[Checklist Order]]</f>
        <v>49023</v>
      </c>
      <c r="C320" s="22"/>
      <c r="D320" s="3" t="str" cm="1">
        <f t="array" aca="1" ref="D320" ca="1">_xlfn.SWITCH(MID(Master[[#This Row],[Checklist]],1,4),"C - ","Civil","F - ","Foundation","ST -","Structure","FC -","Façade","PRE ","Pre-Line","POST","Post-Line","H - ","Handover","S - ","Services","CST ","Completion Docs", "I - ", "Inspection")</f>
        <v>Completion Docs</v>
      </c>
      <c r="E320" s="23" t="str">
        <f ca="1">IF(NOT(ISERROR(SEARCH("- S -", Master[[#This Row],[Checklist]]))), "Subcontractor",IF(NOT(ISERROR(SEARCH("- R -", Master[[#This Row],[Checklist]]))), "Ryman",IF(NOT(ISERROR(SEARCH("- C -", Master[[#This Row],[Checklist]]))), "Consultant",IF(NOT(ISERROR(SEARCH("- I -", Master[[#This Row],[Checklist]]))),  "Inspection Test Plan", "Naming Error"))))</f>
        <v>Ryman</v>
      </c>
      <c r="F320" s="24" t="str">
        <f ca="1">IF(OR(Master[[#This Row],[Type]]="checklist", Master[[#This Row],[Type]]="checklist-flat"), Master[[#This Row],[Name]], F319)</f>
        <v>CST - R - Civil Consent</v>
      </c>
      <c r="G320" s="3" t="s">
        <v>66</v>
      </c>
      <c r="H320" s="24" t="s">
        <v>1429</v>
      </c>
      <c r="I320" s="3"/>
      <c r="J320" s="21">
        <f ca="1">_xlfn.XLOOKUP(Master[[#This Row],[Checklist]],Ref!A:A,Ref!B:B)*1000</f>
        <v>49000</v>
      </c>
      <c r="K320" s="21">
        <f ca="1">COUNTIF($J$2:Master[[#This Row],[ChecklistID]],Master[[#This Row],[ChecklistID]])-1</f>
        <v>23</v>
      </c>
      <c r="L320" s="23" t="s">
        <v>6</v>
      </c>
    </row>
    <row r="321" spans="1:12" ht="15.75">
      <c r="A321" s="23">
        <f t="shared" si="4"/>
        <v>320</v>
      </c>
      <c r="B321" s="21">
        <f ca="1">Master[[#This Row],[ChecklistID]]+Master[[#This Row],[Checklist Order]]</f>
        <v>49024</v>
      </c>
      <c r="C321" s="22"/>
      <c r="D321" s="3" t="str" cm="1">
        <f t="array" aca="1" ref="D321" ca="1">_xlfn.SWITCH(MID(Master[[#This Row],[Checklist]],1,4),"C - ","Civil","F - ","Foundation","ST -","Structure","FC -","Façade","PRE ","Pre-Line","POST","Post-Line","H - ","Handover","S - ","Services","CST ","Completion Docs", "I - ", "Inspection")</f>
        <v>Completion Docs</v>
      </c>
      <c r="E321" s="23" t="str">
        <f ca="1">IF(NOT(ISERROR(SEARCH("- S -", Master[[#This Row],[Checklist]]))), "Subcontractor",IF(NOT(ISERROR(SEARCH("- R -", Master[[#This Row],[Checklist]]))), "Ryman",IF(NOT(ISERROR(SEARCH("- C -", Master[[#This Row],[Checklist]]))), "Consultant",IF(NOT(ISERROR(SEARCH("- I -", Master[[#This Row],[Checklist]]))),  "Inspection Test Plan", "Naming Error"))))</f>
        <v>Ryman</v>
      </c>
      <c r="F321" s="24" t="str">
        <f ca="1">IF(OR(Master[[#This Row],[Type]]="checklist", Master[[#This Row],[Type]]="checklist-flat"), Master[[#This Row],[Name]], F320)</f>
        <v>CST - R - Civil Consent</v>
      </c>
      <c r="G321" s="3" t="s">
        <v>66</v>
      </c>
      <c r="H321" s="24" t="s">
        <v>1430</v>
      </c>
      <c r="I321" s="3"/>
      <c r="J321" s="21">
        <f ca="1">_xlfn.XLOOKUP(Master[[#This Row],[Checklist]],Ref!A:A,Ref!B:B)*1000</f>
        <v>49000</v>
      </c>
      <c r="K321" s="21">
        <f ca="1">COUNTIF($J$2:Master[[#This Row],[ChecklistID]],Master[[#This Row],[ChecklistID]])-1</f>
        <v>24</v>
      </c>
      <c r="L321" s="23" t="s">
        <v>6</v>
      </c>
    </row>
    <row r="322" spans="1:12" ht="15.75">
      <c r="A322" s="23">
        <f t="shared" ref="A322:A385" si="5">IFERROR(A321+1,1)</f>
        <v>321</v>
      </c>
      <c r="B322" s="21">
        <f ca="1">Master[[#This Row],[ChecklistID]]+Master[[#This Row],[Checklist Order]]</f>
        <v>49025</v>
      </c>
      <c r="C322" s="22"/>
      <c r="D322" s="3" t="str" cm="1">
        <f t="array" aca="1" ref="D322" ca="1">_xlfn.SWITCH(MID(Master[[#This Row],[Checklist]],1,4),"C - ","Civil","F - ","Foundation","ST -","Structure","FC -","Façade","PRE ","Pre-Line","POST","Post-Line","H - ","Handover","S - ","Services","CST ","Completion Docs", "I - ", "Inspection")</f>
        <v>Completion Docs</v>
      </c>
      <c r="E322" s="23" t="str">
        <f ca="1">IF(NOT(ISERROR(SEARCH("- S -", Master[[#This Row],[Checklist]]))), "Subcontractor",IF(NOT(ISERROR(SEARCH("- R -", Master[[#This Row],[Checklist]]))), "Ryman",IF(NOT(ISERROR(SEARCH("- C -", Master[[#This Row],[Checklist]]))), "Consultant",IF(NOT(ISERROR(SEARCH("- I -", Master[[#This Row],[Checklist]]))),  "Inspection Test Plan", "Naming Error"))))</f>
        <v>Ryman</v>
      </c>
      <c r="F322" s="24" t="str">
        <f ca="1">IF(OR(Master[[#This Row],[Type]]="checklist", Master[[#This Row],[Type]]="checklist-flat"), Master[[#This Row],[Name]], F321)</f>
        <v>CST - R - Civil Consent</v>
      </c>
      <c r="G322" s="3" t="s">
        <v>49</v>
      </c>
      <c r="H322" s="24" t="s">
        <v>1431</v>
      </c>
      <c r="I322" s="3"/>
      <c r="J322" s="21">
        <f ca="1">_xlfn.XLOOKUP(Master[[#This Row],[Checklist]],Ref!A:A,Ref!B:B)*1000</f>
        <v>49000</v>
      </c>
      <c r="K322" s="21">
        <f ca="1">COUNTIF($J$2:Master[[#This Row],[ChecklistID]],Master[[#This Row],[ChecklistID]])-1</f>
        <v>25</v>
      </c>
      <c r="L322" s="23" t="s">
        <v>6</v>
      </c>
    </row>
    <row r="323" spans="1:12" ht="15.75">
      <c r="A323" s="23">
        <f t="shared" si="5"/>
        <v>322</v>
      </c>
      <c r="B323" s="21">
        <f ca="1">Master[[#This Row],[ChecklistID]]+Master[[#This Row],[Checklist Order]]</f>
        <v>49026</v>
      </c>
      <c r="C323" s="22"/>
      <c r="D323" s="3" t="str" cm="1">
        <f t="array" aca="1" ref="D323" ca="1">_xlfn.SWITCH(MID(Master[[#This Row],[Checklist]],1,4),"C - ","Civil","F - ","Foundation","ST -","Structure","FC -","Façade","PRE ","Pre-Line","POST","Post-Line","H - ","Handover","S - ","Services","CST ","Completion Docs", "I - ", "Inspection")</f>
        <v>Completion Docs</v>
      </c>
      <c r="E323" s="23" t="str">
        <f ca="1">IF(NOT(ISERROR(SEARCH("- S -", Master[[#This Row],[Checklist]]))), "Subcontractor",IF(NOT(ISERROR(SEARCH("- R -", Master[[#This Row],[Checklist]]))), "Ryman",IF(NOT(ISERROR(SEARCH("- C -", Master[[#This Row],[Checklist]]))), "Consultant",IF(NOT(ISERROR(SEARCH("- I -", Master[[#This Row],[Checklist]]))),  "Inspection Test Plan", "Naming Error"))))</f>
        <v>Ryman</v>
      </c>
      <c r="F323" s="24" t="str">
        <f ca="1">IF(OR(Master[[#This Row],[Type]]="checklist", Master[[#This Row],[Type]]="checklist-flat"), Master[[#This Row],[Name]], F322)</f>
        <v>CST - R - Civil Consent</v>
      </c>
      <c r="G323" s="3" t="s">
        <v>66</v>
      </c>
      <c r="H323" s="24" t="s">
        <v>1432</v>
      </c>
      <c r="I323" s="3"/>
      <c r="J323" s="21">
        <f ca="1">_xlfn.XLOOKUP(Master[[#This Row],[Checklist]],Ref!A:A,Ref!B:B)*1000</f>
        <v>49000</v>
      </c>
      <c r="K323" s="21">
        <f ca="1">COUNTIF($J$2:Master[[#This Row],[ChecklistID]],Master[[#This Row],[ChecklistID]])-1</f>
        <v>26</v>
      </c>
      <c r="L323" s="23" t="s">
        <v>6</v>
      </c>
    </row>
    <row r="324" spans="1:12" ht="15.75">
      <c r="A324" s="23">
        <f t="shared" si="5"/>
        <v>323</v>
      </c>
      <c r="B324" s="21">
        <f ca="1">Master[[#This Row],[ChecklistID]]+Master[[#This Row],[Checklist Order]]</f>
        <v>49027</v>
      </c>
      <c r="C324" s="22"/>
      <c r="D324" s="3" t="str" cm="1">
        <f t="array" aca="1" ref="D324" ca="1">_xlfn.SWITCH(MID(Master[[#This Row],[Checklist]],1,4),"C - ","Civil","F - ","Foundation","ST -","Structure","FC -","Façade","PRE ","Pre-Line","POST","Post-Line","H - ","Handover","S - ","Services","CST ","Completion Docs", "I - ", "Inspection")</f>
        <v>Completion Docs</v>
      </c>
      <c r="E324" s="23" t="str">
        <f ca="1">IF(NOT(ISERROR(SEARCH("- S -", Master[[#This Row],[Checklist]]))), "Subcontractor",IF(NOT(ISERROR(SEARCH("- R -", Master[[#This Row],[Checklist]]))), "Ryman",IF(NOT(ISERROR(SEARCH("- C -", Master[[#This Row],[Checklist]]))), "Consultant",IF(NOT(ISERROR(SEARCH("- I -", Master[[#This Row],[Checklist]]))),  "Inspection Test Plan", "Naming Error"))))</f>
        <v>Ryman</v>
      </c>
      <c r="F324" s="24" t="str">
        <f ca="1">IF(OR(Master[[#This Row],[Type]]="checklist", Master[[#This Row],[Type]]="checklist-flat"), Master[[#This Row],[Name]], F323)</f>
        <v>CST - R - Civil Consent</v>
      </c>
      <c r="G324" s="3" t="s">
        <v>66</v>
      </c>
      <c r="H324" s="24" t="s">
        <v>1433</v>
      </c>
      <c r="I324" s="3"/>
      <c r="J324" s="21">
        <f ca="1">_xlfn.XLOOKUP(Master[[#This Row],[Checklist]],Ref!A:A,Ref!B:B)*1000</f>
        <v>49000</v>
      </c>
      <c r="K324" s="21">
        <f ca="1">COUNTIF($J$2:Master[[#This Row],[ChecklistID]],Master[[#This Row],[ChecklistID]])-1</f>
        <v>27</v>
      </c>
      <c r="L324" s="23" t="s">
        <v>6</v>
      </c>
    </row>
    <row r="325" spans="1:12" ht="15.75">
      <c r="A325" s="23">
        <f t="shared" si="5"/>
        <v>324</v>
      </c>
      <c r="B325" s="21">
        <f ca="1">Master[[#This Row],[ChecklistID]]+Master[[#This Row],[Checklist Order]]</f>
        <v>50000</v>
      </c>
      <c r="C325" s="22"/>
      <c r="D325" s="3" t="str" cm="1">
        <f t="array" aca="1" ref="D325" ca="1">_xlfn.SWITCH(MID(Master[[#This Row],[Checklist]],1,4),"C - ","Civil","F - ","Foundation","ST -","Structure","FC -","Façade","PRE ","Pre-Line","POST","Post-Line","H - ","Handover","S - ","Services","CST ","Completion Docs", "I - ", "Inspection")</f>
        <v>Completion Docs</v>
      </c>
      <c r="E325" s="23" t="str">
        <f ca="1">IF(NOT(ISERROR(SEARCH("- S -", Master[[#This Row],[Checklist]]))), "Subcontractor",IF(NOT(ISERROR(SEARCH("- R -", Master[[#This Row],[Checklist]]))), "Ryman",IF(NOT(ISERROR(SEARCH("- C -", Master[[#This Row],[Checklist]]))), "Consultant",IF(NOT(ISERROR(SEARCH("- I -", Master[[#This Row],[Checklist]]))),  "Inspection Test Plan", "Naming Error"))))</f>
        <v>Ryman</v>
      </c>
      <c r="F325" s="24" t="str">
        <f ca="1">IF(OR(Master[[#This Row],[Type]]="checklist", Master[[#This Row],[Type]]="checklist-flat"), Master[[#This Row],[Name]], F324)</f>
        <v>CST - R - Piling Consent</v>
      </c>
      <c r="G325" s="3" t="s">
        <v>48</v>
      </c>
      <c r="H325" s="24" t="s">
        <v>1434</v>
      </c>
      <c r="I325" s="3"/>
      <c r="J325" s="21">
        <f ca="1">_xlfn.XLOOKUP(Master[[#This Row],[Checklist]],Ref!A:A,Ref!B:B)*1000</f>
        <v>50000</v>
      </c>
      <c r="K325" s="21">
        <f ca="1">COUNTIF($J$2:Master[[#This Row],[ChecklistID]],Master[[#This Row],[ChecklistID]])-1</f>
        <v>0</v>
      </c>
      <c r="L325" s="23" t="s">
        <v>6</v>
      </c>
    </row>
    <row r="326" spans="1:12" ht="15.75">
      <c r="A326" s="23">
        <f t="shared" si="5"/>
        <v>325</v>
      </c>
      <c r="B326" s="21">
        <f ca="1">Master[[#This Row],[ChecklistID]]+Master[[#This Row],[Checklist Order]]</f>
        <v>50001</v>
      </c>
      <c r="C326" s="22"/>
      <c r="D326" s="3" t="str" cm="1">
        <f t="array" aca="1" ref="D326" ca="1">_xlfn.SWITCH(MID(Master[[#This Row],[Checklist]],1,4),"C - ","Civil","F - ","Foundation","ST -","Structure","FC -","Façade","PRE ","Pre-Line","POST","Post-Line","H - ","Handover","S - ","Services","CST ","Completion Docs", "I - ", "Inspection")</f>
        <v>Completion Docs</v>
      </c>
      <c r="E326" s="23" t="str">
        <f ca="1">IF(NOT(ISERROR(SEARCH("- S -", Master[[#This Row],[Checklist]]))), "Subcontractor",IF(NOT(ISERROR(SEARCH("- R -", Master[[#This Row],[Checklist]]))), "Ryman",IF(NOT(ISERROR(SEARCH("- C -", Master[[#This Row],[Checklist]]))), "Consultant",IF(NOT(ISERROR(SEARCH("- I -", Master[[#This Row],[Checklist]]))),  "Inspection Test Plan", "Naming Error"))))</f>
        <v>Ryman</v>
      </c>
      <c r="F326" s="24" t="str">
        <f ca="1">IF(OR(Master[[#This Row],[Type]]="checklist", Master[[#This Row],[Type]]="checklist-flat"), Master[[#This Row],[Name]], F325)</f>
        <v>CST - R - Piling Consent</v>
      </c>
      <c r="G326" s="3" t="s">
        <v>49</v>
      </c>
      <c r="H326" s="24" t="s">
        <v>1435</v>
      </c>
      <c r="I326" s="3"/>
      <c r="J326" s="21">
        <f ca="1">_xlfn.XLOOKUP(Master[[#This Row],[Checklist]],Ref!A:A,Ref!B:B)*1000</f>
        <v>50000</v>
      </c>
      <c r="K326" s="21">
        <f ca="1">COUNTIF($J$2:Master[[#This Row],[ChecklistID]],Master[[#This Row],[ChecklistID]])-1</f>
        <v>1</v>
      </c>
      <c r="L326" s="23" t="s">
        <v>6</v>
      </c>
    </row>
    <row r="327" spans="1:12" ht="15.75">
      <c r="A327" s="23">
        <f t="shared" si="5"/>
        <v>326</v>
      </c>
      <c r="B327" s="21">
        <f ca="1">Master[[#This Row],[ChecklistID]]+Master[[#This Row],[Checklist Order]]</f>
        <v>50002</v>
      </c>
      <c r="C327" s="22"/>
      <c r="D327" s="3" t="str" cm="1">
        <f t="array" aca="1" ref="D327" ca="1">_xlfn.SWITCH(MID(Master[[#This Row],[Checklist]],1,4),"C - ","Civil","F - ","Foundation","ST -","Structure","FC -","Façade","PRE ","Pre-Line","POST","Post-Line","H - ","Handover","S - ","Services","CST ","Completion Docs", "I - ", "Inspection")</f>
        <v>Completion Docs</v>
      </c>
      <c r="E327" s="23" t="str">
        <f ca="1">IF(NOT(ISERROR(SEARCH("- S -", Master[[#This Row],[Checklist]]))), "Subcontractor",IF(NOT(ISERROR(SEARCH("- R -", Master[[#This Row],[Checklist]]))), "Ryman",IF(NOT(ISERROR(SEARCH("- C -", Master[[#This Row],[Checklist]]))), "Consultant",IF(NOT(ISERROR(SEARCH("- I -", Master[[#This Row],[Checklist]]))),  "Inspection Test Plan", "Naming Error"))))</f>
        <v>Ryman</v>
      </c>
      <c r="F327" s="24" t="str">
        <f ca="1">IF(OR(Master[[#This Row],[Type]]="checklist", Master[[#This Row],[Type]]="checklist-flat"), Master[[#This Row],[Name]], F326)</f>
        <v>CST - R - Piling Consent</v>
      </c>
      <c r="G327" s="3" t="s">
        <v>49</v>
      </c>
      <c r="H327" s="24" t="s">
        <v>1392</v>
      </c>
      <c r="I327" s="3"/>
      <c r="J327" s="21">
        <f ca="1">_xlfn.XLOOKUP(Master[[#This Row],[Checklist]],Ref!A:A,Ref!B:B)*1000</f>
        <v>50000</v>
      </c>
      <c r="K327" s="21">
        <f ca="1">COUNTIF($J$2:Master[[#This Row],[ChecklistID]],Master[[#This Row],[ChecklistID]])-1</f>
        <v>2</v>
      </c>
      <c r="L327" s="23" t="s">
        <v>6</v>
      </c>
    </row>
    <row r="328" spans="1:12" ht="15.75">
      <c r="A328" s="23">
        <f t="shared" si="5"/>
        <v>327</v>
      </c>
      <c r="B328" s="21">
        <f ca="1">Master[[#This Row],[ChecklistID]]+Master[[#This Row],[Checklist Order]]</f>
        <v>50003</v>
      </c>
      <c r="C328" s="22"/>
      <c r="D328" s="3" t="str" cm="1">
        <f t="array" aca="1" ref="D328" ca="1">_xlfn.SWITCH(MID(Master[[#This Row],[Checklist]],1,4),"C - ","Civil","F - ","Foundation","ST -","Structure","FC -","Façade","PRE ","Pre-Line","POST","Post-Line","H - ","Handover","S - ","Services","CST ","Completion Docs", "I - ", "Inspection")</f>
        <v>Completion Docs</v>
      </c>
      <c r="E328" s="23" t="str">
        <f ca="1">IF(NOT(ISERROR(SEARCH("- S -", Master[[#This Row],[Checklist]]))), "Subcontractor",IF(NOT(ISERROR(SEARCH("- R -", Master[[#This Row],[Checklist]]))), "Ryman",IF(NOT(ISERROR(SEARCH("- C -", Master[[#This Row],[Checklist]]))), "Consultant",IF(NOT(ISERROR(SEARCH("- I -", Master[[#This Row],[Checklist]]))),  "Inspection Test Plan", "Naming Error"))))</f>
        <v>Ryman</v>
      </c>
      <c r="F328" s="24" t="str">
        <f ca="1">IF(OR(Master[[#This Row],[Type]]="checklist", Master[[#This Row],[Type]]="checklist-flat"), Master[[#This Row],[Name]], F327)</f>
        <v>CST - R - Piling Consent</v>
      </c>
      <c r="G328" s="3" t="s">
        <v>49</v>
      </c>
      <c r="H328" s="24" t="s">
        <v>1393</v>
      </c>
      <c r="I328" s="3"/>
      <c r="J328" s="21">
        <f ca="1">_xlfn.XLOOKUP(Master[[#This Row],[Checklist]],Ref!A:A,Ref!B:B)*1000</f>
        <v>50000</v>
      </c>
      <c r="K328" s="21">
        <f ca="1">COUNTIF($J$2:Master[[#This Row],[ChecklistID]],Master[[#This Row],[ChecklistID]])-1</f>
        <v>3</v>
      </c>
      <c r="L328" s="23" t="s">
        <v>6</v>
      </c>
    </row>
    <row r="329" spans="1:12" ht="15.75">
      <c r="A329" s="23">
        <f t="shared" si="5"/>
        <v>328</v>
      </c>
      <c r="B329" s="21">
        <f ca="1">Master[[#This Row],[ChecklistID]]+Master[[#This Row],[Checklist Order]]</f>
        <v>50004</v>
      </c>
      <c r="C329" s="22"/>
      <c r="D329" s="3" t="str" cm="1">
        <f t="array" aca="1" ref="D329" ca="1">_xlfn.SWITCH(MID(Master[[#This Row],[Checklist]],1,4),"C - ","Civil","F - ","Foundation","ST -","Structure","FC -","Façade","PRE ","Pre-Line","POST","Post-Line","H - ","Handover","S - ","Services","CST ","Completion Docs", "I - ", "Inspection")</f>
        <v>Completion Docs</v>
      </c>
      <c r="E329" s="23" t="str">
        <f ca="1">IF(NOT(ISERROR(SEARCH("- S -", Master[[#This Row],[Checklist]]))), "Subcontractor",IF(NOT(ISERROR(SEARCH("- R -", Master[[#This Row],[Checklist]]))), "Ryman",IF(NOT(ISERROR(SEARCH("- C -", Master[[#This Row],[Checklist]]))), "Consultant",IF(NOT(ISERROR(SEARCH("- I -", Master[[#This Row],[Checklist]]))),  "Inspection Test Plan", "Naming Error"))))</f>
        <v>Ryman</v>
      </c>
      <c r="F329" s="24" t="str">
        <f ca="1">IF(OR(Master[[#This Row],[Type]]="checklist", Master[[#This Row],[Type]]="checklist-flat"), Master[[#This Row],[Name]], F328)</f>
        <v>CST - R - Piling Consent</v>
      </c>
      <c r="G329" s="3" t="s">
        <v>49</v>
      </c>
      <c r="H329" s="24" t="s">
        <v>1394</v>
      </c>
      <c r="I329" s="3"/>
      <c r="J329" s="21">
        <f ca="1">_xlfn.XLOOKUP(Master[[#This Row],[Checklist]],Ref!A:A,Ref!B:B)*1000</f>
        <v>50000</v>
      </c>
      <c r="K329" s="21">
        <f ca="1">COUNTIF($J$2:Master[[#This Row],[ChecklistID]],Master[[#This Row],[ChecklistID]])-1</f>
        <v>4</v>
      </c>
      <c r="L329" s="23" t="s">
        <v>6</v>
      </c>
    </row>
    <row r="330" spans="1:12" ht="15.75">
      <c r="A330" s="23">
        <f t="shared" si="5"/>
        <v>329</v>
      </c>
      <c r="B330" s="21">
        <f ca="1">Master[[#This Row],[ChecklistID]]+Master[[#This Row],[Checklist Order]]</f>
        <v>50005</v>
      </c>
      <c r="C330" s="22"/>
      <c r="D330" s="3" t="str" cm="1">
        <f t="array" aca="1" ref="D330" ca="1">_xlfn.SWITCH(MID(Master[[#This Row],[Checklist]],1,4),"C - ","Civil","F - ","Foundation","ST -","Structure","FC -","Façade","PRE ","Pre-Line","POST","Post-Line","H - ","Handover","S - ","Services","CST ","Completion Docs", "I - ", "Inspection")</f>
        <v>Completion Docs</v>
      </c>
      <c r="E330" s="23" t="str">
        <f ca="1">IF(NOT(ISERROR(SEARCH("- S -", Master[[#This Row],[Checklist]]))), "Subcontractor",IF(NOT(ISERROR(SEARCH("- R -", Master[[#This Row],[Checklist]]))), "Ryman",IF(NOT(ISERROR(SEARCH("- C -", Master[[#This Row],[Checklist]]))), "Consultant",IF(NOT(ISERROR(SEARCH("- I -", Master[[#This Row],[Checklist]]))),  "Inspection Test Plan", "Naming Error"))))</f>
        <v>Ryman</v>
      </c>
      <c r="F330" s="24" t="str">
        <f ca="1">IF(OR(Master[[#This Row],[Type]]="checklist", Master[[#This Row],[Type]]="checklist-flat"), Master[[#This Row],[Name]], F329)</f>
        <v>CST - R - Piling Consent</v>
      </c>
      <c r="G330" s="3" t="s">
        <v>49</v>
      </c>
      <c r="H330" s="24" t="s">
        <v>1436</v>
      </c>
      <c r="I330" s="3"/>
      <c r="J330" s="21">
        <f ca="1">_xlfn.XLOOKUP(Master[[#This Row],[Checklist]],Ref!A:A,Ref!B:B)*1000</f>
        <v>50000</v>
      </c>
      <c r="K330" s="21">
        <f ca="1">COUNTIF($J$2:Master[[#This Row],[ChecklistID]],Master[[#This Row],[ChecklistID]])-1</f>
        <v>5</v>
      </c>
      <c r="L330" s="23" t="s">
        <v>6</v>
      </c>
    </row>
    <row r="331" spans="1:12" ht="15.75">
      <c r="A331" s="23">
        <f t="shared" si="5"/>
        <v>330</v>
      </c>
      <c r="B331" s="21">
        <f ca="1">Master[[#This Row],[ChecklistID]]+Master[[#This Row],[Checklist Order]]</f>
        <v>50006</v>
      </c>
      <c r="C331" s="22"/>
      <c r="D331" s="3" t="str" cm="1">
        <f t="array" aca="1" ref="D331" ca="1">_xlfn.SWITCH(MID(Master[[#This Row],[Checklist]],1,4),"C - ","Civil","F - ","Foundation","ST -","Structure","FC -","Façade","PRE ","Pre-Line","POST","Post-Line","H - ","Handover","S - ","Services","CST ","Completion Docs", "I - ", "Inspection")</f>
        <v>Completion Docs</v>
      </c>
      <c r="E331" s="23" t="str">
        <f ca="1">IF(NOT(ISERROR(SEARCH("- S -", Master[[#This Row],[Checklist]]))), "Subcontractor",IF(NOT(ISERROR(SEARCH("- R -", Master[[#This Row],[Checklist]]))), "Ryman",IF(NOT(ISERROR(SEARCH("- C -", Master[[#This Row],[Checklist]]))), "Consultant",IF(NOT(ISERROR(SEARCH("- I -", Master[[#This Row],[Checklist]]))),  "Inspection Test Plan", "Naming Error"))))</f>
        <v>Ryman</v>
      </c>
      <c r="F331" s="24" t="str">
        <f ca="1">IF(OR(Master[[#This Row],[Type]]="checklist", Master[[#This Row],[Type]]="checklist-flat"), Master[[#This Row],[Name]], F330)</f>
        <v>CST - R - Piling Consent</v>
      </c>
      <c r="G331" s="3" t="s">
        <v>66</v>
      </c>
      <c r="H331" s="24" t="s">
        <v>1437</v>
      </c>
      <c r="I331" s="3"/>
      <c r="J331" s="21">
        <f ca="1">_xlfn.XLOOKUP(Master[[#This Row],[Checklist]],Ref!A:A,Ref!B:B)*1000</f>
        <v>50000</v>
      </c>
      <c r="K331" s="21">
        <f ca="1">COUNTIF($J$2:Master[[#This Row],[ChecklistID]],Master[[#This Row],[ChecklistID]])-1</f>
        <v>6</v>
      </c>
      <c r="L331" s="23" t="s">
        <v>6</v>
      </c>
    </row>
    <row r="332" spans="1:12" ht="15.75">
      <c r="A332" s="23">
        <f t="shared" si="5"/>
        <v>331</v>
      </c>
      <c r="B332" s="21">
        <f ca="1">Master[[#This Row],[ChecklistID]]+Master[[#This Row],[Checklist Order]]</f>
        <v>50007</v>
      </c>
      <c r="C332" s="22"/>
      <c r="D332" s="3" t="str" cm="1">
        <f t="array" aca="1" ref="D332" ca="1">_xlfn.SWITCH(MID(Master[[#This Row],[Checklist]],1,4),"C - ","Civil","F - ","Foundation","ST -","Structure","FC -","Façade","PRE ","Pre-Line","POST","Post-Line","H - ","Handover","S - ","Services","CST ","Completion Docs", "I - ", "Inspection")</f>
        <v>Completion Docs</v>
      </c>
      <c r="E332" s="23" t="str">
        <f ca="1">IF(NOT(ISERROR(SEARCH("- S -", Master[[#This Row],[Checklist]]))), "Subcontractor",IF(NOT(ISERROR(SEARCH("- R -", Master[[#This Row],[Checklist]]))), "Ryman",IF(NOT(ISERROR(SEARCH("- C -", Master[[#This Row],[Checklist]]))), "Consultant",IF(NOT(ISERROR(SEARCH("- I -", Master[[#This Row],[Checklist]]))),  "Inspection Test Plan", "Naming Error"))))</f>
        <v>Ryman</v>
      </c>
      <c r="F332" s="24" t="str">
        <f ca="1">IF(OR(Master[[#This Row],[Type]]="checklist", Master[[#This Row],[Type]]="checklist-flat"), Master[[#This Row],[Name]], F331)</f>
        <v>CST - R - Piling Consent</v>
      </c>
      <c r="G332" s="3" t="s">
        <v>66</v>
      </c>
      <c r="H332" s="24" t="s">
        <v>1438</v>
      </c>
      <c r="I332" s="3"/>
      <c r="J332" s="21">
        <f ca="1">_xlfn.XLOOKUP(Master[[#This Row],[Checklist]],Ref!A:A,Ref!B:B)*1000</f>
        <v>50000</v>
      </c>
      <c r="K332" s="21">
        <f ca="1">COUNTIF($J$2:Master[[#This Row],[ChecklistID]],Master[[#This Row],[ChecklistID]])-1</f>
        <v>7</v>
      </c>
      <c r="L332" s="23" t="s">
        <v>6</v>
      </c>
    </row>
    <row r="333" spans="1:12" ht="15.75">
      <c r="A333" s="23">
        <f t="shared" si="5"/>
        <v>332</v>
      </c>
      <c r="B333" s="21">
        <f ca="1">Master[[#This Row],[ChecklistID]]+Master[[#This Row],[Checklist Order]]</f>
        <v>50008</v>
      </c>
      <c r="C333" s="22"/>
      <c r="D333" s="3" t="str" cm="1">
        <f t="array" aca="1" ref="D333" ca="1">_xlfn.SWITCH(MID(Master[[#This Row],[Checklist]],1,4),"C - ","Civil","F - ","Foundation","ST -","Structure","FC -","Façade","PRE ","Pre-Line","POST","Post-Line","H - ","Handover","S - ","Services","CST ","Completion Docs", "I - ", "Inspection")</f>
        <v>Completion Docs</v>
      </c>
      <c r="E333" s="23" t="str">
        <f ca="1">IF(NOT(ISERROR(SEARCH("- S -", Master[[#This Row],[Checklist]]))), "Subcontractor",IF(NOT(ISERROR(SEARCH("- R -", Master[[#This Row],[Checklist]]))), "Ryman",IF(NOT(ISERROR(SEARCH("- C -", Master[[#This Row],[Checklist]]))), "Consultant",IF(NOT(ISERROR(SEARCH("- I -", Master[[#This Row],[Checklist]]))),  "Inspection Test Plan", "Naming Error"))))</f>
        <v>Ryman</v>
      </c>
      <c r="F333" s="24" t="str">
        <f ca="1">IF(OR(Master[[#This Row],[Type]]="checklist", Master[[#This Row],[Type]]="checklist-flat"), Master[[#This Row],[Name]], F332)</f>
        <v>CST - R - Piling Consent</v>
      </c>
      <c r="G333" s="3" t="s">
        <v>66</v>
      </c>
      <c r="H333" s="24" t="s">
        <v>1439</v>
      </c>
      <c r="I333" s="3"/>
      <c r="J333" s="21">
        <f ca="1">_xlfn.XLOOKUP(Master[[#This Row],[Checklist]],Ref!A:A,Ref!B:B)*1000</f>
        <v>50000</v>
      </c>
      <c r="K333" s="21">
        <f ca="1">COUNTIF($J$2:Master[[#This Row],[ChecklistID]],Master[[#This Row],[ChecklistID]])-1</f>
        <v>8</v>
      </c>
      <c r="L333" s="23" t="s">
        <v>6</v>
      </c>
    </row>
    <row r="334" spans="1:12" ht="15.75">
      <c r="A334" s="23">
        <f t="shared" si="5"/>
        <v>333</v>
      </c>
      <c r="B334" s="21">
        <f ca="1">Master[[#This Row],[ChecklistID]]+Master[[#This Row],[Checklist Order]]</f>
        <v>50009</v>
      </c>
      <c r="C334" s="22"/>
      <c r="D334" s="3" t="str" cm="1">
        <f t="array" aca="1" ref="D334" ca="1">_xlfn.SWITCH(MID(Master[[#This Row],[Checklist]],1,4),"C - ","Civil","F - ","Foundation","ST -","Structure","FC -","Façade","PRE ","Pre-Line","POST","Post-Line","H - ","Handover","S - ","Services","CST ","Completion Docs", "I - ", "Inspection")</f>
        <v>Completion Docs</v>
      </c>
      <c r="E334" s="23" t="str">
        <f ca="1">IF(NOT(ISERROR(SEARCH("- S -", Master[[#This Row],[Checklist]]))), "Subcontractor",IF(NOT(ISERROR(SEARCH("- R -", Master[[#This Row],[Checklist]]))), "Ryman",IF(NOT(ISERROR(SEARCH("- C -", Master[[#This Row],[Checklist]]))), "Consultant",IF(NOT(ISERROR(SEARCH("- I -", Master[[#This Row],[Checklist]]))),  "Inspection Test Plan", "Naming Error"))))</f>
        <v>Ryman</v>
      </c>
      <c r="F334" s="24" t="str">
        <f ca="1">IF(OR(Master[[#This Row],[Type]]="checklist", Master[[#This Row],[Type]]="checklist-flat"), Master[[#This Row],[Name]], F333)</f>
        <v>CST - R - Piling Consent</v>
      </c>
      <c r="G334" s="3" t="s">
        <v>66</v>
      </c>
      <c r="H334" s="24" t="s">
        <v>1440</v>
      </c>
      <c r="I334" s="3"/>
      <c r="J334" s="21">
        <f ca="1">_xlfn.XLOOKUP(Master[[#This Row],[Checklist]],Ref!A:A,Ref!B:B)*1000</f>
        <v>50000</v>
      </c>
      <c r="K334" s="21">
        <f ca="1">COUNTIF($J$2:Master[[#This Row],[ChecklistID]],Master[[#This Row],[ChecklistID]])-1</f>
        <v>9</v>
      </c>
      <c r="L334" s="23" t="s">
        <v>6</v>
      </c>
    </row>
    <row r="335" spans="1:12" ht="15.75">
      <c r="A335" s="23">
        <f t="shared" si="5"/>
        <v>334</v>
      </c>
      <c r="B335" s="21">
        <f ca="1">Master[[#This Row],[ChecklistID]]+Master[[#This Row],[Checklist Order]]</f>
        <v>50010</v>
      </c>
      <c r="C335" s="22"/>
      <c r="D335" s="3" t="str" cm="1">
        <f t="array" aca="1" ref="D335" ca="1">_xlfn.SWITCH(MID(Master[[#This Row],[Checklist]],1,4),"C - ","Civil","F - ","Foundation","ST -","Structure","FC -","Façade","PRE ","Pre-Line","POST","Post-Line","H - ","Handover","S - ","Services","CST ","Completion Docs", "I - ", "Inspection")</f>
        <v>Completion Docs</v>
      </c>
      <c r="E335" s="23" t="str">
        <f ca="1">IF(NOT(ISERROR(SEARCH("- S -", Master[[#This Row],[Checklist]]))), "Subcontractor",IF(NOT(ISERROR(SEARCH("- R -", Master[[#This Row],[Checklist]]))), "Ryman",IF(NOT(ISERROR(SEARCH("- C -", Master[[#This Row],[Checklist]]))), "Consultant",IF(NOT(ISERROR(SEARCH("- I -", Master[[#This Row],[Checklist]]))),  "Inspection Test Plan", "Naming Error"))))</f>
        <v>Ryman</v>
      </c>
      <c r="F335" s="24" t="str">
        <f ca="1">IF(OR(Master[[#This Row],[Type]]="checklist", Master[[#This Row],[Type]]="checklist-flat"), Master[[#This Row],[Name]], F334)</f>
        <v>CST - R - Piling Consent</v>
      </c>
      <c r="G335" s="3" t="s">
        <v>49</v>
      </c>
      <c r="H335" s="24" t="s">
        <v>1441</v>
      </c>
      <c r="I335" s="3"/>
      <c r="J335" s="21">
        <f ca="1">_xlfn.XLOOKUP(Master[[#This Row],[Checklist]],Ref!A:A,Ref!B:B)*1000</f>
        <v>50000</v>
      </c>
      <c r="K335" s="21">
        <f ca="1">COUNTIF($J$2:Master[[#This Row],[ChecklistID]],Master[[#This Row],[ChecklistID]])-1</f>
        <v>10</v>
      </c>
      <c r="L335" s="23" t="s">
        <v>6</v>
      </c>
    </row>
    <row r="336" spans="1:12" ht="15.75">
      <c r="A336" s="23">
        <f t="shared" si="5"/>
        <v>335</v>
      </c>
      <c r="B336" s="21">
        <f ca="1">Master[[#This Row],[ChecklistID]]+Master[[#This Row],[Checklist Order]]</f>
        <v>50011</v>
      </c>
      <c r="C336" s="22"/>
      <c r="D336" s="3" t="str" cm="1">
        <f t="array" aca="1" ref="D336" ca="1">_xlfn.SWITCH(MID(Master[[#This Row],[Checklist]],1,4),"C - ","Civil","F - ","Foundation","ST -","Structure","FC -","Façade","PRE ","Pre-Line","POST","Post-Line","H - ","Handover","S - ","Services","CST ","Completion Docs", "I - ", "Inspection")</f>
        <v>Completion Docs</v>
      </c>
      <c r="E336" s="23" t="str">
        <f ca="1">IF(NOT(ISERROR(SEARCH("- S -", Master[[#This Row],[Checklist]]))), "Subcontractor",IF(NOT(ISERROR(SEARCH("- R -", Master[[#This Row],[Checklist]]))), "Ryman",IF(NOT(ISERROR(SEARCH("- C -", Master[[#This Row],[Checklist]]))), "Consultant",IF(NOT(ISERROR(SEARCH("- I -", Master[[#This Row],[Checklist]]))),  "Inspection Test Plan", "Naming Error"))))</f>
        <v>Ryman</v>
      </c>
      <c r="F336" s="24" t="str">
        <f ca="1">IF(OR(Master[[#This Row],[Type]]="checklist", Master[[#This Row],[Type]]="checklist-flat"), Master[[#This Row],[Name]], F335)</f>
        <v>CST - R - Piling Consent</v>
      </c>
      <c r="G336" s="3" t="s">
        <v>49</v>
      </c>
      <c r="H336" s="24" t="s">
        <v>1442</v>
      </c>
      <c r="I336" s="3"/>
      <c r="J336" s="21">
        <f ca="1">_xlfn.XLOOKUP(Master[[#This Row],[Checklist]],Ref!A:A,Ref!B:B)*1000</f>
        <v>50000</v>
      </c>
      <c r="K336" s="21">
        <f ca="1">COUNTIF($J$2:Master[[#This Row],[ChecklistID]],Master[[#This Row],[ChecklistID]])-1</f>
        <v>11</v>
      </c>
      <c r="L336" s="23" t="s">
        <v>6</v>
      </c>
    </row>
    <row r="337" spans="1:12" ht="15.75">
      <c r="A337" s="23">
        <f t="shared" si="5"/>
        <v>336</v>
      </c>
      <c r="B337" s="21">
        <f ca="1">Master[[#This Row],[ChecklistID]]+Master[[#This Row],[Checklist Order]]</f>
        <v>50012</v>
      </c>
      <c r="C337" s="22"/>
      <c r="D337" s="3" t="str" cm="1">
        <f t="array" aca="1" ref="D337" ca="1">_xlfn.SWITCH(MID(Master[[#This Row],[Checklist]],1,4),"C - ","Civil","F - ","Foundation","ST -","Structure","FC -","Façade","PRE ","Pre-Line","POST","Post-Line","H - ","Handover","S - ","Services","CST ","Completion Docs", "I - ", "Inspection")</f>
        <v>Completion Docs</v>
      </c>
      <c r="E337" s="23" t="str">
        <f ca="1">IF(NOT(ISERROR(SEARCH("- S -", Master[[#This Row],[Checklist]]))), "Subcontractor",IF(NOT(ISERROR(SEARCH("- R -", Master[[#This Row],[Checklist]]))), "Ryman",IF(NOT(ISERROR(SEARCH("- C -", Master[[#This Row],[Checklist]]))), "Consultant",IF(NOT(ISERROR(SEARCH("- I -", Master[[#This Row],[Checklist]]))),  "Inspection Test Plan", "Naming Error"))))</f>
        <v>Ryman</v>
      </c>
      <c r="F337" s="24" t="str">
        <f ca="1">IF(OR(Master[[#This Row],[Type]]="checklist", Master[[#This Row],[Type]]="checklist-flat"), Master[[#This Row],[Name]], F336)</f>
        <v>CST - R - Piling Consent</v>
      </c>
      <c r="G337" s="3" t="s">
        <v>49</v>
      </c>
      <c r="H337" s="24" t="s">
        <v>1443</v>
      </c>
      <c r="I337" s="3"/>
      <c r="J337" s="21">
        <f ca="1">_xlfn.XLOOKUP(Master[[#This Row],[Checklist]],Ref!A:A,Ref!B:B)*1000</f>
        <v>50000</v>
      </c>
      <c r="K337" s="21">
        <f ca="1">COUNTIF($J$2:Master[[#This Row],[ChecklistID]],Master[[#This Row],[ChecklistID]])-1</f>
        <v>12</v>
      </c>
      <c r="L337" s="23" t="s">
        <v>6</v>
      </c>
    </row>
    <row r="338" spans="1:12" ht="15.75">
      <c r="A338" s="23">
        <f t="shared" si="5"/>
        <v>337</v>
      </c>
      <c r="B338" s="21">
        <f ca="1">Master[[#This Row],[ChecklistID]]+Master[[#This Row],[Checklist Order]]</f>
        <v>50013</v>
      </c>
      <c r="C338" s="22"/>
      <c r="D338" s="3" t="str" cm="1">
        <f t="array" aca="1" ref="D338" ca="1">_xlfn.SWITCH(MID(Master[[#This Row],[Checklist]],1,4),"C - ","Civil","F - ","Foundation","ST -","Structure","FC -","Façade","PRE ","Pre-Line","POST","Post-Line","H - ","Handover","S - ","Services","CST ","Completion Docs", "I - ", "Inspection")</f>
        <v>Completion Docs</v>
      </c>
      <c r="E338" s="23" t="str">
        <f ca="1">IF(NOT(ISERROR(SEARCH("- S -", Master[[#This Row],[Checklist]]))), "Subcontractor",IF(NOT(ISERROR(SEARCH("- R -", Master[[#This Row],[Checklist]]))), "Ryman",IF(NOT(ISERROR(SEARCH("- C -", Master[[#This Row],[Checklist]]))), "Consultant",IF(NOT(ISERROR(SEARCH("- I -", Master[[#This Row],[Checklist]]))),  "Inspection Test Plan", "Naming Error"))))</f>
        <v>Ryman</v>
      </c>
      <c r="F338" s="24" t="str">
        <f ca="1">IF(OR(Master[[#This Row],[Type]]="checklist", Master[[#This Row],[Type]]="checklist-flat"), Master[[#This Row],[Name]], F337)</f>
        <v>CST - R - Piling Consent</v>
      </c>
      <c r="G338" s="3" t="s">
        <v>49</v>
      </c>
      <c r="H338" s="24" t="s">
        <v>1444</v>
      </c>
      <c r="I338" s="3"/>
      <c r="J338" s="21">
        <f ca="1">_xlfn.XLOOKUP(Master[[#This Row],[Checklist]],Ref!A:A,Ref!B:B)*1000</f>
        <v>50000</v>
      </c>
      <c r="K338" s="21">
        <f ca="1">COUNTIF($J$2:Master[[#This Row],[ChecklistID]],Master[[#This Row],[ChecklistID]])-1</f>
        <v>13</v>
      </c>
      <c r="L338" s="23" t="s">
        <v>6</v>
      </c>
    </row>
    <row r="339" spans="1:12" ht="15.75">
      <c r="A339" s="23">
        <f t="shared" si="5"/>
        <v>338</v>
      </c>
      <c r="B339" s="21">
        <f ca="1">Master[[#This Row],[ChecklistID]]+Master[[#This Row],[Checklist Order]]</f>
        <v>50014</v>
      </c>
      <c r="C339" s="22"/>
      <c r="D339" s="3" t="str" cm="1">
        <f t="array" aca="1" ref="D339" ca="1">_xlfn.SWITCH(MID(Master[[#This Row],[Checklist]],1,4),"C - ","Civil","F - ","Foundation","ST -","Structure","FC -","Façade","PRE ","Pre-Line","POST","Post-Line","H - ","Handover","S - ","Services","CST ","Completion Docs", "I - ", "Inspection")</f>
        <v>Completion Docs</v>
      </c>
      <c r="E339" s="23" t="str">
        <f ca="1">IF(NOT(ISERROR(SEARCH("- S -", Master[[#This Row],[Checklist]]))), "Subcontractor",IF(NOT(ISERROR(SEARCH("- R -", Master[[#This Row],[Checklist]]))), "Ryman",IF(NOT(ISERROR(SEARCH("- C -", Master[[#This Row],[Checklist]]))), "Consultant",IF(NOT(ISERROR(SEARCH("- I -", Master[[#This Row],[Checklist]]))),  "Inspection Test Plan", "Naming Error"))))</f>
        <v>Ryman</v>
      </c>
      <c r="F339" s="24" t="str">
        <f ca="1">IF(OR(Master[[#This Row],[Type]]="checklist", Master[[#This Row],[Type]]="checklist-flat"), Master[[#This Row],[Name]], F338)</f>
        <v>CST - R - Piling Consent</v>
      </c>
      <c r="G339" s="3" t="s">
        <v>49</v>
      </c>
      <c r="H339" s="24" t="s">
        <v>1445</v>
      </c>
      <c r="I339" s="3"/>
      <c r="J339" s="21">
        <f ca="1">_xlfn.XLOOKUP(Master[[#This Row],[Checklist]],Ref!A:A,Ref!B:B)*1000</f>
        <v>50000</v>
      </c>
      <c r="K339" s="21">
        <f ca="1">COUNTIF($J$2:Master[[#This Row],[ChecklistID]],Master[[#This Row],[ChecklistID]])-1</f>
        <v>14</v>
      </c>
      <c r="L339" s="23" t="s">
        <v>6</v>
      </c>
    </row>
    <row r="340" spans="1:12" ht="15.75">
      <c r="A340" s="23">
        <f t="shared" si="5"/>
        <v>339</v>
      </c>
      <c r="B340" s="21">
        <f ca="1">Master[[#This Row],[ChecklistID]]+Master[[#This Row],[Checklist Order]]</f>
        <v>51000</v>
      </c>
      <c r="C340" s="22"/>
      <c r="D340" s="3" t="str" cm="1">
        <f t="array" aca="1" ref="D340" ca="1">_xlfn.SWITCH(MID(Master[[#This Row],[Checklist]],1,4),"C - ","Civil","F - ","Foundation","ST -","Structure","FC -","Façade","PRE ","Pre-Line","POST","Post-Line","H - ","Handover","S - ","Services","CST ","Completion Docs", "I - ", "Inspection")</f>
        <v>Completion Docs</v>
      </c>
      <c r="E340" s="23" t="str">
        <f ca="1">IF(NOT(ISERROR(SEARCH("- S -", Master[[#This Row],[Checklist]]))), "Subcontractor",IF(NOT(ISERROR(SEARCH("- R -", Master[[#This Row],[Checklist]]))), "Ryman",IF(NOT(ISERROR(SEARCH("- C -", Master[[#This Row],[Checklist]]))), "Consultant",IF(NOT(ISERROR(SEARCH("- I -", Master[[#This Row],[Checklist]]))),  "Inspection Test Plan", "Naming Error"))))</f>
        <v>Ryman</v>
      </c>
      <c r="F340" s="24" t="str">
        <f ca="1">IF(OR(Master[[#This Row],[Type]]="checklist", Master[[#This Row],[Type]]="checklist-flat"), Master[[#This Row],[Name]], F339)</f>
        <v>CST - R - Foundation Consent</v>
      </c>
      <c r="G340" s="3" t="s">
        <v>48</v>
      </c>
      <c r="H340" s="24" t="s">
        <v>1446</v>
      </c>
      <c r="I340" s="3"/>
      <c r="J340" s="21">
        <f ca="1">_xlfn.XLOOKUP(Master[[#This Row],[Checklist]],Ref!A:A,Ref!B:B)*1000</f>
        <v>51000</v>
      </c>
      <c r="K340" s="21">
        <f ca="1">COUNTIF($J$2:Master[[#This Row],[ChecklistID]],Master[[#This Row],[ChecklistID]])-1</f>
        <v>0</v>
      </c>
      <c r="L340" s="23" t="s">
        <v>6</v>
      </c>
    </row>
    <row r="341" spans="1:12" ht="15.75">
      <c r="A341" s="23">
        <f t="shared" si="5"/>
        <v>340</v>
      </c>
      <c r="B341" s="21">
        <f ca="1">Master[[#This Row],[ChecklistID]]+Master[[#This Row],[Checklist Order]]</f>
        <v>51001</v>
      </c>
      <c r="C341" s="22"/>
      <c r="D341" s="3" t="str" cm="1">
        <f t="array" aca="1" ref="D341" ca="1">_xlfn.SWITCH(MID(Master[[#This Row],[Checklist]],1,4),"C - ","Civil","F - ","Foundation","ST -","Structure","FC -","Façade","PRE ","Pre-Line","POST","Post-Line","H - ","Handover","S - ","Services","CST ","Completion Docs", "I - ", "Inspection")</f>
        <v>Completion Docs</v>
      </c>
      <c r="E341" s="23" t="str">
        <f ca="1">IF(NOT(ISERROR(SEARCH("- S -", Master[[#This Row],[Checklist]]))), "Subcontractor",IF(NOT(ISERROR(SEARCH("- R -", Master[[#This Row],[Checklist]]))), "Ryman",IF(NOT(ISERROR(SEARCH("- C -", Master[[#This Row],[Checklist]]))), "Consultant",IF(NOT(ISERROR(SEARCH("- I -", Master[[#This Row],[Checklist]]))),  "Inspection Test Plan", "Naming Error"))))</f>
        <v>Ryman</v>
      </c>
      <c r="F341" s="24" t="str">
        <f ca="1">IF(OR(Master[[#This Row],[Type]]="checklist", Master[[#This Row],[Type]]="checklist-flat"), Master[[#This Row],[Name]], F340)</f>
        <v>CST - R - Foundation Consent</v>
      </c>
      <c r="G341" s="3" t="s">
        <v>49</v>
      </c>
      <c r="H341" s="24" t="s">
        <v>1447</v>
      </c>
      <c r="I341" s="3"/>
      <c r="J341" s="21">
        <f ca="1">_xlfn.XLOOKUP(Master[[#This Row],[Checklist]],Ref!A:A,Ref!B:B)*1000</f>
        <v>51000</v>
      </c>
      <c r="K341" s="21">
        <f ca="1">COUNTIF($J$2:Master[[#This Row],[ChecklistID]],Master[[#This Row],[ChecklistID]])-1</f>
        <v>1</v>
      </c>
      <c r="L341" s="23" t="s">
        <v>6</v>
      </c>
    </row>
    <row r="342" spans="1:12" ht="15.75">
      <c r="A342" s="23">
        <f t="shared" si="5"/>
        <v>341</v>
      </c>
      <c r="B342" s="21">
        <f ca="1">Master[[#This Row],[ChecklistID]]+Master[[#This Row],[Checklist Order]]</f>
        <v>51002</v>
      </c>
      <c r="C342" s="22"/>
      <c r="D342" s="3" t="str" cm="1">
        <f t="array" aca="1" ref="D342" ca="1">_xlfn.SWITCH(MID(Master[[#This Row],[Checklist]],1,4),"C - ","Civil","F - ","Foundation","ST -","Structure","FC -","Façade","PRE ","Pre-Line","POST","Post-Line","H - ","Handover","S - ","Services","CST ","Completion Docs", "I - ", "Inspection")</f>
        <v>Completion Docs</v>
      </c>
      <c r="E342" s="23" t="str">
        <f ca="1">IF(NOT(ISERROR(SEARCH("- S -", Master[[#This Row],[Checklist]]))), "Subcontractor",IF(NOT(ISERROR(SEARCH("- R -", Master[[#This Row],[Checklist]]))), "Ryman",IF(NOT(ISERROR(SEARCH("- C -", Master[[#This Row],[Checklist]]))), "Consultant",IF(NOT(ISERROR(SEARCH("- I -", Master[[#This Row],[Checklist]]))),  "Inspection Test Plan", "Naming Error"))))</f>
        <v>Ryman</v>
      </c>
      <c r="F342" s="24" t="str">
        <f ca="1">IF(OR(Master[[#This Row],[Type]]="checklist", Master[[#This Row],[Type]]="checklist-flat"), Master[[#This Row],[Name]], F341)</f>
        <v>CST - R - Foundation Consent</v>
      </c>
      <c r="G342" s="3" t="s">
        <v>49</v>
      </c>
      <c r="H342" s="24" t="s">
        <v>1392</v>
      </c>
      <c r="I342" s="3"/>
      <c r="J342" s="21">
        <f ca="1">_xlfn.XLOOKUP(Master[[#This Row],[Checklist]],Ref!A:A,Ref!B:B)*1000</f>
        <v>51000</v>
      </c>
      <c r="K342" s="21">
        <f ca="1">COUNTIF($J$2:Master[[#This Row],[ChecklistID]],Master[[#This Row],[ChecklistID]])-1</f>
        <v>2</v>
      </c>
      <c r="L342" s="23" t="s">
        <v>6</v>
      </c>
    </row>
    <row r="343" spans="1:12" ht="15.75">
      <c r="A343" s="23">
        <f t="shared" si="5"/>
        <v>342</v>
      </c>
      <c r="B343" s="21">
        <f ca="1">Master[[#This Row],[ChecklistID]]+Master[[#This Row],[Checklist Order]]</f>
        <v>51003</v>
      </c>
      <c r="C343" s="22"/>
      <c r="D343" s="3" t="str" cm="1">
        <f t="array" aca="1" ref="D343" ca="1">_xlfn.SWITCH(MID(Master[[#This Row],[Checklist]],1,4),"C - ","Civil","F - ","Foundation","ST -","Structure","FC -","Façade","PRE ","Pre-Line","POST","Post-Line","H - ","Handover","S - ","Services","CST ","Completion Docs", "I - ", "Inspection")</f>
        <v>Completion Docs</v>
      </c>
      <c r="E343" s="23" t="str">
        <f ca="1">IF(NOT(ISERROR(SEARCH("- S -", Master[[#This Row],[Checklist]]))), "Subcontractor",IF(NOT(ISERROR(SEARCH("- R -", Master[[#This Row],[Checklist]]))), "Ryman",IF(NOT(ISERROR(SEARCH("- C -", Master[[#This Row],[Checklist]]))), "Consultant",IF(NOT(ISERROR(SEARCH("- I -", Master[[#This Row],[Checklist]]))),  "Inspection Test Plan", "Naming Error"))))</f>
        <v>Ryman</v>
      </c>
      <c r="F343" s="24" t="str">
        <f ca="1">IF(OR(Master[[#This Row],[Type]]="checklist", Master[[#This Row],[Type]]="checklist-flat"), Master[[#This Row],[Name]], F342)</f>
        <v>CST - R - Foundation Consent</v>
      </c>
      <c r="G343" s="3" t="s">
        <v>49</v>
      </c>
      <c r="H343" s="24" t="s">
        <v>1393</v>
      </c>
      <c r="I343" s="3"/>
      <c r="J343" s="21">
        <f ca="1">_xlfn.XLOOKUP(Master[[#This Row],[Checklist]],Ref!A:A,Ref!B:B)*1000</f>
        <v>51000</v>
      </c>
      <c r="K343" s="21">
        <f ca="1">COUNTIF($J$2:Master[[#This Row],[ChecklistID]],Master[[#This Row],[ChecklistID]])-1</f>
        <v>3</v>
      </c>
      <c r="L343" s="23" t="s">
        <v>6</v>
      </c>
    </row>
    <row r="344" spans="1:12" ht="15.75">
      <c r="A344" s="23">
        <f t="shared" si="5"/>
        <v>343</v>
      </c>
      <c r="B344" s="21">
        <f ca="1">Master[[#This Row],[ChecklistID]]+Master[[#This Row],[Checklist Order]]</f>
        <v>51004</v>
      </c>
      <c r="C344" s="22"/>
      <c r="D344" s="3" t="str" cm="1">
        <f t="array" aca="1" ref="D344" ca="1">_xlfn.SWITCH(MID(Master[[#This Row],[Checklist]],1,4),"C - ","Civil","F - ","Foundation","ST -","Structure","FC -","Façade","PRE ","Pre-Line","POST","Post-Line","H - ","Handover","S - ","Services","CST ","Completion Docs", "I - ", "Inspection")</f>
        <v>Completion Docs</v>
      </c>
      <c r="E344" s="23" t="str">
        <f ca="1">IF(NOT(ISERROR(SEARCH("- S -", Master[[#This Row],[Checklist]]))), "Subcontractor",IF(NOT(ISERROR(SEARCH("- R -", Master[[#This Row],[Checklist]]))), "Ryman",IF(NOT(ISERROR(SEARCH("- C -", Master[[#This Row],[Checklist]]))), "Consultant",IF(NOT(ISERROR(SEARCH("- I -", Master[[#This Row],[Checklist]]))),  "Inspection Test Plan", "Naming Error"))))</f>
        <v>Ryman</v>
      </c>
      <c r="F344" s="24" t="str">
        <f ca="1">IF(OR(Master[[#This Row],[Type]]="checklist", Master[[#This Row],[Type]]="checklist-flat"), Master[[#This Row],[Name]], F343)</f>
        <v>CST - R - Foundation Consent</v>
      </c>
      <c r="G344" s="3" t="s">
        <v>49</v>
      </c>
      <c r="H344" s="24" t="s">
        <v>1394</v>
      </c>
      <c r="I344" s="3"/>
      <c r="J344" s="21">
        <f ca="1">_xlfn.XLOOKUP(Master[[#This Row],[Checklist]],Ref!A:A,Ref!B:B)*1000</f>
        <v>51000</v>
      </c>
      <c r="K344" s="21">
        <f ca="1">COUNTIF($J$2:Master[[#This Row],[ChecklistID]],Master[[#This Row],[ChecklistID]])-1</f>
        <v>4</v>
      </c>
      <c r="L344" s="23" t="s">
        <v>6</v>
      </c>
    </row>
    <row r="345" spans="1:12" ht="15.75">
      <c r="A345" s="23">
        <f t="shared" si="5"/>
        <v>344</v>
      </c>
      <c r="B345" s="21">
        <f ca="1">Master[[#This Row],[ChecklistID]]+Master[[#This Row],[Checklist Order]]</f>
        <v>51005</v>
      </c>
      <c r="C345" s="22"/>
      <c r="D345" s="3" t="str" cm="1">
        <f t="array" aca="1" ref="D345" ca="1">_xlfn.SWITCH(MID(Master[[#This Row],[Checklist]],1,4),"C - ","Civil","F - ","Foundation","ST -","Structure","FC -","Façade","PRE ","Pre-Line","POST","Post-Line","H - ","Handover","S - ","Services","CST ","Completion Docs", "I - ", "Inspection")</f>
        <v>Completion Docs</v>
      </c>
      <c r="E345" s="23" t="str">
        <f ca="1">IF(NOT(ISERROR(SEARCH("- S -", Master[[#This Row],[Checklist]]))), "Subcontractor",IF(NOT(ISERROR(SEARCH("- R -", Master[[#This Row],[Checklist]]))), "Ryman",IF(NOT(ISERROR(SEARCH("- C -", Master[[#This Row],[Checklist]]))), "Consultant",IF(NOT(ISERROR(SEARCH("- I -", Master[[#This Row],[Checklist]]))),  "Inspection Test Plan", "Naming Error"))))</f>
        <v>Ryman</v>
      </c>
      <c r="F345" s="24" t="str">
        <f ca="1">IF(OR(Master[[#This Row],[Type]]="checklist", Master[[#This Row],[Type]]="checklist-flat"), Master[[#This Row],[Name]], F344)</f>
        <v>CST - R - Foundation Consent</v>
      </c>
      <c r="G345" s="3" t="s">
        <v>49</v>
      </c>
      <c r="H345" s="24" t="s">
        <v>1448</v>
      </c>
      <c r="I345" s="3"/>
      <c r="J345" s="21">
        <f ca="1">_xlfn.XLOOKUP(Master[[#This Row],[Checklist]],Ref!A:A,Ref!B:B)*1000</f>
        <v>51000</v>
      </c>
      <c r="K345" s="21">
        <f ca="1">COUNTIF($J$2:Master[[#This Row],[ChecklistID]],Master[[#This Row],[ChecklistID]])-1</f>
        <v>5</v>
      </c>
      <c r="L345" s="23" t="s">
        <v>6</v>
      </c>
    </row>
    <row r="346" spans="1:12" ht="15.75">
      <c r="A346" s="23">
        <f t="shared" si="5"/>
        <v>345</v>
      </c>
      <c r="B346" s="21">
        <f ca="1">Master[[#This Row],[ChecklistID]]+Master[[#This Row],[Checklist Order]]</f>
        <v>51006</v>
      </c>
      <c r="C346" s="22"/>
      <c r="D346" s="3" t="str" cm="1">
        <f t="array" aca="1" ref="D346" ca="1">_xlfn.SWITCH(MID(Master[[#This Row],[Checklist]],1,4),"C - ","Civil","F - ","Foundation","ST -","Structure","FC -","Façade","PRE ","Pre-Line","POST","Post-Line","H - ","Handover","S - ","Services","CST ","Completion Docs", "I - ", "Inspection")</f>
        <v>Completion Docs</v>
      </c>
      <c r="E346" s="23" t="str">
        <f ca="1">IF(NOT(ISERROR(SEARCH("- S -", Master[[#This Row],[Checklist]]))), "Subcontractor",IF(NOT(ISERROR(SEARCH("- R -", Master[[#This Row],[Checklist]]))), "Ryman",IF(NOT(ISERROR(SEARCH("- C -", Master[[#This Row],[Checklist]]))), "Consultant",IF(NOT(ISERROR(SEARCH("- I -", Master[[#This Row],[Checklist]]))),  "Inspection Test Plan", "Naming Error"))))</f>
        <v>Ryman</v>
      </c>
      <c r="F346" s="24" t="str">
        <f ca="1">IF(OR(Master[[#This Row],[Type]]="checklist", Master[[#This Row],[Type]]="checklist-flat"), Master[[#This Row],[Name]], F345)</f>
        <v>CST - R - Foundation Consent</v>
      </c>
      <c r="G346" s="3" t="s">
        <v>66</v>
      </c>
      <c r="H346" s="24" t="s">
        <v>1449</v>
      </c>
      <c r="I346" s="3"/>
      <c r="J346" s="21">
        <f ca="1">_xlfn.XLOOKUP(Master[[#This Row],[Checklist]],Ref!A:A,Ref!B:B)*1000</f>
        <v>51000</v>
      </c>
      <c r="K346" s="21">
        <f ca="1">COUNTIF($J$2:Master[[#This Row],[ChecklistID]],Master[[#This Row],[ChecklistID]])-1</f>
        <v>6</v>
      </c>
      <c r="L346" s="23" t="s">
        <v>6</v>
      </c>
    </row>
    <row r="347" spans="1:12" ht="15.75">
      <c r="A347" s="23">
        <f t="shared" si="5"/>
        <v>346</v>
      </c>
      <c r="B347" s="21">
        <f ca="1">Master[[#This Row],[ChecklistID]]+Master[[#This Row],[Checklist Order]]</f>
        <v>51007</v>
      </c>
      <c r="C347" s="22"/>
      <c r="D347" s="3" t="str" cm="1">
        <f t="array" aca="1" ref="D347" ca="1">_xlfn.SWITCH(MID(Master[[#This Row],[Checklist]],1,4),"C - ","Civil","F - ","Foundation","ST -","Structure","FC -","Façade","PRE ","Pre-Line","POST","Post-Line","H - ","Handover","S - ","Services","CST ","Completion Docs", "I - ", "Inspection")</f>
        <v>Completion Docs</v>
      </c>
      <c r="E347" s="23" t="str">
        <f ca="1">IF(NOT(ISERROR(SEARCH("- S -", Master[[#This Row],[Checklist]]))), "Subcontractor",IF(NOT(ISERROR(SEARCH("- R -", Master[[#This Row],[Checklist]]))), "Ryman",IF(NOT(ISERROR(SEARCH("- C -", Master[[#This Row],[Checklist]]))), "Consultant",IF(NOT(ISERROR(SEARCH("- I -", Master[[#This Row],[Checklist]]))),  "Inspection Test Plan", "Naming Error"))))</f>
        <v>Ryman</v>
      </c>
      <c r="F347" s="24" t="str">
        <f ca="1">IF(OR(Master[[#This Row],[Type]]="checklist", Master[[#This Row],[Type]]="checklist-flat"), Master[[#This Row],[Name]], F346)</f>
        <v>CST - R - Foundation Consent</v>
      </c>
      <c r="G347" s="3" t="s">
        <v>66</v>
      </c>
      <c r="H347" s="24" t="s">
        <v>1450</v>
      </c>
      <c r="I347" s="3"/>
      <c r="J347" s="21">
        <f ca="1">_xlfn.XLOOKUP(Master[[#This Row],[Checklist]],Ref!A:A,Ref!B:B)*1000</f>
        <v>51000</v>
      </c>
      <c r="K347" s="21">
        <f ca="1">COUNTIF($J$2:Master[[#This Row],[ChecklistID]],Master[[#This Row],[ChecklistID]])-1</f>
        <v>7</v>
      </c>
      <c r="L347" s="23" t="s">
        <v>6</v>
      </c>
    </row>
    <row r="348" spans="1:12" ht="15.75">
      <c r="A348" s="23">
        <f t="shared" si="5"/>
        <v>347</v>
      </c>
      <c r="B348" s="21">
        <f ca="1">Master[[#This Row],[ChecklistID]]+Master[[#This Row],[Checklist Order]]</f>
        <v>51008</v>
      </c>
      <c r="C348" s="22"/>
      <c r="D348" s="3" t="str" cm="1">
        <f t="array" aca="1" ref="D348" ca="1">_xlfn.SWITCH(MID(Master[[#This Row],[Checklist]],1,4),"C - ","Civil","F - ","Foundation","ST -","Structure","FC -","Façade","PRE ","Pre-Line","POST","Post-Line","H - ","Handover","S - ","Services","CST ","Completion Docs", "I - ", "Inspection")</f>
        <v>Completion Docs</v>
      </c>
      <c r="E348" s="23" t="str">
        <f ca="1">IF(NOT(ISERROR(SEARCH("- S -", Master[[#This Row],[Checklist]]))), "Subcontractor",IF(NOT(ISERROR(SEARCH("- R -", Master[[#This Row],[Checklist]]))), "Ryman",IF(NOT(ISERROR(SEARCH("- C -", Master[[#This Row],[Checklist]]))), "Consultant",IF(NOT(ISERROR(SEARCH("- I -", Master[[#This Row],[Checklist]]))),  "Inspection Test Plan", "Naming Error"))))</f>
        <v>Ryman</v>
      </c>
      <c r="F348" s="24" t="str">
        <f ca="1">IF(OR(Master[[#This Row],[Type]]="checklist", Master[[#This Row],[Type]]="checklist-flat"), Master[[#This Row],[Name]], F347)</f>
        <v>CST - R - Foundation Consent</v>
      </c>
      <c r="G348" s="3" t="s">
        <v>66</v>
      </c>
      <c r="H348" s="24" t="s">
        <v>1451</v>
      </c>
      <c r="I348" s="3"/>
      <c r="J348" s="21">
        <f ca="1">_xlfn.XLOOKUP(Master[[#This Row],[Checklist]],Ref!A:A,Ref!B:B)*1000</f>
        <v>51000</v>
      </c>
      <c r="K348" s="21">
        <f ca="1">COUNTIF($J$2:Master[[#This Row],[ChecklistID]],Master[[#This Row],[ChecklistID]])-1</f>
        <v>8</v>
      </c>
      <c r="L348" s="23" t="s">
        <v>6</v>
      </c>
    </row>
    <row r="349" spans="1:12" ht="15.75">
      <c r="A349" s="23">
        <f t="shared" si="5"/>
        <v>348</v>
      </c>
      <c r="B349" s="21">
        <f ca="1">Master[[#This Row],[ChecklistID]]+Master[[#This Row],[Checklist Order]]</f>
        <v>51009</v>
      </c>
      <c r="C349" s="22"/>
      <c r="D349" s="3" t="str" cm="1">
        <f t="array" aca="1" ref="D349" ca="1">_xlfn.SWITCH(MID(Master[[#This Row],[Checklist]],1,4),"C - ","Civil","F - ","Foundation","ST -","Structure","FC -","Façade","PRE ","Pre-Line","POST","Post-Line","H - ","Handover","S - ","Services","CST ","Completion Docs", "I - ", "Inspection")</f>
        <v>Completion Docs</v>
      </c>
      <c r="E349" s="23" t="str">
        <f ca="1">IF(NOT(ISERROR(SEARCH("- S -", Master[[#This Row],[Checklist]]))), "Subcontractor",IF(NOT(ISERROR(SEARCH("- R -", Master[[#This Row],[Checklist]]))), "Ryman",IF(NOT(ISERROR(SEARCH("- C -", Master[[#This Row],[Checklist]]))), "Consultant",IF(NOT(ISERROR(SEARCH("- I -", Master[[#This Row],[Checklist]]))),  "Inspection Test Plan", "Naming Error"))))</f>
        <v>Ryman</v>
      </c>
      <c r="F349" s="24" t="str">
        <f ca="1">IF(OR(Master[[#This Row],[Type]]="checklist", Master[[#This Row],[Type]]="checklist-flat"), Master[[#This Row],[Name]], F348)</f>
        <v>CST - R - Foundation Consent</v>
      </c>
      <c r="G349" s="3" t="s">
        <v>66</v>
      </c>
      <c r="H349" s="24" t="s">
        <v>1452</v>
      </c>
      <c r="I349" s="3"/>
      <c r="J349" s="21">
        <f ca="1">_xlfn.XLOOKUP(Master[[#This Row],[Checklist]],Ref!A:A,Ref!B:B)*1000</f>
        <v>51000</v>
      </c>
      <c r="K349" s="21">
        <f ca="1">COUNTIF($J$2:Master[[#This Row],[ChecklistID]],Master[[#This Row],[ChecklistID]])-1</f>
        <v>9</v>
      </c>
      <c r="L349" s="23" t="s">
        <v>6</v>
      </c>
    </row>
    <row r="350" spans="1:12" ht="15.75">
      <c r="A350" s="23">
        <f t="shared" si="5"/>
        <v>349</v>
      </c>
      <c r="B350" s="21">
        <f ca="1">Master[[#This Row],[ChecklistID]]+Master[[#This Row],[Checklist Order]]</f>
        <v>51010</v>
      </c>
      <c r="C350" s="22"/>
      <c r="D350" s="3" t="str" cm="1">
        <f t="array" aca="1" ref="D350" ca="1">_xlfn.SWITCH(MID(Master[[#This Row],[Checklist]],1,4),"C - ","Civil","F - ","Foundation","ST -","Structure","FC -","Façade","PRE ","Pre-Line","POST","Post-Line","H - ","Handover","S - ","Services","CST ","Completion Docs", "I - ", "Inspection")</f>
        <v>Completion Docs</v>
      </c>
      <c r="E350" s="23" t="str">
        <f ca="1">IF(NOT(ISERROR(SEARCH("- S -", Master[[#This Row],[Checklist]]))), "Subcontractor",IF(NOT(ISERROR(SEARCH("- R -", Master[[#This Row],[Checklist]]))), "Ryman",IF(NOT(ISERROR(SEARCH("- C -", Master[[#This Row],[Checklist]]))), "Consultant",IF(NOT(ISERROR(SEARCH("- I -", Master[[#This Row],[Checklist]]))),  "Inspection Test Plan", "Naming Error"))))</f>
        <v>Ryman</v>
      </c>
      <c r="F350" s="24" t="str">
        <f ca="1">IF(OR(Master[[#This Row],[Type]]="checklist", Master[[#This Row],[Type]]="checklist-flat"), Master[[#This Row],[Name]], F349)</f>
        <v>CST - R - Foundation Consent</v>
      </c>
      <c r="G350" s="3" t="s">
        <v>49</v>
      </c>
      <c r="H350" s="24" t="s">
        <v>1453</v>
      </c>
      <c r="I350" s="3"/>
      <c r="J350" s="21">
        <f ca="1">_xlfn.XLOOKUP(Master[[#This Row],[Checklist]],Ref!A:A,Ref!B:B)*1000</f>
        <v>51000</v>
      </c>
      <c r="K350" s="21">
        <f ca="1">COUNTIF($J$2:Master[[#This Row],[ChecklistID]],Master[[#This Row],[ChecklistID]])-1</f>
        <v>10</v>
      </c>
      <c r="L350" s="23" t="s">
        <v>6</v>
      </c>
    </row>
    <row r="351" spans="1:12" ht="15.75">
      <c r="A351" s="23">
        <f t="shared" si="5"/>
        <v>350</v>
      </c>
      <c r="B351" s="21">
        <f ca="1">Master[[#This Row],[ChecklistID]]+Master[[#This Row],[Checklist Order]]</f>
        <v>51011</v>
      </c>
      <c r="C351" s="22"/>
      <c r="D351" s="3" t="str" cm="1">
        <f t="array" aca="1" ref="D351" ca="1">_xlfn.SWITCH(MID(Master[[#This Row],[Checklist]],1,4),"C - ","Civil","F - ","Foundation","ST -","Structure","FC -","Façade","PRE ","Pre-Line","POST","Post-Line","H - ","Handover","S - ","Services","CST ","Completion Docs", "I - ", "Inspection")</f>
        <v>Completion Docs</v>
      </c>
      <c r="E351" s="23" t="str">
        <f ca="1">IF(NOT(ISERROR(SEARCH("- S -", Master[[#This Row],[Checklist]]))), "Subcontractor",IF(NOT(ISERROR(SEARCH("- R -", Master[[#This Row],[Checklist]]))), "Ryman",IF(NOT(ISERROR(SEARCH("- C -", Master[[#This Row],[Checklist]]))), "Consultant",IF(NOT(ISERROR(SEARCH("- I -", Master[[#This Row],[Checklist]]))),  "Inspection Test Plan", "Naming Error"))))</f>
        <v>Ryman</v>
      </c>
      <c r="F351" s="24" t="str">
        <f ca="1">IF(OR(Master[[#This Row],[Type]]="checklist", Master[[#This Row],[Type]]="checklist-flat"), Master[[#This Row],[Name]], F350)</f>
        <v>CST - R - Foundation Consent</v>
      </c>
      <c r="G351" s="3" t="s">
        <v>49</v>
      </c>
      <c r="H351" s="24" t="s">
        <v>1407</v>
      </c>
      <c r="I351" s="3"/>
      <c r="J351" s="21">
        <f ca="1">_xlfn.XLOOKUP(Master[[#This Row],[Checklist]],Ref!A:A,Ref!B:B)*1000</f>
        <v>51000</v>
      </c>
      <c r="K351" s="21">
        <f ca="1">COUNTIF($J$2:Master[[#This Row],[ChecklistID]],Master[[#This Row],[ChecklistID]])-1</f>
        <v>11</v>
      </c>
      <c r="L351" s="23" t="s">
        <v>6</v>
      </c>
    </row>
    <row r="352" spans="1:12" ht="15.75">
      <c r="A352" s="23">
        <f t="shared" si="5"/>
        <v>351</v>
      </c>
      <c r="B352" s="21">
        <f ca="1">Master[[#This Row],[ChecklistID]]+Master[[#This Row],[Checklist Order]]</f>
        <v>51012</v>
      </c>
      <c r="C352" s="22"/>
      <c r="D352" s="3" t="str" cm="1">
        <f t="array" aca="1" ref="D352" ca="1">_xlfn.SWITCH(MID(Master[[#This Row],[Checklist]],1,4),"C - ","Civil","F - ","Foundation","ST -","Structure","FC -","Façade","PRE ","Pre-Line","POST","Post-Line","H - ","Handover","S - ","Services","CST ","Completion Docs", "I - ", "Inspection")</f>
        <v>Completion Docs</v>
      </c>
      <c r="E352" s="23" t="str">
        <f ca="1">IF(NOT(ISERROR(SEARCH("- S -", Master[[#This Row],[Checklist]]))), "Subcontractor",IF(NOT(ISERROR(SEARCH("- R -", Master[[#This Row],[Checklist]]))), "Ryman",IF(NOT(ISERROR(SEARCH("- C -", Master[[#This Row],[Checklist]]))), "Consultant",IF(NOT(ISERROR(SEARCH("- I -", Master[[#This Row],[Checklist]]))),  "Inspection Test Plan", "Naming Error"))))</f>
        <v>Ryman</v>
      </c>
      <c r="F352" s="24" t="str">
        <f ca="1">IF(OR(Master[[#This Row],[Type]]="checklist", Master[[#This Row],[Type]]="checklist-flat"), Master[[#This Row],[Name]], F351)</f>
        <v>CST - R - Foundation Consent</v>
      </c>
      <c r="G352" s="3" t="s">
        <v>66</v>
      </c>
      <c r="H352" s="24" t="s">
        <v>1454</v>
      </c>
      <c r="I352" s="3"/>
      <c r="J352" s="21">
        <f ca="1">_xlfn.XLOOKUP(Master[[#This Row],[Checklist]],Ref!A:A,Ref!B:B)*1000</f>
        <v>51000</v>
      </c>
      <c r="K352" s="21">
        <f ca="1">COUNTIF($J$2:Master[[#This Row],[ChecklistID]],Master[[#This Row],[ChecklistID]])-1</f>
        <v>12</v>
      </c>
      <c r="L352" s="23" t="s">
        <v>6</v>
      </c>
    </row>
    <row r="353" spans="1:12" ht="15.75">
      <c r="A353" s="23">
        <f t="shared" si="5"/>
        <v>352</v>
      </c>
      <c r="B353" s="21">
        <f ca="1">Master[[#This Row],[ChecklistID]]+Master[[#This Row],[Checklist Order]]</f>
        <v>51013</v>
      </c>
      <c r="C353" s="22"/>
      <c r="D353" s="3" t="str" cm="1">
        <f t="array" aca="1" ref="D353" ca="1">_xlfn.SWITCH(MID(Master[[#This Row],[Checklist]],1,4),"C - ","Civil","F - ","Foundation","ST -","Structure","FC -","Façade","PRE ","Pre-Line","POST","Post-Line","H - ","Handover","S - ","Services","CST ","Completion Docs", "I - ", "Inspection")</f>
        <v>Completion Docs</v>
      </c>
      <c r="E353" s="23" t="str">
        <f ca="1">IF(NOT(ISERROR(SEARCH("- S -", Master[[#This Row],[Checklist]]))), "Subcontractor",IF(NOT(ISERROR(SEARCH("- R -", Master[[#This Row],[Checklist]]))), "Ryman",IF(NOT(ISERROR(SEARCH("- C -", Master[[#This Row],[Checklist]]))), "Consultant",IF(NOT(ISERROR(SEARCH("- I -", Master[[#This Row],[Checklist]]))),  "Inspection Test Plan", "Naming Error"))))</f>
        <v>Ryman</v>
      </c>
      <c r="F353" s="24" t="str">
        <f ca="1">IF(OR(Master[[#This Row],[Type]]="checklist", Master[[#This Row],[Type]]="checklist-flat"), Master[[#This Row],[Name]], F352)</f>
        <v>CST - R - Foundation Consent</v>
      </c>
      <c r="G353" s="3" t="s">
        <v>66</v>
      </c>
      <c r="H353" s="24" t="s">
        <v>1455</v>
      </c>
      <c r="I353" s="3"/>
      <c r="J353" s="21">
        <f ca="1">_xlfn.XLOOKUP(Master[[#This Row],[Checklist]],Ref!A:A,Ref!B:B)*1000</f>
        <v>51000</v>
      </c>
      <c r="K353" s="21">
        <f ca="1">COUNTIF($J$2:Master[[#This Row],[ChecklistID]],Master[[#This Row],[ChecklistID]])-1</f>
        <v>13</v>
      </c>
      <c r="L353" s="23" t="s">
        <v>6</v>
      </c>
    </row>
    <row r="354" spans="1:12" ht="15.75">
      <c r="A354" s="23">
        <f t="shared" si="5"/>
        <v>353</v>
      </c>
      <c r="B354" s="21">
        <f ca="1">Master[[#This Row],[ChecklistID]]+Master[[#This Row],[Checklist Order]]</f>
        <v>51014</v>
      </c>
      <c r="C354" s="22"/>
      <c r="D354" s="3" t="str" cm="1">
        <f t="array" aca="1" ref="D354" ca="1">_xlfn.SWITCH(MID(Master[[#This Row],[Checklist]],1,4),"C - ","Civil","F - ","Foundation","ST -","Structure","FC -","Façade","PRE ","Pre-Line","POST","Post-Line","H - ","Handover","S - ","Services","CST ","Completion Docs", "I - ", "Inspection")</f>
        <v>Completion Docs</v>
      </c>
      <c r="E354" s="23" t="str">
        <f ca="1">IF(NOT(ISERROR(SEARCH("- S -", Master[[#This Row],[Checklist]]))), "Subcontractor",IF(NOT(ISERROR(SEARCH("- R -", Master[[#This Row],[Checklist]]))), "Ryman",IF(NOT(ISERROR(SEARCH("- C -", Master[[#This Row],[Checklist]]))), "Consultant",IF(NOT(ISERROR(SEARCH("- I -", Master[[#This Row],[Checklist]]))),  "Inspection Test Plan", "Naming Error"))))</f>
        <v>Ryman</v>
      </c>
      <c r="F354" s="24" t="str">
        <f ca="1">IF(OR(Master[[#This Row],[Type]]="checklist", Master[[#This Row],[Type]]="checklist-flat"), Master[[#This Row],[Name]], F353)</f>
        <v>CST - R - Foundation Consent</v>
      </c>
      <c r="G354" s="3" t="s">
        <v>49</v>
      </c>
      <c r="H354" s="24" t="s">
        <v>1444</v>
      </c>
      <c r="I354" s="3"/>
      <c r="J354" s="21">
        <f ca="1">_xlfn.XLOOKUP(Master[[#This Row],[Checklist]],Ref!A:A,Ref!B:B)*1000</f>
        <v>51000</v>
      </c>
      <c r="K354" s="21">
        <f ca="1">COUNTIF($J$2:Master[[#This Row],[ChecklistID]],Master[[#This Row],[ChecklistID]])-1</f>
        <v>14</v>
      </c>
      <c r="L354" s="23" t="s">
        <v>6</v>
      </c>
    </row>
    <row r="355" spans="1:12" ht="15.75">
      <c r="A355" s="23">
        <f t="shared" si="5"/>
        <v>354</v>
      </c>
      <c r="B355" s="21">
        <f ca="1">Master[[#This Row],[ChecklistID]]+Master[[#This Row],[Checklist Order]]</f>
        <v>51015</v>
      </c>
      <c r="C355" s="22"/>
      <c r="D355" s="3" t="str" cm="1">
        <f t="array" aca="1" ref="D355" ca="1">_xlfn.SWITCH(MID(Master[[#This Row],[Checklist]],1,4),"C - ","Civil","F - ","Foundation","ST -","Structure","FC -","Façade","PRE ","Pre-Line","POST","Post-Line","H - ","Handover","S - ","Services","CST ","Completion Docs", "I - ", "Inspection")</f>
        <v>Completion Docs</v>
      </c>
      <c r="E355" s="23" t="str">
        <f ca="1">IF(NOT(ISERROR(SEARCH("- S -", Master[[#This Row],[Checklist]]))), "Subcontractor",IF(NOT(ISERROR(SEARCH("- R -", Master[[#This Row],[Checklist]]))), "Ryman",IF(NOT(ISERROR(SEARCH("- C -", Master[[#This Row],[Checklist]]))), "Consultant",IF(NOT(ISERROR(SEARCH("- I -", Master[[#This Row],[Checklist]]))),  "Inspection Test Plan", "Naming Error"))))</f>
        <v>Ryman</v>
      </c>
      <c r="F355" s="24" t="str">
        <f ca="1">IF(OR(Master[[#This Row],[Type]]="checklist", Master[[#This Row],[Type]]="checklist-flat"), Master[[#This Row],[Name]], F354)</f>
        <v>CST - R - Foundation Consent</v>
      </c>
      <c r="G355" s="3" t="s">
        <v>49</v>
      </c>
      <c r="H355" s="24" t="s">
        <v>1445</v>
      </c>
      <c r="I355" s="3"/>
      <c r="J355" s="21">
        <f ca="1">_xlfn.XLOOKUP(Master[[#This Row],[Checklist]],Ref!A:A,Ref!B:B)*1000</f>
        <v>51000</v>
      </c>
      <c r="K355" s="21">
        <f ca="1">COUNTIF($J$2:Master[[#This Row],[ChecklistID]],Master[[#This Row],[ChecklistID]])-1</f>
        <v>15</v>
      </c>
      <c r="L355" s="23" t="s">
        <v>6</v>
      </c>
    </row>
    <row r="356" spans="1:12" ht="15.75">
      <c r="A356" s="23">
        <f t="shared" si="5"/>
        <v>355</v>
      </c>
      <c r="B356" s="21">
        <f ca="1">Master[[#This Row],[ChecklistID]]+Master[[#This Row],[Checklist Order]]</f>
        <v>51016</v>
      </c>
      <c r="C356" s="22"/>
      <c r="D356" s="3" t="str" cm="1">
        <f t="array" aca="1" ref="D356" ca="1">_xlfn.SWITCH(MID(Master[[#This Row],[Checklist]],1,4),"C - ","Civil","F - ","Foundation","ST -","Structure","FC -","Façade","PRE ","Pre-Line","POST","Post-Line","H - ","Handover","S - ","Services","CST ","Completion Docs", "I - ", "Inspection")</f>
        <v>Completion Docs</v>
      </c>
      <c r="E356" s="23" t="str">
        <f ca="1">IF(NOT(ISERROR(SEARCH("- S -", Master[[#This Row],[Checklist]]))), "Subcontractor",IF(NOT(ISERROR(SEARCH("- R -", Master[[#This Row],[Checklist]]))), "Ryman",IF(NOT(ISERROR(SEARCH("- C -", Master[[#This Row],[Checklist]]))), "Consultant",IF(NOT(ISERROR(SEARCH("- I -", Master[[#This Row],[Checklist]]))),  "Inspection Test Plan", "Naming Error"))))</f>
        <v>Ryman</v>
      </c>
      <c r="F356" s="24" t="str">
        <f ca="1">IF(OR(Master[[#This Row],[Type]]="checklist", Master[[#This Row],[Type]]="checklist-flat"), Master[[#This Row],[Name]], F355)</f>
        <v>CST - R - Foundation Consent</v>
      </c>
      <c r="G356" s="3" t="s">
        <v>49</v>
      </c>
      <c r="H356" s="24" t="s">
        <v>1440</v>
      </c>
      <c r="I356" s="3"/>
      <c r="J356" s="21">
        <f ca="1">_xlfn.XLOOKUP(Master[[#This Row],[Checklist]],Ref!A:A,Ref!B:B)*1000</f>
        <v>51000</v>
      </c>
      <c r="K356" s="21">
        <f ca="1">COUNTIF($J$2:Master[[#This Row],[ChecklistID]],Master[[#This Row],[ChecklistID]])-1</f>
        <v>16</v>
      </c>
      <c r="L356" s="23" t="s">
        <v>6</v>
      </c>
    </row>
    <row r="357" spans="1:12" ht="15.75">
      <c r="A357" s="23">
        <f t="shared" si="5"/>
        <v>356</v>
      </c>
      <c r="B357" s="21">
        <f ca="1">Master[[#This Row],[ChecklistID]]+Master[[#This Row],[Checklist Order]]</f>
        <v>51017</v>
      </c>
      <c r="C357" s="22"/>
      <c r="D357" s="3" t="str" cm="1">
        <f t="array" aca="1" ref="D357" ca="1">_xlfn.SWITCH(MID(Master[[#This Row],[Checklist]],1,4),"C - ","Civil","F - ","Foundation","ST -","Structure","FC -","Façade","PRE ","Pre-Line","POST","Post-Line","H - ","Handover","S - ","Services","CST ","Completion Docs", "I - ", "Inspection")</f>
        <v>Completion Docs</v>
      </c>
      <c r="E357" s="23" t="str">
        <f ca="1">IF(NOT(ISERROR(SEARCH("- S -", Master[[#This Row],[Checklist]]))), "Subcontractor",IF(NOT(ISERROR(SEARCH("- R -", Master[[#This Row],[Checklist]]))), "Ryman",IF(NOT(ISERROR(SEARCH("- C -", Master[[#This Row],[Checklist]]))), "Consultant",IF(NOT(ISERROR(SEARCH("- I -", Master[[#This Row],[Checklist]]))),  "Inspection Test Plan", "Naming Error"))))</f>
        <v>Ryman</v>
      </c>
      <c r="F357" s="24" t="str">
        <f ca="1">IF(OR(Master[[#This Row],[Type]]="checklist", Master[[#This Row],[Type]]="checklist-flat"), Master[[#This Row],[Name]], F356)</f>
        <v>CST - R - Foundation Consent</v>
      </c>
      <c r="G357" s="3" t="s">
        <v>49</v>
      </c>
      <c r="H357" s="24" t="s">
        <v>1443</v>
      </c>
      <c r="I357" s="3"/>
      <c r="J357" s="21">
        <f ca="1">_xlfn.XLOOKUP(Master[[#This Row],[Checklist]],Ref!A:A,Ref!B:B)*1000</f>
        <v>51000</v>
      </c>
      <c r="K357" s="21">
        <f ca="1">COUNTIF($J$2:Master[[#This Row],[ChecklistID]],Master[[#This Row],[ChecklistID]])-1</f>
        <v>17</v>
      </c>
      <c r="L357" s="23" t="s">
        <v>6</v>
      </c>
    </row>
    <row r="358" spans="1:12" ht="15.75">
      <c r="A358" s="23">
        <f t="shared" si="5"/>
        <v>357</v>
      </c>
      <c r="B358" s="21">
        <f ca="1">Master[[#This Row],[ChecklistID]]+Master[[#This Row],[Checklist Order]]</f>
        <v>52000</v>
      </c>
      <c r="C358" s="22"/>
      <c r="D358" s="3" t="str" cm="1">
        <f t="array" aca="1" ref="D358" ca="1">_xlfn.SWITCH(MID(Master[[#This Row],[Checklist]],1,4),"C - ","Civil","F - ","Foundation","ST -","Structure","FC -","Façade","PRE ","Pre-Line","POST","Post-Line","H - ","Handover","S - ","Services","CST ","Completion Docs", "I - ", "Inspection")</f>
        <v>Completion Docs</v>
      </c>
      <c r="E358" s="23" t="str">
        <f ca="1">IF(NOT(ISERROR(SEARCH("- S -", Master[[#This Row],[Checklist]]))), "Subcontractor",IF(NOT(ISERROR(SEARCH("- R -", Master[[#This Row],[Checklist]]))), "Ryman",IF(NOT(ISERROR(SEARCH("- C -", Master[[#This Row],[Checklist]]))), "Consultant",IF(NOT(ISERROR(SEARCH("- I -", Master[[#This Row],[Checklist]]))),  "Inspection Test Plan", "Naming Error"))))</f>
        <v>Ryman</v>
      </c>
      <c r="F358" s="24" t="str">
        <f ca="1">IF(OR(Master[[#This Row],[Type]]="checklist", Master[[#This Row],[Type]]="checklist-flat"), Master[[#This Row],[Name]], F357)</f>
        <v>CST - R - Structural Consent</v>
      </c>
      <c r="G358" s="3" t="s">
        <v>48</v>
      </c>
      <c r="H358" s="24" t="s">
        <v>1456</v>
      </c>
      <c r="I358" s="3"/>
      <c r="J358" s="21">
        <f ca="1">_xlfn.XLOOKUP(Master[[#This Row],[Checklist]],Ref!A:A,Ref!B:B)*1000</f>
        <v>52000</v>
      </c>
      <c r="K358" s="21">
        <f ca="1">COUNTIF($J$2:Master[[#This Row],[ChecklistID]],Master[[#This Row],[ChecklistID]])-1</f>
        <v>0</v>
      </c>
      <c r="L358" s="23" t="s">
        <v>6</v>
      </c>
    </row>
    <row r="359" spans="1:12" ht="15.75">
      <c r="A359" s="23">
        <f t="shared" si="5"/>
        <v>358</v>
      </c>
      <c r="B359" s="21">
        <f ca="1">Master[[#This Row],[ChecklistID]]+Master[[#This Row],[Checklist Order]]</f>
        <v>52001</v>
      </c>
      <c r="C359" s="22"/>
      <c r="D359" s="3" t="str" cm="1">
        <f t="array" aca="1" ref="D359" ca="1">_xlfn.SWITCH(MID(Master[[#This Row],[Checklist]],1,4),"C - ","Civil","F - ","Foundation","ST -","Structure","FC -","Façade","PRE ","Pre-Line","POST","Post-Line","H - ","Handover","S - ","Services","CST ","Completion Docs", "I - ", "Inspection")</f>
        <v>Completion Docs</v>
      </c>
      <c r="E359" s="23" t="str">
        <f ca="1">IF(NOT(ISERROR(SEARCH("- S -", Master[[#This Row],[Checklist]]))), "Subcontractor",IF(NOT(ISERROR(SEARCH("- R -", Master[[#This Row],[Checklist]]))), "Ryman",IF(NOT(ISERROR(SEARCH("- C -", Master[[#This Row],[Checklist]]))), "Consultant",IF(NOT(ISERROR(SEARCH("- I -", Master[[#This Row],[Checklist]]))),  "Inspection Test Plan", "Naming Error"))))</f>
        <v>Ryman</v>
      </c>
      <c r="F359" s="24" t="str">
        <f ca="1">IF(OR(Master[[#This Row],[Type]]="checklist", Master[[#This Row],[Type]]="checklist-flat"), Master[[#This Row],[Name]], F358)</f>
        <v>CST - R - Structural Consent</v>
      </c>
      <c r="G359" s="3" t="s">
        <v>49</v>
      </c>
      <c r="H359" s="24" t="s">
        <v>1391</v>
      </c>
      <c r="I359" s="3"/>
      <c r="J359" s="21">
        <f ca="1">_xlfn.XLOOKUP(Master[[#This Row],[Checklist]],Ref!A:A,Ref!B:B)*1000</f>
        <v>52000</v>
      </c>
      <c r="K359" s="21">
        <f ca="1">COUNTIF($J$2:Master[[#This Row],[ChecklistID]],Master[[#This Row],[ChecklistID]])-1</f>
        <v>1</v>
      </c>
      <c r="L359" s="23" t="s">
        <v>6</v>
      </c>
    </row>
    <row r="360" spans="1:12" ht="15.75">
      <c r="A360" s="23">
        <f t="shared" si="5"/>
        <v>359</v>
      </c>
      <c r="B360" s="21">
        <f ca="1">Master[[#This Row],[ChecklistID]]+Master[[#This Row],[Checklist Order]]</f>
        <v>52002</v>
      </c>
      <c r="C360" s="22"/>
      <c r="D360" s="3" t="str" cm="1">
        <f t="array" aca="1" ref="D360" ca="1">_xlfn.SWITCH(MID(Master[[#This Row],[Checklist]],1,4),"C - ","Civil","F - ","Foundation","ST -","Structure","FC -","Façade","PRE ","Pre-Line","POST","Post-Line","H - ","Handover","S - ","Services","CST ","Completion Docs", "I - ", "Inspection")</f>
        <v>Completion Docs</v>
      </c>
      <c r="E360" s="23" t="str">
        <f ca="1">IF(NOT(ISERROR(SEARCH("- S -", Master[[#This Row],[Checklist]]))), "Subcontractor",IF(NOT(ISERROR(SEARCH("- R -", Master[[#This Row],[Checklist]]))), "Ryman",IF(NOT(ISERROR(SEARCH("- C -", Master[[#This Row],[Checklist]]))), "Consultant",IF(NOT(ISERROR(SEARCH("- I -", Master[[#This Row],[Checklist]]))),  "Inspection Test Plan", "Naming Error"))))</f>
        <v>Ryman</v>
      </c>
      <c r="F360" s="24" t="str">
        <f ca="1">IF(OR(Master[[#This Row],[Type]]="checklist", Master[[#This Row],[Type]]="checklist-flat"), Master[[#This Row],[Name]], F359)</f>
        <v>CST - R - Structural Consent</v>
      </c>
      <c r="G360" s="3" t="s">
        <v>49</v>
      </c>
      <c r="H360" s="24" t="s">
        <v>1392</v>
      </c>
      <c r="I360" s="3"/>
      <c r="J360" s="21">
        <f ca="1">_xlfn.XLOOKUP(Master[[#This Row],[Checklist]],Ref!A:A,Ref!B:B)*1000</f>
        <v>52000</v>
      </c>
      <c r="K360" s="21">
        <f ca="1">COUNTIF($J$2:Master[[#This Row],[ChecklistID]],Master[[#This Row],[ChecklistID]])-1</f>
        <v>2</v>
      </c>
      <c r="L360" s="23" t="s">
        <v>6</v>
      </c>
    </row>
    <row r="361" spans="1:12" ht="15.75">
      <c r="A361" s="23">
        <f t="shared" si="5"/>
        <v>360</v>
      </c>
      <c r="B361" s="21">
        <f ca="1">Master[[#This Row],[ChecklistID]]+Master[[#This Row],[Checklist Order]]</f>
        <v>52003</v>
      </c>
      <c r="C361" s="22"/>
      <c r="D361" s="3" t="str" cm="1">
        <f t="array" aca="1" ref="D361" ca="1">_xlfn.SWITCH(MID(Master[[#This Row],[Checklist]],1,4),"C - ","Civil","F - ","Foundation","ST -","Structure","FC -","Façade","PRE ","Pre-Line","POST","Post-Line","H - ","Handover","S - ","Services","CST ","Completion Docs", "I - ", "Inspection")</f>
        <v>Completion Docs</v>
      </c>
      <c r="E361" s="23" t="str">
        <f ca="1">IF(NOT(ISERROR(SEARCH("- S -", Master[[#This Row],[Checklist]]))), "Subcontractor",IF(NOT(ISERROR(SEARCH("- R -", Master[[#This Row],[Checklist]]))), "Ryman",IF(NOT(ISERROR(SEARCH("- C -", Master[[#This Row],[Checklist]]))), "Consultant",IF(NOT(ISERROR(SEARCH("- I -", Master[[#This Row],[Checklist]]))),  "Inspection Test Plan", "Naming Error"))))</f>
        <v>Ryman</v>
      </c>
      <c r="F361" s="24" t="str">
        <f ca="1">IF(OR(Master[[#This Row],[Type]]="checklist", Master[[#This Row],[Type]]="checklist-flat"), Master[[#This Row],[Name]], F360)</f>
        <v>CST - R - Structural Consent</v>
      </c>
      <c r="G361" s="3" t="s">
        <v>49</v>
      </c>
      <c r="H361" s="24" t="s">
        <v>1393</v>
      </c>
      <c r="I361" s="3"/>
      <c r="J361" s="21">
        <f ca="1">_xlfn.XLOOKUP(Master[[#This Row],[Checklist]],Ref!A:A,Ref!B:B)*1000</f>
        <v>52000</v>
      </c>
      <c r="K361" s="21">
        <f ca="1">COUNTIF($J$2:Master[[#This Row],[ChecklistID]],Master[[#This Row],[ChecklistID]])-1</f>
        <v>3</v>
      </c>
      <c r="L361" s="23" t="s">
        <v>6</v>
      </c>
    </row>
    <row r="362" spans="1:12" ht="15.75">
      <c r="A362" s="23">
        <f t="shared" si="5"/>
        <v>361</v>
      </c>
      <c r="B362" s="21">
        <f ca="1">Master[[#This Row],[ChecklistID]]+Master[[#This Row],[Checklist Order]]</f>
        <v>52004</v>
      </c>
      <c r="C362" s="22"/>
      <c r="D362" s="3" t="str" cm="1">
        <f t="array" aca="1" ref="D362" ca="1">_xlfn.SWITCH(MID(Master[[#This Row],[Checklist]],1,4),"C - ","Civil","F - ","Foundation","ST -","Structure","FC -","Façade","PRE ","Pre-Line","POST","Post-Line","H - ","Handover","S - ","Services","CST ","Completion Docs", "I - ", "Inspection")</f>
        <v>Completion Docs</v>
      </c>
      <c r="E362" s="23" t="str">
        <f ca="1">IF(NOT(ISERROR(SEARCH("- S -", Master[[#This Row],[Checklist]]))), "Subcontractor",IF(NOT(ISERROR(SEARCH("- R -", Master[[#This Row],[Checklist]]))), "Ryman",IF(NOT(ISERROR(SEARCH("- C -", Master[[#This Row],[Checklist]]))), "Consultant",IF(NOT(ISERROR(SEARCH("- I -", Master[[#This Row],[Checklist]]))),  "Inspection Test Plan", "Naming Error"))))</f>
        <v>Ryman</v>
      </c>
      <c r="F362" s="24" t="str">
        <f ca="1">IF(OR(Master[[#This Row],[Type]]="checklist", Master[[#This Row],[Type]]="checklist-flat"), Master[[#This Row],[Name]], F361)</f>
        <v>CST - R - Structural Consent</v>
      </c>
      <c r="G362" s="3" t="s">
        <v>49</v>
      </c>
      <c r="H362" s="24" t="s">
        <v>1394</v>
      </c>
      <c r="I362" s="3"/>
      <c r="J362" s="21">
        <f ca="1">_xlfn.XLOOKUP(Master[[#This Row],[Checklist]],Ref!A:A,Ref!B:B)*1000</f>
        <v>52000</v>
      </c>
      <c r="K362" s="21">
        <f ca="1">COUNTIF($J$2:Master[[#This Row],[ChecklistID]],Master[[#This Row],[ChecklistID]])-1</f>
        <v>4</v>
      </c>
      <c r="L362" s="23" t="s">
        <v>6</v>
      </c>
    </row>
    <row r="363" spans="1:12" ht="15.75">
      <c r="A363" s="23">
        <f t="shared" si="5"/>
        <v>362</v>
      </c>
      <c r="B363" s="21">
        <f ca="1">Master[[#This Row],[ChecklistID]]+Master[[#This Row],[Checklist Order]]</f>
        <v>52005</v>
      </c>
      <c r="C363" s="22"/>
      <c r="D363" s="3" t="str" cm="1">
        <f t="array" aca="1" ref="D363" ca="1">_xlfn.SWITCH(MID(Master[[#This Row],[Checklist]],1,4),"C - ","Civil","F - ","Foundation","ST -","Structure","FC -","Façade","PRE ","Pre-Line","POST","Post-Line","H - ","Handover","S - ","Services","CST ","Completion Docs", "I - ", "Inspection")</f>
        <v>Completion Docs</v>
      </c>
      <c r="E363" s="23" t="str">
        <f ca="1">IF(NOT(ISERROR(SEARCH("- S -", Master[[#This Row],[Checklist]]))), "Subcontractor",IF(NOT(ISERROR(SEARCH("- R -", Master[[#This Row],[Checklist]]))), "Ryman",IF(NOT(ISERROR(SEARCH("- C -", Master[[#This Row],[Checklist]]))), "Consultant",IF(NOT(ISERROR(SEARCH("- I -", Master[[#This Row],[Checklist]]))),  "Inspection Test Plan", "Naming Error"))))</f>
        <v>Ryman</v>
      </c>
      <c r="F363" s="24" t="str">
        <f ca="1">IF(OR(Master[[#This Row],[Type]]="checklist", Master[[#This Row],[Type]]="checklist-flat"), Master[[#This Row],[Name]], F362)</f>
        <v>CST - R - Structural Consent</v>
      </c>
      <c r="G363" s="3" t="s">
        <v>49</v>
      </c>
      <c r="H363" s="24" t="s">
        <v>1448</v>
      </c>
      <c r="I363" s="3"/>
      <c r="J363" s="21">
        <f ca="1">_xlfn.XLOOKUP(Master[[#This Row],[Checklist]],Ref!A:A,Ref!B:B)*1000</f>
        <v>52000</v>
      </c>
      <c r="K363" s="21">
        <f ca="1">COUNTIF($J$2:Master[[#This Row],[ChecklistID]],Master[[#This Row],[ChecklistID]])-1</f>
        <v>5</v>
      </c>
      <c r="L363" s="23" t="s">
        <v>6</v>
      </c>
    </row>
    <row r="364" spans="1:12" ht="15.75">
      <c r="A364" s="23">
        <f t="shared" si="5"/>
        <v>363</v>
      </c>
      <c r="B364" s="21">
        <f ca="1">Master[[#This Row],[ChecklistID]]+Master[[#This Row],[Checklist Order]]</f>
        <v>52006</v>
      </c>
      <c r="C364" s="22"/>
      <c r="D364" s="3" t="str" cm="1">
        <f t="array" aca="1" ref="D364" ca="1">_xlfn.SWITCH(MID(Master[[#This Row],[Checklist]],1,4),"C - ","Civil","F - ","Foundation","ST -","Structure","FC -","Façade","PRE ","Pre-Line","POST","Post-Line","H - ","Handover","S - ","Services","CST ","Completion Docs", "I - ", "Inspection")</f>
        <v>Completion Docs</v>
      </c>
      <c r="E364" s="23" t="str">
        <f ca="1">IF(NOT(ISERROR(SEARCH("- S -", Master[[#This Row],[Checklist]]))), "Subcontractor",IF(NOT(ISERROR(SEARCH("- R -", Master[[#This Row],[Checklist]]))), "Ryman",IF(NOT(ISERROR(SEARCH("- C -", Master[[#This Row],[Checklist]]))), "Consultant",IF(NOT(ISERROR(SEARCH("- I -", Master[[#This Row],[Checklist]]))),  "Inspection Test Plan", "Naming Error"))))</f>
        <v>Ryman</v>
      </c>
      <c r="F364" s="24" t="str">
        <f ca="1">IF(OR(Master[[#This Row],[Type]]="checklist", Master[[#This Row],[Type]]="checklist-flat"), Master[[#This Row],[Name]], F363)</f>
        <v>CST - R - Structural Consent</v>
      </c>
      <c r="G364" s="3" t="s">
        <v>66</v>
      </c>
      <c r="H364" s="24" t="s">
        <v>1457</v>
      </c>
      <c r="I364" s="3"/>
      <c r="J364" s="21">
        <f ca="1">_xlfn.XLOOKUP(Master[[#This Row],[Checklist]],Ref!A:A,Ref!B:B)*1000</f>
        <v>52000</v>
      </c>
      <c r="K364" s="21">
        <f ca="1">COUNTIF($J$2:Master[[#This Row],[ChecklistID]],Master[[#This Row],[ChecklistID]])-1</f>
        <v>6</v>
      </c>
      <c r="L364" s="23" t="s">
        <v>6</v>
      </c>
    </row>
    <row r="365" spans="1:12" ht="15.75">
      <c r="A365" s="23">
        <f t="shared" si="5"/>
        <v>364</v>
      </c>
      <c r="B365" s="21">
        <f ca="1">Master[[#This Row],[ChecklistID]]+Master[[#This Row],[Checklist Order]]</f>
        <v>52007</v>
      </c>
      <c r="C365" s="22"/>
      <c r="D365" s="3" t="str" cm="1">
        <f t="array" aca="1" ref="D365" ca="1">_xlfn.SWITCH(MID(Master[[#This Row],[Checklist]],1,4),"C - ","Civil","F - ","Foundation","ST -","Structure","FC -","Façade","PRE ","Pre-Line","POST","Post-Line","H - ","Handover","S - ","Services","CST ","Completion Docs", "I - ", "Inspection")</f>
        <v>Completion Docs</v>
      </c>
      <c r="E365" s="23" t="str">
        <f ca="1">IF(NOT(ISERROR(SEARCH("- S -", Master[[#This Row],[Checklist]]))), "Subcontractor",IF(NOT(ISERROR(SEARCH("- R -", Master[[#This Row],[Checklist]]))), "Ryman",IF(NOT(ISERROR(SEARCH("- C -", Master[[#This Row],[Checklist]]))), "Consultant",IF(NOT(ISERROR(SEARCH("- I -", Master[[#This Row],[Checklist]]))),  "Inspection Test Plan", "Naming Error"))))</f>
        <v>Ryman</v>
      </c>
      <c r="F365" s="24" t="str">
        <f ca="1">IF(OR(Master[[#This Row],[Type]]="checklist", Master[[#This Row],[Type]]="checklist-flat"), Master[[#This Row],[Name]], F364)</f>
        <v>CST - R - Structural Consent</v>
      </c>
      <c r="G365" s="3" t="s">
        <v>66</v>
      </c>
      <c r="H365" s="24" t="s">
        <v>1458</v>
      </c>
      <c r="I365" s="3"/>
      <c r="J365" s="21">
        <f ca="1">_xlfn.XLOOKUP(Master[[#This Row],[Checklist]],Ref!A:A,Ref!B:B)*1000</f>
        <v>52000</v>
      </c>
      <c r="K365" s="21">
        <f ca="1">COUNTIF($J$2:Master[[#This Row],[ChecklistID]],Master[[#This Row],[ChecklistID]])-1</f>
        <v>7</v>
      </c>
      <c r="L365" s="23" t="s">
        <v>6</v>
      </c>
    </row>
    <row r="366" spans="1:12" ht="15.75">
      <c r="A366" s="23">
        <f t="shared" si="5"/>
        <v>365</v>
      </c>
      <c r="B366" s="21">
        <f ca="1">Master[[#This Row],[ChecklistID]]+Master[[#This Row],[Checklist Order]]</f>
        <v>52008</v>
      </c>
      <c r="C366" s="22"/>
      <c r="D366" s="3" t="str" cm="1">
        <f t="array" aca="1" ref="D366" ca="1">_xlfn.SWITCH(MID(Master[[#This Row],[Checklist]],1,4),"C - ","Civil","F - ","Foundation","ST -","Structure","FC -","Façade","PRE ","Pre-Line","POST","Post-Line","H - ","Handover","S - ","Services","CST ","Completion Docs", "I - ", "Inspection")</f>
        <v>Completion Docs</v>
      </c>
      <c r="E366" s="23" t="str">
        <f ca="1">IF(NOT(ISERROR(SEARCH("- S -", Master[[#This Row],[Checklist]]))), "Subcontractor",IF(NOT(ISERROR(SEARCH("- R -", Master[[#This Row],[Checklist]]))), "Ryman",IF(NOT(ISERROR(SEARCH("- C -", Master[[#This Row],[Checklist]]))), "Consultant",IF(NOT(ISERROR(SEARCH("- I -", Master[[#This Row],[Checklist]]))),  "Inspection Test Plan", "Naming Error"))))</f>
        <v>Ryman</v>
      </c>
      <c r="F366" s="24" t="str">
        <f ca="1">IF(OR(Master[[#This Row],[Type]]="checklist", Master[[#This Row],[Type]]="checklist-flat"), Master[[#This Row],[Name]], F365)</f>
        <v>CST - R - Structural Consent</v>
      </c>
      <c r="G366" s="3" t="s">
        <v>66</v>
      </c>
      <c r="H366" s="24" t="s">
        <v>1459</v>
      </c>
      <c r="I366" s="3"/>
      <c r="J366" s="21">
        <f ca="1">_xlfn.XLOOKUP(Master[[#This Row],[Checklist]],Ref!A:A,Ref!B:B)*1000</f>
        <v>52000</v>
      </c>
      <c r="K366" s="21">
        <f ca="1">COUNTIF($J$2:Master[[#This Row],[ChecklistID]],Master[[#This Row],[ChecklistID]])-1</f>
        <v>8</v>
      </c>
      <c r="L366" s="23" t="s">
        <v>6</v>
      </c>
    </row>
    <row r="367" spans="1:12" ht="15.75">
      <c r="A367" s="23">
        <f t="shared" si="5"/>
        <v>366</v>
      </c>
      <c r="B367" s="21">
        <f ca="1">Master[[#This Row],[ChecklistID]]+Master[[#This Row],[Checklist Order]]</f>
        <v>52009</v>
      </c>
      <c r="C367" s="22"/>
      <c r="D367" s="3" t="str" cm="1">
        <f t="array" aca="1" ref="D367" ca="1">_xlfn.SWITCH(MID(Master[[#This Row],[Checklist]],1,4),"C - ","Civil","F - ","Foundation","ST -","Structure","FC -","Façade","PRE ","Pre-Line","POST","Post-Line","H - ","Handover","S - ","Services","CST ","Completion Docs", "I - ", "Inspection")</f>
        <v>Completion Docs</v>
      </c>
      <c r="E367" s="23" t="str">
        <f ca="1">IF(NOT(ISERROR(SEARCH("- S -", Master[[#This Row],[Checklist]]))), "Subcontractor",IF(NOT(ISERROR(SEARCH("- R -", Master[[#This Row],[Checklist]]))), "Ryman",IF(NOT(ISERROR(SEARCH("- C -", Master[[#This Row],[Checklist]]))), "Consultant",IF(NOT(ISERROR(SEARCH("- I -", Master[[#This Row],[Checklist]]))),  "Inspection Test Plan", "Naming Error"))))</f>
        <v>Ryman</v>
      </c>
      <c r="F367" s="24" t="str">
        <f ca="1">IF(OR(Master[[#This Row],[Type]]="checklist", Master[[#This Row],[Type]]="checklist-flat"), Master[[#This Row],[Name]], F366)</f>
        <v>CST - R - Structural Consent</v>
      </c>
      <c r="G367" s="3" t="s">
        <v>49</v>
      </c>
      <c r="H367" s="24" t="s">
        <v>1460</v>
      </c>
      <c r="I367" s="3"/>
      <c r="J367" s="21">
        <f ca="1">_xlfn.XLOOKUP(Master[[#This Row],[Checklist]],Ref!A:A,Ref!B:B)*1000</f>
        <v>52000</v>
      </c>
      <c r="K367" s="21">
        <f ca="1">COUNTIF($J$2:Master[[#This Row],[ChecklistID]],Master[[#This Row],[ChecklistID]])-1</f>
        <v>9</v>
      </c>
      <c r="L367" s="23" t="s">
        <v>6</v>
      </c>
    </row>
    <row r="368" spans="1:12" ht="15.75">
      <c r="A368" s="23">
        <f t="shared" si="5"/>
        <v>367</v>
      </c>
      <c r="B368" s="21">
        <f ca="1">Master[[#This Row],[ChecklistID]]+Master[[#This Row],[Checklist Order]]</f>
        <v>52010</v>
      </c>
      <c r="C368" s="22"/>
      <c r="D368" s="3" t="str" cm="1">
        <f t="array" aca="1" ref="D368" ca="1">_xlfn.SWITCH(MID(Master[[#This Row],[Checklist]],1,4),"C - ","Civil","F - ","Foundation","ST -","Structure","FC -","Façade","PRE ","Pre-Line","POST","Post-Line","H - ","Handover","S - ","Services","CST ","Completion Docs", "I - ", "Inspection")</f>
        <v>Completion Docs</v>
      </c>
      <c r="E368" s="23" t="str">
        <f ca="1">IF(NOT(ISERROR(SEARCH("- S -", Master[[#This Row],[Checklist]]))), "Subcontractor",IF(NOT(ISERROR(SEARCH("- R -", Master[[#This Row],[Checklist]]))), "Ryman",IF(NOT(ISERROR(SEARCH("- C -", Master[[#This Row],[Checklist]]))), "Consultant",IF(NOT(ISERROR(SEARCH("- I -", Master[[#This Row],[Checklist]]))),  "Inspection Test Plan", "Naming Error"))))</f>
        <v>Ryman</v>
      </c>
      <c r="F368" s="24" t="str">
        <f ca="1">IF(OR(Master[[#This Row],[Type]]="checklist", Master[[#This Row],[Type]]="checklist-flat"), Master[[#This Row],[Name]], F367)</f>
        <v>CST - R - Structural Consent</v>
      </c>
      <c r="G368" s="3" t="s">
        <v>66</v>
      </c>
      <c r="H368" s="24" t="s">
        <v>1461</v>
      </c>
      <c r="I368" s="3"/>
      <c r="J368" s="21">
        <f ca="1">_xlfn.XLOOKUP(Master[[#This Row],[Checklist]],Ref!A:A,Ref!B:B)*1000</f>
        <v>52000</v>
      </c>
      <c r="K368" s="21">
        <f ca="1">COUNTIF($J$2:Master[[#This Row],[ChecklistID]],Master[[#This Row],[ChecklistID]])-1</f>
        <v>10</v>
      </c>
      <c r="L368" s="23" t="s">
        <v>6</v>
      </c>
    </row>
    <row r="369" spans="1:12" ht="15.75">
      <c r="A369" s="23">
        <f t="shared" si="5"/>
        <v>368</v>
      </c>
      <c r="B369" s="21">
        <f ca="1">Master[[#This Row],[ChecklistID]]+Master[[#This Row],[Checklist Order]]</f>
        <v>52011</v>
      </c>
      <c r="C369" s="22"/>
      <c r="D369" s="3" t="str" cm="1">
        <f t="array" aca="1" ref="D369" ca="1">_xlfn.SWITCH(MID(Master[[#This Row],[Checklist]],1,4),"C - ","Civil","F - ","Foundation","ST -","Structure","FC -","Façade","PRE ","Pre-Line","POST","Post-Line","H - ","Handover","S - ","Services","CST ","Completion Docs", "I - ", "Inspection")</f>
        <v>Completion Docs</v>
      </c>
      <c r="E369" s="23" t="str">
        <f ca="1">IF(NOT(ISERROR(SEARCH("- S -", Master[[#This Row],[Checklist]]))), "Subcontractor",IF(NOT(ISERROR(SEARCH("- R -", Master[[#This Row],[Checklist]]))), "Ryman",IF(NOT(ISERROR(SEARCH("- C -", Master[[#This Row],[Checklist]]))), "Consultant",IF(NOT(ISERROR(SEARCH("- I -", Master[[#This Row],[Checklist]]))),  "Inspection Test Plan", "Naming Error"))))</f>
        <v>Ryman</v>
      </c>
      <c r="F369" s="24" t="str">
        <f ca="1">IF(OR(Master[[#This Row],[Type]]="checklist", Master[[#This Row],[Type]]="checklist-flat"), Master[[#This Row],[Name]], F368)</f>
        <v>CST - R - Structural Consent</v>
      </c>
      <c r="G369" s="3" t="s">
        <v>66</v>
      </c>
      <c r="H369" s="24" t="s">
        <v>1462</v>
      </c>
      <c r="I369" s="3"/>
      <c r="J369" s="21">
        <f ca="1">_xlfn.XLOOKUP(Master[[#This Row],[Checklist]],Ref!A:A,Ref!B:B)*1000</f>
        <v>52000</v>
      </c>
      <c r="K369" s="21">
        <f ca="1">COUNTIF($J$2:Master[[#This Row],[ChecklistID]],Master[[#This Row],[ChecklistID]])-1</f>
        <v>11</v>
      </c>
      <c r="L369" s="23" t="s">
        <v>6</v>
      </c>
    </row>
    <row r="370" spans="1:12" ht="15.75">
      <c r="A370" s="23">
        <f t="shared" si="5"/>
        <v>369</v>
      </c>
      <c r="B370" s="21">
        <f ca="1">Master[[#This Row],[ChecklistID]]+Master[[#This Row],[Checklist Order]]</f>
        <v>52012</v>
      </c>
      <c r="C370" s="22"/>
      <c r="D370" s="3" t="str" cm="1">
        <f t="array" aca="1" ref="D370" ca="1">_xlfn.SWITCH(MID(Master[[#This Row],[Checklist]],1,4),"C - ","Civil","F - ","Foundation","ST -","Structure","FC -","Façade","PRE ","Pre-Line","POST","Post-Line","H - ","Handover","S - ","Services","CST ","Completion Docs", "I - ", "Inspection")</f>
        <v>Completion Docs</v>
      </c>
      <c r="E370" s="23" t="str">
        <f ca="1">IF(NOT(ISERROR(SEARCH("- S -", Master[[#This Row],[Checklist]]))), "Subcontractor",IF(NOT(ISERROR(SEARCH("- R -", Master[[#This Row],[Checklist]]))), "Ryman",IF(NOT(ISERROR(SEARCH("- C -", Master[[#This Row],[Checklist]]))), "Consultant",IF(NOT(ISERROR(SEARCH("- I -", Master[[#This Row],[Checklist]]))),  "Inspection Test Plan", "Naming Error"))))</f>
        <v>Ryman</v>
      </c>
      <c r="F370" s="24" t="str">
        <f ca="1">IF(OR(Master[[#This Row],[Type]]="checklist", Master[[#This Row],[Type]]="checklist-flat"), Master[[#This Row],[Name]], F369)</f>
        <v>CST - R - Structural Consent</v>
      </c>
      <c r="G370" s="3" t="s">
        <v>66</v>
      </c>
      <c r="H370" s="24" t="s">
        <v>1463</v>
      </c>
      <c r="I370" s="3"/>
      <c r="J370" s="21">
        <f ca="1">_xlfn.XLOOKUP(Master[[#This Row],[Checklist]],Ref!A:A,Ref!B:B)*1000</f>
        <v>52000</v>
      </c>
      <c r="K370" s="21">
        <f ca="1">COUNTIF($J$2:Master[[#This Row],[ChecklistID]],Master[[#This Row],[ChecklistID]])-1</f>
        <v>12</v>
      </c>
      <c r="L370" s="23" t="s">
        <v>6</v>
      </c>
    </row>
    <row r="371" spans="1:12" ht="15.75">
      <c r="A371" s="23">
        <f t="shared" si="5"/>
        <v>370</v>
      </c>
      <c r="B371" s="21">
        <f ca="1">Master[[#This Row],[ChecklistID]]+Master[[#This Row],[Checklist Order]]</f>
        <v>52013</v>
      </c>
      <c r="C371" s="22"/>
      <c r="D371" s="3" t="str" cm="1">
        <f t="array" aca="1" ref="D371" ca="1">_xlfn.SWITCH(MID(Master[[#This Row],[Checklist]],1,4),"C - ","Civil","F - ","Foundation","ST -","Structure","FC -","Façade","PRE ","Pre-Line","POST","Post-Line","H - ","Handover","S - ","Services","CST ","Completion Docs", "I - ", "Inspection")</f>
        <v>Completion Docs</v>
      </c>
      <c r="E371" s="23" t="str">
        <f ca="1">IF(NOT(ISERROR(SEARCH("- S -", Master[[#This Row],[Checklist]]))), "Subcontractor",IF(NOT(ISERROR(SEARCH("- R -", Master[[#This Row],[Checklist]]))), "Ryman",IF(NOT(ISERROR(SEARCH("- C -", Master[[#This Row],[Checklist]]))), "Consultant",IF(NOT(ISERROR(SEARCH("- I -", Master[[#This Row],[Checklist]]))),  "Inspection Test Plan", "Naming Error"))))</f>
        <v>Ryman</v>
      </c>
      <c r="F371" s="24" t="str">
        <f ca="1">IF(OR(Master[[#This Row],[Type]]="checklist", Master[[#This Row],[Type]]="checklist-flat"), Master[[#This Row],[Name]], F370)</f>
        <v>CST - R - Structural Consent</v>
      </c>
      <c r="G371" s="3" t="s">
        <v>49</v>
      </c>
      <c r="H371" s="24" t="s">
        <v>1464</v>
      </c>
      <c r="I371" s="3"/>
      <c r="J371" s="21">
        <f ca="1">_xlfn.XLOOKUP(Master[[#This Row],[Checklist]],Ref!A:A,Ref!B:B)*1000</f>
        <v>52000</v>
      </c>
      <c r="K371" s="21">
        <f ca="1">COUNTIF($J$2:Master[[#This Row],[ChecklistID]],Master[[#This Row],[ChecklistID]])-1</f>
        <v>13</v>
      </c>
      <c r="L371" s="23" t="s">
        <v>6</v>
      </c>
    </row>
    <row r="372" spans="1:12" ht="15.75">
      <c r="A372" s="23">
        <f t="shared" si="5"/>
        <v>371</v>
      </c>
      <c r="B372" s="21">
        <f ca="1">Master[[#This Row],[ChecklistID]]+Master[[#This Row],[Checklist Order]]</f>
        <v>52014</v>
      </c>
      <c r="C372" s="22"/>
      <c r="D372" s="3" t="str" cm="1">
        <f t="array" aca="1" ref="D372" ca="1">_xlfn.SWITCH(MID(Master[[#This Row],[Checklist]],1,4),"C - ","Civil","F - ","Foundation","ST -","Structure","FC -","Façade","PRE ","Pre-Line","POST","Post-Line","H - ","Handover","S - ","Services","CST ","Completion Docs", "I - ", "Inspection")</f>
        <v>Completion Docs</v>
      </c>
      <c r="E372" s="23" t="str">
        <f ca="1">IF(NOT(ISERROR(SEARCH("- S -", Master[[#This Row],[Checklist]]))), "Subcontractor",IF(NOT(ISERROR(SEARCH("- R -", Master[[#This Row],[Checklist]]))), "Ryman",IF(NOT(ISERROR(SEARCH("- C -", Master[[#This Row],[Checklist]]))), "Consultant",IF(NOT(ISERROR(SEARCH("- I -", Master[[#This Row],[Checklist]]))),  "Inspection Test Plan", "Naming Error"))))</f>
        <v>Ryman</v>
      </c>
      <c r="F372" s="24" t="str">
        <f ca="1">IF(OR(Master[[#This Row],[Type]]="checklist", Master[[#This Row],[Type]]="checklist-flat"), Master[[#This Row],[Name]], F371)</f>
        <v>CST - R - Structural Consent</v>
      </c>
      <c r="G372" s="3" t="s">
        <v>66</v>
      </c>
      <c r="H372" s="24" t="s">
        <v>1465</v>
      </c>
      <c r="I372" s="3"/>
      <c r="J372" s="21">
        <f ca="1">_xlfn.XLOOKUP(Master[[#This Row],[Checklist]],Ref!A:A,Ref!B:B)*1000</f>
        <v>52000</v>
      </c>
      <c r="K372" s="21">
        <f ca="1">COUNTIF($J$2:Master[[#This Row],[ChecklistID]],Master[[#This Row],[ChecklistID]])-1</f>
        <v>14</v>
      </c>
      <c r="L372" s="23" t="s">
        <v>6</v>
      </c>
    </row>
    <row r="373" spans="1:12" ht="15.75">
      <c r="A373" s="23">
        <f t="shared" si="5"/>
        <v>372</v>
      </c>
      <c r="B373" s="21">
        <f ca="1">Master[[#This Row],[ChecklistID]]+Master[[#This Row],[Checklist Order]]</f>
        <v>52015</v>
      </c>
      <c r="C373" s="22"/>
      <c r="D373" s="3" t="str" cm="1">
        <f t="array" aca="1" ref="D373" ca="1">_xlfn.SWITCH(MID(Master[[#This Row],[Checklist]],1,4),"C - ","Civil","F - ","Foundation","ST -","Structure","FC -","Façade","PRE ","Pre-Line","POST","Post-Line","H - ","Handover","S - ","Services","CST ","Completion Docs", "I - ", "Inspection")</f>
        <v>Completion Docs</v>
      </c>
      <c r="E373" s="23" t="str">
        <f ca="1">IF(NOT(ISERROR(SEARCH("- S -", Master[[#This Row],[Checklist]]))), "Subcontractor",IF(NOT(ISERROR(SEARCH("- R -", Master[[#This Row],[Checklist]]))), "Ryman",IF(NOT(ISERROR(SEARCH("- C -", Master[[#This Row],[Checklist]]))), "Consultant",IF(NOT(ISERROR(SEARCH("- I -", Master[[#This Row],[Checklist]]))),  "Inspection Test Plan", "Naming Error"))))</f>
        <v>Ryman</v>
      </c>
      <c r="F373" s="24" t="str">
        <f ca="1">IF(OR(Master[[#This Row],[Type]]="checklist", Master[[#This Row],[Type]]="checklist-flat"), Master[[#This Row],[Name]], F372)</f>
        <v>CST - R - Structural Consent</v>
      </c>
      <c r="G373" s="3" t="s">
        <v>66</v>
      </c>
      <c r="H373" s="24" t="s">
        <v>1466</v>
      </c>
      <c r="I373" s="3"/>
      <c r="J373" s="21">
        <f ca="1">_xlfn.XLOOKUP(Master[[#This Row],[Checklist]],Ref!A:A,Ref!B:B)*1000</f>
        <v>52000</v>
      </c>
      <c r="K373" s="21">
        <f ca="1">COUNTIF($J$2:Master[[#This Row],[ChecklistID]],Master[[#This Row],[ChecklistID]])-1</f>
        <v>15</v>
      </c>
      <c r="L373" s="23" t="s">
        <v>6</v>
      </c>
    </row>
    <row r="374" spans="1:12" ht="15.75">
      <c r="A374" s="23">
        <f t="shared" si="5"/>
        <v>373</v>
      </c>
      <c r="B374" s="21">
        <f ca="1">Master[[#This Row],[ChecklistID]]+Master[[#This Row],[Checklist Order]]</f>
        <v>52016</v>
      </c>
      <c r="C374" s="22"/>
      <c r="D374" s="3" t="str" cm="1">
        <f t="array" aca="1" ref="D374" ca="1">_xlfn.SWITCH(MID(Master[[#This Row],[Checklist]],1,4),"C - ","Civil","F - ","Foundation","ST -","Structure","FC -","Façade","PRE ","Pre-Line","POST","Post-Line","H - ","Handover","S - ","Services","CST ","Completion Docs", "I - ", "Inspection")</f>
        <v>Completion Docs</v>
      </c>
      <c r="E374" s="23" t="str">
        <f ca="1">IF(NOT(ISERROR(SEARCH("- S -", Master[[#This Row],[Checklist]]))), "Subcontractor",IF(NOT(ISERROR(SEARCH("- R -", Master[[#This Row],[Checklist]]))), "Ryman",IF(NOT(ISERROR(SEARCH("- C -", Master[[#This Row],[Checklist]]))), "Consultant",IF(NOT(ISERROR(SEARCH("- I -", Master[[#This Row],[Checklist]]))),  "Inspection Test Plan", "Naming Error"))))</f>
        <v>Ryman</v>
      </c>
      <c r="F374" s="24" t="str">
        <f ca="1">IF(OR(Master[[#This Row],[Type]]="checklist", Master[[#This Row],[Type]]="checklist-flat"), Master[[#This Row],[Name]], F373)</f>
        <v>CST - R - Structural Consent</v>
      </c>
      <c r="G374" s="3" t="s">
        <v>66</v>
      </c>
      <c r="H374" s="24" t="s">
        <v>1467</v>
      </c>
      <c r="I374" s="3"/>
      <c r="J374" s="21">
        <f ca="1">_xlfn.XLOOKUP(Master[[#This Row],[Checklist]],Ref!A:A,Ref!B:B)*1000</f>
        <v>52000</v>
      </c>
      <c r="K374" s="21">
        <f ca="1">COUNTIF($J$2:Master[[#This Row],[ChecklistID]],Master[[#This Row],[ChecklistID]])-1</f>
        <v>16</v>
      </c>
      <c r="L374" s="23" t="s">
        <v>6</v>
      </c>
    </row>
    <row r="375" spans="1:12" ht="15.75">
      <c r="A375" s="23">
        <f t="shared" si="5"/>
        <v>374</v>
      </c>
      <c r="B375" s="21">
        <f ca="1">Master[[#This Row],[ChecklistID]]+Master[[#This Row],[Checklist Order]]</f>
        <v>52017</v>
      </c>
      <c r="C375" s="22"/>
      <c r="D375" s="3" t="str" cm="1">
        <f t="array" aca="1" ref="D375" ca="1">_xlfn.SWITCH(MID(Master[[#This Row],[Checklist]],1,4),"C - ","Civil","F - ","Foundation","ST -","Structure","FC -","Façade","PRE ","Pre-Line","POST","Post-Line","H - ","Handover","S - ","Services","CST ","Completion Docs", "I - ", "Inspection")</f>
        <v>Completion Docs</v>
      </c>
      <c r="E375" s="23" t="str">
        <f ca="1">IF(NOT(ISERROR(SEARCH("- S -", Master[[#This Row],[Checklist]]))), "Subcontractor",IF(NOT(ISERROR(SEARCH("- R -", Master[[#This Row],[Checklist]]))), "Ryman",IF(NOT(ISERROR(SEARCH("- C -", Master[[#This Row],[Checklist]]))), "Consultant",IF(NOT(ISERROR(SEARCH("- I -", Master[[#This Row],[Checklist]]))),  "Inspection Test Plan", "Naming Error"))))</f>
        <v>Ryman</v>
      </c>
      <c r="F375" s="24" t="str">
        <f ca="1">IF(OR(Master[[#This Row],[Type]]="checklist", Master[[#This Row],[Type]]="checklist-flat"), Master[[#This Row],[Name]], F374)</f>
        <v>CST - R - Structural Consent</v>
      </c>
      <c r="G375" s="3" t="s">
        <v>831</v>
      </c>
      <c r="H375" s="24" t="s">
        <v>1468</v>
      </c>
      <c r="I375" s="3"/>
      <c r="J375" s="21">
        <f ca="1">_xlfn.XLOOKUP(Master[[#This Row],[Checklist]],Ref!A:A,Ref!B:B)*1000</f>
        <v>52000</v>
      </c>
      <c r="K375" s="21">
        <f ca="1">COUNTIF($J$2:Master[[#This Row],[ChecklistID]],Master[[#This Row],[ChecklistID]])-1</f>
        <v>17</v>
      </c>
      <c r="L375" s="23" t="s">
        <v>6</v>
      </c>
    </row>
    <row r="376" spans="1:12" ht="15.75">
      <c r="A376" s="23">
        <f t="shared" si="5"/>
        <v>375</v>
      </c>
      <c r="B376" s="21">
        <f ca="1">Master[[#This Row],[ChecklistID]]+Master[[#This Row],[Checklist Order]]</f>
        <v>52018</v>
      </c>
      <c r="C376" s="22"/>
      <c r="D376" s="3" t="str" cm="1">
        <f t="array" aca="1" ref="D376" ca="1">_xlfn.SWITCH(MID(Master[[#This Row],[Checklist]],1,4),"C - ","Civil","F - ","Foundation","ST -","Structure","FC -","Façade","PRE ","Pre-Line","POST","Post-Line","H - ","Handover","S - ","Services","CST ","Completion Docs", "I - ", "Inspection")</f>
        <v>Completion Docs</v>
      </c>
      <c r="E376" s="23" t="str">
        <f ca="1">IF(NOT(ISERROR(SEARCH("- S -", Master[[#This Row],[Checklist]]))), "Subcontractor",IF(NOT(ISERROR(SEARCH("- R -", Master[[#This Row],[Checklist]]))), "Ryman",IF(NOT(ISERROR(SEARCH("- C -", Master[[#This Row],[Checklist]]))), "Consultant",IF(NOT(ISERROR(SEARCH("- I -", Master[[#This Row],[Checklist]]))),  "Inspection Test Plan", "Naming Error"))))</f>
        <v>Ryman</v>
      </c>
      <c r="F376" s="24" t="str">
        <f ca="1">IF(OR(Master[[#This Row],[Type]]="checklist", Master[[#This Row],[Type]]="checklist-flat"), Master[[#This Row],[Name]], F375)</f>
        <v>CST - R - Structural Consent</v>
      </c>
      <c r="G376" s="3" t="s">
        <v>66</v>
      </c>
      <c r="H376" s="24" t="s">
        <v>1469</v>
      </c>
      <c r="I376" s="3"/>
      <c r="J376" s="21">
        <f ca="1">_xlfn.XLOOKUP(Master[[#This Row],[Checklist]],Ref!A:A,Ref!B:B)*1000</f>
        <v>52000</v>
      </c>
      <c r="K376" s="21">
        <f ca="1">COUNTIF($J$2:Master[[#This Row],[ChecklistID]],Master[[#This Row],[ChecklistID]])-1</f>
        <v>18</v>
      </c>
      <c r="L376" s="23" t="s">
        <v>6</v>
      </c>
    </row>
    <row r="377" spans="1:12" ht="15.75">
      <c r="A377" s="23">
        <f t="shared" si="5"/>
        <v>376</v>
      </c>
      <c r="B377" s="21">
        <f ca="1">Master[[#This Row],[ChecklistID]]+Master[[#This Row],[Checklist Order]]</f>
        <v>52019</v>
      </c>
      <c r="C377" s="22"/>
      <c r="D377" s="3" t="str" cm="1">
        <f t="array" aca="1" ref="D377" ca="1">_xlfn.SWITCH(MID(Master[[#This Row],[Checklist]],1,4),"C - ","Civil","F - ","Foundation","ST -","Structure","FC -","Façade","PRE ","Pre-Line","POST","Post-Line","H - ","Handover","S - ","Services","CST ","Completion Docs", "I - ", "Inspection")</f>
        <v>Completion Docs</v>
      </c>
      <c r="E377" s="23" t="str">
        <f ca="1">IF(NOT(ISERROR(SEARCH("- S -", Master[[#This Row],[Checklist]]))), "Subcontractor",IF(NOT(ISERROR(SEARCH("- R -", Master[[#This Row],[Checklist]]))), "Ryman",IF(NOT(ISERROR(SEARCH("- C -", Master[[#This Row],[Checklist]]))), "Consultant",IF(NOT(ISERROR(SEARCH("- I -", Master[[#This Row],[Checklist]]))),  "Inspection Test Plan", "Naming Error"))))</f>
        <v>Ryman</v>
      </c>
      <c r="F377" s="24" t="str">
        <f ca="1">IF(OR(Master[[#This Row],[Type]]="checklist", Master[[#This Row],[Type]]="checklist-flat"), Master[[#This Row],[Name]], F376)</f>
        <v>CST - R - Structural Consent</v>
      </c>
      <c r="G377" s="3" t="s">
        <v>66</v>
      </c>
      <c r="H377" s="24" t="s">
        <v>1470</v>
      </c>
      <c r="I377" s="3"/>
      <c r="J377" s="21">
        <f ca="1">_xlfn.XLOOKUP(Master[[#This Row],[Checklist]],Ref!A:A,Ref!B:B)*1000</f>
        <v>52000</v>
      </c>
      <c r="K377" s="21">
        <f ca="1">COUNTIF($J$2:Master[[#This Row],[ChecklistID]],Master[[#This Row],[ChecklistID]])-1</f>
        <v>19</v>
      </c>
      <c r="L377" s="23" t="s">
        <v>6</v>
      </c>
    </row>
    <row r="378" spans="1:12" ht="15.75">
      <c r="A378" s="23">
        <f t="shared" si="5"/>
        <v>377</v>
      </c>
      <c r="B378" s="21">
        <f ca="1">Master[[#This Row],[ChecklistID]]+Master[[#This Row],[Checklist Order]]</f>
        <v>52020</v>
      </c>
      <c r="C378" s="22"/>
      <c r="D378" s="3" t="str" cm="1">
        <f t="array" aca="1" ref="D378" ca="1">_xlfn.SWITCH(MID(Master[[#This Row],[Checklist]],1,4),"C - ","Civil","F - ","Foundation","ST -","Structure","FC -","Façade","PRE ","Pre-Line","POST","Post-Line","H - ","Handover","S - ","Services","CST ","Completion Docs", "I - ", "Inspection")</f>
        <v>Completion Docs</v>
      </c>
      <c r="E378" s="23" t="str">
        <f ca="1">IF(NOT(ISERROR(SEARCH("- S -", Master[[#This Row],[Checklist]]))), "Subcontractor",IF(NOT(ISERROR(SEARCH("- R -", Master[[#This Row],[Checklist]]))), "Ryman",IF(NOT(ISERROR(SEARCH("- C -", Master[[#This Row],[Checklist]]))), "Consultant",IF(NOT(ISERROR(SEARCH("- I -", Master[[#This Row],[Checklist]]))),  "Inspection Test Plan", "Naming Error"))))</f>
        <v>Ryman</v>
      </c>
      <c r="F378" s="24" t="str">
        <f ca="1">IF(OR(Master[[#This Row],[Type]]="checklist", Master[[#This Row],[Type]]="checklist-flat"), Master[[#This Row],[Name]], F377)</f>
        <v>CST - R - Structural Consent</v>
      </c>
      <c r="G378" s="3" t="s">
        <v>831</v>
      </c>
      <c r="H378" s="24" t="s">
        <v>1471</v>
      </c>
      <c r="I378" s="3"/>
      <c r="J378" s="21">
        <f ca="1">_xlfn.XLOOKUP(Master[[#This Row],[Checklist]],Ref!A:A,Ref!B:B)*1000</f>
        <v>52000</v>
      </c>
      <c r="K378" s="21">
        <f ca="1">COUNTIF($J$2:Master[[#This Row],[ChecklistID]],Master[[#This Row],[ChecklistID]])-1</f>
        <v>20</v>
      </c>
      <c r="L378" s="23" t="s">
        <v>6</v>
      </c>
    </row>
    <row r="379" spans="1:12" ht="15.75">
      <c r="A379" s="23">
        <f t="shared" si="5"/>
        <v>378</v>
      </c>
      <c r="B379" s="21">
        <f ca="1">Master[[#This Row],[ChecklistID]]+Master[[#This Row],[Checklist Order]]</f>
        <v>52021</v>
      </c>
      <c r="C379" s="22"/>
      <c r="D379" s="3" t="str" cm="1">
        <f t="array" aca="1" ref="D379" ca="1">_xlfn.SWITCH(MID(Master[[#This Row],[Checklist]],1,4),"C - ","Civil","F - ","Foundation","ST -","Structure","FC -","Façade","PRE ","Pre-Line","POST","Post-Line","H - ","Handover","S - ","Services","CST ","Completion Docs", "I - ", "Inspection")</f>
        <v>Completion Docs</v>
      </c>
      <c r="E379" s="23" t="str">
        <f ca="1">IF(NOT(ISERROR(SEARCH("- S -", Master[[#This Row],[Checklist]]))), "Subcontractor",IF(NOT(ISERROR(SEARCH("- R -", Master[[#This Row],[Checklist]]))), "Ryman",IF(NOT(ISERROR(SEARCH("- C -", Master[[#This Row],[Checklist]]))), "Consultant",IF(NOT(ISERROR(SEARCH("- I -", Master[[#This Row],[Checklist]]))),  "Inspection Test Plan", "Naming Error"))))</f>
        <v>Ryman</v>
      </c>
      <c r="F379" s="24" t="str">
        <f ca="1">IF(OR(Master[[#This Row],[Type]]="checklist", Master[[#This Row],[Type]]="checklist-flat"), Master[[#This Row],[Name]], F378)</f>
        <v>CST - R - Structural Consent</v>
      </c>
      <c r="G379" s="3" t="s">
        <v>66</v>
      </c>
      <c r="H379" s="24" t="s">
        <v>1472</v>
      </c>
      <c r="I379" s="3"/>
      <c r="J379" s="21">
        <f ca="1">_xlfn.XLOOKUP(Master[[#This Row],[Checklist]],Ref!A:A,Ref!B:B)*1000</f>
        <v>52000</v>
      </c>
      <c r="K379" s="21">
        <f ca="1">COUNTIF($J$2:Master[[#This Row],[ChecklistID]],Master[[#This Row],[ChecklistID]])-1</f>
        <v>21</v>
      </c>
      <c r="L379" s="23" t="s">
        <v>6</v>
      </c>
    </row>
    <row r="380" spans="1:12" ht="15.75">
      <c r="A380" s="23">
        <f t="shared" si="5"/>
        <v>379</v>
      </c>
      <c r="B380" s="21">
        <f ca="1">Master[[#This Row],[ChecklistID]]+Master[[#This Row],[Checklist Order]]</f>
        <v>52022</v>
      </c>
      <c r="C380" s="22"/>
      <c r="D380" s="3" t="str" cm="1">
        <f t="array" aca="1" ref="D380" ca="1">_xlfn.SWITCH(MID(Master[[#This Row],[Checklist]],1,4),"C - ","Civil","F - ","Foundation","ST -","Structure","FC -","Façade","PRE ","Pre-Line","POST","Post-Line","H - ","Handover","S - ","Services","CST ","Completion Docs", "I - ", "Inspection")</f>
        <v>Completion Docs</v>
      </c>
      <c r="E380" s="23" t="str">
        <f ca="1">IF(NOT(ISERROR(SEARCH("- S -", Master[[#This Row],[Checklist]]))), "Subcontractor",IF(NOT(ISERROR(SEARCH("- R -", Master[[#This Row],[Checklist]]))), "Ryman",IF(NOT(ISERROR(SEARCH("- C -", Master[[#This Row],[Checklist]]))), "Consultant",IF(NOT(ISERROR(SEARCH("- I -", Master[[#This Row],[Checklist]]))),  "Inspection Test Plan", "Naming Error"))))</f>
        <v>Ryman</v>
      </c>
      <c r="F380" s="24" t="str">
        <f ca="1">IF(OR(Master[[#This Row],[Type]]="checklist", Master[[#This Row],[Type]]="checklist-flat"), Master[[#This Row],[Name]], F379)</f>
        <v>CST - R - Structural Consent</v>
      </c>
      <c r="G380" s="3" t="s">
        <v>66</v>
      </c>
      <c r="H380" s="24" t="s">
        <v>1473</v>
      </c>
      <c r="I380" s="3"/>
      <c r="J380" s="21">
        <f ca="1">_xlfn.XLOOKUP(Master[[#This Row],[Checklist]],Ref!A:A,Ref!B:B)*1000</f>
        <v>52000</v>
      </c>
      <c r="K380" s="21">
        <f ca="1">COUNTIF($J$2:Master[[#This Row],[ChecklistID]],Master[[#This Row],[ChecklistID]])-1</f>
        <v>22</v>
      </c>
      <c r="L380" s="23" t="s">
        <v>6</v>
      </c>
    </row>
    <row r="381" spans="1:12" ht="15.75">
      <c r="A381" s="23">
        <f t="shared" si="5"/>
        <v>380</v>
      </c>
      <c r="B381" s="21">
        <f ca="1">Master[[#This Row],[ChecklistID]]+Master[[#This Row],[Checklist Order]]</f>
        <v>52023</v>
      </c>
      <c r="C381" s="22"/>
      <c r="D381" s="3" t="str" cm="1">
        <f t="array" aca="1" ref="D381" ca="1">_xlfn.SWITCH(MID(Master[[#This Row],[Checklist]],1,4),"C - ","Civil","F - ","Foundation","ST -","Structure","FC -","Façade","PRE ","Pre-Line","POST","Post-Line","H - ","Handover","S - ","Services","CST ","Completion Docs", "I - ", "Inspection")</f>
        <v>Completion Docs</v>
      </c>
      <c r="E381" s="23" t="str">
        <f ca="1">IF(NOT(ISERROR(SEARCH("- S -", Master[[#This Row],[Checklist]]))), "Subcontractor",IF(NOT(ISERROR(SEARCH("- R -", Master[[#This Row],[Checklist]]))), "Ryman",IF(NOT(ISERROR(SEARCH("- C -", Master[[#This Row],[Checklist]]))), "Consultant",IF(NOT(ISERROR(SEARCH("- I -", Master[[#This Row],[Checklist]]))),  "Inspection Test Plan", "Naming Error"))))</f>
        <v>Ryman</v>
      </c>
      <c r="F381" s="24" t="str">
        <f ca="1">IF(OR(Master[[#This Row],[Type]]="checklist", Master[[#This Row],[Type]]="checklist-flat"), Master[[#This Row],[Name]], F380)</f>
        <v>CST - R - Structural Consent</v>
      </c>
      <c r="G381" s="3" t="s">
        <v>66</v>
      </c>
      <c r="H381" s="24" t="s">
        <v>1474</v>
      </c>
      <c r="I381" s="3"/>
      <c r="J381" s="21">
        <f ca="1">_xlfn.XLOOKUP(Master[[#This Row],[Checklist]],Ref!A:A,Ref!B:B)*1000</f>
        <v>52000</v>
      </c>
      <c r="K381" s="21">
        <f ca="1">COUNTIF($J$2:Master[[#This Row],[ChecklistID]],Master[[#This Row],[ChecklistID]])-1</f>
        <v>23</v>
      </c>
      <c r="L381" s="23" t="s">
        <v>6</v>
      </c>
    </row>
    <row r="382" spans="1:12" ht="15.75">
      <c r="A382" s="23">
        <f t="shared" si="5"/>
        <v>381</v>
      </c>
      <c r="B382" s="21">
        <f ca="1">Master[[#This Row],[ChecklistID]]+Master[[#This Row],[Checklist Order]]</f>
        <v>52024</v>
      </c>
      <c r="C382" s="22"/>
      <c r="D382" s="3" t="str" cm="1">
        <f t="array" aca="1" ref="D382" ca="1">_xlfn.SWITCH(MID(Master[[#This Row],[Checklist]],1,4),"C - ","Civil","F - ","Foundation","ST -","Structure","FC -","Façade","PRE ","Pre-Line","POST","Post-Line","H - ","Handover","S - ","Services","CST ","Completion Docs", "I - ", "Inspection")</f>
        <v>Completion Docs</v>
      </c>
      <c r="E382" s="23" t="str">
        <f ca="1">IF(NOT(ISERROR(SEARCH("- S -", Master[[#This Row],[Checklist]]))), "Subcontractor",IF(NOT(ISERROR(SEARCH("- R -", Master[[#This Row],[Checklist]]))), "Ryman",IF(NOT(ISERROR(SEARCH("- C -", Master[[#This Row],[Checklist]]))), "Consultant",IF(NOT(ISERROR(SEARCH("- I -", Master[[#This Row],[Checklist]]))),  "Inspection Test Plan", "Naming Error"))))</f>
        <v>Ryman</v>
      </c>
      <c r="F382" s="24" t="str">
        <f ca="1">IF(OR(Master[[#This Row],[Type]]="checklist", Master[[#This Row],[Type]]="checklist-flat"), Master[[#This Row],[Name]], F381)</f>
        <v>CST - R - Structural Consent</v>
      </c>
      <c r="G382" s="3" t="s">
        <v>66</v>
      </c>
      <c r="H382" s="24" t="s">
        <v>1475</v>
      </c>
      <c r="I382" s="3"/>
      <c r="J382" s="21">
        <f ca="1">_xlfn.XLOOKUP(Master[[#This Row],[Checklist]],Ref!A:A,Ref!B:B)*1000</f>
        <v>52000</v>
      </c>
      <c r="K382" s="21">
        <f ca="1">COUNTIF($J$2:Master[[#This Row],[ChecklistID]],Master[[#This Row],[ChecklistID]])-1</f>
        <v>24</v>
      </c>
      <c r="L382" s="23" t="s">
        <v>6</v>
      </c>
    </row>
    <row r="383" spans="1:12" ht="15.75">
      <c r="A383" s="23">
        <f t="shared" si="5"/>
        <v>382</v>
      </c>
      <c r="B383" s="21">
        <f ca="1">Master[[#This Row],[ChecklistID]]+Master[[#This Row],[Checklist Order]]</f>
        <v>52025</v>
      </c>
      <c r="C383" s="22"/>
      <c r="D383" s="3" t="str" cm="1">
        <f t="array" aca="1" ref="D383" ca="1">_xlfn.SWITCH(MID(Master[[#This Row],[Checklist]],1,4),"C - ","Civil","F - ","Foundation","ST -","Structure","FC -","Façade","PRE ","Pre-Line","POST","Post-Line","H - ","Handover","S - ","Services","CST ","Completion Docs", "I - ", "Inspection")</f>
        <v>Completion Docs</v>
      </c>
      <c r="E383" s="23" t="str">
        <f ca="1">IF(NOT(ISERROR(SEARCH("- S -", Master[[#This Row],[Checklist]]))), "Subcontractor",IF(NOT(ISERROR(SEARCH("- R -", Master[[#This Row],[Checklist]]))), "Ryman",IF(NOT(ISERROR(SEARCH("- C -", Master[[#This Row],[Checklist]]))), "Consultant",IF(NOT(ISERROR(SEARCH("- I -", Master[[#This Row],[Checklist]]))),  "Inspection Test Plan", "Naming Error"))))</f>
        <v>Ryman</v>
      </c>
      <c r="F383" s="24" t="str">
        <f ca="1">IF(OR(Master[[#This Row],[Type]]="checklist", Master[[#This Row],[Type]]="checklist-flat"), Master[[#This Row],[Name]], F382)</f>
        <v>CST - R - Structural Consent</v>
      </c>
      <c r="G383" s="3" t="s">
        <v>66</v>
      </c>
      <c r="H383" s="24" t="s">
        <v>1476</v>
      </c>
      <c r="I383" s="3"/>
      <c r="J383" s="21">
        <f ca="1">_xlfn.XLOOKUP(Master[[#This Row],[Checklist]],Ref!A:A,Ref!B:B)*1000</f>
        <v>52000</v>
      </c>
      <c r="K383" s="21">
        <f ca="1">COUNTIF($J$2:Master[[#This Row],[ChecklistID]],Master[[#This Row],[ChecklistID]])-1</f>
        <v>25</v>
      </c>
      <c r="L383" s="23" t="s">
        <v>6</v>
      </c>
    </row>
    <row r="384" spans="1:12" ht="15.75">
      <c r="A384" s="23">
        <f t="shared" si="5"/>
        <v>383</v>
      </c>
      <c r="B384" s="21">
        <f ca="1">Master[[#This Row],[ChecklistID]]+Master[[#This Row],[Checklist Order]]</f>
        <v>52026</v>
      </c>
      <c r="C384" s="22"/>
      <c r="D384" s="3" t="str" cm="1">
        <f t="array" aca="1" ref="D384" ca="1">_xlfn.SWITCH(MID(Master[[#This Row],[Checklist]],1,4),"C - ","Civil","F - ","Foundation","ST -","Structure","FC -","Façade","PRE ","Pre-Line","POST","Post-Line","H - ","Handover","S - ","Services","CST ","Completion Docs", "I - ", "Inspection")</f>
        <v>Completion Docs</v>
      </c>
      <c r="E384" s="23" t="str">
        <f ca="1">IF(NOT(ISERROR(SEARCH("- S -", Master[[#This Row],[Checklist]]))), "Subcontractor",IF(NOT(ISERROR(SEARCH("- R -", Master[[#This Row],[Checklist]]))), "Ryman",IF(NOT(ISERROR(SEARCH("- C -", Master[[#This Row],[Checklist]]))), "Consultant",IF(NOT(ISERROR(SEARCH("- I -", Master[[#This Row],[Checklist]]))),  "Inspection Test Plan", "Naming Error"))))</f>
        <v>Ryman</v>
      </c>
      <c r="F384" s="24" t="str">
        <f ca="1">IF(OR(Master[[#This Row],[Type]]="checklist", Master[[#This Row],[Type]]="checklist-flat"), Master[[#This Row],[Name]], F383)</f>
        <v>CST - R - Structural Consent</v>
      </c>
      <c r="G384" s="3" t="s">
        <v>66</v>
      </c>
      <c r="H384" s="24" t="s">
        <v>1477</v>
      </c>
      <c r="I384" s="3"/>
      <c r="J384" s="21">
        <f ca="1">_xlfn.XLOOKUP(Master[[#This Row],[Checklist]],Ref!A:A,Ref!B:B)*1000</f>
        <v>52000</v>
      </c>
      <c r="K384" s="21">
        <f ca="1">COUNTIF($J$2:Master[[#This Row],[ChecklistID]],Master[[#This Row],[ChecklistID]])-1</f>
        <v>26</v>
      </c>
      <c r="L384" s="23" t="s">
        <v>6</v>
      </c>
    </row>
    <row r="385" spans="1:12" ht="15.75">
      <c r="A385" s="23">
        <f t="shared" si="5"/>
        <v>384</v>
      </c>
      <c r="B385" s="21">
        <f ca="1">Master[[#This Row],[ChecklistID]]+Master[[#This Row],[Checklist Order]]</f>
        <v>52027</v>
      </c>
      <c r="C385" s="22"/>
      <c r="D385" s="3" t="str" cm="1">
        <f t="array" aca="1" ref="D385" ca="1">_xlfn.SWITCH(MID(Master[[#This Row],[Checklist]],1,4),"C - ","Civil","F - ","Foundation","ST -","Structure","FC -","Façade","PRE ","Pre-Line","POST","Post-Line","H - ","Handover","S - ","Services","CST ","Completion Docs", "I - ", "Inspection")</f>
        <v>Completion Docs</v>
      </c>
      <c r="E385" s="23" t="str">
        <f ca="1">IF(NOT(ISERROR(SEARCH("- S -", Master[[#This Row],[Checklist]]))), "Subcontractor",IF(NOT(ISERROR(SEARCH("- R -", Master[[#This Row],[Checklist]]))), "Ryman",IF(NOT(ISERROR(SEARCH("- C -", Master[[#This Row],[Checklist]]))), "Consultant",IF(NOT(ISERROR(SEARCH("- I -", Master[[#This Row],[Checklist]]))),  "Inspection Test Plan", "Naming Error"))))</f>
        <v>Ryman</v>
      </c>
      <c r="F385" s="24" t="str">
        <f ca="1">IF(OR(Master[[#This Row],[Type]]="checklist", Master[[#This Row],[Type]]="checklist-flat"), Master[[#This Row],[Name]], F384)</f>
        <v>CST - R - Structural Consent</v>
      </c>
      <c r="G385" s="3" t="s">
        <v>66</v>
      </c>
      <c r="H385" s="24" t="s">
        <v>1478</v>
      </c>
      <c r="I385" s="3"/>
      <c r="J385" s="21">
        <f ca="1">_xlfn.XLOOKUP(Master[[#This Row],[Checklist]],Ref!A:A,Ref!B:B)*1000</f>
        <v>52000</v>
      </c>
      <c r="K385" s="21">
        <f ca="1">COUNTIF($J$2:Master[[#This Row],[ChecklistID]],Master[[#This Row],[ChecklistID]])-1</f>
        <v>27</v>
      </c>
      <c r="L385" s="23" t="s">
        <v>6</v>
      </c>
    </row>
    <row r="386" spans="1:12" ht="15.75">
      <c r="A386" s="23">
        <f t="shared" ref="A386:A449" si="6">IFERROR(A385+1,1)</f>
        <v>385</v>
      </c>
      <c r="B386" s="21">
        <f ca="1">Master[[#This Row],[ChecklistID]]+Master[[#This Row],[Checklist Order]]</f>
        <v>52028</v>
      </c>
      <c r="C386" s="22"/>
      <c r="D386" s="3" t="str" cm="1">
        <f t="array" aca="1" ref="D386" ca="1">_xlfn.SWITCH(MID(Master[[#This Row],[Checklist]],1,4),"C - ","Civil","F - ","Foundation","ST -","Structure","FC -","Façade","PRE ","Pre-Line","POST","Post-Line","H - ","Handover","S - ","Services","CST ","Completion Docs", "I - ", "Inspection")</f>
        <v>Completion Docs</v>
      </c>
      <c r="E386" s="23" t="str">
        <f ca="1">IF(NOT(ISERROR(SEARCH("- S -", Master[[#This Row],[Checklist]]))), "Subcontractor",IF(NOT(ISERROR(SEARCH("- R -", Master[[#This Row],[Checklist]]))), "Ryman",IF(NOT(ISERROR(SEARCH("- C -", Master[[#This Row],[Checklist]]))), "Consultant",IF(NOT(ISERROR(SEARCH("- I -", Master[[#This Row],[Checklist]]))),  "Inspection Test Plan", "Naming Error"))))</f>
        <v>Ryman</v>
      </c>
      <c r="F386" s="24" t="str">
        <f ca="1">IF(OR(Master[[#This Row],[Type]]="checklist", Master[[#This Row],[Type]]="checklist-flat"), Master[[#This Row],[Name]], F385)</f>
        <v>CST - R - Structural Consent</v>
      </c>
      <c r="G386" s="3" t="s">
        <v>66</v>
      </c>
      <c r="H386" s="24" t="s">
        <v>1479</v>
      </c>
      <c r="I386" s="3"/>
      <c r="J386" s="21">
        <f ca="1">_xlfn.XLOOKUP(Master[[#This Row],[Checklist]],Ref!A:A,Ref!B:B)*1000</f>
        <v>52000</v>
      </c>
      <c r="K386" s="21">
        <f ca="1">COUNTIF($J$2:Master[[#This Row],[ChecklistID]],Master[[#This Row],[ChecklistID]])-1</f>
        <v>28</v>
      </c>
      <c r="L386" s="23" t="s">
        <v>6</v>
      </c>
    </row>
    <row r="387" spans="1:12" ht="15.75">
      <c r="A387" s="23">
        <f t="shared" si="6"/>
        <v>386</v>
      </c>
      <c r="B387" s="21">
        <f ca="1">Master[[#This Row],[ChecklistID]]+Master[[#This Row],[Checklist Order]]</f>
        <v>52029</v>
      </c>
      <c r="C387" s="22"/>
      <c r="D387" s="3" t="str" cm="1">
        <f t="array" aca="1" ref="D387" ca="1">_xlfn.SWITCH(MID(Master[[#This Row],[Checklist]],1,4),"C - ","Civil","F - ","Foundation","ST -","Structure","FC -","Façade","PRE ","Pre-Line","POST","Post-Line","H - ","Handover","S - ","Services","CST ","Completion Docs", "I - ", "Inspection")</f>
        <v>Completion Docs</v>
      </c>
      <c r="E387" s="23" t="str">
        <f ca="1">IF(NOT(ISERROR(SEARCH("- S -", Master[[#This Row],[Checklist]]))), "Subcontractor",IF(NOT(ISERROR(SEARCH("- R -", Master[[#This Row],[Checklist]]))), "Ryman",IF(NOT(ISERROR(SEARCH("- C -", Master[[#This Row],[Checklist]]))), "Consultant",IF(NOT(ISERROR(SEARCH("- I -", Master[[#This Row],[Checklist]]))),  "Inspection Test Plan", "Naming Error"))))</f>
        <v>Ryman</v>
      </c>
      <c r="F387" s="24" t="str">
        <f ca="1">IF(OR(Master[[#This Row],[Type]]="checklist", Master[[#This Row],[Type]]="checklist-flat"), Master[[#This Row],[Name]], F386)</f>
        <v>CST - R - Structural Consent</v>
      </c>
      <c r="G387" s="3" t="s">
        <v>66</v>
      </c>
      <c r="H387" s="24" t="s">
        <v>1480</v>
      </c>
      <c r="I387" s="3"/>
      <c r="J387" s="21">
        <f ca="1">_xlfn.XLOOKUP(Master[[#This Row],[Checklist]],Ref!A:A,Ref!B:B)*1000</f>
        <v>52000</v>
      </c>
      <c r="K387" s="21">
        <f ca="1">COUNTIF($J$2:Master[[#This Row],[ChecklistID]],Master[[#This Row],[ChecklistID]])-1</f>
        <v>29</v>
      </c>
      <c r="L387" s="23" t="s">
        <v>6</v>
      </c>
    </row>
    <row r="388" spans="1:12" ht="15.75">
      <c r="A388" s="23">
        <f t="shared" si="6"/>
        <v>387</v>
      </c>
      <c r="B388" s="21">
        <f ca="1">Master[[#This Row],[ChecklistID]]+Master[[#This Row],[Checklist Order]]</f>
        <v>52030</v>
      </c>
      <c r="C388" s="22"/>
      <c r="D388" s="3" t="str" cm="1">
        <f t="array" aca="1" ref="D388" ca="1">_xlfn.SWITCH(MID(Master[[#This Row],[Checklist]],1,4),"C - ","Civil","F - ","Foundation","ST -","Structure","FC -","Façade","PRE ","Pre-Line","POST","Post-Line","H - ","Handover","S - ","Services","CST ","Completion Docs", "I - ", "Inspection")</f>
        <v>Completion Docs</v>
      </c>
      <c r="E388" s="23" t="str">
        <f ca="1">IF(NOT(ISERROR(SEARCH("- S -", Master[[#This Row],[Checklist]]))), "Subcontractor",IF(NOT(ISERROR(SEARCH("- R -", Master[[#This Row],[Checklist]]))), "Ryman",IF(NOT(ISERROR(SEARCH("- C -", Master[[#This Row],[Checklist]]))), "Consultant",IF(NOT(ISERROR(SEARCH("- I -", Master[[#This Row],[Checklist]]))),  "Inspection Test Plan", "Naming Error"))))</f>
        <v>Ryman</v>
      </c>
      <c r="F388" s="24" t="str">
        <f ca="1">IF(OR(Master[[#This Row],[Type]]="checklist", Master[[#This Row],[Type]]="checklist-flat"), Master[[#This Row],[Name]], F387)</f>
        <v>CST - R - Structural Consent</v>
      </c>
      <c r="G388" s="3" t="s">
        <v>66</v>
      </c>
      <c r="H388" s="24" t="s">
        <v>1481</v>
      </c>
      <c r="I388" s="3"/>
      <c r="J388" s="21">
        <f ca="1">_xlfn.XLOOKUP(Master[[#This Row],[Checklist]],Ref!A:A,Ref!B:B)*1000</f>
        <v>52000</v>
      </c>
      <c r="K388" s="21">
        <f ca="1">COUNTIF($J$2:Master[[#This Row],[ChecklistID]],Master[[#This Row],[ChecklistID]])-1</f>
        <v>30</v>
      </c>
      <c r="L388" s="23" t="s">
        <v>6</v>
      </c>
    </row>
    <row r="389" spans="1:12" ht="15.75">
      <c r="A389" s="23">
        <f t="shared" si="6"/>
        <v>388</v>
      </c>
      <c r="B389" s="21">
        <f ca="1">Master[[#This Row],[ChecklistID]]+Master[[#This Row],[Checklist Order]]</f>
        <v>52031</v>
      </c>
      <c r="C389" s="22"/>
      <c r="D389" s="3" t="str" cm="1">
        <f t="array" aca="1" ref="D389" ca="1">_xlfn.SWITCH(MID(Master[[#This Row],[Checklist]],1,4),"C - ","Civil","F - ","Foundation","ST -","Structure","FC -","Façade","PRE ","Pre-Line","POST","Post-Line","H - ","Handover","S - ","Services","CST ","Completion Docs", "I - ", "Inspection")</f>
        <v>Completion Docs</v>
      </c>
      <c r="E389" s="23" t="str">
        <f ca="1">IF(NOT(ISERROR(SEARCH("- S -", Master[[#This Row],[Checklist]]))), "Subcontractor",IF(NOT(ISERROR(SEARCH("- R -", Master[[#This Row],[Checklist]]))), "Ryman",IF(NOT(ISERROR(SEARCH("- C -", Master[[#This Row],[Checklist]]))), "Consultant",IF(NOT(ISERROR(SEARCH("- I -", Master[[#This Row],[Checklist]]))),  "Inspection Test Plan", "Naming Error"))))</f>
        <v>Ryman</v>
      </c>
      <c r="F389" s="24" t="str">
        <f ca="1">IF(OR(Master[[#This Row],[Type]]="checklist", Master[[#This Row],[Type]]="checklist-flat"), Master[[#This Row],[Name]], F388)</f>
        <v>CST - R - Structural Consent</v>
      </c>
      <c r="G389" s="3" t="s">
        <v>66</v>
      </c>
      <c r="H389" s="24" t="s">
        <v>1482</v>
      </c>
      <c r="I389" s="3"/>
      <c r="J389" s="21">
        <f ca="1">_xlfn.XLOOKUP(Master[[#This Row],[Checklist]],Ref!A:A,Ref!B:B)*1000</f>
        <v>52000</v>
      </c>
      <c r="K389" s="21">
        <f ca="1">COUNTIF($J$2:Master[[#This Row],[ChecklistID]],Master[[#This Row],[ChecklistID]])-1</f>
        <v>31</v>
      </c>
      <c r="L389" s="23" t="s">
        <v>6</v>
      </c>
    </row>
    <row r="390" spans="1:12" ht="15.75">
      <c r="A390" s="23">
        <f t="shared" si="6"/>
        <v>389</v>
      </c>
      <c r="B390" s="21">
        <f ca="1">Master[[#This Row],[ChecklistID]]+Master[[#This Row],[Checklist Order]]</f>
        <v>52032</v>
      </c>
      <c r="C390" s="22"/>
      <c r="D390" s="3" t="str" cm="1">
        <f t="array" aca="1" ref="D390" ca="1">_xlfn.SWITCH(MID(Master[[#This Row],[Checklist]],1,4),"C - ","Civil","F - ","Foundation","ST -","Structure","FC -","Façade","PRE ","Pre-Line","POST","Post-Line","H - ","Handover","S - ","Services","CST ","Completion Docs", "I - ", "Inspection")</f>
        <v>Completion Docs</v>
      </c>
      <c r="E390" s="23" t="str">
        <f ca="1">IF(NOT(ISERROR(SEARCH("- S -", Master[[#This Row],[Checklist]]))), "Subcontractor",IF(NOT(ISERROR(SEARCH("- R -", Master[[#This Row],[Checklist]]))), "Ryman",IF(NOT(ISERROR(SEARCH("- C -", Master[[#This Row],[Checklist]]))), "Consultant",IF(NOT(ISERROR(SEARCH("- I -", Master[[#This Row],[Checklist]]))),  "Inspection Test Plan", "Naming Error"))))</f>
        <v>Ryman</v>
      </c>
      <c r="F390" s="24" t="str">
        <f ca="1">IF(OR(Master[[#This Row],[Type]]="checklist", Master[[#This Row],[Type]]="checklist-flat"), Master[[#This Row],[Name]], F389)</f>
        <v>CST - R - Structural Consent</v>
      </c>
      <c r="G390" s="3" t="s">
        <v>66</v>
      </c>
      <c r="H390" s="24" t="s">
        <v>1483</v>
      </c>
      <c r="I390" s="3"/>
      <c r="J390" s="21">
        <f ca="1">_xlfn.XLOOKUP(Master[[#This Row],[Checklist]],Ref!A:A,Ref!B:B)*1000</f>
        <v>52000</v>
      </c>
      <c r="K390" s="21">
        <f ca="1">COUNTIF($J$2:Master[[#This Row],[ChecklistID]],Master[[#This Row],[ChecklistID]])-1</f>
        <v>32</v>
      </c>
      <c r="L390" s="23" t="s">
        <v>6</v>
      </c>
    </row>
    <row r="391" spans="1:12" ht="15.75">
      <c r="A391" s="23">
        <f t="shared" si="6"/>
        <v>390</v>
      </c>
      <c r="B391" s="21">
        <f ca="1">Master[[#This Row],[ChecklistID]]+Master[[#This Row],[Checklist Order]]</f>
        <v>52033</v>
      </c>
      <c r="C391" s="22"/>
      <c r="D391" s="3" t="str" cm="1">
        <f t="array" aca="1" ref="D391" ca="1">_xlfn.SWITCH(MID(Master[[#This Row],[Checklist]],1,4),"C - ","Civil","F - ","Foundation","ST -","Structure","FC -","Façade","PRE ","Pre-Line","POST","Post-Line","H - ","Handover","S - ","Services","CST ","Completion Docs", "I - ", "Inspection")</f>
        <v>Completion Docs</v>
      </c>
      <c r="E391" s="23" t="str">
        <f ca="1">IF(NOT(ISERROR(SEARCH("- S -", Master[[#This Row],[Checklist]]))), "Subcontractor",IF(NOT(ISERROR(SEARCH("- R -", Master[[#This Row],[Checklist]]))), "Ryman",IF(NOT(ISERROR(SEARCH("- C -", Master[[#This Row],[Checklist]]))), "Consultant",IF(NOT(ISERROR(SEARCH("- I -", Master[[#This Row],[Checklist]]))),  "Inspection Test Plan", "Naming Error"))))</f>
        <v>Ryman</v>
      </c>
      <c r="F391" s="24" t="str">
        <f ca="1">IF(OR(Master[[#This Row],[Type]]="checklist", Master[[#This Row],[Type]]="checklist-flat"), Master[[#This Row],[Name]], F390)</f>
        <v>CST - R - Structural Consent</v>
      </c>
      <c r="G391" s="3" t="s">
        <v>49</v>
      </c>
      <c r="H391" s="24" t="s">
        <v>1484</v>
      </c>
      <c r="I391" s="3"/>
      <c r="J391" s="21">
        <f ca="1">_xlfn.XLOOKUP(Master[[#This Row],[Checklist]],Ref!A:A,Ref!B:B)*1000</f>
        <v>52000</v>
      </c>
      <c r="K391" s="21">
        <f ca="1">COUNTIF($J$2:Master[[#This Row],[ChecklistID]],Master[[#This Row],[ChecklistID]])-1</f>
        <v>33</v>
      </c>
      <c r="L391" s="23" t="s">
        <v>6</v>
      </c>
    </row>
    <row r="392" spans="1:12" ht="15.75">
      <c r="A392" s="23">
        <f t="shared" si="6"/>
        <v>391</v>
      </c>
      <c r="B392" s="21">
        <f ca="1">Master[[#This Row],[ChecklistID]]+Master[[#This Row],[Checklist Order]]</f>
        <v>53000</v>
      </c>
      <c r="C392" s="22"/>
      <c r="D392" s="3" t="str" cm="1">
        <f t="array" aca="1" ref="D392" ca="1">_xlfn.SWITCH(MID(Master[[#This Row],[Checklist]],1,4),"C - ","Civil","F - ","Foundation","ST -","Structure","FC -","Façade","PRE ","Pre-Line","POST","Post-Line","H - ","Handover","S - ","Services","CST ","Completion Docs", "I - ", "Inspection")</f>
        <v>Completion Docs</v>
      </c>
      <c r="E392" s="23" t="str">
        <f ca="1">IF(NOT(ISERROR(SEARCH("- S -", Master[[#This Row],[Checklist]]))), "Subcontractor",IF(NOT(ISERROR(SEARCH("- R -", Master[[#This Row],[Checklist]]))), "Ryman",IF(NOT(ISERROR(SEARCH("- C -", Master[[#This Row],[Checklist]]))), "Consultant",IF(NOT(ISERROR(SEARCH("- I -", Master[[#This Row],[Checklist]]))),  "Inspection Test Plan", "Naming Error"))))</f>
        <v>Ryman</v>
      </c>
      <c r="F392" s="24" t="str">
        <f ca="1">IF(OR(Master[[#This Row],[Type]]="checklist", Master[[#This Row],[Type]]="checklist-flat"), Master[[#This Row],[Name]], F391)</f>
        <v>CST - R - Mechanical Consent</v>
      </c>
      <c r="G392" s="3" t="s">
        <v>48</v>
      </c>
      <c r="H392" s="24" t="s">
        <v>1485</v>
      </c>
      <c r="I392" s="3"/>
      <c r="J392" s="21">
        <f ca="1">_xlfn.XLOOKUP(Master[[#This Row],[Checklist]],Ref!A:A,Ref!B:B)*1000</f>
        <v>53000</v>
      </c>
      <c r="K392" s="21">
        <f ca="1">COUNTIF($J$2:Master[[#This Row],[ChecklistID]],Master[[#This Row],[ChecklistID]])-1</f>
        <v>0</v>
      </c>
      <c r="L392" s="23" t="s">
        <v>6</v>
      </c>
    </row>
    <row r="393" spans="1:12" ht="15.75">
      <c r="A393" s="23">
        <f t="shared" si="6"/>
        <v>392</v>
      </c>
      <c r="B393" s="21">
        <f ca="1">Master[[#This Row],[ChecklistID]]+Master[[#This Row],[Checklist Order]]</f>
        <v>53001</v>
      </c>
      <c r="C393" s="22"/>
      <c r="D393" s="3" t="str" cm="1">
        <f t="array" aca="1" ref="D393" ca="1">_xlfn.SWITCH(MID(Master[[#This Row],[Checklist]],1,4),"C - ","Civil","F - ","Foundation","ST -","Structure","FC -","Façade","PRE ","Pre-Line","POST","Post-Line","H - ","Handover","S - ","Services","CST ","Completion Docs", "I - ", "Inspection")</f>
        <v>Completion Docs</v>
      </c>
      <c r="E393" s="23" t="str">
        <f ca="1">IF(NOT(ISERROR(SEARCH("- S -", Master[[#This Row],[Checklist]]))), "Subcontractor",IF(NOT(ISERROR(SEARCH("- R -", Master[[#This Row],[Checklist]]))), "Ryman",IF(NOT(ISERROR(SEARCH("- C -", Master[[#This Row],[Checklist]]))), "Consultant",IF(NOT(ISERROR(SEARCH("- I -", Master[[#This Row],[Checklist]]))),  "Inspection Test Plan", "Naming Error"))))</f>
        <v>Ryman</v>
      </c>
      <c r="F393" s="24" t="str">
        <f ca="1">IF(OR(Master[[#This Row],[Type]]="checklist", Master[[#This Row],[Type]]="checklist-flat"), Master[[#This Row],[Name]], F392)</f>
        <v>CST - R - Mechanical Consent</v>
      </c>
      <c r="G393" s="3" t="s">
        <v>49</v>
      </c>
      <c r="H393" s="24" t="s">
        <v>1391</v>
      </c>
      <c r="I393" s="3"/>
      <c r="J393" s="21">
        <f ca="1">_xlfn.XLOOKUP(Master[[#This Row],[Checklist]],Ref!A:A,Ref!B:B)*1000</f>
        <v>53000</v>
      </c>
      <c r="K393" s="21">
        <f ca="1">COUNTIF($J$2:Master[[#This Row],[ChecklistID]],Master[[#This Row],[ChecklistID]])-1</f>
        <v>1</v>
      </c>
      <c r="L393" s="23" t="s">
        <v>6</v>
      </c>
    </row>
    <row r="394" spans="1:12" ht="15.75">
      <c r="A394" s="23">
        <f t="shared" si="6"/>
        <v>393</v>
      </c>
      <c r="B394" s="21">
        <f ca="1">Master[[#This Row],[ChecklistID]]+Master[[#This Row],[Checklist Order]]</f>
        <v>53002</v>
      </c>
      <c r="C394" s="22"/>
      <c r="D394" s="3" t="str" cm="1">
        <f t="array" aca="1" ref="D394" ca="1">_xlfn.SWITCH(MID(Master[[#This Row],[Checklist]],1,4),"C - ","Civil","F - ","Foundation","ST -","Structure","FC -","Façade","PRE ","Pre-Line","POST","Post-Line","H - ","Handover","S - ","Services","CST ","Completion Docs", "I - ", "Inspection")</f>
        <v>Completion Docs</v>
      </c>
      <c r="E394" s="23" t="str">
        <f ca="1">IF(NOT(ISERROR(SEARCH("- S -", Master[[#This Row],[Checklist]]))), "Subcontractor",IF(NOT(ISERROR(SEARCH("- R -", Master[[#This Row],[Checklist]]))), "Ryman",IF(NOT(ISERROR(SEARCH("- C -", Master[[#This Row],[Checklist]]))), "Consultant",IF(NOT(ISERROR(SEARCH("- I -", Master[[#This Row],[Checklist]]))),  "Inspection Test Plan", "Naming Error"))))</f>
        <v>Ryman</v>
      </c>
      <c r="F394" s="24" t="str">
        <f ca="1">IF(OR(Master[[#This Row],[Type]]="checklist", Master[[#This Row],[Type]]="checklist-flat"), Master[[#This Row],[Name]], F393)</f>
        <v>CST - R - Mechanical Consent</v>
      </c>
      <c r="G394" s="3" t="s">
        <v>49</v>
      </c>
      <c r="H394" s="24" t="s">
        <v>1392</v>
      </c>
      <c r="I394" s="3"/>
      <c r="J394" s="21">
        <f ca="1">_xlfn.XLOOKUP(Master[[#This Row],[Checklist]],Ref!A:A,Ref!B:B)*1000</f>
        <v>53000</v>
      </c>
      <c r="K394" s="21">
        <f ca="1">COUNTIF($J$2:Master[[#This Row],[ChecklistID]],Master[[#This Row],[ChecklistID]])-1</f>
        <v>2</v>
      </c>
      <c r="L394" s="23" t="s">
        <v>6</v>
      </c>
    </row>
    <row r="395" spans="1:12" ht="15.75">
      <c r="A395" s="23">
        <f t="shared" si="6"/>
        <v>394</v>
      </c>
      <c r="B395" s="21">
        <f ca="1">Master[[#This Row],[ChecklistID]]+Master[[#This Row],[Checklist Order]]</f>
        <v>53003</v>
      </c>
      <c r="C395" s="22"/>
      <c r="D395" s="3" t="str" cm="1">
        <f t="array" aca="1" ref="D395" ca="1">_xlfn.SWITCH(MID(Master[[#This Row],[Checklist]],1,4),"C - ","Civil","F - ","Foundation","ST -","Structure","FC -","Façade","PRE ","Pre-Line","POST","Post-Line","H - ","Handover","S - ","Services","CST ","Completion Docs", "I - ", "Inspection")</f>
        <v>Completion Docs</v>
      </c>
      <c r="E395" s="23" t="str">
        <f ca="1">IF(NOT(ISERROR(SEARCH("- S -", Master[[#This Row],[Checklist]]))), "Subcontractor",IF(NOT(ISERROR(SEARCH("- R -", Master[[#This Row],[Checklist]]))), "Ryman",IF(NOT(ISERROR(SEARCH("- C -", Master[[#This Row],[Checklist]]))), "Consultant",IF(NOT(ISERROR(SEARCH("- I -", Master[[#This Row],[Checklist]]))),  "Inspection Test Plan", "Naming Error"))))</f>
        <v>Ryman</v>
      </c>
      <c r="F395" s="24" t="str">
        <f ca="1">IF(OR(Master[[#This Row],[Type]]="checklist", Master[[#This Row],[Type]]="checklist-flat"), Master[[#This Row],[Name]], F394)</f>
        <v>CST - R - Mechanical Consent</v>
      </c>
      <c r="G395" s="3" t="s">
        <v>49</v>
      </c>
      <c r="H395" s="24" t="s">
        <v>1393</v>
      </c>
      <c r="I395" s="3"/>
      <c r="J395" s="21">
        <f ca="1">_xlfn.XLOOKUP(Master[[#This Row],[Checklist]],Ref!A:A,Ref!B:B)*1000</f>
        <v>53000</v>
      </c>
      <c r="K395" s="21">
        <f ca="1">COUNTIF($J$2:Master[[#This Row],[ChecklistID]],Master[[#This Row],[ChecklistID]])-1</f>
        <v>3</v>
      </c>
      <c r="L395" s="23" t="s">
        <v>6</v>
      </c>
    </row>
    <row r="396" spans="1:12" ht="15.75">
      <c r="A396" s="23">
        <f t="shared" si="6"/>
        <v>395</v>
      </c>
      <c r="B396" s="21">
        <f ca="1">Master[[#This Row],[ChecklistID]]+Master[[#This Row],[Checklist Order]]</f>
        <v>53004</v>
      </c>
      <c r="C396" s="22"/>
      <c r="D396" s="3" t="str" cm="1">
        <f t="array" aca="1" ref="D396" ca="1">_xlfn.SWITCH(MID(Master[[#This Row],[Checklist]],1,4),"C - ","Civil","F - ","Foundation","ST -","Structure","FC -","Façade","PRE ","Pre-Line","POST","Post-Line","H - ","Handover","S - ","Services","CST ","Completion Docs", "I - ", "Inspection")</f>
        <v>Completion Docs</v>
      </c>
      <c r="E396" s="23" t="str">
        <f ca="1">IF(NOT(ISERROR(SEARCH("- S -", Master[[#This Row],[Checklist]]))), "Subcontractor",IF(NOT(ISERROR(SEARCH("- R -", Master[[#This Row],[Checklist]]))), "Ryman",IF(NOT(ISERROR(SEARCH("- C -", Master[[#This Row],[Checklist]]))), "Consultant",IF(NOT(ISERROR(SEARCH("- I -", Master[[#This Row],[Checklist]]))),  "Inspection Test Plan", "Naming Error"))))</f>
        <v>Ryman</v>
      </c>
      <c r="F396" s="24" t="str">
        <f ca="1">IF(OR(Master[[#This Row],[Type]]="checklist", Master[[#This Row],[Type]]="checklist-flat"), Master[[#This Row],[Name]], F395)</f>
        <v>CST - R - Mechanical Consent</v>
      </c>
      <c r="G396" s="3" t="s">
        <v>49</v>
      </c>
      <c r="H396" s="24" t="s">
        <v>1394</v>
      </c>
      <c r="I396" s="3"/>
      <c r="J396" s="21">
        <f ca="1">_xlfn.XLOOKUP(Master[[#This Row],[Checklist]],Ref!A:A,Ref!B:B)*1000</f>
        <v>53000</v>
      </c>
      <c r="K396" s="21">
        <f ca="1">COUNTIF($J$2:Master[[#This Row],[ChecklistID]],Master[[#This Row],[ChecklistID]])-1</f>
        <v>4</v>
      </c>
      <c r="L396" s="23" t="s">
        <v>6</v>
      </c>
    </row>
    <row r="397" spans="1:12" ht="15.75">
      <c r="A397" s="23">
        <f t="shared" si="6"/>
        <v>396</v>
      </c>
      <c r="B397" s="21">
        <f ca="1">Master[[#This Row],[ChecklistID]]+Master[[#This Row],[Checklist Order]]</f>
        <v>53005</v>
      </c>
      <c r="C397" s="22"/>
      <c r="D397" s="3" t="str" cm="1">
        <f t="array" aca="1" ref="D397" ca="1">_xlfn.SWITCH(MID(Master[[#This Row],[Checklist]],1,4),"C - ","Civil","F - ","Foundation","ST -","Structure","FC -","Façade","PRE ","Pre-Line","POST","Post-Line","H - ","Handover","S - ","Services","CST ","Completion Docs", "I - ", "Inspection")</f>
        <v>Completion Docs</v>
      </c>
      <c r="E397" s="23" t="str">
        <f ca="1">IF(NOT(ISERROR(SEARCH("- S -", Master[[#This Row],[Checklist]]))), "Subcontractor",IF(NOT(ISERROR(SEARCH("- R -", Master[[#This Row],[Checklist]]))), "Ryman",IF(NOT(ISERROR(SEARCH("- C -", Master[[#This Row],[Checklist]]))), "Consultant",IF(NOT(ISERROR(SEARCH("- I -", Master[[#This Row],[Checklist]]))),  "Inspection Test Plan", "Naming Error"))))</f>
        <v>Ryman</v>
      </c>
      <c r="F397" s="24" t="str">
        <f ca="1">IF(OR(Master[[#This Row],[Type]]="checklist", Master[[#This Row],[Type]]="checklist-flat"), Master[[#This Row],[Name]], F396)</f>
        <v>CST - R - Mechanical Consent</v>
      </c>
      <c r="G397" s="3" t="s">
        <v>49</v>
      </c>
      <c r="H397" s="24" t="s">
        <v>1486</v>
      </c>
      <c r="I397" s="3"/>
      <c r="J397" s="21">
        <f ca="1">_xlfn.XLOOKUP(Master[[#This Row],[Checklist]],Ref!A:A,Ref!B:B)*1000</f>
        <v>53000</v>
      </c>
      <c r="K397" s="21">
        <f ca="1">COUNTIF($J$2:Master[[#This Row],[ChecklistID]],Master[[#This Row],[ChecklistID]])-1</f>
        <v>5</v>
      </c>
      <c r="L397" s="23" t="s">
        <v>6</v>
      </c>
    </row>
    <row r="398" spans="1:12" ht="15.75">
      <c r="A398" s="23">
        <f t="shared" si="6"/>
        <v>397</v>
      </c>
      <c r="B398" s="21">
        <f ca="1">Master[[#This Row],[ChecklistID]]+Master[[#This Row],[Checklist Order]]</f>
        <v>53006</v>
      </c>
      <c r="C398" s="22"/>
      <c r="D398" s="3" t="str" cm="1">
        <f t="array" aca="1" ref="D398" ca="1">_xlfn.SWITCH(MID(Master[[#This Row],[Checklist]],1,4),"C - ","Civil","F - ","Foundation","ST -","Structure","FC -","Façade","PRE ","Pre-Line","POST","Post-Line","H - ","Handover","S - ","Services","CST ","Completion Docs", "I - ", "Inspection")</f>
        <v>Completion Docs</v>
      </c>
      <c r="E398" s="23" t="str">
        <f ca="1">IF(NOT(ISERROR(SEARCH("- S -", Master[[#This Row],[Checklist]]))), "Subcontractor",IF(NOT(ISERROR(SEARCH("- R -", Master[[#This Row],[Checklist]]))), "Ryman",IF(NOT(ISERROR(SEARCH("- C -", Master[[#This Row],[Checklist]]))), "Consultant",IF(NOT(ISERROR(SEARCH("- I -", Master[[#This Row],[Checklist]]))),  "Inspection Test Plan", "Naming Error"))))</f>
        <v>Ryman</v>
      </c>
      <c r="F398" s="24" t="str">
        <f ca="1">IF(OR(Master[[#This Row],[Type]]="checklist", Master[[#This Row],[Type]]="checklist-flat"), Master[[#This Row],[Name]], F397)</f>
        <v>CST - R - Mechanical Consent</v>
      </c>
      <c r="G398" s="3" t="s">
        <v>66</v>
      </c>
      <c r="H398" s="24" t="s">
        <v>1487</v>
      </c>
      <c r="I398" s="3"/>
      <c r="J398" s="21">
        <f ca="1">_xlfn.XLOOKUP(Master[[#This Row],[Checklist]],Ref!A:A,Ref!B:B)*1000</f>
        <v>53000</v>
      </c>
      <c r="K398" s="21">
        <f ca="1">COUNTIF($J$2:Master[[#This Row],[ChecklistID]],Master[[#This Row],[ChecklistID]])-1</f>
        <v>6</v>
      </c>
      <c r="L398" s="23" t="s">
        <v>6</v>
      </c>
    </row>
    <row r="399" spans="1:12" ht="15.75">
      <c r="A399" s="23">
        <f t="shared" si="6"/>
        <v>398</v>
      </c>
      <c r="B399" s="21">
        <f ca="1">Master[[#This Row],[ChecklistID]]+Master[[#This Row],[Checklist Order]]</f>
        <v>53007</v>
      </c>
      <c r="C399" s="22"/>
      <c r="D399" s="3" t="str" cm="1">
        <f t="array" aca="1" ref="D399" ca="1">_xlfn.SWITCH(MID(Master[[#This Row],[Checklist]],1,4),"C - ","Civil","F - ","Foundation","ST -","Structure","FC -","Façade","PRE ","Pre-Line","POST","Post-Line","H - ","Handover","S - ","Services","CST ","Completion Docs", "I - ", "Inspection")</f>
        <v>Completion Docs</v>
      </c>
      <c r="E399" s="23" t="str">
        <f ca="1">IF(NOT(ISERROR(SEARCH("- S -", Master[[#This Row],[Checklist]]))), "Subcontractor",IF(NOT(ISERROR(SEARCH("- R -", Master[[#This Row],[Checklist]]))), "Ryman",IF(NOT(ISERROR(SEARCH("- C -", Master[[#This Row],[Checklist]]))), "Consultant",IF(NOT(ISERROR(SEARCH("- I -", Master[[#This Row],[Checklist]]))),  "Inspection Test Plan", "Naming Error"))))</f>
        <v>Ryman</v>
      </c>
      <c r="F399" s="24" t="str">
        <f ca="1">IF(OR(Master[[#This Row],[Type]]="checklist", Master[[#This Row],[Type]]="checklist-flat"), Master[[#This Row],[Name]], F398)</f>
        <v>CST - R - Mechanical Consent</v>
      </c>
      <c r="G399" s="3" t="s">
        <v>66</v>
      </c>
      <c r="H399" s="24" t="s">
        <v>1488</v>
      </c>
      <c r="I399" s="3"/>
      <c r="J399" s="21">
        <f ca="1">_xlfn.XLOOKUP(Master[[#This Row],[Checklist]],Ref!A:A,Ref!B:B)*1000</f>
        <v>53000</v>
      </c>
      <c r="K399" s="21">
        <f ca="1">COUNTIF($J$2:Master[[#This Row],[ChecklistID]],Master[[#This Row],[ChecklistID]])-1</f>
        <v>7</v>
      </c>
      <c r="L399" s="23" t="s">
        <v>6</v>
      </c>
    </row>
    <row r="400" spans="1:12" ht="15.75">
      <c r="A400" s="23">
        <f t="shared" si="6"/>
        <v>399</v>
      </c>
      <c r="B400" s="21">
        <f ca="1">Master[[#This Row],[ChecklistID]]+Master[[#This Row],[Checklist Order]]</f>
        <v>53008</v>
      </c>
      <c r="C400" s="22"/>
      <c r="D400" s="3" t="str" cm="1">
        <f t="array" aca="1" ref="D400" ca="1">_xlfn.SWITCH(MID(Master[[#This Row],[Checklist]],1,4),"C - ","Civil","F - ","Foundation","ST -","Structure","FC -","Façade","PRE ","Pre-Line","POST","Post-Line","H - ","Handover","S - ","Services","CST ","Completion Docs", "I - ", "Inspection")</f>
        <v>Completion Docs</v>
      </c>
      <c r="E400" s="23" t="str">
        <f ca="1">IF(NOT(ISERROR(SEARCH("- S -", Master[[#This Row],[Checklist]]))), "Subcontractor",IF(NOT(ISERROR(SEARCH("- R -", Master[[#This Row],[Checklist]]))), "Ryman",IF(NOT(ISERROR(SEARCH("- C -", Master[[#This Row],[Checklist]]))), "Consultant",IF(NOT(ISERROR(SEARCH("- I -", Master[[#This Row],[Checklist]]))),  "Inspection Test Plan", "Naming Error"))))</f>
        <v>Ryman</v>
      </c>
      <c r="F400" s="24" t="str">
        <f ca="1">IF(OR(Master[[#This Row],[Type]]="checklist", Master[[#This Row],[Type]]="checklist-flat"), Master[[#This Row],[Name]], F399)</f>
        <v>CST - R - Mechanical Consent</v>
      </c>
      <c r="G400" s="3" t="s">
        <v>49</v>
      </c>
      <c r="H400" s="24" t="s">
        <v>1489</v>
      </c>
      <c r="I400" s="3"/>
      <c r="J400" s="21">
        <f ca="1">_xlfn.XLOOKUP(Master[[#This Row],[Checklist]],Ref!A:A,Ref!B:B)*1000</f>
        <v>53000</v>
      </c>
      <c r="K400" s="21">
        <f ca="1">COUNTIF($J$2:Master[[#This Row],[ChecklistID]],Master[[#This Row],[ChecklistID]])-1</f>
        <v>8</v>
      </c>
      <c r="L400" s="23" t="s">
        <v>6</v>
      </c>
    </row>
    <row r="401" spans="1:12" ht="15.75">
      <c r="A401" s="23">
        <f t="shared" si="6"/>
        <v>400</v>
      </c>
      <c r="B401" s="21">
        <f ca="1">Master[[#This Row],[ChecklistID]]+Master[[#This Row],[Checklist Order]]</f>
        <v>53009</v>
      </c>
      <c r="C401" s="22"/>
      <c r="D401" s="3" t="str" cm="1">
        <f t="array" aca="1" ref="D401" ca="1">_xlfn.SWITCH(MID(Master[[#This Row],[Checklist]],1,4),"C - ","Civil","F - ","Foundation","ST -","Structure","FC -","Façade","PRE ","Pre-Line","POST","Post-Line","H - ","Handover","S - ","Services","CST ","Completion Docs", "I - ", "Inspection")</f>
        <v>Completion Docs</v>
      </c>
      <c r="E401" s="23" t="str">
        <f ca="1">IF(NOT(ISERROR(SEARCH("- S -", Master[[#This Row],[Checklist]]))), "Subcontractor",IF(NOT(ISERROR(SEARCH("- R -", Master[[#This Row],[Checklist]]))), "Ryman",IF(NOT(ISERROR(SEARCH("- C -", Master[[#This Row],[Checklist]]))), "Consultant",IF(NOT(ISERROR(SEARCH("- I -", Master[[#This Row],[Checklist]]))),  "Inspection Test Plan", "Naming Error"))))</f>
        <v>Ryman</v>
      </c>
      <c r="F401" s="24" t="str">
        <f ca="1">IF(OR(Master[[#This Row],[Type]]="checklist", Master[[#This Row],[Type]]="checklist-flat"), Master[[#This Row],[Name]], F400)</f>
        <v>CST - R - Mechanical Consent</v>
      </c>
      <c r="G401" s="3" t="s">
        <v>66</v>
      </c>
      <c r="H401" s="24" t="s">
        <v>1490</v>
      </c>
      <c r="I401" s="3"/>
      <c r="J401" s="21">
        <f ca="1">_xlfn.XLOOKUP(Master[[#This Row],[Checklist]],Ref!A:A,Ref!B:B)*1000</f>
        <v>53000</v>
      </c>
      <c r="K401" s="21">
        <f ca="1">COUNTIF($J$2:Master[[#This Row],[ChecklistID]],Master[[#This Row],[ChecklistID]])-1</f>
        <v>9</v>
      </c>
      <c r="L401" s="23" t="s">
        <v>6</v>
      </c>
    </row>
    <row r="402" spans="1:12" ht="15.75">
      <c r="A402" s="23">
        <f t="shared" si="6"/>
        <v>401</v>
      </c>
      <c r="B402" s="21">
        <f ca="1">Master[[#This Row],[ChecklistID]]+Master[[#This Row],[Checklist Order]]</f>
        <v>53010</v>
      </c>
      <c r="C402" s="22"/>
      <c r="D402" s="3" t="str" cm="1">
        <f t="array" aca="1" ref="D402" ca="1">_xlfn.SWITCH(MID(Master[[#This Row],[Checklist]],1,4),"C - ","Civil","F - ","Foundation","ST -","Structure","FC -","Façade","PRE ","Pre-Line","POST","Post-Line","H - ","Handover","S - ","Services","CST ","Completion Docs", "I - ", "Inspection")</f>
        <v>Completion Docs</v>
      </c>
      <c r="E402" s="23" t="str">
        <f ca="1">IF(NOT(ISERROR(SEARCH("- S -", Master[[#This Row],[Checklist]]))), "Subcontractor",IF(NOT(ISERROR(SEARCH("- R -", Master[[#This Row],[Checklist]]))), "Ryman",IF(NOT(ISERROR(SEARCH("- C -", Master[[#This Row],[Checklist]]))), "Consultant",IF(NOT(ISERROR(SEARCH("- I -", Master[[#This Row],[Checklist]]))),  "Inspection Test Plan", "Naming Error"))))</f>
        <v>Ryman</v>
      </c>
      <c r="F402" s="24" t="str">
        <f ca="1">IF(OR(Master[[#This Row],[Type]]="checklist", Master[[#This Row],[Type]]="checklist-flat"), Master[[#This Row],[Name]], F401)</f>
        <v>CST - R - Mechanical Consent</v>
      </c>
      <c r="G402" s="3" t="s">
        <v>66</v>
      </c>
      <c r="H402" s="24" t="s">
        <v>1491</v>
      </c>
      <c r="I402" s="3"/>
      <c r="J402" s="21">
        <f ca="1">_xlfn.XLOOKUP(Master[[#This Row],[Checklist]],Ref!A:A,Ref!B:B)*1000</f>
        <v>53000</v>
      </c>
      <c r="K402" s="21">
        <f ca="1">COUNTIF($J$2:Master[[#This Row],[ChecklistID]],Master[[#This Row],[ChecklistID]])-1</f>
        <v>10</v>
      </c>
      <c r="L402" s="23" t="s">
        <v>6</v>
      </c>
    </row>
    <row r="403" spans="1:12" ht="15.75">
      <c r="A403" s="23">
        <f t="shared" si="6"/>
        <v>402</v>
      </c>
      <c r="B403" s="21">
        <f ca="1">Master[[#This Row],[ChecklistID]]+Master[[#This Row],[Checklist Order]]</f>
        <v>53011</v>
      </c>
      <c r="C403" s="22"/>
      <c r="D403" s="3" t="str" cm="1">
        <f t="array" aca="1" ref="D403" ca="1">_xlfn.SWITCH(MID(Master[[#This Row],[Checklist]],1,4),"C - ","Civil","F - ","Foundation","ST -","Structure","FC -","Façade","PRE ","Pre-Line","POST","Post-Line","H - ","Handover","S - ","Services","CST ","Completion Docs", "I - ", "Inspection")</f>
        <v>Completion Docs</v>
      </c>
      <c r="E403" s="23" t="str">
        <f ca="1">IF(NOT(ISERROR(SEARCH("- S -", Master[[#This Row],[Checklist]]))), "Subcontractor",IF(NOT(ISERROR(SEARCH("- R -", Master[[#This Row],[Checklist]]))), "Ryman",IF(NOT(ISERROR(SEARCH("- C -", Master[[#This Row],[Checklist]]))), "Consultant",IF(NOT(ISERROR(SEARCH("- I -", Master[[#This Row],[Checklist]]))),  "Inspection Test Plan", "Naming Error"))))</f>
        <v>Ryman</v>
      </c>
      <c r="F403" s="24" t="str">
        <f ca="1">IF(OR(Master[[#This Row],[Type]]="checklist", Master[[#This Row],[Type]]="checklist-flat"), Master[[#This Row],[Name]], F402)</f>
        <v>CST - R - Mechanical Consent</v>
      </c>
      <c r="G403" s="3" t="s">
        <v>49</v>
      </c>
      <c r="H403" s="24" t="s">
        <v>1492</v>
      </c>
      <c r="I403" s="3"/>
      <c r="J403" s="21">
        <f ca="1">_xlfn.XLOOKUP(Master[[#This Row],[Checklist]],Ref!A:A,Ref!B:B)*1000</f>
        <v>53000</v>
      </c>
      <c r="K403" s="21">
        <f ca="1">COUNTIF($J$2:Master[[#This Row],[ChecklistID]],Master[[#This Row],[ChecklistID]])-1</f>
        <v>11</v>
      </c>
      <c r="L403" s="23" t="s">
        <v>6</v>
      </c>
    </row>
    <row r="404" spans="1:12" ht="15.75">
      <c r="A404" s="23">
        <f t="shared" si="6"/>
        <v>403</v>
      </c>
      <c r="B404" s="21">
        <f ca="1">Master[[#This Row],[ChecklistID]]+Master[[#This Row],[Checklist Order]]</f>
        <v>53012</v>
      </c>
      <c r="C404" s="22"/>
      <c r="D404" s="3" t="str" cm="1">
        <f t="array" aca="1" ref="D404" ca="1">_xlfn.SWITCH(MID(Master[[#This Row],[Checklist]],1,4),"C - ","Civil","F - ","Foundation","ST -","Structure","FC -","Façade","PRE ","Pre-Line","POST","Post-Line","H - ","Handover","S - ","Services","CST ","Completion Docs", "I - ", "Inspection")</f>
        <v>Completion Docs</v>
      </c>
      <c r="E404" s="23" t="str">
        <f ca="1">IF(NOT(ISERROR(SEARCH("- S -", Master[[#This Row],[Checklist]]))), "Subcontractor",IF(NOT(ISERROR(SEARCH("- R -", Master[[#This Row],[Checklist]]))), "Ryman",IF(NOT(ISERROR(SEARCH("- C -", Master[[#This Row],[Checklist]]))), "Consultant",IF(NOT(ISERROR(SEARCH("- I -", Master[[#This Row],[Checklist]]))),  "Inspection Test Plan", "Naming Error"))))</f>
        <v>Ryman</v>
      </c>
      <c r="F404" s="24" t="str">
        <f ca="1">IF(OR(Master[[#This Row],[Type]]="checklist", Master[[#This Row],[Type]]="checklist-flat"), Master[[#This Row],[Name]], F403)</f>
        <v>CST - R - Mechanical Consent</v>
      </c>
      <c r="G404" s="3" t="s">
        <v>66</v>
      </c>
      <c r="H404" s="24" t="s">
        <v>1493</v>
      </c>
      <c r="I404" s="3"/>
      <c r="J404" s="21">
        <f ca="1">_xlfn.XLOOKUP(Master[[#This Row],[Checklist]],Ref!A:A,Ref!B:B)*1000</f>
        <v>53000</v>
      </c>
      <c r="K404" s="21">
        <f ca="1">COUNTIF($J$2:Master[[#This Row],[ChecklistID]],Master[[#This Row],[ChecklistID]])-1</f>
        <v>12</v>
      </c>
      <c r="L404" s="23" t="s">
        <v>6</v>
      </c>
    </row>
    <row r="405" spans="1:12" ht="15.75">
      <c r="A405" s="23">
        <f t="shared" si="6"/>
        <v>404</v>
      </c>
      <c r="B405" s="21">
        <f ca="1">Master[[#This Row],[ChecklistID]]+Master[[#This Row],[Checklist Order]]</f>
        <v>53013</v>
      </c>
      <c r="C405" s="22"/>
      <c r="D405" s="3" t="str" cm="1">
        <f t="array" aca="1" ref="D405" ca="1">_xlfn.SWITCH(MID(Master[[#This Row],[Checklist]],1,4),"C - ","Civil","F - ","Foundation","ST -","Structure","FC -","Façade","PRE ","Pre-Line","POST","Post-Line","H - ","Handover","S - ","Services","CST ","Completion Docs", "I - ", "Inspection")</f>
        <v>Completion Docs</v>
      </c>
      <c r="E405" s="23" t="str">
        <f ca="1">IF(NOT(ISERROR(SEARCH("- S -", Master[[#This Row],[Checklist]]))), "Subcontractor",IF(NOT(ISERROR(SEARCH("- R -", Master[[#This Row],[Checklist]]))), "Ryman",IF(NOT(ISERROR(SEARCH("- C -", Master[[#This Row],[Checklist]]))), "Consultant",IF(NOT(ISERROR(SEARCH("- I -", Master[[#This Row],[Checklist]]))),  "Inspection Test Plan", "Naming Error"))))</f>
        <v>Ryman</v>
      </c>
      <c r="F405" s="24" t="str">
        <f ca="1">IF(OR(Master[[#This Row],[Type]]="checklist", Master[[#This Row],[Type]]="checklist-flat"), Master[[#This Row],[Name]], F404)</f>
        <v>CST - R - Mechanical Consent</v>
      </c>
      <c r="G405" s="3" t="s">
        <v>66</v>
      </c>
      <c r="H405" s="24" t="s">
        <v>1494</v>
      </c>
      <c r="I405" s="3"/>
      <c r="J405" s="21">
        <f ca="1">_xlfn.XLOOKUP(Master[[#This Row],[Checklist]],Ref!A:A,Ref!B:B)*1000</f>
        <v>53000</v>
      </c>
      <c r="K405" s="21">
        <f ca="1">COUNTIF($J$2:Master[[#This Row],[ChecklistID]],Master[[#This Row],[ChecklistID]])-1</f>
        <v>13</v>
      </c>
      <c r="L405" s="23" t="s">
        <v>6</v>
      </c>
    </row>
    <row r="406" spans="1:12" ht="15.75">
      <c r="A406" s="23">
        <f t="shared" si="6"/>
        <v>405</v>
      </c>
      <c r="B406" s="21">
        <f ca="1">Master[[#This Row],[ChecklistID]]+Master[[#This Row],[Checklist Order]]</f>
        <v>53014</v>
      </c>
      <c r="C406" s="22"/>
      <c r="D406" s="3" t="str" cm="1">
        <f t="array" aca="1" ref="D406" ca="1">_xlfn.SWITCH(MID(Master[[#This Row],[Checklist]],1,4),"C - ","Civil","F - ","Foundation","ST -","Structure","FC -","Façade","PRE ","Pre-Line","POST","Post-Line","H - ","Handover","S - ","Services","CST ","Completion Docs", "I - ", "Inspection")</f>
        <v>Completion Docs</v>
      </c>
      <c r="E406" s="23" t="str">
        <f ca="1">IF(NOT(ISERROR(SEARCH("- S -", Master[[#This Row],[Checklist]]))), "Subcontractor",IF(NOT(ISERROR(SEARCH("- R -", Master[[#This Row],[Checklist]]))), "Ryman",IF(NOT(ISERROR(SEARCH("- C -", Master[[#This Row],[Checklist]]))), "Consultant",IF(NOT(ISERROR(SEARCH("- I -", Master[[#This Row],[Checklist]]))),  "Inspection Test Plan", "Naming Error"))))</f>
        <v>Ryman</v>
      </c>
      <c r="F406" s="24" t="str">
        <f ca="1">IF(OR(Master[[#This Row],[Type]]="checklist", Master[[#This Row],[Type]]="checklist-flat"), Master[[#This Row],[Name]], F405)</f>
        <v>CST - R - Mechanical Consent</v>
      </c>
      <c r="G406" s="3" t="s">
        <v>49</v>
      </c>
      <c r="H406" s="24" t="s">
        <v>1495</v>
      </c>
      <c r="I406" s="3"/>
      <c r="J406" s="21">
        <f ca="1">_xlfn.XLOOKUP(Master[[#This Row],[Checklist]],Ref!A:A,Ref!B:B)*1000</f>
        <v>53000</v>
      </c>
      <c r="K406" s="21">
        <f ca="1">COUNTIF($J$2:Master[[#This Row],[ChecklistID]],Master[[#This Row],[ChecklistID]])-1</f>
        <v>14</v>
      </c>
      <c r="L406" s="23" t="s">
        <v>6</v>
      </c>
    </row>
    <row r="407" spans="1:12" ht="15.75">
      <c r="A407" s="23">
        <f t="shared" si="6"/>
        <v>406</v>
      </c>
      <c r="B407" s="21">
        <f ca="1">Master[[#This Row],[ChecklistID]]+Master[[#This Row],[Checklist Order]]</f>
        <v>53015</v>
      </c>
      <c r="C407" s="22"/>
      <c r="D407" s="3" t="str" cm="1">
        <f t="array" aca="1" ref="D407" ca="1">_xlfn.SWITCH(MID(Master[[#This Row],[Checklist]],1,4),"C - ","Civil","F - ","Foundation","ST -","Structure","FC -","Façade","PRE ","Pre-Line","POST","Post-Line","H - ","Handover","S - ","Services","CST ","Completion Docs", "I - ", "Inspection")</f>
        <v>Completion Docs</v>
      </c>
      <c r="E407" s="23" t="str">
        <f ca="1">IF(NOT(ISERROR(SEARCH("- S -", Master[[#This Row],[Checklist]]))), "Subcontractor",IF(NOT(ISERROR(SEARCH("- R -", Master[[#This Row],[Checklist]]))), "Ryman",IF(NOT(ISERROR(SEARCH("- C -", Master[[#This Row],[Checklist]]))), "Consultant",IF(NOT(ISERROR(SEARCH("- I -", Master[[#This Row],[Checklist]]))),  "Inspection Test Plan", "Naming Error"))))</f>
        <v>Ryman</v>
      </c>
      <c r="F407" s="24" t="str">
        <f ca="1">IF(OR(Master[[#This Row],[Type]]="checklist", Master[[#This Row],[Type]]="checklist-flat"), Master[[#This Row],[Name]], F406)</f>
        <v>CST - R - Mechanical Consent</v>
      </c>
      <c r="G407" s="3" t="s">
        <v>66</v>
      </c>
      <c r="H407" s="24" t="s">
        <v>1496</v>
      </c>
      <c r="I407" s="3"/>
      <c r="J407" s="21">
        <f ca="1">_xlfn.XLOOKUP(Master[[#This Row],[Checklist]],Ref!A:A,Ref!B:B)*1000</f>
        <v>53000</v>
      </c>
      <c r="K407" s="21">
        <f ca="1">COUNTIF($J$2:Master[[#This Row],[ChecklistID]],Master[[#This Row],[ChecklistID]])-1</f>
        <v>15</v>
      </c>
      <c r="L407" s="23" t="s">
        <v>6</v>
      </c>
    </row>
    <row r="408" spans="1:12" ht="15.75">
      <c r="A408" s="23">
        <f t="shared" si="6"/>
        <v>407</v>
      </c>
      <c r="B408" s="21">
        <f ca="1">Master[[#This Row],[ChecklistID]]+Master[[#This Row],[Checklist Order]]</f>
        <v>53016</v>
      </c>
      <c r="C408" s="22"/>
      <c r="D408" s="3" t="str" cm="1">
        <f t="array" aca="1" ref="D408" ca="1">_xlfn.SWITCH(MID(Master[[#This Row],[Checklist]],1,4),"C - ","Civil","F - ","Foundation","ST -","Structure","FC -","Façade","PRE ","Pre-Line","POST","Post-Line","H - ","Handover","S - ","Services","CST ","Completion Docs", "I - ", "Inspection")</f>
        <v>Completion Docs</v>
      </c>
      <c r="E408" s="23" t="str">
        <f ca="1">IF(NOT(ISERROR(SEARCH("- S -", Master[[#This Row],[Checklist]]))), "Subcontractor",IF(NOT(ISERROR(SEARCH("- R -", Master[[#This Row],[Checklist]]))), "Ryman",IF(NOT(ISERROR(SEARCH("- C -", Master[[#This Row],[Checklist]]))), "Consultant",IF(NOT(ISERROR(SEARCH("- I -", Master[[#This Row],[Checklist]]))),  "Inspection Test Plan", "Naming Error"))))</f>
        <v>Ryman</v>
      </c>
      <c r="F408" s="24" t="str">
        <f ca="1">IF(OR(Master[[#This Row],[Type]]="checklist", Master[[#This Row],[Type]]="checklist-flat"), Master[[#This Row],[Name]], F407)</f>
        <v>CST - R - Mechanical Consent</v>
      </c>
      <c r="G408" s="3" t="s">
        <v>66</v>
      </c>
      <c r="H408" s="24" t="s">
        <v>1497</v>
      </c>
      <c r="I408" s="3"/>
      <c r="J408" s="21">
        <f ca="1">_xlfn.XLOOKUP(Master[[#This Row],[Checklist]],Ref!A:A,Ref!B:B)*1000</f>
        <v>53000</v>
      </c>
      <c r="K408" s="21">
        <f ca="1">COUNTIF($J$2:Master[[#This Row],[ChecklistID]],Master[[#This Row],[ChecklistID]])-1</f>
        <v>16</v>
      </c>
      <c r="L408" s="23" t="s">
        <v>6</v>
      </c>
    </row>
    <row r="409" spans="1:12" ht="15.75">
      <c r="A409" s="23">
        <f t="shared" si="6"/>
        <v>408</v>
      </c>
      <c r="B409" s="21">
        <f ca="1">Master[[#This Row],[ChecklistID]]+Master[[#This Row],[Checklist Order]]</f>
        <v>53017</v>
      </c>
      <c r="C409" s="22"/>
      <c r="D409" s="3" t="str" cm="1">
        <f t="array" aca="1" ref="D409" ca="1">_xlfn.SWITCH(MID(Master[[#This Row],[Checklist]],1,4),"C - ","Civil","F - ","Foundation","ST -","Structure","FC -","Façade","PRE ","Pre-Line","POST","Post-Line","H - ","Handover","S - ","Services","CST ","Completion Docs", "I - ", "Inspection")</f>
        <v>Completion Docs</v>
      </c>
      <c r="E409" s="23" t="str">
        <f ca="1">IF(NOT(ISERROR(SEARCH("- S -", Master[[#This Row],[Checklist]]))), "Subcontractor",IF(NOT(ISERROR(SEARCH("- R -", Master[[#This Row],[Checklist]]))), "Ryman",IF(NOT(ISERROR(SEARCH("- C -", Master[[#This Row],[Checklist]]))), "Consultant",IF(NOT(ISERROR(SEARCH("- I -", Master[[#This Row],[Checklist]]))),  "Inspection Test Plan", "Naming Error"))))</f>
        <v>Ryman</v>
      </c>
      <c r="F409" s="24" t="str">
        <f ca="1">IF(OR(Master[[#This Row],[Type]]="checklist", Master[[#This Row],[Type]]="checklist-flat"), Master[[#This Row],[Name]], F408)</f>
        <v>CST - R - Mechanical Consent</v>
      </c>
      <c r="G409" s="3" t="s">
        <v>66</v>
      </c>
      <c r="H409" s="24" t="s">
        <v>1498</v>
      </c>
      <c r="I409" s="3"/>
      <c r="J409" s="21">
        <f ca="1">_xlfn.XLOOKUP(Master[[#This Row],[Checklist]],Ref!A:A,Ref!B:B)*1000</f>
        <v>53000</v>
      </c>
      <c r="K409" s="21">
        <f ca="1">COUNTIF($J$2:Master[[#This Row],[ChecklistID]],Master[[#This Row],[ChecklistID]])-1</f>
        <v>17</v>
      </c>
      <c r="L409" s="23" t="s">
        <v>6</v>
      </c>
    </row>
    <row r="410" spans="1:12" ht="15.75">
      <c r="A410" s="23">
        <f t="shared" si="6"/>
        <v>409</v>
      </c>
      <c r="B410" s="21">
        <f ca="1">Master[[#This Row],[ChecklistID]]+Master[[#This Row],[Checklist Order]]</f>
        <v>53018</v>
      </c>
      <c r="C410" s="22"/>
      <c r="D410" s="3" t="str" cm="1">
        <f t="array" aca="1" ref="D410" ca="1">_xlfn.SWITCH(MID(Master[[#This Row],[Checklist]],1,4),"C - ","Civil","F - ","Foundation","ST -","Structure","FC -","Façade","PRE ","Pre-Line","POST","Post-Line","H - ","Handover","S - ","Services","CST ","Completion Docs", "I - ", "Inspection")</f>
        <v>Completion Docs</v>
      </c>
      <c r="E410" s="23" t="str">
        <f ca="1">IF(NOT(ISERROR(SEARCH("- S -", Master[[#This Row],[Checklist]]))), "Subcontractor",IF(NOT(ISERROR(SEARCH("- R -", Master[[#This Row],[Checklist]]))), "Ryman",IF(NOT(ISERROR(SEARCH("- C -", Master[[#This Row],[Checklist]]))), "Consultant",IF(NOT(ISERROR(SEARCH("- I -", Master[[#This Row],[Checklist]]))),  "Inspection Test Plan", "Naming Error"))))</f>
        <v>Ryman</v>
      </c>
      <c r="F410" s="24" t="str">
        <f ca="1">IF(OR(Master[[#This Row],[Type]]="checklist", Master[[#This Row],[Type]]="checklist-flat"), Master[[#This Row],[Name]], F409)</f>
        <v>CST - R - Mechanical Consent</v>
      </c>
      <c r="G410" s="3" t="s">
        <v>66</v>
      </c>
      <c r="H410" s="24" t="s">
        <v>1499</v>
      </c>
      <c r="I410" s="3"/>
      <c r="J410" s="21">
        <f ca="1">_xlfn.XLOOKUP(Master[[#This Row],[Checklist]],Ref!A:A,Ref!B:B)*1000</f>
        <v>53000</v>
      </c>
      <c r="K410" s="21">
        <f ca="1">COUNTIF($J$2:Master[[#This Row],[ChecklistID]],Master[[#This Row],[ChecklistID]])-1</f>
        <v>18</v>
      </c>
      <c r="L410" s="23" t="s">
        <v>6</v>
      </c>
    </row>
    <row r="411" spans="1:12" ht="15.75">
      <c r="A411" s="23">
        <f t="shared" si="6"/>
        <v>410</v>
      </c>
      <c r="B411" s="21">
        <f ca="1">Master[[#This Row],[ChecklistID]]+Master[[#This Row],[Checklist Order]]</f>
        <v>53019</v>
      </c>
      <c r="C411" s="22"/>
      <c r="D411" s="3" t="str" cm="1">
        <f t="array" aca="1" ref="D411" ca="1">_xlfn.SWITCH(MID(Master[[#This Row],[Checklist]],1,4),"C - ","Civil","F - ","Foundation","ST -","Structure","FC -","Façade","PRE ","Pre-Line","POST","Post-Line","H - ","Handover","S - ","Services","CST ","Completion Docs", "I - ", "Inspection")</f>
        <v>Completion Docs</v>
      </c>
      <c r="E411" s="23" t="str">
        <f ca="1">IF(NOT(ISERROR(SEARCH("- S -", Master[[#This Row],[Checklist]]))), "Subcontractor",IF(NOT(ISERROR(SEARCH("- R -", Master[[#This Row],[Checklist]]))), "Ryman",IF(NOT(ISERROR(SEARCH("- C -", Master[[#This Row],[Checklist]]))), "Consultant",IF(NOT(ISERROR(SEARCH("- I -", Master[[#This Row],[Checklist]]))),  "Inspection Test Plan", "Naming Error"))))</f>
        <v>Ryman</v>
      </c>
      <c r="F411" s="24" t="str">
        <f ca="1">IF(OR(Master[[#This Row],[Type]]="checklist", Master[[#This Row],[Type]]="checklist-flat"), Master[[#This Row],[Name]], F410)</f>
        <v>CST - R - Mechanical Consent</v>
      </c>
      <c r="G411" s="3" t="s">
        <v>66</v>
      </c>
      <c r="H411" s="24" t="s">
        <v>1500</v>
      </c>
      <c r="I411" s="3"/>
      <c r="J411" s="21">
        <f ca="1">_xlfn.XLOOKUP(Master[[#This Row],[Checklist]],Ref!A:A,Ref!B:B)*1000</f>
        <v>53000</v>
      </c>
      <c r="K411" s="21">
        <f ca="1">COUNTIF($J$2:Master[[#This Row],[ChecklistID]],Master[[#This Row],[ChecklistID]])-1</f>
        <v>19</v>
      </c>
      <c r="L411" s="23" t="s">
        <v>6</v>
      </c>
    </row>
    <row r="412" spans="1:12" ht="15.75">
      <c r="A412" s="23">
        <f t="shared" si="6"/>
        <v>411</v>
      </c>
      <c r="B412" s="21">
        <f ca="1">Master[[#This Row],[ChecklistID]]+Master[[#This Row],[Checklist Order]]</f>
        <v>53020</v>
      </c>
      <c r="C412" s="22"/>
      <c r="D412" s="3" t="str" cm="1">
        <f t="array" aca="1" ref="D412" ca="1">_xlfn.SWITCH(MID(Master[[#This Row],[Checklist]],1,4),"C - ","Civil","F - ","Foundation","ST -","Structure","FC -","Façade","PRE ","Pre-Line","POST","Post-Line","H - ","Handover","S - ","Services","CST ","Completion Docs", "I - ", "Inspection")</f>
        <v>Completion Docs</v>
      </c>
      <c r="E412" s="23" t="str">
        <f ca="1">IF(NOT(ISERROR(SEARCH("- S -", Master[[#This Row],[Checklist]]))), "Subcontractor",IF(NOT(ISERROR(SEARCH("- R -", Master[[#This Row],[Checklist]]))), "Ryman",IF(NOT(ISERROR(SEARCH("- C -", Master[[#This Row],[Checklist]]))), "Consultant",IF(NOT(ISERROR(SEARCH("- I -", Master[[#This Row],[Checklist]]))),  "Inspection Test Plan", "Naming Error"))))</f>
        <v>Ryman</v>
      </c>
      <c r="F412" s="24" t="str">
        <f ca="1">IF(OR(Master[[#This Row],[Type]]="checklist", Master[[#This Row],[Type]]="checklist-flat"), Master[[#This Row],[Name]], F411)</f>
        <v>CST - R - Mechanical Consent</v>
      </c>
      <c r="G412" s="3" t="s">
        <v>49</v>
      </c>
      <c r="H412" s="24" t="s">
        <v>1501</v>
      </c>
      <c r="I412" s="3"/>
      <c r="J412" s="21">
        <f ca="1">_xlfn.XLOOKUP(Master[[#This Row],[Checklist]],Ref!A:A,Ref!B:B)*1000</f>
        <v>53000</v>
      </c>
      <c r="K412" s="21">
        <f ca="1">COUNTIF($J$2:Master[[#This Row],[ChecklistID]],Master[[#This Row],[ChecklistID]])-1</f>
        <v>20</v>
      </c>
      <c r="L412" s="23" t="s">
        <v>6</v>
      </c>
    </row>
    <row r="413" spans="1:12" ht="15.75">
      <c r="A413" s="23">
        <f t="shared" si="6"/>
        <v>412</v>
      </c>
      <c r="B413" s="21">
        <f ca="1">Master[[#This Row],[ChecklistID]]+Master[[#This Row],[Checklist Order]]</f>
        <v>53021</v>
      </c>
      <c r="C413" s="22"/>
      <c r="D413" s="3" t="str" cm="1">
        <f t="array" aca="1" ref="D413" ca="1">_xlfn.SWITCH(MID(Master[[#This Row],[Checklist]],1,4),"C - ","Civil","F - ","Foundation","ST -","Structure","FC -","Façade","PRE ","Pre-Line","POST","Post-Line","H - ","Handover","S - ","Services","CST ","Completion Docs", "I - ", "Inspection")</f>
        <v>Completion Docs</v>
      </c>
      <c r="E413" s="23" t="str">
        <f ca="1">IF(NOT(ISERROR(SEARCH("- S -", Master[[#This Row],[Checklist]]))), "Subcontractor",IF(NOT(ISERROR(SEARCH("- R -", Master[[#This Row],[Checklist]]))), "Ryman",IF(NOT(ISERROR(SEARCH("- C -", Master[[#This Row],[Checklist]]))), "Consultant",IF(NOT(ISERROR(SEARCH("- I -", Master[[#This Row],[Checklist]]))),  "Inspection Test Plan", "Naming Error"))))</f>
        <v>Ryman</v>
      </c>
      <c r="F413" s="24" t="str">
        <f ca="1">IF(OR(Master[[#This Row],[Type]]="checklist", Master[[#This Row],[Type]]="checklist-flat"), Master[[#This Row],[Name]], F412)</f>
        <v>CST - R - Mechanical Consent</v>
      </c>
      <c r="G413" s="3" t="s">
        <v>66</v>
      </c>
      <c r="H413" s="24" t="s">
        <v>1502</v>
      </c>
      <c r="I413" s="3"/>
      <c r="J413" s="21">
        <f ca="1">_xlfn.XLOOKUP(Master[[#This Row],[Checklist]],Ref!A:A,Ref!B:B)*1000</f>
        <v>53000</v>
      </c>
      <c r="K413" s="21">
        <f ca="1">COUNTIF($J$2:Master[[#This Row],[ChecklistID]],Master[[#This Row],[ChecklistID]])-1</f>
        <v>21</v>
      </c>
      <c r="L413" s="23" t="s">
        <v>6</v>
      </c>
    </row>
    <row r="414" spans="1:12" ht="15.75">
      <c r="A414" s="23">
        <f t="shared" si="6"/>
        <v>413</v>
      </c>
      <c r="B414" s="21">
        <f ca="1">Master[[#This Row],[ChecklistID]]+Master[[#This Row],[Checklist Order]]</f>
        <v>53022</v>
      </c>
      <c r="C414" s="22"/>
      <c r="D414" s="3" t="str" cm="1">
        <f t="array" aca="1" ref="D414" ca="1">_xlfn.SWITCH(MID(Master[[#This Row],[Checklist]],1,4),"C - ","Civil","F - ","Foundation","ST -","Structure","FC -","Façade","PRE ","Pre-Line","POST","Post-Line","H - ","Handover","S - ","Services","CST ","Completion Docs", "I - ", "Inspection")</f>
        <v>Completion Docs</v>
      </c>
      <c r="E414" s="23" t="str">
        <f ca="1">IF(NOT(ISERROR(SEARCH("- S -", Master[[#This Row],[Checklist]]))), "Subcontractor",IF(NOT(ISERROR(SEARCH("- R -", Master[[#This Row],[Checklist]]))), "Ryman",IF(NOT(ISERROR(SEARCH("- C -", Master[[#This Row],[Checklist]]))), "Consultant",IF(NOT(ISERROR(SEARCH("- I -", Master[[#This Row],[Checklist]]))),  "Inspection Test Plan", "Naming Error"))))</f>
        <v>Ryman</v>
      </c>
      <c r="F414" s="24" t="str">
        <f ca="1">IF(OR(Master[[#This Row],[Type]]="checklist", Master[[#This Row],[Type]]="checklist-flat"), Master[[#This Row],[Name]], F413)</f>
        <v>CST - R - Mechanical Consent</v>
      </c>
      <c r="G414" s="3" t="s">
        <v>49</v>
      </c>
      <c r="H414" s="24" t="s">
        <v>1503</v>
      </c>
      <c r="I414" s="3"/>
      <c r="J414" s="21">
        <f ca="1">_xlfn.XLOOKUP(Master[[#This Row],[Checklist]],Ref!A:A,Ref!B:B)*1000</f>
        <v>53000</v>
      </c>
      <c r="K414" s="21">
        <f ca="1">COUNTIF($J$2:Master[[#This Row],[ChecklistID]],Master[[#This Row],[ChecklistID]])-1</f>
        <v>22</v>
      </c>
      <c r="L414" s="23" t="s">
        <v>6</v>
      </c>
    </row>
    <row r="415" spans="1:12" ht="15.75">
      <c r="A415" s="23">
        <f t="shared" si="6"/>
        <v>414</v>
      </c>
      <c r="B415" s="21">
        <f ca="1">Master[[#This Row],[ChecklistID]]+Master[[#This Row],[Checklist Order]]</f>
        <v>53023</v>
      </c>
      <c r="C415" s="22"/>
      <c r="D415" s="3" t="str" cm="1">
        <f t="array" aca="1" ref="D415" ca="1">_xlfn.SWITCH(MID(Master[[#This Row],[Checklist]],1,4),"C - ","Civil","F - ","Foundation","ST -","Structure","FC -","Façade","PRE ","Pre-Line","POST","Post-Line","H - ","Handover","S - ","Services","CST ","Completion Docs", "I - ", "Inspection")</f>
        <v>Completion Docs</v>
      </c>
      <c r="E415" s="23" t="str">
        <f ca="1">IF(NOT(ISERROR(SEARCH("- S -", Master[[#This Row],[Checklist]]))), "Subcontractor",IF(NOT(ISERROR(SEARCH("- R -", Master[[#This Row],[Checklist]]))), "Ryman",IF(NOT(ISERROR(SEARCH("- C -", Master[[#This Row],[Checklist]]))), "Consultant",IF(NOT(ISERROR(SEARCH("- I -", Master[[#This Row],[Checklist]]))),  "Inspection Test Plan", "Naming Error"))))</f>
        <v>Ryman</v>
      </c>
      <c r="F415" s="24" t="str">
        <f ca="1">IF(OR(Master[[#This Row],[Type]]="checklist", Master[[#This Row],[Type]]="checklist-flat"), Master[[#This Row],[Name]], F414)</f>
        <v>CST - R - Mechanical Consent</v>
      </c>
      <c r="G415" s="3" t="s">
        <v>66</v>
      </c>
      <c r="H415" s="24" t="s">
        <v>1504</v>
      </c>
      <c r="I415" s="3"/>
      <c r="J415" s="21">
        <f ca="1">_xlfn.XLOOKUP(Master[[#This Row],[Checklist]],Ref!A:A,Ref!B:B)*1000</f>
        <v>53000</v>
      </c>
      <c r="K415" s="21">
        <f ca="1">COUNTIF($J$2:Master[[#This Row],[ChecklistID]],Master[[#This Row],[ChecklistID]])-1</f>
        <v>23</v>
      </c>
      <c r="L415" s="23" t="s">
        <v>6</v>
      </c>
    </row>
    <row r="416" spans="1:12" ht="15.75">
      <c r="A416" s="23">
        <f t="shared" si="6"/>
        <v>415</v>
      </c>
      <c r="B416" s="21">
        <f ca="1">Master[[#This Row],[ChecklistID]]+Master[[#This Row],[Checklist Order]]</f>
        <v>53024</v>
      </c>
      <c r="C416" s="22"/>
      <c r="D416" s="3" t="str" cm="1">
        <f t="array" aca="1" ref="D416" ca="1">_xlfn.SWITCH(MID(Master[[#This Row],[Checklist]],1,4),"C - ","Civil","F - ","Foundation","ST -","Structure","FC -","Façade","PRE ","Pre-Line","POST","Post-Line","H - ","Handover","S - ","Services","CST ","Completion Docs", "I - ", "Inspection")</f>
        <v>Completion Docs</v>
      </c>
      <c r="E416" s="23" t="str">
        <f ca="1">IF(NOT(ISERROR(SEARCH("- S -", Master[[#This Row],[Checklist]]))), "Subcontractor",IF(NOT(ISERROR(SEARCH("- R -", Master[[#This Row],[Checklist]]))), "Ryman",IF(NOT(ISERROR(SEARCH("- C -", Master[[#This Row],[Checklist]]))), "Consultant",IF(NOT(ISERROR(SEARCH("- I -", Master[[#This Row],[Checklist]]))),  "Inspection Test Plan", "Naming Error"))))</f>
        <v>Ryman</v>
      </c>
      <c r="F416" s="24" t="str">
        <f ca="1">IF(OR(Master[[#This Row],[Type]]="checklist", Master[[#This Row],[Type]]="checklist-flat"), Master[[#This Row],[Name]], F415)</f>
        <v>CST - R - Mechanical Consent</v>
      </c>
      <c r="G416" s="3" t="s">
        <v>66</v>
      </c>
      <c r="H416" s="24" t="s">
        <v>1505</v>
      </c>
      <c r="I416" s="3"/>
      <c r="J416" s="21">
        <f ca="1">_xlfn.XLOOKUP(Master[[#This Row],[Checklist]],Ref!A:A,Ref!B:B)*1000</f>
        <v>53000</v>
      </c>
      <c r="K416" s="21">
        <f ca="1">COUNTIF($J$2:Master[[#This Row],[ChecklistID]],Master[[#This Row],[ChecklistID]])-1</f>
        <v>24</v>
      </c>
      <c r="L416" s="23" t="s">
        <v>6</v>
      </c>
    </row>
    <row r="417" spans="1:12" ht="15.75">
      <c r="A417" s="23">
        <f t="shared" si="6"/>
        <v>416</v>
      </c>
      <c r="B417" s="21">
        <f ca="1">Master[[#This Row],[ChecklistID]]+Master[[#This Row],[Checklist Order]]</f>
        <v>53025</v>
      </c>
      <c r="C417" s="22"/>
      <c r="D417" s="3" t="str" cm="1">
        <f t="array" aca="1" ref="D417" ca="1">_xlfn.SWITCH(MID(Master[[#This Row],[Checklist]],1,4),"C - ","Civil","F - ","Foundation","ST -","Structure","FC -","Façade","PRE ","Pre-Line","POST","Post-Line","H - ","Handover","S - ","Services","CST ","Completion Docs", "I - ", "Inspection")</f>
        <v>Completion Docs</v>
      </c>
      <c r="E417" s="23" t="str">
        <f ca="1">IF(NOT(ISERROR(SEARCH("- S -", Master[[#This Row],[Checklist]]))), "Subcontractor",IF(NOT(ISERROR(SEARCH("- R -", Master[[#This Row],[Checklist]]))), "Ryman",IF(NOT(ISERROR(SEARCH("- C -", Master[[#This Row],[Checklist]]))), "Consultant",IF(NOT(ISERROR(SEARCH("- I -", Master[[#This Row],[Checklist]]))),  "Inspection Test Plan", "Naming Error"))))</f>
        <v>Ryman</v>
      </c>
      <c r="F417" s="24" t="str">
        <f ca="1">IF(OR(Master[[#This Row],[Type]]="checklist", Master[[#This Row],[Type]]="checklist-flat"), Master[[#This Row],[Name]], F416)</f>
        <v>CST - R - Mechanical Consent</v>
      </c>
      <c r="G417" s="3" t="s">
        <v>66</v>
      </c>
      <c r="H417" s="24" t="s">
        <v>1506</v>
      </c>
      <c r="I417" s="3"/>
      <c r="J417" s="21">
        <f ca="1">_xlfn.XLOOKUP(Master[[#This Row],[Checklist]],Ref!A:A,Ref!B:B)*1000</f>
        <v>53000</v>
      </c>
      <c r="K417" s="21">
        <f ca="1">COUNTIF($J$2:Master[[#This Row],[ChecklistID]],Master[[#This Row],[ChecklistID]])-1</f>
        <v>25</v>
      </c>
      <c r="L417" s="23" t="s">
        <v>6</v>
      </c>
    </row>
    <row r="418" spans="1:12" ht="15.75">
      <c r="A418" s="23">
        <f t="shared" si="6"/>
        <v>417</v>
      </c>
      <c r="B418" s="21">
        <f ca="1">Master[[#This Row],[ChecklistID]]+Master[[#This Row],[Checklist Order]]</f>
        <v>53026</v>
      </c>
      <c r="C418" s="22"/>
      <c r="D418" s="3" t="str" cm="1">
        <f t="array" aca="1" ref="D418" ca="1">_xlfn.SWITCH(MID(Master[[#This Row],[Checklist]],1,4),"C - ","Civil","F - ","Foundation","ST -","Structure","FC -","Façade","PRE ","Pre-Line","POST","Post-Line","H - ","Handover","S - ","Services","CST ","Completion Docs", "I - ", "Inspection")</f>
        <v>Completion Docs</v>
      </c>
      <c r="E418" s="23" t="str">
        <f ca="1">IF(NOT(ISERROR(SEARCH("- S -", Master[[#This Row],[Checklist]]))), "Subcontractor",IF(NOT(ISERROR(SEARCH("- R -", Master[[#This Row],[Checklist]]))), "Ryman",IF(NOT(ISERROR(SEARCH("- C -", Master[[#This Row],[Checklist]]))), "Consultant",IF(NOT(ISERROR(SEARCH("- I -", Master[[#This Row],[Checklist]]))),  "Inspection Test Plan", "Naming Error"))))</f>
        <v>Ryman</v>
      </c>
      <c r="F418" s="24" t="str">
        <f ca="1">IF(OR(Master[[#This Row],[Type]]="checklist", Master[[#This Row],[Type]]="checklist-flat"), Master[[#This Row],[Name]], F417)</f>
        <v>CST - R - Mechanical Consent</v>
      </c>
      <c r="G418" s="3" t="s">
        <v>66</v>
      </c>
      <c r="H418" s="24" t="s">
        <v>1507</v>
      </c>
      <c r="I418" s="3"/>
      <c r="J418" s="21">
        <f ca="1">_xlfn.XLOOKUP(Master[[#This Row],[Checklist]],Ref!A:A,Ref!B:B)*1000</f>
        <v>53000</v>
      </c>
      <c r="K418" s="21">
        <f ca="1">COUNTIF($J$2:Master[[#This Row],[ChecklistID]],Master[[#This Row],[ChecklistID]])-1</f>
        <v>26</v>
      </c>
      <c r="L418" s="23" t="s">
        <v>6</v>
      </c>
    </row>
    <row r="419" spans="1:12" ht="15.75">
      <c r="A419" s="23">
        <f t="shared" si="6"/>
        <v>418</v>
      </c>
      <c r="B419" s="21">
        <f ca="1">Master[[#This Row],[ChecklistID]]+Master[[#This Row],[Checklist Order]]</f>
        <v>53027</v>
      </c>
      <c r="C419" s="22"/>
      <c r="D419" s="3" t="str" cm="1">
        <f t="array" aca="1" ref="D419" ca="1">_xlfn.SWITCH(MID(Master[[#This Row],[Checklist]],1,4),"C - ","Civil","F - ","Foundation","ST -","Structure","FC -","Façade","PRE ","Pre-Line","POST","Post-Line","H - ","Handover","S - ","Services","CST ","Completion Docs", "I - ", "Inspection")</f>
        <v>Completion Docs</v>
      </c>
      <c r="E419" s="23" t="str">
        <f ca="1">IF(NOT(ISERROR(SEARCH("- S -", Master[[#This Row],[Checklist]]))), "Subcontractor",IF(NOT(ISERROR(SEARCH("- R -", Master[[#This Row],[Checklist]]))), "Ryman",IF(NOT(ISERROR(SEARCH("- C -", Master[[#This Row],[Checklist]]))), "Consultant",IF(NOT(ISERROR(SEARCH("- I -", Master[[#This Row],[Checklist]]))),  "Inspection Test Plan", "Naming Error"))))</f>
        <v>Ryman</v>
      </c>
      <c r="F419" s="24" t="str">
        <f ca="1">IF(OR(Master[[#This Row],[Type]]="checklist", Master[[#This Row],[Type]]="checklist-flat"), Master[[#This Row],[Name]], F418)</f>
        <v>CST - R - Mechanical Consent</v>
      </c>
      <c r="G419" s="3" t="s">
        <v>66</v>
      </c>
      <c r="H419" s="24" t="s">
        <v>1498</v>
      </c>
      <c r="I419" s="3"/>
      <c r="J419" s="21">
        <f ca="1">_xlfn.XLOOKUP(Master[[#This Row],[Checklist]],Ref!A:A,Ref!B:B)*1000</f>
        <v>53000</v>
      </c>
      <c r="K419" s="21">
        <f ca="1">COUNTIF($J$2:Master[[#This Row],[ChecklistID]],Master[[#This Row],[ChecklistID]])-1</f>
        <v>27</v>
      </c>
      <c r="L419" s="23" t="s">
        <v>6</v>
      </c>
    </row>
    <row r="420" spans="1:12" ht="15.75">
      <c r="A420" s="23">
        <f t="shared" si="6"/>
        <v>419</v>
      </c>
      <c r="B420" s="21">
        <f ca="1">Master[[#This Row],[ChecklistID]]+Master[[#This Row],[Checklist Order]]</f>
        <v>53028</v>
      </c>
      <c r="C420" s="22"/>
      <c r="D420" s="3" t="str" cm="1">
        <f t="array" aca="1" ref="D420" ca="1">_xlfn.SWITCH(MID(Master[[#This Row],[Checklist]],1,4),"C - ","Civil","F - ","Foundation","ST -","Structure","FC -","Façade","PRE ","Pre-Line","POST","Post-Line","H - ","Handover","S - ","Services","CST ","Completion Docs", "I - ", "Inspection")</f>
        <v>Completion Docs</v>
      </c>
      <c r="E420" s="23" t="str">
        <f ca="1">IF(NOT(ISERROR(SEARCH("- S -", Master[[#This Row],[Checklist]]))), "Subcontractor",IF(NOT(ISERROR(SEARCH("- R -", Master[[#This Row],[Checklist]]))), "Ryman",IF(NOT(ISERROR(SEARCH("- C -", Master[[#This Row],[Checklist]]))), "Consultant",IF(NOT(ISERROR(SEARCH("- I -", Master[[#This Row],[Checklist]]))),  "Inspection Test Plan", "Naming Error"))))</f>
        <v>Ryman</v>
      </c>
      <c r="F420" s="24" t="str">
        <f ca="1">IF(OR(Master[[#This Row],[Type]]="checklist", Master[[#This Row],[Type]]="checklist-flat"), Master[[#This Row],[Name]], F419)</f>
        <v>CST - R - Mechanical Consent</v>
      </c>
      <c r="G420" s="3" t="s">
        <v>66</v>
      </c>
      <c r="H420" s="24" t="s">
        <v>1499</v>
      </c>
      <c r="I420" s="3"/>
      <c r="J420" s="21">
        <f ca="1">_xlfn.XLOOKUP(Master[[#This Row],[Checklist]],Ref!A:A,Ref!B:B)*1000</f>
        <v>53000</v>
      </c>
      <c r="K420" s="21">
        <f ca="1">COUNTIF($J$2:Master[[#This Row],[ChecklistID]],Master[[#This Row],[ChecklistID]])-1</f>
        <v>28</v>
      </c>
      <c r="L420" s="23" t="s">
        <v>6</v>
      </c>
    </row>
    <row r="421" spans="1:12" ht="15.75">
      <c r="A421" s="23">
        <f t="shared" si="6"/>
        <v>420</v>
      </c>
      <c r="B421" s="21">
        <f ca="1">Master[[#This Row],[ChecklistID]]+Master[[#This Row],[Checklist Order]]</f>
        <v>53029</v>
      </c>
      <c r="C421" s="22"/>
      <c r="D421" s="3" t="str" cm="1">
        <f t="array" aca="1" ref="D421" ca="1">_xlfn.SWITCH(MID(Master[[#This Row],[Checklist]],1,4),"C - ","Civil","F - ","Foundation","ST -","Structure","FC -","Façade","PRE ","Pre-Line","POST","Post-Line","H - ","Handover","S - ","Services","CST ","Completion Docs", "I - ", "Inspection")</f>
        <v>Completion Docs</v>
      </c>
      <c r="E421" s="23" t="str">
        <f ca="1">IF(NOT(ISERROR(SEARCH("- S -", Master[[#This Row],[Checklist]]))), "Subcontractor",IF(NOT(ISERROR(SEARCH("- R -", Master[[#This Row],[Checklist]]))), "Ryman",IF(NOT(ISERROR(SEARCH("- C -", Master[[#This Row],[Checklist]]))), "Consultant",IF(NOT(ISERROR(SEARCH("- I -", Master[[#This Row],[Checklist]]))),  "Inspection Test Plan", "Naming Error"))))</f>
        <v>Ryman</v>
      </c>
      <c r="F421" s="24" t="str">
        <f ca="1">IF(OR(Master[[#This Row],[Type]]="checklist", Master[[#This Row],[Type]]="checklist-flat"), Master[[#This Row],[Name]], F420)</f>
        <v>CST - R - Mechanical Consent</v>
      </c>
      <c r="G421" s="3" t="s">
        <v>49</v>
      </c>
      <c r="H421" s="24" t="s">
        <v>1508</v>
      </c>
      <c r="I421" s="3"/>
      <c r="J421" s="21">
        <f ca="1">_xlfn.XLOOKUP(Master[[#This Row],[Checklist]],Ref!A:A,Ref!B:B)*1000</f>
        <v>53000</v>
      </c>
      <c r="K421" s="21">
        <f ca="1">COUNTIF($J$2:Master[[#This Row],[ChecklistID]],Master[[#This Row],[ChecklistID]])-1</f>
        <v>29</v>
      </c>
      <c r="L421" s="23" t="s">
        <v>6</v>
      </c>
    </row>
    <row r="422" spans="1:12" ht="15.75">
      <c r="A422" s="23">
        <f t="shared" si="6"/>
        <v>421</v>
      </c>
      <c r="B422" s="21">
        <f ca="1">Master[[#This Row],[ChecklistID]]+Master[[#This Row],[Checklist Order]]</f>
        <v>53030</v>
      </c>
      <c r="C422" s="22"/>
      <c r="D422" s="3" t="str" cm="1">
        <f t="array" aca="1" ref="D422" ca="1">_xlfn.SWITCH(MID(Master[[#This Row],[Checklist]],1,4),"C - ","Civil","F - ","Foundation","ST -","Structure","FC -","Façade","PRE ","Pre-Line","POST","Post-Line","H - ","Handover","S - ","Services","CST ","Completion Docs", "I - ", "Inspection")</f>
        <v>Completion Docs</v>
      </c>
      <c r="E422" s="23" t="str">
        <f ca="1">IF(NOT(ISERROR(SEARCH("- S -", Master[[#This Row],[Checklist]]))), "Subcontractor",IF(NOT(ISERROR(SEARCH("- R -", Master[[#This Row],[Checklist]]))), "Ryman",IF(NOT(ISERROR(SEARCH("- C -", Master[[#This Row],[Checklist]]))), "Consultant",IF(NOT(ISERROR(SEARCH("- I -", Master[[#This Row],[Checklist]]))),  "Inspection Test Plan", "Naming Error"))))</f>
        <v>Ryman</v>
      </c>
      <c r="F422" s="24" t="str">
        <f ca="1">IF(OR(Master[[#This Row],[Type]]="checklist", Master[[#This Row],[Type]]="checklist-flat"), Master[[#This Row],[Name]], F421)</f>
        <v>CST - R - Mechanical Consent</v>
      </c>
      <c r="G422" s="3" t="s">
        <v>49</v>
      </c>
      <c r="H422" s="24" t="s">
        <v>1509</v>
      </c>
      <c r="I422" s="3"/>
      <c r="J422" s="21">
        <f ca="1">_xlfn.XLOOKUP(Master[[#This Row],[Checklist]],Ref!A:A,Ref!B:B)*1000</f>
        <v>53000</v>
      </c>
      <c r="K422" s="21">
        <f ca="1">COUNTIF($J$2:Master[[#This Row],[ChecklistID]],Master[[#This Row],[ChecklistID]])-1</f>
        <v>30</v>
      </c>
      <c r="L422" s="23" t="s">
        <v>6</v>
      </c>
    </row>
    <row r="423" spans="1:12" ht="15.75">
      <c r="A423" s="23">
        <f t="shared" si="6"/>
        <v>422</v>
      </c>
      <c r="B423" s="21">
        <f ca="1">Master[[#This Row],[ChecklistID]]+Master[[#This Row],[Checklist Order]]</f>
        <v>54000</v>
      </c>
      <c r="C423" s="22"/>
      <c r="D423" s="3" t="str" cm="1">
        <f t="array" aca="1" ref="D423" ca="1">_xlfn.SWITCH(MID(Master[[#This Row],[Checklist]],1,4),"C - ","Civil","F - ","Foundation","ST -","Structure","FC -","Façade","PRE ","Pre-Line","POST","Post-Line","H - ","Handover","S - ","Services","CST ","Completion Docs", "I - ", "Inspection")</f>
        <v>Completion Docs</v>
      </c>
      <c r="E423" s="23" t="str">
        <f ca="1">IF(NOT(ISERROR(SEARCH("- S -", Master[[#This Row],[Checklist]]))), "Subcontractor",IF(NOT(ISERROR(SEARCH("- R -", Master[[#This Row],[Checklist]]))), "Ryman",IF(NOT(ISERROR(SEARCH("- C -", Master[[#This Row],[Checklist]]))), "Consultant",IF(NOT(ISERROR(SEARCH("- I -", Master[[#This Row],[Checklist]]))),  "Inspection Test Plan", "Naming Error"))))</f>
        <v>Ryman</v>
      </c>
      <c r="F423" s="24" t="str">
        <f ca="1">IF(OR(Master[[#This Row],[Type]]="checklist", Master[[#This Row],[Type]]="checklist-flat"), Master[[#This Row],[Name]], F422)</f>
        <v>CST - R - Hydraulic Consent</v>
      </c>
      <c r="G423" s="3" t="s">
        <v>48</v>
      </c>
      <c r="H423" s="24" t="s">
        <v>1510</v>
      </c>
      <c r="I423" s="3"/>
      <c r="J423" s="21">
        <f ca="1">_xlfn.XLOOKUP(Master[[#This Row],[Checklist]],Ref!A:A,Ref!B:B)*1000</f>
        <v>54000</v>
      </c>
      <c r="K423" s="21">
        <f ca="1">COUNTIF($J$2:Master[[#This Row],[ChecklistID]],Master[[#This Row],[ChecklistID]])-1</f>
        <v>0</v>
      </c>
      <c r="L423" s="23" t="s">
        <v>6</v>
      </c>
    </row>
    <row r="424" spans="1:12" ht="15.75">
      <c r="A424" s="23">
        <f t="shared" si="6"/>
        <v>423</v>
      </c>
      <c r="B424" s="21">
        <f ca="1">Master[[#This Row],[ChecklistID]]+Master[[#This Row],[Checklist Order]]</f>
        <v>54001</v>
      </c>
      <c r="C424" s="22"/>
      <c r="D424" s="3" t="str" cm="1">
        <f t="array" aca="1" ref="D424" ca="1">_xlfn.SWITCH(MID(Master[[#This Row],[Checklist]],1,4),"C - ","Civil","F - ","Foundation","ST -","Structure","FC -","Façade","PRE ","Pre-Line","POST","Post-Line","H - ","Handover","S - ","Services","CST ","Completion Docs", "I - ", "Inspection")</f>
        <v>Completion Docs</v>
      </c>
      <c r="E424" s="23" t="str">
        <f ca="1">IF(NOT(ISERROR(SEARCH("- S -", Master[[#This Row],[Checklist]]))), "Subcontractor",IF(NOT(ISERROR(SEARCH("- R -", Master[[#This Row],[Checklist]]))), "Ryman",IF(NOT(ISERROR(SEARCH("- C -", Master[[#This Row],[Checklist]]))), "Consultant",IF(NOT(ISERROR(SEARCH("- I -", Master[[#This Row],[Checklist]]))),  "Inspection Test Plan", "Naming Error"))))</f>
        <v>Ryman</v>
      </c>
      <c r="F424" s="24" t="str">
        <f ca="1">IF(OR(Master[[#This Row],[Type]]="checklist", Master[[#This Row],[Type]]="checklist-flat"), Master[[#This Row],[Name]], F423)</f>
        <v>CST - R - Hydraulic Consent</v>
      </c>
      <c r="G424" s="3" t="s">
        <v>49</v>
      </c>
      <c r="H424" s="24" t="s">
        <v>1391</v>
      </c>
      <c r="I424" s="3"/>
      <c r="J424" s="21">
        <f ca="1">_xlfn.XLOOKUP(Master[[#This Row],[Checklist]],Ref!A:A,Ref!B:B)*1000</f>
        <v>54000</v>
      </c>
      <c r="K424" s="21">
        <f ca="1">COUNTIF($J$2:Master[[#This Row],[ChecklistID]],Master[[#This Row],[ChecklistID]])-1</f>
        <v>1</v>
      </c>
      <c r="L424" s="23" t="s">
        <v>6</v>
      </c>
    </row>
    <row r="425" spans="1:12" ht="15.75">
      <c r="A425" s="23">
        <f t="shared" si="6"/>
        <v>424</v>
      </c>
      <c r="B425" s="21">
        <f ca="1">Master[[#This Row],[ChecklistID]]+Master[[#This Row],[Checklist Order]]</f>
        <v>54002</v>
      </c>
      <c r="C425" s="22"/>
      <c r="D425" s="3" t="str" cm="1">
        <f t="array" aca="1" ref="D425" ca="1">_xlfn.SWITCH(MID(Master[[#This Row],[Checklist]],1,4),"C - ","Civil","F - ","Foundation","ST -","Structure","FC -","Façade","PRE ","Pre-Line","POST","Post-Line","H - ","Handover","S - ","Services","CST ","Completion Docs", "I - ", "Inspection")</f>
        <v>Completion Docs</v>
      </c>
      <c r="E425" s="23" t="str">
        <f ca="1">IF(NOT(ISERROR(SEARCH("- S -", Master[[#This Row],[Checklist]]))), "Subcontractor",IF(NOT(ISERROR(SEARCH("- R -", Master[[#This Row],[Checklist]]))), "Ryman",IF(NOT(ISERROR(SEARCH("- C -", Master[[#This Row],[Checklist]]))), "Consultant",IF(NOT(ISERROR(SEARCH("- I -", Master[[#This Row],[Checklist]]))),  "Inspection Test Plan", "Naming Error"))))</f>
        <v>Ryman</v>
      </c>
      <c r="F425" s="24" t="str">
        <f ca="1">IF(OR(Master[[#This Row],[Type]]="checklist", Master[[#This Row],[Type]]="checklist-flat"), Master[[#This Row],[Name]], F424)</f>
        <v>CST - R - Hydraulic Consent</v>
      </c>
      <c r="G425" s="3" t="s">
        <v>49</v>
      </c>
      <c r="H425" s="24" t="s">
        <v>1392</v>
      </c>
      <c r="I425" s="3"/>
      <c r="J425" s="21">
        <f ca="1">_xlfn.XLOOKUP(Master[[#This Row],[Checklist]],Ref!A:A,Ref!B:B)*1000</f>
        <v>54000</v>
      </c>
      <c r="K425" s="21">
        <f ca="1">COUNTIF($J$2:Master[[#This Row],[ChecklistID]],Master[[#This Row],[ChecklistID]])-1</f>
        <v>2</v>
      </c>
      <c r="L425" s="23" t="s">
        <v>6</v>
      </c>
    </row>
    <row r="426" spans="1:12" ht="15.75">
      <c r="A426" s="23">
        <f t="shared" si="6"/>
        <v>425</v>
      </c>
      <c r="B426" s="21">
        <f ca="1">Master[[#This Row],[ChecklistID]]+Master[[#This Row],[Checklist Order]]</f>
        <v>54003</v>
      </c>
      <c r="C426" s="22"/>
      <c r="D426" s="3" t="str" cm="1">
        <f t="array" aca="1" ref="D426" ca="1">_xlfn.SWITCH(MID(Master[[#This Row],[Checklist]],1,4),"C - ","Civil","F - ","Foundation","ST -","Structure","FC -","Façade","PRE ","Pre-Line","POST","Post-Line","H - ","Handover","S - ","Services","CST ","Completion Docs", "I - ", "Inspection")</f>
        <v>Completion Docs</v>
      </c>
      <c r="E426" s="23" t="str">
        <f ca="1">IF(NOT(ISERROR(SEARCH("- S -", Master[[#This Row],[Checklist]]))), "Subcontractor",IF(NOT(ISERROR(SEARCH("- R -", Master[[#This Row],[Checklist]]))), "Ryman",IF(NOT(ISERROR(SEARCH("- C -", Master[[#This Row],[Checklist]]))), "Consultant",IF(NOT(ISERROR(SEARCH("- I -", Master[[#This Row],[Checklist]]))),  "Inspection Test Plan", "Naming Error"))))</f>
        <v>Ryman</v>
      </c>
      <c r="F426" s="24" t="str">
        <f ca="1">IF(OR(Master[[#This Row],[Type]]="checklist", Master[[#This Row],[Type]]="checklist-flat"), Master[[#This Row],[Name]], F425)</f>
        <v>CST - R - Hydraulic Consent</v>
      </c>
      <c r="G426" s="3" t="s">
        <v>49</v>
      </c>
      <c r="H426" s="24" t="s">
        <v>1393</v>
      </c>
      <c r="I426" s="3"/>
      <c r="J426" s="21">
        <f ca="1">_xlfn.XLOOKUP(Master[[#This Row],[Checklist]],Ref!A:A,Ref!B:B)*1000</f>
        <v>54000</v>
      </c>
      <c r="K426" s="21">
        <f ca="1">COUNTIF($J$2:Master[[#This Row],[ChecklistID]],Master[[#This Row],[ChecklistID]])-1</f>
        <v>3</v>
      </c>
      <c r="L426" s="23" t="s">
        <v>6</v>
      </c>
    </row>
    <row r="427" spans="1:12" ht="15.75">
      <c r="A427" s="23">
        <f t="shared" si="6"/>
        <v>426</v>
      </c>
      <c r="B427" s="21">
        <f ca="1">Master[[#This Row],[ChecklistID]]+Master[[#This Row],[Checklist Order]]</f>
        <v>54004</v>
      </c>
      <c r="C427" s="22"/>
      <c r="D427" s="3" t="str" cm="1">
        <f t="array" aca="1" ref="D427" ca="1">_xlfn.SWITCH(MID(Master[[#This Row],[Checklist]],1,4),"C - ","Civil","F - ","Foundation","ST -","Structure","FC -","Façade","PRE ","Pre-Line","POST","Post-Line","H - ","Handover","S - ","Services","CST ","Completion Docs", "I - ", "Inspection")</f>
        <v>Completion Docs</v>
      </c>
      <c r="E427" s="23" t="str">
        <f ca="1">IF(NOT(ISERROR(SEARCH("- S -", Master[[#This Row],[Checklist]]))), "Subcontractor",IF(NOT(ISERROR(SEARCH("- R -", Master[[#This Row],[Checklist]]))), "Ryman",IF(NOT(ISERROR(SEARCH("- C -", Master[[#This Row],[Checklist]]))), "Consultant",IF(NOT(ISERROR(SEARCH("- I -", Master[[#This Row],[Checklist]]))),  "Inspection Test Plan", "Naming Error"))))</f>
        <v>Ryman</v>
      </c>
      <c r="F427" s="24" t="str">
        <f ca="1">IF(OR(Master[[#This Row],[Type]]="checklist", Master[[#This Row],[Type]]="checklist-flat"), Master[[#This Row],[Name]], F426)</f>
        <v>CST - R - Hydraulic Consent</v>
      </c>
      <c r="G427" s="3" t="s">
        <v>49</v>
      </c>
      <c r="H427" s="24" t="s">
        <v>1394</v>
      </c>
      <c r="I427" s="3"/>
      <c r="J427" s="21">
        <f ca="1">_xlfn.XLOOKUP(Master[[#This Row],[Checklist]],Ref!A:A,Ref!B:B)*1000</f>
        <v>54000</v>
      </c>
      <c r="K427" s="21">
        <f ca="1">COUNTIF($J$2:Master[[#This Row],[ChecklistID]],Master[[#This Row],[ChecklistID]])-1</f>
        <v>4</v>
      </c>
      <c r="L427" s="23" t="s">
        <v>6</v>
      </c>
    </row>
    <row r="428" spans="1:12" ht="15.75">
      <c r="A428" s="23">
        <f t="shared" si="6"/>
        <v>427</v>
      </c>
      <c r="B428" s="21">
        <f ca="1">Master[[#This Row],[ChecklistID]]+Master[[#This Row],[Checklist Order]]</f>
        <v>54005</v>
      </c>
      <c r="C428" s="22"/>
      <c r="D428" s="3" t="str" cm="1">
        <f t="array" aca="1" ref="D428" ca="1">_xlfn.SWITCH(MID(Master[[#This Row],[Checklist]],1,4),"C - ","Civil","F - ","Foundation","ST -","Structure","FC -","Façade","PRE ","Pre-Line","POST","Post-Line","H - ","Handover","S - ","Services","CST ","Completion Docs", "I - ", "Inspection")</f>
        <v>Completion Docs</v>
      </c>
      <c r="E428" s="23" t="str">
        <f ca="1">IF(NOT(ISERROR(SEARCH("- S -", Master[[#This Row],[Checklist]]))), "Subcontractor",IF(NOT(ISERROR(SEARCH("- R -", Master[[#This Row],[Checklist]]))), "Ryman",IF(NOT(ISERROR(SEARCH("- C -", Master[[#This Row],[Checklist]]))), "Consultant",IF(NOT(ISERROR(SEARCH("- I -", Master[[#This Row],[Checklist]]))),  "Inspection Test Plan", "Naming Error"))))</f>
        <v>Ryman</v>
      </c>
      <c r="F428" s="24" t="str">
        <f ca="1">IF(OR(Master[[#This Row],[Type]]="checklist", Master[[#This Row],[Type]]="checklist-flat"), Master[[#This Row],[Name]], F427)</f>
        <v>CST - R - Hydraulic Consent</v>
      </c>
      <c r="G428" s="3" t="s">
        <v>49</v>
      </c>
      <c r="H428" s="24" t="s">
        <v>1511</v>
      </c>
      <c r="I428" s="3"/>
      <c r="J428" s="21">
        <f ca="1">_xlfn.XLOOKUP(Master[[#This Row],[Checklist]],Ref!A:A,Ref!B:B)*1000</f>
        <v>54000</v>
      </c>
      <c r="K428" s="21">
        <f ca="1">COUNTIF($J$2:Master[[#This Row],[ChecklistID]],Master[[#This Row],[ChecklistID]])-1</f>
        <v>5</v>
      </c>
      <c r="L428" s="23" t="s">
        <v>6</v>
      </c>
    </row>
    <row r="429" spans="1:12" ht="15.75">
      <c r="A429" s="23">
        <f t="shared" si="6"/>
        <v>428</v>
      </c>
      <c r="B429" s="21">
        <f ca="1">Master[[#This Row],[ChecklistID]]+Master[[#This Row],[Checklist Order]]</f>
        <v>54006</v>
      </c>
      <c r="C429" s="22"/>
      <c r="D429" s="3" t="str" cm="1">
        <f t="array" aca="1" ref="D429" ca="1">_xlfn.SWITCH(MID(Master[[#This Row],[Checklist]],1,4),"C - ","Civil","F - ","Foundation","ST -","Structure","FC -","Façade","PRE ","Pre-Line","POST","Post-Line","H - ","Handover","S - ","Services","CST ","Completion Docs", "I - ", "Inspection")</f>
        <v>Completion Docs</v>
      </c>
      <c r="E429" s="23" t="str">
        <f ca="1">IF(NOT(ISERROR(SEARCH("- S -", Master[[#This Row],[Checklist]]))), "Subcontractor",IF(NOT(ISERROR(SEARCH("- R -", Master[[#This Row],[Checklist]]))), "Ryman",IF(NOT(ISERROR(SEARCH("- C -", Master[[#This Row],[Checklist]]))), "Consultant",IF(NOT(ISERROR(SEARCH("- I -", Master[[#This Row],[Checklist]]))),  "Inspection Test Plan", "Naming Error"))))</f>
        <v>Ryman</v>
      </c>
      <c r="F429" s="24" t="str">
        <f ca="1">IF(OR(Master[[#This Row],[Type]]="checklist", Master[[#This Row],[Type]]="checklist-flat"), Master[[#This Row],[Name]], F428)</f>
        <v>CST - R - Hydraulic Consent</v>
      </c>
      <c r="G429" s="3" t="s">
        <v>66</v>
      </c>
      <c r="H429" s="24" t="s">
        <v>1512</v>
      </c>
      <c r="I429" s="3"/>
      <c r="J429" s="21">
        <f ca="1">_xlfn.XLOOKUP(Master[[#This Row],[Checklist]],Ref!A:A,Ref!B:B)*1000</f>
        <v>54000</v>
      </c>
      <c r="K429" s="21">
        <f ca="1">COUNTIF($J$2:Master[[#This Row],[ChecklistID]],Master[[#This Row],[ChecklistID]])-1</f>
        <v>6</v>
      </c>
      <c r="L429" s="23" t="s">
        <v>6</v>
      </c>
    </row>
    <row r="430" spans="1:12" ht="15.75">
      <c r="A430" s="23">
        <f t="shared" si="6"/>
        <v>429</v>
      </c>
      <c r="B430" s="21">
        <f ca="1">Master[[#This Row],[ChecklistID]]+Master[[#This Row],[Checklist Order]]</f>
        <v>54007</v>
      </c>
      <c r="C430" s="22"/>
      <c r="D430" s="3" t="str" cm="1">
        <f t="array" aca="1" ref="D430" ca="1">_xlfn.SWITCH(MID(Master[[#This Row],[Checklist]],1,4),"C - ","Civil","F - ","Foundation","ST -","Structure","FC -","Façade","PRE ","Pre-Line","POST","Post-Line","H - ","Handover","S - ","Services","CST ","Completion Docs", "I - ", "Inspection")</f>
        <v>Completion Docs</v>
      </c>
      <c r="E430" s="23" t="str">
        <f ca="1">IF(NOT(ISERROR(SEARCH("- S -", Master[[#This Row],[Checklist]]))), "Subcontractor",IF(NOT(ISERROR(SEARCH("- R -", Master[[#This Row],[Checklist]]))), "Ryman",IF(NOT(ISERROR(SEARCH("- C -", Master[[#This Row],[Checklist]]))), "Consultant",IF(NOT(ISERROR(SEARCH("- I -", Master[[#This Row],[Checklist]]))),  "Inspection Test Plan", "Naming Error"))))</f>
        <v>Ryman</v>
      </c>
      <c r="F430" s="24" t="str">
        <f ca="1">IF(OR(Master[[#This Row],[Type]]="checklist", Master[[#This Row],[Type]]="checklist-flat"), Master[[#This Row],[Name]], F429)</f>
        <v>CST - R - Hydraulic Consent</v>
      </c>
      <c r="G430" s="3" t="s">
        <v>66</v>
      </c>
      <c r="H430" s="24" t="s">
        <v>1513</v>
      </c>
      <c r="I430" s="3"/>
      <c r="J430" s="21">
        <f ca="1">_xlfn.XLOOKUP(Master[[#This Row],[Checklist]],Ref!A:A,Ref!B:B)*1000</f>
        <v>54000</v>
      </c>
      <c r="K430" s="21">
        <f ca="1">COUNTIF($J$2:Master[[#This Row],[ChecklistID]],Master[[#This Row],[ChecklistID]])-1</f>
        <v>7</v>
      </c>
      <c r="L430" s="23" t="s">
        <v>6</v>
      </c>
    </row>
    <row r="431" spans="1:12" ht="15.75">
      <c r="A431" s="23">
        <f t="shared" si="6"/>
        <v>430</v>
      </c>
      <c r="B431" s="21">
        <f ca="1">Master[[#This Row],[ChecklistID]]+Master[[#This Row],[Checklist Order]]</f>
        <v>54008</v>
      </c>
      <c r="C431" s="22"/>
      <c r="D431" s="3" t="str" cm="1">
        <f t="array" aca="1" ref="D431" ca="1">_xlfn.SWITCH(MID(Master[[#This Row],[Checklist]],1,4),"C - ","Civil","F - ","Foundation","ST -","Structure","FC -","Façade","PRE ","Pre-Line","POST","Post-Line","H - ","Handover","S - ","Services","CST ","Completion Docs", "I - ", "Inspection")</f>
        <v>Completion Docs</v>
      </c>
      <c r="E431" s="23" t="str">
        <f ca="1">IF(NOT(ISERROR(SEARCH("- S -", Master[[#This Row],[Checklist]]))), "Subcontractor",IF(NOT(ISERROR(SEARCH("- R -", Master[[#This Row],[Checklist]]))), "Ryman",IF(NOT(ISERROR(SEARCH("- C -", Master[[#This Row],[Checklist]]))), "Consultant",IF(NOT(ISERROR(SEARCH("- I -", Master[[#This Row],[Checklist]]))),  "Inspection Test Plan", "Naming Error"))))</f>
        <v>Ryman</v>
      </c>
      <c r="F431" s="24" t="str">
        <f ca="1">IF(OR(Master[[#This Row],[Type]]="checklist", Master[[#This Row],[Type]]="checklist-flat"), Master[[#This Row],[Name]], F430)</f>
        <v>CST - R - Hydraulic Consent</v>
      </c>
      <c r="G431" s="3" t="s">
        <v>66</v>
      </c>
      <c r="H431" s="24" t="s">
        <v>1514</v>
      </c>
      <c r="I431" s="3"/>
      <c r="J431" s="21">
        <f ca="1">_xlfn.XLOOKUP(Master[[#This Row],[Checklist]],Ref!A:A,Ref!B:B)*1000</f>
        <v>54000</v>
      </c>
      <c r="K431" s="21">
        <f ca="1">COUNTIF($J$2:Master[[#This Row],[ChecklistID]],Master[[#This Row],[ChecklistID]])-1</f>
        <v>8</v>
      </c>
      <c r="L431" s="23" t="s">
        <v>6</v>
      </c>
    </row>
    <row r="432" spans="1:12" ht="15.75">
      <c r="A432" s="23">
        <f t="shared" si="6"/>
        <v>431</v>
      </c>
      <c r="B432" s="21">
        <f ca="1">Master[[#This Row],[ChecklistID]]+Master[[#This Row],[Checklist Order]]</f>
        <v>54009</v>
      </c>
      <c r="C432" s="22"/>
      <c r="D432" s="3" t="str" cm="1">
        <f t="array" aca="1" ref="D432" ca="1">_xlfn.SWITCH(MID(Master[[#This Row],[Checklist]],1,4),"C - ","Civil","F - ","Foundation","ST -","Structure","FC -","Façade","PRE ","Pre-Line","POST","Post-Line","H - ","Handover","S - ","Services","CST ","Completion Docs", "I - ", "Inspection")</f>
        <v>Completion Docs</v>
      </c>
      <c r="E432" s="23" t="str">
        <f ca="1">IF(NOT(ISERROR(SEARCH("- S -", Master[[#This Row],[Checklist]]))), "Subcontractor",IF(NOT(ISERROR(SEARCH("- R -", Master[[#This Row],[Checklist]]))), "Ryman",IF(NOT(ISERROR(SEARCH("- C -", Master[[#This Row],[Checklist]]))), "Consultant",IF(NOT(ISERROR(SEARCH("- I -", Master[[#This Row],[Checklist]]))),  "Inspection Test Plan", "Naming Error"))))</f>
        <v>Ryman</v>
      </c>
      <c r="F432" s="24" t="str">
        <f ca="1">IF(OR(Master[[#This Row],[Type]]="checklist", Master[[#This Row],[Type]]="checklist-flat"), Master[[#This Row],[Name]], F431)</f>
        <v>CST - R - Hydraulic Consent</v>
      </c>
      <c r="G432" s="3" t="s">
        <v>66</v>
      </c>
      <c r="H432" s="24" t="s">
        <v>1515</v>
      </c>
      <c r="I432" s="3"/>
      <c r="J432" s="21">
        <f ca="1">_xlfn.XLOOKUP(Master[[#This Row],[Checklist]],Ref!A:A,Ref!B:B)*1000</f>
        <v>54000</v>
      </c>
      <c r="K432" s="21">
        <f ca="1">COUNTIF($J$2:Master[[#This Row],[ChecklistID]],Master[[#This Row],[ChecklistID]])-1</f>
        <v>9</v>
      </c>
      <c r="L432" s="23" t="s">
        <v>6</v>
      </c>
    </row>
    <row r="433" spans="1:12" ht="15.75">
      <c r="A433" s="23">
        <f t="shared" si="6"/>
        <v>432</v>
      </c>
      <c r="B433" s="21">
        <f ca="1">Master[[#This Row],[ChecklistID]]+Master[[#This Row],[Checklist Order]]</f>
        <v>54010</v>
      </c>
      <c r="C433" s="22"/>
      <c r="D433" s="3" t="str" cm="1">
        <f t="array" aca="1" ref="D433" ca="1">_xlfn.SWITCH(MID(Master[[#This Row],[Checklist]],1,4),"C - ","Civil","F - ","Foundation","ST -","Structure","FC -","Façade","PRE ","Pre-Line","POST","Post-Line","H - ","Handover","S - ","Services","CST ","Completion Docs", "I - ", "Inspection")</f>
        <v>Completion Docs</v>
      </c>
      <c r="E433" s="23" t="str">
        <f ca="1">IF(NOT(ISERROR(SEARCH("- S -", Master[[#This Row],[Checklist]]))), "Subcontractor",IF(NOT(ISERROR(SEARCH("- R -", Master[[#This Row],[Checklist]]))), "Ryman",IF(NOT(ISERROR(SEARCH("- C -", Master[[#This Row],[Checklist]]))), "Consultant",IF(NOT(ISERROR(SEARCH("- I -", Master[[#This Row],[Checklist]]))),  "Inspection Test Plan", "Naming Error"))))</f>
        <v>Ryman</v>
      </c>
      <c r="F433" s="24" t="str">
        <f ca="1">IF(OR(Master[[#This Row],[Type]]="checklist", Master[[#This Row],[Type]]="checklist-flat"), Master[[#This Row],[Name]], F432)</f>
        <v>CST - R - Hydraulic Consent</v>
      </c>
      <c r="G433" s="3" t="s">
        <v>49</v>
      </c>
      <c r="H433" s="24" t="s">
        <v>1516</v>
      </c>
      <c r="I433" s="3"/>
      <c r="J433" s="21">
        <f ca="1">_xlfn.XLOOKUP(Master[[#This Row],[Checklist]],Ref!A:A,Ref!B:B)*1000</f>
        <v>54000</v>
      </c>
      <c r="K433" s="21">
        <f ca="1">COUNTIF($J$2:Master[[#This Row],[ChecklistID]],Master[[#This Row],[ChecklistID]])-1</f>
        <v>10</v>
      </c>
      <c r="L433" s="23" t="s">
        <v>6</v>
      </c>
    </row>
    <row r="434" spans="1:12" ht="15.75">
      <c r="A434" s="23">
        <f t="shared" si="6"/>
        <v>433</v>
      </c>
      <c r="B434" s="21">
        <f ca="1">Master[[#This Row],[ChecklistID]]+Master[[#This Row],[Checklist Order]]</f>
        <v>54011</v>
      </c>
      <c r="C434" s="22"/>
      <c r="D434" s="3" t="str" cm="1">
        <f t="array" aca="1" ref="D434" ca="1">_xlfn.SWITCH(MID(Master[[#This Row],[Checklist]],1,4),"C - ","Civil","F - ","Foundation","ST -","Structure","FC -","Façade","PRE ","Pre-Line","POST","Post-Line","H - ","Handover","S - ","Services","CST ","Completion Docs", "I - ", "Inspection")</f>
        <v>Completion Docs</v>
      </c>
      <c r="E434" s="23" t="str">
        <f ca="1">IF(NOT(ISERROR(SEARCH("- S -", Master[[#This Row],[Checklist]]))), "Subcontractor",IF(NOT(ISERROR(SEARCH("- R -", Master[[#This Row],[Checklist]]))), "Ryman",IF(NOT(ISERROR(SEARCH("- C -", Master[[#This Row],[Checklist]]))), "Consultant",IF(NOT(ISERROR(SEARCH("- I -", Master[[#This Row],[Checklist]]))),  "Inspection Test Plan", "Naming Error"))))</f>
        <v>Ryman</v>
      </c>
      <c r="F434" s="24" t="str">
        <f ca="1">IF(OR(Master[[#This Row],[Type]]="checklist", Master[[#This Row],[Type]]="checklist-flat"), Master[[#This Row],[Name]], F433)</f>
        <v>CST - R - Hydraulic Consent</v>
      </c>
      <c r="G434" s="3" t="s">
        <v>49</v>
      </c>
      <c r="H434" s="24" t="s">
        <v>1517</v>
      </c>
      <c r="I434" s="3"/>
      <c r="J434" s="21">
        <f ca="1">_xlfn.XLOOKUP(Master[[#This Row],[Checklist]],Ref!A:A,Ref!B:B)*1000</f>
        <v>54000</v>
      </c>
      <c r="K434" s="21">
        <f ca="1">COUNTIF($J$2:Master[[#This Row],[ChecklistID]],Master[[#This Row],[ChecklistID]])-1</f>
        <v>11</v>
      </c>
      <c r="L434" s="23" t="s">
        <v>6</v>
      </c>
    </row>
    <row r="435" spans="1:12" ht="15.75">
      <c r="A435" s="23">
        <f t="shared" si="6"/>
        <v>434</v>
      </c>
      <c r="B435" s="21">
        <f ca="1">Master[[#This Row],[ChecklistID]]+Master[[#This Row],[Checklist Order]]</f>
        <v>54012</v>
      </c>
      <c r="C435" s="22"/>
      <c r="D435" s="3" t="str" cm="1">
        <f t="array" aca="1" ref="D435" ca="1">_xlfn.SWITCH(MID(Master[[#This Row],[Checklist]],1,4),"C - ","Civil","F - ","Foundation","ST -","Structure","FC -","Façade","PRE ","Pre-Line","POST","Post-Line","H - ","Handover","S - ","Services","CST ","Completion Docs", "I - ", "Inspection")</f>
        <v>Completion Docs</v>
      </c>
      <c r="E435" s="23" t="str">
        <f ca="1">IF(NOT(ISERROR(SEARCH("- S -", Master[[#This Row],[Checklist]]))), "Subcontractor",IF(NOT(ISERROR(SEARCH("- R -", Master[[#This Row],[Checklist]]))), "Ryman",IF(NOT(ISERROR(SEARCH("- C -", Master[[#This Row],[Checklist]]))), "Consultant",IF(NOT(ISERROR(SEARCH("- I -", Master[[#This Row],[Checklist]]))),  "Inspection Test Plan", "Naming Error"))))</f>
        <v>Ryman</v>
      </c>
      <c r="F435" s="24" t="str">
        <f ca="1">IF(OR(Master[[#This Row],[Type]]="checklist", Master[[#This Row],[Type]]="checklist-flat"), Master[[#This Row],[Name]], F434)</f>
        <v>CST - R - Hydraulic Consent</v>
      </c>
      <c r="G435" s="3" t="s">
        <v>66</v>
      </c>
      <c r="H435" s="24" t="s">
        <v>1518</v>
      </c>
      <c r="I435" s="3"/>
      <c r="J435" s="21">
        <f ca="1">_xlfn.XLOOKUP(Master[[#This Row],[Checklist]],Ref!A:A,Ref!B:B)*1000</f>
        <v>54000</v>
      </c>
      <c r="K435" s="21">
        <f ca="1">COUNTIF($J$2:Master[[#This Row],[ChecklistID]],Master[[#This Row],[ChecklistID]])-1</f>
        <v>12</v>
      </c>
      <c r="L435" s="23" t="s">
        <v>6</v>
      </c>
    </row>
    <row r="436" spans="1:12" ht="15.75">
      <c r="A436" s="23">
        <f t="shared" si="6"/>
        <v>435</v>
      </c>
      <c r="B436" s="21">
        <f ca="1">Master[[#This Row],[ChecklistID]]+Master[[#This Row],[Checklist Order]]</f>
        <v>54013</v>
      </c>
      <c r="C436" s="22"/>
      <c r="D436" s="3" t="str" cm="1">
        <f t="array" aca="1" ref="D436" ca="1">_xlfn.SWITCH(MID(Master[[#This Row],[Checklist]],1,4),"C - ","Civil","F - ","Foundation","ST -","Structure","FC -","Façade","PRE ","Pre-Line","POST","Post-Line","H - ","Handover","S - ","Services","CST ","Completion Docs", "I - ", "Inspection")</f>
        <v>Completion Docs</v>
      </c>
      <c r="E436" s="23" t="str">
        <f ca="1">IF(NOT(ISERROR(SEARCH("- S -", Master[[#This Row],[Checklist]]))), "Subcontractor",IF(NOT(ISERROR(SEARCH("- R -", Master[[#This Row],[Checklist]]))), "Ryman",IF(NOT(ISERROR(SEARCH("- C -", Master[[#This Row],[Checklist]]))), "Consultant",IF(NOT(ISERROR(SEARCH("- I -", Master[[#This Row],[Checklist]]))),  "Inspection Test Plan", "Naming Error"))))</f>
        <v>Ryman</v>
      </c>
      <c r="F436" s="24" t="str">
        <f ca="1">IF(OR(Master[[#This Row],[Type]]="checklist", Master[[#This Row],[Type]]="checklist-flat"), Master[[#This Row],[Name]], F435)</f>
        <v>CST - R - Hydraulic Consent</v>
      </c>
      <c r="G436" s="3" t="s">
        <v>49</v>
      </c>
      <c r="H436" s="24" t="s">
        <v>1508</v>
      </c>
      <c r="I436" s="3"/>
      <c r="J436" s="21">
        <f ca="1">_xlfn.XLOOKUP(Master[[#This Row],[Checklist]],Ref!A:A,Ref!B:B)*1000</f>
        <v>54000</v>
      </c>
      <c r="K436" s="21">
        <f ca="1">COUNTIF($J$2:Master[[#This Row],[ChecklistID]],Master[[#This Row],[ChecklistID]])-1</f>
        <v>13</v>
      </c>
      <c r="L436" s="23" t="s">
        <v>6</v>
      </c>
    </row>
    <row r="437" spans="1:12" ht="15.75">
      <c r="A437" s="23">
        <f t="shared" si="6"/>
        <v>436</v>
      </c>
      <c r="B437" s="21">
        <f ca="1">Master[[#This Row],[ChecklistID]]+Master[[#This Row],[Checklist Order]]</f>
        <v>54014</v>
      </c>
      <c r="C437" s="22"/>
      <c r="D437" s="3" t="str" cm="1">
        <f t="array" aca="1" ref="D437" ca="1">_xlfn.SWITCH(MID(Master[[#This Row],[Checklist]],1,4),"C - ","Civil","F - ","Foundation","ST -","Structure","FC -","Façade","PRE ","Pre-Line","POST","Post-Line","H - ","Handover","S - ","Services","CST ","Completion Docs", "I - ", "Inspection")</f>
        <v>Completion Docs</v>
      </c>
      <c r="E437" s="23" t="str">
        <f ca="1">IF(NOT(ISERROR(SEARCH("- S -", Master[[#This Row],[Checklist]]))), "Subcontractor",IF(NOT(ISERROR(SEARCH("- R -", Master[[#This Row],[Checklist]]))), "Ryman",IF(NOT(ISERROR(SEARCH("- C -", Master[[#This Row],[Checklist]]))), "Consultant",IF(NOT(ISERROR(SEARCH("- I -", Master[[#This Row],[Checklist]]))),  "Inspection Test Plan", "Naming Error"))))</f>
        <v>Ryman</v>
      </c>
      <c r="F437" s="24" t="str">
        <f ca="1">IF(OR(Master[[#This Row],[Type]]="checklist", Master[[#This Row],[Type]]="checklist-flat"), Master[[#This Row],[Name]], F436)</f>
        <v>CST - R - Hydraulic Consent</v>
      </c>
      <c r="G437" s="3" t="s">
        <v>49</v>
      </c>
      <c r="H437" s="24" t="s">
        <v>1509</v>
      </c>
      <c r="I437" s="3"/>
      <c r="J437" s="21">
        <f ca="1">_xlfn.XLOOKUP(Master[[#This Row],[Checklist]],Ref!A:A,Ref!B:B)*1000</f>
        <v>54000</v>
      </c>
      <c r="K437" s="21">
        <f ca="1">COUNTIF($J$2:Master[[#This Row],[ChecklistID]],Master[[#This Row],[ChecklistID]])-1</f>
        <v>14</v>
      </c>
      <c r="L437" s="23" t="s">
        <v>6</v>
      </c>
    </row>
    <row r="438" spans="1:12" ht="15.75">
      <c r="A438" s="23">
        <f t="shared" si="6"/>
        <v>437</v>
      </c>
      <c r="B438" s="21">
        <f ca="1">Master[[#This Row],[ChecklistID]]+Master[[#This Row],[Checklist Order]]</f>
        <v>55000</v>
      </c>
      <c r="C438" s="22"/>
      <c r="D438" s="3" t="str" cm="1">
        <f t="array" aca="1" ref="D438" ca="1">_xlfn.SWITCH(MID(Master[[#This Row],[Checklist]],1,4),"C - ","Civil","F - ","Foundation","ST -","Structure","FC -","Façade","PRE ","Pre-Line","POST","Post-Line","H - ","Handover","S - ","Services","CST ","Completion Docs", "I - ", "Inspection")</f>
        <v>Completion Docs</v>
      </c>
      <c r="E438" s="23" t="str">
        <f ca="1">IF(NOT(ISERROR(SEARCH("- S -", Master[[#This Row],[Checklist]]))), "Subcontractor",IF(NOT(ISERROR(SEARCH("- R -", Master[[#This Row],[Checklist]]))), "Ryman",IF(NOT(ISERROR(SEARCH("- C -", Master[[#This Row],[Checklist]]))), "Consultant",IF(NOT(ISERROR(SEARCH("- I -", Master[[#This Row],[Checklist]]))),  "Inspection Test Plan", "Naming Error"))))</f>
        <v>Ryman</v>
      </c>
      <c r="F438" s="24" t="str">
        <f ca="1">IF(OR(Master[[#This Row],[Type]]="checklist", Master[[#This Row],[Type]]="checklist-flat"), Master[[#This Row],[Name]], F437)</f>
        <v>CST - R - Fire Consent</v>
      </c>
      <c r="G438" s="3" t="s">
        <v>48</v>
      </c>
      <c r="H438" s="24" t="s">
        <v>1519</v>
      </c>
      <c r="I438" s="3"/>
      <c r="J438" s="21">
        <f ca="1">_xlfn.XLOOKUP(Master[[#This Row],[Checklist]],Ref!A:A,Ref!B:B)*1000</f>
        <v>55000</v>
      </c>
      <c r="K438" s="21">
        <f ca="1">COUNTIF($J$2:Master[[#This Row],[ChecklistID]],Master[[#This Row],[ChecklistID]])-1</f>
        <v>0</v>
      </c>
      <c r="L438" s="23" t="s">
        <v>6</v>
      </c>
    </row>
    <row r="439" spans="1:12" ht="15.75">
      <c r="A439" s="23">
        <f t="shared" si="6"/>
        <v>438</v>
      </c>
      <c r="B439" s="21">
        <f ca="1">Master[[#This Row],[ChecklistID]]+Master[[#This Row],[Checklist Order]]</f>
        <v>55001</v>
      </c>
      <c r="C439" s="22"/>
      <c r="D439" s="3" t="str" cm="1">
        <f t="array" aca="1" ref="D439" ca="1">_xlfn.SWITCH(MID(Master[[#This Row],[Checklist]],1,4),"C - ","Civil","F - ","Foundation","ST -","Structure","FC -","Façade","PRE ","Pre-Line","POST","Post-Line","H - ","Handover","S - ","Services","CST ","Completion Docs", "I - ", "Inspection")</f>
        <v>Completion Docs</v>
      </c>
      <c r="E439" s="23" t="str">
        <f ca="1">IF(NOT(ISERROR(SEARCH("- S -", Master[[#This Row],[Checklist]]))), "Subcontractor",IF(NOT(ISERROR(SEARCH("- R -", Master[[#This Row],[Checklist]]))), "Ryman",IF(NOT(ISERROR(SEARCH("- C -", Master[[#This Row],[Checklist]]))), "Consultant",IF(NOT(ISERROR(SEARCH("- I -", Master[[#This Row],[Checklist]]))),  "Inspection Test Plan", "Naming Error"))))</f>
        <v>Ryman</v>
      </c>
      <c r="F439" s="24" t="str">
        <f ca="1">IF(OR(Master[[#This Row],[Type]]="checklist", Master[[#This Row],[Type]]="checklist-flat"), Master[[#This Row],[Name]], F438)</f>
        <v>CST - R - Fire Consent</v>
      </c>
      <c r="G439" s="3" t="s">
        <v>49</v>
      </c>
      <c r="H439" s="24" t="s">
        <v>1391</v>
      </c>
      <c r="I439" s="3"/>
      <c r="J439" s="21">
        <f ca="1">_xlfn.XLOOKUP(Master[[#This Row],[Checklist]],Ref!A:A,Ref!B:B)*1000</f>
        <v>55000</v>
      </c>
      <c r="K439" s="21">
        <f ca="1">COUNTIF($J$2:Master[[#This Row],[ChecklistID]],Master[[#This Row],[ChecklistID]])-1</f>
        <v>1</v>
      </c>
      <c r="L439" s="23" t="s">
        <v>6</v>
      </c>
    </row>
    <row r="440" spans="1:12" ht="15.75">
      <c r="A440" s="23">
        <f t="shared" si="6"/>
        <v>439</v>
      </c>
      <c r="B440" s="21">
        <f ca="1">Master[[#This Row],[ChecklistID]]+Master[[#This Row],[Checklist Order]]</f>
        <v>55002</v>
      </c>
      <c r="C440" s="22"/>
      <c r="D440" s="3" t="str" cm="1">
        <f t="array" aca="1" ref="D440" ca="1">_xlfn.SWITCH(MID(Master[[#This Row],[Checklist]],1,4),"C - ","Civil","F - ","Foundation","ST -","Structure","FC -","Façade","PRE ","Pre-Line","POST","Post-Line","H - ","Handover","S - ","Services","CST ","Completion Docs", "I - ", "Inspection")</f>
        <v>Completion Docs</v>
      </c>
      <c r="E440" s="23" t="str">
        <f ca="1">IF(NOT(ISERROR(SEARCH("- S -", Master[[#This Row],[Checklist]]))), "Subcontractor",IF(NOT(ISERROR(SEARCH("- R -", Master[[#This Row],[Checklist]]))), "Ryman",IF(NOT(ISERROR(SEARCH("- C -", Master[[#This Row],[Checklist]]))), "Consultant",IF(NOT(ISERROR(SEARCH("- I -", Master[[#This Row],[Checklist]]))),  "Inspection Test Plan", "Naming Error"))))</f>
        <v>Ryman</v>
      </c>
      <c r="F440" s="24" t="str">
        <f ca="1">IF(OR(Master[[#This Row],[Type]]="checklist", Master[[#This Row],[Type]]="checklist-flat"), Master[[#This Row],[Name]], F439)</f>
        <v>CST - R - Fire Consent</v>
      </c>
      <c r="G440" s="3" t="s">
        <v>49</v>
      </c>
      <c r="H440" s="24" t="s">
        <v>1392</v>
      </c>
      <c r="I440" s="3"/>
      <c r="J440" s="21">
        <f ca="1">_xlfn.XLOOKUP(Master[[#This Row],[Checklist]],Ref!A:A,Ref!B:B)*1000</f>
        <v>55000</v>
      </c>
      <c r="K440" s="21">
        <f ca="1">COUNTIF($J$2:Master[[#This Row],[ChecklistID]],Master[[#This Row],[ChecklistID]])-1</f>
        <v>2</v>
      </c>
      <c r="L440" s="23" t="s">
        <v>6</v>
      </c>
    </row>
    <row r="441" spans="1:12" ht="15.75">
      <c r="A441" s="23">
        <f t="shared" si="6"/>
        <v>440</v>
      </c>
      <c r="B441" s="21">
        <f ca="1">Master[[#This Row],[ChecklistID]]+Master[[#This Row],[Checklist Order]]</f>
        <v>55003</v>
      </c>
      <c r="C441" s="22"/>
      <c r="D441" s="3" t="str" cm="1">
        <f t="array" aca="1" ref="D441" ca="1">_xlfn.SWITCH(MID(Master[[#This Row],[Checklist]],1,4),"C - ","Civil","F - ","Foundation","ST -","Structure","FC -","Façade","PRE ","Pre-Line","POST","Post-Line","H - ","Handover","S - ","Services","CST ","Completion Docs", "I - ", "Inspection")</f>
        <v>Completion Docs</v>
      </c>
      <c r="E441" s="23" t="str">
        <f ca="1">IF(NOT(ISERROR(SEARCH("- S -", Master[[#This Row],[Checklist]]))), "Subcontractor",IF(NOT(ISERROR(SEARCH("- R -", Master[[#This Row],[Checklist]]))), "Ryman",IF(NOT(ISERROR(SEARCH("- C -", Master[[#This Row],[Checklist]]))), "Consultant",IF(NOT(ISERROR(SEARCH("- I -", Master[[#This Row],[Checklist]]))),  "Inspection Test Plan", "Naming Error"))))</f>
        <v>Ryman</v>
      </c>
      <c r="F441" s="24" t="str">
        <f ca="1">IF(OR(Master[[#This Row],[Type]]="checklist", Master[[#This Row],[Type]]="checklist-flat"), Master[[#This Row],[Name]], F440)</f>
        <v>CST - R - Fire Consent</v>
      </c>
      <c r="G441" s="3" t="s">
        <v>49</v>
      </c>
      <c r="H441" s="24" t="s">
        <v>1393</v>
      </c>
      <c r="I441" s="3"/>
      <c r="J441" s="21">
        <f ca="1">_xlfn.XLOOKUP(Master[[#This Row],[Checklist]],Ref!A:A,Ref!B:B)*1000</f>
        <v>55000</v>
      </c>
      <c r="K441" s="21">
        <f ca="1">COUNTIF($J$2:Master[[#This Row],[ChecklistID]],Master[[#This Row],[ChecklistID]])-1</f>
        <v>3</v>
      </c>
      <c r="L441" s="23" t="s">
        <v>6</v>
      </c>
    </row>
    <row r="442" spans="1:12" ht="15.75">
      <c r="A442" s="23">
        <f t="shared" si="6"/>
        <v>441</v>
      </c>
      <c r="B442" s="21">
        <f ca="1">Master[[#This Row],[ChecklistID]]+Master[[#This Row],[Checklist Order]]</f>
        <v>55004</v>
      </c>
      <c r="C442" s="22"/>
      <c r="D442" s="3" t="str" cm="1">
        <f t="array" aca="1" ref="D442" ca="1">_xlfn.SWITCH(MID(Master[[#This Row],[Checklist]],1,4),"C - ","Civil","F - ","Foundation","ST -","Structure","FC -","Façade","PRE ","Pre-Line","POST","Post-Line","H - ","Handover","S - ","Services","CST ","Completion Docs", "I - ", "Inspection")</f>
        <v>Completion Docs</v>
      </c>
      <c r="E442" s="23" t="str">
        <f ca="1">IF(NOT(ISERROR(SEARCH("- S -", Master[[#This Row],[Checklist]]))), "Subcontractor",IF(NOT(ISERROR(SEARCH("- R -", Master[[#This Row],[Checklist]]))), "Ryman",IF(NOT(ISERROR(SEARCH("- C -", Master[[#This Row],[Checklist]]))), "Consultant",IF(NOT(ISERROR(SEARCH("- I -", Master[[#This Row],[Checklist]]))),  "Inspection Test Plan", "Naming Error"))))</f>
        <v>Ryman</v>
      </c>
      <c r="F442" s="24" t="str">
        <f ca="1">IF(OR(Master[[#This Row],[Type]]="checklist", Master[[#This Row],[Type]]="checklist-flat"), Master[[#This Row],[Name]], F441)</f>
        <v>CST - R - Fire Consent</v>
      </c>
      <c r="G442" s="3" t="s">
        <v>49</v>
      </c>
      <c r="H442" s="24" t="s">
        <v>1394</v>
      </c>
      <c r="I442" s="3"/>
      <c r="J442" s="21">
        <f ca="1">_xlfn.XLOOKUP(Master[[#This Row],[Checklist]],Ref!A:A,Ref!B:B)*1000</f>
        <v>55000</v>
      </c>
      <c r="K442" s="21">
        <f ca="1">COUNTIF($J$2:Master[[#This Row],[ChecklistID]],Master[[#This Row],[ChecklistID]])-1</f>
        <v>4</v>
      </c>
      <c r="L442" s="23" t="s">
        <v>6</v>
      </c>
    </row>
    <row r="443" spans="1:12" ht="15.75">
      <c r="A443" s="23">
        <f t="shared" si="6"/>
        <v>442</v>
      </c>
      <c r="B443" s="21">
        <f ca="1">Master[[#This Row],[ChecklistID]]+Master[[#This Row],[Checklist Order]]</f>
        <v>55005</v>
      </c>
      <c r="C443" s="22"/>
      <c r="D443" s="3" t="str" cm="1">
        <f t="array" aca="1" ref="D443" ca="1">_xlfn.SWITCH(MID(Master[[#This Row],[Checklist]],1,4),"C - ","Civil","F - ","Foundation","ST -","Structure","FC -","Façade","PRE ","Pre-Line","POST","Post-Line","H - ","Handover","S - ","Services","CST ","Completion Docs", "I - ", "Inspection")</f>
        <v>Completion Docs</v>
      </c>
      <c r="E443" s="23" t="str">
        <f ca="1">IF(NOT(ISERROR(SEARCH("- S -", Master[[#This Row],[Checklist]]))), "Subcontractor",IF(NOT(ISERROR(SEARCH("- R -", Master[[#This Row],[Checklist]]))), "Ryman",IF(NOT(ISERROR(SEARCH("- C -", Master[[#This Row],[Checklist]]))), "Consultant",IF(NOT(ISERROR(SEARCH("- I -", Master[[#This Row],[Checklist]]))),  "Inspection Test Plan", "Naming Error"))))</f>
        <v>Ryman</v>
      </c>
      <c r="F443" s="24" t="str">
        <f ca="1">IF(OR(Master[[#This Row],[Type]]="checklist", Master[[#This Row],[Type]]="checklist-flat"), Master[[#This Row],[Name]], F442)</f>
        <v>CST - R - Fire Consent</v>
      </c>
      <c r="G443" s="3" t="s">
        <v>49</v>
      </c>
      <c r="H443" s="24" t="s">
        <v>1486</v>
      </c>
      <c r="I443" s="3"/>
      <c r="J443" s="21">
        <f ca="1">_xlfn.XLOOKUP(Master[[#This Row],[Checklist]],Ref!A:A,Ref!B:B)*1000</f>
        <v>55000</v>
      </c>
      <c r="K443" s="21">
        <f ca="1">COUNTIF($J$2:Master[[#This Row],[ChecklistID]],Master[[#This Row],[ChecklistID]])-1</f>
        <v>5</v>
      </c>
      <c r="L443" s="23" t="s">
        <v>6</v>
      </c>
    </row>
    <row r="444" spans="1:12" ht="15.75">
      <c r="A444" s="23">
        <f t="shared" si="6"/>
        <v>443</v>
      </c>
      <c r="B444" s="21">
        <f ca="1">Master[[#This Row],[ChecklistID]]+Master[[#This Row],[Checklist Order]]</f>
        <v>55006</v>
      </c>
      <c r="C444" s="22"/>
      <c r="D444" s="3" t="str" cm="1">
        <f t="array" aca="1" ref="D444" ca="1">_xlfn.SWITCH(MID(Master[[#This Row],[Checklist]],1,4),"C - ","Civil","F - ","Foundation","ST -","Structure","FC -","Façade","PRE ","Pre-Line","POST","Post-Line","H - ","Handover","S - ","Services","CST ","Completion Docs", "I - ", "Inspection")</f>
        <v>Completion Docs</v>
      </c>
      <c r="E444" s="23" t="str">
        <f ca="1">IF(NOT(ISERROR(SEARCH("- S -", Master[[#This Row],[Checklist]]))), "Subcontractor",IF(NOT(ISERROR(SEARCH("- R -", Master[[#This Row],[Checklist]]))), "Ryman",IF(NOT(ISERROR(SEARCH("- C -", Master[[#This Row],[Checklist]]))), "Consultant",IF(NOT(ISERROR(SEARCH("- I -", Master[[#This Row],[Checklist]]))),  "Inspection Test Plan", "Naming Error"))))</f>
        <v>Ryman</v>
      </c>
      <c r="F444" s="24" t="str">
        <f ca="1">IF(OR(Master[[#This Row],[Type]]="checklist", Master[[#This Row],[Type]]="checklist-flat"), Master[[#This Row],[Name]], F443)</f>
        <v>CST - R - Fire Consent</v>
      </c>
      <c r="G444" s="3" t="s">
        <v>66</v>
      </c>
      <c r="H444" s="24" t="s">
        <v>1487</v>
      </c>
      <c r="I444" s="3"/>
      <c r="J444" s="21">
        <f ca="1">_xlfn.XLOOKUP(Master[[#This Row],[Checklist]],Ref!A:A,Ref!B:B)*1000</f>
        <v>55000</v>
      </c>
      <c r="K444" s="21">
        <f ca="1">COUNTIF($J$2:Master[[#This Row],[ChecklistID]],Master[[#This Row],[ChecklistID]])-1</f>
        <v>6</v>
      </c>
      <c r="L444" s="23" t="s">
        <v>6</v>
      </c>
    </row>
    <row r="445" spans="1:12" ht="15.75">
      <c r="A445" s="23">
        <f t="shared" si="6"/>
        <v>444</v>
      </c>
      <c r="B445" s="21">
        <f ca="1">Master[[#This Row],[ChecklistID]]+Master[[#This Row],[Checklist Order]]</f>
        <v>55007</v>
      </c>
      <c r="C445" s="22"/>
      <c r="D445" s="3" t="str" cm="1">
        <f t="array" aca="1" ref="D445" ca="1">_xlfn.SWITCH(MID(Master[[#This Row],[Checklist]],1,4),"C - ","Civil","F - ","Foundation","ST -","Structure","FC -","Façade","PRE ","Pre-Line","POST","Post-Line","H - ","Handover","S - ","Services","CST ","Completion Docs", "I - ", "Inspection")</f>
        <v>Completion Docs</v>
      </c>
      <c r="E445" s="23" t="str">
        <f ca="1">IF(NOT(ISERROR(SEARCH("- S -", Master[[#This Row],[Checklist]]))), "Subcontractor",IF(NOT(ISERROR(SEARCH("- R -", Master[[#This Row],[Checklist]]))), "Ryman",IF(NOT(ISERROR(SEARCH("- C -", Master[[#This Row],[Checklist]]))), "Consultant",IF(NOT(ISERROR(SEARCH("- I -", Master[[#This Row],[Checklist]]))),  "Inspection Test Plan", "Naming Error"))))</f>
        <v>Ryman</v>
      </c>
      <c r="F445" s="24" t="str">
        <f ca="1">IF(OR(Master[[#This Row],[Type]]="checklist", Master[[#This Row],[Type]]="checklist-flat"), Master[[#This Row],[Name]], F444)</f>
        <v>CST - R - Fire Consent</v>
      </c>
      <c r="G445" s="3" t="s">
        <v>66</v>
      </c>
      <c r="H445" s="24" t="s">
        <v>1488</v>
      </c>
      <c r="I445" s="3"/>
      <c r="J445" s="21">
        <f ca="1">_xlfn.XLOOKUP(Master[[#This Row],[Checklist]],Ref!A:A,Ref!B:B)*1000</f>
        <v>55000</v>
      </c>
      <c r="K445" s="21">
        <f ca="1">COUNTIF($J$2:Master[[#This Row],[ChecklistID]],Master[[#This Row],[ChecklistID]])-1</f>
        <v>7</v>
      </c>
      <c r="L445" s="23" t="s">
        <v>6</v>
      </c>
    </row>
    <row r="446" spans="1:12" ht="15.75">
      <c r="A446" s="23">
        <f t="shared" si="6"/>
        <v>445</v>
      </c>
      <c r="B446" s="21">
        <f ca="1">Master[[#This Row],[ChecklistID]]+Master[[#This Row],[Checklist Order]]</f>
        <v>55008</v>
      </c>
      <c r="C446" s="22"/>
      <c r="D446" s="3" t="str" cm="1">
        <f t="array" aca="1" ref="D446" ca="1">_xlfn.SWITCH(MID(Master[[#This Row],[Checklist]],1,4),"C - ","Civil","F - ","Foundation","ST -","Structure","FC -","Façade","PRE ","Pre-Line","POST","Post-Line","H - ","Handover","S - ","Services","CST ","Completion Docs", "I - ", "Inspection")</f>
        <v>Completion Docs</v>
      </c>
      <c r="E446" s="23" t="str">
        <f ca="1">IF(NOT(ISERROR(SEARCH("- S -", Master[[#This Row],[Checklist]]))), "Subcontractor",IF(NOT(ISERROR(SEARCH("- R -", Master[[#This Row],[Checklist]]))), "Ryman",IF(NOT(ISERROR(SEARCH("- C -", Master[[#This Row],[Checklist]]))), "Consultant",IF(NOT(ISERROR(SEARCH("- I -", Master[[#This Row],[Checklist]]))),  "Inspection Test Plan", "Naming Error"))))</f>
        <v>Ryman</v>
      </c>
      <c r="F446" s="24" t="str">
        <f ca="1">IF(OR(Master[[#This Row],[Type]]="checklist", Master[[#This Row],[Type]]="checklist-flat"), Master[[#This Row],[Name]], F445)</f>
        <v>CST - R - Fire Consent</v>
      </c>
      <c r="G446" s="3" t="s">
        <v>49</v>
      </c>
      <c r="H446" s="24" t="s">
        <v>1464</v>
      </c>
      <c r="I446" s="3"/>
      <c r="J446" s="21">
        <f ca="1">_xlfn.XLOOKUP(Master[[#This Row],[Checklist]],Ref!A:A,Ref!B:B)*1000</f>
        <v>55000</v>
      </c>
      <c r="K446" s="21">
        <f ca="1">COUNTIF($J$2:Master[[#This Row],[ChecklistID]],Master[[#This Row],[ChecklistID]])-1</f>
        <v>8</v>
      </c>
      <c r="L446" s="23" t="s">
        <v>6</v>
      </c>
    </row>
    <row r="447" spans="1:12" ht="15.75">
      <c r="A447" s="23">
        <f t="shared" si="6"/>
        <v>446</v>
      </c>
      <c r="B447" s="21">
        <f ca="1">Master[[#This Row],[ChecklistID]]+Master[[#This Row],[Checklist Order]]</f>
        <v>55009</v>
      </c>
      <c r="C447" s="22"/>
      <c r="D447" s="3" t="str" cm="1">
        <f t="array" aca="1" ref="D447" ca="1">_xlfn.SWITCH(MID(Master[[#This Row],[Checklist]],1,4),"C - ","Civil","F - ","Foundation","ST -","Structure","FC -","Façade","PRE ","Pre-Line","POST","Post-Line","H - ","Handover","S - ","Services","CST ","Completion Docs", "I - ", "Inspection")</f>
        <v>Completion Docs</v>
      </c>
      <c r="E447" s="23" t="str">
        <f ca="1">IF(NOT(ISERROR(SEARCH("- S -", Master[[#This Row],[Checklist]]))), "Subcontractor",IF(NOT(ISERROR(SEARCH("- R -", Master[[#This Row],[Checklist]]))), "Ryman",IF(NOT(ISERROR(SEARCH("- C -", Master[[#This Row],[Checklist]]))), "Consultant",IF(NOT(ISERROR(SEARCH("- I -", Master[[#This Row],[Checklist]]))),  "Inspection Test Plan", "Naming Error"))))</f>
        <v>Ryman</v>
      </c>
      <c r="F447" s="24" t="str">
        <f ca="1">IF(OR(Master[[#This Row],[Type]]="checklist", Master[[#This Row],[Type]]="checklist-flat"), Master[[#This Row],[Name]], F446)</f>
        <v>CST - R - Fire Consent</v>
      </c>
      <c r="G447" s="3" t="s">
        <v>66</v>
      </c>
      <c r="H447" s="24" t="s">
        <v>1465</v>
      </c>
      <c r="I447" s="3"/>
      <c r="J447" s="21">
        <f ca="1">_xlfn.XLOOKUP(Master[[#This Row],[Checklist]],Ref!A:A,Ref!B:B)*1000</f>
        <v>55000</v>
      </c>
      <c r="K447" s="21">
        <f ca="1">COUNTIF($J$2:Master[[#This Row],[ChecklistID]],Master[[#This Row],[ChecklistID]])-1</f>
        <v>9</v>
      </c>
      <c r="L447" s="23" t="s">
        <v>6</v>
      </c>
    </row>
    <row r="448" spans="1:12" ht="15.75">
      <c r="A448" s="23">
        <f t="shared" si="6"/>
        <v>447</v>
      </c>
      <c r="B448" s="21">
        <f ca="1">Master[[#This Row],[ChecklistID]]+Master[[#This Row],[Checklist Order]]</f>
        <v>55010</v>
      </c>
      <c r="C448" s="22"/>
      <c r="D448" s="3" t="str" cm="1">
        <f t="array" aca="1" ref="D448" ca="1">_xlfn.SWITCH(MID(Master[[#This Row],[Checklist]],1,4),"C - ","Civil","F - ","Foundation","ST -","Structure","FC -","Façade","PRE ","Pre-Line","POST","Post-Line","H - ","Handover","S - ","Services","CST ","Completion Docs", "I - ", "Inspection")</f>
        <v>Completion Docs</v>
      </c>
      <c r="E448" s="23" t="str">
        <f ca="1">IF(NOT(ISERROR(SEARCH("- S -", Master[[#This Row],[Checklist]]))), "Subcontractor",IF(NOT(ISERROR(SEARCH("- R -", Master[[#This Row],[Checklist]]))), "Ryman",IF(NOT(ISERROR(SEARCH("- C -", Master[[#This Row],[Checklist]]))), "Consultant",IF(NOT(ISERROR(SEARCH("- I -", Master[[#This Row],[Checklist]]))),  "Inspection Test Plan", "Naming Error"))))</f>
        <v>Ryman</v>
      </c>
      <c r="F448" s="24" t="str">
        <f ca="1">IF(OR(Master[[#This Row],[Type]]="checklist", Master[[#This Row],[Type]]="checklist-flat"), Master[[#This Row],[Name]], F447)</f>
        <v>CST - R - Fire Consent</v>
      </c>
      <c r="G448" s="3" t="s">
        <v>66</v>
      </c>
      <c r="H448" s="24" t="s">
        <v>1466</v>
      </c>
      <c r="I448" s="3"/>
      <c r="J448" s="21">
        <f ca="1">_xlfn.XLOOKUP(Master[[#This Row],[Checklist]],Ref!A:A,Ref!B:B)*1000</f>
        <v>55000</v>
      </c>
      <c r="K448" s="21">
        <f ca="1">COUNTIF($J$2:Master[[#This Row],[ChecklistID]],Master[[#This Row],[ChecklistID]])-1</f>
        <v>10</v>
      </c>
      <c r="L448" s="23" t="s">
        <v>6</v>
      </c>
    </row>
    <row r="449" spans="1:12" ht="15.75">
      <c r="A449" s="23">
        <f t="shared" si="6"/>
        <v>448</v>
      </c>
      <c r="B449" s="21">
        <f ca="1">Master[[#This Row],[ChecklistID]]+Master[[#This Row],[Checklist Order]]</f>
        <v>55011</v>
      </c>
      <c r="C449" s="22"/>
      <c r="D449" s="3" t="str" cm="1">
        <f t="array" aca="1" ref="D449" ca="1">_xlfn.SWITCH(MID(Master[[#This Row],[Checklist]],1,4),"C - ","Civil","F - ","Foundation","ST -","Structure","FC -","Façade","PRE ","Pre-Line","POST","Post-Line","H - ","Handover","S - ","Services","CST ","Completion Docs", "I - ", "Inspection")</f>
        <v>Completion Docs</v>
      </c>
      <c r="E449" s="23" t="str">
        <f ca="1">IF(NOT(ISERROR(SEARCH("- S -", Master[[#This Row],[Checklist]]))), "Subcontractor",IF(NOT(ISERROR(SEARCH("- R -", Master[[#This Row],[Checklist]]))), "Ryman",IF(NOT(ISERROR(SEARCH("- C -", Master[[#This Row],[Checklist]]))), "Consultant",IF(NOT(ISERROR(SEARCH("- I -", Master[[#This Row],[Checklist]]))),  "Inspection Test Plan", "Naming Error"))))</f>
        <v>Ryman</v>
      </c>
      <c r="F449" s="24" t="str">
        <f ca="1">IF(OR(Master[[#This Row],[Type]]="checklist", Master[[#This Row],[Type]]="checklist-flat"), Master[[#This Row],[Name]], F448)</f>
        <v>CST - R - Fire Consent</v>
      </c>
      <c r="G449" s="3" t="s">
        <v>66</v>
      </c>
      <c r="H449" s="24" t="s">
        <v>1467</v>
      </c>
      <c r="I449" s="3"/>
      <c r="J449" s="21">
        <f ca="1">_xlfn.XLOOKUP(Master[[#This Row],[Checklist]],Ref!A:A,Ref!B:B)*1000</f>
        <v>55000</v>
      </c>
      <c r="K449" s="21">
        <f ca="1">COUNTIF($J$2:Master[[#This Row],[ChecklistID]],Master[[#This Row],[ChecklistID]])-1</f>
        <v>11</v>
      </c>
      <c r="L449" s="23" t="s">
        <v>6</v>
      </c>
    </row>
    <row r="450" spans="1:12" ht="15.75">
      <c r="A450" s="23">
        <f t="shared" ref="A450:A513" si="7">IFERROR(A449+1,1)</f>
        <v>449</v>
      </c>
      <c r="B450" s="21">
        <f ca="1">Master[[#This Row],[ChecklistID]]+Master[[#This Row],[Checklist Order]]</f>
        <v>55012</v>
      </c>
      <c r="C450" s="22"/>
      <c r="D450" s="3" t="str" cm="1">
        <f t="array" aca="1" ref="D450" ca="1">_xlfn.SWITCH(MID(Master[[#This Row],[Checklist]],1,4),"C - ","Civil","F - ","Foundation","ST -","Structure","FC -","Façade","PRE ","Pre-Line","POST","Post-Line","H - ","Handover","S - ","Services","CST ","Completion Docs", "I - ", "Inspection")</f>
        <v>Completion Docs</v>
      </c>
      <c r="E450" s="23" t="str">
        <f ca="1">IF(NOT(ISERROR(SEARCH("- S -", Master[[#This Row],[Checklist]]))), "Subcontractor",IF(NOT(ISERROR(SEARCH("- R -", Master[[#This Row],[Checklist]]))), "Ryman",IF(NOT(ISERROR(SEARCH("- C -", Master[[#This Row],[Checklist]]))), "Consultant",IF(NOT(ISERROR(SEARCH("- I -", Master[[#This Row],[Checklist]]))),  "Inspection Test Plan", "Naming Error"))))</f>
        <v>Ryman</v>
      </c>
      <c r="F450" s="24" t="str">
        <f ca="1">IF(OR(Master[[#This Row],[Type]]="checklist", Master[[#This Row],[Type]]="checklist-flat"), Master[[#This Row],[Name]], F449)</f>
        <v>CST - R - Fire Consent</v>
      </c>
      <c r="G450" s="3" t="s">
        <v>49</v>
      </c>
      <c r="H450" s="24" t="s">
        <v>1520</v>
      </c>
      <c r="I450" s="3"/>
      <c r="J450" s="21">
        <f ca="1">_xlfn.XLOOKUP(Master[[#This Row],[Checklist]],Ref!A:A,Ref!B:B)*1000</f>
        <v>55000</v>
      </c>
      <c r="K450" s="21">
        <f ca="1">COUNTIF($J$2:Master[[#This Row],[ChecklistID]],Master[[#This Row],[ChecklistID]])-1</f>
        <v>12</v>
      </c>
      <c r="L450" s="23" t="s">
        <v>6</v>
      </c>
    </row>
    <row r="451" spans="1:12" ht="15.75">
      <c r="A451" s="23">
        <f t="shared" si="7"/>
        <v>450</v>
      </c>
      <c r="B451" s="21">
        <f ca="1">Master[[#This Row],[ChecklistID]]+Master[[#This Row],[Checklist Order]]</f>
        <v>55013</v>
      </c>
      <c r="C451" s="22"/>
      <c r="D451" s="3" t="str" cm="1">
        <f t="array" aca="1" ref="D451" ca="1">_xlfn.SWITCH(MID(Master[[#This Row],[Checklist]],1,4),"C - ","Civil","F - ","Foundation","ST -","Structure","FC -","Façade","PRE ","Pre-Line","POST","Post-Line","H - ","Handover","S - ","Services","CST ","Completion Docs", "I - ", "Inspection")</f>
        <v>Completion Docs</v>
      </c>
      <c r="E451" s="23" t="str">
        <f ca="1">IF(NOT(ISERROR(SEARCH("- S -", Master[[#This Row],[Checklist]]))), "Subcontractor",IF(NOT(ISERROR(SEARCH("- R -", Master[[#This Row],[Checklist]]))), "Ryman",IF(NOT(ISERROR(SEARCH("- C -", Master[[#This Row],[Checklist]]))), "Consultant",IF(NOT(ISERROR(SEARCH("- I -", Master[[#This Row],[Checklist]]))),  "Inspection Test Plan", "Naming Error"))))</f>
        <v>Ryman</v>
      </c>
      <c r="F451" s="24" t="str">
        <f ca="1">IF(OR(Master[[#This Row],[Type]]="checklist", Master[[#This Row],[Type]]="checklist-flat"), Master[[#This Row],[Name]], F450)</f>
        <v>CST - R - Fire Consent</v>
      </c>
      <c r="G451" s="3" t="s">
        <v>66</v>
      </c>
      <c r="H451" s="24" t="s">
        <v>1521</v>
      </c>
      <c r="I451" s="3"/>
      <c r="J451" s="21">
        <f ca="1">_xlfn.XLOOKUP(Master[[#This Row],[Checklist]],Ref!A:A,Ref!B:B)*1000</f>
        <v>55000</v>
      </c>
      <c r="K451" s="21">
        <f ca="1">COUNTIF($J$2:Master[[#This Row],[ChecklistID]],Master[[#This Row],[ChecklistID]])-1</f>
        <v>13</v>
      </c>
      <c r="L451" s="23" t="s">
        <v>6</v>
      </c>
    </row>
    <row r="452" spans="1:12" ht="15.75">
      <c r="A452" s="23">
        <f t="shared" si="7"/>
        <v>451</v>
      </c>
      <c r="B452" s="21">
        <f ca="1">Master[[#This Row],[ChecklistID]]+Master[[#This Row],[Checklist Order]]</f>
        <v>55014</v>
      </c>
      <c r="C452" s="22"/>
      <c r="D452" s="3" t="str" cm="1">
        <f t="array" aca="1" ref="D452" ca="1">_xlfn.SWITCH(MID(Master[[#This Row],[Checklist]],1,4),"C - ","Civil","F - ","Foundation","ST -","Structure","FC -","Façade","PRE ","Pre-Line","POST","Post-Line","H - ","Handover","S - ","Services","CST ","Completion Docs", "I - ", "Inspection")</f>
        <v>Completion Docs</v>
      </c>
      <c r="E452" s="23" t="str">
        <f ca="1">IF(NOT(ISERROR(SEARCH("- S -", Master[[#This Row],[Checklist]]))), "Subcontractor",IF(NOT(ISERROR(SEARCH("- R -", Master[[#This Row],[Checklist]]))), "Ryman",IF(NOT(ISERROR(SEARCH("- C -", Master[[#This Row],[Checklist]]))), "Consultant",IF(NOT(ISERROR(SEARCH("- I -", Master[[#This Row],[Checklist]]))),  "Inspection Test Plan", "Naming Error"))))</f>
        <v>Ryman</v>
      </c>
      <c r="F452" s="24" t="str">
        <f ca="1">IF(OR(Master[[#This Row],[Type]]="checklist", Master[[#This Row],[Type]]="checklist-flat"), Master[[#This Row],[Name]], F451)</f>
        <v>CST - R - Fire Consent</v>
      </c>
      <c r="G452" s="3" t="s">
        <v>66</v>
      </c>
      <c r="H452" s="24" t="s">
        <v>1522</v>
      </c>
      <c r="I452" s="3"/>
      <c r="J452" s="21">
        <f ca="1">_xlfn.XLOOKUP(Master[[#This Row],[Checklist]],Ref!A:A,Ref!B:B)*1000</f>
        <v>55000</v>
      </c>
      <c r="K452" s="21">
        <f ca="1">COUNTIF($J$2:Master[[#This Row],[ChecklistID]],Master[[#This Row],[ChecklistID]])-1</f>
        <v>14</v>
      </c>
      <c r="L452" s="23" t="s">
        <v>6</v>
      </c>
    </row>
    <row r="453" spans="1:12" ht="15.75">
      <c r="A453" s="23">
        <f t="shared" si="7"/>
        <v>452</v>
      </c>
      <c r="B453" s="21">
        <f ca="1">Master[[#This Row],[ChecklistID]]+Master[[#This Row],[Checklist Order]]</f>
        <v>55015</v>
      </c>
      <c r="C453" s="22"/>
      <c r="D453" s="3" t="str" cm="1">
        <f t="array" aca="1" ref="D453" ca="1">_xlfn.SWITCH(MID(Master[[#This Row],[Checklist]],1,4),"C - ","Civil","F - ","Foundation","ST -","Structure","FC -","Façade","PRE ","Pre-Line","POST","Post-Line","H - ","Handover","S - ","Services","CST ","Completion Docs", "I - ", "Inspection")</f>
        <v>Completion Docs</v>
      </c>
      <c r="E453" s="23" t="str">
        <f ca="1">IF(NOT(ISERROR(SEARCH("- S -", Master[[#This Row],[Checklist]]))), "Subcontractor",IF(NOT(ISERROR(SEARCH("- R -", Master[[#This Row],[Checklist]]))), "Ryman",IF(NOT(ISERROR(SEARCH("- C -", Master[[#This Row],[Checklist]]))), "Consultant",IF(NOT(ISERROR(SEARCH("- I -", Master[[#This Row],[Checklist]]))),  "Inspection Test Plan", "Naming Error"))))</f>
        <v>Ryman</v>
      </c>
      <c r="F453" s="24" t="str">
        <f ca="1">IF(OR(Master[[#This Row],[Type]]="checklist", Master[[#This Row],[Type]]="checklist-flat"), Master[[#This Row],[Name]], F452)</f>
        <v>CST - R - Fire Consent</v>
      </c>
      <c r="G453" s="3" t="s">
        <v>66</v>
      </c>
      <c r="H453" s="24" t="s">
        <v>1523</v>
      </c>
      <c r="I453" s="3"/>
      <c r="J453" s="21">
        <f ca="1">_xlfn.XLOOKUP(Master[[#This Row],[Checklist]],Ref!A:A,Ref!B:B)*1000</f>
        <v>55000</v>
      </c>
      <c r="K453" s="21">
        <f ca="1">COUNTIF($J$2:Master[[#This Row],[ChecklistID]],Master[[#This Row],[ChecklistID]])-1</f>
        <v>15</v>
      </c>
      <c r="L453" s="23" t="s">
        <v>6</v>
      </c>
    </row>
    <row r="454" spans="1:12" ht="15.75">
      <c r="A454" s="23">
        <f t="shared" si="7"/>
        <v>453</v>
      </c>
      <c r="B454" s="21">
        <f ca="1">Master[[#This Row],[ChecklistID]]+Master[[#This Row],[Checklist Order]]</f>
        <v>55016</v>
      </c>
      <c r="C454" s="22"/>
      <c r="D454" s="3" t="str" cm="1">
        <f t="array" aca="1" ref="D454" ca="1">_xlfn.SWITCH(MID(Master[[#This Row],[Checklist]],1,4),"C - ","Civil","F - ","Foundation","ST -","Structure","FC -","Façade","PRE ","Pre-Line","POST","Post-Line","H - ","Handover","S - ","Services","CST ","Completion Docs", "I - ", "Inspection")</f>
        <v>Completion Docs</v>
      </c>
      <c r="E454" s="23" t="str">
        <f ca="1">IF(NOT(ISERROR(SEARCH("- S -", Master[[#This Row],[Checklist]]))), "Subcontractor",IF(NOT(ISERROR(SEARCH("- R -", Master[[#This Row],[Checklist]]))), "Ryman",IF(NOT(ISERROR(SEARCH("- C -", Master[[#This Row],[Checklist]]))), "Consultant",IF(NOT(ISERROR(SEARCH("- I -", Master[[#This Row],[Checklist]]))),  "Inspection Test Plan", "Naming Error"))))</f>
        <v>Ryman</v>
      </c>
      <c r="F454" s="24" t="str">
        <f ca="1">IF(OR(Master[[#This Row],[Type]]="checklist", Master[[#This Row],[Type]]="checklist-flat"), Master[[#This Row],[Name]], F453)</f>
        <v>CST - R - Fire Consent</v>
      </c>
      <c r="G454" s="3" t="s">
        <v>66</v>
      </c>
      <c r="H454" s="24" t="s">
        <v>1524</v>
      </c>
      <c r="I454" s="3"/>
      <c r="J454" s="21">
        <f ca="1">_xlfn.XLOOKUP(Master[[#This Row],[Checklist]],Ref!A:A,Ref!B:B)*1000</f>
        <v>55000</v>
      </c>
      <c r="K454" s="21">
        <f ca="1">COUNTIF($J$2:Master[[#This Row],[ChecklistID]],Master[[#This Row],[ChecklistID]])-1</f>
        <v>16</v>
      </c>
      <c r="L454" s="23" t="s">
        <v>6</v>
      </c>
    </row>
    <row r="455" spans="1:12" ht="15.75">
      <c r="A455" s="23">
        <f t="shared" si="7"/>
        <v>454</v>
      </c>
      <c r="B455" s="21">
        <f ca="1">Master[[#This Row],[ChecklistID]]+Master[[#This Row],[Checklist Order]]</f>
        <v>55017</v>
      </c>
      <c r="C455" s="22"/>
      <c r="D455" s="3" t="str" cm="1">
        <f t="array" aca="1" ref="D455" ca="1">_xlfn.SWITCH(MID(Master[[#This Row],[Checklist]],1,4),"C - ","Civil","F - ","Foundation","ST -","Structure","FC -","Façade","PRE ","Pre-Line","POST","Post-Line","H - ","Handover","S - ","Services","CST ","Completion Docs", "I - ", "Inspection")</f>
        <v>Completion Docs</v>
      </c>
      <c r="E455" s="23" t="str">
        <f ca="1">IF(NOT(ISERROR(SEARCH("- S -", Master[[#This Row],[Checklist]]))), "Subcontractor",IF(NOT(ISERROR(SEARCH("- R -", Master[[#This Row],[Checklist]]))), "Ryman",IF(NOT(ISERROR(SEARCH("- C -", Master[[#This Row],[Checklist]]))), "Consultant",IF(NOT(ISERROR(SEARCH("- I -", Master[[#This Row],[Checklist]]))),  "Inspection Test Plan", "Naming Error"))))</f>
        <v>Ryman</v>
      </c>
      <c r="F455" s="24" t="str">
        <f ca="1">IF(OR(Master[[#This Row],[Type]]="checklist", Master[[#This Row],[Type]]="checklist-flat"), Master[[#This Row],[Name]], F454)</f>
        <v>CST - R - Fire Consent</v>
      </c>
      <c r="G455" s="3" t="s">
        <v>66</v>
      </c>
      <c r="H455" s="24" t="s">
        <v>1525</v>
      </c>
      <c r="I455" s="3"/>
      <c r="J455" s="21">
        <f ca="1">_xlfn.XLOOKUP(Master[[#This Row],[Checklist]],Ref!A:A,Ref!B:B)*1000</f>
        <v>55000</v>
      </c>
      <c r="K455" s="21">
        <f ca="1">COUNTIF($J$2:Master[[#This Row],[ChecklistID]],Master[[#This Row],[ChecklistID]])-1</f>
        <v>17</v>
      </c>
      <c r="L455" s="23" t="s">
        <v>6</v>
      </c>
    </row>
    <row r="456" spans="1:12" ht="15.75">
      <c r="A456" s="23">
        <f t="shared" si="7"/>
        <v>455</v>
      </c>
      <c r="B456" s="21">
        <f ca="1">Master[[#This Row],[ChecklistID]]+Master[[#This Row],[Checklist Order]]</f>
        <v>55018</v>
      </c>
      <c r="C456" s="22"/>
      <c r="D456" s="3" t="str" cm="1">
        <f t="array" aca="1" ref="D456" ca="1">_xlfn.SWITCH(MID(Master[[#This Row],[Checklist]],1,4),"C - ","Civil","F - ","Foundation","ST -","Structure","FC -","Façade","PRE ","Pre-Line","POST","Post-Line","H - ","Handover","S - ","Services","CST ","Completion Docs", "I - ", "Inspection")</f>
        <v>Completion Docs</v>
      </c>
      <c r="E456" s="23" t="str">
        <f ca="1">IF(NOT(ISERROR(SEARCH("- S -", Master[[#This Row],[Checklist]]))), "Subcontractor",IF(NOT(ISERROR(SEARCH("- R -", Master[[#This Row],[Checklist]]))), "Ryman",IF(NOT(ISERROR(SEARCH("- C -", Master[[#This Row],[Checklist]]))), "Consultant",IF(NOT(ISERROR(SEARCH("- I -", Master[[#This Row],[Checklist]]))),  "Inspection Test Plan", "Naming Error"))))</f>
        <v>Ryman</v>
      </c>
      <c r="F456" s="24" t="str">
        <f ca="1">IF(OR(Master[[#This Row],[Type]]="checklist", Master[[#This Row],[Type]]="checklist-flat"), Master[[#This Row],[Name]], F455)</f>
        <v>CST - R - Fire Consent</v>
      </c>
      <c r="G456" s="3" t="s">
        <v>831</v>
      </c>
      <c r="H456" s="24" t="s">
        <v>1526</v>
      </c>
      <c r="I456" s="3"/>
      <c r="J456" s="21">
        <f ca="1">_xlfn.XLOOKUP(Master[[#This Row],[Checklist]],Ref!A:A,Ref!B:B)*1000</f>
        <v>55000</v>
      </c>
      <c r="K456" s="21">
        <f ca="1">COUNTIF($J$2:Master[[#This Row],[ChecklistID]],Master[[#This Row],[ChecklistID]])-1</f>
        <v>18</v>
      </c>
      <c r="L456" s="23" t="s">
        <v>6</v>
      </c>
    </row>
    <row r="457" spans="1:12" ht="15.75">
      <c r="A457" s="23">
        <f t="shared" si="7"/>
        <v>456</v>
      </c>
      <c r="B457" s="21">
        <f ca="1">Master[[#This Row],[ChecklistID]]+Master[[#This Row],[Checklist Order]]</f>
        <v>55019</v>
      </c>
      <c r="C457" s="22"/>
      <c r="D457" s="3" t="str" cm="1">
        <f t="array" aca="1" ref="D457" ca="1">_xlfn.SWITCH(MID(Master[[#This Row],[Checklist]],1,4),"C - ","Civil","F - ","Foundation","ST -","Structure","FC -","Façade","PRE ","Pre-Line","POST","Post-Line","H - ","Handover","S - ","Services","CST ","Completion Docs", "I - ", "Inspection")</f>
        <v>Completion Docs</v>
      </c>
      <c r="E457" s="23" t="str">
        <f ca="1">IF(NOT(ISERROR(SEARCH("- S -", Master[[#This Row],[Checklist]]))), "Subcontractor",IF(NOT(ISERROR(SEARCH("- R -", Master[[#This Row],[Checklist]]))), "Ryman",IF(NOT(ISERROR(SEARCH("- C -", Master[[#This Row],[Checklist]]))), "Consultant",IF(NOT(ISERROR(SEARCH("- I -", Master[[#This Row],[Checklist]]))),  "Inspection Test Plan", "Naming Error"))))</f>
        <v>Ryman</v>
      </c>
      <c r="F457" s="24" t="str">
        <f ca="1">IF(OR(Master[[#This Row],[Type]]="checklist", Master[[#This Row],[Type]]="checklist-flat"), Master[[#This Row],[Name]], F456)</f>
        <v>CST - R - Fire Consent</v>
      </c>
      <c r="G457" s="3" t="s">
        <v>66</v>
      </c>
      <c r="H457" s="24" t="s">
        <v>1527</v>
      </c>
      <c r="I457" s="3"/>
      <c r="J457" s="21">
        <f ca="1">_xlfn.XLOOKUP(Master[[#This Row],[Checklist]],Ref!A:A,Ref!B:B)*1000</f>
        <v>55000</v>
      </c>
      <c r="K457" s="21">
        <f ca="1">COUNTIF($J$2:Master[[#This Row],[ChecklistID]],Master[[#This Row],[ChecklistID]])-1</f>
        <v>19</v>
      </c>
      <c r="L457" s="23" t="s">
        <v>6</v>
      </c>
    </row>
    <row r="458" spans="1:12" ht="15.75">
      <c r="A458" s="23">
        <f t="shared" si="7"/>
        <v>457</v>
      </c>
      <c r="B458" s="21">
        <f ca="1">Master[[#This Row],[ChecklistID]]+Master[[#This Row],[Checklist Order]]</f>
        <v>55020</v>
      </c>
      <c r="C458" s="22"/>
      <c r="D458" s="3" t="str" cm="1">
        <f t="array" aca="1" ref="D458" ca="1">_xlfn.SWITCH(MID(Master[[#This Row],[Checklist]],1,4),"C - ","Civil","F - ","Foundation","ST -","Structure","FC -","Façade","PRE ","Pre-Line","POST","Post-Line","H - ","Handover","S - ","Services","CST ","Completion Docs", "I - ", "Inspection")</f>
        <v>Completion Docs</v>
      </c>
      <c r="E458" s="23" t="str">
        <f ca="1">IF(NOT(ISERROR(SEARCH("- S -", Master[[#This Row],[Checklist]]))), "Subcontractor",IF(NOT(ISERROR(SEARCH("- R -", Master[[#This Row],[Checklist]]))), "Ryman",IF(NOT(ISERROR(SEARCH("- C -", Master[[#This Row],[Checklist]]))), "Consultant",IF(NOT(ISERROR(SEARCH("- I -", Master[[#This Row],[Checklist]]))),  "Inspection Test Plan", "Naming Error"))))</f>
        <v>Ryman</v>
      </c>
      <c r="F458" s="24" t="str">
        <f ca="1">IF(OR(Master[[#This Row],[Type]]="checklist", Master[[#This Row],[Type]]="checklist-flat"), Master[[#This Row],[Name]], F457)</f>
        <v>CST - R - Fire Consent</v>
      </c>
      <c r="G458" s="3" t="s">
        <v>66</v>
      </c>
      <c r="H458" s="24" t="s">
        <v>1528</v>
      </c>
      <c r="I458" s="3"/>
      <c r="J458" s="21">
        <f ca="1">_xlfn.XLOOKUP(Master[[#This Row],[Checklist]],Ref!A:A,Ref!B:B)*1000</f>
        <v>55000</v>
      </c>
      <c r="K458" s="21">
        <f ca="1">COUNTIF($J$2:Master[[#This Row],[ChecklistID]],Master[[#This Row],[ChecklistID]])-1</f>
        <v>20</v>
      </c>
      <c r="L458" s="23" t="s">
        <v>6</v>
      </c>
    </row>
    <row r="459" spans="1:12" ht="15.75">
      <c r="A459" s="23">
        <f t="shared" si="7"/>
        <v>458</v>
      </c>
      <c r="B459" s="21">
        <f ca="1">Master[[#This Row],[ChecklistID]]+Master[[#This Row],[Checklist Order]]</f>
        <v>55021</v>
      </c>
      <c r="C459" s="22"/>
      <c r="D459" s="3" t="str" cm="1">
        <f t="array" aca="1" ref="D459" ca="1">_xlfn.SWITCH(MID(Master[[#This Row],[Checklist]],1,4),"C - ","Civil","F - ","Foundation","ST -","Structure","FC -","Façade","PRE ","Pre-Line","POST","Post-Line","H - ","Handover","S - ","Services","CST ","Completion Docs", "I - ", "Inspection")</f>
        <v>Completion Docs</v>
      </c>
      <c r="E459" s="23" t="str">
        <f ca="1">IF(NOT(ISERROR(SEARCH("- S -", Master[[#This Row],[Checklist]]))), "Subcontractor",IF(NOT(ISERROR(SEARCH("- R -", Master[[#This Row],[Checklist]]))), "Ryman",IF(NOT(ISERROR(SEARCH("- C -", Master[[#This Row],[Checklist]]))), "Consultant",IF(NOT(ISERROR(SEARCH("- I -", Master[[#This Row],[Checklist]]))),  "Inspection Test Plan", "Naming Error"))))</f>
        <v>Ryman</v>
      </c>
      <c r="F459" s="24" t="str">
        <f ca="1">IF(OR(Master[[#This Row],[Type]]="checklist", Master[[#This Row],[Type]]="checklist-flat"), Master[[#This Row],[Name]], F458)</f>
        <v>CST - R - Fire Consent</v>
      </c>
      <c r="G459" s="3" t="s">
        <v>66</v>
      </c>
      <c r="H459" s="24" t="s">
        <v>1529</v>
      </c>
      <c r="I459" s="3"/>
      <c r="J459" s="21">
        <f ca="1">_xlfn.XLOOKUP(Master[[#This Row],[Checklist]],Ref!A:A,Ref!B:B)*1000</f>
        <v>55000</v>
      </c>
      <c r="K459" s="21">
        <f ca="1">COUNTIF($J$2:Master[[#This Row],[ChecklistID]],Master[[#This Row],[ChecklistID]])-1</f>
        <v>21</v>
      </c>
      <c r="L459" s="23" t="s">
        <v>6</v>
      </c>
    </row>
    <row r="460" spans="1:12" ht="15.75">
      <c r="A460" s="23">
        <f t="shared" si="7"/>
        <v>459</v>
      </c>
      <c r="B460" s="21">
        <f ca="1">Master[[#This Row],[ChecklistID]]+Master[[#This Row],[Checklist Order]]</f>
        <v>55022</v>
      </c>
      <c r="C460" s="22"/>
      <c r="D460" s="3" t="str" cm="1">
        <f t="array" aca="1" ref="D460" ca="1">_xlfn.SWITCH(MID(Master[[#This Row],[Checklist]],1,4),"C - ","Civil","F - ","Foundation","ST -","Structure","FC -","Façade","PRE ","Pre-Line","POST","Post-Line","H - ","Handover","S - ","Services","CST ","Completion Docs", "I - ", "Inspection")</f>
        <v>Completion Docs</v>
      </c>
      <c r="E460" s="23" t="str">
        <f ca="1">IF(NOT(ISERROR(SEARCH("- S -", Master[[#This Row],[Checklist]]))), "Subcontractor",IF(NOT(ISERROR(SEARCH("- R -", Master[[#This Row],[Checklist]]))), "Ryman",IF(NOT(ISERROR(SEARCH("- C -", Master[[#This Row],[Checklist]]))), "Consultant",IF(NOT(ISERROR(SEARCH("- I -", Master[[#This Row],[Checklist]]))),  "Inspection Test Plan", "Naming Error"))))</f>
        <v>Ryman</v>
      </c>
      <c r="F460" s="24" t="str">
        <f ca="1">IF(OR(Master[[#This Row],[Type]]="checklist", Master[[#This Row],[Type]]="checklist-flat"), Master[[#This Row],[Name]], F459)</f>
        <v>CST - R - Fire Consent</v>
      </c>
      <c r="G460" s="3" t="s">
        <v>49</v>
      </c>
      <c r="H460" s="24" t="s">
        <v>1530</v>
      </c>
      <c r="I460" s="3"/>
      <c r="J460" s="21">
        <f ca="1">_xlfn.XLOOKUP(Master[[#This Row],[Checklist]],Ref!A:A,Ref!B:B)*1000</f>
        <v>55000</v>
      </c>
      <c r="K460" s="21">
        <f ca="1">COUNTIF($J$2:Master[[#This Row],[ChecklistID]],Master[[#This Row],[ChecklistID]])-1</f>
        <v>22</v>
      </c>
      <c r="L460" s="23" t="s">
        <v>6</v>
      </c>
    </row>
    <row r="461" spans="1:12" ht="15.75">
      <c r="A461" s="23">
        <f t="shared" si="7"/>
        <v>460</v>
      </c>
      <c r="B461" s="21">
        <f ca="1">Master[[#This Row],[ChecklistID]]+Master[[#This Row],[Checklist Order]]</f>
        <v>55023</v>
      </c>
      <c r="C461" s="22"/>
      <c r="D461" s="3" t="str" cm="1">
        <f t="array" aca="1" ref="D461" ca="1">_xlfn.SWITCH(MID(Master[[#This Row],[Checklist]],1,4),"C - ","Civil","F - ","Foundation","ST -","Structure","FC -","Façade","PRE ","Pre-Line","POST","Post-Line","H - ","Handover","S - ","Services","CST ","Completion Docs", "I - ", "Inspection")</f>
        <v>Completion Docs</v>
      </c>
      <c r="E461" s="23" t="str">
        <f ca="1">IF(NOT(ISERROR(SEARCH("- S -", Master[[#This Row],[Checklist]]))), "Subcontractor",IF(NOT(ISERROR(SEARCH("- R -", Master[[#This Row],[Checklist]]))), "Ryman",IF(NOT(ISERROR(SEARCH("- C -", Master[[#This Row],[Checklist]]))), "Consultant",IF(NOT(ISERROR(SEARCH("- I -", Master[[#This Row],[Checklist]]))),  "Inspection Test Plan", "Naming Error"))))</f>
        <v>Ryman</v>
      </c>
      <c r="F461" s="24" t="str">
        <f ca="1">IF(OR(Master[[#This Row],[Type]]="checklist", Master[[#This Row],[Type]]="checklist-flat"), Master[[#This Row],[Name]], F460)</f>
        <v>CST - R - Fire Consent</v>
      </c>
      <c r="G461" s="3" t="s">
        <v>66</v>
      </c>
      <c r="H461" s="24" t="s">
        <v>1531</v>
      </c>
      <c r="I461" s="3"/>
      <c r="J461" s="21">
        <f ca="1">_xlfn.XLOOKUP(Master[[#This Row],[Checklist]],Ref!A:A,Ref!B:B)*1000</f>
        <v>55000</v>
      </c>
      <c r="K461" s="21">
        <f ca="1">COUNTIF($J$2:Master[[#This Row],[ChecklistID]],Master[[#This Row],[ChecklistID]])-1</f>
        <v>23</v>
      </c>
      <c r="L461" s="23" t="s">
        <v>6</v>
      </c>
    </row>
    <row r="462" spans="1:12" ht="15.75">
      <c r="A462" s="23">
        <f t="shared" si="7"/>
        <v>461</v>
      </c>
      <c r="B462" s="21">
        <f ca="1">Master[[#This Row],[ChecklistID]]+Master[[#This Row],[Checklist Order]]</f>
        <v>55024</v>
      </c>
      <c r="C462" s="22"/>
      <c r="D462" s="3" t="str" cm="1">
        <f t="array" aca="1" ref="D462" ca="1">_xlfn.SWITCH(MID(Master[[#This Row],[Checklist]],1,4),"C - ","Civil","F - ","Foundation","ST -","Structure","FC -","Façade","PRE ","Pre-Line","POST","Post-Line","H - ","Handover","S - ","Services","CST ","Completion Docs", "I - ", "Inspection")</f>
        <v>Completion Docs</v>
      </c>
      <c r="E462" s="23" t="str">
        <f ca="1">IF(NOT(ISERROR(SEARCH("- S -", Master[[#This Row],[Checklist]]))), "Subcontractor",IF(NOT(ISERROR(SEARCH("- R -", Master[[#This Row],[Checklist]]))), "Ryman",IF(NOT(ISERROR(SEARCH("- C -", Master[[#This Row],[Checklist]]))), "Consultant",IF(NOT(ISERROR(SEARCH("- I -", Master[[#This Row],[Checklist]]))),  "Inspection Test Plan", "Naming Error"))))</f>
        <v>Ryman</v>
      </c>
      <c r="F462" s="24" t="str">
        <f ca="1">IF(OR(Master[[#This Row],[Type]]="checklist", Master[[#This Row],[Type]]="checklist-flat"), Master[[#This Row],[Name]], F461)</f>
        <v>CST - R - Fire Consent</v>
      </c>
      <c r="G462" s="3" t="s">
        <v>66</v>
      </c>
      <c r="H462" s="24" t="s">
        <v>1532</v>
      </c>
      <c r="I462" s="3"/>
      <c r="J462" s="21">
        <f ca="1">_xlfn.XLOOKUP(Master[[#This Row],[Checklist]],Ref!A:A,Ref!B:B)*1000</f>
        <v>55000</v>
      </c>
      <c r="K462" s="21">
        <f ca="1">COUNTIF($J$2:Master[[#This Row],[ChecklistID]],Master[[#This Row],[ChecklistID]])-1</f>
        <v>24</v>
      </c>
      <c r="L462" s="23" t="s">
        <v>6</v>
      </c>
    </row>
    <row r="463" spans="1:12" ht="15.75">
      <c r="A463" s="23">
        <f t="shared" si="7"/>
        <v>462</v>
      </c>
      <c r="B463" s="21">
        <f ca="1">Master[[#This Row],[ChecklistID]]+Master[[#This Row],[Checklist Order]]</f>
        <v>55025</v>
      </c>
      <c r="C463" s="22"/>
      <c r="D463" s="3" t="str" cm="1">
        <f t="array" aca="1" ref="D463" ca="1">_xlfn.SWITCH(MID(Master[[#This Row],[Checklist]],1,4),"C - ","Civil","F - ","Foundation","ST -","Structure","FC -","Façade","PRE ","Pre-Line","POST","Post-Line","H - ","Handover","S - ","Services","CST ","Completion Docs", "I - ", "Inspection")</f>
        <v>Completion Docs</v>
      </c>
      <c r="E463" s="23" t="str">
        <f ca="1">IF(NOT(ISERROR(SEARCH("- S -", Master[[#This Row],[Checklist]]))), "Subcontractor",IF(NOT(ISERROR(SEARCH("- R -", Master[[#This Row],[Checklist]]))), "Ryman",IF(NOT(ISERROR(SEARCH("- C -", Master[[#This Row],[Checklist]]))), "Consultant",IF(NOT(ISERROR(SEARCH("- I -", Master[[#This Row],[Checklist]]))),  "Inspection Test Plan", "Naming Error"))))</f>
        <v>Ryman</v>
      </c>
      <c r="F463" s="24" t="str">
        <f ca="1">IF(OR(Master[[#This Row],[Type]]="checklist", Master[[#This Row],[Type]]="checklist-flat"), Master[[#This Row],[Name]], F462)</f>
        <v>CST - R - Fire Consent</v>
      </c>
      <c r="G463" s="3" t="s">
        <v>66</v>
      </c>
      <c r="H463" s="24" t="s">
        <v>1533</v>
      </c>
      <c r="I463" s="3"/>
      <c r="J463" s="21">
        <f ca="1">_xlfn.XLOOKUP(Master[[#This Row],[Checklist]],Ref!A:A,Ref!B:B)*1000</f>
        <v>55000</v>
      </c>
      <c r="K463" s="21">
        <f ca="1">COUNTIF($J$2:Master[[#This Row],[ChecklistID]],Master[[#This Row],[ChecklistID]])-1</f>
        <v>25</v>
      </c>
      <c r="L463" s="23" t="s">
        <v>6</v>
      </c>
    </row>
    <row r="464" spans="1:12" ht="15.75">
      <c r="A464" s="23">
        <f t="shared" si="7"/>
        <v>463</v>
      </c>
      <c r="B464" s="21">
        <f ca="1">Master[[#This Row],[ChecklistID]]+Master[[#This Row],[Checklist Order]]</f>
        <v>55026</v>
      </c>
      <c r="C464" s="22"/>
      <c r="D464" s="3" t="str" cm="1">
        <f t="array" aca="1" ref="D464" ca="1">_xlfn.SWITCH(MID(Master[[#This Row],[Checklist]],1,4),"C - ","Civil","F - ","Foundation","ST -","Structure","FC -","Façade","PRE ","Pre-Line","POST","Post-Line","H - ","Handover","S - ","Services","CST ","Completion Docs", "I - ", "Inspection")</f>
        <v>Completion Docs</v>
      </c>
      <c r="E464" s="23" t="str">
        <f ca="1">IF(NOT(ISERROR(SEARCH("- S -", Master[[#This Row],[Checklist]]))), "Subcontractor",IF(NOT(ISERROR(SEARCH("- R -", Master[[#This Row],[Checklist]]))), "Ryman",IF(NOT(ISERROR(SEARCH("- C -", Master[[#This Row],[Checklist]]))), "Consultant",IF(NOT(ISERROR(SEARCH("- I -", Master[[#This Row],[Checklist]]))),  "Inspection Test Plan", "Naming Error"))))</f>
        <v>Ryman</v>
      </c>
      <c r="F464" s="24" t="str">
        <f ca="1">IF(OR(Master[[#This Row],[Type]]="checklist", Master[[#This Row],[Type]]="checklist-flat"), Master[[#This Row],[Name]], F463)</f>
        <v>CST - R - Fire Consent</v>
      </c>
      <c r="G464" s="3" t="s">
        <v>49</v>
      </c>
      <c r="H464" s="24" t="s">
        <v>1534</v>
      </c>
      <c r="I464" s="3"/>
      <c r="J464" s="21">
        <f ca="1">_xlfn.XLOOKUP(Master[[#This Row],[Checklist]],Ref!A:A,Ref!B:B)*1000</f>
        <v>55000</v>
      </c>
      <c r="K464" s="21">
        <f ca="1">COUNTIF($J$2:Master[[#This Row],[ChecklistID]],Master[[#This Row],[ChecklistID]])-1</f>
        <v>26</v>
      </c>
      <c r="L464" s="23" t="s">
        <v>6</v>
      </c>
    </row>
    <row r="465" spans="1:12" ht="15.75">
      <c r="A465" s="23">
        <f t="shared" si="7"/>
        <v>464</v>
      </c>
      <c r="B465" s="21">
        <f ca="1">Master[[#This Row],[ChecklistID]]+Master[[#This Row],[Checklist Order]]</f>
        <v>55027</v>
      </c>
      <c r="C465" s="22"/>
      <c r="D465" s="3" t="str" cm="1">
        <f t="array" aca="1" ref="D465" ca="1">_xlfn.SWITCH(MID(Master[[#This Row],[Checklist]],1,4),"C - ","Civil","F - ","Foundation","ST -","Structure","FC -","Façade","PRE ","Pre-Line","POST","Post-Line","H - ","Handover","S - ","Services","CST ","Completion Docs", "I - ", "Inspection")</f>
        <v>Completion Docs</v>
      </c>
      <c r="E465" s="23" t="str">
        <f ca="1">IF(NOT(ISERROR(SEARCH("- S -", Master[[#This Row],[Checklist]]))), "Subcontractor",IF(NOT(ISERROR(SEARCH("- R -", Master[[#This Row],[Checklist]]))), "Ryman",IF(NOT(ISERROR(SEARCH("- C -", Master[[#This Row],[Checklist]]))), "Consultant",IF(NOT(ISERROR(SEARCH("- I -", Master[[#This Row],[Checklist]]))),  "Inspection Test Plan", "Naming Error"))))</f>
        <v>Ryman</v>
      </c>
      <c r="F465" s="24" t="str">
        <f ca="1">IF(OR(Master[[#This Row],[Type]]="checklist", Master[[#This Row],[Type]]="checklist-flat"), Master[[#This Row],[Name]], F464)</f>
        <v>CST - R - Fire Consent</v>
      </c>
      <c r="G465" s="3" t="s">
        <v>66</v>
      </c>
      <c r="H465" s="24" t="s">
        <v>1535</v>
      </c>
      <c r="I465" s="3"/>
      <c r="J465" s="21">
        <f ca="1">_xlfn.XLOOKUP(Master[[#This Row],[Checklist]],Ref!A:A,Ref!B:B)*1000</f>
        <v>55000</v>
      </c>
      <c r="K465" s="21">
        <f ca="1">COUNTIF($J$2:Master[[#This Row],[ChecklistID]],Master[[#This Row],[ChecklistID]])-1</f>
        <v>27</v>
      </c>
      <c r="L465" s="23" t="s">
        <v>6</v>
      </c>
    </row>
    <row r="466" spans="1:12" ht="15.75">
      <c r="A466" s="23">
        <f t="shared" si="7"/>
        <v>465</v>
      </c>
      <c r="B466" s="21">
        <f ca="1">Master[[#This Row],[ChecklistID]]+Master[[#This Row],[Checklist Order]]</f>
        <v>55028</v>
      </c>
      <c r="C466" s="22"/>
      <c r="D466" s="3" t="str" cm="1">
        <f t="array" aca="1" ref="D466" ca="1">_xlfn.SWITCH(MID(Master[[#This Row],[Checklist]],1,4),"C - ","Civil","F - ","Foundation","ST -","Structure","FC -","Façade","PRE ","Pre-Line","POST","Post-Line","H - ","Handover","S - ","Services","CST ","Completion Docs", "I - ", "Inspection")</f>
        <v>Completion Docs</v>
      </c>
      <c r="E466" s="23" t="str">
        <f ca="1">IF(NOT(ISERROR(SEARCH("- S -", Master[[#This Row],[Checklist]]))), "Subcontractor",IF(NOT(ISERROR(SEARCH("- R -", Master[[#This Row],[Checklist]]))), "Ryman",IF(NOT(ISERROR(SEARCH("- C -", Master[[#This Row],[Checklist]]))), "Consultant",IF(NOT(ISERROR(SEARCH("- I -", Master[[#This Row],[Checklist]]))),  "Inspection Test Plan", "Naming Error"))))</f>
        <v>Ryman</v>
      </c>
      <c r="F466" s="24" t="str">
        <f ca="1">IF(OR(Master[[#This Row],[Type]]="checklist", Master[[#This Row],[Type]]="checklist-flat"), Master[[#This Row],[Name]], F465)</f>
        <v>CST - R - Fire Consent</v>
      </c>
      <c r="G466" s="3" t="s">
        <v>66</v>
      </c>
      <c r="H466" s="24" t="s">
        <v>1536</v>
      </c>
      <c r="I466" s="3"/>
      <c r="J466" s="21">
        <f ca="1">_xlfn.XLOOKUP(Master[[#This Row],[Checklist]],Ref!A:A,Ref!B:B)*1000</f>
        <v>55000</v>
      </c>
      <c r="K466" s="21">
        <f ca="1">COUNTIF($J$2:Master[[#This Row],[ChecklistID]],Master[[#This Row],[ChecklistID]])-1</f>
        <v>28</v>
      </c>
      <c r="L466" s="23" t="s">
        <v>6</v>
      </c>
    </row>
    <row r="467" spans="1:12" ht="15.75">
      <c r="A467" s="23">
        <f t="shared" si="7"/>
        <v>466</v>
      </c>
      <c r="B467" s="21">
        <f ca="1">Master[[#This Row],[ChecklistID]]+Master[[#This Row],[Checklist Order]]</f>
        <v>55029</v>
      </c>
      <c r="C467" s="22"/>
      <c r="D467" s="3" t="str" cm="1">
        <f t="array" aca="1" ref="D467" ca="1">_xlfn.SWITCH(MID(Master[[#This Row],[Checklist]],1,4),"C - ","Civil","F - ","Foundation","ST -","Structure","FC -","Façade","PRE ","Pre-Line","POST","Post-Line","H - ","Handover","S - ","Services","CST ","Completion Docs", "I - ", "Inspection")</f>
        <v>Completion Docs</v>
      </c>
      <c r="E467" s="23" t="str">
        <f ca="1">IF(NOT(ISERROR(SEARCH("- S -", Master[[#This Row],[Checklist]]))), "Subcontractor",IF(NOT(ISERROR(SEARCH("- R -", Master[[#This Row],[Checklist]]))), "Ryman",IF(NOT(ISERROR(SEARCH("- C -", Master[[#This Row],[Checklist]]))), "Consultant",IF(NOT(ISERROR(SEARCH("- I -", Master[[#This Row],[Checklist]]))),  "Inspection Test Plan", "Naming Error"))))</f>
        <v>Ryman</v>
      </c>
      <c r="F467" s="24" t="str">
        <f ca="1">IF(OR(Master[[#This Row],[Type]]="checklist", Master[[#This Row],[Type]]="checklist-flat"), Master[[#This Row],[Name]], F466)</f>
        <v>CST - R - Fire Consent</v>
      </c>
      <c r="G467" s="3" t="s">
        <v>66</v>
      </c>
      <c r="H467" s="24" t="s">
        <v>1537</v>
      </c>
      <c r="I467" s="3"/>
      <c r="J467" s="21">
        <f ca="1">_xlfn.XLOOKUP(Master[[#This Row],[Checklist]],Ref!A:A,Ref!B:B)*1000</f>
        <v>55000</v>
      </c>
      <c r="K467" s="21">
        <f ca="1">COUNTIF($J$2:Master[[#This Row],[ChecklistID]],Master[[#This Row],[ChecklistID]])-1</f>
        <v>29</v>
      </c>
      <c r="L467" s="23" t="s">
        <v>6</v>
      </c>
    </row>
    <row r="468" spans="1:12" ht="15.75">
      <c r="A468" s="23">
        <f t="shared" si="7"/>
        <v>467</v>
      </c>
      <c r="B468" s="21">
        <f ca="1">Master[[#This Row],[ChecklistID]]+Master[[#This Row],[Checklist Order]]</f>
        <v>55030</v>
      </c>
      <c r="C468" s="22"/>
      <c r="D468" s="3" t="str" cm="1">
        <f t="array" aca="1" ref="D468" ca="1">_xlfn.SWITCH(MID(Master[[#This Row],[Checklist]],1,4),"C - ","Civil","F - ","Foundation","ST -","Structure","FC -","Façade","PRE ","Pre-Line","POST","Post-Line","H - ","Handover","S - ","Services","CST ","Completion Docs", "I - ", "Inspection")</f>
        <v>Completion Docs</v>
      </c>
      <c r="E468" s="23" t="str">
        <f ca="1">IF(NOT(ISERROR(SEARCH("- S -", Master[[#This Row],[Checklist]]))), "Subcontractor",IF(NOT(ISERROR(SEARCH("- R -", Master[[#This Row],[Checklist]]))), "Ryman",IF(NOT(ISERROR(SEARCH("- C -", Master[[#This Row],[Checklist]]))), "Consultant",IF(NOT(ISERROR(SEARCH("- I -", Master[[#This Row],[Checklist]]))),  "Inspection Test Plan", "Naming Error"))))</f>
        <v>Ryman</v>
      </c>
      <c r="F468" s="24" t="str">
        <f ca="1">IF(OR(Master[[#This Row],[Type]]="checklist", Master[[#This Row],[Type]]="checklist-flat"), Master[[#This Row],[Name]], F467)</f>
        <v>CST - R - Fire Consent</v>
      </c>
      <c r="G468" s="3" t="s">
        <v>49</v>
      </c>
      <c r="H468" s="24" t="s">
        <v>1538</v>
      </c>
      <c r="I468" s="3"/>
      <c r="J468" s="21">
        <f ca="1">_xlfn.XLOOKUP(Master[[#This Row],[Checklist]],Ref!A:A,Ref!B:B)*1000</f>
        <v>55000</v>
      </c>
      <c r="K468" s="21">
        <f ca="1">COUNTIF($J$2:Master[[#This Row],[ChecklistID]],Master[[#This Row],[ChecklistID]])-1</f>
        <v>30</v>
      </c>
      <c r="L468" s="23" t="s">
        <v>6</v>
      </c>
    </row>
    <row r="469" spans="1:12" ht="15.75">
      <c r="A469" s="23">
        <f t="shared" si="7"/>
        <v>468</v>
      </c>
      <c r="B469" s="21">
        <f ca="1">Master[[#This Row],[ChecklistID]]+Master[[#This Row],[Checklist Order]]</f>
        <v>55031</v>
      </c>
      <c r="C469" s="22"/>
      <c r="D469" s="3" t="str" cm="1">
        <f t="array" aca="1" ref="D469" ca="1">_xlfn.SWITCH(MID(Master[[#This Row],[Checklist]],1,4),"C - ","Civil","F - ","Foundation","ST -","Structure","FC -","Façade","PRE ","Pre-Line","POST","Post-Line","H - ","Handover","S - ","Services","CST ","Completion Docs", "I - ", "Inspection")</f>
        <v>Completion Docs</v>
      </c>
      <c r="E469" s="23" t="str">
        <f ca="1">IF(NOT(ISERROR(SEARCH("- S -", Master[[#This Row],[Checklist]]))), "Subcontractor",IF(NOT(ISERROR(SEARCH("- R -", Master[[#This Row],[Checklist]]))), "Ryman",IF(NOT(ISERROR(SEARCH("- C -", Master[[#This Row],[Checklist]]))), "Consultant",IF(NOT(ISERROR(SEARCH("- I -", Master[[#This Row],[Checklist]]))),  "Inspection Test Plan", "Naming Error"))))</f>
        <v>Ryman</v>
      </c>
      <c r="F469" s="24" t="str">
        <f ca="1">IF(OR(Master[[#This Row],[Type]]="checklist", Master[[#This Row],[Type]]="checklist-flat"), Master[[#This Row],[Name]], F468)</f>
        <v>CST - R - Fire Consent</v>
      </c>
      <c r="G469" s="3" t="s">
        <v>66</v>
      </c>
      <c r="H469" s="24" t="s">
        <v>1539</v>
      </c>
      <c r="I469" s="3"/>
      <c r="J469" s="21">
        <f ca="1">_xlfn.XLOOKUP(Master[[#This Row],[Checklist]],Ref!A:A,Ref!B:B)*1000</f>
        <v>55000</v>
      </c>
      <c r="K469" s="21">
        <f ca="1">COUNTIF($J$2:Master[[#This Row],[ChecklistID]],Master[[#This Row],[ChecklistID]])-1</f>
        <v>31</v>
      </c>
      <c r="L469" s="23" t="s">
        <v>6</v>
      </c>
    </row>
    <row r="470" spans="1:12" ht="15.75">
      <c r="A470" s="23">
        <f t="shared" si="7"/>
        <v>469</v>
      </c>
      <c r="B470" s="21">
        <f ca="1">Master[[#This Row],[ChecklistID]]+Master[[#This Row],[Checklist Order]]</f>
        <v>55032</v>
      </c>
      <c r="C470" s="22"/>
      <c r="D470" s="3" t="str" cm="1">
        <f t="array" aca="1" ref="D470" ca="1">_xlfn.SWITCH(MID(Master[[#This Row],[Checklist]],1,4),"C - ","Civil","F - ","Foundation","ST -","Structure","FC -","Façade","PRE ","Pre-Line","POST","Post-Line","H - ","Handover","S - ","Services","CST ","Completion Docs", "I - ", "Inspection")</f>
        <v>Completion Docs</v>
      </c>
      <c r="E470" s="23" t="str">
        <f ca="1">IF(NOT(ISERROR(SEARCH("- S -", Master[[#This Row],[Checklist]]))), "Subcontractor",IF(NOT(ISERROR(SEARCH("- R -", Master[[#This Row],[Checklist]]))), "Ryman",IF(NOT(ISERROR(SEARCH("- C -", Master[[#This Row],[Checklist]]))), "Consultant",IF(NOT(ISERROR(SEARCH("- I -", Master[[#This Row],[Checklist]]))),  "Inspection Test Plan", "Naming Error"))))</f>
        <v>Ryman</v>
      </c>
      <c r="F470" s="24" t="str">
        <f ca="1">IF(OR(Master[[#This Row],[Type]]="checklist", Master[[#This Row],[Type]]="checklist-flat"), Master[[#This Row],[Name]], F469)</f>
        <v>CST - R - Fire Consent</v>
      </c>
      <c r="G470" s="3" t="s">
        <v>66</v>
      </c>
      <c r="H470" s="24" t="s">
        <v>1540</v>
      </c>
      <c r="I470" s="3"/>
      <c r="J470" s="21">
        <f ca="1">_xlfn.XLOOKUP(Master[[#This Row],[Checklist]],Ref!A:A,Ref!B:B)*1000</f>
        <v>55000</v>
      </c>
      <c r="K470" s="21">
        <f ca="1">COUNTIF($J$2:Master[[#This Row],[ChecklistID]],Master[[#This Row],[ChecklistID]])-1</f>
        <v>32</v>
      </c>
      <c r="L470" s="23" t="s">
        <v>6</v>
      </c>
    </row>
    <row r="471" spans="1:12" ht="15.75">
      <c r="A471" s="23">
        <f t="shared" si="7"/>
        <v>470</v>
      </c>
      <c r="B471" s="21">
        <f ca="1">Master[[#This Row],[ChecklistID]]+Master[[#This Row],[Checklist Order]]</f>
        <v>55033</v>
      </c>
      <c r="C471" s="22"/>
      <c r="D471" s="3" t="str" cm="1">
        <f t="array" aca="1" ref="D471" ca="1">_xlfn.SWITCH(MID(Master[[#This Row],[Checklist]],1,4),"C - ","Civil","F - ","Foundation","ST -","Structure","FC -","Façade","PRE ","Pre-Line","POST","Post-Line","H - ","Handover","S - ","Services","CST ","Completion Docs", "I - ", "Inspection")</f>
        <v>Completion Docs</v>
      </c>
      <c r="E471" s="23" t="str">
        <f ca="1">IF(NOT(ISERROR(SEARCH("- S -", Master[[#This Row],[Checklist]]))), "Subcontractor",IF(NOT(ISERROR(SEARCH("- R -", Master[[#This Row],[Checklist]]))), "Ryman",IF(NOT(ISERROR(SEARCH("- C -", Master[[#This Row],[Checklist]]))), "Consultant",IF(NOT(ISERROR(SEARCH("- I -", Master[[#This Row],[Checklist]]))),  "Inspection Test Plan", "Naming Error"))))</f>
        <v>Ryman</v>
      </c>
      <c r="F471" s="24" t="str">
        <f ca="1">IF(OR(Master[[#This Row],[Type]]="checklist", Master[[#This Row],[Type]]="checklist-flat"), Master[[#This Row],[Name]], F470)</f>
        <v>CST - R - Fire Consent</v>
      </c>
      <c r="G471" s="3" t="s">
        <v>66</v>
      </c>
      <c r="H471" s="24" t="s">
        <v>1541</v>
      </c>
      <c r="I471" s="3"/>
      <c r="J471" s="21">
        <f ca="1">_xlfn.XLOOKUP(Master[[#This Row],[Checklist]],Ref!A:A,Ref!B:B)*1000</f>
        <v>55000</v>
      </c>
      <c r="K471" s="21">
        <f ca="1">COUNTIF($J$2:Master[[#This Row],[ChecklistID]],Master[[#This Row],[ChecklistID]])-1</f>
        <v>33</v>
      </c>
      <c r="L471" s="23" t="s">
        <v>6</v>
      </c>
    </row>
    <row r="472" spans="1:12" ht="15.75">
      <c r="A472" s="23">
        <f t="shared" si="7"/>
        <v>471</v>
      </c>
      <c r="B472" s="21">
        <f ca="1">Master[[#This Row],[ChecklistID]]+Master[[#This Row],[Checklist Order]]</f>
        <v>55034</v>
      </c>
      <c r="C472" s="22"/>
      <c r="D472" s="3" t="str" cm="1">
        <f t="array" aca="1" ref="D472" ca="1">_xlfn.SWITCH(MID(Master[[#This Row],[Checklist]],1,4),"C - ","Civil","F - ","Foundation","ST -","Structure","FC -","Façade","PRE ","Pre-Line","POST","Post-Line","H - ","Handover","S - ","Services","CST ","Completion Docs", "I - ", "Inspection")</f>
        <v>Completion Docs</v>
      </c>
      <c r="E472" s="23" t="str">
        <f ca="1">IF(NOT(ISERROR(SEARCH("- S -", Master[[#This Row],[Checklist]]))), "Subcontractor",IF(NOT(ISERROR(SEARCH("- R -", Master[[#This Row],[Checklist]]))), "Ryman",IF(NOT(ISERROR(SEARCH("- C -", Master[[#This Row],[Checklist]]))), "Consultant",IF(NOT(ISERROR(SEARCH("- I -", Master[[#This Row],[Checklist]]))),  "Inspection Test Plan", "Naming Error"))))</f>
        <v>Ryman</v>
      </c>
      <c r="F472" s="24" t="str">
        <f ca="1">IF(OR(Master[[#This Row],[Type]]="checklist", Master[[#This Row],[Type]]="checklist-flat"), Master[[#This Row],[Name]], F471)</f>
        <v>CST - R - Fire Consent</v>
      </c>
      <c r="G472" s="3" t="s">
        <v>66</v>
      </c>
      <c r="H472" s="24" t="s">
        <v>1542</v>
      </c>
      <c r="I472" s="3"/>
      <c r="J472" s="21">
        <f ca="1">_xlfn.XLOOKUP(Master[[#This Row],[Checklist]],Ref!A:A,Ref!B:B)*1000</f>
        <v>55000</v>
      </c>
      <c r="K472" s="21">
        <f ca="1">COUNTIF($J$2:Master[[#This Row],[ChecklistID]],Master[[#This Row],[ChecklistID]])-1</f>
        <v>34</v>
      </c>
      <c r="L472" s="23" t="s">
        <v>6</v>
      </c>
    </row>
    <row r="473" spans="1:12" ht="15.75">
      <c r="A473" s="23">
        <f t="shared" si="7"/>
        <v>472</v>
      </c>
      <c r="B473" s="21">
        <f ca="1">Master[[#This Row],[ChecklistID]]+Master[[#This Row],[Checklist Order]]</f>
        <v>55035</v>
      </c>
      <c r="C473" s="22"/>
      <c r="D473" s="3" t="str" cm="1">
        <f t="array" aca="1" ref="D473" ca="1">_xlfn.SWITCH(MID(Master[[#This Row],[Checklist]],1,4),"C - ","Civil","F - ","Foundation","ST -","Structure","FC -","Façade","PRE ","Pre-Line","POST","Post-Line","H - ","Handover","S - ","Services","CST ","Completion Docs", "I - ", "Inspection")</f>
        <v>Completion Docs</v>
      </c>
      <c r="E473" s="23" t="str">
        <f ca="1">IF(NOT(ISERROR(SEARCH("- S -", Master[[#This Row],[Checklist]]))), "Subcontractor",IF(NOT(ISERROR(SEARCH("- R -", Master[[#This Row],[Checklist]]))), "Ryman",IF(NOT(ISERROR(SEARCH("- C -", Master[[#This Row],[Checklist]]))), "Consultant",IF(NOT(ISERROR(SEARCH("- I -", Master[[#This Row],[Checklist]]))),  "Inspection Test Plan", "Naming Error"))))</f>
        <v>Ryman</v>
      </c>
      <c r="F473" s="24" t="str">
        <f ca="1">IF(OR(Master[[#This Row],[Type]]="checklist", Master[[#This Row],[Type]]="checklist-flat"), Master[[#This Row],[Name]], F472)</f>
        <v>CST - R - Fire Consent</v>
      </c>
      <c r="G473" s="3" t="s">
        <v>66</v>
      </c>
      <c r="H473" s="24" t="s">
        <v>1543</v>
      </c>
      <c r="I473" s="3"/>
      <c r="J473" s="21">
        <f ca="1">_xlfn.XLOOKUP(Master[[#This Row],[Checklist]],Ref!A:A,Ref!B:B)*1000</f>
        <v>55000</v>
      </c>
      <c r="K473" s="21">
        <f ca="1">COUNTIF($J$2:Master[[#This Row],[ChecklistID]],Master[[#This Row],[ChecklistID]])-1</f>
        <v>35</v>
      </c>
      <c r="L473" s="23" t="s">
        <v>6</v>
      </c>
    </row>
    <row r="474" spans="1:12" ht="15.75">
      <c r="A474" s="23">
        <f t="shared" si="7"/>
        <v>473</v>
      </c>
      <c r="B474" s="21">
        <f ca="1">Master[[#This Row],[ChecklistID]]+Master[[#This Row],[Checklist Order]]</f>
        <v>55036</v>
      </c>
      <c r="C474" s="22"/>
      <c r="D474" s="3" t="str" cm="1">
        <f t="array" aca="1" ref="D474" ca="1">_xlfn.SWITCH(MID(Master[[#This Row],[Checklist]],1,4),"C - ","Civil","F - ","Foundation","ST -","Structure","FC -","Façade","PRE ","Pre-Line","POST","Post-Line","H - ","Handover","S - ","Services","CST ","Completion Docs", "I - ", "Inspection")</f>
        <v>Completion Docs</v>
      </c>
      <c r="E474" s="23" t="str">
        <f ca="1">IF(NOT(ISERROR(SEARCH("- S -", Master[[#This Row],[Checklist]]))), "Subcontractor",IF(NOT(ISERROR(SEARCH("- R -", Master[[#This Row],[Checklist]]))), "Ryman",IF(NOT(ISERROR(SEARCH("- C -", Master[[#This Row],[Checklist]]))), "Consultant",IF(NOT(ISERROR(SEARCH("- I -", Master[[#This Row],[Checklist]]))),  "Inspection Test Plan", "Naming Error"))))</f>
        <v>Ryman</v>
      </c>
      <c r="F474" s="24" t="str">
        <f ca="1">IF(OR(Master[[#This Row],[Type]]="checklist", Master[[#This Row],[Type]]="checklist-flat"), Master[[#This Row],[Name]], F473)</f>
        <v>CST - R - Fire Consent</v>
      </c>
      <c r="G474" s="3" t="s">
        <v>66</v>
      </c>
      <c r="H474" s="24" t="s">
        <v>1500</v>
      </c>
      <c r="I474" s="3"/>
      <c r="J474" s="21">
        <f ca="1">_xlfn.XLOOKUP(Master[[#This Row],[Checklist]],Ref!A:A,Ref!B:B)*1000</f>
        <v>55000</v>
      </c>
      <c r="K474" s="21">
        <f ca="1">COUNTIF($J$2:Master[[#This Row],[ChecklistID]],Master[[#This Row],[ChecklistID]])-1</f>
        <v>36</v>
      </c>
      <c r="L474" s="23" t="s">
        <v>6</v>
      </c>
    </row>
    <row r="475" spans="1:12" ht="15.75">
      <c r="A475" s="23">
        <f t="shared" si="7"/>
        <v>474</v>
      </c>
      <c r="B475" s="21">
        <f ca="1">Master[[#This Row],[ChecklistID]]+Master[[#This Row],[Checklist Order]]</f>
        <v>55037</v>
      </c>
      <c r="C475" s="22"/>
      <c r="D475" s="3" t="str" cm="1">
        <f t="array" aca="1" ref="D475" ca="1">_xlfn.SWITCH(MID(Master[[#This Row],[Checklist]],1,4),"C - ","Civil","F - ","Foundation","ST -","Structure","FC -","Façade","PRE ","Pre-Line","POST","Post-Line","H - ","Handover","S - ","Services","CST ","Completion Docs", "I - ", "Inspection")</f>
        <v>Completion Docs</v>
      </c>
      <c r="E475" s="23" t="str">
        <f ca="1">IF(NOT(ISERROR(SEARCH("- S -", Master[[#This Row],[Checklist]]))), "Subcontractor",IF(NOT(ISERROR(SEARCH("- R -", Master[[#This Row],[Checklist]]))), "Ryman",IF(NOT(ISERROR(SEARCH("- C -", Master[[#This Row],[Checklist]]))), "Consultant",IF(NOT(ISERROR(SEARCH("- I -", Master[[#This Row],[Checklist]]))),  "Inspection Test Plan", "Naming Error"))))</f>
        <v>Ryman</v>
      </c>
      <c r="F475" s="24" t="str">
        <f ca="1">IF(OR(Master[[#This Row],[Type]]="checklist", Master[[#This Row],[Type]]="checklist-flat"), Master[[#This Row],[Name]], F474)</f>
        <v>CST - R - Fire Consent</v>
      </c>
      <c r="G475" s="3" t="s">
        <v>831</v>
      </c>
      <c r="H475" s="24" t="s">
        <v>1544</v>
      </c>
      <c r="I475" s="3"/>
      <c r="J475" s="21">
        <f ca="1">_xlfn.XLOOKUP(Master[[#This Row],[Checklist]],Ref!A:A,Ref!B:B)*1000</f>
        <v>55000</v>
      </c>
      <c r="K475" s="21">
        <f ca="1">COUNTIF($J$2:Master[[#This Row],[ChecklistID]],Master[[#This Row],[ChecklistID]])-1</f>
        <v>37</v>
      </c>
      <c r="L475" s="23" t="s">
        <v>6</v>
      </c>
    </row>
    <row r="476" spans="1:12" ht="15.75">
      <c r="A476" s="23">
        <f t="shared" si="7"/>
        <v>475</v>
      </c>
      <c r="B476" s="21">
        <f ca="1">Master[[#This Row],[ChecklistID]]+Master[[#This Row],[Checklist Order]]</f>
        <v>55038</v>
      </c>
      <c r="C476" s="22"/>
      <c r="D476" s="3" t="str" cm="1">
        <f t="array" aca="1" ref="D476" ca="1">_xlfn.SWITCH(MID(Master[[#This Row],[Checklist]],1,4),"C - ","Civil","F - ","Foundation","ST -","Structure","FC -","Façade","PRE ","Pre-Line","POST","Post-Line","H - ","Handover","S - ","Services","CST ","Completion Docs", "I - ", "Inspection")</f>
        <v>Completion Docs</v>
      </c>
      <c r="E476" s="23" t="str">
        <f ca="1">IF(NOT(ISERROR(SEARCH("- S -", Master[[#This Row],[Checklist]]))), "Subcontractor",IF(NOT(ISERROR(SEARCH("- R -", Master[[#This Row],[Checklist]]))), "Ryman",IF(NOT(ISERROR(SEARCH("- C -", Master[[#This Row],[Checklist]]))), "Consultant",IF(NOT(ISERROR(SEARCH("- I -", Master[[#This Row],[Checklist]]))),  "Inspection Test Plan", "Naming Error"))))</f>
        <v>Ryman</v>
      </c>
      <c r="F476" s="24" t="str">
        <f ca="1">IF(OR(Master[[#This Row],[Type]]="checklist", Master[[#This Row],[Type]]="checklist-flat"), Master[[#This Row],[Name]], F475)</f>
        <v>CST - R - Fire Consent</v>
      </c>
      <c r="G476" s="3" t="s">
        <v>66</v>
      </c>
      <c r="H476" s="24" t="s">
        <v>1545</v>
      </c>
      <c r="I476" s="3"/>
      <c r="J476" s="21">
        <f ca="1">_xlfn.XLOOKUP(Master[[#This Row],[Checklist]],Ref!A:A,Ref!B:B)*1000</f>
        <v>55000</v>
      </c>
      <c r="K476" s="21">
        <f ca="1">COUNTIF($J$2:Master[[#This Row],[ChecklistID]],Master[[#This Row],[ChecklistID]])-1</f>
        <v>38</v>
      </c>
      <c r="L476" s="23" t="s">
        <v>6</v>
      </c>
    </row>
    <row r="477" spans="1:12" ht="15.75">
      <c r="A477" s="23">
        <f t="shared" si="7"/>
        <v>476</v>
      </c>
      <c r="B477" s="21">
        <f ca="1">Master[[#This Row],[ChecklistID]]+Master[[#This Row],[Checklist Order]]</f>
        <v>55039</v>
      </c>
      <c r="C477" s="22"/>
      <c r="D477" s="3" t="str" cm="1">
        <f t="array" aca="1" ref="D477" ca="1">_xlfn.SWITCH(MID(Master[[#This Row],[Checklist]],1,4),"C - ","Civil","F - ","Foundation","ST -","Structure","FC -","Façade","PRE ","Pre-Line","POST","Post-Line","H - ","Handover","S - ","Services","CST ","Completion Docs", "I - ", "Inspection")</f>
        <v>Completion Docs</v>
      </c>
      <c r="E477" s="23" t="str">
        <f ca="1">IF(NOT(ISERROR(SEARCH("- S -", Master[[#This Row],[Checklist]]))), "Subcontractor",IF(NOT(ISERROR(SEARCH("- R -", Master[[#This Row],[Checklist]]))), "Ryman",IF(NOT(ISERROR(SEARCH("- C -", Master[[#This Row],[Checklist]]))), "Consultant",IF(NOT(ISERROR(SEARCH("- I -", Master[[#This Row],[Checklist]]))),  "Inspection Test Plan", "Naming Error"))))</f>
        <v>Ryman</v>
      </c>
      <c r="F477" s="24" t="str">
        <f ca="1">IF(OR(Master[[#This Row],[Type]]="checklist", Master[[#This Row],[Type]]="checklist-flat"), Master[[#This Row],[Name]], F476)</f>
        <v>CST - R - Fire Consent</v>
      </c>
      <c r="G477" s="3" t="s">
        <v>831</v>
      </c>
      <c r="H477" s="24" t="s">
        <v>1546</v>
      </c>
      <c r="I477" s="3"/>
      <c r="J477" s="21">
        <f ca="1">_xlfn.XLOOKUP(Master[[#This Row],[Checklist]],Ref!A:A,Ref!B:B)*1000</f>
        <v>55000</v>
      </c>
      <c r="K477" s="21">
        <f ca="1">COUNTIF($J$2:Master[[#This Row],[ChecklistID]],Master[[#This Row],[ChecklistID]])-1</f>
        <v>39</v>
      </c>
      <c r="L477" s="23" t="s">
        <v>6</v>
      </c>
    </row>
    <row r="478" spans="1:12" ht="15.75">
      <c r="A478" s="23">
        <f t="shared" si="7"/>
        <v>477</v>
      </c>
      <c r="B478" s="21">
        <f ca="1">Master[[#This Row],[ChecklistID]]+Master[[#This Row],[Checklist Order]]</f>
        <v>55040</v>
      </c>
      <c r="C478" s="22"/>
      <c r="D478" s="3" t="str" cm="1">
        <f t="array" aca="1" ref="D478" ca="1">_xlfn.SWITCH(MID(Master[[#This Row],[Checklist]],1,4),"C - ","Civil","F - ","Foundation","ST -","Structure","FC -","Façade","PRE ","Pre-Line","POST","Post-Line","H - ","Handover","S - ","Services","CST ","Completion Docs", "I - ", "Inspection")</f>
        <v>Completion Docs</v>
      </c>
      <c r="E478" s="23" t="str">
        <f ca="1">IF(NOT(ISERROR(SEARCH("- S -", Master[[#This Row],[Checklist]]))), "Subcontractor",IF(NOT(ISERROR(SEARCH("- R -", Master[[#This Row],[Checklist]]))), "Ryman",IF(NOT(ISERROR(SEARCH("- C -", Master[[#This Row],[Checklist]]))), "Consultant",IF(NOT(ISERROR(SEARCH("- I -", Master[[#This Row],[Checklist]]))),  "Inspection Test Plan", "Naming Error"))))</f>
        <v>Ryman</v>
      </c>
      <c r="F478" s="24" t="str">
        <f ca="1">IF(OR(Master[[#This Row],[Type]]="checklist", Master[[#This Row],[Type]]="checklist-flat"), Master[[#This Row],[Name]], F477)</f>
        <v>CST - R - Fire Consent</v>
      </c>
      <c r="G478" s="3" t="s">
        <v>66</v>
      </c>
      <c r="H478" s="24" t="s">
        <v>1547</v>
      </c>
      <c r="I478" s="3"/>
      <c r="J478" s="21">
        <f ca="1">_xlfn.XLOOKUP(Master[[#This Row],[Checklist]],Ref!A:A,Ref!B:B)*1000</f>
        <v>55000</v>
      </c>
      <c r="K478" s="21">
        <f ca="1">COUNTIF($J$2:Master[[#This Row],[ChecklistID]],Master[[#This Row],[ChecklistID]])-1</f>
        <v>40</v>
      </c>
      <c r="L478" s="23" t="s">
        <v>6</v>
      </c>
    </row>
    <row r="479" spans="1:12" ht="15.75">
      <c r="A479" s="23">
        <f t="shared" si="7"/>
        <v>478</v>
      </c>
      <c r="B479" s="21">
        <f ca="1">Master[[#This Row],[ChecklistID]]+Master[[#This Row],[Checklist Order]]</f>
        <v>55041</v>
      </c>
      <c r="C479" s="22"/>
      <c r="D479" s="3" t="str" cm="1">
        <f t="array" aca="1" ref="D479" ca="1">_xlfn.SWITCH(MID(Master[[#This Row],[Checklist]],1,4),"C - ","Civil","F - ","Foundation","ST -","Structure","FC -","Façade","PRE ","Pre-Line","POST","Post-Line","H - ","Handover","S - ","Services","CST ","Completion Docs", "I - ", "Inspection")</f>
        <v>Completion Docs</v>
      </c>
      <c r="E479" s="23" t="str">
        <f ca="1">IF(NOT(ISERROR(SEARCH("- S -", Master[[#This Row],[Checklist]]))), "Subcontractor",IF(NOT(ISERROR(SEARCH("- R -", Master[[#This Row],[Checklist]]))), "Ryman",IF(NOT(ISERROR(SEARCH("- C -", Master[[#This Row],[Checklist]]))), "Consultant",IF(NOT(ISERROR(SEARCH("- I -", Master[[#This Row],[Checklist]]))),  "Inspection Test Plan", "Naming Error"))))</f>
        <v>Ryman</v>
      </c>
      <c r="F479" s="24" t="str">
        <f ca="1">IF(OR(Master[[#This Row],[Type]]="checklist", Master[[#This Row],[Type]]="checklist-flat"), Master[[#This Row],[Name]], F478)</f>
        <v>CST - R - Fire Consent</v>
      </c>
      <c r="G479" s="3" t="s">
        <v>831</v>
      </c>
      <c r="H479" s="24" t="s">
        <v>1548</v>
      </c>
      <c r="I479" s="3"/>
      <c r="J479" s="21">
        <f ca="1">_xlfn.XLOOKUP(Master[[#This Row],[Checklist]],Ref!A:A,Ref!B:B)*1000</f>
        <v>55000</v>
      </c>
      <c r="K479" s="21">
        <f ca="1">COUNTIF($J$2:Master[[#This Row],[ChecklistID]],Master[[#This Row],[ChecklistID]])-1</f>
        <v>41</v>
      </c>
      <c r="L479" s="23" t="s">
        <v>6</v>
      </c>
    </row>
    <row r="480" spans="1:12" ht="15.75">
      <c r="A480" s="23">
        <f t="shared" si="7"/>
        <v>479</v>
      </c>
      <c r="B480" s="21">
        <f ca="1">Master[[#This Row],[ChecklistID]]+Master[[#This Row],[Checklist Order]]</f>
        <v>55042</v>
      </c>
      <c r="C480" s="22"/>
      <c r="D480" s="3" t="str" cm="1">
        <f t="array" aca="1" ref="D480" ca="1">_xlfn.SWITCH(MID(Master[[#This Row],[Checklist]],1,4),"C - ","Civil","F - ","Foundation","ST -","Structure","FC -","Façade","PRE ","Pre-Line","POST","Post-Line","H - ","Handover","S - ","Services","CST ","Completion Docs", "I - ", "Inspection")</f>
        <v>Completion Docs</v>
      </c>
      <c r="E480" s="23" t="str">
        <f ca="1">IF(NOT(ISERROR(SEARCH("- S -", Master[[#This Row],[Checklist]]))), "Subcontractor",IF(NOT(ISERROR(SEARCH("- R -", Master[[#This Row],[Checklist]]))), "Ryman",IF(NOT(ISERROR(SEARCH("- C -", Master[[#This Row],[Checklist]]))), "Consultant",IF(NOT(ISERROR(SEARCH("- I -", Master[[#This Row],[Checklist]]))),  "Inspection Test Plan", "Naming Error"))))</f>
        <v>Ryman</v>
      </c>
      <c r="F480" s="24" t="str">
        <f ca="1">IF(OR(Master[[#This Row],[Type]]="checklist", Master[[#This Row],[Type]]="checklist-flat"), Master[[#This Row],[Name]], F479)</f>
        <v>CST - R - Fire Consent</v>
      </c>
      <c r="G480" s="3" t="s">
        <v>66</v>
      </c>
      <c r="H480" s="24" t="s">
        <v>1549</v>
      </c>
      <c r="I480" s="3"/>
      <c r="J480" s="21">
        <f ca="1">_xlfn.XLOOKUP(Master[[#This Row],[Checklist]],Ref!A:A,Ref!B:B)*1000</f>
        <v>55000</v>
      </c>
      <c r="K480" s="21">
        <f ca="1">COUNTIF($J$2:Master[[#This Row],[ChecklistID]],Master[[#This Row],[ChecklistID]])-1</f>
        <v>42</v>
      </c>
      <c r="L480" s="23" t="s">
        <v>6</v>
      </c>
    </row>
    <row r="481" spans="1:12" ht="15.75">
      <c r="A481" s="23">
        <f t="shared" si="7"/>
        <v>480</v>
      </c>
      <c r="B481" s="21">
        <f ca="1">Master[[#This Row],[ChecklistID]]+Master[[#This Row],[Checklist Order]]</f>
        <v>55043</v>
      </c>
      <c r="C481" s="22"/>
      <c r="D481" s="3" t="str" cm="1">
        <f t="array" aca="1" ref="D481" ca="1">_xlfn.SWITCH(MID(Master[[#This Row],[Checklist]],1,4),"C - ","Civil","F - ","Foundation","ST -","Structure","FC -","Façade","PRE ","Pre-Line","POST","Post-Line","H - ","Handover","S - ","Services","CST ","Completion Docs", "I - ", "Inspection")</f>
        <v>Completion Docs</v>
      </c>
      <c r="E481" s="23" t="str">
        <f ca="1">IF(NOT(ISERROR(SEARCH("- S -", Master[[#This Row],[Checklist]]))), "Subcontractor",IF(NOT(ISERROR(SEARCH("- R -", Master[[#This Row],[Checklist]]))), "Ryman",IF(NOT(ISERROR(SEARCH("- C -", Master[[#This Row],[Checklist]]))), "Consultant",IF(NOT(ISERROR(SEARCH("- I -", Master[[#This Row],[Checklist]]))),  "Inspection Test Plan", "Naming Error"))))</f>
        <v>Ryman</v>
      </c>
      <c r="F481" s="24" t="str">
        <f ca="1">IF(OR(Master[[#This Row],[Type]]="checklist", Master[[#This Row],[Type]]="checklist-flat"), Master[[#This Row],[Name]], F480)</f>
        <v>CST - R - Fire Consent</v>
      </c>
      <c r="G481" s="3" t="s">
        <v>66</v>
      </c>
      <c r="H481" s="24" t="s">
        <v>1550</v>
      </c>
      <c r="I481" s="3"/>
      <c r="J481" s="21">
        <f ca="1">_xlfn.XLOOKUP(Master[[#This Row],[Checklist]],Ref!A:A,Ref!B:B)*1000</f>
        <v>55000</v>
      </c>
      <c r="K481" s="21">
        <f ca="1">COUNTIF($J$2:Master[[#This Row],[ChecklistID]],Master[[#This Row],[ChecklistID]])-1</f>
        <v>43</v>
      </c>
      <c r="L481" s="23" t="s">
        <v>6</v>
      </c>
    </row>
    <row r="482" spans="1:12" ht="15.75">
      <c r="A482" s="23">
        <f t="shared" si="7"/>
        <v>481</v>
      </c>
      <c r="B482" s="21">
        <f ca="1">Master[[#This Row],[ChecklistID]]+Master[[#This Row],[Checklist Order]]</f>
        <v>55044</v>
      </c>
      <c r="C482" s="22"/>
      <c r="D482" s="3" t="str" cm="1">
        <f t="array" aca="1" ref="D482" ca="1">_xlfn.SWITCH(MID(Master[[#This Row],[Checklist]],1,4),"C - ","Civil","F - ","Foundation","ST -","Structure","FC -","Façade","PRE ","Pre-Line","POST","Post-Line","H - ","Handover","S - ","Services","CST ","Completion Docs", "I - ", "Inspection")</f>
        <v>Completion Docs</v>
      </c>
      <c r="E482" s="23" t="str">
        <f ca="1">IF(NOT(ISERROR(SEARCH("- S -", Master[[#This Row],[Checklist]]))), "Subcontractor",IF(NOT(ISERROR(SEARCH("- R -", Master[[#This Row],[Checklist]]))), "Ryman",IF(NOT(ISERROR(SEARCH("- C -", Master[[#This Row],[Checklist]]))), "Consultant",IF(NOT(ISERROR(SEARCH("- I -", Master[[#This Row],[Checklist]]))),  "Inspection Test Plan", "Naming Error"))))</f>
        <v>Ryman</v>
      </c>
      <c r="F482" s="24" t="str">
        <f ca="1">IF(OR(Master[[#This Row],[Type]]="checklist", Master[[#This Row],[Type]]="checklist-flat"), Master[[#This Row],[Name]], F481)</f>
        <v>CST - R - Fire Consent</v>
      </c>
      <c r="G482" s="3" t="s">
        <v>49</v>
      </c>
      <c r="H482" s="24" t="s">
        <v>1551</v>
      </c>
      <c r="I482" s="3"/>
      <c r="J482" s="21">
        <f ca="1">_xlfn.XLOOKUP(Master[[#This Row],[Checklist]],Ref!A:A,Ref!B:B)*1000</f>
        <v>55000</v>
      </c>
      <c r="K482" s="21">
        <f ca="1">COUNTIF($J$2:Master[[#This Row],[ChecklistID]],Master[[#This Row],[ChecklistID]])-1</f>
        <v>44</v>
      </c>
      <c r="L482" s="23" t="s">
        <v>6</v>
      </c>
    </row>
    <row r="483" spans="1:12" ht="15.75">
      <c r="A483" s="23">
        <f t="shared" si="7"/>
        <v>482</v>
      </c>
      <c r="B483" s="21">
        <f ca="1">Master[[#This Row],[ChecklistID]]+Master[[#This Row],[Checklist Order]]</f>
        <v>55045</v>
      </c>
      <c r="C483" s="22"/>
      <c r="D483" s="3" t="str" cm="1">
        <f t="array" aca="1" ref="D483" ca="1">_xlfn.SWITCH(MID(Master[[#This Row],[Checklist]],1,4),"C - ","Civil","F - ","Foundation","ST -","Structure","FC -","Façade","PRE ","Pre-Line","POST","Post-Line","H - ","Handover","S - ","Services","CST ","Completion Docs", "I - ", "Inspection")</f>
        <v>Completion Docs</v>
      </c>
      <c r="E483" s="23" t="str">
        <f ca="1">IF(NOT(ISERROR(SEARCH("- S -", Master[[#This Row],[Checklist]]))), "Subcontractor",IF(NOT(ISERROR(SEARCH("- R -", Master[[#This Row],[Checklist]]))), "Ryman",IF(NOT(ISERROR(SEARCH("- C -", Master[[#This Row],[Checklist]]))), "Consultant",IF(NOT(ISERROR(SEARCH("- I -", Master[[#This Row],[Checklist]]))),  "Inspection Test Plan", "Naming Error"))))</f>
        <v>Ryman</v>
      </c>
      <c r="F483" s="24" t="str">
        <f ca="1">IF(OR(Master[[#This Row],[Type]]="checklist", Master[[#This Row],[Type]]="checklist-flat"), Master[[#This Row],[Name]], F482)</f>
        <v>CST - R - Fire Consent</v>
      </c>
      <c r="G483" s="3" t="s">
        <v>66</v>
      </c>
      <c r="H483" s="24" t="s">
        <v>1552</v>
      </c>
      <c r="I483" s="3"/>
      <c r="J483" s="21">
        <f ca="1">_xlfn.XLOOKUP(Master[[#This Row],[Checklist]],Ref!A:A,Ref!B:B)*1000</f>
        <v>55000</v>
      </c>
      <c r="K483" s="21">
        <f ca="1">COUNTIF($J$2:Master[[#This Row],[ChecklistID]],Master[[#This Row],[ChecklistID]])-1</f>
        <v>45</v>
      </c>
      <c r="L483" s="23" t="s">
        <v>6</v>
      </c>
    </row>
    <row r="484" spans="1:12" ht="15.75">
      <c r="A484" s="23">
        <f t="shared" si="7"/>
        <v>483</v>
      </c>
      <c r="B484" s="21">
        <f ca="1">Master[[#This Row],[ChecklistID]]+Master[[#This Row],[Checklist Order]]</f>
        <v>55046</v>
      </c>
      <c r="C484" s="22"/>
      <c r="D484" s="3" t="str" cm="1">
        <f t="array" aca="1" ref="D484" ca="1">_xlfn.SWITCH(MID(Master[[#This Row],[Checklist]],1,4),"C - ","Civil","F - ","Foundation","ST -","Structure","FC -","Façade","PRE ","Pre-Line","POST","Post-Line","H - ","Handover","S - ","Services","CST ","Completion Docs", "I - ", "Inspection")</f>
        <v>Completion Docs</v>
      </c>
      <c r="E484" s="23" t="str">
        <f ca="1">IF(NOT(ISERROR(SEARCH("- S -", Master[[#This Row],[Checklist]]))), "Subcontractor",IF(NOT(ISERROR(SEARCH("- R -", Master[[#This Row],[Checklist]]))), "Ryman",IF(NOT(ISERROR(SEARCH("- C -", Master[[#This Row],[Checklist]]))), "Consultant",IF(NOT(ISERROR(SEARCH("- I -", Master[[#This Row],[Checklist]]))),  "Inspection Test Plan", "Naming Error"))))</f>
        <v>Ryman</v>
      </c>
      <c r="F484" s="24" t="str">
        <f ca="1">IF(OR(Master[[#This Row],[Type]]="checklist", Master[[#This Row],[Type]]="checklist-flat"), Master[[#This Row],[Name]], F483)</f>
        <v>CST - R - Fire Consent</v>
      </c>
      <c r="G484" s="3" t="s">
        <v>49</v>
      </c>
      <c r="H484" s="24" t="s">
        <v>1553</v>
      </c>
      <c r="I484" s="3"/>
      <c r="J484" s="21">
        <f ca="1">_xlfn.XLOOKUP(Master[[#This Row],[Checklist]],Ref!A:A,Ref!B:B)*1000</f>
        <v>55000</v>
      </c>
      <c r="K484" s="21">
        <f ca="1">COUNTIF($J$2:Master[[#This Row],[ChecklistID]],Master[[#This Row],[ChecklistID]])-1</f>
        <v>46</v>
      </c>
      <c r="L484" s="23" t="s">
        <v>6</v>
      </c>
    </row>
    <row r="485" spans="1:12" ht="15.75">
      <c r="A485" s="23">
        <f t="shared" si="7"/>
        <v>484</v>
      </c>
      <c r="B485" s="21">
        <f ca="1">Master[[#This Row],[ChecklistID]]+Master[[#This Row],[Checklist Order]]</f>
        <v>55047</v>
      </c>
      <c r="C485" s="22"/>
      <c r="D485" s="3" t="str" cm="1">
        <f t="array" aca="1" ref="D485" ca="1">_xlfn.SWITCH(MID(Master[[#This Row],[Checklist]],1,4),"C - ","Civil","F - ","Foundation","ST -","Structure","FC -","Façade","PRE ","Pre-Line","POST","Post-Line","H - ","Handover","S - ","Services","CST ","Completion Docs", "I - ", "Inspection")</f>
        <v>Completion Docs</v>
      </c>
      <c r="E485" s="23" t="str">
        <f ca="1">IF(NOT(ISERROR(SEARCH("- S -", Master[[#This Row],[Checklist]]))), "Subcontractor",IF(NOT(ISERROR(SEARCH("- R -", Master[[#This Row],[Checklist]]))), "Ryman",IF(NOT(ISERROR(SEARCH("- C -", Master[[#This Row],[Checklist]]))), "Consultant",IF(NOT(ISERROR(SEARCH("- I -", Master[[#This Row],[Checklist]]))),  "Inspection Test Plan", "Naming Error"))))</f>
        <v>Ryman</v>
      </c>
      <c r="F485" s="24" t="str">
        <f ca="1">IF(OR(Master[[#This Row],[Type]]="checklist", Master[[#This Row],[Type]]="checklist-flat"), Master[[#This Row],[Name]], F484)</f>
        <v>CST - R - Fire Consent</v>
      </c>
      <c r="G485" s="3" t="s">
        <v>66</v>
      </c>
      <c r="H485" s="24" t="s">
        <v>1554</v>
      </c>
      <c r="I485" s="3"/>
      <c r="J485" s="21">
        <f ca="1">_xlfn.XLOOKUP(Master[[#This Row],[Checklist]],Ref!A:A,Ref!B:B)*1000</f>
        <v>55000</v>
      </c>
      <c r="K485" s="21">
        <f ca="1">COUNTIF($J$2:Master[[#This Row],[ChecklistID]],Master[[#This Row],[ChecklistID]])-1</f>
        <v>47</v>
      </c>
      <c r="L485" s="23" t="s">
        <v>6</v>
      </c>
    </row>
    <row r="486" spans="1:12" ht="15.75">
      <c r="A486" s="23">
        <f t="shared" si="7"/>
        <v>485</v>
      </c>
      <c r="B486" s="21">
        <f ca="1">Master[[#This Row],[ChecklistID]]+Master[[#This Row],[Checklist Order]]</f>
        <v>55048</v>
      </c>
      <c r="C486" s="22"/>
      <c r="D486" s="3" t="str" cm="1">
        <f t="array" aca="1" ref="D486" ca="1">_xlfn.SWITCH(MID(Master[[#This Row],[Checklist]],1,4),"C - ","Civil","F - ","Foundation","ST -","Structure","FC -","Façade","PRE ","Pre-Line","POST","Post-Line","H - ","Handover","S - ","Services","CST ","Completion Docs", "I - ", "Inspection")</f>
        <v>Completion Docs</v>
      </c>
      <c r="E486" s="23" t="str">
        <f ca="1">IF(NOT(ISERROR(SEARCH("- S -", Master[[#This Row],[Checklist]]))), "Subcontractor",IF(NOT(ISERROR(SEARCH("- R -", Master[[#This Row],[Checklist]]))), "Ryman",IF(NOT(ISERROR(SEARCH("- C -", Master[[#This Row],[Checklist]]))), "Consultant",IF(NOT(ISERROR(SEARCH("- I -", Master[[#This Row],[Checklist]]))),  "Inspection Test Plan", "Naming Error"))))</f>
        <v>Ryman</v>
      </c>
      <c r="F486" s="24" t="str">
        <f ca="1">IF(OR(Master[[#This Row],[Type]]="checklist", Master[[#This Row],[Type]]="checklist-flat"), Master[[#This Row],[Name]], F485)</f>
        <v>CST - R - Fire Consent</v>
      </c>
      <c r="G486" s="3" t="s">
        <v>66</v>
      </c>
      <c r="H486" s="24" t="s">
        <v>1555</v>
      </c>
      <c r="I486" s="3"/>
      <c r="J486" s="21">
        <f ca="1">_xlfn.XLOOKUP(Master[[#This Row],[Checklist]],Ref!A:A,Ref!B:B)*1000</f>
        <v>55000</v>
      </c>
      <c r="K486" s="21">
        <f ca="1">COUNTIF($J$2:Master[[#This Row],[ChecklistID]],Master[[#This Row],[ChecklistID]])-1</f>
        <v>48</v>
      </c>
      <c r="L486" s="23" t="s">
        <v>6</v>
      </c>
    </row>
    <row r="487" spans="1:12" ht="15.75">
      <c r="A487" s="23">
        <f t="shared" si="7"/>
        <v>486</v>
      </c>
      <c r="B487" s="21">
        <f ca="1">Master[[#This Row],[ChecklistID]]+Master[[#This Row],[Checklist Order]]</f>
        <v>55049</v>
      </c>
      <c r="C487" s="22"/>
      <c r="D487" s="3" t="str" cm="1">
        <f t="array" aca="1" ref="D487" ca="1">_xlfn.SWITCH(MID(Master[[#This Row],[Checklist]],1,4),"C - ","Civil","F - ","Foundation","ST -","Structure","FC -","Façade","PRE ","Pre-Line","POST","Post-Line","H - ","Handover","S - ","Services","CST ","Completion Docs", "I - ", "Inspection")</f>
        <v>Completion Docs</v>
      </c>
      <c r="E487" s="23" t="str">
        <f ca="1">IF(NOT(ISERROR(SEARCH("- S -", Master[[#This Row],[Checklist]]))), "Subcontractor",IF(NOT(ISERROR(SEARCH("- R -", Master[[#This Row],[Checklist]]))), "Ryman",IF(NOT(ISERROR(SEARCH("- C -", Master[[#This Row],[Checklist]]))), "Consultant",IF(NOT(ISERROR(SEARCH("- I -", Master[[#This Row],[Checklist]]))),  "Inspection Test Plan", "Naming Error"))))</f>
        <v>Ryman</v>
      </c>
      <c r="F487" s="24" t="str">
        <f ca="1">IF(OR(Master[[#This Row],[Type]]="checklist", Master[[#This Row],[Type]]="checklist-flat"), Master[[#This Row],[Name]], F486)</f>
        <v>CST - R - Fire Consent</v>
      </c>
      <c r="G487" s="3" t="s">
        <v>66</v>
      </c>
      <c r="H487" s="24" t="s">
        <v>1556</v>
      </c>
      <c r="I487" s="3"/>
      <c r="J487" s="21">
        <f ca="1">_xlfn.XLOOKUP(Master[[#This Row],[Checklist]],Ref!A:A,Ref!B:B)*1000</f>
        <v>55000</v>
      </c>
      <c r="K487" s="21">
        <f ca="1">COUNTIF($J$2:Master[[#This Row],[ChecklistID]],Master[[#This Row],[ChecklistID]])-1</f>
        <v>49</v>
      </c>
      <c r="L487" s="23" t="s">
        <v>6</v>
      </c>
    </row>
    <row r="488" spans="1:12" ht="15.75">
      <c r="A488" s="23">
        <f t="shared" si="7"/>
        <v>487</v>
      </c>
      <c r="B488" s="21">
        <f ca="1">Master[[#This Row],[ChecklistID]]+Master[[#This Row],[Checklist Order]]</f>
        <v>55050</v>
      </c>
      <c r="C488" s="22"/>
      <c r="D488" s="3" t="str" cm="1">
        <f t="array" aca="1" ref="D488" ca="1">_xlfn.SWITCH(MID(Master[[#This Row],[Checklist]],1,4),"C - ","Civil","F - ","Foundation","ST -","Structure","FC -","Façade","PRE ","Pre-Line","POST","Post-Line","H - ","Handover","S - ","Services","CST ","Completion Docs", "I - ", "Inspection")</f>
        <v>Completion Docs</v>
      </c>
      <c r="E488" s="23" t="str">
        <f ca="1">IF(NOT(ISERROR(SEARCH("- S -", Master[[#This Row],[Checklist]]))), "Subcontractor",IF(NOT(ISERROR(SEARCH("- R -", Master[[#This Row],[Checklist]]))), "Ryman",IF(NOT(ISERROR(SEARCH("- C -", Master[[#This Row],[Checklist]]))), "Consultant",IF(NOT(ISERROR(SEARCH("- I -", Master[[#This Row],[Checklist]]))),  "Inspection Test Plan", "Naming Error"))))</f>
        <v>Ryman</v>
      </c>
      <c r="F488" s="24" t="str">
        <f ca="1">IF(OR(Master[[#This Row],[Type]]="checklist", Master[[#This Row],[Type]]="checklist-flat"), Master[[#This Row],[Name]], F487)</f>
        <v>CST - R - Fire Consent</v>
      </c>
      <c r="G488" s="3" t="s">
        <v>66</v>
      </c>
      <c r="H488" s="24" t="s">
        <v>1557</v>
      </c>
      <c r="I488" s="3"/>
      <c r="J488" s="21">
        <f ca="1">_xlfn.XLOOKUP(Master[[#This Row],[Checklist]],Ref!A:A,Ref!B:B)*1000</f>
        <v>55000</v>
      </c>
      <c r="K488" s="21">
        <f ca="1">COUNTIF($J$2:Master[[#This Row],[ChecklistID]],Master[[#This Row],[ChecklistID]])-1</f>
        <v>50</v>
      </c>
      <c r="L488" s="23" t="s">
        <v>6</v>
      </c>
    </row>
    <row r="489" spans="1:12" ht="15.75">
      <c r="A489" s="23">
        <f t="shared" si="7"/>
        <v>488</v>
      </c>
      <c r="B489" s="21">
        <f ca="1">Master[[#This Row],[ChecklistID]]+Master[[#This Row],[Checklist Order]]</f>
        <v>55051</v>
      </c>
      <c r="C489" s="22"/>
      <c r="D489" s="3" t="str" cm="1">
        <f t="array" aca="1" ref="D489" ca="1">_xlfn.SWITCH(MID(Master[[#This Row],[Checklist]],1,4),"C - ","Civil","F - ","Foundation","ST -","Structure","FC -","Façade","PRE ","Pre-Line","POST","Post-Line","H - ","Handover","S - ","Services","CST ","Completion Docs", "I - ", "Inspection")</f>
        <v>Completion Docs</v>
      </c>
      <c r="E489" s="23" t="str">
        <f ca="1">IF(NOT(ISERROR(SEARCH("- S -", Master[[#This Row],[Checklist]]))), "Subcontractor",IF(NOT(ISERROR(SEARCH("- R -", Master[[#This Row],[Checklist]]))), "Ryman",IF(NOT(ISERROR(SEARCH("- C -", Master[[#This Row],[Checklist]]))), "Consultant",IF(NOT(ISERROR(SEARCH("- I -", Master[[#This Row],[Checklist]]))),  "Inspection Test Plan", "Naming Error"))))</f>
        <v>Ryman</v>
      </c>
      <c r="F489" s="24" t="str">
        <f ca="1">IF(OR(Master[[#This Row],[Type]]="checklist", Master[[#This Row],[Type]]="checklist-flat"), Master[[#This Row],[Name]], F488)</f>
        <v>CST - R - Fire Consent</v>
      </c>
      <c r="G489" s="3" t="s">
        <v>66</v>
      </c>
      <c r="H489" s="24" t="s">
        <v>1558</v>
      </c>
      <c r="I489" s="3"/>
      <c r="J489" s="21">
        <f ca="1">_xlfn.XLOOKUP(Master[[#This Row],[Checklist]],Ref!A:A,Ref!B:B)*1000</f>
        <v>55000</v>
      </c>
      <c r="K489" s="21">
        <f ca="1">COUNTIF($J$2:Master[[#This Row],[ChecklistID]],Master[[#This Row],[ChecklistID]])-1</f>
        <v>51</v>
      </c>
      <c r="L489" s="23" t="s">
        <v>6</v>
      </c>
    </row>
    <row r="490" spans="1:12" ht="15.75">
      <c r="A490" s="23">
        <f t="shared" si="7"/>
        <v>489</v>
      </c>
      <c r="B490" s="21">
        <f ca="1">Master[[#This Row],[ChecklistID]]+Master[[#This Row],[Checklist Order]]</f>
        <v>55052</v>
      </c>
      <c r="C490" s="22"/>
      <c r="D490" s="3" t="str" cm="1">
        <f t="array" aca="1" ref="D490" ca="1">_xlfn.SWITCH(MID(Master[[#This Row],[Checklist]],1,4),"C - ","Civil","F - ","Foundation","ST -","Structure","FC -","Façade","PRE ","Pre-Line","POST","Post-Line","H - ","Handover","S - ","Services","CST ","Completion Docs", "I - ", "Inspection")</f>
        <v>Completion Docs</v>
      </c>
      <c r="E490" s="23" t="str">
        <f ca="1">IF(NOT(ISERROR(SEARCH("- S -", Master[[#This Row],[Checklist]]))), "Subcontractor",IF(NOT(ISERROR(SEARCH("- R -", Master[[#This Row],[Checklist]]))), "Ryman",IF(NOT(ISERROR(SEARCH("- C -", Master[[#This Row],[Checklist]]))), "Consultant",IF(NOT(ISERROR(SEARCH("- I -", Master[[#This Row],[Checklist]]))),  "Inspection Test Plan", "Naming Error"))))</f>
        <v>Ryman</v>
      </c>
      <c r="F490" s="24" t="str">
        <f ca="1">IF(OR(Master[[#This Row],[Type]]="checklist", Master[[#This Row],[Type]]="checklist-flat"), Master[[#This Row],[Name]], F489)</f>
        <v>CST - R - Fire Consent</v>
      </c>
      <c r="G490" s="3" t="s">
        <v>66</v>
      </c>
      <c r="H490" s="24" t="s">
        <v>1559</v>
      </c>
      <c r="I490" s="3"/>
      <c r="J490" s="21">
        <f ca="1">_xlfn.XLOOKUP(Master[[#This Row],[Checklist]],Ref!A:A,Ref!B:B)*1000</f>
        <v>55000</v>
      </c>
      <c r="K490" s="21">
        <f ca="1">COUNTIF($J$2:Master[[#This Row],[ChecklistID]],Master[[#This Row],[ChecklistID]])-1</f>
        <v>52</v>
      </c>
      <c r="L490" s="23" t="s">
        <v>6</v>
      </c>
    </row>
    <row r="491" spans="1:12" ht="15.75">
      <c r="A491" s="23">
        <f t="shared" si="7"/>
        <v>490</v>
      </c>
      <c r="B491" s="21">
        <f ca="1">Master[[#This Row],[ChecklistID]]+Master[[#This Row],[Checklist Order]]</f>
        <v>55053</v>
      </c>
      <c r="C491" s="22"/>
      <c r="D491" s="3" t="str" cm="1">
        <f t="array" aca="1" ref="D491" ca="1">_xlfn.SWITCH(MID(Master[[#This Row],[Checklist]],1,4),"C - ","Civil","F - ","Foundation","ST -","Structure","FC -","Façade","PRE ","Pre-Line","POST","Post-Line","H - ","Handover","S - ","Services","CST ","Completion Docs", "I - ", "Inspection")</f>
        <v>Completion Docs</v>
      </c>
      <c r="E491" s="23" t="str">
        <f ca="1">IF(NOT(ISERROR(SEARCH("- S -", Master[[#This Row],[Checklist]]))), "Subcontractor",IF(NOT(ISERROR(SEARCH("- R -", Master[[#This Row],[Checklist]]))), "Ryman",IF(NOT(ISERROR(SEARCH("- C -", Master[[#This Row],[Checklist]]))), "Consultant",IF(NOT(ISERROR(SEARCH("- I -", Master[[#This Row],[Checklist]]))),  "Inspection Test Plan", "Naming Error"))))</f>
        <v>Ryman</v>
      </c>
      <c r="F491" s="24" t="str">
        <f ca="1">IF(OR(Master[[#This Row],[Type]]="checklist", Master[[#This Row],[Type]]="checklist-flat"), Master[[#This Row],[Name]], F490)</f>
        <v>CST - R - Fire Consent</v>
      </c>
      <c r="G491" s="3" t="s">
        <v>66</v>
      </c>
      <c r="H491" s="24" t="s">
        <v>1560</v>
      </c>
      <c r="I491" s="3"/>
      <c r="J491" s="21">
        <f ca="1">_xlfn.XLOOKUP(Master[[#This Row],[Checklist]],Ref!A:A,Ref!B:B)*1000</f>
        <v>55000</v>
      </c>
      <c r="K491" s="21">
        <f ca="1">COUNTIF($J$2:Master[[#This Row],[ChecklistID]],Master[[#This Row],[ChecklistID]])-1</f>
        <v>53</v>
      </c>
      <c r="L491" s="23" t="s">
        <v>6</v>
      </c>
    </row>
    <row r="492" spans="1:12" ht="15.75">
      <c r="A492" s="23">
        <f t="shared" si="7"/>
        <v>491</v>
      </c>
      <c r="B492" s="21">
        <f ca="1">Master[[#This Row],[ChecklistID]]+Master[[#This Row],[Checklist Order]]</f>
        <v>55054</v>
      </c>
      <c r="C492" s="22"/>
      <c r="D492" s="3" t="str" cm="1">
        <f t="array" aca="1" ref="D492" ca="1">_xlfn.SWITCH(MID(Master[[#This Row],[Checklist]],1,4),"C - ","Civil","F - ","Foundation","ST -","Structure","FC -","Façade","PRE ","Pre-Line","POST","Post-Line","H - ","Handover","S - ","Services","CST ","Completion Docs", "I - ", "Inspection")</f>
        <v>Completion Docs</v>
      </c>
      <c r="E492" s="23" t="str">
        <f ca="1">IF(NOT(ISERROR(SEARCH("- S -", Master[[#This Row],[Checklist]]))), "Subcontractor",IF(NOT(ISERROR(SEARCH("- R -", Master[[#This Row],[Checklist]]))), "Ryman",IF(NOT(ISERROR(SEARCH("- C -", Master[[#This Row],[Checklist]]))), "Consultant",IF(NOT(ISERROR(SEARCH("- I -", Master[[#This Row],[Checklist]]))),  "Inspection Test Plan", "Naming Error"))))</f>
        <v>Ryman</v>
      </c>
      <c r="F492" s="24" t="str">
        <f ca="1">IF(OR(Master[[#This Row],[Type]]="checklist", Master[[#This Row],[Type]]="checklist-flat"), Master[[#This Row],[Name]], F491)</f>
        <v>CST - R - Fire Consent</v>
      </c>
      <c r="G492" s="3" t="s">
        <v>66</v>
      </c>
      <c r="H492" s="24" t="s">
        <v>1561</v>
      </c>
      <c r="I492" s="3"/>
      <c r="J492" s="21">
        <f ca="1">_xlfn.XLOOKUP(Master[[#This Row],[Checklist]],Ref!A:A,Ref!B:B)*1000</f>
        <v>55000</v>
      </c>
      <c r="K492" s="21">
        <f ca="1">COUNTIF($J$2:Master[[#This Row],[ChecklistID]],Master[[#This Row],[ChecklistID]])-1</f>
        <v>54</v>
      </c>
      <c r="L492" s="23" t="s">
        <v>6</v>
      </c>
    </row>
    <row r="493" spans="1:12" ht="15.75">
      <c r="A493" s="23">
        <f t="shared" si="7"/>
        <v>492</v>
      </c>
      <c r="B493" s="21">
        <f ca="1">Master[[#This Row],[ChecklistID]]+Master[[#This Row],[Checklist Order]]</f>
        <v>55055</v>
      </c>
      <c r="C493" s="22"/>
      <c r="D493" s="3" t="str" cm="1">
        <f t="array" aca="1" ref="D493" ca="1">_xlfn.SWITCH(MID(Master[[#This Row],[Checklist]],1,4),"C - ","Civil","F - ","Foundation","ST -","Structure","FC -","Façade","PRE ","Pre-Line","POST","Post-Line","H - ","Handover","S - ","Services","CST ","Completion Docs", "I - ", "Inspection")</f>
        <v>Completion Docs</v>
      </c>
      <c r="E493" s="23" t="str">
        <f ca="1">IF(NOT(ISERROR(SEARCH("- S -", Master[[#This Row],[Checklist]]))), "Subcontractor",IF(NOT(ISERROR(SEARCH("- R -", Master[[#This Row],[Checklist]]))), "Ryman",IF(NOT(ISERROR(SEARCH("- C -", Master[[#This Row],[Checklist]]))), "Consultant",IF(NOT(ISERROR(SEARCH("- I -", Master[[#This Row],[Checklist]]))),  "Inspection Test Plan", "Naming Error"))))</f>
        <v>Ryman</v>
      </c>
      <c r="F493" s="24" t="str">
        <f ca="1">IF(OR(Master[[#This Row],[Type]]="checklist", Master[[#This Row],[Type]]="checklist-flat"), Master[[#This Row],[Name]], F492)</f>
        <v>CST - R - Fire Consent</v>
      </c>
      <c r="G493" s="3" t="s">
        <v>66</v>
      </c>
      <c r="H493" s="24" t="s">
        <v>1562</v>
      </c>
      <c r="I493" s="3"/>
      <c r="J493" s="21">
        <f ca="1">_xlfn.XLOOKUP(Master[[#This Row],[Checklist]],Ref!A:A,Ref!B:B)*1000</f>
        <v>55000</v>
      </c>
      <c r="K493" s="21">
        <f ca="1">COUNTIF($J$2:Master[[#This Row],[ChecklistID]],Master[[#This Row],[ChecklistID]])-1</f>
        <v>55</v>
      </c>
      <c r="L493" s="23" t="s">
        <v>6</v>
      </c>
    </row>
    <row r="494" spans="1:12" ht="15.75">
      <c r="A494" s="23">
        <f t="shared" si="7"/>
        <v>493</v>
      </c>
      <c r="B494" s="21">
        <f ca="1">Master[[#This Row],[ChecklistID]]+Master[[#This Row],[Checklist Order]]</f>
        <v>55056</v>
      </c>
      <c r="C494" s="22"/>
      <c r="D494" s="3" t="str" cm="1">
        <f t="array" aca="1" ref="D494" ca="1">_xlfn.SWITCH(MID(Master[[#This Row],[Checklist]],1,4),"C - ","Civil","F - ","Foundation","ST -","Structure","FC -","Façade","PRE ","Pre-Line","POST","Post-Line","H - ","Handover","S - ","Services","CST ","Completion Docs", "I - ", "Inspection")</f>
        <v>Completion Docs</v>
      </c>
      <c r="E494" s="23" t="str">
        <f ca="1">IF(NOT(ISERROR(SEARCH("- S -", Master[[#This Row],[Checklist]]))), "Subcontractor",IF(NOT(ISERROR(SEARCH("- R -", Master[[#This Row],[Checklist]]))), "Ryman",IF(NOT(ISERROR(SEARCH("- C -", Master[[#This Row],[Checklist]]))), "Consultant",IF(NOT(ISERROR(SEARCH("- I -", Master[[#This Row],[Checklist]]))),  "Inspection Test Plan", "Naming Error"))))</f>
        <v>Ryman</v>
      </c>
      <c r="F494" s="24" t="str">
        <f ca="1">IF(OR(Master[[#This Row],[Type]]="checklist", Master[[#This Row],[Type]]="checklist-flat"), Master[[#This Row],[Name]], F493)</f>
        <v>CST - R - Fire Consent</v>
      </c>
      <c r="G494" s="3" t="s">
        <v>49</v>
      </c>
      <c r="H494" s="24" t="s">
        <v>1563</v>
      </c>
      <c r="I494" s="3"/>
      <c r="J494" s="21">
        <f ca="1">_xlfn.XLOOKUP(Master[[#This Row],[Checklist]],Ref!A:A,Ref!B:B)*1000</f>
        <v>55000</v>
      </c>
      <c r="K494" s="21">
        <f ca="1">COUNTIF($J$2:Master[[#This Row],[ChecklistID]],Master[[#This Row],[ChecklistID]])-1</f>
        <v>56</v>
      </c>
      <c r="L494" s="23" t="s">
        <v>6</v>
      </c>
    </row>
    <row r="495" spans="1:12" ht="15.75">
      <c r="A495" s="23">
        <f t="shared" si="7"/>
        <v>494</v>
      </c>
      <c r="B495" s="21">
        <f ca="1">Master[[#This Row],[ChecklistID]]+Master[[#This Row],[Checklist Order]]</f>
        <v>55057</v>
      </c>
      <c r="C495" s="22"/>
      <c r="D495" s="3" t="str" cm="1">
        <f t="array" aca="1" ref="D495" ca="1">_xlfn.SWITCH(MID(Master[[#This Row],[Checklist]],1,4),"C - ","Civil","F - ","Foundation","ST -","Structure","FC -","Façade","PRE ","Pre-Line","POST","Post-Line","H - ","Handover","S - ","Services","CST ","Completion Docs", "I - ", "Inspection")</f>
        <v>Completion Docs</v>
      </c>
      <c r="E495" s="23" t="str">
        <f ca="1">IF(NOT(ISERROR(SEARCH("- S -", Master[[#This Row],[Checklist]]))), "Subcontractor",IF(NOT(ISERROR(SEARCH("- R -", Master[[#This Row],[Checklist]]))), "Ryman",IF(NOT(ISERROR(SEARCH("- C -", Master[[#This Row],[Checklist]]))), "Consultant",IF(NOT(ISERROR(SEARCH("- I -", Master[[#This Row],[Checklist]]))),  "Inspection Test Plan", "Naming Error"))))</f>
        <v>Ryman</v>
      </c>
      <c r="F495" s="24" t="str">
        <f ca="1">IF(OR(Master[[#This Row],[Type]]="checklist", Master[[#This Row],[Type]]="checklist-flat"), Master[[#This Row],[Name]], F494)</f>
        <v>CST - R - Fire Consent</v>
      </c>
      <c r="G495" s="3" t="s">
        <v>66</v>
      </c>
      <c r="H495" s="24" t="s">
        <v>1564</v>
      </c>
      <c r="I495" s="3"/>
      <c r="J495" s="21">
        <f ca="1">_xlfn.XLOOKUP(Master[[#This Row],[Checklist]],Ref!A:A,Ref!B:B)*1000</f>
        <v>55000</v>
      </c>
      <c r="K495" s="21">
        <f ca="1">COUNTIF($J$2:Master[[#This Row],[ChecklistID]],Master[[#This Row],[ChecklistID]])-1</f>
        <v>57</v>
      </c>
      <c r="L495" s="23" t="s">
        <v>6</v>
      </c>
    </row>
    <row r="496" spans="1:12" ht="15.75">
      <c r="A496" s="23">
        <f t="shared" si="7"/>
        <v>495</v>
      </c>
      <c r="B496" s="21">
        <f ca="1">Master[[#This Row],[ChecklistID]]+Master[[#This Row],[Checklist Order]]</f>
        <v>55058</v>
      </c>
      <c r="C496" s="22"/>
      <c r="D496" s="3" t="str" cm="1">
        <f t="array" aca="1" ref="D496" ca="1">_xlfn.SWITCH(MID(Master[[#This Row],[Checklist]],1,4),"C - ","Civil","F - ","Foundation","ST -","Structure","FC -","Façade","PRE ","Pre-Line","POST","Post-Line","H - ","Handover","S - ","Services","CST ","Completion Docs", "I - ", "Inspection")</f>
        <v>Completion Docs</v>
      </c>
      <c r="E496" s="23" t="str">
        <f ca="1">IF(NOT(ISERROR(SEARCH("- S -", Master[[#This Row],[Checklist]]))), "Subcontractor",IF(NOT(ISERROR(SEARCH("- R -", Master[[#This Row],[Checklist]]))), "Ryman",IF(NOT(ISERROR(SEARCH("- C -", Master[[#This Row],[Checklist]]))), "Consultant",IF(NOT(ISERROR(SEARCH("- I -", Master[[#This Row],[Checklist]]))),  "Inspection Test Plan", "Naming Error"))))</f>
        <v>Ryman</v>
      </c>
      <c r="F496" s="24" t="str">
        <f ca="1">IF(OR(Master[[#This Row],[Type]]="checklist", Master[[#This Row],[Type]]="checklist-flat"), Master[[#This Row],[Name]], F495)</f>
        <v>CST - R - Fire Consent</v>
      </c>
      <c r="G496" s="3" t="s">
        <v>49</v>
      </c>
      <c r="H496" s="24" t="s">
        <v>1565</v>
      </c>
      <c r="I496" s="3"/>
      <c r="J496" s="21">
        <f ca="1">_xlfn.XLOOKUP(Master[[#This Row],[Checklist]],Ref!A:A,Ref!B:B)*1000</f>
        <v>55000</v>
      </c>
      <c r="K496" s="21">
        <f ca="1">COUNTIF($J$2:Master[[#This Row],[ChecklistID]],Master[[#This Row],[ChecklistID]])-1</f>
        <v>58</v>
      </c>
      <c r="L496" s="23" t="s">
        <v>6</v>
      </c>
    </row>
    <row r="497" spans="1:12" ht="15.75">
      <c r="A497" s="23">
        <f t="shared" si="7"/>
        <v>496</v>
      </c>
      <c r="B497" s="21">
        <f ca="1">Master[[#This Row],[ChecklistID]]+Master[[#This Row],[Checklist Order]]</f>
        <v>55059</v>
      </c>
      <c r="C497" s="22"/>
      <c r="D497" s="3" t="str" cm="1">
        <f t="array" aca="1" ref="D497" ca="1">_xlfn.SWITCH(MID(Master[[#This Row],[Checklist]],1,4),"C - ","Civil","F - ","Foundation","ST -","Structure","FC -","Façade","PRE ","Pre-Line","POST","Post-Line","H - ","Handover","S - ","Services","CST ","Completion Docs", "I - ", "Inspection")</f>
        <v>Completion Docs</v>
      </c>
      <c r="E497" s="23" t="str">
        <f ca="1">IF(NOT(ISERROR(SEARCH("- S -", Master[[#This Row],[Checklist]]))), "Subcontractor",IF(NOT(ISERROR(SEARCH("- R -", Master[[#This Row],[Checklist]]))), "Ryman",IF(NOT(ISERROR(SEARCH("- C -", Master[[#This Row],[Checklist]]))), "Consultant",IF(NOT(ISERROR(SEARCH("- I -", Master[[#This Row],[Checklist]]))),  "Inspection Test Plan", "Naming Error"))))</f>
        <v>Ryman</v>
      </c>
      <c r="F497" s="24" t="str">
        <f ca="1">IF(OR(Master[[#This Row],[Type]]="checklist", Master[[#This Row],[Type]]="checklist-flat"), Master[[#This Row],[Name]], F496)</f>
        <v>CST - R - Fire Consent</v>
      </c>
      <c r="G497" s="3" t="s">
        <v>49</v>
      </c>
      <c r="H497" s="24" t="s">
        <v>1509</v>
      </c>
      <c r="I497" s="3"/>
      <c r="J497" s="21">
        <f ca="1">_xlfn.XLOOKUP(Master[[#This Row],[Checklist]],Ref!A:A,Ref!B:B)*1000</f>
        <v>55000</v>
      </c>
      <c r="K497" s="21">
        <f ca="1">COUNTIF($J$2:Master[[#This Row],[ChecklistID]],Master[[#This Row],[ChecklistID]])-1</f>
        <v>59</v>
      </c>
      <c r="L497" s="23" t="s">
        <v>6</v>
      </c>
    </row>
    <row r="498" spans="1:12" ht="15.75">
      <c r="A498" s="23">
        <f t="shared" si="7"/>
        <v>497</v>
      </c>
      <c r="B498" s="21">
        <f ca="1">Master[[#This Row],[ChecklistID]]+Master[[#This Row],[Checklist Order]]</f>
        <v>56000</v>
      </c>
      <c r="C498" s="22"/>
      <c r="D498" s="3" t="str" cm="1">
        <f t="array" aca="1" ref="D498" ca="1">_xlfn.SWITCH(MID(Master[[#This Row],[Checklist]],1,4),"C - ","Civil","F - ","Foundation","ST -","Structure","FC -","Façade","PRE ","Pre-Line","POST","Post-Line","H - ","Handover","S - ","Services","CST ","Completion Docs", "I - ", "Inspection")</f>
        <v>Completion Docs</v>
      </c>
      <c r="E498" s="23" t="str">
        <f ca="1">IF(NOT(ISERROR(SEARCH("- S -", Master[[#This Row],[Checklist]]))), "Subcontractor",IF(NOT(ISERROR(SEARCH("- R -", Master[[#This Row],[Checklist]]))), "Ryman",IF(NOT(ISERROR(SEARCH("- C -", Master[[#This Row],[Checklist]]))), "Consultant",IF(NOT(ISERROR(SEARCH("- I -", Master[[#This Row],[Checklist]]))),  "Inspection Test Plan", "Naming Error"))))</f>
        <v>Ryman</v>
      </c>
      <c r="F498" s="24" t="str">
        <f ca="1">IF(OR(Master[[#This Row],[Type]]="checklist", Master[[#This Row],[Type]]="checklist-flat"), Master[[#This Row],[Name]], F497)</f>
        <v>CST - R - Fitout Consent</v>
      </c>
      <c r="G498" s="3" t="s">
        <v>48</v>
      </c>
      <c r="H498" s="24" t="s">
        <v>1566</v>
      </c>
      <c r="I498" s="3"/>
      <c r="J498" s="21">
        <f ca="1">_xlfn.XLOOKUP(Master[[#This Row],[Checklist]],Ref!A:A,Ref!B:B)*1000</f>
        <v>56000</v>
      </c>
      <c r="K498" s="21">
        <f ca="1">COUNTIF($J$2:Master[[#This Row],[ChecklistID]],Master[[#This Row],[ChecklistID]])-1</f>
        <v>0</v>
      </c>
      <c r="L498" s="23" t="s">
        <v>6</v>
      </c>
    </row>
    <row r="499" spans="1:12" ht="15.75">
      <c r="A499" s="23">
        <f t="shared" si="7"/>
        <v>498</v>
      </c>
      <c r="B499" s="21">
        <f ca="1">Master[[#This Row],[ChecklistID]]+Master[[#This Row],[Checklist Order]]</f>
        <v>56001</v>
      </c>
      <c r="C499" s="22"/>
      <c r="D499" s="3" t="str" cm="1">
        <f t="array" aca="1" ref="D499" ca="1">_xlfn.SWITCH(MID(Master[[#This Row],[Checklist]],1,4),"C - ","Civil","F - ","Foundation","ST -","Structure","FC -","Façade","PRE ","Pre-Line","POST","Post-Line","H - ","Handover","S - ","Services","CST ","Completion Docs", "I - ", "Inspection")</f>
        <v>Completion Docs</v>
      </c>
      <c r="E499" s="23" t="str">
        <f ca="1">IF(NOT(ISERROR(SEARCH("- S -", Master[[#This Row],[Checklist]]))), "Subcontractor",IF(NOT(ISERROR(SEARCH("- R -", Master[[#This Row],[Checklist]]))), "Ryman",IF(NOT(ISERROR(SEARCH("- C -", Master[[#This Row],[Checklist]]))), "Consultant",IF(NOT(ISERROR(SEARCH("- I -", Master[[#This Row],[Checklist]]))),  "Inspection Test Plan", "Naming Error"))))</f>
        <v>Ryman</v>
      </c>
      <c r="F499" s="24" t="str">
        <f ca="1">IF(OR(Master[[#This Row],[Type]]="checklist", Master[[#This Row],[Type]]="checklist-flat"), Master[[#This Row],[Name]], F498)</f>
        <v>CST - R - Fitout Consent</v>
      </c>
      <c r="G499" s="3" t="s">
        <v>49</v>
      </c>
      <c r="H499" s="24" t="s">
        <v>1391</v>
      </c>
      <c r="I499" s="3"/>
      <c r="J499" s="21">
        <f ca="1">_xlfn.XLOOKUP(Master[[#This Row],[Checklist]],Ref!A:A,Ref!B:B)*1000</f>
        <v>56000</v>
      </c>
      <c r="K499" s="21">
        <f ca="1">COUNTIF($J$2:Master[[#This Row],[ChecklistID]],Master[[#This Row],[ChecklistID]])-1</f>
        <v>1</v>
      </c>
      <c r="L499" s="23" t="s">
        <v>6</v>
      </c>
    </row>
    <row r="500" spans="1:12" ht="15.75">
      <c r="A500" s="23">
        <f t="shared" si="7"/>
        <v>499</v>
      </c>
      <c r="B500" s="21">
        <f ca="1">Master[[#This Row],[ChecklistID]]+Master[[#This Row],[Checklist Order]]</f>
        <v>56002</v>
      </c>
      <c r="C500" s="22"/>
      <c r="D500" s="3" t="str" cm="1">
        <f t="array" aca="1" ref="D500" ca="1">_xlfn.SWITCH(MID(Master[[#This Row],[Checklist]],1,4),"C - ","Civil","F - ","Foundation","ST -","Structure","FC -","Façade","PRE ","Pre-Line","POST","Post-Line","H - ","Handover","S - ","Services","CST ","Completion Docs", "I - ", "Inspection")</f>
        <v>Completion Docs</v>
      </c>
      <c r="E500" s="23" t="str">
        <f ca="1">IF(NOT(ISERROR(SEARCH("- S -", Master[[#This Row],[Checklist]]))), "Subcontractor",IF(NOT(ISERROR(SEARCH("- R -", Master[[#This Row],[Checklist]]))), "Ryman",IF(NOT(ISERROR(SEARCH("- C -", Master[[#This Row],[Checklist]]))), "Consultant",IF(NOT(ISERROR(SEARCH("- I -", Master[[#This Row],[Checklist]]))),  "Inspection Test Plan", "Naming Error"))))</f>
        <v>Ryman</v>
      </c>
      <c r="F500" s="24" t="str">
        <f ca="1">IF(OR(Master[[#This Row],[Type]]="checklist", Master[[#This Row],[Type]]="checklist-flat"), Master[[#This Row],[Name]], F499)</f>
        <v>CST - R - Fitout Consent</v>
      </c>
      <c r="G500" s="3" t="s">
        <v>49</v>
      </c>
      <c r="H500" s="24" t="s">
        <v>1392</v>
      </c>
      <c r="I500" s="3"/>
      <c r="J500" s="21">
        <f ca="1">_xlfn.XLOOKUP(Master[[#This Row],[Checklist]],Ref!A:A,Ref!B:B)*1000</f>
        <v>56000</v>
      </c>
      <c r="K500" s="21">
        <f ca="1">COUNTIF($J$2:Master[[#This Row],[ChecklistID]],Master[[#This Row],[ChecklistID]])-1</f>
        <v>2</v>
      </c>
      <c r="L500" s="23" t="s">
        <v>6</v>
      </c>
    </row>
    <row r="501" spans="1:12" ht="15.75">
      <c r="A501" s="23">
        <f t="shared" si="7"/>
        <v>500</v>
      </c>
      <c r="B501" s="21">
        <f ca="1">Master[[#This Row],[ChecklistID]]+Master[[#This Row],[Checklist Order]]</f>
        <v>56003</v>
      </c>
      <c r="C501" s="22"/>
      <c r="D501" s="3" t="str" cm="1">
        <f t="array" aca="1" ref="D501" ca="1">_xlfn.SWITCH(MID(Master[[#This Row],[Checklist]],1,4),"C - ","Civil","F - ","Foundation","ST -","Structure","FC -","Façade","PRE ","Pre-Line","POST","Post-Line","H - ","Handover","S - ","Services","CST ","Completion Docs", "I - ", "Inspection")</f>
        <v>Completion Docs</v>
      </c>
      <c r="E501" s="23" t="str">
        <f ca="1">IF(NOT(ISERROR(SEARCH("- S -", Master[[#This Row],[Checklist]]))), "Subcontractor",IF(NOT(ISERROR(SEARCH("- R -", Master[[#This Row],[Checklist]]))), "Ryman",IF(NOT(ISERROR(SEARCH("- C -", Master[[#This Row],[Checklist]]))), "Consultant",IF(NOT(ISERROR(SEARCH("- I -", Master[[#This Row],[Checklist]]))),  "Inspection Test Plan", "Naming Error"))))</f>
        <v>Ryman</v>
      </c>
      <c r="F501" s="24" t="str">
        <f ca="1">IF(OR(Master[[#This Row],[Type]]="checklist", Master[[#This Row],[Type]]="checklist-flat"), Master[[#This Row],[Name]], F500)</f>
        <v>CST - R - Fitout Consent</v>
      </c>
      <c r="G501" s="3" t="s">
        <v>49</v>
      </c>
      <c r="H501" s="24" t="s">
        <v>1393</v>
      </c>
      <c r="I501" s="3"/>
      <c r="J501" s="21">
        <f ca="1">_xlfn.XLOOKUP(Master[[#This Row],[Checklist]],Ref!A:A,Ref!B:B)*1000</f>
        <v>56000</v>
      </c>
      <c r="K501" s="21">
        <f ca="1">COUNTIF($J$2:Master[[#This Row],[ChecklistID]],Master[[#This Row],[ChecklistID]])-1</f>
        <v>3</v>
      </c>
      <c r="L501" s="23" t="s">
        <v>6</v>
      </c>
    </row>
    <row r="502" spans="1:12" ht="15.75">
      <c r="A502" s="23">
        <f t="shared" si="7"/>
        <v>501</v>
      </c>
      <c r="B502" s="21">
        <f ca="1">Master[[#This Row],[ChecklistID]]+Master[[#This Row],[Checklist Order]]</f>
        <v>56004</v>
      </c>
      <c r="C502" s="22"/>
      <c r="D502" s="3" t="str" cm="1">
        <f t="array" aca="1" ref="D502" ca="1">_xlfn.SWITCH(MID(Master[[#This Row],[Checklist]],1,4),"C - ","Civil","F - ","Foundation","ST -","Structure","FC -","Façade","PRE ","Pre-Line","POST","Post-Line","H - ","Handover","S - ","Services","CST ","Completion Docs", "I - ", "Inspection")</f>
        <v>Completion Docs</v>
      </c>
      <c r="E502" s="23" t="str">
        <f ca="1">IF(NOT(ISERROR(SEARCH("- S -", Master[[#This Row],[Checklist]]))), "Subcontractor",IF(NOT(ISERROR(SEARCH("- R -", Master[[#This Row],[Checklist]]))), "Ryman",IF(NOT(ISERROR(SEARCH("- C -", Master[[#This Row],[Checklist]]))), "Consultant",IF(NOT(ISERROR(SEARCH("- I -", Master[[#This Row],[Checklist]]))),  "Inspection Test Plan", "Naming Error"))))</f>
        <v>Ryman</v>
      </c>
      <c r="F502" s="24" t="str">
        <f ca="1">IF(OR(Master[[#This Row],[Type]]="checklist", Master[[#This Row],[Type]]="checklist-flat"), Master[[#This Row],[Name]], F501)</f>
        <v>CST - R - Fitout Consent</v>
      </c>
      <c r="G502" s="3" t="s">
        <v>49</v>
      </c>
      <c r="H502" s="24" t="s">
        <v>1567</v>
      </c>
      <c r="I502" s="3"/>
      <c r="J502" s="21">
        <f ca="1">_xlfn.XLOOKUP(Master[[#This Row],[Checklist]],Ref!A:A,Ref!B:B)*1000</f>
        <v>56000</v>
      </c>
      <c r="K502" s="21">
        <f ca="1">COUNTIF($J$2:Master[[#This Row],[ChecklistID]],Master[[#This Row],[ChecklistID]])-1</f>
        <v>4</v>
      </c>
      <c r="L502" s="23" t="s">
        <v>6</v>
      </c>
    </row>
    <row r="503" spans="1:12" ht="15.75">
      <c r="A503" s="23">
        <f t="shared" si="7"/>
        <v>502</v>
      </c>
      <c r="B503" s="21">
        <f ca="1">Master[[#This Row],[ChecklistID]]+Master[[#This Row],[Checklist Order]]</f>
        <v>56005</v>
      </c>
      <c r="C503" s="22"/>
      <c r="D503" s="3" t="str" cm="1">
        <f t="array" aca="1" ref="D503" ca="1">_xlfn.SWITCH(MID(Master[[#This Row],[Checklist]],1,4),"C - ","Civil","F - ","Foundation","ST -","Structure","FC -","Façade","PRE ","Pre-Line","POST","Post-Line","H - ","Handover","S - ","Services","CST ","Completion Docs", "I - ", "Inspection")</f>
        <v>Completion Docs</v>
      </c>
      <c r="E503" s="23" t="str">
        <f ca="1">IF(NOT(ISERROR(SEARCH("- S -", Master[[#This Row],[Checklist]]))), "Subcontractor",IF(NOT(ISERROR(SEARCH("- R -", Master[[#This Row],[Checklist]]))), "Ryman",IF(NOT(ISERROR(SEARCH("- C -", Master[[#This Row],[Checklist]]))), "Consultant",IF(NOT(ISERROR(SEARCH("- I -", Master[[#This Row],[Checklist]]))),  "Inspection Test Plan", "Naming Error"))))</f>
        <v>Ryman</v>
      </c>
      <c r="F503" s="24" t="str">
        <f ca="1">IF(OR(Master[[#This Row],[Type]]="checklist", Master[[#This Row],[Type]]="checklist-flat"), Master[[#This Row],[Name]], F502)</f>
        <v>CST - R - Fitout Consent</v>
      </c>
      <c r="G503" s="3" t="s">
        <v>49</v>
      </c>
      <c r="H503" s="24" t="s">
        <v>1407</v>
      </c>
      <c r="I503" s="3"/>
      <c r="J503" s="21">
        <f ca="1">_xlfn.XLOOKUP(Master[[#This Row],[Checklist]],Ref!A:A,Ref!B:B)*1000</f>
        <v>56000</v>
      </c>
      <c r="K503" s="21">
        <f ca="1">COUNTIF($J$2:Master[[#This Row],[ChecklistID]],Master[[#This Row],[ChecklistID]])-1</f>
        <v>5</v>
      </c>
      <c r="L503" s="23" t="s">
        <v>6</v>
      </c>
    </row>
    <row r="504" spans="1:12" ht="15.75">
      <c r="A504" s="23">
        <f t="shared" si="7"/>
        <v>503</v>
      </c>
      <c r="B504" s="21">
        <f ca="1">Master[[#This Row],[ChecklistID]]+Master[[#This Row],[Checklist Order]]</f>
        <v>56006</v>
      </c>
      <c r="C504" s="22"/>
      <c r="D504" s="23" t="str" cm="1">
        <f t="array" aca="1" ref="D504" ca="1">_xlfn.SWITCH(MID(Master[[#This Row],[Checklist]],1,4),"C - ","Civil","F - ","Foundation","ST -","Structure","FC -","Façade","PRE ","Pre-Line","POST","Post-Line","H - ","Handover","S - ","Services","CST ","Completion Docs", "I - ", "Inspection")</f>
        <v>Completion Docs</v>
      </c>
      <c r="E504" s="23" t="str">
        <f ca="1">IF(NOT(ISERROR(SEARCH("- S -", Master[[#This Row],[Checklist]]))), "Subcontractor",IF(NOT(ISERROR(SEARCH("- R -", Master[[#This Row],[Checklist]]))), "Ryman",IF(NOT(ISERROR(SEARCH("- C -", Master[[#This Row],[Checklist]]))), "Consultant",IF(NOT(ISERROR(SEARCH("- I -", Master[[#This Row],[Checklist]]))),  "Inspection Test Plan", "Naming Error"))))</f>
        <v>Ryman</v>
      </c>
      <c r="F504" s="24" t="str">
        <f ca="1">IF(OR(Master[[#This Row],[Type]]="checklist", Master[[#This Row],[Type]]="checklist-flat"), Master[[#This Row],[Name]], F503)</f>
        <v>CST - R - Fitout Consent</v>
      </c>
      <c r="G504" s="3" t="s">
        <v>66</v>
      </c>
      <c r="H504" s="24" t="s">
        <v>1454</v>
      </c>
      <c r="I504" s="3"/>
      <c r="J504" s="21">
        <f ca="1">_xlfn.XLOOKUP(Master[[#This Row],[Checklist]],Ref!A:A,Ref!B:B)*1000</f>
        <v>56000</v>
      </c>
      <c r="K504" s="21">
        <f ca="1">COUNTIF($J$2:Master[[#This Row],[ChecklistID]],Master[[#This Row],[ChecklistID]])-1</f>
        <v>6</v>
      </c>
      <c r="L504" s="23" t="s">
        <v>6</v>
      </c>
    </row>
    <row r="505" spans="1:12" ht="15.75">
      <c r="A505" s="23">
        <f t="shared" si="7"/>
        <v>504</v>
      </c>
      <c r="B505" s="21">
        <f ca="1">Master[[#This Row],[ChecklistID]]+Master[[#This Row],[Checklist Order]]</f>
        <v>56007</v>
      </c>
      <c r="C505" s="22"/>
      <c r="D505" s="3" t="str" cm="1">
        <f t="array" aca="1" ref="D505" ca="1">_xlfn.SWITCH(MID(Master[[#This Row],[Checklist]],1,4),"C - ","Civil","F - ","Foundation","ST -","Structure","FC -","Façade","PRE ","Pre-Line","POST","Post-Line","H - ","Handover","S - ","Services","CST ","Completion Docs", "I - ", "Inspection")</f>
        <v>Completion Docs</v>
      </c>
      <c r="E505" s="23" t="str">
        <f ca="1">IF(NOT(ISERROR(SEARCH("- S -", Master[[#This Row],[Checklist]]))), "Subcontractor",IF(NOT(ISERROR(SEARCH("- R -", Master[[#This Row],[Checklist]]))), "Ryman",IF(NOT(ISERROR(SEARCH("- C -", Master[[#This Row],[Checklist]]))), "Consultant",IF(NOT(ISERROR(SEARCH("- I -", Master[[#This Row],[Checklist]]))),  "Inspection Test Plan", "Naming Error"))))</f>
        <v>Ryman</v>
      </c>
      <c r="F505" s="24" t="str">
        <f ca="1">IF(OR(Master[[#This Row],[Type]]="checklist", Master[[#This Row],[Type]]="checklist-flat"), Master[[#This Row],[Name]], F504)</f>
        <v>CST - R - Fitout Consent</v>
      </c>
      <c r="G505" s="3" t="s">
        <v>66</v>
      </c>
      <c r="H505" s="24" t="s">
        <v>1455</v>
      </c>
      <c r="I505" s="3"/>
      <c r="J505" s="21">
        <f ca="1">_xlfn.XLOOKUP(Master[[#This Row],[Checklist]],Ref!A:A,Ref!B:B)*1000</f>
        <v>56000</v>
      </c>
      <c r="K505" s="21">
        <f ca="1">COUNTIF($J$2:Master[[#This Row],[ChecklistID]],Master[[#This Row],[ChecklistID]])-1</f>
        <v>7</v>
      </c>
      <c r="L505" s="23" t="s">
        <v>6</v>
      </c>
    </row>
    <row r="506" spans="1:12" ht="15.75">
      <c r="A506" s="23">
        <f t="shared" si="7"/>
        <v>505</v>
      </c>
      <c r="B506" s="21">
        <f ca="1">Master[[#This Row],[ChecklistID]]+Master[[#This Row],[Checklist Order]]</f>
        <v>56008</v>
      </c>
      <c r="C506" s="22"/>
      <c r="D506" s="3" t="str" cm="1">
        <f t="array" aca="1" ref="D506" ca="1">_xlfn.SWITCH(MID(Master[[#This Row],[Checklist]],1,4),"C - ","Civil","F - ","Foundation","ST -","Structure","FC -","Façade","PRE ","Pre-Line","POST","Post-Line","H - ","Handover","S - ","Services","CST ","Completion Docs", "I - ", "Inspection")</f>
        <v>Completion Docs</v>
      </c>
      <c r="E506" s="23" t="str">
        <f ca="1">IF(NOT(ISERROR(SEARCH("- S -", Master[[#This Row],[Checklist]]))), "Subcontractor",IF(NOT(ISERROR(SEARCH("- R -", Master[[#This Row],[Checklist]]))), "Ryman",IF(NOT(ISERROR(SEARCH("- C -", Master[[#This Row],[Checklist]]))), "Consultant",IF(NOT(ISERROR(SEARCH("- I -", Master[[#This Row],[Checklist]]))),  "Inspection Test Plan", "Naming Error"))))</f>
        <v>Ryman</v>
      </c>
      <c r="F506" s="24" t="str">
        <f ca="1">IF(OR(Master[[#This Row],[Type]]="checklist", Master[[#This Row],[Type]]="checklist-flat"), Master[[#This Row],[Name]], F505)</f>
        <v>CST - R - Fitout Consent</v>
      </c>
      <c r="G506" s="3" t="s">
        <v>49</v>
      </c>
      <c r="H506" s="24" t="s">
        <v>1568</v>
      </c>
      <c r="I506" s="3"/>
      <c r="J506" s="21">
        <f ca="1">_xlfn.XLOOKUP(Master[[#This Row],[Checklist]],Ref!A:A,Ref!B:B)*1000</f>
        <v>56000</v>
      </c>
      <c r="K506" s="21">
        <f ca="1">COUNTIF($J$2:Master[[#This Row],[ChecklistID]],Master[[#This Row],[ChecklistID]])-1</f>
        <v>8</v>
      </c>
      <c r="L506" s="23" t="s">
        <v>6</v>
      </c>
    </row>
    <row r="507" spans="1:12" ht="15.75">
      <c r="A507" s="23">
        <f t="shared" si="7"/>
        <v>506</v>
      </c>
      <c r="B507" s="21">
        <f ca="1">Master[[#This Row],[ChecklistID]]+Master[[#This Row],[Checklist Order]]</f>
        <v>56009</v>
      </c>
      <c r="C507" s="22"/>
      <c r="D507" s="3" t="str" cm="1">
        <f t="array" aca="1" ref="D507" ca="1">_xlfn.SWITCH(MID(Master[[#This Row],[Checklist]],1,4),"C - ","Civil","F - ","Foundation","ST -","Structure","FC -","Façade","PRE ","Pre-Line","POST","Post-Line","H - ","Handover","S - ","Services","CST ","Completion Docs", "I - ", "Inspection")</f>
        <v>Completion Docs</v>
      </c>
      <c r="E507" s="23" t="str">
        <f ca="1">IF(NOT(ISERROR(SEARCH("- S -", Master[[#This Row],[Checklist]]))), "Subcontractor",IF(NOT(ISERROR(SEARCH("- R -", Master[[#This Row],[Checklist]]))), "Ryman",IF(NOT(ISERROR(SEARCH("- C -", Master[[#This Row],[Checklist]]))), "Consultant",IF(NOT(ISERROR(SEARCH("- I -", Master[[#This Row],[Checklist]]))),  "Inspection Test Plan", "Naming Error"))))</f>
        <v>Ryman</v>
      </c>
      <c r="F507" s="24" t="str">
        <f ca="1">IF(OR(Master[[#This Row],[Type]]="checklist", Master[[#This Row],[Type]]="checklist-flat"), Master[[#This Row],[Name]], F506)</f>
        <v>CST - R - Fitout Consent</v>
      </c>
      <c r="G507" s="3" t="s">
        <v>66</v>
      </c>
      <c r="H507" s="24" t="s">
        <v>1569</v>
      </c>
      <c r="I507" s="3"/>
      <c r="J507" s="21">
        <f ca="1">_xlfn.XLOOKUP(Master[[#This Row],[Checklist]],Ref!A:A,Ref!B:B)*1000</f>
        <v>56000</v>
      </c>
      <c r="K507" s="21">
        <f ca="1">COUNTIF($J$2:Master[[#This Row],[ChecklistID]],Master[[#This Row],[ChecklistID]])-1</f>
        <v>9</v>
      </c>
      <c r="L507" s="23" t="s">
        <v>6</v>
      </c>
    </row>
    <row r="508" spans="1:12" ht="15.75">
      <c r="A508" s="23">
        <f t="shared" si="7"/>
        <v>507</v>
      </c>
      <c r="B508" s="21">
        <f ca="1">Master[[#This Row],[ChecklistID]]+Master[[#This Row],[Checklist Order]]</f>
        <v>56010</v>
      </c>
      <c r="C508" s="22"/>
      <c r="D508" s="3" t="str" cm="1">
        <f t="array" aca="1" ref="D508" ca="1">_xlfn.SWITCH(MID(Master[[#This Row],[Checklist]],1,4),"C - ","Civil","F - ","Foundation","ST -","Structure","FC -","Façade","PRE ","Pre-Line","POST","Post-Line","H - ","Handover","S - ","Services","CST ","Completion Docs", "I - ", "Inspection")</f>
        <v>Completion Docs</v>
      </c>
      <c r="E508" s="23" t="str">
        <f ca="1">IF(NOT(ISERROR(SEARCH("- S -", Master[[#This Row],[Checklist]]))), "Subcontractor",IF(NOT(ISERROR(SEARCH("- R -", Master[[#This Row],[Checklist]]))), "Ryman",IF(NOT(ISERROR(SEARCH("- C -", Master[[#This Row],[Checklist]]))), "Consultant",IF(NOT(ISERROR(SEARCH("- I -", Master[[#This Row],[Checklist]]))),  "Inspection Test Plan", "Naming Error"))))</f>
        <v>Ryman</v>
      </c>
      <c r="F508" s="24" t="str">
        <f ca="1">IF(OR(Master[[#This Row],[Type]]="checklist", Master[[#This Row],[Type]]="checklist-flat"), Master[[#This Row],[Name]], F507)</f>
        <v>CST - R - Fitout Consent</v>
      </c>
      <c r="G508" s="3" t="s">
        <v>66</v>
      </c>
      <c r="H508" s="24" t="s">
        <v>1570</v>
      </c>
      <c r="I508" s="3"/>
      <c r="J508" s="21">
        <f ca="1">_xlfn.XLOOKUP(Master[[#This Row],[Checklist]],Ref!A:A,Ref!B:B)*1000</f>
        <v>56000</v>
      </c>
      <c r="K508" s="21">
        <f ca="1">COUNTIF($J$2:Master[[#This Row],[ChecklistID]],Master[[#This Row],[ChecklistID]])-1</f>
        <v>10</v>
      </c>
      <c r="L508" s="23" t="s">
        <v>6</v>
      </c>
    </row>
    <row r="509" spans="1:12" ht="15.75">
      <c r="A509" s="23">
        <f t="shared" si="7"/>
        <v>508</v>
      </c>
      <c r="B509" s="21">
        <f ca="1">Master[[#This Row],[ChecklistID]]+Master[[#This Row],[Checklist Order]]</f>
        <v>56011</v>
      </c>
      <c r="C509" s="22"/>
      <c r="D509" s="3" t="str" cm="1">
        <f t="array" aca="1" ref="D509" ca="1">_xlfn.SWITCH(MID(Master[[#This Row],[Checklist]],1,4),"C - ","Civil","F - ","Foundation","ST -","Structure","FC -","Façade","PRE ","Pre-Line","POST","Post-Line","H - ","Handover","S - ","Services","CST ","Completion Docs", "I - ", "Inspection")</f>
        <v>Completion Docs</v>
      </c>
      <c r="E509" s="23" t="str">
        <f ca="1">IF(NOT(ISERROR(SEARCH("- S -", Master[[#This Row],[Checklist]]))), "Subcontractor",IF(NOT(ISERROR(SEARCH("- R -", Master[[#This Row],[Checklist]]))), "Ryman",IF(NOT(ISERROR(SEARCH("- C -", Master[[#This Row],[Checklist]]))), "Consultant",IF(NOT(ISERROR(SEARCH("- I -", Master[[#This Row],[Checklist]]))),  "Inspection Test Plan", "Naming Error"))))</f>
        <v>Ryman</v>
      </c>
      <c r="F509" s="24" t="str">
        <f ca="1">IF(OR(Master[[#This Row],[Type]]="checklist", Master[[#This Row],[Type]]="checklist-flat"), Master[[#This Row],[Name]], F508)</f>
        <v>CST - R - Fitout Consent</v>
      </c>
      <c r="G509" s="3" t="s">
        <v>49</v>
      </c>
      <c r="H509" s="24" t="s">
        <v>1571</v>
      </c>
      <c r="I509" s="3"/>
      <c r="J509" s="21">
        <f ca="1">_xlfn.XLOOKUP(Master[[#This Row],[Checklist]],Ref!A:A,Ref!B:B)*1000</f>
        <v>56000</v>
      </c>
      <c r="K509" s="21">
        <f ca="1">COUNTIF($J$2:Master[[#This Row],[ChecklistID]],Master[[#This Row],[ChecklistID]])-1</f>
        <v>11</v>
      </c>
      <c r="L509" s="23" t="s">
        <v>6</v>
      </c>
    </row>
    <row r="510" spans="1:12" ht="15.75">
      <c r="A510" s="23">
        <f t="shared" si="7"/>
        <v>509</v>
      </c>
      <c r="B510" s="21">
        <f ca="1">Master[[#This Row],[ChecklistID]]+Master[[#This Row],[Checklist Order]]</f>
        <v>56012</v>
      </c>
      <c r="C510" s="22"/>
      <c r="D510" s="3" t="str" cm="1">
        <f t="array" aca="1" ref="D510" ca="1">_xlfn.SWITCH(MID(Master[[#This Row],[Checklist]],1,4),"C - ","Civil","F - ","Foundation","ST -","Structure","FC -","Façade","PRE ","Pre-Line","POST","Post-Line","H - ","Handover","S - ","Services","CST ","Completion Docs", "I - ", "Inspection")</f>
        <v>Completion Docs</v>
      </c>
      <c r="E510" s="23" t="str">
        <f ca="1">IF(NOT(ISERROR(SEARCH("- S -", Master[[#This Row],[Checklist]]))), "Subcontractor",IF(NOT(ISERROR(SEARCH("- R -", Master[[#This Row],[Checklist]]))), "Ryman",IF(NOT(ISERROR(SEARCH("- C -", Master[[#This Row],[Checklist]]))), "Consultant",IF(NOT(ISERROR(SEARCH("- I -", Master[[#This Row],[Checklist]]))),  "Inspection Test Plan", "Naming Error"))))</f>
        <v>Ryman</v>
      </c>
      <c r="F510" s="24" t="str">
        <f ca="1">IF(OR(Master[[#This Row],[Type]]="checklist", Master[[#This Row],[Type]]="checklist-flat"), Master[[#This Row],[Name]], F509)</f>
        <v>CST - R - Fitout Consent</v>
      </c>
      <c r="G510" s="3" t="s">
        <v>66</v>
      </c>
      <c r="H510" s="24" t="s">
        <v>1572</v>
      </c>
      <c r="I510" s="3"/>
      <c r="J510" s="21">
        <f ca="1">_xlfn.XLOOKUP(Master[[#This Row],[Checklist]],Ref!A:A,Ref!B:B)*1000</f>
        <v>56000</v>
      </c>
      <c r="K510" s="21">
        <f ca="1">COUNTIF($J$2:Master[[#This Row],[ChecklistID]],Master[[#This Row],[ChecklistID]])-1</f>
        <v>12</v>
      </c>
      <c r="L510" s="23" t="s">
        <v>6</v>
      </c>
    </row>
    <row r="511" spans="1:12" ht="15.75">
      <c r="A511" s="23">
        <f t="shared" si="7"/>
        <v>510</v>
      </c>
      <c r="B511" s="21">
        <f ca="1">Master[[#This Row],[ChecklistID]]+Master[[#This Row],[Checklist Order]]</f>
        <v>56013</v>
      </c>
      <c r="C511" s="22"/>
      <c r="D511" s="3" t="str" cm="1">
        <f t="array" aca="1" ref="D511" ca="1">_xlfn.SWITCH(MID(Master[[#This Row],[Checklist]],1,4),"C - ","Civil","F - ","Foundation","ST -","Structure","FC -","Façade","PRE ","Pre-Line","POST","Post-Line","H - ","Handover","S - ","Services","CST ","Completion Docs", "I - ", "Inspection")</f>
        <v>Completion Docs</v>
      </c>
      <c r="E511" s="23" t="str">
        <f ca="1">IF(NOT(ISERROR(SEARCH("- S -", Master[[#This Row],[Checklist]]))), "Subcontractor",IF(NOT(ISERROR(SEARCH("- R -", Master[[#This Row],[Checklist]]))), "Ryman",IF(NOT(ISERROR(SEARCH("- C -", Master[[#This Row],[Checklist]]))), "Consultant",IF(NOT(ISERROR(SEARCH("- I -", Master[[#This Row],[Checklist]]))),  "Inspection Test Plan", "Naming Error"))))</f>
        <v>Ryman</v>
      </c>
      <c r="F511" s="24" t="str">
        <f ca="1">IF(OR(Master[[#This Row],[Type]]="checklist", Master[[#This Row],[Type]]="checklist-flat"), Master[[#This Row],[Name]], F510)</f>
        <v>CST - R - Fitout Consent</v>
      </c>
      <c r="G511" s="3" t="s">
        <v>49</v>
      </c>
      <c r="H511" s="24" t="s">
        <v>1573</v>
      </c>
      <c r="I511" s="3"/>
      <c r="J511" s="21">
        <f ca="1">_xlfn.XLOOKUP(Master[[#This Row],[Checklist]],Ref!A:A,Ref!B:B)*1000</f>
        <v>56000</v>
      </c>
      <c r="K511" s="21">
        <f ca="1">COUNTIF($J$2:Master[[#This Row],[ChecklistID]],Master[[#This Row],[ChecklistID]])-1</f>
        <v>13</v>
      </c>
      <c r="L511" s="23" t="s">
        <v>6</v>
      </c>
    </row>
    <row r="512" spans="1:12" ht="15.75">
      <c r="A512" s="23">
        <f t="shared" si="7"/>
        <v>511</v>
      </c>
      <c r="B512" s="21">
        <f ca="1">Master[[#This Row],[ChecklistID]]+Master[[#This Row],[Checklist Order]]</f>
        <v>56014</v>
      </c>
      <c r="C512" s="22"/>
      <c r="D512" s="3" t="str" cm="1">
        <f t="array" aca="1" ref="D512" ca="1">_xlfn.SWITCH(MID(Master[[#This Row],[Checklist]],1,4),"C - ","Civil","F - ","Foundation","ST -","Structure","FC -","Façade","PRE ","Pre-Line","POST","Post-Line","H - ","Handover","S - ","Services","CST ","Completion Docs", "I - ", "Inspection")</f>
        <v>Completion Docs</v>
      </c>
      <c r="E512" s="23" t="str">
        <f ca="1">IF(NOT(ISERROR(SEARCH("- S -", Master[[#This Row],[Checklist]]))), "Subcontractor",IF(NOT(ISERROR(SEARCH("- R -", Master[[#This Row],[Checklist]]))), "Ryman",IF(NOT(ISERROR(SEARCH("- C -", Master[[#This Row],[Checklist]]))), "Consultant",IF(NOT(ISERROR(SEARCH("- I -", Master[[#This Row],[Checklist]]))),  "Inspection Test Plan", "Naming Error"))))</f>
        <v>Ryman</v>
      </c>
      <c r="F512" s="24" t="str">
        <f ca="1">IF(OR(Master[[#This Row],[Type]]="checklist", Master[[#This Row],[Type]]="checklist-flat"), Master[[#This Row],[Name]], F511)</f>
        <v>CST - R - Fitout Consent</v>
      </c>
      <c r="G512" s="3" t="s">
        <v>66</v>
      </c>
      <c r="H512" s="24" t="s">
        <v>1574</v>
      </c>
      <c r="I512" s="3"/>
      <c r="J512" s="21">
        <f ca="1">_xlfn.XLOOKUP(Master[[#This Row],[Checklist]],Ref!A:A,Ref!B:B)*1000</f>
        <v>56000</v>
      </c>
      <c r="K512" s="21">
        <f ca="1">COUNTIF($J$2:Master[[#This Row],[ChecklistID]],Master[[#This Row],[ChecklistID]])-1</f>
        <v>14</v>
      </c>
      <c r="L512" s="23" t="s">
        <v>6</v>
      </c>
    </row>
    <row r="513" spans="1:12" ht="15.75">
      <c r="A513" s="23">
        <f t="shared" si="7"/>
        <v>512</v>
      </c>
      <c r="B513" s="21">
        <f ca="1">Master[[#This Row],[ChecklistID]]+Master[[#This Row],[Checklist Order]]</f>
        <v>56015</v>
      </c>
      <c r="C513" s="22"/>
      <c r="D513" s="3" t="str" cm="1">
        <f t="array" aca="1" ref="D513" ca="1">_xlfn.SWITCH(MID(Master[[#This Row],[Checklist]],1,4),"C - ","Civil","F - ","Foundation","ST -","Structure","FC -","Façade","PRE ","Pre-Line","POST","Post-Line","H - ","Handover","S - ","Services","CST ","Completion Docs", "I - ", "Inspection")</f>
        <v>Completion Docs</v>
      </c>
      <c r="E513" s="23" t="str">
        <f ca="1">IF(NOT(ISERROR(SEARCH("- S -", Master[[#This Row],[Checklist]]))), "Subcontractor",IF(NOT(ISERROR(SEARCH("- R -", Master[[#This Row],[Checklist]]))), "Ryman",IF(NOT(ISERROR(SEARCH("- C -", Master[[#This Row],[Checklist]]))), "Consultant",IF(NOT(ISERROR(SEARCH("- I -", Master[[#This Row],[Checklist]]))),  "Inspection Test Plan", "Naming Error"))))</f>
        <v>Ryman</v>
      </c>
      <c r="F513" s="24" t="str">
        <f ca="1">IF(OR(Master[[#This Row],[Type]]="checklist", Master[[#This Row],[Type]]="checklist-flat"), Master[[#This Row],[Name]], F512)</f>
        <v>CST - R - Fitout Consent</v>
      </c>
      <c r="G513" s="3" t="s">
        <v>49</v>
      </c>
      <c r="H513" s="24" t="s">
        <v>1575</v>
      </c>
      <c r="I513" s="3"/>
      <c r="J513" s="21">
        <f ca="1">_xlfn.XLOOKUP(Master[[#This Row],[Checklist]],Ref!A:A,Ref!B:B)*1000</f>
        <v>56000</v>
      </c>
      <c r="K513" s="21">
        <f ca="1">COUNTIF($J$2:Master[[#This Row],[ChecklistID]],Master[[#This Row],[ChecklistID]])-1</f>
        <v>15</v>
      </c>
      <c r="L513" s="23" t="s">
        <v>6</v>
      </c>
    </row>
    <row r="514" spans="1:12" ht="15.75">
      <c r="A514" s="23">
        <f t="shared" ref="A514:A577" si="8">IFERROR(A513+1,1)</f>
        <v>513</v>
      </c>
      <c r="B514" s="21">
        <f ca="1">Master[[#This Row],[ChecklistID]]+Master[[#This Row],[Checklist Order]]</f>
        <v>57000</v>
      </c>
      <c r="C514" s="22"/>
      <c r="D514" s="3" t="str" cm="1">
        <f t="array" aca="1" ref="D514" ca="1">_xlfn.SWITCH(MID(Master[[#This Row],[Checklist]],1,4),"C - ","Civil","F - ","Foundation","ST -","Structure","FC -","Façade","PRE ","Pre-Line","POST","Post-Line","H - ","Handover","S - ","Services","CST ","Completion Docs", "I - ", "Inspection")</f>
        <v>Completion Docs</v>
      </c>
      <c r="E514" s="23" t="str">
        <f ca="1">IF(NOT(ISERROR(SEARCH("- S -", Master[[#This Row],[Checklist]]))), "Subcontractor",IF(NOT(ISERROR(SEARCH("- R -", Master[[#This Row],[Checklist]]))), "Ryman",IF(NOT(ISERROR(SEARCH("- C -", Master[[#This Row],[Checklist]]))), "Consultant",IF(NOT(ISERROR(SEARCH("- I -", Master[[#This Row],[Checklist]]))),  "Inspection Test Plan", "Naming Error"))))</f>
        <v>Ryman</v>
      </c>
      <c r="F514" s="24" t="str">
        <f ca="1">IF(OR(Master[[#This Row],[Type]]="checklist", Master[[#This Row],[Type]]="checklist-flat"), Master[[#This Row],[Name]], F513)</f>
        <v>CST - R - Façade Consent</v>
      </c>
      <c r="G514" s="3" t="s">
        <v>48</v>
      </c>
      <c r="H514" s="24" t="s">
        <v>1576</v>
      </c>
      <c r="I514" s="3"/>
      <c r="J514" s="21">
        <f ca="1">_xlfn.XLOOKUP(Master[[#This Row],[Checklist]],Ref!A:A,Ref!B:B)*1000</f>
        <v>57000</v>
      </c>
      <c r="K514" s="21">
        <f ca="1">COUNTIF($J$2:Master[[#This Row],[ChecklistID]],Master[[#This Row],[ChecklistID]])-1</f>
        <v>0</v>
      </c>
      <c r="L514" s="23" t="s">
        <v>6</v>
      </c>
    </row>
    <row r="515" spans="1:12" ht="15.75">
      <c r="A515" s="23">
        <f t="shared" si="8"/>
        <v>514</v>
      </c>
      <c r="B515" s="21">
        <f ca="1">Master[[#This Row],[ChecklistID]]+Master[[#This Row],[Checklist Order]]</f>
        <v>57001</v>
      </c>
      <c r="C515" s="22"/>
      <c r="D515" s="3" t="str" cm="1">
        <f t="array" aca="1" ref="D515" ca="1">_xlfn.SWITCH(MID(Master[[#This Row],[Checklist]],1,4),"C - ","Civil","F - ","Foundation","ST -","Structure","FC -","Façade","PRE ","Pre-Line","POST","Post-Line","H - ","Handover","S - ","Services","CST ","Completion Docs", "I - ", "Inspection")</f>
        <v>Completion Docs</v>
      </c>
      <c r="E515" s="23" t="str">
        <f ca="1">IF(NOT(ISERROR(SEARCH("- S -", Master[[#This Row],[Checklist]]))), "Subcontractor",IF(NOT(ISERROR(SEARCH("- R -", Master[[#This Row],[Checklist]]))), "Ryman",IF(NOT(ISERROR(SEARCH("- C -", Master[[#This Row],[Checklist]]))), "Consultant",IF(NOT(ISERROR(SEARCH("- I -", Master[[#This Row],[Checklist]]))),  "Inspection Test Plan", "Naming Error"))))</f>
        <v>Ryman</v>
      </c>
      <c r="F515" s="24" t="str">
        <f ca="1">IF(OR(Master[[#This Row],[Type]]="checklist", Master[[#This Row],[Type]]="checklist-flat"), Master[[#This Row],[Name]], F514)</f>
        <v>CST - R - Façade Consent</v>
      </c>
      <c r="G515" s="3" t="s">
        <v>49</v>
      </c>
      <c r="H515" s="24" t="s">
        <v>1391</v>
      </c>
      <c r="I515" s="3"/>
      <c r="J515" s="21">
        <f ca="1">_xlfn.XLOOKUP(Master[[#This Row],[Checklist]],Ref!A:A,Ref!B:B)*1000</f>
        <v>57000</v>
      </c>
      <c r="K515" s="21">
        <f ca="1">COUNTIF($J$2:Master[[#This Row],[ChecklistID]],Master[[#This Row],[ChecklistID]])-1</f>
        <v>1</v>
      </c>
      <c r="L515" s="23" t="s">
        <v>6</v>
      </c>
    </row>
    <row r="516" spans="1:12" ht="15.75">
      <c r="A516" s="23">
        <f t="shared" si="8"/>
        <v>515</v>
      </c>
      <c r="B516" s="21">
        <f ca="1">Master[[#This Row],[ChecklistID]]+Master[[#This Row],[Checklist Order]]</f>
        <v>57002</v>
      </c>
      <c r="C516" s="22"/>
      <c r="D516" s="3" t="str" cm="1">
        <f t="array" aca="1" ref="D516" ca="1">_xlfn.SWITCH(MID(Master[[#This Row],[Checklist]],1,4),"C - ","Civil","F - ","Foundation","ST -","Structure","FC -","Façade","PRE ","Pre-Line","POST","Post-Line","H - ","Handover","S - ","Services","CST ","Completion Docs", "I - ", "Inspection")</f>
        <v>Completion Docs</v>
      </c>
      <c r="E516" s="23" t="str">
        <f ca="1">IF(NOT(ISERROR(SEARCH("- S -", Master[[#This Row],[Checklist]]))), "Subcontractor",IF(NOT(ISERROR(SEARCH("- R -", Master[[#This Row],[Checklist]]))), "Ryman",IF(NOT(ISERROR(SEARCH("- C -", Master[[#This Row],[Checklist]]))), "Consultant",IF(NOT(ISERROR(SEARCH("- I -", Master[[#This Row],[Checklist]]))),  "Inspection Test Plan", "Naming Error"))))</f>
        <v>Ryman</v>
      </c>
      <c r="F516" s="24" t="str">
        <f ca="1">IF(OR(Master[[#This Row],[Type]]="checklist", Master[[#This Row],[Type]]="checklist-flat"), Master[[#This Row],[Name]], F515)</f>
        <v>CST - R - Façade Consent</v>
      </c>
      <c r="G516" s="3" t="s">
        <v>49</v>
      </c>
      <c r="H516" s="24" t="s">
        <v>1392</v>
      </c>
      <c r="I516" s="3"/>
      <c r="J516" s="21">
        <f ca="1">_xlfn.XLOOKUP(Master[[#This Row],[Checklist]],Ref!A:A,Ref!B:B)*1000</f>
        <v>57000</v>
      </c>
      <c r="K516" s="21">
        <f ca="1">COUNTIF($J$2:Master[[#This Row],[ChecklistID]],Master[[#This Row],[ChecklistID]])-1</f>
        <v>2</v>
      </c>
      <c r="L516" s="23" t="s">
        <v>6</v>
      </c>
    </row>
    <row r="517" spans="1:12" ht="15.75">
      <c r="A517" s="23">
        <f t="shared" si="8"/>
        <v>516</v>
      </c>
      <c r="B517" s="21">
        <f ca="1">Master[[#This Row],[ChecklistID]]+Master[[#This Row],[Checklist Order]]</f>
        <v>57003</v>
      </c>
      <c r="C517" s="22"/>
      <c r="D517" s="3" t="str" cm="1">
        <f t="array" aca="1" ref="D517" ca="1">_xlfn.SWITCH(MID(Master[[#This Row],[Checklist]],1,4),"C - ","Civil","F - ","Foundation","ST -","Structure","FC -","Façade","PRE ","Pre-Line","POST","Post-Line","H - ","Handover","S - ","Services","CST ","Completion Docs", "I - ", "Inspection")</f>
        <v>Completion Docs</v>
      </c>
      <c r="E517" s="23" t="str">
        <f ca="1">IF(NOT(ISERROR(SEARCH("- S -", Master[[#This Row],[Checklist]]))), "Subcontractor",IF(NOT(ISERROR(SEARCH("- R -", Master[[#This Row],[Checklist]]))), "Ryman",IF(NOT(ISERROR(SEARCH("- C -", Master[[#This Row],[Checklist]]))), "Consultant",IF(NOT(ISERROR(SEARCH("- I -", Master[[#This Row],[Checklist]]))),  "Inspection Test Plan", "Naming Error"))))</f>
        <v>Ryman</v>
      </c>
      <c r="F517" s="24" t="str">
        <f ca="1">IF(OR(Master[[#This Row],[Type]]="checklist", Master[[#This Row],[Type]]="checklist-flat"), Master[[#This Row],[Name]], F516)</f>
        <v>CST - R - Façade Consent</v>
      </c>
      <c r="G517" s="3" t="s">
        <v>49</v>
      </c>
      <c r="H517" s="24" t="s">
        <v>1393</v>
      </c>
      <c r="I517" s="3"/>
      <c r="J517" s="21">
        <f ca="1">_xlfn.XLOOKUP(Master[[#This Row],[Checklist]],Ref!A:A,Ref!B:B)*1000</f>
        <v>57000</v>
      </c>
      <c r="K517" s="21">
        <f ca="1">COUNTIF($J$2:Master[[#This Row],[ChecklistID]],Master[[#This Row],[ChecklistID]])-1</f>
        <v>3</v>
      </c>
      <c r="L517" s="23" t="s">
        <v>6</v>
      </c>
    </row>
    <row r="518" spans="1:12" ht="15.75">
      <c r="A518" s="23">
        <f t="shared" si="8"/>
        <v>517</v>
      </c>
      <c r="B518" s="21">
        <f ca="1">Master[[#This Row],[ChecklistID]]+Master[[#This Row],[Checklist Order]]</f>
        <v>57004</v>
      </c>
      <c r="C518" s="22"/>
      <c r="D518" s="3" t="str" cm="1">
        <f t="array" aca="1" ref="D518" ca="1">_xlfn.SWITCH(MID(Master[[#This Row],[Checklist]],1,4),"C - ","Civil","F - ","Foundation","ST -","Structure","FC -","Façade","PRE ","Pre-Line","POST","Post-Line","H - ","Handover","S - ","Services","CST ","Completion Docs", "I - ", "Inspection")</f>
        <v>Completion Docs</v>
      </c>
      <c r="E518" s="23" t="str">
        <f ca="1">IF(NOT(ISERROR(SEARCH("- S -", Master[[#This Row],[Checklist]]))), "Subcontractor",IF(NOT(ISERROR(SEARCH("- R -", Master[[#This Row],[Checklist]]))), "Ryman",IF(NOT(ISERROR(SEARCH("- C -", Master[[#This Row],[Checklist]]))), "Consultant",IF(NOT(ISERROR(SEARCH("- I -", Master[[#This Row],[Checklist]]))),  "Inspection Test Plan", "Naming Error"))))</f>
        <v>Ryman</v>
      </c>
      <c r="F518" s="24" t="str">
        <f ca="1">IF(OR(Master[[#This Row],[Type]]="checklist", Master[[#This Row],[Type]]="checklist-flat"), Master[[#This Row],[Name]], F517)</f>
        <v>CST - R - Façade Consent</v>
      </c>
      <c r="G518" s="3" t="s">
        <v>49</v>
      </c>
      <c r="H518" s="24" t="s">
        <v>1394</v>
      </c>
      <c r="I518" s="3"/>
      <c r="J518" s="21">
        <f ca="1">_xlfn.XLOOKUP(Master[[#This Row],[Checklist]],Ref!A:A,Ref!B:B)*1000</f>
        <v>57000</v>
      </c>
      <c r="K518" s="21">
        <f ca="1">COUNTIF($J$2:Master[[#This Row],[ChecklistID]],Master[[#This Row],[ChecklistID]])-1</f>
        <v>4</v>
      </c>
      <c r="L518" s="23" t="s">
        <v>6</v>
      </c>
    </row>
    <row r="519" spans="1:12" ht="15.75">
      <c r="A519" s="23">
        <f t="shared" si="8"/>
        <v>518</v>
      </c>
      <c r="B519" s="21">
        <f ca="1">Master[[#This Row],[ChecklistID]]+Master[[#This Row],[Checklist Order]]</f>
        <v>57005</v>
      </c>
      <c r="C519" s="22"/>
      <c r="D519" s="3" t="str" cm="1">
        <f t="array" aca="1" ref="D519" ca="1">_xlfn.SWITCH(MID(Master[[#This Row],[Checklist]],1,4),"C - ","Civil","F - ","Foundation","ST -","Structure","FC -","Façade","PRE ","Pre-Line","POST","Post-Line","H - ","Handover","S - ","Services","CST ","Completion Docs", "I - ", "Inspection")</f>
        <v>Completion Docs</v>
      </c>
      <c r="E519" s="23" t="str">
        <f ca="1">IF(NOT(ISERROR(SEARCH("- S -", Master[[#This Row],[Checklist]]))), "Subcontractor",IF(NOT(ISERROR(SEARCH("- R -", Master[[#This Row],[Checklist]]))), "Ryman",IF(NOT(ISERROR(SEARCH("- C -", Master[[#This Row],[Checklist]]))), "Consultant",IF(NOT(ISERROR(SEARCH("- I -", Master[[#This Row],[Checklist]]))),  "Inspection Test Plan", "Naming Error"))))</f>
        <v>Ryman</v>
      </c>
      <c r="F519" s="24" t="str">
        <f ca="1">IF(OR(Master[[#This Row],[Type]]="checklist", Master[[#This Row],[Type]]="checklist-flat"), Master[[#This Row],[Name]], F518)</f>
        <v>CST - R - Façade Consent</v>
      </c>
      <c r="G519" s="3" t="s">
        <v>49</v>
      </c>
      <c r="H519" s="24" t="s">
        <v>1577</v>
      </c>
      <c r="I519" s="3"/>
      <c r="J519" s="21">
        <f ca="1">_xlfn.XLOOKUP(Master[[#This Row],[Checklist]],Ref!A:A,Ref!B:B)*1000</f>
        <v>57000</v>
      </c>
      <c r="K519" s="21">
        <f ca="1">COUNTIF($J$2:Master[[#This Row],[ChecklistID]],Master[[#This Row],[ChecklistID]])-1</f>
        <v>5</v>
      </c>
      <c r="L519" s="23" t="s">
        <v>6</v>
      </c>
    </row>
    <row r="520" spans="1:12" ht="15.75">
      <c r="A520" s="23">
        <f t="shared" si="8"/>
        <v>519</v>
      </c>
      <c r="B520" s="21">
        <f ca="1">Master[[#This Row],[ChecklistID]]+Master[[#This Row],[Checklist Order]]</f>
        <v>57006</v>
      </c>
      <c r="C520" s="22"/>
      <c r="D520" s="3" t="str" cm="1">
        <f t="array" aca="1" ref="D520" ca="1">_xlfn.SWITCH(MID(Master[[#This Row],[Checklist]],1,4),"C - ","Civil","F - ","Foundation","ST -","Structure","FC -","Façade","PRE ","Pre-Line","POST","Post-Line","H - ","Handover","S - ","Services","CST ","Completion Docs", "I - ", "Inspection")</f>
        <v>Completion Docs</v>
      </c>
      <c r="E520" s="23" t="str">
        <f ca="1">IF(NOT(ISERROR(SEARCH("- S -", Master[[#This Row],[Checklist]]))), "Subcontractor",IF(NOT(ISERROR(SEARCH("- R -", Master[[#This Row],[Checklist]]))), "Ryman",IF(NOT(ISERROR(SEARCH("- C -", Master[[#This Row],[Checklist]]))), "Consultant",IF(NOT(ISERROR(SEARCH("- I -", Master[[#This Row],[Checklist]]))),  "Inspection Test Plan", "Naming Error"))))</f>
        <v>Ryman</v>
      </c>
      <c r="F520" s="24" t="str">
        <f ca="1">IF(OR(Master[[#This Row],[Type]]="checklist", Master[[#This Row],[Type]]="checklist-flat"), Master[[#This Row],[Name]], F519)</f>
        <v>CST - R - Façade Consent</v>
      </c>
      <c r="G520" s="3" t="s">
        <v>66</v>
      </c>
      <c r="H520" s="24" t="s">
        <v>1578</v>
      </c>
      <c r="I520" s="3"/>
      <c r="J520" s="21">
        <f ca="1">_xlfn.XLOOKUP(Master[[#This Row],[Checklist]],Ref!A:A,Ref!B:B)*1000</f>
        <v>57000</v>
      </c>
      <c r="K520" s="21">
        <f ca="1">COUNTIF($J$2:Master[[#This Row],[ChecklistID]],Master[[#This Row],[ChecklistID]])-1</f>
        <v>6</v>
      </c>
      <c r="L520" s="23" t="s">
        <v>6</v>
      </c>
    </row>
    <row r="521" spans="1:12" ht="15.75">
      <c r="A521" s="23">
        <f t="shared" si="8"/>
        <v>520</v>
      </c>
      <c r="B521" s="21">
        <f ca="1">Master[[#This Row],[ChecklistID]]+Master[[#This Row],[Checklist Order]]</f>
        <v>57007</v>
      </c>
      <c r="C521" s="22"/>
      <c r="D521" s="3" t="str" cm="1">
        <f t="array" aca="1" ref="D521" ca="1">_xlfn.SWITCH(MID(Master[[#This Row],[Checklist]],1,4),"C - ","Civil","F - ","Foundation","ST -","Structure","FC -","Façade","PRE ","Pre-Line","POST","Post-Line","H - ","Handover","S - ","Services","CST ","Completion Docs", "I - ", "Inspection")</f>
        <v>Completion Docs</v>
      </c>
      <c r="E521" s="23" t="str">
        <f ca="1">IF(NOT(ISERROR(SEARCH("- S -", Master[[#This Row],[Checklist]]))), "Subcontractor",IF(NOT(ISERROR(SEARCH("- R -", Master[[#This Row],[Checklist]]))), "Ryman",IF(NOT(ISERROR(SEARCH("- C -", Master[[#This Row],[Checklist]]))), "Consultant",IF(NOT(ISERROR(SEARCH("- I -", Master[[#This Row],[Checklist]]))),  "Inspection Test Plan", "Naming Error"))))</f>
        <v>Ryman</v>
      </c>
      <c r="F521" s="24" t="str">
        <f ca="1">IF(OR(Master[[#This Row],[Type]]="checklist", Master[[#This Row],[Type]]="checklist-flat"), Master[[#This Row],[Name]], F520)</f>
        <v>CST - R - Façade Consent</v>
      </c>
      <c r="G521" s="3" t="s">
        <v>66</v>
      </c>
      <c r="H521" s="24" t="s">
        <v>1579</v>
      </c>
      <c r="I521" s="3"/>
      <c r="J521" s="21">
        <f ca="1">_xlfn.XLOOKUP(Master[[#This Row],[Checklist]],Ref!A:A,Ref!B:B)*1000</f>
        <v>57000</v>
      </c>
      <c r="K521" s="21">
        <f ca="1">COUNTIF($J$2:Master[[#This Row],[ChecklistID]],Master[[#This Row],[ChecklistID]])-1</f>
        <v>7</v>
      </c>
      <c r="L521" s="23" t="s">
        <v>6</v>
      </c>
    </row>
    <row r="522" spans="1:12" ht="15.75">
      <c r="A522" s="23">
        <f t="shared" si="8"/>
        <v>521</v>
      </c>
      <c r="B522" s="21">
        <f ca="1">Master[[#This Row],[ChecklistID]]+Master[[#This Row],[Checklist Order]]</f>
        <v>57008</v>
      </c>
      <c r="C522" s="22"/>
      <c r="D522" s="3" t="str" cm="1">
        <f t="array" aca="1" ref="D522" ca="1">_xlfn.SWITCH(MID(Master[[#This Row],[Checklist]],1,4),"C - ","Civil","F - ","Foundation","ST -","Structure","FC -","Façade","PRE ","Pre-Line","POST","Post-Line","H - ","Handover","S - ","Services","CST ","Completion Docs", "I - ", "Inspection")</f>
        <v>Completion Docs</v>
      </c>
      <c r="E522" s="23" t="str">
        <f ca="1">IF(NOT(ISERROR(SEARCH("- S -", Master[[#This Row],[Checklist]]))), "Subcontractor",IF(NOT(ISERROR(SEARCH("- R -", Master[[#This Row],[Checklist]]))), "Ryman",IF(NOT(ISERROR(SEARCH("- C -", Master[[#This Row],[Checklist]]))), "Consultant",IF(NOT(ISERROR(SEARCH("- I -", Master[[#This Row],[Checklist]]))),  "Inspection Test Plan", "Naming Error"))))</f>
        <v>Ryman</v>
      </c>
      <c r="F522" s="24" t="str">
        <f ca="1">IF(OR(Master[[#This Row],[Type]]="checklist", Master[[#This Row],[Type]]="checklist-flat"), Master[[#This Row],[Name]], F521)</f>
        <v>CST - R - Façade Consent</v>
      </c>
      <c r="G522" s="3" t="s">
        <v>49</v>
      </c>
      <c r="H522" s="24" t="s">
        <v>1580</v>
      </c>
      <c r="I522" s="3"/>
      <c r="J522" s="21">
        <f ca="1">_xlfn.XLOOKUP(Master[[#This Row],[Checklist]],Ref!A:A,Ref!B:B)*1000</f>
        <v>57000</v>
      </c>
      <c r="K522" s="21">
        <f ca="1">COUNTIF($J$2:Master[[#This Row],[ChecklistID]],Master[[#This Row],[ChecklistID]])-1</f>
        <v>8</v>
      </c>
      <c r="L522" s="23" t="s">
        <v>6</v>
      </c>
    </row>
    <row r="523" spans="1:12" ht="15.75">
      <c r="A523" s="23">
        <f t="shared" si="8"/>
        <v>522</v>
      </c>
      <c r="B523" s="21">
        <f ca="1">Master[[#This Row],[ChecklistID]]+Master[[#This Row],[Checklist Order]]</f>
        <v>57009</v>
      </c>
      <c r="C523" s="22"/>
      <c r="D523" s="3" t="str" cm="1">
        <f t="array" aca="1" ref="D523" ca="1">_xlfn.SWITCH(MID(Master[[#This Row],[Checklist]],1,4),"C - ","Civil","F - ","Foundation","ST -","Structure","FC -","Façade","PRE ","Pre-Line","POST","Post-Line","H - ","Handover","S - ","Services","CST ","Completion Docs", "I - ", "Inspection")</f>
        <v>Completion Docs</v>
      </c>
      <c r="E523" s="23" t="str">
        <f ca="1">IF(NOT(ISERROR(SEARCH("- S -", Master[[#This Row],[Checklist]]))), "Subcontractor",IF(NOT(ISERROR(SEARCH("- R -", Master[[#This Row],[Checklist]]))), "Ryman",IF(NOT(ISERROR(SEARCH("- C -", Master[[#This Row],[Checklist]]))), "Consultant",IF(NOT(ISERROR(SEARCH("- I -", Master[[#This Row],[Checklist]]))),  "Inspection Test Plan", "Naming Error"))))</f>
        <v>Ryman</v>
      </c>
      <c r="F523" s="24" t="str">
        <f ca="1">IF(OR(Master[[#This Row],[Type]]="checklist", Master[[#This Row],[Type]]="checklist-flat"), Master[[#This Row],[Name]], F522)</f>
        <v>CST - R - Façade Consent</v>
      </c>
      <c r="G523" s="3" t="s">
        <v>66</v>
      </c>
      <c r="H523" s="24" t="s">
        <v>1581</v>
      </c>
      <c r="I523" s="3"/>
      <c r="J523" s="21">
        <f ca="1">_xlfn.XLOOKUP(Master[[#This Row],[Checklist]],Ref!A:A,Ref!B:B)*1000</f>
        <v>57000</v>
      </c>
      <c r="K523" s="21">
        <f ca="1">COUNTIF($J$2:Master[[#This Row],[ChecklistID]],Master[[#This Row],[ChecklistID]])-1</f>
        <v>9</v>
      </c>
      <c r="L523" s="23" t="s">
        <v>6</v>
      </c>
    </row>
    <row r="524" spans="1:12" ht="15.75">
      <c r="A524" s="23">
        <f t="shared" si="8"/>
        <v>523</v>
      </c>
      <c r="B524" s="21">
        <f ca="1">Master[[#This Row],[ChecklistID]]+Master[[#This Row],[Checklist Order]]</f>
        <v>57010</v>
      </c>
      <c r="C524" s="22"/>
      <c r="D524" s="3" t="str" cm="1">
        <f t="array" aca="1" ref="D524" ca="1">_xlfn.SWITCH(MID(Master[[#This Row],[Checklist]],1,4),"C - ","Civil","F - ","Foundation","ST -","Structure","FC -","Façade","PRE ","Pre-Line","POST","Post-Line","H - ","Handover","S - ","Services","CST ","Completion Docs", "I - ", "Inspection")</f>
        <v>Completion Docs</v>
      </c>
      <c r="E524" s="23" t="str">
        <f ca="1">IF(NOT(ISERROR(SEARCH("- S -", Master[[#This Row],[Checklist]]))), "Subcontractor",IF(NOT(ISERROR(SEARCH("- R -", Master[[#This Row],[Checklist]]))), "Ryman",IF(NOT(ISERROR(SEARCH("- C -", Master[[#This Row],[Checklist]]))), "Consultant",IF(NOT(ISERROR(SEARCH("- I -", Master[[#This Row],[Checklist]]))),  "Inspection Test Plan", "Naming Error"))))</f>
        <v>Ryman</v>
      </c>
      <c r="F524" s="24" t="str">
        <f ca="1">IF(OR(Master[[#This Row],[Type]]="checklist", Master[[#This Row],[Type]]="checklist-flat"), Master[[#This Row],[Name]], F523)</f>
        <v>CST - R - Façade Consent</v>
      </c>
      <c r="G524" s="3" t="s">
        <v>66</v>
      </c>
      <c r="H524" s="24" t="s">
        <v>1582</v>
      </c>
      <c r="I524" s="3"/>
      <c r="J524" s="21">
        <f ca="1">_xlfn.XLOOKUP(Master[[#This Row],[Checklist]],Ref!A:A,Ref!B:B)*1000</f>
        <v>57000</v>
      </c>
      <c r="K524" s="21">
        <f ca="1">COUNTIF($J$2:Master[[#This Row],[ChecklistID]],Master[[#This Row],[ChecklistID]])-1</f>
        <v>10</v>
      </c>
      <c r="L524" s="23" t="s">
        <v>6</v>
      </c>
    </row>
    <row r="525" spans="1:12" ht="15.75">
      <c r="A525" s="23">
        <f t="shared" si="8"/>
        <v>524</v>
      </c>
      <c r="B525" s="21">
        <f ca="1">Master[[#This Row],[ChecklistID]]+Master[[#This Row],[Checklist Order]]</f>
        <v>57011</v>
      </c>
      <c r="C525" s="22"/>
      <c r="D525" s="3" t="str" cm="1">
        <f t="array" aca="1" ref="D525" ca="1">_xlfn.SWITCH(MID(Master[[#This Row],[Checklist]],1,4),"C - ","Civil","F - ","Foundation","ST -","Structure","FC -","Façade","PRE ","Pre-Line","POST","Post-Line","H - ","Handover","S - ","Services","CST ","Completion Docs", "I - ", "Inspection")</f>
        <v>Completion Docs</v>
      </c>
      <c r="E525" s="23" t="str">
        <f ca="1">IF(NOT(ISERROR(SEARCH("- S -", Master[[#This Row],[Checklist]]))), "Subcontractor",IF(NOT(ISERROR(SEARCH("- R -", Master[[#This Row],[Checklist]]))), "Ryman",IF(NOT(ISERROR(SEARCH("- C -", Master[[#This Row],[Checklist]]))), "Consultant",IF(NOT(ISERROR(SEARCH("- I -", Master[[#This Row],[Checklist]]))),  "Inspection Test Plan", "Naming Error"))))</f>
        <v>Ryman</v>
      </c>
      <c r="F525" s="24" t="str">
        <f ca="1">IF(OR(Master[[#This Row],[Type]]="checklist", Master[[#This Row],[Type]]="checklist-flat"), Master[[#This Row],[Name]], F524)</f>
        <v>CST - R - Façade Consent</v>
      </c>
      <c r="G525" s="3" t="s">
        <v>66</v>
      </c>
      <c r="H525" s="24" t="s">
        <v>1583</v>
      </c>
      <c r="I525" s="3"/>
      <c r="J525" s="21">
        <f ca="1">_xlfn.XLOOKUP(Master[[#This Row],[Checklist]],Ref!A:A,Ref!B:B)*1000</f>
        <v>57000</v>
      </c>
      <c r="K525" s="21">
        <f ca="1">COUNTIF($J$2:Master[[#This Row],[ChecklistID]],Master[[#This Row],[ChecklistID]])-1</f>
        <v>11</v>
      </c>
      <c r="L525" s="23" t="s">
        <v>6</v>
      </c>
    </row>
    <row r="526" spans="1:12" ht="15.75">
      <c r="A526" s="23">
        <f t="shared" si="8"/>
        <v>525</v>
      </c>
      <c r="B526" s="21">
        <f ca="1">Master[[#This Row],[ChecklistID]]+Master[[#This Row],[Checklist Order]]</f>
        <v>57012</v>
      </c>
      <c r="C526" s="22"/>
      <c r="D526" s="3" t="str" cm="1">
        <f t="array" aca="1" ref="D526" ca="1">_xlfn.SWITCH(MID(Master[[#This Row],[Checklist]],1,4),"C - ","Civil","F - ","Foundation","ST -","Structure","FC -","Façade","PRE ","Pre-Line","POST","Post-Line","H - ","Handover","S - ","Services","CST ","Completion Docs", "I - ", "Inspection")</f>
        <v>Completion Docs</v>
      </c>
      <c r="E526" s="23" t="str">
        <f ca="1">IF(NOT(ISERROR(SEARCH("- S -", Master[[#This Row],[Checklist]]))), "Subcontractor",IF(NOT(ISERROR(SEARCH("- R -", Master[[#This Row],[Checklist]]))), "Ryman",IF(NOT(ISERROR(SEARCH("- C -", Master[[#This Row],[Checklist]]))), "Consultant",IF(NOT(ISERROR(SEARCH("- I -", Master[[#This Row],[Checklist]]))),  "Inspection Test Plan", "Naming Error"))))</f>
        <v>Ryman</v>
      </c>
      <c r="F526" s="24" t="str">
        <f ca="1">IF(OR(Master[[#This Row],[Type]]="checklist", Master[[#This Row],[Type]]="checklist-flat"), Master[[#This Row],[Name]], F525)</f>
        <v>CST - R - Façade Consent</v>
      </c>
      <c r="G526" s="3" t="s">
        <v>66</v>
      </c>
      <c r="H526" s="24" t="s">
        <v>1584</v>
      </c>
      <c r="I526" s="3"/>
      <c r="J526" s="21">
        <f ca="1">_xlfn.XLOOKUP(Master[[#This Row],[Checklist]],Ref!A:A,Ref!B:B)*1000</f>
        <v>57000</v>
      </c>
      <c r="K526" s="21">
        <f ca="1">COUNTIF($J$2:Master[[#This Row],[ChecklistID]],Master[[#This Row],[ChecklistID]])-1</f>
        <v>12</v>
      </c>
      <c r="L526" s="23" t="s">
        <v>6</v>
      </c>
    </row>
    <row r="527" spans="1:12" ht="15.75">
      <c r="A527" s="23">
        <f t="shared" si="8"/>
        <v>526</v>
      </c>
      <c r="B527" s="21">
        <f ca="1">Master[[#This Row],[ChecklistID]]+Master[[#This Row],[Checklist Order]]</f>
        <v>57013</v>
      </c>
      <c r="C527" s="22"/>
      <c r="D527" s="3" t="str" cm="1">
        <f t="array" aca="1" ref="D527" ca="1">_xlfn.SWITCH(MID(Master[[#This Row],[Checklist]],1,4),"C - ","Civil","F - ","Foundation","ST -","Structure","FC -","Façade","PRE ","Pre-Line","POST","Post-Line","H - ","Handover","S - ","Services","CST ","Completion Docs", "I - ", "Inspection")</f>
        <v>Completion Docs</v>
      </c>
      <c r="E527" s="23" t="str">
        <f ca="1">IF(NOT(ISERROR(SEARCH("- S -", Master[[#This Row],[Checklist]]))), "Subcontractor",IF(NOT(ISERROR(SEARCH("- R -", Master[[#This Row],[Checklist]]))), "Ryman",IF(NOT(ISERROR(SEARCH("- C -", Master[[#This Row],[Checklist]]))), "Consultant",IF(NOT(ISERROR(SEARCH("- I -", Master[[#This Row],[Checklist]]))),  "Inspection Test Plan", "Naming Error"))))</f>
        <v>Ryman</v>
      </c>
      <c r="F527" s="24" t="str">
        <f ca="1">IF(OR(Master[[#This Row],[Type]]="checklist", Master[[#This Row],[Type]]="checklist-flat"), Master[[#This Row],[Name]], F526)</f>
        <v>CST - R - Façade Consent</v>
      </c>
      <c r="G527" s="3" t="s">
        <v>49</v>
      </c>
      <c r="H527" s="24" t="s">
        <v>1407</v>
      </c>
      <c r="I527" s="3"/>
      <c r="J527" s="21">
        <f ca="1">_xlfn.XLOOKUP(Master[[#This Row],[Checklist]],Ref!A:A,Ref!B:B)*1000</f>
        <v>57000</v>
      </c>
      <c r="K527" s="21">
        <f ca="1">COUNTIF($J$2:Master[[#This Row],[ChecklistID]],Master[[#This Row],[ChecklistID]])-1</f>
        <v>13</v>
      </c>
      <c r="L527" s="23" t="s">
        <v>6</v>
      </c>
    </row>
    <row r="528" spans="1:12" ht="15.75">
      <c r="A528" s="23">
        <f t="shared" si="8"/>
        <v>527</v>
      </c>
      <c r="B528" s="21">
        <f ca="1">Master[[#This Row],[ChecklistID]]+Master[[#This Row],[Checklist Order]]</f>
        <v>57014</v>
      </c>
      <c r="C528" s="22"/>
      <c r="D528" s="3" t="str" cm="1">
        <f t="array" aca="1" ref="D528" ca="1">_xlfn.SWITCH(MID(Master[[#This Row],[Checklist]],1,4),"C - ","Civil","F - ","Foundation","ST -","Structure","FC -","Façade","PRE ","Pre-Line","POST","Post-Line","H - ","Handover","S - ","Services","CST ","Completion Docs", "I - ", "Inspection")</f>
        <v>Completion Docs</v>
      </c>
      <c r="E528" s="23" t="str">
        <f ca="1">IF(NOT(ISERROR(SEARCH("- S -", Master[[#This Row],[Checklist]]))), "Subcontractor",IF(NOT(ISERROR(SEARCH("- R -", Master[[#This Row],[Checklist]]))), "Ryman",IF(NOT(ISERROR(SEARCH("- C -", Master[[#This Row],[Checklist]]))), "Consultant",IF(NOT(ISERROR(SEARCH("- I -", Master[[#This Row],[Checklist]]))),  "Inspection Test Plan", "Naming Error"))))</f>
        <v>Ryman</v>
      </c>
      <c r="F528" s="24" t="str">
        <f ca="1">IF(OR(Master[[#This Row],[Type]]="checklist", Master[[#This Row],[Type]]="checklist-flat"), Master[[#This Row],[Name]], F527)</f>
        <v>CST - R - Façade Consent</v>
      </c>
      <c r="G528" s="3" t="s">
        <v>66</v>
      </c>
      <c r="H528" s="24" t="s">
        <v>1585</v>
      </c>
      <c r="I528" s="3"/>
      <c r="J528" s="21">
        <f ca="1">_xlfn.XLOOKUP(Master[[#This Row],[Checklist]],Ref!A:A,Ref!B:B)*1000</f>
        <v>57000</v>
      </c>
      <c r="K528" s="21">
        <f ca="1">COUNTIF($J$2:Master[[#This Row],[ChecklistID]],Master[[#This Row],[ChecklistID]])-1</f>
        <v>14</v>
      </c>
      <c r="L528" s="23" t="s">
        <v>6</v>
      </c>
    </row>
    <row r="529" spans="1:12" ht="15.75">
      <c r="A529" s="23">
        <f t="shared" si="8"/>
        <v>528</v>
      </c>
      <c r="B529" s="21">
        <f ca="1">Master[[#This Row],[ChecklistID]]+Master[[#This Row],[Checklist Order]]</f>
        <v>57015</v>
      </c>
      <c r="C529" s="22"/>
      <c r="D529" s="3" t="str" cm="1">
        <f t="array" aca="1" ref="D529" ca="1">_xlfn.SWITCH(MID(Master[[#This Row],[Checklist]],1,4),"C - ","Civil","F - ","Foundation","ST -","Structure","FC -","Façade","PRE ","Pre-Line","POST","Post-Line","H - ","Handover","S - ","Services","CST ","Completion Docs", "I - ", "Inspection")</f>
        <v>Completion Docs</v>
      </c>
      <c r="E529" s="23" t="str">
        <f ca="1">IF(NOT(ISERROR(SEARCH("- S -", Master[[#This Row],[Checklist]]))), "Subcontractor",IF(NOT(ISERROR(SEARCH("- R -", Master[[#This Row],[Checklist]]))), "Ryman",IF(NOT(ISERROR(SEARCH("- C -", Master[[#This Row],[Checklist]]))), "Consultant",IF(NOT(ISERROR(SEARCH("- I -", Master[[#This Row],[Checklist]]))),  "Inspection Test Plan", "Naming Error"))))</f>
        <v>Ryman</v>
      </c>
      <c r="F529" s="24" t="str">
        <f ca="1">IF(OR(Master[[#This Row],[Type]]="checklist", Master[[#This Row],[Type]]="checklist-flat"), Master[[#This Row],[Name]], F528)</f>
        <v>CST - R - Façade Consent</v>
      </c>
      <c r="G529" s="3" t="s">
        <v>66</v>
      </c>
      <c r="H529" s="24" t="s">
        <v>1586</v>
      </c>
      <c r="I529" s="3"/>
      <c r="J529" s="21">
        <f ca="1">_xlfn.XLOOKUP(Master[[#This Row],[Checklist]],Ref!A:A,Ref!B:B)*1000</f>
        <v>57000</v>
      </c>
      <c r="K529" s="21">
        <f ca="1">COUNTIF($J$2:Master[[#This Row],[ChecklistID]],Master[[#This Row],[ChecklistID]])-1</f>
        <v>15</v>
      </c>
      <c r="L529" s="23" t="s">
        <v>6</v>
      </c>
    </row>
    <row r="530" spans="1:12" ht="15.75">
      <c r="A530" s="23">
        <f t="shared" si="8"/>
        <v>529</v>
      </c>
      <c r="B530" s="21">
        <f ca="1">Master[[#This Row],[ChecklistID]]+Master[[#This Row],[Checklist Order]]</f>
        <v>57016</v>
      </c>
      <c r="C530" s="22"/>
      <c r="D530" s="23" t="str" cm="1">
        <f t="array" aca="1" ref="D530" ca="1">_xlfn.SWITCH(MID(Master[[#This Row],[Checklist]],1,4),"C - ","Civil","F - ","Foundation","ST -","Structure","FC -","Façade","PRE ","Pre-Line","POST","Post-Line","H - ","Handover","S - ","Services","CST ","Completion Docs", "I - ", "Inspection")</f>
        <v>Completion Docs</v>
      </c>
      <c r="E530" s="23" t="str">
        <f ca="1">IF(NOT(ISERROR(SEARCH("- S -", Master[[#This Row],[Checklist]]))), "Subcontractor",IF(NOT(ISERROR(SEARCH("- R -", Master[[#This Row],[Checklist]]))), "Ryman",IF(NOT(ISERROR(SEARCH("- C -", Master[[#This Row],[Checklist]]))), "Consultant",IF(NOT(ISERROR(SEARCH("- I -", Master[[#This Row],[Checklist]]))),  "Inspection Test Plan", "Naming Error"))))</f>
        <v>Ryman</v>
      </c>
      <c r="F530" s="24" t="str">
        <f ca="1">IF(OR(Master[[#This Row],[Type]]="checklist", Master[[#This Row],[Type]]="checklist-flat"), Master[[#This Row],[Name]], F529)</f>
        <v>CST - R - Façade Consent</v>
      </c>
      <c r="G530" s="3" t="s">
        <v>66</v>
      </c>
      <c r="H530" s="24" t="s">
        <v>1587</v>
      </c>
      <c r="I530" s="3"/>
      <c r="J530" s="21">
        <f ca="1">_xlfn.XLOOKUP(Master[[#This Row],[Checklist]],Ref!A:A,Ref!B:B)*1000</f>
        <v>57000</v>
      </c>
      <c r="K530" s="21">
        <f ca="1">COUNTIF($J$2:Master[[#This Row],[ChecklistID]],Master[[#This Row],[ChecklistID]])-1</f>
        <v>16</v>
      </c>
      <c r="L530" s="23" t="s">
        <v>6</v>
      </c>
    </row>
    <row r="531" spans="1:12" ht="15.75">
      <c r="A531" s="23">
        <f t="shared" si="8"/>
        <v>530</v>
      </c>
      <c r="B531" s="21">
        <f ca="1">Master[[#This Row],[ChecklistID]]+Master[[#This Row],[Checklist Order]]</f>
        <v>57017</v>
      </c>
      <c r="C531" s="22"/>
      <c r="D531" s="3" t="str" cm="1">
        <f t="array" aca="1" ref="D531" ca="1">_xlfn.SWITCH(MID(Master[[#This Row],[Checklist]],1,4),"C - ","Civil","F - ","Foundation","ST -","Structure","FC -","Façade","PRE ","Pre-Line","POST","Post-Line","H - ","Handover","S - ","Services","CST ","Completion Docs", "I - ", "Inspection")</f>
        <v>Completion Docs</v>
      </c>
      <c r="E531" s="23" t="str">
        <f ca="1">IF(NOT(ISERROR(SEARCH("- S -", Master[[#This Row],[Checklist]]))), "Subcontractor",IF(NOT(ISERROR(SEARCH("- R -", Master[[#This Row],[Checklist]]))), "Ryman",IF(NOT(ISERROR(SEARCH("- C -", Master[[#This Row],[Checklist]]))), "Consultant",IF(NOT(ISERROR(SEARCH("- I -", Master[[#This Row],[Checklist]]))),  "Inspection Test Plan", "Naming Error"))))</f>
        <v>Ryman</v>
      </c>
      <c r="F531" s="24" t="str">
        <f ca="1">IF(OR(Master[[#This Row],[Type]]="checklist", Master[[#This Row],[Type]]="checklist-flat"), Master[[#This Row],[Name]], F530)</f>
        <v>CST - R - Façade Consent</v>
      </c>
      <c r="G531" s="3" t="s">
        <v>49</v>
      </c>
      <c r="H531" s="24" t="s">
        <v>1588</v>
      </c>
      <c r="I531" s="3"/>
      <c r="J531" s="21">
        <f ca="1">_xlfn.XLOOKUP(Master[[#This Row],[Checklist]],Ref!A:A,Ref!B:B)*1000</f>
        <v>57000</v>
      </c>
      <c r="K531" s="21">
        <f ca="1">COUNTIF($J$2:Master[[#This Row],[ChecklistID]],Master[[#This Row],[ChecklistID]])-1</f>
        <v>17</v>
      </c>
      <c r="L531" s="23" t="s">
        <v>6</v>
      </c>
    </row>
    <row r="532" spans="1:12" ht="15.75">
      <c r="A532" s="23">
        <f t="shared" si="8"/>
        <v>531</v>
      </c>
      <c r="B532" s="21">
        <f ca="1">Master[[#This Row],[ChecklistID]]+Master[[#This Row],[Checklist Order]]</f>
        <v>57018</v>
      </c>
      <c r="C532" s="22"/>
      <c r="D532" s="3" t="str" cm="1">
        <f t="array" aca="1" ref="D532" ca="1">_xlfn.SWITCH(MID(Master[[#This Row],[Checklist]],1,4),"C - ","Civil","F - ","Foundation","ST -","Structure","FC -","Façade","PRE ","Pre-Line","POST","Post-Line","H - ","Handover","S - ","Services","CST ","Completion Docs", "I - ", "Inspection")</f>
        <v>Completion Docs</v>
      </c>
      <c r="E532" s="23" t="str">
        <f ca="1">IF(NOT(ISERROR(SEARCH("- S -", Master[[#This Row],[Checklist]]))), "Subcontractor",IF(NOT(ISERROR(SEARCH("- R -", Master[[#This Row],[Checklist]]))), "Ryman",IF(NOT(ISERROR(SEARCH("- C -", Master[[#This Row],[Checklist]]))), "Consultant",IF(NOT(ISERROR(SEARCH("- I -", Master[[#This Row],[Checklist]]))),  "Inspection Test Plan", "Naming Error"))))</f>
        <v>Ryman</v>
      </c>
      <c r="F532" s="24" t="str">
        <f ca="1">IF(OR(Master[[#This Row],[Type]]="checklist", Master[[#This Row],[Type]]="checklist-flat"), Master[[#This Row],[Name]], F531)</f>
        <v>CST - R - Façade Consent</v>
      </c>
      <c r="G532" s="3" t="s">
        <v>66</v>
      </c>
      <c r="H532" s="24" t="s">
        <v>1589</v>
      </c>
      <c r="I532" s="3"/>
      <c r="J532" s="21">
        <f ca="1">_xlfn.XLOOKUP(Master[[#This Row],[Checklist]],Ref!A:A,Ref!B:B)*1000</f>
        <v>57000</v>
      </c>
      <c r="K532" s="21">
        <f ca="1">COUNTIF($J$2:Master[[#This Row],[ChecklistID]],Master[[#This Row],[ChecklistID]])-1</f>
        <v>18</v>
      </c>
      <c r="L532" s="23" t="s">
        <v>6</v>
      </c>
    </row>
    <row r="533" spans="1:12" ht="15.75">
      <c r="A533" s="23">
        <f t="shared" si="8"/>
        <v>532</v>
      </c>
      <c r="B533" s="21">
        <f ca="1">Master[[#This Row],[ChecklistID]]+Master[[#This Row],[Checklist Order]]</f>
        <v>57019</v>
      </c>
      <c r="C533" s="22"/>
      <c r="D533" s="3" t="str" cm="1">
        <f t="array" aca="1" ref="D533" ca="1">_xlfn.SWITCH(MID(Master[[#This Row],[Checklist]],1,4),"C - ","Civil","F - ","Foundation","ST -","Structure","FC -","Façade","PRE ","Pre-Line","POST","Post-Line","H - ","Handover","S - ","Services","CST ","Completion Docs", "I - ", "Inspection")</f>
        <v>Completion Docs</v>
      </c>
      <c r="E533" s="23" t="str">
        <f ca="1">IF(NOT(ISERROR(SEARCH("- S -", Master[[#This Row],[Checklist]]))), "Subcontractor",IF(NOT(ISERROR(SEARCH("- R -", Master[[#This Row],[Checklist]]))), "Ryman",IF(NOT(ISERROR(SEARCH("- C -", Master[[#This Row],[Checklist]]))), "Consultant",IF(NOT(ISERROR(SEARCH("- I -", Master[[#This Row],[Checklist]]))),  "Inspection Test Plan", "Naming Error"))))</f>
        <v>Ryman</v>
      </c>
      <c r="F533" s="24" t="str">
        <f ca="1">IF(OR(Master[[#This Row],[Type]]="checklist", Master[[#This Row],[Type]]="checklist-flat"), Master[[#This Row],[Name]], F532)</f>
        <v>CST - R - Façade Consent</v>
      </c>
      <c r="G533" s="3" t="s">
        <v>66</v>
      </c>
      <c r="H533" s="24" t="s">
        <v>1590</v>
      </c>
      <c r="I533" s="3"/>
      <c r="J533" s="21">
        <f ca="1">_xlfn.XLOOKUP(Master[[#This Row],[Checklist]],Ref!A:A,Ref!B:B)*1000</f>
        <v>57000</v>
      </c>
      <c r="K533" s="21">
        <f ca="1">COUNTIF($J$2:Master[[#This Row],[ChecklistID]],Master[[#This Row],[ChecklistID]])-1</f>
        <v>19</v>
      </c>
      <c r="L533" s="23" t="s">
        <v>6</v>
      </c>
    </row>
    <row r="534" spans="1:12" ht="15.75">
      <c r="A534" s="23">
        <f t="shared" si="8"/>
        <v>533</v>
      </c>
      <c r="B534" s="21">
        <f ca="1">Master[[#This Row],[ChecklistID]]+Master[[#This Row],[Checklist Order]]</f>
        <v>57020</v>
      </c>
      <c r="C534" s="22"/>
      <c r="D534" s="3" t="str" cm="1">
        <f t="array" aca="1" ref="D534" ca="1">_xlfn.SWITCH(MID(Master[[#This Row],[Checklist]],1,4),"C - ","Civil","F - ","Foundation","ST -","Structure","FC -","Façade","PRE ","Pre-Line","POST","Post-Line","H - ","Handover","S - ","Services","CST ","Completion Docs", "I - ", "Inspection")</f>
        <v>Completion Docs</v>
      </c>
      <c r="E534" s="23" t="str">
        <f ca="1">IF(NOT(ISERROR(SEARCH("- S -", Master[[#This Row],[Checklist]]))), "Subcontractor",IF(NOT(ISERROR(SEARCH("- R -", Master[[#This Row],[Checklist]]))), "Ryman",IF(NOT(ISERROR(SEARCH("- C -", Master[[#This Row],[Checklist]]))), "Consultant",IF(NOT(ISERROR(SEARCH("- I -", Master[[#This Row],[Checklist]]))),  "Inspection Test Plan", "Naming Error"))))</f>
        <v>Ryman</v>
      </c>
      <c r="F534" s="24" t="str">
        <f ca="1">IF(OR(Master[[#This Row],[Type]]="checklist", Master[[#This Row],[Type]]="checklist-flat"), Master[[#This Row],[Name]], F533)</f>
        <v>CST - R - Façade Consent</v>
      </c>
      <c r="G534" s="3" t="s">
        <v>66</v>
      </c>
      <c r="H534" s="24" t="s">
        <v>1591</v>
      </c>
      <c r="I534" s="3"/>
      <c r="J534" s="21">
        <f ca="1">_xlfn.XLOOKUP(Master[[#This Row],[Checklist]],Ref!A:A,Ref!B:B)*1000</f>
        <v>57000</v>
      </c>
      <c r="K534" s="21">
        <f ca="1">COUNTIF($J$2:Master[[#This Row],[ChecklistID]],Master[[#This Row],[ChecklistID]])-1</f>
        <v>20</v>
      </c>
      <c r="L534" s="23" t="s">
        <v>6</v>
      </c>
    </row>
    <row r="535" spans="1:12" ht="15.75">
      <c r="A535" s="23">
        <f t="shared" si="8"/>
        <v>534</v>
      </c>
      <c r="B535" s="21">
        <f ca="1">Master[[#This Row],[ChecklistID]]+Master[[#This Row],[Checklist Order]]</f>
        <v>57021</v>
      </c>
      <c r="C535" s="22"/>
      <c r="D535" s="3" t="str" cm="1">
        <f t="array" aca="1" ref="D535" ca="1">_xlfn.SWITCH(MID(Master[[#This Row],[Checklist]],1,4),"C - ","Civil","F - ","Foundation","ST -","Structure","FC -","Façade","PRE ","Pre-Line","POST","Post-Line","H - ","Handover","S - ","Services","CST ","Completion Docs", "I - ", "Inspection")</f>
        <v>Completion Docs</v>
      </c>
      <c r="E535" s="23" t="str">
        <f ca="1">IF(NOT(ISERROR(SEARCH("- S -", Master[[#This Row],[Checklist]]))), "Subcontractor",IF(NOT(ISERROR(SEARCH("- R -", Master[[#This Row],[Checklist]]))), "Ryman",IF(NOT(ISERROR(SEARCH("- C -", Master[[#This Row],[Checklist]]))), "Consultant",IF(NOT(ISERROR(SEARCH("- I -", Master[[#This Row],[Checklist]]))),  "Inspection Test Plan", "Naming Error"))))</f>
        <v>Ryman</v>
      </c>
      <c r="F535" s="24" t="str">
        <f ca="1">IF(OR(Master[[#This Row],[Type]]="checklist", Master[[#This Row],[Type]]="checklist-flat"), Master[[#This Row],[Name]], F534)</f>
        <v>CST - R - Façade Consent</v>
      </c>
      <c r="G535" s="3" t="s">
        <v>49</v>
      </c>
      <c r="H535" s="24" t="s">
        <v>1573</v>
      </c>
      <c r="I535" s="3"/>
      <c r="J535" s="21">
        <f ca="1">_xlfn.XLOOKUP(Master[[#This Row],[Checklist]],Ref!A:A,Ref!B:B)*1000</f>
        <v>57000</v>
      </c>
      <c r="K535" s="21">
        <f ca="1">COUNTIF($J$2:Master[[#This Row],[ChecklistID]],Master[[#This Row],[ChecklistID]])-1</f>
        <v>21</v>
      </c>
      <c r="L535" s="23" t="s">
        <v>6</v>
      </c>
    </row>
    <row r="536" spans="1:12" ht="15.75">
      <c r="A536" s="23">
        <f t="shared" si="8"/>
        <v>535</v>
      </c>
      <c r="B536" s="21">
        <f ca="1">Master[[#This Row],[ChecklistID]]+Master[[#This Row],[Checklist Order]]</f>
        <v>57022</v>
      </c>
      <c r="C536" s="22"/>
      <c r="D536" s="3" t="str" cm="1">
        <f t="array" aca="1" ref="D536" ca="1">_xlfn.SWITCH(MID(Master[[#This Row],[Checklist]],1,4),"C - ","Civil","F - ","Foundation","ST -","Structure","FC -","Façade","PRE ","Pre-Line","POST","Post-Line","H - ","Handover","S - ","Services","CST ","Completion Docs", "I - ", "Inspection")</f>
        <v>Completion Docs</v>
      </c>
      <c r="E536" s="23" t="str">
        <f ca="1">IF(NOT(ISERROR(SEARCH("- S -", Master[[#This Row],[Checklist]]))), "Subcontractor",IF(NOT(ISERROR(SEARCH("- R -", Master[[#This Row],[Checklist]]))), "Ryman",IF(NOT(ISERROR(SEARCH("- C -", Master[[#This Row],[Checklist]]))), "Consultant",IF(NOT(ISERROR(SEARCH("- I -", Master[[#This Row],[Checklist]]))),  "Inspection Test Plan", "Naming Error"))))</f>
        <v>Ryman</v>
      </c>
      <c r="F536" s="24" t="str">
        <f ca="1">IF(OR(Master[[#This Row],[Type]]="checklist", Master[[#This Row],[Type]]="checklist-flat"), Master[[#This Row],[Name]], F535)</f>
        <v>CST - R - Façade Consent</v>
      </c>
      <c r="G536" s="3" t="s">
        <v>66</v>
      </c>
      <c r="H536" s="24" t="s">
        <v>1592</v>
      </c>
      <c r="I536" s="3"/>
      <c r="J536" s="21">
        <f ca="1">_xlfn.XLOOKUP(Master[[#This Row],[Checklist]],Ref!A:A,Ref!B:B)*1000</f>
        <v>57000</v>
      </c>
      <c r="K536" s="21">
        <f ca="1">COUNTIF($J$2:Master[[#This Row],[ChecklistID]],Master[[#This Row],[ChecklistID]])-1</f>
        <v>22</v>
      </c>
      <c r="L536" s="23" t="s">
        <v>6</v>
      </c>
    </row>
    <row r="537" spans="1:12" ht="15.75">
      <c r="A537" s="23">
        <f t="shared" si="8"/>
        <v>536</v>
      </c>
      <c r="B537" s="21">
        <f ca="1">Master[[#This Row],[ChecklistID]]+Master[[#This Row],[Checklist Order]]</f>
        <v>57023</v>
      </c>
      <c r="C537" s="22"/>
      <c r="D537" s="3" t="str" cm="1">
        <f t="array" aca="1" ref="D537" ca="1">_xlfn.SWITCH(MID(Master[[#This Row],[Checklist]],1,4),"C - ","Civil","F - ","Foundation","ST -","Structure","FC -","Façade","PRE ","Pre-Line","POST","Post-Line","H - ","Handover","S - ","Services","CST ","Completion Docs", "I - ", "Inspection")</f>
        <v>Completion Docs</v>
      </c>
      <c r="E537" s="23" t="str">
        <f ca="1">IF(NOT(ISERROR(SEARCH("- S -", Master[[#This Row],[Checklist]]))), "Subcontractor",IF(NOT(ISERROR(SEARCH("- R -", Master[[#This Row],[Checklist]]))), "Ryman",IF(NOT(ISERROR(SEARCH("- C -", Master[[#This Row],[Checklist]]))), "Consultant",IF(NOT(ISERROR(SEARCH("- I -", Master[[#This Row],[Checklist]]))),  "Inspection Test Plan", "Naming Error"))))</f>
        <v>Ryman</v>
      </c>
      <c r="F537" s="24" t="str">
        <f ca="1">IF(OR(Master[[#This Row],[Type]]="checklist", Master[[#This Row],[Type]]="checklist-flat"), Master[[#This Row],[Name]], F536)</f>
        <v>CST - R - Façade Consent</v>
      </c>
      <c r="G537" s="3" t="s">
        <v>49</v>
      </c>
      <c r="H537" s="24" t="s">
        <v>1593</v>
      </c>
      <c r="I537" s="3"/>
      <c r="J537" s="21">
        <f ca="1">_xlfn.XLOOKUP(Master[[#This Row],[Checklist]],Ref!A:A,Ref!B:B)*1000</f>
        <v>57000</v>
      </c>
      <c r="K537" s="21">
        <f ca="1">COUNTIF($J$2:Master[[#This Row],[ChecklistID]],Master[[#This Row],[ChecklistID]])-1</f>
        <v>23</v>
      </c>
      <c r="L537" s="23" t="s">
        <v>6</v>
      </c>
    </row>
    <row r="538" spans="1:12" ht="15.75">
      <c r="A538" s="23">
        <f t="shared" si="8"/>
        <v>537</v>
      </c>
      <c r="B538" s="21">
        <f ca="1">Master[[#This Row],[ChecklistID]]+Master[[#This Row],[Checklist Order]]</f>
        <v>57024</v>
      </c>
      <c r="C538" s="22"/>
      <c r="D538" s="3" t="str" cm="1">
        <f t="array" aca="1" ref="D538" ca="1">_xlfn.SWITCH(MID(Master[[#This Row],[Checklist]],1,4),"C - ","Civil","F - ","Foundation","ST -","Structure","FC -","Façade","PRE ","Pre-Line","POST","Post-Line","H - ","Handover","S - ","Services","CST ","Completion Docs", "I - ", "Inspection")</f>
        <v>Completion Docs</v>
      </c>
      <c r="E538" s="23" t="str">
        <f ca="1">IF(NOT(ISERROR(SEARCH("- S -", Master[[#This Row],[Checklist]]))), "Subcontractor",IF(NOT(ISERROR(SEARCH("- R -", Master[[#This Row],[Checklist]]))), "Ryman",IF(NOT(ISERROR(SEARCH("- C -", Master[[#This Row],[Checklist]]))), "Consultant",IF(NOT(ISERROR(SEARCH("- I -", Master[[#This Row],[Checklist]]))),  "Inspection Test Plan", "Naming Error"))))</f>
        <v>Ryman</v>
      </c>
      <c r="F538" s="24" t="str">
        <f ca="1">IF(OR(Master[[#This Row],[Type]]="checklist", Master[[#This Row],[Type]]="checklist-flat"), Master[[#This Row],[Name]], F537)</f>
        <v>CST - R - Façade Consent</v>
      </c>
      <c r="G538" s="3" t="s">
        <v>66</v>
      </c>
      <c r="H538" s="24" t="s">
        <v>1594</v>
      </c>
      <c r="I538" s="3"/>
      <c r="J538" s="21">
        <f ca="1">_xlfn.XLOOKUP(Master[[#This Row],[Checklist]],Ref!A:A,Ref!B:B)*1000</f>
        <v>57000</v>
      </c>
      <c r="K538" s="21">
        <f ca="1">COUNTIF($J$2:Master[[#This Row],[ChecklistID]],Master[[#This Row],[ChecklistID]])-1</f>
        <v>24</v>
      </c>
      <c r="L538" s="23" t="s">
        <v>6</v>
      </c>
    </row>
    <row r="539" spans="1:12" ht="15.75">
      <c r="A539" s="23">
        <f t="shared" si="8"/>
        <v>538</v>
      </c>
      <c r="B539" s="21">
        <f ca="1">Master[[#This Row],[ChecklistID]]+Master[[#This Row],[Checklist Order]]</f>
        <v>57025</v>
      </c>
      <c r="C539" s="22"/>
      <c r="D539" s="3" t="str" cm="1">
        <f t="array" aca="1" ref="D539" ca="1">_xlfn.SWITCH(MID(Master[[#This Row],[Checklist]],1,4),"C - ","Civil","F - ","Foundation","ST -","Structure","FC -","Façade","PRE ","Pre-Line","POST","Post-Line","H - ","Handover","S - ","Services","CST ","Completion Docs", "I - ", "Inspection")</f>
        <v>Completion Docs</v>
      </c>
      <c r="E539" s="23" t="str">
        <f ca="1">IF(NOT(ISERROR(SEARCH("- S -", Master[[#This Row],[Checklist]]))), "Subcontractor",IF(NOT(ISERROR(SEARCH("- R -", Master[[#This Row],[Checklist]]))), "Ryman",IF(NOT(ISERROR(SEARCH("- C -", Master[[#This Row],[Checklist]]))), "Consultant",IF(NOT(ISERROR(SEARCH("- I -", Master[[#This Row],[Checklist]]))),  "Inspection Test Plan", "Naming Error"))))</f>
        <v>Ryman</v>
      </c>
      <c r="F539" s="24" t="str">
        <f ca="1">IF(OR(Master[[#This Row],[Type]]="checklist", Master[[#This Row],[Type]]="checklist-flat"), Master[[#This Row],[Name]], F538)</f>
        <v>CST - R - Façade Consent</v>
      </c>
      <c r="G539" s="3" t="s">
        <v>66</v>
      </c>
      <c r="H539" s="24" t="s">
        <v>1595</v>
      </c>
      <c r="I539" s="3"/>
      <c r="J539" s="21">
        <f ca="1">_xlfn.XLOOKUP(Master[[#This Row],[Checklist]],Ref!A:A,Ref!B:B)*1000</f>
        <v>57000</v>
      </c>
      <c r="K539" s="21">
        <f ca="1">COUNTIF($J$2:Master[[#This Row],[ChecklistID]],Master[[#This Row],[ChecklistID]])-1</f>
        <v>25</v>
      </c>
      <c r="L539" s="23" t="s">
        <v>6</v>
      </c>
    </row>
    <row r="540" spans="1:12" ht="15.75">
      <c r="A540" s="23">
        <f t="shared" si="8"/>
        <v>539</v>
      </c>
      <c r="B540" s="21">
        <f ca="1">Master[[#This Row],[ChecklistID]]+Master[[#This Row],[Checklist Order]]</f>
        <v>57026</v>
      </c>
      <c r="C540" s="22"/>
      <c r="D540" s="3" t="str" cm="1">
        <f t="array" aca="1" ref="D540" ca="1">_xlfn.SWITCH(MID(Master[[#This Row],[Checklist]],1,4),"C - ","Civil","F - ","Foundation","ST -","Structure","FC -","Façade","PRE ","Pre-Line","POST","Post-Line","H - ","Handover","S - ","Services","CST ","Completion Docs", "I - ", "Inspection")</f>
        <v>Completion Docs</v>
      </c>
      <c r="E540" s="23" t="str">
        <f ca="1">IF(NOT(ISERROR(SEARCH("- S -", Master[[#This Row],[Checklist]]))), "Subcontractor",IF(NOT(ISERROR(SEARCH("- R -", Master[[#This Row],[Checklist]]))), "Ryman",IF(NOT(ISERROR(SEARCH("- C -", Master[[#This Row],[Checklist]]))), "Consultant",IF(NOT(ISERROR(SEARCH("- I -", Master[[#This Row],[Checklist]]))),  "Inspection Test Plan", "Naming Error"))))</f>
        <v>Ryman</v>
      </c>
      <c r="F540" s="24" t="str">
        <f ca="1">IF(OR(Master[[#This Row],[Type]]="checklist", Master[[#This Row],[Type]]="checklist-flat"), Master[[#This Row],[Name]], F539)</f>
        <v>CST - R - Façade Consent</v>
      </c>
      <c r="G540" s="3" t="s">
        <v>66</v>
      </c>
      <c r="H540" s="24" t="s">
        <v>1596</v>
      </c>
      <c r="I540" s="3"/>
      <c r="J540" s="21">
        <f ca="1">_xlfn.XLOOKUP(Master[[#This Row],[Checklist]],Ref!A:A,Ref!B:B)*1000</f>
        <v>57000</v>
      </c>
      <c r="K540" s="21">
        <f ca="1">COUNTIF($J$2:Master[[#This Row],[ChecklistID]],Master[[#This Row],[ChecklistID]])-1</f>
        <v>26</v>
      </c>
      <c r="L540" s="23" t="s">
        <v>6</v>
      </c>
    </row>
    <row r="541" spans="1:12" ht="15.75">
      <c r="A541" s="23">
        <f t="shared" si="8"/>
        <v>540</v>
      </c>
      <c r="B541" s="21">
        <f ca="1">Master[[#This Row],[ChecklistID]]+Master[[#This Row],[Checklist Order]]</f>
        <v>57027</v>
      </c>
      <c r="C541" s="22"/>
      <c r="D541" s="3" t="str" cm="1">
        <f t="array" aca="1" ref="D541" ca="1">_xlfn.SWITCH(MID(Master[[#This Row],[Checklist]],1,4),"C - ","Civil","F - ","Foundation","ST -","Structure","FC -","Façade","PRE ","Pre-Line","POST","Post-Line","H - ","Handover","S - ","Services","CST ","Completion Docs", "I - ", "Inspection")</f>
        <v>Completion Docs</v>
      </c>
      <c r="E541" s="23" t="str">
        <f ca="1">IF(NOT(ISERROR(SEARCH("- S -", Master[[#This Row],[Checklist]]))), "Subcontractor",IF(NOT(ISERROR(SEARCH("- R -", Master[[#This Row],[Checklist]]))), "Ryman",IF(NOT(ISERROR(SEARCH("- C -", Master[[#This Row],[Checklist]]))), "Consultant",IF(NOT(ISERROR(SEARCH("- I -", Master[[#This Row],[Checklist]]))),  "Inspection Test Plan", "Naming Error"))))</f>
        <v>Ryman</v>
      </c>
      <c r="F541" s="24" t="str">
        <f ca="1">IF(OR(Master[[#This Row],[Type]]="checklist", Master[[#This Row],[Type]]="checklist-flat"), Master[[#This Row],[Name]], F540)</f>
        <v>CST - R - Façade Consent</v>
      </c>
      <c r="G541" s="3" t="s">
        <v>66</v>
      </c>
      <c r="H541" s="24" t="s">
        <v>1597</v>
      </c>
      <c r="I541" s="3"/>
      <c r="J541" s="21">
        <f ca="1">_xlfn.XLOOKUP(Master[[#This Row],[Checklist]],Ref!A:A,Ref!B:B)*1000</f>
        <v>57000</v>
      </c>
      <c r="K541" s="21">
        <f ca="1">COUNTIF($J$2:Master[[#This Row],[ChecklistID]],Master[[#This Row],[ChecklistID]])-1</f>
        <v>27</v>
      </c>
      <c r="L541" s="23" t="s">
        <v>6</v>
      </c>
    </row>
    <row r="542" spans="1:12" ht="15.75">
      <c r="A542" s="23">
        <f t="shared" si="8"/>
        <v>541</v>
      </c>
      <c r="B542" s="21">
        <f ca="1">Master[[#This Row],[ChecklistID]]+Master[[#This Row],[Checklist Order]]</f>
        <v>57028</v>
      </c>
      <c r="C542" s="22"/>
      <c r="D542" s="3" t="str" cm="1">
        <f t="array" aca="1" ref="D542" ca="1">_xlfn.SWITCH(MID(Master[[#This Row],[Checklist]],1,4),"C - ","Civil","F - ","Foundation","ST -","Structure","FC -","Façade","PRE ","Pre-Line","POST","Post-Line","H - ","Handover","S - ","Services","CST ","Completion Docs", "I - ", "Inspection")</f>
        <v>Completion Docs</v>
      </c>
      <c r="E542" s="23" t="str">
        <f ca="1">IF(NOT(ISERROR(SEARCH("- S -", Master[[#This Row],[Checklist]]))), "Subcontractor",IF(NOT(ISERROR(SEARCH("- R -", Master[[#This Row],[Checklist]]))), "Ryman",IF(NOT(ISERROR(SEARCH("- C -", Master[[#This Row],[Checklist]]))), "Consultant",IF(NOT(ISERROR(SEARCH("- I -", Master[[#This Row],[Checklist]]))),  "Inspection Test Plan", "Naming Error"))))</f>
        <v>Ryman</v>
      </c>
      <c r="F542" s="24" t="str">
        <f ca="1">IF(OR(Master[[#This Row],[Type]]="checklist", Master[[#This Row],[Type]]="checklist-flat"), Master[[#This Row],[Name]], F541)</f>
        <v>CST - R - Façade Consent</v>
      </c>
      <c r="G542" s="3" t="s">
        <v>66</v>
      </c>
      <c r="H542" s="24" t="s">
        <v>1598</v>
      </c>
      <c r="I542" s="3"/>
      <c r="J542" s="21">
        <f ca="1">_xlfn.XLOOKUP(Master[[#This Row],[Checklist]],Ref!A:A,Ref!B:B)*1000</f>
        <v>57000</v>
      </c>
      <c r="K542" s="21">
        <f ca="1">COUNTIF($J$2:Master[[#This Row],[ChecklistID]],Master[[#This Row],[ChecklistID]])-1</f>
        <v>28</v>
      </c>
      <c r="L542" s="23" t="s">
        <v>6</v>
      </c>
    </row>
    <row r="543" spans="1:12" ht="15.75">
      <c r="A543" s="23">
        <f t="shared" si="8"/>
        <v>542</v>
      </c>
      <c r="B543" s="21">
        <f ca="1">Master[[#This Row],[ChecklistID]]+Master[[#This Row],[Checklist Order]]</f>
        <v>58000</v>
      </c>
      <c r="C543" s="22"/>
      <c r="D543" s="3" t="str" cm="1">
        <f t="array" aca="1" ref="D543" ca="1">_xlfn.SWITCH(MID(Master[[#This Row],[Checklist]],1,4),"C - ","Civil","F - ","Foundation","ST -","Structure","FC -","Façade","PRE ","Pre-Line","POST","Post-Line","H - ","Handover","S - ","Services","CST ","Completion Docs", "I - ", "Inspection")</f>
        <v>Foundation</v>
      </c>
      <c r="E543" s="23" t="str">
        <f ca="1">IF(NOT(ISERROR(SEARCH("- S -", Master[[#This Row],[Checklist]]))), "Subcontractor",IF(NOT(ISERROR(SEARCH("- R -", Master[[#This Row],[Checklist]]))), "Ryman",IF(NOT(ISERROR(SEARCH("- C -", Master[[#This Row],[Checklist]]))), "Consultant",IF(NOT(ISERROR(SEARCH("- I -", Master[[#This Row],[Checklist]]))),  "Inspection Test Plan", "Naming Error"))))</f>
        <v>Ryman</v>
      </c>
      <c r="F543" s="24" t="str">
        <f ca="1">IF(OR(Master[[#This Row],[Type]]="checklist", Master[[#This Row],[Type]]="checklist-flat"), Master[[#This Row],[Name]], F542)</f>
        <v>F - R - Survey Certificates</v>
      </c>
      <c r="G543" s="3" t="s">
        <v>48</v>
      </c>
      <c r="H543" s="24" t="s">
        <v>1599</v>
      </c>
      <c r="I543" s="3"/>
      <c r="J543" s="21">
        <f ca="1">_xlfn.XLOOKUP(Master[[#This Row],[Checklist]],Ref!A:A,Ref!B:B)*1000</f>
        <v>58000</v>
      </c>
      <c r="K543" s="21">
        <f ca="1">COUNTIF($J$2:Master[[#This Row],[ChecklistID]],Master[[#This Row],[ChecklistID]])-1</f>
        <v>0</v>
      </c>
      <c r="L543" s="23" t="s">
        <v>6</v>
      </c>
    </row>
    <row r="544" spans="1:12" ht="15.75">
      <c r="A544" s="23">
        <f t="shared" si="8"/>
        <v>543</v>
      </c>
      <c r="B544" s="21">
        <f ca="1">Master[[#This Row],[ChecklistID]]+Master[[#This Row],[Checklist Order]]</f>
        <v>58001</v>
      </c>
      <c r="C544" s="22"/>
      <c r="D544" s="3" t="str" cm="1">
        <f t="array" aca="1" ref="D544" ca="1">_xlfn.SWITCH(MID(Master[[#This Row],[Checklist]],1,4),"C - ","Civil","F - ","Foundation","ST -","Structure","FC -","Façade","PRE ","Pre-Line","POST","Post-Line","H - ","Handover","S - ","Services","CST ","Completion Docs", "I - ", "Inspection")</f>
        <v>Foundation</v>
      </c>
      <c r="E544" s="23" t="str">
        <f ca="1">IF(NOT(ISERROR(SEARCH("- S -", Master[[#This Row],[Checklist]]))), "Subcontractor",IF(NOT(ISERROR(SEARCH("- R -", Master[[#This Row],[Checklist]]))), "Ryman",IF(NOT(ISERROR(SEARCH("- C -", Master[[#This Row],[Checklist]]))), "Consultant",IF(NOT(ISERROR(SEARCH("- I -", Master[[#This Row],[Checklist]]))),  "Inspection Test Plan", "Naming Error"))))</f>
        <v>Ryman</v>
      </c>
      <c r="F544" s="24" t="str">
        <f ca="1">IF(OR(Master[[#This Row],[Type]]="checklist", Master[[#This Row],[Type]]="checklist-flat"), Master[[#This Row],[Name]], F543)</f>
        <v>F - R - Survey Certificates</v>
      </c>
      <c r="G544" s="3" t="s">
        <v>49</v>
      </c>
      <c r="H544" s="24" t="s">
        <v>1600</v>
      </c>
      <c r="I544" s="3"/>
      <c r="J544" s="21">
        <f ca="1">_xlfn.XLOOKUP(Master[[#This Row],[Checklist]],Ref!A:A,Ref!B:B)*1000</f>
        <v>58000</v>
      </c>
      <c r="K544" s="21">
        <f ca="1">COUNTIF($J$2:Master[[#This Row],[ChecklistID]],Master[[#This Row],[ChecklistID]])-1</f>
        <v>1</v>
      </c>
      <c r="L544" s="23" t="s">
        <v>6</v>
      </c>
    </row>
    <row r="545" spans="1:12" ht="15.75">
      <c r="A545" s="23">
        <f t="shared" si="8"/>
        <v>544</v>
      </c>
      <c r="B545" s="21">
        <f ca="1">Master[[#This Row],[ChecklistID]]+Master[[#This Row],[Checklist Order]]</f>
        <v>59000</v>
      </c>
      <c r="C545" s="22"/>
      <c r="D545" s="3" t="str" cm="1">
        <f t="array" aca="1" ref="D545" ca="1">_xlfn.SWITCH(MID(Master[[#This Row],[Checklist]],1,4),"C - ","Civil","F - ","Foundation","ST -","Structure","FC -","Façade","PRE ","Pre-Line","POST","Post-Line","H - ","Handover","S - ","Services","CST ","Completion Docs", "I - ", "Inspection")</f>
        <v>Façade</v>
      </c>
      <c r="E545" s="23" t="str">
        <f ca="1">IF(NOT(ISERROR(SEARCH("- S -", Master[[#This Row],[Checklist]]))), "Subcontractor",IF(NOT(ISERROR(SEARCH("- R -", Master[[#This Row],[Checklist]]))), "Ryman",IF(NOT(ISERROR(SEARCH("- C -", Master[[#This Row],[Checklist]]))), "Consultant",IF(NOT(ISERROR(SEARCH("- I -", Master[[#This Row],[Checklist]]))),  "Inspection Test Plan", "Naming Error"))))</f>
        <v>Ryman</v>
      </c>
      <c r="F545" s="24" t="str">
        <f ca="1">IF(OR(Master[[#This Row],[Type]]="checklist", Master[[#This Row],[Type]]="checklist-flat"), Master[[#This Row],[Name]], F544)</f>
        <v>FC - R - Down Pipes</v>
      </c>
      <c r="G545" s="3" t="s">
        <v>48</v>
      </c>
      <c r="H545" s="24" t="s">
        <v>1601</v>
      </c>
      <c r="I545" s="3"/>
      <c r="J545" s="21">
        <f ca="1">_xlfn.XLOOKUP(Master[[#This Row],[Checklist]],Ref!A:A,Ref!B:B)*1000</f>
        <v>59000</v>
      </c>
      <c r="K545" s="21">
        <f ca="1">COUNTIF($J$2:Master[[#This Row],[ChecklistID]],Master[[#This Row],[ChecklistID]])-1</f>
        <v>0</v>
      </c>
      <c r="L545" s="23" t="s">
        <v>6</v>
      </c>
    </row>
    <row r="546" spans="1:12" ht="15.75">
      <c r="A546" s="23">
        <f t="shared" si="8"/>
        <v>545</v>
      </c>
      <c r="B546" s="21">
        <f ca="1">Master[[#This Row],[ChecklistID]]+Master[[#This Row],[Checklist Order]]</f>
        <v>59001</v>
      </c>
      <c r="C546" s="22"/>
      <c r="D546" s="3" t="str" cm="1">
        <f t="array" aca="1" ref="D546" ca="1">_xlfn.SWITCH(MID(Master[[#This Row],[Checklist]],1,4),"C - ","Civil","F - ","Foundation","ST -","Structure","FC -","Façade","PRE ","Pre-Line","POST","Post-Line","H - ","Handover","S - ","Services","CST ","Completion Docs", "I - ", "Inspection")</f>
        <v>Façade</v>
      </c>
      <c r="E546" s="23" t="str">
        <f ca="1">IF(NOT(ISERROR(SEARCH("- S -", Master[[#This Row],[Checklist]]))), "Subcontractor",IF(NOT(ISERROR(SEARCH("- R -", Master[[#This Row],[Checklist]]))), "Ryman",IF(NOT(ISERROR(SEARCH("- C -", Master[[#This Row],[Checklist]]))), "Consultant",IF(NOT(ISERROR(SEARCH("- I -", Master[[#This Row],[Checklist]]))),  "Inspection Test Plan", "Naming Error"))))</f>
        <v>Ryman</v>
      </c>
      <c r="F546" s="24" t="str">
        <f ca="1">IF(OR(Master[[#This Row],[Type]]="checklist", Master[[#This Row],[Type]]="checklist-flat"), Master[[#This Row],[Name]], F545)</f>
        <v>FC - R - Down Pipes</v>
      </c>
      <c r="G546" s="3" t="s">
        <v>49</v>
      </c>
      <c r="H546" s="24" t="s">
        <v>1263</v>
      </c>
      <c r="I546" s="3"/>
      <c r="J546" s="21">
        <f ca="1">_xlfn.XLOOKUP(Master[[#This Row],[Checklist]],Ref!A:A,Ref!B:B)*1000</f>
        <v>59000</v>
      </c>
      <c r="K546" s="21">
        <f ca="1">COUNTIF($J$2:Master[[#This Row],[ChecklistID]],Master[[#This Row],[ChecklistID]])-1</f>
        <v>1</v>
      </c>
      <c r="L546" s="23" t="s">
        <v>6</v>
      </c>
    </row>
    <row r="547" spans="1:12" ht="15.75">
      <c r="A547" s="23">
        <f t="shared" si="8"/>
        <v>546</v>
      </c>
      <c r="B547" s="21">
        <f ca="1">Master[[#This Row],[ChecklistID]]+Master[[#This Row],[Checklist Order]]</f>
        <v>59002</v>
      </c>
      <c r="C547" s="22"/>
      <c r="D547" s="3" t="str" cm="1">
        <f t="array" aca="1" ref="D547" ca="1">_xlfn.SWITCH(MID(Master[[#This Row],[Checklist]],1,4),"C - ","Civil","F - ","Foundation","ST -","Structure","FC -","Façade","PRE ","Pre-Line","POST","Post-Line","H - ","Handover","S - ","Services","CST ","Completion Docs", "I - ", "Inspection")</f>
        <v>Façade</v>
      </c>
      <c r="E547" s="23" t="str">
        <f ca="1">IF(NOT(ISERROR(SEARCH("- S -", Master[[#This Row],[Checklist]]))), "Subcontractor",IF(NOT(ISERROR(SEARCH("- R -", Master[[#This Row],[Checklist]]))), "Ryman",IF(NOT(ISERROR(SEARCH("- C -", Master[[#This Row],[Checklist]]))), "Consultant",IF(NOT(ISERROR(SEARCH("- I -", Master[[#This Row],[Checklist]]))),  "Inspection Test Plan", "Naming Error"))))</f>
        <v>Ryman</v>
      </c>
      <c r="F547" s="24" t="str">
        <f ca="1">IF(OR(Master[[#This Row],[Type]]="checklist", Master[[#This Row],[Type]]="checklist-flat"), Master[[#This Row],[Name]], F546)</f>
        <v>FC - R - Down Pipes</v>
      </c>
      <c r="G547" s="3" t="s">
        <v>49</v>
      </c>
      <c r="H547" s="24" t="s">
        <v>1264</v>
      </c>
      <c r="I547" s="3"/>
      <c r="J547" s="21">
        <f ca="1">_xlfn.XLOOKUP(Master[[#This Row],[Checklist]],Ref!A:A,Ref!B:B)*1000</f>
        <v>59000</v>
      </c>
      <c r="K547" s="21">
        <f ca="1">COUNTIF($J$2:Master[[#This Row],[ChecklistID]],Master[[#This Row],[ChecklistID]])-1</f>
        <v>2</v>
      </c>
      <c r="L547" s="23" t="s">
        <v>6</v>
      </c>
    </row>
    <row r="548" spans="1:12" ht="15.75">
      <c r="A548" s="23">
        <f t="shared" si="8"/>
        <v>547</v>
      </c>
      <c r="B548" s="21">
        <f ca="1">Master[[#This Row],[ChecklistID]]+Master[[#This Row],[Checklist Order]]</f>
        <v>59003</v>
      </c>
      <c r="C548" s="22"/>
      <c r="D548" s="3" t="str" cm="1">
        <f t="array" aca="1" ref="D548" ca="1">_xlfn.SWITCH(MID(Master[[#This Row],[Checklist]],1,4),"C - ","Civil","F - ","Foundation","ST -","Structure","FC -","Façade","PRE ","Pre-Line","POST","Post-Line","H - ","Handover","S - ","Services","CST ","Completion Docs", "I - ", "Inspection")</f>
        <v>Façade</v>
      </c>
      <c r="E548" s="23" t="str">
        <f ca="1">IF(NOT(ISERROR(SEARCH("- S -", Master[[#This Row],[Checklist]]))), "Subcontractor",IF(NOT(ISERROR(SEARCH("- R -", Master[[#This Row],[Checklist]]))), "Ryman",IF(NOT(ISERROR(SEARCH("- C -", Master[[#This Row],[Checklist]]))), "Consultant",IF(NOT(ISERROR(SEARCH("- I -", Master[[#This Row],[Checklist]]))),  "Inspection Test Plan", "Naming Error"))))</f>
        <v>Ryman</v>
      </c>
      <c r="F548" s="24" t="str">
        <f ca="1">IF(OR(Master[[#This Row],[Type]]="checklist", Master[[#This Row],[Type]]="checklist-flat"), Master[[#This Row],[Name]], F547)</f>
        <v>FC - R - Down Pipes</v>
      </c>
      <c r="G548" s="3" t="s">
        <v>58</v>
      </c>
      <c r="H548" s="24" t="s">
        <v>306</v>
      </c>
      <c r="I548" s="3"/>
      <c r="J548" s="21">
        <f ca="1">_xlfn.XLOOKUP(Master[[#This Row],[Checklist]],Ref!A:A,Ref!B:B)*1000</f>
        <v>59000</v>
      </c>
      <c r="K548" s="21">
        <f ca="1">COUNTIF($J$2:Master[[#This Row],[ChecklistID]],Master[[#This Row],[ChecklistID]])-1</f>
        <v>3</v>
      </c>
      <c r="L548" s="23" t="s">
        <v>6</v>
      </c>
    </row>
    <row r="549" spans="1:12" ht="15.75">
      <c r="A549" s="23">
        <f t="shared" si="8"/>
        <v>548</v>
      </c>
      <c r="B549" s="21">
        <f ca="1">Master[[#This Row],[ChecklistID]]+Master[[#This Row],[Checklist Order]]</f>
        <v>59004</v>
      </c>
      <c r="C549" s="22"/>
      <c r="D549" s="3" t="str" cm="1">
        <f t="array" aca="1" ref="D549" ca="1">_xlfn.SWITCH(MID(Master[[#This Row],[Checklist]],1,4),"C - ","Civil","F - ","Foundation","ST -","Structure","FC -","Façade","PRE ","Pre-Line","POST","Post-Line","H - ","Handover","S - ","Services","CST ","Completion Docs", "I - ", "Inspection")</f>
        <v>Façade</v>
      </c>
      <c r="E549" s="23" t="str">
        <f ca="1">IF(NOT(ISERROR(SEARCH("- S -", Master[[#This Row],[Checklist]]))), "Subcontractor",IF(NOT(ISERROR(SEARCH("- R -", Master[[#This Row],[Checklist]]))), "Ryman",IF(NOT(ISERROR(SEARCH("- C -", Master[[#This Row],[Checklist]]))), "Consultant",IF(NOT(ISERROR(SEARCH("- I -", Master[[#This Row],[Checklist]]))),  "Inspection Test Plan", "Naming Error"))))</f>
        <v>Ryman</v>
      </c>
      <c r="F549" s="24" t="str">
        <f ca="1">IF(OR(Master[[#This Row],[Type]]="checklist", Master[[#This Row],[Type]]="checklist-flat"), Master[[#This Row],[Name]], F548)</f>
        <v>FC - R - Down Pipes</v>
      </c>
      <c r="G549" s="3" t="s">
        <v>49</v>
      </c>
      <c r="H549" s="24" t="s">
        <v>1602</v>
      </c>
      <c r="I549" s="30"/>
      <c r="J549" s="21">
        <f ca="1">_xlfn.XLOOKUP(Master[[#This Row],[Checklist]],Ref!A:A,Ref!B:B)*1000</f>
        <v>59000</v>
      </c>
      <c r="K549" s="21">
        <f ca="1">COUNTIF($J$2:Master[[#This Row],[ChecklistID]],Master[[#This Row],[ChecklistID]])-1</f>
        <v>4</v>
      </c>
      <c r="L549" s="23" t="s">
        <v>6</v>
      </c>
    </row>
    <row r="550" spans="1:12" ht="15.75">
      <c r="A550" s="23">
        <f t="shared" si="8"/>
        <v>549</v>
      </c>
      <c r="B550" s="21">
        <f ca="1">Master[[#This Row],[ChecklistID]]+Master[[#This Row],[Checklist Order]]</f>
        <v>60000</v>
      </c>
      <c r="C550" s="22"/>
      <c r="D550" s="3" t="str" cm="1">
        <f t="array" aca="1" ref="D550" ca="1">_xlfn.SWITCH(MID(Master[[#This Row],[Checklist]],1,4),"C - ","Civil","F - ","Foundation","ST -","Structure","FC -","Façade","PRE ","Pre-Line","POST","Post-Line","H - ","Handover","S - ","Services","CST ","Completion Docs", "I - ", "Inspection")</f>
        <v>Façade</v>
      </c>
      <c r="E550" s="23" t="str">
        <f ca="1">IF(NOT(ISERROR(SEARCH("- S -", Master[[#This Row],[Checklist]]))), "Subcontractor",IF(NOT(ISERROR(SEARCH("- R -", Master[[#This Row],[Checklist]]))), "Ryman",IF(NOT(ISERROR(SEARCH("- C -", Master[[#This Row],[Checklist]]))), "Consultant",IF(NOT(ISERROR(SEARCH("- I -", Master[[#This Row],[Checklist]]))),  "Inspection Test Plan", "Naming Error"))))</f>
        <v>Ryman</v>
      </c>
      <c r="F550" s="24" t="str">
        <f ca="1">IF(OR(Master[[#This Row],[Type]]="checklist", Master[[#This Row],[Type]]="checklist-flat"), Master[[#This Row],[Name]], F549)</f>
        <v>FC - R - Water Test</v>
      </c>
      <c r="G550" s="3" t="s">
        <v>48</v>
      </c>
      <c r="H550" s="24" t="s">
        <v>1603</v>
      </c>
      <c r="I550" s="3"/>
      <c r="J550" s="21">
        <f ca="1">_xlfn.XLOOKUP(Master[[#This Row],[Checklist]],Ref!A:A,Ref!B:B)*1000</f>
        <v>60000</v>
      </c>
      <c r="K550" s="21">
        <f ca="1">COUNTIF($J$2:Master[[#This Row],[ChecklistID]],Master[[#This Row],[ChecklistID]])-1</f>
        <v>0</v>
      </c>
      <c r="L550" s="23" t="s">
        <v>6</v>
      </c>
    </row>
    <row r="551" spans="1:12" ht="15.75">
      <c r="A551" s="23">
        <f t="shared" si="8"/>
        <v>550</v>
      </c>
      <c r="B551" s="21">
        <f ca="1">Master[[#This Row],[ChecklistID]]+Master[[#This Row],[Checklist Order]]</f>
        <v>60001</v>
      </c>
      <c r="C551" s="22"/>
      <c r="D551" s="3" t="str" cm="1">
        <f t="array" aca="1" ref="D551" ca="1">_xlfn.SWITCH(MID(Master[[#This Row],[Checklist]],1,4),"C - ","Civil","F - ","Foundation","ST -","Structure","FC -","Façade","PRE ","Pre-Line","POST","Post-Line","H - ","Handover","S - ","Services","CST ","Completion Docs", "I - ", "Inspection")</f>
        <v>Façade</v>
      </c>
      <c r="E551" s="23" t="str">
        <f ca="1">IF(NOT(ISERROR(SEARCH("- S -", Master[[#This Row],[Checklist]]))), "Subcontractor",IF(NOT(ISERROR(SEARCH("- R -", Master[[#This Row],[Checklist]]))), "Ryman",IF(NOT(ISERROR(SEARCH("- C -", Master[[#This Row],[Checklist]]))), "Consultant",IF(NOT(ISERROR(SEARCH("- I -", Master[[#This Row],[Checklist]]))),  "Inspection Test Plan", "Naming Error"))))</f>
        <v>Ryman</v>
      </c>
      <c r="F551" s="24" t="str">
        <f ca="1">IF(OR(Master[[#This Row],[Type]]="checklist", Master[[#This Row],[Type]]="checklist-flat"), Master[[#This Row],[Name]], F550)</f>
        <v>FC - R - Water Test</v>
      </c>
      <c r="G551" s="3" t="s">
        <v>49</v>
      </c>
      <c r="H551" s="24" t="s">
        <v>1263</v>
      </c>
      <c r="I551" s="3"/>
      <c r="J551" s="21">
        <f ca="1">_xlfn.XLOOKUP(Master[[#This Row],[Checklist]],Ref!A:A,Ref!B:B)*1000</f>
        <v>60000</v>
      </c>
      <c r="K551" s="21">
        <f ca="1">COUNTIF($J$2:Master[[#This Row],[ChecklistID]],Master[[#This Row],[ChecklistID]])-1</f>
        <v>1</v>
      </c>
      <c r="L551" s="23" t="s">
        <v>6</v>
      </c>
    </row>
    <row r="552" spans="1:12" ht="15.75">
      <c r="A552" s="23">
        <f t="shared" si="8"/>
        <v>551</v>
      </c>
      <c r="B552" s="21">
        <f ca="1">Master[[#This Row],[ChecklistID]]+Master[[#This Row],[Checklist Order]]</f>
        <v>60002</v>
      </c>
      <c r="C552" s="22"/>
      <c r="D552" s="3" t="str" cm="1">
        <f t="array" aca="1" ref="D552" ca="1">_xlfn.SWITCH(MID(Master[[#This Row],[Checklist]],1,4),"C - ","Civil","F - ","Foundation","ST -","Structure","FC -","Façade","PRE ","Pre-Line","POST","Post-Line","H - ","Handover","S - ","Services","CST ","Completion Docs", "I - ", "Inspection")</f>
        <v>Façade</v>
      </c>
      <c r="E552" s="23" t="str">
        <f ca="1">IF(NOT(ISERROR(SEARCH("- S -", Master[[#This Row],[Checklist]]))), "Subcontractor",IF(NOT(ISERROR(SEARCH("- R -", Master[[#This Row],[Checklist]]))), "Ryman",IF(NOT(ISERROR(SEARCH("- C -", Master[[#This Row],[Checklist]]))), "Consultant",IF(NOT(ISERROR(SEARCH("- I -", Master[[#This Row],[Checklist]]))),  "Inspection Test Plan", "Naming Error"))))</f>
        <v>Ryman</v>
      </c>
      <c r="F552" s="24" t="str">
        <f ca="1">IF(OR(Master[[#This Row],[Type]]="checklist", Master[[#This Row],[Type]]="checklist-flat"), Master[[#This Row],[Name]], F551)</f>
        <v>FC - R - Water Test</v>
      </c>
      <c r="G552" s="3" t="s">
        <v>49</v>
      </c>
      <c r="H552" s="24" t="s">
        <v>1264</v>
      </c>
      <c r="I552" s="3"/>
      <c r="J552" s="21">
        <f ca="1">_xlfn.XLOOKUP(Master[[#This Row],[Checklist]],Ref!A:A,Ref!B:B)*1000</f>
        <v>60000</v>
      </c>
      <c r="K552" s="21">
        <f ca="1">COUNTIF($J$2:Master[[#This Row],[ChecklistID]],Master[[#This Row],[ChecklistID]])-1</f>
        <v>2</v>
      </c>
      <c r="L552" s="23" t="s">
        <v>6</v>
      </c>
    </row>
    <row r="553" spans="1:12" ht="15.75">
      <c r="A553" s="23">
        <f t="shared" si="8"/>
        <v>552</v>
      </c>
      <c r="B553" s="21">
        <f ca="1">Master[[#This Row],[ChecklistID]]+Master[[#This Row],[Checklist Order]]</f>
        <v>60003</v>
      </c>
      <c r="C553" s="22"/>
      <c r="D553" s="3" t="str" cm="1">
        <f t="array" aca="1" ref="D553" ca="1">_xlfn.SWITCH(MID(Master[[#This Row],[Checklist]],1,4),"C - ","Civil","F - ","Foundation","ST -","Structure","FC -","Façade","PRE ","Pre-Line","POST","Post-Line","H - ","Handover","S - ","Services","CST ","Completion Docs", "I - ", "Inspection")</f>
        <v>Façade</v>
      </c>
      <c r="E553" s="23" t="str">
        <f ca="1">IF(NOT(ISERROR(SEARCH("- S -", Master[[#This Row],[Checklist]]))), "Subcontractor",IF(NOT(ISERROR(SEARCH("- R -", Master[[#This Row],[Checklist]]))), "Ryman",IF(NOT(ISERROR(SEARCH("- C -", Master[[#This Row],[Checklist]]))), "Consultant",IF(NOT(ISERROR(SEARCH("- I -", Master[[#This Row],[Checklist]]))),  "Inspection Test Plan", "Naming Error"))))</f>
        <v>Ryman</v>
      </c>
      <c r="F553" s="24" t="str">
        <f ca="1">IF(OR(Master[[#This Row],[Type]]="checklist", Master[[#This Row],[Type]]="checklist-flat"), Master[[#This Row],[Name]], F552)</f>
        <v>FC - R - Water Test</v>
      </c>
      <c r="G553" s="3" t="s">
        <v>58</v>
      </c>
      <c r="H553" s="24" t="s">
        <v>306</v>
      </c>
      <c r="I553" s="3"/>
      <c r="J553" s="21">
        <f ca="1">_xlfn.XLOOKUP(Master[[#This Row],[Checklist]],Ref!A:A,Ref!B:B)*1000</f>
        <v>60000</v>
      </c>
      <c r="K553" s="21">
        <f ca="1">COUNTIF($J$2:Master[[#This Row],[ChecklistID]],Master[[#This Row],[ChecklistID]])-1</f>
        <v>3</v>
      </c>
      <c r="L553" s="23" t="s">
        <v>6</v>
      </c>
    </row>
    <row r="554" spans="1:12" ht="15.75">
      <c r="A554" s="23">
        <f t="shared" si="8"/>
        <v>553</v>
      </c>
      <c r="B554" s="21">
        <f ca="1">Master[[#This Row],[ChecklistID]]+Master[[#This Row],[Checklist Order]]</f>
        <v>60004</v>
      </c>
      <c r="C554" s="22"/>
      <c r="D554" s="3" t="str" cm="1">
        <f t="array" aca="1" ref="D554" ca="1">_xlfn.SWITCH(MID(Master[[#This Row],[Checklist]],1,4),"C - ","Civil","F - ","Foundation","ST -","Structure","FC -","Façade","PRE ","Pre-Line","POST","Post-Line","H - ","Handover","S - ","Services","CST ","Completion Docs", "I - ", "Inspection")</f>
        <v>Façade</v>
      </c>
      <c r="E554" s="23" t="str">
        <f ca="1">IF(NOT(ISERROR(SEARCH("- S -", Master[[#This Row],[Checklist]]))), "Subcontractor",IF(NOT(ISERROR(SEARCH("- R -", Master[[#This Row],[Checklist]]))), "Ryman",IF(NOT(ISERROR(SEARCH("- C -", Master[[#This Row],[Checklist]]))), "Consultant",IF(NOT(ISERROR(SEARCH("- I -", Master[[#This Row],[Checklist]]))),  "Inspection Test Plan", "Naming Error"))))</f>
        <v>Ryman</v>
      </c>
      <c r="F554" s="24" t="str">
        <f ca="1">IF(OR(Master[[#This Row],[Type]]="checklist", Master[[#This Row],[Type]]="checklist-flat"), Master[[#This Row],[Name]], F553)</f>
        <v>FC - R - Water Test</v>
      </c>
      <c r="G554" s="3" t="s">
        <v>49</v>
      </c>
      <c r="H554" s="24" t="s">
        <v>1604</v>
      </c>
      <c r="I554" s="30"/>
      <c r="J554" s="21">
        <f ca="1">_xlfn.XLOOKUP(Master[[#This Row],[Checklist]],Ref!A:A,Ref!B:B)*1000</f>
        <v>60000</v>
      </c>
      <c r="K554" s="21">
        <f ca="1">COUNTIF($J$2:Master[[#This Row],[ChecklistID]],Master[[#This Row],[ChecklistID]])-1</f>
        <v>4</v>
      </c>
      <c r="L554" s="23" t="s">
        <v>6</v>
      </c>
    </row>
    <row r="555" spans="1:12" ht="15.75">
      <c r="A555" s="23">
        <f t="shared" si="8"/>
        <v>554</v>
      </c>
      <c r="B555" s="21">
        <f ca="1">Master[[#This Row],[ChecklistID]]+Master[[#This Row],[Checklist Order]]</f>
        <v>61000</v>
      </c>
      <c r="C555" s="22"/>
      <c r="D555" s="3" t="str" cm="1">
        <f t="array" aca="1" ref="D555" ca="1">_xlfn.SWITCH(MID(Master[[#This Row],[Checklist]],1,4),"C - ","Civil","F - ","Foundation","ST -","Structure","FC -","Façade","PRE ","Pre-Line","POST","Post-Line","H - ","Handover","S - ","Services","CST ","Completion Docs", "I - ", "Inspection")</f>
        <v>Façade</v>
      </c>
      <c r="E555" s="23" t="str">
        <f ca="1">IF(NOT(ISERROR(SEARCH("- S -", Master[[#This Row],[Checklist]]))), "Subcontractor",IF(NOT(ISERROR(SEARCH("- R -", Master[[#This Row],[Checklist]]))), "Ryman",IF(NOT(ISERROR(SEARCH("- C -", Master[[#This Row],[Checklist]]))), "Consultant",IF(NOT(ISERROR(SEARCH("- I -", Master[[#This Row],[Checklist]]))),  "Inspection Test Plan", "Naming Error"))))</f>
        <v>Ryman</v>
      </c>
      <c r="F555" s="24" t="str">
        <f ca="1">IF(OR(Master[[#This Row],[Type]]="checklist", Master[[#This Row],[Type]]="checklist-flat"), Master[[#This Row],[Name]], F554)</f>
        <v>FC - R - Cladding Sealant</v>
      </c>
      <c r="G555" s="3" t="s">
        <v>48</v>
      </c>
      <c r="H555" s="24" t="s">
        <v>1605</v>
      </c>
      <c r="I555" s="3"/>
      <c r="J555" s="21">
        <f ca="1">_xlfn.XLOOKUP(Master[[#This Row],[Checklist]],Ref!A:A,Ref!B:B)*1000</f>
        <v>61000</v>
      </c>
      <c r="K555" s="21">
        <f ca="1">COUNTIF($J$2:Master[[#This Row],[ChecklistID]],Master[[#This Row],[ChecklistID]])-1</f>
        <v>0</v>
      </c>
      <c r="L555" s="23" t="s">
        <v>6</v>
      </c>
    </row>
    <row r="556" spans="1:12" ht="15.75">
      <c r="A556" s="23">
        <f t="shared" si="8"/>
        <v>555</v>
      </c>
      <c r="B556" s="21">
        <f ca="1">Master[[#This Row],[ChecklistID]]+Master[[#This Row],[Checklist Order]]</f>
        <v>61001</v>
      </c>
      <c r="C556" s="22"/>
      <c r="D556" s="3" t="str" cm="1">
        <f t="array" aca="1" ref="D556" ca="1">_xlfn.SWITCH(MID(Master[[#This Row],[Checklist]],1,4),"C - ","Civil","F - ","Foundation","ST -","Structure","FC -","Façade","PRE ","Pre-Line","POST","Post-Line","H - ","Handover","S - ","Services","CST ","Completion Docs", "I - ", "Inspection")</f>
        <v>Façade</v>
      </c>
      <c r="E556" s="23" t="str">
        <f ca="1">IF(NOT(ISERROR(SEARCH("- S -", Master[[#This Row],[Checklist]]))), "Subcontractor",IF(NOT(ISERROR(SEARCH("- R -", Master[[#This Row],[Checklist]]))), "Ryman",IF(NOT(ISERROR(SEARCH("- C -", Master[[#This Row],[Checklist]]))), "Consultant",IF(NOT(ISERROR(SEARCH("- I -", Master[[#This Row],[Checklist]]))),  "Inspection Test Plan", "Naming Error"))))</f>
        <v>Ryman</v>
      </c>
      <c r="F556" s="24" t="str">
        <f ca="1">IF(OR(Master[[#This Row],[Type]]="checklist", Master[[#This Row],[Type]]="checklist-flat"), Master[[#This Row],[Name]], F555)</f>
        <v>FC - R - Cladding Sealant</v>
      </c>
      <c r="G556" s="3" t="s">
        <v>49</v>
      </c>
      <c r="H556" s="24" t="s">
        <v>1263</v>
      </c>
      <c r="I556" s="3"/>
      <c r="J556" s="21">
        <f ca="1">_xlfn.XLOOKUP(Master[[#This Row],[Checklist]],Ref!A:A,Ref!B:B)*1000</f>
        <v>61000</v>
      </c>
      <c r="K556" s="21">
        <f ca="1">COUNTIF($J$2:Master[[#This Row],[ChecklistID]],Master[[#This Row],[ChecklistID]])-1</f>
        <v>1</v>
      </c>
      <c r="L556" s="23" t="s">
        <v>6</v>
      </c>
    </row>
    <row r="557" spans="1:12" ht="15.75">
      <c r="A557" s="23">
        <f t="shared" si="8"/>
        <v>556</v>
      </c>
      <c r="B557" s="21">
        <f ca="1">Master[[#This Row],[ChecklistID]]+Master[[#This Row],[Checklist Order]]</f>
        <v>61002</v>
      </c>
      <c r="C557" s="22"/>
      <c r="D557" s="3" t="str" cm="1">
        <f t="array" aca="1" ref="D557" ca="1">_xlfn.SWITCH(MID(Master[[#This Row],[Checklist]],1,4),"C - ","Civil","F - ","Foundation","ST -","Structure","FC -","Façade","PRE ","Pre-Line","POST","Post-Line","H - ","Handover","S - ","Services","CST ","Completion Docs", "I - ", "Inspection")</f>
        <v>Façade</v>
      </c>
      <c r="E557" s="23" t="str">
        <f ca="1">IF(NOT(ISERROR(SEARCH("- S -", Master[[#This Row],[Checklist]]))), "Subcontractor",IF(NOT(ISERROR(SEARCH("- R -", Master[[#This Row],[Checklist]]))), "Ryman",IF(NOT(ISERROR(SEARCH("- C -", Master[[#This Row],[Checklist]]))), "Consultant",IF(NOT(ISERROR(SEARCH("- I -", Master[[#This Row],[Checklist]]))),  "Inspection Test Plan", "Naming Error"))))</f>
        <v>Ryman</v>
      </c>
      <c r="F557" s="24" t="str">
        <f ca="1">IF(OR(Master[[#This Row],[Type]]="checklist", Master[[#This Row],[Type]]="checklist-flat"), Master[[#This Row],[Name]], F556)</f>
        <v>FC - R - Cladding Sealant</v>
      </c>
      <c r="G557" s="3" t="s">
        <v>49</v>
      </c>
      <c r="H557" s="24" t="s">
        <v>1264</v>
      </c>
      <c r="I557" s="3"/>
      <c r="J557" s="21">
        <f ca="1">_xlfn.XLOOKUP(Master[[#This Row],[Checklist]],Ref!A:A,Ref!B:B)*1000</f>
        <v>61000</v>
      </c>
      <c r="K557" s="21">
        <f ca="1">COUNTIF($J$2:Master[[#This Row],[ChecklistID]],Master[[#This Row],[ChecklistID]])-1</f>
        <v>2</v>
      </c>
      <c r="L557" s="23" t="s">
        <v>6</v>
      </c>
    </row>
    <row r="558" spans="1:12" ht="15.75">
      <c r="A558" s="23">
        <f t="shared" si="8"/>
        <v>557</v>
      </c>
      <c r="B558" s="21">
        <f ca="1">Master[[#This Row],[ChecklistID]]+Master[[#This Row],[Checklist Order]]</f>
        <v>61003</v>
      </c>
      <c r="C558" s="22"/>
      <c r="D558" s="3" t="str" cm="1">
        <f t="array" aca="1" ref="D558" ca="1">_xlfn.SWITCH(MID(Master[[#This Row],[Checklist]],1,4),"C - ","Civil","F - ","Foundation","ST -","Structure","FC -","Façade","PRE ","Pre-Line","POST","Post-Line","H - ","Handover","S - ","Services","CST ","Completion Docs", "I - ", "Inspection")</f>
        <v>Façade</v>
      </c>
      <c r="E558" s="23" t="str">
        <f ca="1">IF(NOT(ISERROR(SEARCH("- S -", Master[[#This Row],[Checklist]]))), "Subcontractor",IF(NOT(ISERROR(SEARCH("- R -", Master[[#This Row],[Checklist]]))), "Ryman",IF(NOT(ISERROR(SEARCH("- C -", Master[[#This Row],[Checklist]]))), "Consultant",IF(NOT(ISERROR(SEARCH("- I -", Master[[#This Row],[Checklist]]))),  "Inspection Test Plan", "Naming Error"))))</f>
        <v>Ryman</v>
      </c>
      <c r="F558" s="24" t="str">
        <f ca="1">IF(OR(Master[[#This Row],[Type]]="checklist", Master[[#This Row],[Type]]="checklist-flat"), Master[[#This Row],[Name]], F557)</f>
        <v>FC - R - Cladding Sealant</v>
      </c>
      <c r="G558" s="3" t="s">
        <v>58</v>
      </c>
      <c r="H558" s="24" t="s">
        <v>306</v>
      </c>
      <c r="I558" s="3"/>
      <c r="J558" s="21">
        <f ca="1">_xlfn.XLOOKUP(Master[[#This Row],[Checklist]],Ref!A:A,Ref!B:B)*1000</f>
        <v>61000</v>
      </c>
      <c r="K558" s="21">
        <f ca="1">COUNTIF($J$2:Master[[#This Row],[ChecklistID]],Master[[#This Row],[ChecklistID]])-1</f>
        <v>3</v>
      </c>
      <c r="L558" s="23" t="s">
        <v>6</v>
      </c>
    </row>
    <row r="559" spans="1:12" ht="15.75">
      <c r="A559" s="23">
        <f t="shared" si="8"/>
        <v>558</v>
      </c>
      <c r="B559" s="21">
        <f ca="1">Master[[#This Row],[ChecklistID]]+Master[[#This Row],[Checklist Order]]</f>
        <v>61004</v>
      </c>
      <c r="C559" s="22"/>
      <c r="D559" s="3" t="str" cm="1">
        <f t="array" aca="1" ref="D559" ca="1">_xlfn.SWITCH(MID(Master[[#This Row],[Checklist]],1,4),"C - ","Civil","F - ","Foundation","ST -","Structure","FC -","Façade","PRE ","Pre-Line","POST","Post-Line","H - ","Handover","S - ","Services","CST ","Completion Docs", "I - ", "Inspection")</f>
        <v>Façade</v>
      </c>
      <c r="E559" s="23" t="str">
        <f ca="1">IF(NOT(ISERROR(SEARCH("- S -", Master[[#This Row],[Checklist]]))), "Subcontractor",IF(NOT(ISERROR(SEARCH("- R -", Master[[#This Row],[Checklist]]))), "Ryman",IF(NOT(ISERROR(SEARCH("- C -", Master[[#This Row],[Checklist]]))), "Consultant",IF(NOT(ISERROR(SEARCH("- I -", Master[[#This Row],[Checklist]]))),  "Inspection Test Plan", "Naming Error"))))</f>
        <v>Ryman</v>
      </c>
      <c r="F559" s="24" t="str">
        <f ca="1">IF(OR(Master[[#This Row],[Type]]="checklist", Master[[#This Row],[Type]]="checklist-flat"), Master[[#This Row],[Name]], F558)</f>
        <v>FC - R - Cladding Sealant</v>
      </c>
      <c r="G559" s="3" t="s">
        <v>49</v>
      </c>
      <c r="H559" s="24" t="s">
        <v>1606</v>
      </c>
      <c r="I559" s="30"/>
      <c r="J559" s="21">
        <f ca="1">_xlfn.XLOOKUP(Master[[#This Row],[Checklist]],Ref!A:A,Ref!B:B)*1000</f>
        <v>61000</v>
      </c>
      <c r="K559" s="21">
        <f ca="1">COUNTIF($J$2:Master[[#This Row],[ChecklistID]],Master[[#This Row],[ChecklistID]])-1</f>
        <v>4</v>
      </c>
      <c r="L559" s="23" t="s">
        <v>6</v>
      </c>
    </row>
    <row r="560" spans="1:12" ht="15.75">
      <c r="A560" s="23">
        <f t="shared" si="8"/>
        <v>559</v>
      </c>
      <c r="B560" s="21">
        <f ca="1">Master[[#This Row],[ChecklistID]]+Master[[#This Row],[Checklist Order]]</f>
        <v>62000</v>
      </c>
      <c r="C560" s="22"/>
      <c r="D560" s="3" t="str" cm="1">
        <f t="array" aca="1" ref="D560" ca="1">_xlfn.SWITCH(MID(Master[[#This Row],[Checklist]],1,4),"C - ","Civil","F - ","Foundation","ST -","Structure","FC -","Façade","PRE ","Pre-Line","POST","Post-Line","H - ","Handover","S - ","Services","CST ","Completion Docs", "I - ", "Inspection")</f>
        <v>Façade</v>
      </c>
      <c r="E560" s="23" t="str">
        <f ca="1">IF(NOT(ISERROR(SEARCH("- S -", Master[[#This Row],[Checklist]]))), "Subcontractor",IF(NOT(ISERROR(SEARCH("- R -", Master[[#This Row],[Checklist]]))), "Ryman",IF(NOT(ISERROR(SEARCH("- C -", Master[[#This Row],[Checklist]]))), "Consultant",IF(NOT(ISERROR(SEARCH("- I -", Master[[#This Row],[Checklist]]))),  "Inspection Test Plan", "Naming Error"))))</f>
        <v>Ryman</v>
      </c>
      <c r="F560" s="24" t="str">
        <f ca="1">IF(OR(Master[[#This Row],[Type]]="checklist", Master[[#This Row],[Type]]="checklist-flat"), Master[[#This Row],[Name]], F559)</f>
        <v>FC - R - Lintels</v>
      </c>
      <c r="G560" s="3" t="s">
        <v>48</v>
      </c>
      <c r="H560" s="24" t="s">
        <v>1607</v>
      </c>
      <c r="I560" s="3"/>
      <c r="J560" s="21">
        <f ca="1">_xlfn.XLOOKUP(Master[[#This Row],[Checklist]],Ref!A:A,Ref!B:B)*1000</f>
        <v>62000</v>
      </c>
      <c r="K560" s="21">
        <f ca="1">COUNTIF($J$2:Master[[#This Row],[ChecklistID]],Master[[#This Row],[ChecklistID]])-1</f>
        <v>0</v>
      </c>
      <c r="L560" s="23" t="s">
        <v>6</v>
      </c>
    </row>
    <row r="561" spans="1:12" ht="15.75">
      <c r="A561" s="23">
        <f t="shared" si="8"/>
        <v>560</v>
      </c>
      <c r="B561" s="21">
        <f ca="1">Master[[#This Row],[ChecklistID]]+Master[[#This Row],[Checklist Order]]</f>
        <v>62001</v>
      </c>
      <c r="C561" s="22"/>
      <c r="D561" s="3" t="str" cm="1">
        <f t="array" aca="1" ref="D561" ca="1">_xlfn.SWITCH(MID(Master[[#This Row],[Checklist]],1,4),"C - ","Civil","F - ","Foundation","ST -","Structure","FC -","Façade","PRE ","Pre-Line","POST","Post-Line","H - ","Handover","S - ","Services","CST ","Completion Docs", "I - ", "Inspection")</f>
        <v>Façade</v>
      </c>
      <c r="E561" s="23" t="str">
        <f ca="1">IF(NOT(ISERROR(SEARCH("- S -", Master[[#This Row],[Checklist]]))), "Subcontractor",IF(NOT(ISERROR(SEARCH("- R -", Master[[#This Row],[Checklist]]))), "Ryman",IF(NOT(ISERROR(SEARCH("- C -", Master[[#This Row],[Checklist]]))), "Consultant",IF(NOT(ISERROR(SEARCH("- I -", Master[[#This Row],[Checklist]]))),  "Inspection Test Plan", "Naming Error"))))</f>
        <v>Ryman</v>
      </c>
      <c r="F561" s="24" t="str">
        <f ca="1">IF(OR(Master[[#This Row],[Type]]="checklist", Master[[#This Row],[Type]]="checklist-flat"), Master[[#This Row],[Name]], F560)</f>
        <v>FC - R - Lintels</v>
      </c>
      <c r="G561" s="3" t="s">
        <v>49</v>
      </c>
      <c r="H561" s="24" t="s">
        <v>1263</v>
      </c>
      <c r="I561" s="3"/>
      <c r="J561" s="21">
        <f ca="1">_xlfn.XLOOKUP(Master[[#This Row],[Checklist]],Ref!A:A,Ref!B:B)*1000</f>
        <v>62000</v>
      </c>
      <c r="K561" s="21">
        <f ca="1">COUNTIF($J$2:Master[[#This Row],[ChecklistID]],Master[[#This Row],[ChecklistID]])-1</f>
        <v>1</v>
      </c>
      <c r="L561" s="23" t="s">
        <v>6</v>
      </c>
    </row>
    <row r="562" spans="1:12" ht="15.75">
      <c r="A562" s="23">
        <f t="shared" si="8"/>
        <v>561</v>
      </c>
      <c r="B562" s="21">
        <f ca="1">Master[[#This Row],[ChecklistID]]+Master[[#This Row],[Checklist Order]]</f>
        <v>62002</v>
      </c>
      <c r="C562" s="22"/>
      <c r="D562" s="3" t="str" cm="1">
        <f t="array" aca="1" ref="D562" ca="1">_xlfn.SWITCH(MID(Master[[#This Row],[Checklist]],1,4),"C - ","Civil","F - ","Foundation","ST -","Structure","FC -","Façade","PRE ","Pre-Line","POST","Post-Line","H - ","Handover","S - ","Services","CST ","Completion Docs", "I - ", "Inspection")</f>
        <v>Façade</v>
      </c>
      <c r="E562" s="23" t="str">
        <f ca="1">IF(NOT(ISERROR(SEARCH("- S -", Master[[#This Row],[Checklist]]))), "Subcontractor",IF(NOT(ISERROR(SEARCH("- R -", Master[[#This Row],[Checklist]]))), "Ryman",IF(NOT(ISERROR(SEARCH("- C -", Master[[#This Row],[Checklist]]))), "Consultant",IF(NOT(ISERROR(SEARCH("- I -", Master[[#This Row],[Checklist]]))),  "Inspection Test Plan", "Naming Error"))))</f>
        <v>Ryman</v>
      </c>
      <c r="F562" s="24" t="str">
        <f ca="1">IF(OR(Master[[#This Row],[Type]]="checklist", Master[[#This Row],[Type]]="checklist-flat"), Master[[#This Row],[Name]], F561)</f>
        <v>FC - R - Lintels</v>
      </c>
      <c r="G562" s="3" t="s">
        <v>49</v>
      </c>
      <c r="H562" s="24" t="s">
        <v>1264</v>
      </c>
      <c r="I562" s="3"/>
      <c r="J562" s="21">
        <f ca="1">_xlfn.XLOOKUP(Master[[#This Row],[Checklist]],Ref!A:A,Ref!B:B)*1000</f>
        <v>62000</v>
      </c>
      <c r="K562" s="21">
        <f ca="1">COUNTIF($J$2:Master[[#This Row],[ChecklistID]],Master[[#This Row],[ChecklistID]])-1</f>
        <v>2</v>
      </c>
      <c r="L562" s="23" t="s">
        <v>6</v>
      </c>
    </row>
    <row r="563" spans="1:12" ht="15.75">
      <c r="A563" s="23">
        <f t="shared" si="8"/>
        <v>562</v>
      </c>
      <c r="B563" s="21">
        <f ca="1">Master[[#This Row],[ChecklistID]]+Master[[#This Row],[Checklist Order]]</f>
        <v>62003</v>
      </c>
      <c r="C563" s="22"/>
      <c r="D563" s="3" t="str" cm="1">
        <f t="array" aca="1" ref="D563" ca="1">_xlfn.SWITCH(MID(Master[[#This Row],[Checklist]],1,4),"C - ","Civil","F - ","Foundation","ST -","Structure","FC -","Façade","PRE ","Pre-Line","POST","Post-Line","H - ","Handover","S - ","Services","CST ","Completion Docs", "I - ", "Inspection")</f>
        <v>Façade</v>
      </c>
      <c r="E563" s="23" t="str">
        <f ca="1">IF(NOT(ISERROR(SEARCH("- S -", Master[[#This Row],[Checklist]]))), "Subcontractor",IF(NOT(ISERROR(SEARCH("- R -", Master[[#This Row],[Checklist]]))), "Ryman",IF(NOT(ISERROR(SEARCH("- C -", Master[[#This Row],[Checklist]]))), "Consultant",IF(NOT(ISERROR(SEARCH("- I -", Master[[#This Row],[Checklist]]))),  "Inspection Test Plan", "Naming Error"))))</f>
        <v>Ryman</v>
      </c>
      <c r="F563" s="24" t="str">
        <f ca="1">IF(OR(Master[[#This Row],[Type]]="checklist", Master[[#This Row],[Type]]="checklist-flat"), Master[[#This Row],[Name]], F562)</f>
        <v>FC - R - Lintels</v>
      </c>
      <c r="G563" s="3" t="s">
        <v>58</v>
      </c>
      <c r="H563" s="24" t="s">
        <v>306</v>
      </c>
      <c r="I563" s="3"/>
      <c r="J563" s="21">
        <f ca="1">_xlfn.XLOOKUP(Master[[#This Row],[Checklist]],Ref!A:A,Ref!B:B)*1000</f>
        <v>62000</v>
      </c>
      <c r="K563" s="21">
        <f ca="1">COUNTIF($J$2:Master[[#This Row],[ChecklistID]],Master[[#This Row],[ChecklistID]])-1</f>
        <v>3</v>
      </c>
      <c r="L563" s="23" t="s">
        <v>6</v>
      </c>
    </row>
    <row r="564" spans="1:12" ht="15.75">
      <c r="A564" s="23">
        <f t="shared" si="8"/>
        <v>563</v>
      </c>
      <c r="B564" s="21">
        <f ca="1">Master[[#This Row],[ChecklistID]]+Master[[#This Row],[Checklist Order]]</f>
        <v>62004</v>
      </c>
      <c r="C564" s="22"/>
      <c r="D564" s="3" t="str" cm="1">
        <f t="array" aca="1" ref="D564" ca="1">_xlfn.SWITCH(MID(Master[[#This Row],[Checklist]],1,4),"C - ","Civil","F - ","Foundation","ST -","Structure","FC -","Façade","PRE ","Pre-Line","POST","Post-Line","H - ","Handover","S - ","Services","CST ","Completion Docs", "I - ", "Inspection")</f>
        <v>Façade</v>
      </c>
      <c r="E564" s="23" t="str">
        <f ca="1">IF(NOT(ISERROR(SEARCH("- S -", Master[[#This Row],[Checklist]]))), "Subcontractor",IF(NOT(ISERROR(SEARCH("- R -", Master[[#This Row],[Checklist]]))), "Ryman",IF(NOT(ISERROR(SEARCH("- C -", Master[[#This Row],[Checklist]]))), "Consultant",IF(NOT(ISERROR(SEARCH("- I -", Master[[#This Row],[Checklist]]))),  "Inspection Test Plan", "Naming Error"))))</f>
        <v>Ryman</v>
      </c>
      <c r="F564" s="24" t="str">
        <f ca="1">IF(OR(Master[[#This Row],[Type]]="checklist", Master[[#This Row],[Type]]="checklist-flat"), Master[[#This Row],[Name]], F563)</f>
        <v>FC - R - Lintels</v>
      </c>
      <c r="G564" s="3" t="s">
        <v>49</v>
      </c>
      <c r="H564" s="24" t="s">
        <v>1608</v>
      </c>
      <c r="I564" s="30"/>
      <c r="J564" s="21">
        <f ca="1">_xlfn.XLOOKUP(Master[[#This Row],[Checklist]],Ref!A:A,Ref!B:B)*1000</f>
        <v>62000</v>
      </c>
      <c r="K564" s="21">
        <f ca="1">COUNTIF($J$2:Master[[#This Row],[ChecklistID]],Master[[#This Row],[ChecklistID]])-1</f>
        <v>4</v>
      </c>
      <c r="L564" s="23" t="s">
        <v>6</v>
      </c>
    </row>
    <row r="565" spans="1:12" ht="15.75">
      <c r="A565" s="23">
        <f t="shared" si="8"/>
        <v>564</v>
      </c>
      <c r="B565" s="21">
        <f ca="1">Master[[#This Row],[ChecklistID]]+Master[[#This Row],[Checklist Order]]</f>
        <v>63000</v>
      </c>
      <c r="C565" s="22"/>
      <c r="D565" s="3" t="str" cm="1">
        <f t="array" aca="1" ref="D565" ca="1">_xlfn.SWITCH(MID(Master[[#This Row],[Checklist]],1,4),"C - ","Civil","F - ","Foundation","ST -","Structure","FC -","Façade","PRE ","Pre-Line","POST","Post-Line","H - ","Handover","S - ","Services","CST ","Completion Docs", "I - ", "Inspection")</f>
        <v>Façade</v>
      </c>
      <c r="E565" s="23" t="str">
        <f ca="1">IF(NOT(ISERROR(SEARCH("- S -", Master[[#This Row],[Checklist]]))), "Subcontractor",IF(NOT(ISERROR(SEARCH("- R -", Master[[#This Row],[Checklist]]))), "Ryman",IF(NOT(ISERROR(SEARCH("- C -", Master[[#This Row],[Checklist]]))), "Consultant",IF(NOT(ISERROR(SEARCH("- I -", Master[[#This Row],[Checklist]]))),  "Inspection Test Plan", "Naming Error"))))</f>
        <v>Ryman</v>
      </c>
      <c r="F565" s="24" t="str">
        <f ca="1">IF(OR(Master[[#This Row],[Type]]="checklist", Master[[#This Row],[Type]]="checklist-flat"), Master[[#This Row],[Name]], F564)</f>
        <v>FC - R - Envelope Penetrations</v>
      </c>
      <c r="G565" s="3" t="s">
        <v>48</v>
      </c>
      <c r="H565" s="24" t="s">
        <v>1609</v>
      </c>
      <c r="I565" s="3"/>
      <c r="J565" s="21">
        <f ca="1">_xlfn.XLOOKUP(Master[[#This Row],[Checklist]],Ref!A:A,Ref!B:B)*1000</f>
        <v>63000</v>
      </c>
      <c r="K565" s="21">
        <f ca="1">COUNTIF($J$2:Master[[#This Row],[ChecklistID]],Master[[#This Row],[ChecklistID]])-1</f>
        <v>0</v>
      </c>
      <c r="L565" s="23" t="s">
        <v>6</v>
      </c>
    </row>
    <row r="566" spans="1:12" ht="15.75">
      <c r="A566" s="23">
        <f t="shared" si="8"/>
        <v>565</v>
      </c>
      <c r="B566" s="21">
        <f ca="1">Master[[#This Row],[ChecklistID]]+Master[[#This Row],[Checklist Order]]</f>
        <v>63001</v>
      </c>
      <c r="C566" s="22"/>
      <c r="D566" s="3" t="str" cm="1">
        <f t="array" aca="1" ref="D566" ca="1">_xlfn.SWITCH(MID(Master[[#This Row],[Checklist]],1,4),"C - ","Civil","F - ","Foundation","ST -","Structure","FC -","Façade","PRE ","Pre-Line","POST","Post-Line","H - ","Handover","S - ","Services","CST ","Completion Docs", "I - ", "Inspection")</f>
        <v>Façade</v>
      </c>
      <c r="E566" s="23" t="str">
        <f ca="1">IF(NOT(ISERROR(SEARCH("- S -", Master[[#This Row],[Checklist]]))), "Subcontractor",IF(NOT(ISERROR(SEARCH("- R -", Master[[#This Row],[Checklist]]))), "Ryman",IF(NOT(ISERROR(SEARCH("- C -", Master[[#This Row],[Checklist]]))), "Consultant",IF(NOT(ISERROR(SEARCH("- I -", Master[[#This Row],[Checklist]]))),  "Inspection Test Plan", "Naming Error"))))</f>
        <v>Ryman</v>
      </c>
      <c r="F566" s="24" t="str">
        <f ca="1">IF(OR(Master[[#This Row],[Type]]="checklist", Master[[#This Row],[Type]]="checklist-flat"), Master[[#This Row],[Name]], F565)</f>
        <v>FC - R - Envelope Penetrations</v>
      </c>
      <c r="G566" s="3" t="s">
        <v>49</v>
      </c>
      <c r="H566" s="24" t="s">
        <v>1263</v>
      </c>
      <c r="I566" s="3"/>
      <c r="J566" s="21">
        <f ca="1">_xlfn.XLOOKUP(Master[[#This Row],[Checklist]],Ref!A:A,Ref!B:B)*1000</f>
        <v>63000</v>
      </c>
      <c r="K566" s="21">
        <f ca="1">COUNTIF($J$2:Master[[#This Row],[ChecklistID]],Master[[#This Row],[ChecklistID]])-1</f>
        <v>1</v>
      </c>
      <c r="L566" s="23" t="s">
        <v>6</v>
      </c>
    </row>
    <row r="567" spans="1:12" ht="15.75">
      <c r="A567" s="23">
        <f t="shared" si="8"/>
        <v>566</v>
      </c>
      <c r="B567" s="21">
        <f ca="1">Master[[#This Row],[ChecklistID]]+Master[[#This Row],[Checklist Order]]</f>
        <v>63002</v>
      </c>
      <c r="C567" s="22"/>
      <c r="D567" s="3" t="str" cm="1">
        <f t="array" aca="1" ref="D567" ca="1">_xlfn.SWITCH(MID(Master[[#This Row],[Checklist]],1,4),"C - ","Civil","F - ","Foundation","ST -","Structure","FC -","Façade","PRE ","Pre-Line","POST","Post-Line","H - ","Handover","S - ","Services","CST ","Completion Docs", "I - ", "Inspection")</f>
        <v>Façade</v>
      </c>
      <c r="E567" s="23" t="str">
        <f ca="1">IF(NOT(ISERROR(SEARCH("- S -", Master[[#This Row],[Checklist]]))), "Subcontractor",IF(NOT(ISERROR(SEARCH("- R -", Master[[#This Row],[Checklist]]))), "Ryman",IF(NOT(ISERROR(SEARCH("- C -", Master[[#This Row],[Checklist]]))), "Consultant",IF(NOT(ISERROR(SEARCH("- I -", Master[[#This Row],[Checklist]]))),  "Inspection Test Plan", "Naming Error"))))</f>
        <v>Ryman</v>
      </c>
      <c r="F567" s="24" t="str">
        <f ca="1">IF(OR(Master[[#This Row],[Type]]="checklist", Master[[#This Row],[Type]]="checklist-flat"), Master[[#This Row],[Name]], F566)</f>
        <v>FC - R - Envelope Penetrations</v>
      </c>
      <c r="G567" s="3" t="s">
        <v>49</v>
      </c>
      <c r="H567" s="24" t="s">
        <v>1264</v>
      </c>
      <c r="I567" s="3"/>
      <c r="J567" s="21">
        <f ca="1">_xlfn.XLOOKUP(Master[[#This Row],[Checklist]],Ref!A:A,Ref!B:B)*1000</f>
        <v>63000</v>
      </c>
      <c r="K567" s="21">
        <f ca="1">COUNTIF($J$2:Master[[#This Row],[ChecklistID]],Master[[#This Row],[ChecklistID]])-1</f>
        <v>2</v>
      </c>
      <c r="L567" s="23" t="s">
        <v>6</v>
      </c>
    </row>
    <row r="568" spans="1:12" ht="15.75">
      <c r="A568" s="23">
        <f t="shared" si="8"/>
        <v>567</v>
      </c>
      <c r="B568" s="21">
        <f ca="1">Master[[#This Row],[ChecklistID]]+Master[[#This Row],[Checklist Order]]</f>
        <v>63003</v>
      </c>
      <c r="C568" s="22"/>
      <c r="D568" s="3" t="str" cm="1">
        <f t="array" aca="1" ref="D568" ca="1">_xlfn.SWITCH(MID(Master[[#This Row],[Checklist]],1,4),"C - ","Civil","F - ","Foundation","ST -","Structure","FC -","Façade","PRE ","Pre-Line","POST","Post-Line","H - ","Handover","S - ","Services","CST ","Completion Docs", "I - ", "Inspection")</f>
        <v>Façade</v>
      </c>
      <c r="E568" s="23" t="str">
        <f ca="1">IF(NOT(ISERROR(SEARCH("- S -", Master[[#This Row],[Checklist]]))), "Subcontractor",IF(NOT(ISERROR(SEARCH("- R -", Master[[#This Row],[Checklist]]))), "Ryman",IF(NOT(ISERROR(SEARCH("- C -", Master[[#This Row],[Checklist]]))), "Consultant",IF(NOT(ISERROR(SEARCH("- I -", Master[[#This Row],[Checklist]]))),  "Inspection Test Plan", "Naming Error"))))</f>
        <v>Ryman</v>
      </c>
      <c r="F568" s="24" t="str">
        <f ca="1">IF(OR(Master[[#This Row],[Type]]="checklist", Master[[#This Row],[Type]]="checklist-flat"), Master[[#This Row],[Name]], F567)</f>
        <v>FC - R - Envelope Penetrations</v>
      </c>
      <c r="G568" s="3" t="s">
        <v>58</v>
      </c>
      <c r="H568" s="24" t="s">
        <v>306</v>
      </c>
      <c r="I568" s="3"/>
      <c r="J568" s="21">
        <f ca="1">_xlfn.XLOOKUP(Master[[#This Row],[Checklist]],Ref!A:A,Ref!B:B)*1000</f>
        <v>63000</v>
      </c>
      <c r="K568" s="21">
        <f ca="1">COUNTIF($J$2:Master[[#This Row],[ChecklistID]],Master[[#This Row],[ChecklistID]])-1</f>
        <v>3</v>
      </c>
      <c r="L568" s="23" t="s">
        <v>6</v>
      </c>
    </row>
    <row r="569" spans="1:12" ht="15.75">
      <c r="A569" s="23">
        <f t="shared" si="8"/>
        <v>568</v>
      </c>
      <c r="B569" s="21">
        <f ca="1">Master[[#This Row],[ChecklistID]]+Master[[#This Row],[Checklist Order]]</f>
        <v>63004</v>
      </c>
      <c r="C569" s="22"/>
      <c r="D569" s="3" t="str" cm="1">
        <f t="array" aca="1" ref="D569" ca="1">_xlfn.SWITCH(MID(Master[[#This Row],[Checklist]],1,4),"C - ","Civil","F - ","Foundation","ST -","Structure","FC -","Façade","PRE ","Pre-Line","POST","Post-Line","H - ","Handover","S - ","Services","CST ","Completion Docs", "I - ", "Inspection")</f>
        <v>Façade</v>
      </c>
      <c r="E569" s="23" t="str">
        <f ca="1">IF(NOT(ISERROR(SEARCH("- S -", Master[[#This Row],[Checklist]]))), "Subcontractor",IF(NOT(ISERROR(SEARCH("- R -", Master[[#This Row],[Checklist]]))), "Ryman",IF(NOT(ISERROR(SEARCH("- C -", Master[[#This Row],[Checklist]]))), "Consultant",IF(NOT(ISERROR(SEARCH("- I -", Master[[#This Row],[Checklist]]))),  "Inspection Test Plan", "Naming Error"))))</f>
        <v>Ryman</v>
      </c>
      <c r="F569" s="24" t="str">
        <f ca="1">IF(OR(Master[[#This Row],[Type]]="checklist", Master[[#This Row],[Type]]="checklist-flat"), Master[[#This Row],[Name]], F568)</f>
        <v>FC - R - Envelope Penetrations</v>
      </c>
      <c r="G569" s="3" t="s">
        <v>49</v>
      </c>
      <c r="H569" s="24" t="s">
        <v>1610</v>
      </c>
      <c r="I569" s="3"/>
      <c r="J569" s="21">
        <f ca="1">_xlfn.XLOOKUP(Master[[#This Row],[Checklist]],Ref!A:A,Ref!B:B)*1000</f>
        <v>63000</v>
      </c>
      <c r="K569" s="21">
        <f ca="1">COUNTIF($J$2:Master[[#This Row],[ChecklistID]],Master[[#This Row],[ChecklistID]])-1</f>
        <v>4</v>
      </c>
      <c r="L569" s="23" t="s">
        <v>6</v>
      </c>
    </row>
    <row r="570" spans="1:12" ht="15.75">
      <c r="A570" s="23">
        <f t="shared" si="8"/>
        <v>569</v>
      </c>
      <c r="B570" s="21">
        <f ca="1">Master[[#This Row],[ChecklistID]]+Master[[#This Row],[Checklist Order]]</f>
        <v>64000</v>
      </c>
      <c r="C570" s="22"/>
      <c r="D570" s="3" t="str" cm="1">
        <f t="array" aca="1" ref="D570" ca="1">_xlfn.SWITCH(MID(Master[[#This Row],[Checklist]],1,4),"C - ","Civil","F - ","Foundation","ST -","Structure","FC -","Façade","PRE ","Pre-Line","POST","Post-Line","H - ","Handover","S - ","Services","CST ","Completion Docs", "I - ", "Inspection")</f>
        <v>Façade</v>
      </c>
      <c r="E570" s="23" t="str">
        <f ca="1">IF(NOT(ISERROR(SEARCH("- S -", Master[[#This Row],[Checklist]]))), "Subcontractor",IF(NOT(ISERROR(SEARCH("- R -", Master[[#This Row],[Checklist]]))), "Ryman",IF(NOT(ISERROR(SEARCH("- C -", Master[[#This Row],[Checklist]]))), "Consultant",IF(NOT(ISERROR(SEARCH("- I -", Master[[#This Row],[Checklist]]))),  "Inspection Test Plan", "Naming Error"))))</f>
        <v>Ryman</v>
      </c>
      <c r="F570" s="24" t="str">
        <f ca="1">IF(OR(Master[[#This Row],[Type]]="checklist", Master[[#This Row],[Type]]="checklist-flat"), Master[[#This Row],[Name]], F569)</f>
        <v>FC - R - Tapes and VaproShield</v>
      </c>
      <c r="G570" s="3" t="s">
        <v>48</v>
      </c>
      <c r="H570" s="24" t="s">
        <v>1611</v>
      </c>
      <c r="I570" s="30"/>
      <c r="J570" s="21">
        <f ca="1">_xlfn.XLOOKUP(Master[[#This Row],[Checklist]],Ref!A:A,Ref!B:B)*1000</f>
        <v>64000</v>
      </c>
      <c r="K570" s="21">
        <f ca="1">COUNTIF($J$2:Master[[#This Row],[ChecklistID]],Master[[#This Row],[ChecklistID]])-1</f>
        <v>0</v>
      </c>
      <c r="L570" s="23" t="s">
        <v>6</v>
      </c>
    </row>
    <row r="571" spans="1:12" ht="15.75">
      <c r="A571" s="23">
        <f t="shared" si="8"/>
        <v>570</v>
      </c>
      <c r="B571" s="21">
        <f ca="1">Master[[#This Row],[ChecklistID]]+Master[[#This Row],[Checklist Order]]</f>
        <v>64001</v>
      </c>
      <c r="C571" s="22"/>
      <c r="D571" s="3" t="str" cm="1">
        <f t="array" aca="1" ref="D571" ca="1">_xlfn.SWITCH(MID(Master[[#This Row],[Checklist]],1,4),"C - ","Civil","F - ","Foundation","ST -","Structure","FC -","Façade","PRE ","Pre-Line","POST","Post-Line","H - ","Handover","S - ","Services","CST ","Completion Docs", "I - ", "Inspection")</f>
        <v>Façade</v>
      </c>
      <c r="E571" s="23" t="str">
        <f ca="1">IF(NOT(ISERROR(SEARCH("- S -", Master[[#This Row],[Checklist]]))), "Subcontractor",IF(NOT(ISERROR(SEARCH("- R -", Master[[#This Row],[Checklist]]))), "Ryman",IF(NOT(ISERROR(SEARCH("- C -", Master[[#This Row],[Checklist]]))), "Consultant",IF(NOT(ISERROR(SEARCH("- I -", Master[[#This Row],[Checklist]]))),  "Inspection Test Plan", "Naming Error"))))</f>
        <v>Ryman</v>
      </c>
      <c r="F571" s="24" t="str">
        <f ca="1">IF(OR(Master[[#This Row],[Type]]="checklist", Master[[#This Row],[Type]]="checklist-flat"), Master[[#This Row],[Name]], F570)</f>
        <v>FC - R - Tapes and VaproShield</v>
      </c>
      <c r="G571" s="3" t="s">
        <v>49</v>
      </c>
      <c r="H571" s="24" t="s">
        <v>1263</v>
      </c>
      <c r="I571" s="3"/>
      <c r="J571" s="21">
        <f ca="1">_xlfn.XLOOKUP(Master[[#This Row],[Checklist]],Ref!A:A,Ref!B:B)*1000</f>
        <v>64000</v>
      </c>
      <c r="K571" s="21">
        <f ca="1">COUNTIF($J$2:Master[[#This Row],[ChecklistID]],Master[[#This Row],[ChecklistID]])-1</f>
        <v>1</v>
      </c>
      <c r="L571" s="23" t="s">
        <v>6</v>
      </c>
    </row>
    <row r="572" spans="1:12" ht="15.75">
      <c r="A572" s="23">
        <f t="shared" si="8"/>
        <v>571</v>
      </c>
      <c r="B572" s="21">
        <f ca="1">Master[[#This Row],[ChecklistID]]+Master[[#This Row],[Checklist Order]]</f>
        <v>64002</v>
      </c>
      <c r="C572" s="22"/>
      <c r="D572" s="3" t="str" cm="1">
        <f t="array" aca="1" ref="D572" ca="1">_xlfn.SWITCH(MID(Master[[#This Row],[Checklist]],1,4),"C - ","Civil","F - ","Foundation","ST -","Structure","FC -","Façade","PRE ","Pre-Line","POST","Post-Line","H - ","Handover","S - ","Services","CST ","Completion Docs", "I - ", "Inspection")</f>
        <v>Façade</v>
      </c>
      <c r="E572" s="23" t="str">
        <f ca="1">IF(NOT(ISERROR(SEARCH("- S -", Master[[#This Row],[Checklist]]))), "Subcontractor",IF(NOT(ISERROR(SEARCH("- R -", Master[[#This Row],[Checklist]]))), "Ryman",IF(NOT(ISERROR(SEARCH("- C -", Master[[#This Row],[Checklist]]))), "Consultant",IF(NOT(ISERROR(SEARCH("- I -", Master[[#This Row],[Checklist]]))),  "Inspection Test Plan", "Naming Error"))))</f>
        <v>Ryman</v>
      </c>
      <c r="F572" s="24" t="str">
        <f ca="1">IF(OR(Master[[#This Row],[Type]]="checklist", Master[[#This Row],[Type]]="checklist-flat"), Master[[#This Row],[Name]], F571)</f>
        <v>FC - R - Tapes and VaproShield</v>
      </c>
      <c r="G572" s="3" t="s">
        <v>49</v>
      </c>
      <c r="H572" s="24" t="s">
        <v>1264</v>
      </c>
      <c r="I572" s="3"/>
      <c r="J572" s="21">
        <f ca="1">_xlfn.XLOOKUP(Master[[#This Row],[Checklist]],Ref!A:A,Ref!B:B)*1000</f>
        <v>64000</v>
      </c>
      <c r="K572" s="21">
        <f ca="1">COUNTIF($J$2:Master[[#This Row],[ChecklistID]],Master[[#This Row],[ChecklistID]])-1</f>
        <v>2</v>
      </c>
      <c r="L572" s="23" t="s">
        <v>6</v>
      </c>
    </row>
    <row r="573" spans="1:12" ht="15.75">
      <c r="A573" s="23">
        <f t="shared" si="8"/>
        <v>572</v>
      </c>
      <c r="B573" s="21">
        <f ca="1">Master[[#This Row],[ChecklistID]]+Master[[#This Row],[Checklist Order]]</f>
        <v>64003</v>
      </c>
      <c r="C573" s="22"/>
      <c r="D573" s="3" t="str" cm="1">
        <f t="array" aca="1" ref="D573" ca="1">_xlfn.SWITCH(MID(Master[[#This Row],[Checklist]],1,4),"C - ","Civil","F - ","Foundation","ST -","Structure","FC -","Façade","PRE ","Pre-Line","POST","Post-Line","H - ","Handover","S - ","Services","CST ","Completion Docs", "I - ", "Inspection")</f>
        <v>Façade</v>
      </c>
      <c r="E573" s="23" t="str">
        <f ca="1">IF(NOT(ISERROR(SEARCH("- S -", Master[[#This Row],[Checklist]]))), "Subcontractor",IF(NOT(ISERROR(SEARCH("- R -", Master[[#This Row],[Checklist]]))), "Ryman",IF(NOT(ISERROR(SEARCH("- C -", Master[[#This Row],[Checklist]]))), "Consultant",IF(NOT(ISERROR(SEARCH("- I -", Master[[#This Row],[Checklist]]))),  "Inspection Test Plan", "Naming Error"))))</f>
        <v>Ryman</v>
      </c>
      <c r="F573" s="24" t="str">
        <f ca="1">IF(OR(Master[[#This Row],[Type]]="checklist", Master[[#This Row],[Type]]="checklist-flat"), Master[[#This Row],[Name]], F572)</f>
        <v>FC - R - Tapes and VaproShield</v>
      </c>
      <c r="G573" s="3" t="s">
        <v>58</v>
      </c>
      <c r="H573" s="24" t="s">
        <v>306</v>
      </c>
      <c r="I573" s="3"/>
      <c r="J573" s="21">
        <f ca="1">_xlfn.XLOOKUP(Master[[#This Row],[Checklist]],Ref!A:A,Ref!B:B)*1000</f>
        <v>64000</v>
      </c>
      <c r="K573" s="21">
        <f ca="1">COUNTIF($J$2:Master[[#This Row],[ChecklistID]],Master[[#This Row],[ChecklistID]])-1</f>
        <v>3</v>
      </c>
      <c r="L573" s="23" t="s">
        <v>6</v>
      </c>
    </row>
    <row r="574" spans="1:12" ht="15.75">
      <c r="A574" s="23">
        <f t="shared" si="8"/>
        <v>573</v>
      </c>
      <c r="B574" s="21">
        <f ca="1">Master[[#This Row],[ChecklistID]]+Master[[#This Row],[Checklist Order]]</f>
        <v>64004</v>
      </c>
      <c r="C574" s="22"/>
      <c r="D574" s="3" t="str" cm="1">
        <f t="array" aca="1" ref="D574" ca="1">_xlfn.SWITCH(MID(Master[[#This Row],[Checklist]],1,4),"C - ","Civil","F - ","Foundation","ST -","Structure","FC -","Façade","PRE ","Pre-Line","POST","Post-Line","H - ","Handover","S - ","Services","CST ","Completion Docs", "I - ", "Inspection")</f>
        <v>Façade</v>
      </c>
      <c r="E574" s="23" t="str">
        <f ca="1">IF(NOT(ISERROR(SEARCH("- S -", Master[[#This Row],[Checklist]]))), "Subcontractor",IF(NOT(ISERROR(SEARCH("- R -", Master[[#This Row],[Checklist]]))), "Ryman",IF(NOT(ISERROR(SEARCH("- C -", Master[[#This Row],[Checklist]]))), "Consultant",IF(NOT(ISERROR(SEARCH("- I -", Master[[#This Row],[Checklist]]))),  "Inspection Test Plan", "Naming Error"))))</f>
        <v>Ryman</v>
      </c>
      <c r="F574" s="24" t="str">
        <f ca="1">IF(OR(Master[[#This Row],[Type]]="checklist", Master[[#This Row],[Type]]="checklist-flat"), Master[[#This Row],[Name]], F573)</f>
        <v>FC - R - Tapes and VaproShield</v>
      </c>
      <c r="G574" s="3" t="s">
        <v>49</v>
      </c>
      <c r="H574" s="24" t="s">
        <v>1612</v>
      </c>
      <c r="I574" s="3"/>
      <c r="J574" s="21">
        <f ca="1">_xlfn.XLOOKUP(Master[[#This Row],[Checklist]],Ref!A:A,Ref!B:B)*1000</f>
        <v>64000</v>
      </c>
      <c r="K574" s="21">
        <f ca="1">COUNTIF($J$2:Master[[#This Row],[ChecklistID]],Master[[#This Row],[ChecklistID]])-1</f>
        <v>4</v>
      </c>
      <c r="L574" s="23" t="s">
        <v>6</v>
      </c>
    </row>
    <row r="575" spans="1:12" ht="15.75">
      <c r="A575" s="23">
        <f t="shared" si="8"/>
        <v>574</v>
      </c>
      <c r="B575" s="21">
        <f ca="1">Master[[#This Row],[ChecklistID]]+Master[[#This Row],[Checklist Order]]</f>
        <v>65000</v>
      </c>
      <c r="C575" s="22"/>
      <c r="D575" s="3" t="str" cm="1">
        <f t="array" aca="1" ref="D575" ca="1">_xlfn.SWITCH(MID(Master[[#This Row],[Checklist]],1,4),"C - ","Civil","F - ","Foundation","ST -","Structure","FC -","Façade","PRE ","Pre-Line","POST","Post-Line","H - ","Handover","S - ","Services","CST ","Completion Docs", "I - ", "Inspection")</f>
        <v>Façade</v>
      </c>
      <c r="E575" s="23" t="str">
        <f ca="1">IF(NOT(ISERROR(SEARCH("- S -", Master[[#This Row],[Checklist]]))), "Subcontractor",IF(NOT(ISERROR(SEARCH("- R -", Master[[#This Row],[Checklist]]))), "Ryman",IF(NOT(ISERROR(SEARCH("- C -", Master[[#This Row],[Checklist]]))), "Consultant",IF(NOT(ISERROR(SEARCH("- I -", Master[[#This Row],[Checklist]]))),  "Inspection Test Plan", "Naming Error"))))</f>
        <v>Ryman</v>
      </c>
      <c r="F575" s="24" t="str">
        <f ca="1">IF(OR(Master[[#This Row],[Type]]="checklist", Master[[#This Row],[Type]]="checklist-flat"), Master[[#This Row],[Name]], F574)</f>
        <v>FC - R - RAB Board</v>
      </c>
      <c r="G575" s="3" t="s">
        <v>48</v>
      </c>
      <c r="H575" s="24" t="s">
        <v>1613</v>
      </c>
      <c r="I575" s="3"/>
      <c r="J575" s="21">
        <f ca="1">_xlfn.XLOOKUP(Master[[#This Row],[Checklist]],Ref!A:A,Ref!B:B)*1000</f>
        <v>65000</v>
      </c>
      <c r="K575" s="21">
        <f ca="1">COUNTIF($J$2:Master[[#This Row],[ChecklistID]],Master[[#This Row],[ChecklistID]])-1</f>
        <v>0</v>
      </c>
      <c r="L575" s="23" t="s">
        <v>6</v>
      </c>
    </row>
    <row r="576" spans="1:12" ht="15.75">
      <c r="A576" s="23">
        <f t="shared" si="8"/>
        <v>575</v>
      </c>
      <c r="B576" s="21">
        <f ca="1">Master[[#This Row],[ChecklistID]]+Master[[#This Row],[Checklist Order]]</f>
        <v>65001</v>
      </c>
      <c r="C576" s="22"/>
      <c r="D576" s="3" t="str" cm="1">
        <f t="array" aca="1" ref="D576" ca="1">_xlfn.SWITCH(MID(Master[[#This Row],[Checklist]],1,4),"C - ","Civil","F - ","Foundation","ST -","Structure","FC -","Façade","PRE ","Pre-Line","POST","Post-Line","H - ","Handover","S - ","Services","CST ","Completion Docs", "I - ", "Inspection")</f>
        <v>Façade</v>
      </c>
      <c r="E576" s="23" t="str">
        <f ca="1">IF(NOT(ISERROR(SEARCH("- S -", Master[[#This Row],[Checklist]]))), "Subcontractor",IF(NOT(ISERROR(SEARCH("- R -", Master[[#This Row],[Checklist]]))), "Ryman",IF(NOT(ISERROR(SEARCH("- C -", Master[[#This Row],[Checklist]]))), "Consultant",IF(NOT(ISERROR(SEARCH("- I -", Master[[#This Row],[Checklist]]))),  "Inspection Test Plan", "Naming Error"))))</f>
        <v>Ryman</v>
      </c>
      <c r="F576" s="24" t="str">
        <f ca="1">IF(OR(Master[[#This Row],[Type]]="checklist", Master[[#This Row],[Type]]="checklist-flat"), Master[[#This Row],[Name]], F575)</f>
        <v>FC - R - RAB Board</v>
      </c>
      <c r="G576" s="3" t="s">
        <v>49</v>
      </c>
      <c r="H576" s="24" t="s">
        <v>1263</v>
      </c>
      <c r="I576" s="3"/>
      <c r="J576" s="21">
        <f ca="1">_xlfn.XLOOKUP(Master[[#This Row],[Checklist]],Ref!A:A,Ref!B:B)*1000</f>
        <v>65000</v>
      </c>
      <c r="K576" s="21">
        <f ca="1">COUNTIF($J$2:Master[[#This Row],[ChecklistID]],Master[[#This Row],[ChecklistID]])-1</f>
        <v>1</v>
      </c>
      <c r="L576" s="23" t="s">
        <v>6</v>
      </c>
    </row>
    <row r="577" spans="1:12" ht="15.75">
      <c r="A577" s="23">
        <f t="shared" si="8"/>
        <v>576</v>
      </c>
      <c r="B577" s="21">
        <f ca="1">Master[[#This Row],[ChecklistID]]+Master[[#This Row],[Checklist Order]]</f>
        <v>65002</v>
      </c>
      <c r="C577" s="22"/>
      <c r="D577" s="3" t="str" cm="1">
        <f t="array" aca="1" ref="D577" ca="1">_xlfn.SWITCH(MID(Master[[#This Row],[Checklist]],1,4),"C - ","Civil","F - ","Foundation","ST -","Structure","FC -","Façade","PRE ","Pre-Line","POST","Post-Line","H - ","Handover","S - ","Services","CST ","Completion Docs", "I - ", "Inspection")</f>
        <v>Façade</v>
      </c>
      <c r="E577" s="23" t="str">
        <f ca="1">IF(NOT(ISERROR(SEARCH("- S -", Master[[#This Row],[Checklist]]))), "Subcontractor",IF(NOT(ISERROR(SEARCH("- R -", Master[[#This Row],[Checklist]]))), "Ryman",IF(NOT(ISERROR(SEARCH("- C -", Master[[#This Row],[Checklist]]))), "Consultant",IF(NOT(ISERROR(SEARCH("- I -", Master[[#This Row],[Checklist]]))),  "Inspection Test Plan", "Naming Error"))))</f>
        <v>Ryman</v>
      </c>
      <c r="F577" s="24" t="str">
        <f ca="1">IF(OR(Master[[#This Row],[Type]]="checklist", Master[[#This Row],[Type]]="checklist-flat"), Master[[#This Row],[Name]], F576)</f>
        <v>FC - R - RAB Board</v>
      </c>
      <c r="G577" s="3" t="s">
        <v>49</v>
      </c>
      <c r="H577" s="24" t="s">
        <v>1264</v>
      </c>
      <c r="I577" s="3"/>
      <c r="J577" s="21">
        <f ca="1">_xlfn.XLOOKUP(Master[[#This Row],[Checklist]],Ref!A:A,Ref!B:B)*1000</f>
        <v>65000</v>
      </c>
      <c r="K577" s="21">
        <f ca="1">COUNTIF($J$2:Master[[#This Row],[ChecklistID]],Master[[#This Row],[ChecklistID]])-1</f>
        <v>2</v>
      </c>
      <c r="L577" s="23" t="s">
        <v>6</v>
      </c>
    </row>
    <row r="578" spans="1:12" ht="15.75">
      <c r="A578" s="23">
        <f t="shared" ref="A578:A641" si="9">IFERROR(A577+1,1)</f>
        <v>577</v>
      </c>
      <c r="B578" s="21">
        <f ca="1">Master[[#This Row],[ChecklistID]]+Master[[#This Row],[Checklist Order]]</f>
        <v>65003</v>
      </c>
      <c r="C578" s="22"/>
      <c r="D578" s="3" t="str" cm="1">
        <f t="array" aca="1" ref="D578" ca="1">_xlfn.SWITCH(MID(Master[[#This Row],[Checklist]],1,4),"C - ","Civil","F - ","Foundation","ST -","Structure","FC -","Façade","PRE ","Pre-Line","POST","Post-Line","H - ","Handover","S - ","Services","CST ","Completion Docs", "I - ", "Inspection")</f>
        <v>Façade</v>
      </c>
      <c r="E578" s="23" t="str">
        <f ca="1">IF(NOT(ISERROR(SEARCH("- S -", Master[[#This Row],[Checklist]]))), "Subcontractor",IF(NOT(ISERROR(SEARCH("- R -", Master[[#This Row],[Checklist]]))), "Ryman",IF(NOT(ISERROR(SEARCH("- C -", Master[[#This Row],[Checklist]]))), "Consultant",IF(NOT(ISERROR(SEARCH("- I -", Master[[#This Row],[Checklist]]))),  "Inspection Test Plan", "Naming Error"))))</f>
        <v>Ryman</v>
      </c>
      <c r="F578" s="24" t="str">
        <f ca="1">IF(OR(Master[[#This Row],[Type]]="checklist", Master[[#This Row],[Type]]="checklist-flat"), Master[[#This Row],[Name]], F577)</f>
        <v>FC - R - RAB Board</v>
      </c>
      <c r="G578" s="3" t="s">
        <v>58</v>
      </c>
      <c r="H578" s="24" t="s">
        <v>306</v>
      </c>
      <c r="I578" s="3"/>
      <c r="J578" s="21">
        <f ca="1">_xlfn.XLOOKUP(Master[[#This Row],[Checklist]],Ref!A:A,Ref!B:B)*1000</f>
        <v>65000</v>
      </c>
      <c r="K578" s="21">
        <f ca="1">COUNTIF($J$2:Master[[#This Row],[ChecklistID]],Master[[#This Row],[ChecklistID]])-1</f>
        <v>3</v>
      </c>
      <c r="L578" s="23" t="s">
        <v>6</v>
      </c>
    </row>
    <row r="579" spans="1:12" ht="15.75">
      <c r="A579" s="23">
        <f t="shared" si="9"/>
        <v>578</v>
      </c>
      <c r="B579" s="21">
        <f ca="1">Master[[#This Row],[ChecklistID]]+Master[[#This Row],[Checklist Order]]</f>
        <v>65004</v>
      </c>
      <c r="C579" s="22"/>
      <c r="D579" s="3" t="str" cm="1">
        <f t="array" aca="1" ref="D579" ca="1">_xlfn.SWITCH(MID(Master[[#This Row],[Checklist]],1,4),"C - ","Civil","F - ","Foundation","ST -","Structure","FC -","Façade","PRE ","Pre-Line","POST","Post-Line","H - ","Handover","S - ","Services","CST ","Completion Docs", "I - ", "Inspection")</f>
        <v>Façade</v>
      </c>
      <c r="E579" s="23" t="str">
        <f ca="1">IF(NOT(ISERROR(SEARCH("- S -", Master[[#This Row],[Checklist]]))), "Subcontractor",IF(NOT(ISERROR(SEARCH("- R -", Master[[#This Row],[Checklist]]))), "Ryman",IF(NOT(ISERROR(SEARCH("- C -", Master[[#This Row],[Checklist]]))), "Consultant",IF(NOT(ISERROR(SEARCH("- I -", Master[[#This Row],[Checklist]]))),  "Inspection Test Plan", "Naming Error"))))</f>
        <v>Ryman</v>
      </c>
      <c r="F579" s="24" t="str">
        <f ca="1">IF(OR(Master[[#This Row],[Type]]="checklist", Master[[#This Row],[Type]]="checklist-flat"), Master[[#This Row],[Name]], F578)</f>
        <v>FC - R - RAB Board</v>
      </c>
      <c r="G579" s="3" t="s">
        <v>49</v>
      </c>
      <c r="H579" s="24" t="s">
        <v>1614</v>
      </c>
      <c r="I579" s="3"/>
      <c r="J579" s="21">
        <f ca="1">_xlfn.XLOOKUP(Master[[#This Row],[Checklist]],Ref!A:A,Ref!B:B)*1000</f>
        <v>65000</v>
      </c>
      <c r="K579" s="21">
        <f ca="1">COUNTIF($J$2:Master[[#This Row],[ChecklistID]],Master[[#This Row],[ChecklistID]])-1</f>
        <v>4</v>
      </c>
      <c r="L579" s="23" t="s">
        <v>6</v>
      </c>
    </row>
    <row r="580" spans="1:12" ht="15.75">
      <c r="A580" s="23">
        <f t="shared" si="9"/>
        <v>579</v>
      </c>
      <c r="B580" s="21">
        <f ca="1">Master[[#This Row],[ChecklistID]]+Master[[#This Row],[Checklist Order]]</f>
        <v>66000</v>
      </c>
      <c r="C580" s="22"/>
      <c r="D580" s="3" t="str" cm="1">
        <f t="array" aca="1" ref="D580" ca="1">_xlfn.SWITCH(MID(Master[[#This Row],[Checklist]],1,4),"C - ","Civil","F - ","Foundation","ST -","Structure","FC -","Façade","PRE ","Pre-Line","POST","Post-Line","H - ","Handover","S - ","Services","CST ","Completion Docs", "I - ", "Inspection")</f>
        <v>Façade</v>
      </c>
      <c r="E580" s="23" t="str">
        <f ca="1">IF(NOT(ISERROR(SEARCH("- S -", Master[[#This Row],[Checklist]]))), "Subcontractor",IF(NOT(ISERROR(SEARCH("- R -", Master[[#This Row],[Checklist]]))), "Ryman",IF(NOT(ISERROR(SEARCH("- C -", Master[[#This Row],[Checklist]]))), "Consultant",IF(NOT(ISERROR(SEARCH("- I -", Master[[#This Row],[Checklist]]))),  "Inspection Test Plan", "Naming Error"))))</f>
        <v>Ryman</v>
      </c>
      <c r="F580" s="24" t="str">
        <f ca="1">IF(OR(Master[[#This Row],[Type]]="checklist", Master[[#This Row],[Type]]="checklist-flat"), Master[[#This Row],[Name]], F579)</f>
        <v>FC - R - Ecoply Board</v>
      </c>
      <c r="G580" s="3" t="s">
        <v>48</v>
      </c>
      <c r="H580" s="24" t="s">
        <v>1615</v>
      </c>
      <c r="I580" s="3"/>
      <c r="J580" s="21">
        <f ca="1">_xlfn.XLOOKUP(Master[[#This Row],[Checklist]],Ref!A:A,Ref!B:B)*1000</f>
        <v>66000</v>
      </c>
      <c r="K580" s="21">
        <f ca="1">COUNTIF($J$2:Master[[#This Row],[ChecklistID]],Master[[#This Row],[ChecklistID]])-1</f>
        <v>0</v>
      </c>
      <c r="L580" s="23" t="s">
        <v>6</v>
      </c>
    </row>
    <row r="581" spans="1:12" ht="15.75">
      <c r="A581" s="23">
        <f t="shared" si="9"/>
        <v>580</v>
      </c>
      <c r="B581" s="21">
        <f ca="1">Master[[#This Row],[ChecklistID]]+Master[[#This Row],[Checklist Order]]</f>
        <v>66001</v>
      </c>
      <c r="C581" s="22"/>
      <c r="D581" s="3" t="str" cm="1">
        <f t="array" aca="1" ref="D581" ca="1">_xlfn.SWITCH(MID(Master[[#This Row],[Checklist]],1,4),"C - ","Civil","F - ","Foundation","ST -","Structure","FC -","Façade","PRE ","Pre-Line","POST","Post-Line","H - ","Handover","S - ","Services","CST ","Completion Docs", "I - ", "Inspection")</f>
        <v>Façade</v>
      </c>
      <c r="E581" s="23" t="str">
        <f ca="1">IF(NOT(ISERROR(SEARCH("- S -", Master[[#This Row],[Checklist]]))), "Subcontractor",IF(NOT(ISERROR(SEARCH("- R -", Master[[#This Row],[Checklist]]))), "Ryman",IF(NOT(ISERROR(SEARCH("- C -", Master[[#This Row],[Checklist]]))), "Consultant",IF(NOT(ISERROR(SEARCH("- I -", Master[[#This Row],[Checklist]]))),  "Inspection Test Plan", "Naming Error"))))</f>
        <v>Ryman</v>
      </c>
      <c r="F581" s="24" t="str">
        <f ca="1">IF(OR(Master[[#This Row],[Type]]="checklist", Master[[#This Row],[Type]]="checklist-flat"), Master[[#This Row],[Name]], F580)</f>
        <v>FC - R - Ecoply Board</v>
      </c>
      <c r="G581" s="3" t="s">
        <v>49</v>
      </c>
      <c r="H581" s="24" t="s">
        <v>1616</v>
      </c>
      <c r="I581" s="3"/>
      <c r="J581" s="21">
        <f ca="1">_xlfn.XLOOKUP(Master[[#This Row],[Checklist]],Ref!A:A,Ref!B:B)*1000</f>
        <v>66000</v>
      </c>
      <c r="K581" s="21">
        <f ca="1">COUNTIF($J$2:Master[[#This Row],[ChecklistID]],Master[[#This Row],[ChecklistID]])-1</f>
        <v>1</v>
      </c>
      <c r="L581" s="23" t="s">
        <v>6</v>
      </c>
    </row>
    <row r="582" spans="1:12" ht="15.75">
      <c r="A582" s="23">
        <f t="shared" si="9"/>
        <v>581</v>
      </c>
      <c r="B582" s="21">
        <f ca="1">Master[[#This Row],[ChecklistID]]+Master[[#This Row],[Checklist Order]]</f>
        <v>66002</v>
      </c>
      <c r="C582" s="22"/>
      <c r="D582" s="3" t="str" cm="1">
        <f t="array" aca="1" ref="D582" ca="1">_xlfn.SWITCH(MID(Master[[#This Row],[Checklist]],1,4),"C - ","Civil","F - ","Foundation","ST -","Structure","FC -","Façade","PRE ","Pre-Line","POST","Post-Line","H - ","Handover","S - ","Services","CST ","Completion Docs", "I - ", "Inspection")</f>
        <v>Façade</v>
      </c>
      <c r="E582" s="23" t="str">
        <f ca="1">IF(NOT(ISERROR(SEARCH("- S -", Master[[#This Row],[Checklist]]))), "Subcontractor",IF(NOT(ISERROR(SEARCH("- R -", Master[[#This Row],[Checklist]]))), "Ryman",IF(NOT(ISERROR(SEARCH("- C -", Master[[#This Row],[Checklist]]))), "Consultant",IF(NOT(ISERROR(SEARCH("- I -", Master[[#This Row],[Checklist]]))),  "Inspection Test Plan", "Naming Error"))))</f>
        <v>Ryman</v>
      </c>
      <c r="F582" s="24" t="str">
        <f ca="1">IF(OR(Master[[#This Row],[Type]]="checklist", Master[[#This Row],[Type]]="checklist-flat"), Master[[#This Row],[Name]], F581)</f>
        <v>FC - R - Ecoply Board</v>
      </c>
      <c r="G582" s="3" t="s">
        <v>49</v>
      </c>
      <c r="H582" s="24" t="s">
        <v>1617</v>
      </c>
      <c r="I582" s="3"/>
      <c r="J582" s="21">
        <f ca="1">_xlfn.XLOOKUP(Master[[#This Row],[Checklist]],Ref!A:A,Ref!B:B)*1000</f>
        <v>66000</v>
      </c>
      <c r="K582" s="21">
        <f ca="1">COUNTIF($J$2:Master[[#This Row],[ChecklistID]],Master[[#This Row],[ChecklistID]])-1</f>
        <v>2</v>
      </c>
      <c r="L582" s="23" t="s">
        <v>6</v>
      </c>
    </row>
    <row r="583" spans="1:12" ht="15.75">
      <c r="A583" s="23">
        <f t="shared" si="9"/>
        <v>582</v>
      </c>
      <c r="B583" s="21">
        <f ca="1">Master[[#This Row],[ChecklistID]]+Master[[#This Row],[Checklist Order]]</f>
        <v>66003</v>
      </c>
      <c r="C583" s="22"/>
      <c r="D583" s="3" t="str" cm="1">
        <f t="array" aca="1" ref="D583" ca="1">_xlfn.SWITCH(MID(Master[[#This Row],[Checklist]],1,4),"C - ","Civil","F - ","Foundation","ST -","Structure","FC -","Façade","PRE ","Pre-Line","POST","Post-Line","H - ","Handover","S - ","Services","CST ","Completion Docs", "I - ", "Inspection")</f>
        <v>Façade</v>
      </c>
      <c r="E583" s="23" t="str">
        <f ca="1">IF(NOT(ISERROR(SEARCH("- S -", Master[[#This Row],[Checklist]]))), "Subcontractor",IF(NOT(ISERROR(SEARCH("- R -", Master[[#This Row],[Checklist]]))), "Ryman",IF(NOT(ISERROR(SEARCH("- C -", Master[[#This Row],[Checklist]]))), "Consultant",IF(NOT(ISERROR(SEARCH("- I -", Master[[#This Row],[Checklist]]))),  "Inspection Test Plan", "Naming Error"))))</f>
        <v>Ryman</v>
      </c>
      <c r="F583" s="24" t="str">
        <f ca="1">IF(OR(Master[[#This Row],[Type]]="checklist", Master[[#This Row],[Type]]="checklist-flat"), Master[[#This Row],[Name]], F582)</f>
        <v>FC - R - Ecoply Board</v>
      </c>
      <c r="G583" s="3" t="s">
        <v>49</v>
      </c>
      <c r="H583" s="24" t="s">
        <v>1618</v>
      </c>
      <c r="I583" s="3"/>
      <c r="J583" s="21">
        <f ca="1">_xlfn.XLOOKUP(Master[[#This Row],[Checklist]],Ref!A:A,Ref!B:B)*1000</f>
        <v>66000</v>
      </c>
      <c r="K583" s="21">
        <f ca="1">COUNTIF($J$2:Master[[#This Row],[ChecklistID]],Master[[#This Row],[ChecklistID]])-1</f>
        <v>3</v>
      </c>
      <c r="L583" s="23" t="s">
        <v>6</v>
      </c>
    </row>
    <row r="584" spans="1:12" ht="15.75">
      <c r="A584" s="23">
        <f t="shared" si="9"/>
        <v>583</v>
      </c>
      <c r="B584" s="21">
        <f ca="1">Master[[#This Row],[ChecklistID]]+Master[[#This Row],[Checklist Order]]</f>
        <v>66004</v>
      </c>
      <c r="C584" s="22"/>
      <c r="D584" s="3" t="str" cm="1">
        <f t="array" aca="1" ref="D584" ca="1">_xlfn.SWITCH(MID(Master[[#This Row],[Checklist]],1,4),"C - ","Civil","F - ","Foundation","ST -","Structure","FC -","Façade","PRE ","Pre-Line","POST","Post-Line","H - ","Handover","S - ","Services","CST ","Completion Docs", "I - ", "Inspection")</f>
        <v>Façade</v>
      </c>
      <c r="E584" s="23" t="str">
        <f ca="1">IF(NOT(ISERROR(SEARCH("- S -", Master[[#This Row],[Checklist]]))), "Subcontractor",IF(NOT(ISERROR(SEARCH("- R -", Master[[#This Row],[Checklist]]))), "Ryman",IF(NOT(ISERROR(SEARCH("- C -", Master[[#This Row],[Checklist]]))), "Consultant",IF(NOT(ISERROR(SEARCH("- I -", Master[[#This Row],[Checklist]]))),  "Inspection Test Plan", "Naming Error"))))</f>
        <v>Ryman</v>
      </c>
      <c r="F584" s="24" t="str">
        <f ca="1">IF(OR(Master[[#This Row],[Type]]="checklist", Master[[#This Row],[Type]]="checklist-flat"), Master[[#This Row],[Name]], F583)</f>
        <v>FC - R - Ecoply Board</v>
      </c>
      <c r="G584" s="3" t="s">
        <v>58</v>
      </c>
      <c r="H584" s="24" t="s">
        <v>306</v>
      </c>
      <c r="I584" s="3"/>
      <c r="J584" s="21">
        <f ca="1">_xlfn.XLOOKUP(Master[[#This Row],[Checklist]],Ref!A:A,Ref!B:B)*1000</f>
        <v>66000</v>
      </c>
      <c r="K584" s="21">
        <f ca="1">COUNTIF($J$2:Master[[#This Row],[ChecklistID]],Master[[#This Row],[ChecklistID]])-1</f>
        <v>4</v>
      </c>
      <c r="L584" s="23" t="s">
        <v>6</v>
      </c>
    </row>
    <row r="585" spans="1:12" ht="15.75">
      <c r="A585" s="23">
        <f t="shared" si="9"/>
        <v>584</v>
      </c>
      <c r="B585" s="21">
        <f ca="1">Master[[#This Row],[ChecklistID]]+Master[[#This Row],[Checklist Order]]</f>
        <v>66005</v>
      </c>
      <c r="C585" s="22"/>
      <c r="D585" s="3" t="str" cm="1">
        <f t="array" aca="1" ref="D585" ca="1">_xlfn.SWITCH(MID(Master[[#This Row],[Checklist]],1,4),"C - ","Civil","F - ","Foundation","ST -","Structure","FC -","Façade","PRE ","Pre-Line","POST","Post-Line","H - ","Handover","S - ","Services","CST ","Completion Docs", "I - ", "Inspection")</f>
        <v>Façade</v>
      </c>
      <c r="E585" s="23" t="str">
        <f ca="1">IF(NOT(ISERROR(SEARCH("- S -", Master[[#This Row],[Checklist]]))), "Subcontractor",IF(NOT(ISERROR(SEARCH("- R -", Master[[#This Row],[Checklist]]))), "Ryman",IF(NOT(ISERROR(SEARCH("- C -", Master[[#This Row],[Checklist]]))), "Consultant",IF(NOT(ISERROR(SEARCH("- I -", Master[[#This Row],[Checklist]]))),  "Inspection Test Plan", "Naming Error"))))</f>
        <v>Ryman</v>
      </c>
      <c r="F585" s="24" t="str">
        <f ca="1">IF(OR(Master[[#This Row],[Type]]="checklist", Master[[#This Row],[Type]]="checklist-flat"), Master[[#This Row],[Name]], F584)</f>
        <v>FC - R - Ecoply Board</v>
      </c>
      <c r="G585" s="3" t="s">
        <v>49</v>
      </c>
      <c r="H585" s="24" t="s">
        <v>1619</v>
      </c>
      <c r="I585" s="3"/>
      <c r="J585" s="21">
        <f ca="1">_xlfn.XLOOKUP(Master[[#This Row],[Checklist]],Ref!A:A,Ref!B:B)*1000</f>
        <v>66000</v>
      </c>
      <c r="K585" s="21">
        <f ca="1">COUNTIF($J$2:Master[[#This Row],[ChecklistID]],Master[[#This Row],[ChecklistID]])-1</f>
        <v>5</v>
      </c>
      <c r="L585" s="23" t="s">
        <v>6</v>
      </c>
    </row>
    <row r="586" spans="1:12" ht="15.75">
      <c r="A586" s="23">
        <f t="shared" si="9"/>
        <v>585</v>
      </c>
      <c r="B586" s="21">
        <f ca="1">Master[[#This Row],[ChecklistID]]+Master[[#This Row],[Checklist Order]]</f>
        <v>67000</v>
      </c>
      <c r="C586" s="22"/>
      <c r="D586" s="3" t="str" cm="1">
        <f t="array" aca="1" ref="D586" ca="1">_xlfn.SWITCH(MID(Master[[#This Row],[Checklist]],1,4),"C - ","Civil","F - ","Foundation","ST -","Structure","FC -","Façade","PRE ","Pre-Line","POST","Post-Line","H - ","Handover","S - ","Services","CST ","Completion Docs", "I - ", "Inspection")</f>
        <v>Façade</v>
      </c>
      <c r="E586" s="23" t="str">
        <f ca="1">IF(NOT(ISERROR(SEARCH("- S -", Master[[#This Row],[Checklist]]))), "Subcontractor",IF(NOT(ISERROR(SEARCH("- R -", Master[[#This Row],[Checklist]]))), "Ryman",IF(NOT(ISERROR(SEARCH("- C -", Master[[#This Row],[Checklist]]))), "Consultant",IF(NOT(ISERROR(SEARCH("- I -", Master[[#This Row],[Checklist]]))),  "Inspection Test Plan", "Naming Error"))))</f>
        <v>Ryman</v>
      </c>
      <c r="F586" s="24" t="str">
        <f ca="1">IF(OR(Master[[#This Row],[Type]]="checklist", Master[[#This Row],[Type]]="checklist-flat"), Master[[#This Row],[Name]], F585)</f>
        <v>FC - R - Windows and Sliders</v>
      </c>
      <c r="G586" s="3" t="s">
        <v>48</v>
      </c>
      <c r="H586" s="24" t="s">
        <v>1620</v>
      </c>
      <c r="I586" s="3"/>
      <c r="J586" s="21">
        <f ca="1">_xlfn.XLOOKUP(Master[[#This Row],[Checklist]],Ref!A:A,Ref!B:B)*1000</f>
        <v>67000</v>
      </c>
      <c r="K586" s="21">
        <f ca="1">COUNTIF($J$2:Master[[#This Row],[ChecklistID]],Master[[#This Row],[ChecklistID]])-1</f>
        <v>0</v>
      </c>
      <c r="L586" s="23" t="s">
        <v>6</v>
      </c>
    </row>
    <row r="587" spans="1:12" ht="15.75">
      <c r="A587" s="23">
        <f t="shared" si="9"/>
        <v>586</v>
      </c>
      <c r="B587" s="21">
        <f ca="1">Master[[#This Row],[ChecklistID]]+Master[[#This Row],[Checklist Order]]</f>
        <v>67001</v>
      </c>
      <c r="C587" s="22"/>
      <c r="D587" s="3" t="str" cm="1">
        <f t="array" aca="1" ref="D587" ca="1">_xlfn.SWITCH(MID(Master[[#This Row],[Checklist]],1,4),"C - ","Civil","F - ","Foundation","ST -","Structure","FC -","Façade","PRE ","Pre-Line","POST","Post-Line","H - ","Handover","S - ","Services","CST ","Completion Docs", "I - ", "Inspection")</f>
        <v>Façade</v>
      </c>
      <c r="E587" s="23" t="str">
        <f ca="1">IF(NOT(ISERROR(SEARCH("- S -", Master[[#This Row],[Checklist]]))), "Subcontractor",IF(NOT(ISERROR(SEARCH("- R -", Master[[#This Row],[Checklist]]))), "Ryman",IF(NOT(ISERROR(SEARCH("- C -", Master[[#This Row],[Checklist]]))), "Consultant",IF(NOT(ISERROR(SEARCH("- I -", Master[[#This Row],[Checklist]]))),  "Inspection Test Plan", "Naming Error"))))</f>
        <v>Ryman</v>
      </c>
      <c r="F587" s="24" t="str">
        <f ca="1">IF(OR(Master[[#This Row],[Type]]="checklist", Master[[#This Row],[Type]]="checklist-flat"), Master[[#This Row],[Name]], F586)</f>
        <v>FC - R - Windows and Sliders</v>
      </c>
      <c r="G587" s="3" t="s">
        <v>831</v>
      </c>
      <c r="H587" s="24" t="s">
        <v>1621</v>
      </c>
      <c r="I587" s="3"/>
      <c r="J587" s="21">
        <f ca="1">_xlfn.XLOOKUP(Master[[#This Row],[Checklist]],Ref!A:A,Ref!B:B)*1000</f>
        <v>67000</v>
      </c>
      <c r="K587" s="21">
        <f ca="1">COUNTIF($J$2:Master[[#This Row],[ChecklistID]],Master[[#This Row],[ChecklistID]])-1</f>
        <v>1</v>
      </c>
      <c r="L587" s="23" t="s">
        <v>6</v>
      </c>
    </row>
    <row r="588" spans="1:12" ht="15.75">
      <c r="A588" s="23">
        <f t="shared" si="9"/>
        <v>587</v>
      </c>
      <c r="B588" s="21">
        <f ca="1">Master[[#This Row],[ChecklistID]]+Master[[#This Row],[Checklist Order]]</f>
        <v>67002</v>
      </c>
      <c r="C588" s="22"/>
      <c r="D588" s="3" t="str" cm="1">
        <f t="array" aca="1" ref="D588" ca="1">_xlfn.SWITCH(MID(Master[[#This Row],[Checklist]],1,4),"C - ","Civil","F - ","Foundation","ST -","Structure","FC -","Façade","PRE ","Pre-Line","POST","Post-Line","H - ","Handover","S - ","Services","CST ","Completion Docs", "I - ", "Inspection")</f>
        <v>Façade</v>
      </c>
      <c r="E588" s="23" t="str">
        <f ca="1">IF(NOT(ISERROR(SEARCH("- S -", Master[[#This Row],[Checklist]]))), "Subcontractor",IF(NOT(ISERROR(SEARCH("- R -", Master[[#This Row],[Checklist]]))), "Ryman",IF(NOT(ISERROR(SEARCH("- C -", Master[[#This Row],[Checklist]]))), "Consultant",IF(NOT(ISERROR(SEARCH("- I -", Master[[#This Row],[Checklist]]))),  "Inspection Test Plan", "Naming Error"))))</f>
        <v>Ryman</v>
      </c>
      <c r="F588" s="24" t="str">
        <f ca="1">IF(OR(Master[[#This Row],[Type]]="checklist", Master[[#This Row],[Type]]="checklist-flat"), Master[[#This Row],[Name]], F587)</f>
        <v>FC - R - Windows and Sliders</v>
      </c>
      <c r="G588" s="3" t="s">
        <v>831</v>
      </c>
      <c r="H588" s="24" t="s">
        <v>1622</v>
      </c>
      <c r="I588" s="3"/>
      <c r="J588" s="21">
        <f ca="1">_xlfn.XLOOKUP(Master[[#This Row],[Checklist]],Ref!A:A,Ref!B:B)*1000</f>
        <v>67000</v>
      </c>
      <c r="K588" s="21">
        <f ca="1">COUNTIF($J$2:Master[[#This Row],[ChecklistID]],Master[[#This Row],[ChecklistID]])-1</f>
        <v>2</v>
      </c>
      <c r="L588" s="23" t="s">
        <v>6</v>
      </c>
    </row>
    <row r="589" spans="1:12" ht="15.75">
      <c r="A589" s="23">
        <f t="shared" si="9"/>
        <v>588</v>
      </c>
      <c r="B589" s="21">
        <f ca="1">Master[[#This Row],[ChecklistID]]+Master[[#This Row],[Checklist Order]]</f>
        <v>67003</v>
      </c>
      <c r="C589" s="22"/>
      <c r="D589" s="3" t="str" cm="1">
        <f t="array" aca="1" ref="D589" ca="1">_xlfn.SWITCH(MID(Master[[#This Row],[Checklist]],1,4),"C - ","Civil","F - ","Foundation","ST -","Structure","FC -","Façade","PRE ","Pre-Line","POST","Post-Line","H - ","Handover","S - ","Services","CST ","Completion Docs", "I - ", "Inspection")</f>
        <v>Façade</v>
      </c>
      <c r="E589" s="23" t="str">
        <f ca="1">IF(NOT(ISERROR(SEARCH("- S -", Master[[#This Row],[Checklist]]))), "Subcontractor",IF(NOT(ISERROR(SEARCH("- R -", Master[[#This Row],[Checklist]]))), "Ryman",IF(NOT(ISERROR(SEARCH("- C -", Master[[#This Row],[Checklist]]))), "Consultant",IF(NOT(ISERROR(SEARCH("- I -", Master[[#This Row],[Checklist]]))),  "Inspection Test Plan", "Naming Error"))))</f>
        <v>Ryman</v>
      </c>
      <c r="F589" s="24" t="str">
        <f ca="1">IF(OR(Master[[#This Row],[Type]]="checklist", Master[[#This Row],[Type]]="checklist-flat"), Master[[#This Row],[Name]], F588)</f>
        <v>FC - R - Windows and Sliders</v>
      </c>
      <c r="G589" s="3" t="s">
        <v>831</v>
      </c>
      <c r="H589" s="24" t="s">
        <v>1623</v>
      </c>
      <c r="I589" s="3"/>
      <c r="J589" s="21">
        <f ca="1">_xlfn.XLOOKUP(Master[[#This Row],[Checklist]],Ref!A:A,Ref!B:B)*1000</f>
        <v>67000</v>
      </c>
      <c r="K589" s="21">
        <f ca="1">COUNTIF($J$2:Master[[#This Row],[ChecklistID]],Master[[#This Row],[ChecklistID]])-1</f>
        <v>3</v>
      </c>
      <c r="L589" s="23" t="s">
        <v>6</v>
      </c>
    </row>
    <row r="590" spans="1:12" ht="15.75">
      <c r="A590" s="23">
        <f t="shared" si="9"/>
        <v>589</v>
      </c>
      <c r="B590" s="21">
        <f ca="1">Master[[#This Row],[ChecklistID]]+Master[[#This Row],[Checklist Order]]</f>
        <v>67004</v>
      </c>
      <c r="C590" s="22"/>
      <c r="D590" s="3" t="str" cm="1">
        <f t="array" aca="1" ref="D590" ca="1">_xlfn.SWITCH(MID(Master[[#This Row],[Checklist]],1,4),"C - ","Civil","F - ","Foundation","ST -","Structure","FC -","Façade","PRE ","Pre-Line","POST","Post-Line","H - ","Handover","S - ","Services","CST ","Completion Docs", "I - ", "Inspection")</f>
        <v>Façade</v>
      </c>
      <c r="E590" s="23" t="str">
        <f ca="1">IF(NOT(ISERROR(SEARCH("- S -", Master[[#This Row],[Checklist]]))), "Subcontractor",IF(NOT(ISERROR(SEARCH("- R -", Master[[#This Row],[Checklist]]))), "Ryman",IF(NOT(ISERROR(SEARCH("- C -", Master[[#This Row],[Checklist]]))), "Consultant",IF(NOT(ISERROR(SEARCH("- I -", Master[[#This Row],[Checklist]]))),  "Inspection Test Plan", "Naming Error"))))</f>
        <v>Ryman</v>
      </c>
      <c r="F590" s="24" t="str">
        <f ca="1">IF(OR(Master[[#This Row],[Type]]="checklist", Master[[#This Row],[Type]]="checklist-flat"), Master[[#This Row],[Name]], F589)</f>
        <v>FC - R - Windows and Sliders</v>
      </c>
      <c r="G590" s="3" t="s">
        <v>58</v>
      </c>
      <c r="H590" s="24" t="s">
        <v>1624</v>
      </c>
      <c r="I590" s="3"/>
      <c r="J590" s="21">
        <f ca="1">_xlfn.XLOOKUP(Master[[#This Row],[Checklist]],Ref!A:A,Ref!B:B)*1000</f>
        <v>67000</v>
      </c>
      <c r="K590" s="21">
        <f ca="1">COUNTIF($J$2:Master[[#This Row],[ChecklistID]],Master[[#This Row],[ChecklistID]])-1</f>
        <v>4</v>
      </c>
      <c r="L590" s="23" t="s">
        <v>6</v>
      </c>
    </row>
    <row r="591" spans="1:12" ht="15.75">
      <c r="A591" s="23">
        <f t="shared" si="9"/>
        <v>590</v>
      </c>
      <c r="B591" s="21">
        <f ca="1">Master[[#This Row],[ChecklistID]]+Master[[#This Row],[Checklist Order]]</f>
        <v>67005</v>
      </c>
      <c r="C591" s="22"/>
      <c r="D591" s="3" t="str" cm="1">
        <f t="array" aca="1" ref="D591" ca="1">_xlfn.SWITCH(MID(Master[[#This Row],[Checklist]],1,4),"C - ","Civil","F - ","Foundation","ST -","Structure","FC -","Façade","PRE ","Pre-Line","POST","Post-Line","H - ","Handover","S - ","Services","CST ","Completion Docs", "I - ", "Inspection")</f>
        <v>Façade</v>
      </c>
      <c r="E591" s="23" t="str">
        <f ca="1">IF(NOT(ISERROR(SEARCH("- S -", Master[[#This Row],[Checklist]]))), "Subcontractor",IF(NOT(ISERROR(SEARCH("- R -", Master[[#This Row],[Checklist]]))), "Ryman",IF(NOT(ISERROR(SEARCH("- C -", Master[[#This Row],[Checklist]]))), "Consultant",IF(NOT(ISERROR(SEARCH("- I -", Master[[#This Row],[Checklist]]))),  "Inspection Test Plan", "Naming Error"))))</f>
        <v>Ryman</v>
      </c>
      <c r="F591" s="24" t="str">
        <f ca="1">IF(OR(Master[[#This Row],[Type]]="checklist", Master[[#This Row],[Type]]="checklist-flat"), Master[[#This Row],[Name]], F590)</f>
        <v>FC - R - Windows and Sliders</v>
      </c>
      <c r="G591" s="3" t="s">
        <v>49</v>
      </c>
      <c r="H591" s="24" t="s">
        <v>1625</v>
      </c>
      <c r="I591" s="3"/>
      <c r="J591" s="21">
        <f ca="1">_xlfn.XLOOKUP(Master[[#This Row],[Checklist]],Ref!A:A,Ref!B:B)*1000</f>
        <v>67000</v>
      </c>
      <c r="K591" s="21">
        <f ca="1">COUNTIF($J$2:Master[[#This Row],[ChecklistID]],Master[[#This Row],[ChecklistID]])-1</f>
        <v>5</v>
      </c>
      <c r="L591" s="23" t="s">
        <v>6</v>
      </c>
    </row>
    <row r="592" spans="1:12" ht="15.75">
      <c r="A592" s="23">
        <f t="shared" si="9"/>
        <v>591</v>
      </c>
      <c r="B592" s="21">
        <f ca="1">Master[[#This Row],[ChecklistID]]+Master[[#This Row],[Checklist Order]]</f>
        <v>68000</v>
      </c>
      <c r="C592" s="22"/>
      <c r="D592" s="3" t="str" cm="1">
        <f t="array" aca="1" ref="D592" ca="1">_xlfn.SWITCH(MID(Master[[#This Row],[Checklist]],1,4),"C - ","Civil","F - ","Foundation","ST -","Structure","FC -","Façade","PRE ","Pre-Line","POST","Post-Line","H - ","Handover","S - ","Services","CST ","Completion Docs", "I - ", "Inspection")</f>
        <v>Façade</v>
      </c>
      <c r="E592" s="23" t="str">
        <f ca="1">IF(NOT(ISERROR(SEARCH("- S -", Master[[#This Row],[Checklist]]))), "Subcontractor",IF(NOT(ISERROR(SEARCH("- R -", Master[[#This Row],[Checklist]]))), "Ryman",IF(NOT(ISERROR(SEARCH("- C -", Master[[#This Row],[Checklist]]))), "Consultant",IF(NOT(ISERROR(SEARCH("- I -", Master[[#This Row],[Checklist]]))),  "Inspection Test Plan", "Naming Error"))))</f>
        <v>Ryman</v>
      </c>
      <c r="F592" s="24" t="str">
        <f ca="1">IF(OR(Master[[#This Row],[Type]]="checklist", Master[[#This Row],[Type]]="checklist-flat"), Master[[#This Row],[Name]], F591)</f>
        <v>FC - R - Louvres Installation</v>
      </c>
      <c r="G592" s="3" t="s">
        <v>48</v>
      </c>
      <c r="H592" s="24" t="s">
        <v>1626</v>
      </c>
      <c r="I592" s="3"/>
      <c r="J592" s="21">
        <f ca="1">_xlfn.XLOOKUP(Master[[#This Row],[Checklist]],Ref!A:A,Ref!B:B)*1000</f>
        <v>68000</v>
      </c>
      <c r="K592" s="21">
        <f ca="1">COUNTIF($J$2:Master[[#This Row],[ChecklistID]],Master[[#This Row],[ChecklistID]])-1</f>
        <v>0</v>
      </c>
      <c r="L592" s="23" t="s">
        <v>6</v>
      </c>
    </row>
    <row r="593" spans="1:12" ht="15.75">
      <c r="A593" s="23">
        <f t="shared" si="9"/>
        <v>592</v>
      </c>
      <c r="B593" s="21">
        <f ca="1">Master[[#This Row],[ChecklistID]]+Master[[#This Row],[Checklist Order]]</f>
        <v>68001</v>
      </c>
      <c r="C593" s="22"/>
      <c r="D593" s="3" t="str" cm="1">
        <f t="array" aca="1" ref="D593" ca="1">_xlfn.SWITCH(MID(Master[[#This Row],[Checklist]],1,4),"C - ","Civil","F - ","Foundation","ST -","Structure","FC -","Façade","PRE ","Pre-Line","POST","Post-Line","H - ","Handover","S - ","Services","CST ","Completion Docs", "I - ", "Inspection")</f>
        <v>Façade</v>
      </c>
      <c r="E593" s="23" t="str">
        <f ca="1">IF(NOT(ISERROR(SEARCH("- S -", Master[[#This Row],[Checklist]]))), "Subcontractor",IF(NOT(ISERROR(SEARCH("- R -", Master[[#This Row],[Checklist]]))), "Ryman",IF(NOT(ISERROR(SEARCH("- C -", Master[[#This Row],[Checklist]]))), "Consultant",IF(NOT(ISERROR(SEARCH("- I -", Master[[#This Row],[Checklist]]))),  "Inspection Test Plan", "Naming Error"))))</f>
        <v>Ryman</v>
      </c>
      <c r="F593" s="24" t="str">
        <f ca="1">IF(OR(Master[[#This Row],[Type]]="checklist", Master[[#This Row],[Type]]="checklist-flat"), Master[[#This Row],[Name]], F592)</f>
        <v>FC - R - Louvres Installation</v>
      </c>
      <c r="G593" s="3" t="s">
        <v>49</v>
      </c>
      <c r="H593" s="24" t="s">
        <v>1263</v>
      </c>
      <c r="I593" s="3"/>
      <c r="J593" s="21">
        <f ca="1">_xlfn.XLOOKUP(Master[[#This Row],[Checklist]],Ref!A:A,Ref!B:B)*1000</f>
        <v>68000</v>
      </c>
      <c r="K593" s="21">
        <f ca="1">COUNTIF($J$2:Master[[#This Row],[ChecklistID]],Master[[#This Row],[ChecklistID]])-1</f>
        <v>1</v>
      </c>
      <c r="L593" s="23" t="s">
        <v>6</v>
      </c>
    </row>
    <row r="594" spans="1:12" ht="15.75">
      <c r="A594" s="23">
        <f t="shared" si="9"/>
        <v>593</v>
      </c>
      <c r="B594" s="21">
        <f ca="1">Master[[#This Row],[ChecklistID]]+Master[[#This Row],[Checklist Order]]</f>
        <v>68002</v>
      </c>
      <c r="C594" s="22"/>
      <c r="D594" s="3" t="str" cm="1">
        <f t="array" aca="1" ref="D594" ca="1">_xlfn.SWITCH(MID(Master[[#This Row],[Checklist]],1,4),"C - ","Civil","F - ","Foundation","ST -","Structure","FC -","Façade","PRE ","Pre-Line","POST","Post-Line","H - ","Handover","S - ","Services","CST ","Completion Docs", "I - ", "Inspection")</f>
        <v>Façade</v>
      </c>
      <c r="E594" s="23" t="str">
        <f ca="1">IF(NOT(ISERROR(SEARCH("- S -", Master[[#This Row],[Checklist]]))), "Subcontractor",IF(NOT(ISERROR(SEARCH("- R -", Master[[#This Row],[Checklist]]))), "Ryman",IF(NOT(ISERROR(SEARCH("- C -", Master[[#This Row],[Checklist]]))), "Consultant",IF(NOT(ISERROR(SEARCH("- I -", Master[[#This Row],[Checklist]]))),  "Inspection Test Plan", "Naming Error"))))</f>
        <v>Ryman</v>
      </c>
      <c r="F594" s="24" t="str">
        <f ca="1">IF(OR(Master[[#This Row],[Type]]="checklist", Master[[#This Row],[Type]]="checklist-flat"), Master[[#This Row],[Name]], F593)</f>
        <v>FC - R - Louvres Installation</v>
      </c>
      <c r="G594" s="3" t="s">
        <v>49</v>
      </c>
      <c r="H594" s="24" t="s">
        <v>1264</v>
      </c>
      <c r="I594" s="3"/>
      <c r="J594" s="21">
        <f ca="1">_xlfn.XLOOKUP(Master[[#This Row],[Checklist]],Ref!A:A,Ref!B:B)*1000</f>
        <v>68000</v>
      </c>
      <c r="K594" s="21">
        <f ca="1">COUNTIF($J$2:Master[[#This Row],[ChecklistID]],Master[[#This Row],[ChecklistID]])-1</f>
        <v>2</v>
      </c>
      <c r="L594" s="23" t="s">
        <v>6</v>
      </c>
    </row>
    <row r="595" spans="1:12" ht="15.75">
      <c r="A595" s="23">
        <f t="shared" si="9"/>
        <v>594</v>
      </c>
      <c r="B595" s="21">
        <f ca="1">Master[[#This Row],[ChecklistID]]+Master[[#This Row],[Checklist Order]]</f>
        <v>68003</v>
      </c>
      <c r="C595" s="22"/>
      <c r="D595" s="3" t="str" cm="1">
        <f t="array" aca="1" ref="D595" ca="1">_xlfn.SWITCH(MID(Master[[#This Row],[Checklist]],1,4),"C - ","Civil","F - ","Foundation","ST -","Structure","FC -","Façade","PRE ","Pre-Line","POST","Post-Line","H - ","Handover","S - ","Services","CST ","Completion Docs", "I - ", "Inspection")</f>
        <v>Façade</v>
      </c>
      <c r="E595" s="23" t="str">
        <f ca="1">IF(NOT(ISERROR(SEARCH("- S -", Master[[#This Row],[Checklist]]))), "Subcontractor",IF(NOT(ISERROR(SEARCH("- R -", Master[[#This Row],[Checklist]]))), "Ryman",IF(NOT(ISERROR(SEARCH("- C -", Master[[#This Row],[Checklist]]))), "Consultant",IF(NOT(ISERROR(SEARCH("- I -", Master[[#This Row],[Checklist]]))),  "Inspection Test Plan", "Naming Error"))))</f>
        <v>Ryman</v>
      </c>
      <c r="F595" s="24" t="str">
        <f ca="1">IF(OR(Master[[#This Row],[Type]]="checklist", Master[[#This Row],[Type]]="checklist-flat"), Master[[#This Row],[Name]], F594)</f>
        <v>FC - R - Louvres Installation</v>
      </c>
      <c r="G595" s="3" t="s">
        <v>58</v>
      </c>
      <c r="H595" s="24" t="s">
        <v>306</v>
      </c>
      <c r="I595" s="3"/>
      <c r="J595" s="21">
        <f ca="1">_xlfn.XLOOKUP(Master[[#This Row],[Checklist]],Ref!A:A,Ref!B:B)*1000</f>
        <v>68000</v>
      </c>
      <c r="K595" s="21">
        <f ca="1">COUNTIF($J$2:Master[[#This Row],[ChecklistID]],Master[[#This Row],[ChecklistID]])-1</f>
        <v>3</v>
      </c>
      <c r="L595" s="23" t="s">
        <v>6</v>
      </c>
    </row>
    <row r="596" spans="1:12" ht="15.75">
      <c r="A596" s="23">
        <f t="shared" si="9"/>
        <v>595</v>
      </c>
      <c r="B596" s="21">
        <f ca="1">Master[[#This Row],[ChecklistID]]+Master[[#This Row],[Checklist Order]]</f>
        <v>68004</v>
      </c>
      <c r="C596" s="22"/>
      <c r="D596" s="3" t="str" cm="1">
        <f t="array" aca="1" ref="D596" ca="1">_xlfn.SWITCH(MID(Master[[#This Row],[Checklist]],1,4),"C - ","Civil","F - ","Foundation","ST -","Structure","FC -","Façade","PRE ","Pre-Line","POST","Post-Line","H - ","Handover","S - ","Services","CST ","Completion Docs", "I - ", "Inspection")</f>
        <v>Façade</v>
      </c>
      <c r="E596" s="23" t="str">
        <f ca="1">IF(NOT(ISERROR(SEARCH("- S -", Master[[#This Row],[Checklist]]))), "Subcontractor",IF(NOT(ISERROR(SEARCH("- R -", Master[[#This Row],[Checklist]]))), "Ryman",IF(NOT(ISERROR(SEARCH("- C -", Master[[#This Row],[Checklist]]))), "Consultant",IF(NOT(ISERROR(SEARCH("- I -", Master[[#This Row],[Checklist]]))),  "Inspection Test Plan", "Naming Error"))))</f>
        <v>Ryman</v>
      </c>
      <c r="F596" s="24" t="str">
        <f ca="1">IF(OR(Master[[#This Row],[Type]]="checklist", Master[[#This Row],[Type]]="checklist-flat"), Master[[#This Row],[Name]], F595)</f>
        <v>FC - R - Louvres Installation</v>
      </c>
      <c r="G596" s="3" t="s">
        <v>49</v>
      </c>
      <c r="H596" s="24" t="s">
        <v>1627</v>
      </c>
      <c r="I596" s="3"/>
      <c r="J596" s="21">
        <f ca="1">_xlfn.XLOOKUP(Master[[#This Row],[Checklist]],Ref!A:A,Ref!B:B)*1000</f>
        <v>68000</v>
      </c>
      <c r="K596" s="21">
        <f ca="1">COUNTIF($J$2:Master[[#This Row],[ChecklistID]],Master[[#This Row],[ChecklistID]])-1</f>
        <v>4</v>
      </c>
      <c r="L596" s="23" t="s">
        <v>6</v>
      </c>
    </row>
    <row r="597" spans="1:12" ht="15.75">
      <c r="A597" s="23">
        <f t="shared" si="9"/>
        <v>596</v>
      </c>
      <c r="B597" s="21">
        <f ca="1">Master[[#This Row],[ChecklistID]]+Master[[#This Row],[Checklist Order]]</f>
        <v>69000</v>
      </c>
      <c r="C597" s="22"/>
      <c r="D597" s="3" t="str" cm="1">
        <f t="array" aca="1" ref="D597" ca="1">_xlfn.SWITCH(MID(Master[[#This Row],[Checklist]],1,4),"C - ","Civil","F - ","Foundation","ST -","Structure","FC -","Façade","PRE ","Pre-Line","POST","Post-Line","H - ","Handover","S - ","Services","CST ","Completion Docs", "I - ", "Inspection")</f>
        <v>Façade</v>
      </c>
      <c r="E597" s="23" t="str">
        <f ca="1">IF(NOT(ISERROR(SEARCH("- S -", Master[[#This Row],[Checklist]]))), "Subcontractor",IF(NOT(ISERROR(SEARCH("- R -", Master[[#This Row],[Checklist]]))), "Ryman",IF(NOT(ISERROR(SEARCH("- C -", Master[[#This Row],[Checklist]]))), "Consultant",IF(NOT(ISERROR(SEARCH("- I -", Master[[#This Row],[Checklist]]))),  "Inspection Test Plan", "Naming Error"))))</f>
        <v>Ryman</v>
      </c>
      <c r="F597" s="24" t="str">
        <f ca="1">IF(OR(Master[[#This Row],[Type]]="checklist", Master[[#This Row],[Type]]="checklist-flat"), Master[[#This Row],[Name]], F596)</f>
        <v>FC - R - Symonite Alucobond Cladding System</v>
      </c>
      <c r="G597" s="3" t="s">
        <v>48</v>
      </c>
      <c r="H597" s="24" t="s">
        <v>1628</v>
      </c>
      <c r="I597" s="3"/>
      <c r="J597" s="21">
        <f ca="1">_xlfn.XLOOKUP(Master[[#This Row],[Checklist]],Ref!A:A,Ref!B:B)*1000</f>
        <v>69000</v>
      </c>
      <c r="K597" s="21">
        <f ca="1">COUNTIF($J$2:Master[[#This Row],[ChecklistID]],Master[[#This Row],[ChecklistID]])-1</f>
        <v>0</v>
      </c>
      <c r="L597" s="23" t="s">
        <v>6</v>
      </c>
    </row>
    <row r="598" spans="1:12" ht="15.75">
      <c r="A598" s="23">
        <f t="shared" si="9"/>
        <v>597</v>
      </c>
      <c r="B598" s="21">
        <f ca="1">Master[[#This Row],[ChecklistID]]+Master[[#This Row],[Checklist Order]]</f>
        <v>69001</v>
      </c>
      <c r="C598" s="22"/>
      <c r="D598" s="3" t="str" cm="1">
        <f t="array" aca="1" ref="D598" ca="1">_xlfn.SWITCH(MID(Master[[#This Row],[Checklist]],1,4),"C - ","Civil","F - ","Foundation","ST -","Structure","FC -","Façade","PRE ","Pre-Line","POST","Post-Line","H - ","Handover","S - ","Services","CST ","Completion Docs", "I - ", "Inspection")</f>
        <v>Façade</v>
      </c>
      <c r="E598" s="23" t="str">
        <f ca="1">IF(NOT(ISERROR(SEARCH("- S -", Master[[#This Row],[Checklist]]))), "Subcontractor",IF(NOT(ISERROR(SEARCH("- R -", Master[[#This Row],[Checklist]]))), "Ryman",IF(NOT(ISERROR(SEARCH("- C -", Master[[#This Row],[Checklist]]))), "Consultant",IF(NOT(ISERROR(SEARCH("- I -", Master[[#This Row],[Checklist]]))),  "Inspection Test Plan", "Naming Error"))))</f>
        <v>Ryman</v>
      </c>
      <c r="F598" s="24" t="str">
        <f ca="1">IF(OR(Master[[#This Row],[Type]]="checklist", Master[[#This Row],[Type]]="checklist-flat"), Master[[#This Row],[Name]], F597)</f>
        <v>FC - R - Symonite Alucobond Cladding System</v>
      </c>
      <c r="G598" s="3" t="s">
        <v>49</v>
      </c>
      <c r="H598" s="24" t="s">
        <v>1263</v>
      </c>
      <c r="I598" s="3"/>
      <c r="J598" s="21">
        <f ca="1">_xlfn.XLOOKUP(Master[[#This Row],[Checklist]],Ref!A:A,Ref!B:B)*1000</f>
        <v>69000</v>
      </c>
      <c r="K598" s="21">
        <f ca="1">COUNTIF($J$2:Master[[#This Row],[ChecklistID]],Master[[#This Row],[ChecklistID]])-1</f>
        <v>1</v>
      </c>
      <c r="L598" s="23" t="s">
        <v>6</v>
      </c>
    </row>
    <row r="599" spans="1:12" ht="15.75">
      <c r="A599" s="23">
        <f t="shared" si="9"/>
        <v>598</v>
      </c>
      <c r="B599" s="21">
        <f ca="1">Master[[#This Row],[ChecklistID]]+Master[[#This Row],[Checklist Order]]</f>
        <v>69002</v>
      </c>
      <c r="C599" s="22"/>
      <c r="D599" s="3" t="str" cm="1">
        <f t="array" aca="1" ref="D599" ca="1">_xlfn.SWITCH(MID(Master[[#This Row],[Checklist]],1,4),"C - ","Civil","F - ","Foundation","ST -","Structure","FC -","Façade","PRE ","Pre-Line","POST","Post-Line","H - ","Handover","S - ","Services","CST ","Completion Docs", "I - ", "Inspection")</f>
        <v>Façade</v>
      </c>
      <c r="E599" s="23" t="str">
        <f ca="1">IF(NOT(ISERROR(SEARCH("- S -", Master[[#This Row],[Checklist]]))), "Subcontractor",IF(NOT(ISERROR(SEARCH("- R -", Master[[#This Row],[Checklist]]))), "Ryman",IF(NOT(ISERROR(SEARCH("- C -", Master[[#This Row],[Checklist]]))), "Consultant",IF(NOT(ISERROR(SEARCH("- I -", Master[[#This Row],[Checklist]]))),  "Inspection Test Plan", "Naming Error"))))</f>
        <v>Ryman</v>
      </c>
      <c r="F599" s="24" t="str">
        <f ca="1">IF(OR(Master[[#This Row],[Type]]="checklist", Master[[#This Row],[Type]]="checklist-flat"), Master[[#This Row],[Name]], F598)</f>
        <v>FC - R - Symonite Alucobond Cladding System</v>
      </c>
      <c r="G599" s="3" t="s">
        <v>49</v>
      </c>
      <c r="H599" s="24" t="s">
        <v>1264</v>
      </c>
      <c r="I599" s="3"/>
      <c r="J599" s="21">
        <f ca="1">_xlfn.XLOOKUP(Master[[#This Row],[Checklist]],Ref!A:A,Ref!B:B)*1000</f>
        <v>69000</v>
      </c>
      <c r="K599" s="21">
        <f ca="1">COUNTIF($J$2:Master[[#This Row],[ChecklistID]],Master[[#This Row],[ChecklistID]])-1</f>
        <v>2</v>
      </c>
      <c r="L599" s="23" t="s">
        <v>6</v>
      </c>
    </row>
    <row r="600" spans="1:12" ht="15.75">
      <c r="A600" s="23">
        <f t="shared" si="9"/>
        <v>599</v>
      </c>
      <c r="B600" s="21">
        <f ca="1">Master[[#This Row],[ChecklistID]]+Master[[#This Row],[Checklist Order]]</f>
        <v>69003</v>
      </c>
      <c r="C600" s="22"/>
      <c r="D600" s="3" t="str" cm="1">
        <f t="array" aca="1" ref="D600" ca="1">_xlfn.SWITCH(MID(Master[[#This Row],[Checklist]],1,4),"C - ","Civil","F - ","Foundation","ST -","Structure","FC -","Façade","PRE ","Pre-Line","POST","Post-Line","H - ","Handover","S - ","Services","CST ","Completion Docs", "I - ", "Inspection")</f>
        <v>Façade</v>
      </c>
      <c r="E600" s="23" t="str">
        <f ca="1">IF(NOT(ISERROR(SEARCH("- S -", Master[[#This Row],[Checklist]]))), "Subcontractor",IF(NOT(ISERROR(SEARCH("- R -", Master[[#This Row],[Checklist]]))), "Ryman",IF(NOT(ISERROR(SEARCH("- C -", Master[[#This Row],[Checklist]]))), "Consultant",IF(NOT(ISERROR(SEARCH("- I -", Master[[#This Row],[Checklist]]))),  "Inspection Test Plan", "Naming Error"))))</f>
        <v>Ryman</v>
      </c>
      <c r="F600" s="24" t="str">
        <f ca="1">IF(OR(Master[[#This Row],[Type]]="checklist", Master[[#This Row],[Type]]="checklist-flat"), Master[[#This Row],[Name]], F599)</f>
        <v>FC - R - Symonite Alucobond Cladding System</v>
      </c>
      <c r="G600" s="3" t="s">
        <v>58</v>
      </c>
      <c r="H600" s="24" t="s">
        <v>306</v>
      </c>
      <c r="I600" s="3"/>
      <c r="J600" s="21">
        <f ca="1">_xlfn.XLOOKUP(Master[[#This Row],[Checklist]],Ref!A:A,Ref!B:B)*1000</f>
        <v>69000</v>
      </c>
      <c r="K600" s="21">
        <f ca="1">COUNTIF($J$2:Master[[#This Row],[ChecklistID]],Master[[#This Row],[ChecklistID]])-1</f>
        <v>3</v>
      </c>
      <c r="L600" s="23" t="s">
        <v>6</v>
      </c>
    </row>
    <row r="601" spans="1:12" ht="15.75">
      <c r="A601" s="23">
        <f t="shared" si="9"/>
        <v>600</v>
      </c>
      <c r="B601" s="21">
        <f ca="1">Master[[#This Row],[ChecklistID]]+Master[[#This Row],[Checklist Order]]</f>
        <v>69004</v>
      </c>
      <c r="C601" s="22"/>
      <c r="D601" s="3" t="str" cm="1">
        <f t="array" aca="1" ref="D601" ca="1">_xlfn.SWITCH(MID(Master[[#This Row],[Checklist]],1,4),"C - ","Civil","F - ","Foundation","ST -","Structure","FC -","Façade","PRE ","Pre-Line","POST","Post-Line","H - ","Handover","S - ","Services","CST ","Completion Docs", "I - ", "Inspection")</f>
        <v>Façade</v>
      </c>
      <c r="E601" s="23" t="str">
        <f ca="1">IF(NOT(ISERROR(SEARCH("- S -", Master[[#This Row],[Checklist]]))), "Subcontractor",IF(NOT(ISERROR(SEARCH("- R -", Master[[#This Row],[Checklist]]))), "Ryman",IF(NOT(ISERROR(SEARCH("- C -", Master[[#This Row],[Checklist]]))), "Consultant",IF(NOT(ISERROR(SEARCH("- I -", Master[[#This Row],[Checklist]]))),  "Inspection Test Plan", "Naming Error"))))</f>
        <v>Ryman</v>
      </c>
      <c r="F601" s="24" t="str">
        <f ca="1">IF(OR(Master[[#This Row],[Type]]="checklist", Master[[#This Row],[Type]]="checklist-flat"), Master[[#This Row],[Name]], F600)</f>
        <v>FC - R - Symonite Alucobond Cladding System</v>
      </c>
      <c r="G601" s="3" t="s">
        <v>49</v>
      </c>
      <c r="H601" s="24" t="s">
        <v>1360</v>
      </c>
      <c r="I601" s="3"/>
      <c r="J601" s="21">
        <f ca="1">_xlfn.XLOOKUP(Master[[#This Row],[Checklist]],Ref!A:A,Ref!B:B)*1000</f>
        <v>69000</v>
      </c>
      <c r="K601" s="21">
        <f ca="1">COUNTIF($J$2:Master[[#This Row],[ChecklistID]],Master[[#This Row],[ChecklistID]])-1</f>
        <v>4</v>
      </c>
      <c r="L601" s="23" t="s">
        <v>6</v>
      </c>
    </row>
    <row r="602" spans="1:12" ht="15.75">
      <c r="A602" s="23">
        <f t="shared" si="9"/>
        <v>601</v>
      </c>
      <c r="B602" s="21">
        <f ca="1">Master[[#This Row],[ChecklistID]]+Master[[#This Row],[Checklist Order]]</f>
        <v>70000</v>
      </c>
      <c r="C602" s="22"/>
      <c r="D602" s="3" t="str" cm="1">
        <f t="array" aca="1" ref="D602" ca="1">_xlfn.SWITCH(MID(Master[[#This Row],[Checklist]],1,4),"C - ","Civil","F - ","Foundation","ST -","Structure","FC -","Façade","PRE ","Pre-Line","POST","Post-Line","H - ","Handover","S - ","Services","CST ","Completion Docs", "I - ", "Inspection")</f>
        <v>Façade</v>
      </c>
      <c r="E602" s="23" t="str">
        <f ca="1">IF(NOT(ISERROR(SEARCH("- S -", Master[[#This Row],[Checklist]]))), "Subcontractor",IF(NOT(ISERROR(SEARCH("- R -", Master[[#This Row],[Checklist]]))), "Ryman",IF(NOT(ISERROR(SEARCH("- C -", Master[[#This Row],[Checklist]]))), "Consultant",IF(NOT(ISERROR(SEARCH("- I -", Master[[#This Row],[Checklist]]))),  "Inspection Test Plan", "Naming Error"))))</f>
        <v>Ryman</v>
      </c>
      <c r="F602" s="24" t="str">
        <f ca="1">IF(OR(Master[[#This Row],[Type]]="checklist", Master[[#This Row],[Type]]="checklist-flat"), Master[[#This Row],[Name]], F601)</f>
        <v>FC - R - Air conditioning</v>
      </c>
      <c r="G602" s="3" t="s">
        <v>48</v>
      </c>
      <c r="H602" s="24" t="s">
        <v>1629</v>
      </c>
      <c r="I602" s="3"/>
      <c r="J602" s="21">
        <f ca="1">_xlfn.XLOOKUP(Master[[#This Row],[Checklist]],Ref!A:A,Ref!B:B)*1000</f>
        <v>70000</v>
      </c>
      <c r="K602" s="21">
        <f ca="1">COUNTIF($J$2:Master[[#This Row],[ChecklistID]],Master[[#This Row],[ChecklistID]])-1</f>
        <v>0</v>
      </c>
      <c r="L602" s="23" t="s">
        <v>6</v>
      </c>
    </row>
    <row r="603" spans="1:12" ht="15.75">
      <c r="A603" s="23">
        <f t="shared" si="9"/>
        <v>602</v>
      </c>
      <c r="B603" s="21">
        <f ca="1">Master[[#This Row],[ChecklistID]]+Master[[#This Row],[Checklist Order]]</f>
        <v>70001</v>
      </c>
      <c r="C603" s="22"/>
      <c r="D603" s="3" t="str" cm="1">
        <f t="array" aca="1" ref="D603" ca="1">_xlfn.SWITCH(MID(Master[[#This Row],[Checklist]],1,4),"C - ","Civil","F - ","Foundation","ST -","Structure","FC -","Façade","PRE ","Pre-Line","POST","Post-Line","H - ","Handover","S - ","Services","CST ","Completion Docs", "I - ", "Inspection")</f>
        <v>Façade</v>
      </c>
      <c r="E603" s="23" t="str">
        <f ca="1">IF(NOT(ISERROR(SEARCH("- S -", Master[[#This Row],[Checklist]]))), "Subcontractor",IF(NOT(ISERROR(SEARCH("- R -", Master[[#This Row],[Checklist]]))), "Ryman",IF(NOT(ISERROR(SEARCH("- C -", Master[[#This Row],[Checklist]]))), "Consultant",IF(NOT(ISERROR(SEARCH("- I -", Master[[#This Row],[Checklist]]))),  "Inspection Test Plan", "Naming Error"))))</f>
        <v>Ryman</v>
      </c>
      <c r="F603" s="24" t="str">
        <f ca="1">IF(OR(Master[[#This Row],[Type]]="checklist", Master[[#This Row],[Type]]="checklist-flat"), Master[[#This Row],[Name]], F602)</f>
        <v>FC - R - Air conditioning</v>
      </c>
      <c r="G603" s="3" t="s">
        <v>49</v>
      </c>
      <c r="H603" s="24" t="s">
        <v>1263</v>
      </c>
      <c r="I603" s="3"/>
      <c r="J603" s="21">
        <f ca="1">_xlfn.XLOOKUP(Master[[#This Row],[Checklist]],Ref!A:A,Ref!B:B)*1000</f>
        <v>70000</v>
      </c>
      <c r="K603" s="21">
        <f ca="1">COUNTIF($J$2:Master[[#This Row],[ChecklistID]],Master[[#This Row],[ChecklistID]])-1</f>
        <v>1</v>
      </c>
      <c r="L603" s="23" t="s">
        <v>6</v>
      </c>
    </row>
    <row r="604" spans="1:12" ht="15.75">
      <c r="A604" s="23">
        <f t="shared" si="9"/>
        <v>603</v>
      </c>
      <c r="B604" s="21">
        <f ca="1">Master[[#This Row],[ChecklistID]]+Master[[#This Row],[Checklist Order]]</f>
        <v>70002</v>
      </c>
      <c r="C604" s="22"/>
      <c r="D604" s="3" t="str" cm="1">
        <f t="array" aca="1" ref="D604" ca="1">_xlfn.SWITCH(MID(Master[[#This Row],[Checklist]],1,4),"C - ","Civil","F - ","Foundation","ST -","Structure","FC -","Façade","PRE ","Pre-Line","POST","Post-Line","H - ","Handover","S - ","Services","CST ","Completion Docs", "I - ", "Inspection")</f>
        <v>Façade</v>
      </c>
      <c r="E604" s="23" t="str">
        <f ca="1">IF(NOT(ISERROR(SEARCH("- S -", Master[[#This Row],[Checklist]]))), "Subcontractor",IF(NOT(ISERROR(SEARCH("- R -", Master[[#This Row],[Checklist]]))), "Ryman",IF(NOT(ISERROR(SEARCH("- C -", Master[[#This Row],[Checklist]]))), "Consultant",IF(NOT(ISERROR(SEARCH("- I -", Master[[#This Row],[Checklist]]))),  "Inspection Test Plan", "Naming Error"))))</f>
        <v>Ryman</v>
      </c>
      <c r="F604" s="24" t="str">
        <f ca="1">IF(OR(Master[[#This Row],[Type]]="checklist", Master[[#This Row],[Type]]="checklist-flat"), Master[[#This Row],[Name]], F603)</f>
        <v>FC - R - Air conditioning</v>
      </c>
      <c r="G604" s="3" t="s">
        <v>49</v>
      </c>
      <c r="H604" s="24" t="s">
        <v>1264</v>
      </c>
      <c r="I604" s="3"/>
      <c r="J604" s="21">
        <f ca="1">_xlfn.XLOOKUP(Master[[#This Row],[Checklist]],Ref!A:A,Ref!B:B)*1000</f>
        <v>70000</v>
      </c>
      <c r="K604" s="21">
        <f ca="1">COUNTIF($J$2:Master[[#This Row],[ChecklistID]],Master[[#This Row],[ChecklistID]])-1</f>
        <v>2</v>
      </c>
      <c r="L604" s="23" t="s">
        <v>6</v>
      </c>
    </row>
    <row r="605" spans="1:12" ht="15.75">
      <c r="A605" s="23">
        <f t="shared" si="9"/>
        <v>604</v>
      </c>
      <c r="B605" s="21">
        <f ca="1">Master[[#This Row],[ChecklistID]]+Master[[#This Row],[Checklist Order]]</f>
        <v>70003</v>
      </c>
      <c r="C605" s="22"/>
      <c r="D605" s="3" t="str" cm="1">
        <f t="array" aca="1" ref="D605" ca="1">_xlfn.SWITCH(MID(Master[[#This Row],[Checklist]],1,4),"C - ","Civil","F - ","Foundation","ST -","Structure","FC -","Façade","PRE ","Pre-Line","POST","Post-Line","H - ","Handover","S - ","Services","CST ","Completion Docs", "I - ", "Inspection")</f>
        <v>Façade</v>
      </c>
      <c r="E605" s="23" t="str">
        <f ca="1">IF(NOT(ISERROR(SEARCH("- S -", Master[[#This Row],[Checklist]]))), "Subcontractor",IF(NOT(ISERROR(SEARCH("- R -", Master[[#This Row],[Checklist]]))), "Ryman",IF(NOT(ISERROR(SEARCH("- C -", Master[[#This Row],[Checklist]]))), "Consultant",IF(NOT(ISERROR(SEARCH("- I -", Master[[#This Row],[Checklist]]))),  "Inspection Test Plan", "Naming Error"))))</f>
        <v>Ryman</v>
      </c>
      <c r="F605" s="24" t="str">
        <f ca="1">IF(OR(Master[[#This Row],[Type]]="checklist", Master[[#This Row],[Type]]="checklist-flat"), Master[[#This Row],[Name]], F604)</f>
        <v>FC - R - Air conditioning</v>
      </c>
      <c r="G605" s="3" t="s">
        <v>58</v>
      </c>
      <c r="H605" s="24" t="s">
        <v>306</v>
      </c>
      <c r="I605" s="3"/>
      <c r="J605" s="21">
        <f ca="1">_xlfn.XLOOKUP(Master[[#This Row],[Checklist]],Ref!A:A,Ref!B:B)*1000</f>
        <v>70000</v>
      </c>
      <c r="K605" s="21">
        <f ca="1">COUNTIF($J$2:Master[[#This Row],[ChecklistID]],Master[[#This Row],[ChecklistID]])-1</f>
        <v>3</v>
      </c>
      <c r="L605" s="23" t="s">
        <v>6</v>
      </c>
    </row>
    <row r="606" spans="1:12" ht="15.75">
      <c r="A606" s="23">
        <f t="shared" si="9"/>
        <v>605</v>
      </c>
      <c r="B606" s="21">
        <f ca="1">Master[[#This Row],[ChecklistID]]+Master[[#This Row],[Checklist Order]]</f>
        <v>70004</v>
      </c>
      <c r="C606" s="22"/>
      <c r="D606" s="3" t="str" cm="1">
        <f t="array" aca="1" ref="D606" ca="1">_xlfn.SWITCH(MID(Master[[#This Row],[Checklist]],1,4),"C - ","Civil","F - ","Foundation","ST -","Structure","FC -","Façade","PRE ","Pre-Line","POST","Post-Line","H - ","Handover","S - ","Services","CST ","Completion Docs", "I - ", "Inspection")</f>
        <v>Façade</v>
      </c>
      <c r="E606" s="23" t="str">
        <f ca="1">IF(NOT(ISERROR(SEARCH("- S -", Master[[#This Row],[Checklist]]))), "Subcontractor",IF(NOT(ISERROR(SEARCH("- R -", Master[[#This Row],[Checklist]]))), "Ryman",IF(NOT(ISERROR(SEARCH("- C -", Master[[#This Row],[Checklist]]))), "Consultant",IF(NOT(ISERROR(SEARCH("- I -", Master[[#This Row],[Checklist]]))),  "Inspection Test Plan", "Naming Error"))))</f>
        <v>Ryman</v>
      </c>
      <c r="F606" s="24" t="str">
        <f ca="1">IF(OR(Master[[#This Row],[Type]]="checklist", Master[[#This Row],[Type]]="checklist-flat"), Master[[#This Row],[Name]], F605)</f>
        <v>FC - R - Air conditioning</v>
      </c>
      <c r="G606" s="3" t="s">
        <v>49</v>
      </c>
      <c r="H606" s="24" t="s">
        <v>1630</v>
      </c>
      <c r="I606" s="3"/>
      <c r="J606" s="21">
        <f ca="1">_xlfn.XLOOKUP(Master[[#This Row],[Checklist]],Ref!A:A,Ref!B:B)*1000</f>
        <v>70000</v>
      </c>
      <c r="K606" s="21">
        <f ca="1">COUNTIF($J$2:Master[[#This Row],[ChecklistID]],Master[[#This Row],[ChecklistID]])-1</f>
        <v>4</v>
      </c>
      <c r="L606" s="23" t="s">
        <v>6</v>
      </c>
    </row>
    <row r="607" spans="1:12" ht="15.75">
      <c r="A607" s="23">
        <f t="shared" si="9"/>
        <v>606</v>
      </c>
      <c r="B607" s="21">
        <f ca="1">Master[[#This Row],[ChecklistID]]+Master[[#This Row],[Checklist Order]]</f>
        <v>71000</v>
      </c>
      <c r="C607" s="22"/>
      <c r="D607" s="3" t="str" cm="1">
        <f t="array" aca="1" ref="D607" ca="1">_xlfn.SWITCH(MID(Master[[#This Row],[Checklist]],1,4),"C - ","Civil","F - ","Foundation","ST -","Structure","FC -","Façade","PRE ","Pre-Line","POST","Post-Line","H - ","Handover","S - ","Services","CST ","Completion Docs", "I - ", "Inspection")</f>
        <v>Façade</v>
      </c>
      <c r="E607" s="23" t="str">
        <f ca="1">IF(NOT(ISERROR(SEARCH("- S -", Master[[#This Row],[Checklist]]))), "Subcontractor",IF(NOT(ISERROR(SEARCH("- R -", Master[[#This Row],[Checklist]]))), "Ryman",IF(NOT(ISERROR(SEARCH("- C -", Master[[#This Row],[Checklist]]))), "Consultant",IF(NOT(ISERROR(SEARCH("- I -", Master[[#This Row],[Checklist]]))),  "Inspection Test Plan", "Naming Error"))))</f>
        <v>Ryman</v>
      </c>
      <c r="F607" s="24" t="str">
        <f ca="1">IF(OR(Master[[#This Row],[Type]]="checklist", Master[[#This Row],[Type]]="checklist-flat"), Master[[#This Row],[Name]], F606)</f>
        <v>FC - R - Passive fire</v>
      </c>
      <c r="G607" s="3" t="s">
        <v>48</v>
      </c>
      <c r="H607" s="24" t="s">
        <v>1631</v>
      </c>
      <c r="I607" s="3"/>
      <c r="J607" s="21">
        <f ca="1">_xlfn.XLOOKUP(Master[[#This Row],[Checklist]],Ref!A:A,Ref!B:B)*1000</f>
        <v>71000</v>
      </c>
      <c r="K607" s="21">
        <f ca="1">COUNTIF($J$2:Master[[#This Row],[ChecklistID]],Master[[#This Row],[ChecklistID]])-1</f>
        <v>0</v>
      </c>
      <c r="L607" s="23" t="s">
        <v>6</v>
      </c>
    </row>
    <row r="608" spans="1:12" ht="15.75">
      <c r="A608" s="23">
        <f t="shared" si="9"/>
        <v>607</v>
      </c>
      <c r="B608" s="21">
        <f ca="1">Master[[#This Row],[ChecklistID]]+Master[[#This Row],[Checklist Order]]</f>
        <v>71001</v>
      </c>
      <c r="C608" s="22"/>
      <c r="D608" s="3" t="str" cm="1">
        <f t="array" aca="1" ref="D608" ca="1">_xlfn.SWITCH(MID(Master[[#This Row],[Checklist]],1,4),"C - ","Civil","F - ","Foundation","ST -","Structure","FC -","Façade","PRE ","Pre-Line","POST","Post-Line","H - ","Handover","S - ","Services","CST ","Completion Docs", "I - ", "Inspection")</f>
        <v>Façade</v>
      </c>
      <c r="E608" s="23" t="str">
        <f ca="1">IF(NOT(ISERROR(SEARCH("- S -", Master[[#This Row],[Checklist]]))), "Subcontractor",IF(NOT(ISERROR(SEARCH("- R -", Master[[#This Row],[Checklist]]))), "Ryman",IF(NOT(ISERROR(SEARCH("- C -", Master[[#This Row],[Checklist]]))), "Consultant",IF(NOT(ISERROR(SEARCH("- I -", Master[[#This Row],[Checklist]]))),  "Inspection Test Plan", "Naming Error"))))</f>
        <v>Ryman</v>
      </c>
      <c r="F608" s="24" t="str">
        <f ca="1">IF(OR(Master[[#This Row],[Type]]="checklist", Master[[#This Row],[Type]]="checklist-flat"), Master[[#This Row],[Name]], F607)</f>
        <v>FC - R - Passive fire</v>
      </c>
      <c r="G608" s="3" t="s">
        <v>49</v>
      </c>
      <c r="H608" s="24" t="s">
        <v>1263</v>
      </c>
      <c r="I608" s="3"/>
      <c r="J608" s="21">
        <f ca="1">_xlfn.XLOOKUP(Master[[#This Row],[Checklist]],Ref!A:A,Ref!B:B)*1000</f>
        <v>71000</v>
      </c>
      <c r="K608" s="21">
        <f ca="1">COUNTIF($J$2:Master[[#This Row],[ChecklistID]],Master[[#This Row],[ChecklistID]])-1</f>
        <v>1</v>
      </c>
      <c r="L608" s="23" t="s">
        <v>6</v>
      </c>
    </row>
    <row r="609" spans="1:12" ht="15.75">
      <c r="A609" s="23">
        <f t="shared" si="9"/>
        <v>608</v>
      </c>
      <c r="B609" s="21">
        <f ca="1">Master[[#This Row],[ChecklistID]]+Master[[#This Row],[Checklist Order]]</f>
        <v>71002</v>
      </c>
      <c r="C609" s="22"/>
      <c r="D609" s="3" t="str" cm="1">
        <f t="array" aca="1" ref="D609" ca="1">_xlfn.SWITCH(MID(Master[[#This Row],[Checklist]],1,4),"C - ","Civil","F - ","Foundation","ST -","Structure","FC -","Façade","PRE ","Pre-Line","POST","Post-Line","H - ","Handover","S - ","Services","CST ","Completion Docs", "I - ", "Inspection")</f>
        <v>Façade</v>
      </c>
      <c r="E609" s="23" t="str">
        <f ca="1">IF(NOT(ISERROR(SEARCH("- S -", Master[[#This Row],[Checklist]]))), "Subcontractor",IF(NOT(ISERROR(SEARCH("- R -", Master[[#This Row],[Checklist]]))), "Ryman",IF(NOT(ISERROR(SEARCH("- C -", Master[[#This Row],[Checklist]]))), "Consultant",IF(NOT(ISERROR(SEARCH("- I -", Master[[#This Row],[Checklist]]))),  "Inspection Test Plan", "Naming Error"))))</f>
        <v>Ryman</v>
      </c>
      <c r="F609" s="24" t="str">
        <f ca="1">IF(OR(Master[[#This Row],[Type]]="checklist", Master[[#This Row],[Type]]="checklist-flat"), Master[[#This Row],[Name]], F608)</f>
        <v>FC - R - Passive fire</v>
      </c>
      <c r="G609" s="3" t="s">
        <v>49</v>
      </c>
      <c r="H609" s="24" t="s">
        <v>1264</v>
      </c>
      <c r="I609" s="3"/>
      <c r="J609" s="21">
        <f ca="1">_xlfn.XLOOKUP(Master[[#This Row],[Checklist]],Ref!A:A,Ref!B:B)*1000</f>
        <v>71000</v>
      </c>
      <c r="K609" s="21">
        <f ca="1">COUNTIF($J$2:Master[[#This Row],[ChecklistID]],Master[[#This Row],[ChecklistID]])-1</f>
        <v>2</v>
      </c>
      <c r="L609" s="23" t="s">
        <v>6</v>
      </c>
    </row>
    <row r="610" spans="1:12" ht="15.75">
      <c r="A610" s="23">
        <f t="shared" si="9"/>
        <v>609</v>
      </c>
      <c r="B610" s="21">
        <f ca="1">Master[[#This Row],[ChecklistID]]+Master[[#This Row],[Checklist Order]]</f>
        <v>71003</v>
      </c>
      <c r="C610" s="22"/>
      <c r="D610" s="3" t="str" cm="1">
        <f t="array" aca="1" ref="D610" ca="1">_xlfn.SWITCH(MID(Master[[#This Row],[Checklist]],1,4),"C - ","Civil","F - ","Foundation","ST -","Structure","FC -","Façade","PRE ","Pre-Line","POST","Post-Line","H - ","Handover","S - ","Services","CST ","Completion Docs", "I - ", "Inspection")</f>
        <v>Façade</v>
      </c>
      <c r="E610" s="23" t="str">
        <f ca="1">IF(NOT(ISERROR(SEARCH("- S -", Master[[#This Row],[Checklist]]))), "Subcontractor",IF(NOT(ISERROR(SEARCH("- R -", Master[[#This Row],[Checklist]]))), "Ryman",IF(NOT(ISERROR(SEARCH("- C -", Master[[#This Row],[Checklist]]))), "Consultant",IF(NOT(ISERROR(SEARCH("- I -", Master[[#This Row],[Checklist]]))),  "Inspection Test Plan", "Naming Error"))))</f>
        <v>Ryman</v>
      </c>
      <c r="F610" s="24" t="str">
        <f ca="1">IF(OR(Master[[#This Row],[Type]]="checklist", Master[[#This Row],[Type]]="checklist-flat"), Master[[#This Row],[Name]], F609)</f>
        <v>FC - R - Passive fire</v>
      </c>
      <c r="G610" s="3" t="s">
        <v>58</v>
      </c>
      <c r="H610" s="24" t="s">
        <v>306</v>
      </c>
      <c r="I610" s="3"/>
      <c r="J610" s="21">
        <f ca="1">_xlfn.XLOOKUP(Master[[#This Row],[Checklist]],Ref!A:A,Ref!B:B)*1000</f>
        <v>71000</v>
      </c>
      <c r="K610" s="21">
        <f ca="1">COUNTIF($J$2:Master[[#This Row],[ChecklistID]],Master[[#This Row],[ChecklistID]])-1</f>
        <v>3</v>
      </c>
      <c r="L610" s="23" t="s">
        <v>6</v>
      </c>
    </row>
    <row r="611" spans="1:12" ht="15.75">
      <c r="A611" s="23">
        <f t="shared" si="9"/>
        <v>610</v>
      </c>
      <c r="B611" s="21">
        <f ca="1">Master[[#This Row],[ChecklistID]]+Master[[#This Row],[Checklist Order]]</f>
        <v>71004</v>
      </c>
      <c r="C611" s="22"/>
      <c r="D611" s="3" t="str" cm="1">
        <f t="array" aca="1" ref="D611" ca="1">_xlfn.SWITCH(MID(Master[[#This Row],[Checklist]],1,4),"C - ","Civil","F - ","Foundation","ST -","Structure","FC -","Façade","PRE ","Pre-Line","POST","Post-Line","H - ","Handover","S - ","Services","CST ","Completion Docs", "I - ", "Inspection")</f>
        <v>Façade</v>
      </c>
      <c r="E611" s="23" t="str">
        <f ca="1">IF(NOT(ISERROR(SEARCH("- S -", Master[[#This Row],[Checklist]]))), "Subcontractor",IF(NOT(ISERROR(SEARCH("- R -", Master[[#This Row],[Checklist]]))), "Ryman",IF(NOT(ISERROR(SEARCH("- C -", Master[[#This Row],[Checklist]]))), "Consultant",IF(NOT(ISERROR(SEARCH("- I -", Master[[#This Row],[Checklist]]))),  "Inspection Test Plan", "Naming Error"))))</f>
        <v>Ryman</v>
      </c>
      <c r="F611" s="24" t="str">
        <f ca="1">IF(OR(Master[[#This Row],[Type]]="checklist", Master[[#This Row],[Type]]="checklist-flat"), Master[[#This Row],[Name]], F610)</f>
        <v>FC - R - Passive fire</v>
      </c>
      <c r="G611" s="3" t="s">
        <v>49</v>
      </c>
      <c r="H611" s="24" t="s">
        <v>1632</v>
      </c>
      <c r="I611" s="3"/>
      <c r="J611" s="21">
        <f ca="1">_xlfn.XLOOKUP(Master[[#This Row],[Checklist]],Ref!A:A,Ref!B:B)*1000</f>
        <v>71000</v>
      </c>
      <c r="K611" s="21">
        <f ca="1">COUNTIF($J$2:Master[[#This Row],[ChecklistID]],Master[[#This Row],[ChecklistID]])-1</f>
        <v>4</v>
      </c>
      <c r="L611" s="23" t="s">
        <v>6</v>
      </c>
    </row>
    <row r="612" spans="1:12" ht="15.75">
      <c r="A612" s="23">
        <f t="shared" si="9"/>
        <v>611</v>
      </c>
      <c r="B612" s="21">
        <f ca="1">Master[[#This Row],[ChecklistID]]+Master[[#This Row],[Checklist Order]]</f>
        <v>72000</v>
      </c>
      <c r="C612" s="22"/>
      <c r="D612" s="23" t="str" cm="1">
        <f t="array" aca="1" ref="D612" ca="1">_xlfn.SWITCH(MID(Master[[#This Row],[Checklist]],1,4),"C - ","Civil","F - ","Foundation","ST -","Structure","FC -","Façade","PRE ","Pre-Line","POST","Post-Line","H - ","Handover","S - ","Services","CST ","Completion Docs", "I - ", "Inspection")</f>
        <v>Façade</v>
      </c>
      <c r="E612" s="23" t="str">
        <f ca="1">IF(NOT(ISERROR(SEARCH("- S -", Master[[#This Row],[Checklist]]))), "Subcontractor",IF(NOT(ISERROR(SEARCH("- R -", Master[[#This Row],[Checklist]]))), "Ryman",IF(NOT(ISERROR(SEARCH("- C -", Master[[#This Row],[Checklist]]))), "Consultant",IF(NOT(ISERROR(SEARCH("- I -", Master[[#This Row],[Checklist]]))),  "Inspection Test Plan", "Naming Error"))))</f>
        <v>Ryman</v>
      </c>
      <c r="F612" s="24" t="str">
        <f ca="1">IF(OR(Master[[#This Row],[Type]]="checklist", Master[[#This Row],[Type]]="checklist-flat"), Master[[#This Row],[Name]], F611)</f>
        <v>FC - R - Eyebrow - Canopy</v>
      </c>
      <c r="G612" s="3" t="s">
        <v>48</v>
      </c>
      <c r="H612" s="24" t="s">
        <v>1633</v>
      </c>
      <c r="I612" s="3"/>
      <c r="J612" s="21">
        <f ca="1">_xlfn.XLOOKUP(Master[[#This Row],[Checklist]],Ref!A:A,Ref!B:B)*1000</f>
        <v>72000</v>
      </c>
      <c r="K612" s="21">
        <f ca="1">COUNTIF($J$2:Master[[#This Row],[ChecklistID]],Master[[#This Row],[ChecklistID]])-1</f>
        <v>0</v>
      </c>
      <c r="L612" s="23" t="s">
        <v>6</v>
      </c>
    </row>
    <row r="613" spans="1:12" ht="15" customHeight="1">
      <c r="A613" s="23">
        <f t="shared" si="9"/>
        <v>612</v>
      </c>
      <c r="B613" s="21">
        <f ca="1">Master[[#This Row],[ChecklistID]]+Master[[#This Row],[Checklist Order]]</f>
        <v>72001</v>
      </c>
      <c r="C613" s="22"/>
      <c r="D613" s="3" t="str" cm="1">
        <f t="array" aca="1" ref="D613" ca="1">_xlfn.SWITCH(MID(Master[[#This Row],[Checklist]],1,4),"C - ","Civil","F - ","Foundation","ST -","Structure","FC -","Façade","PRE ","Pre-Line","POST","Post-Line","H - ","Handover","S - ","Services","CST ","Completion Docs", "I - ", "Inspection")</f>
        <v>Façade</v>
      </c>
      <c r="E613" s="23" t="str">
        <f ca="1">IF(NOT(ISERROR(SEARCH("- S -", Master[[#This Row],[Checklist]]))), "Subcontractor",IF(NOT(ISERROR(SEARCH("- R -", Master[[#This Row],[Checklist]]))), "Ryman",IF(NOT(ISERROR(SEARCH("- C -", Master[[#This Row],[Checklist]]))), "Consultant",IF(NOT(ISERROR(SEARCH("- I -", Master[[#This Row],[Checklist]]))),  "Inspection Test Plan", "Naming Error"))))</f>
        <v>Ryman</v>
      </c>
      <c r="F613" s="24" t="str">
        <f ca="1">IF(OR(Master[[#This Row],[Type]]="checklist", Master[[#This Row],[Type]]="checklist-flat"), Master[[#This Row],[Name]], F612)</f>
        <v>FC - R - Eyebrow - Canopy</v>
      </c>
      <c r="G613" s="3" t="s">
        <v>49</v>
      </c>
      <c r="H613" s="24" t="s">
        <v>1263</v>
      </c>
      <c r="I613" s="3"/>
      <c r="J613" s="21">
        <f ca="1">_xlfn.XLOOKUP(Master[[#This Row],[Checklist]],Ref!A:A,Ref!B:B)*1000</f>
        <v>72000</v>
      </c>
      <c r="K613" s="21">
        <f ca="1">COUNTIF($J$2:Master[[#This Row],[ChecklistID]],Master[[#This Row],[ChecklistID]])-1</f>
        <v>1</v>
      </c>
      <c r="L613" s="23" t="s">
        <v>6</v>
      </c>
    </row>
    <row r="614" spans="1:12" ht="15.75">
      <c r="A614" s="23">
        <f t="shared" si="9"/>
        <v>613</v>
      </c>
      <c r="B614" s="21">
        <f ca="1">Master[[#This Row],[ChecklistID]]+Master[[#This Row],[Checklist Order]]</f>
        <v>72002</v>
      </c>
      <c r="C614" s="22"/>
      <c r="D614" s="3" t="str" cm="1">
        <f t="array" aca="1" ref="D614" ca="1">_xlfn.SWITCH(MID(Master[[#This Row],[Checklist]],1,4),"C - ","Civil","F - ","Foundation","ST -","Structure","FC -","Façade","PRE ","Pre-Line","POST","Post-Line","H - ","Handover","S - ","Services","CST ","Completion Docs", "I - ", "Inspection")</f>
        <v>Façade</v>
      </c>
      <c r="E614" s="23" t="str">
        <f ca="1">IF(NOT(ISERROR(SEARCH("- S -", Master[[#This Row],[Checklist]]))), "Subcontractor",IF(NOT(ISERROR(SEARCH("- R -", Master[[#This Row],[Checklist]]))), "Ryman",IF(NOT(ISERROR(SEARCH("- C -", Master[[#This Row],[Checklist]]))), "Consultant",IF(NOT(ISERROR(SEARCH("- I -", Master[[#This Row],[Checklist]]))),  "Inspection Test Plan", "Naming Error"))))</f>
        <v>Ryman</v>
      </c>
      <c r="F614" s="24" t="str">
        <f ca="1">IF(OR(Master[[#This Row],[Type]]="checklist", Master[[#This Row],[Type]]="checklist-flat"), Master[[#This Row],[Name]], F613)</f>
        <v>FC - R - Eyebrow - Canopy</v>
      </c>
      <c r="G614" s="3" t="s">
        <v>49</v>
      </c>
      <c r="H614" s="24" t="s">
        <v>1264</v>
      </c>
      <c r="I614" s="3"/>
      <c r="J614" s="21">
        <f ca="1">_xlfn.XLOOKUP(Master[[#This Row],[Checklist]],Ref!A:A,Ref!B:B)*1000</f>
        <v>72000</v>
      </c>
      <c r="K614" s="21">
        <f ca="1">COUNTIF($J$2:Master[[#This Row],[ChecklistID]],Master[[#This Row],[ChecklistID]])-1</f>
        <v>2</v>
      </c>
      <c r="L614" s="23" t="s">
        <v>6</v>
      </c>
    </row>
    <row r="615" spans="1:12" ht="15.75">
      <c r="A615" s="23">
        <f t="shared" si="9"/>
        <v>614</v>
      </c>
      <c r="B615" s="21">
        <f ca="1">Master[[#This Row],[ChecklistID]]+Master[[#This Row],[Checklist Order]]</f>
        <v>72003</v>
      </c>
      <c r="C615" s="22"/>
      <c r="D615" s="3" t="str" cm="1">
        <f t="array" aca="1" ref="D615" ca="1">_xlfn.SWITCH(MID(Master[[#This Row],[Checklist]],1,4),"C - ","Civil","F - ","Foundation","ST -","Structure","FC -","Façade","PRE ","Pre-Line","POST","Post-Line","H - ","Handover","S - ","Services","CST ","Completion Docs", "I - ", "Inspection")</f>
        <v>Façade</v>
      </c>
      <c r="E615" s="23" t="str">
        <f ca="1">IF(NOT(ISERROR(SEARCH("- S -", Master[[#This Row],[Checklist]]))), "Subcontractor",IF(NOT(ISERROR(SEARCH("- R -", Master[[#This Row],[Checklist]]))), "Ryman",IF(NOT(ISERROR(SEARCH("- C -", Master[[#This Row],[Checklist]]))), "Consultant",IF(NOT(ISERROR(SEARCH("- I -", Master[[#This Row],[Checklist]]))),  "Inspection Test Plan", "Naming Error"))))</f>
        <v>Ryman</v>
      </c>
      <c r="F615" s="24" t="str">
        <f ca="1">IF(OR(Master[[#This Row],[Type]]="checklist", Master[[#This Row],[Type]]="checklist-flat"), Master[[#This Row],[Name]], F614)</f>
        <v>FC - R - Eyebrow - Canopy</v>
      </c>
      <c r="G615" s="3" t="s">
        <v>58</v>
      </c>
      <c r="H615" s="24" t="s">
        <v>306</v>
      </c>
      <c r="I615" s="3"/>
      <c r="J615" s="21">
        <f ca="1">_xlfn.XLOOKUP(Master[[#This Row],[Checklist]],Ref!A:A,Ref!B:B)*1000</f>
        <v>72000</v>
      </c>
      <c r="K615" s="21">
        <f ca="1">COUNTIF($J$2:Master[[#This Row],[ChecklistID]],Master[[#This Row],[ChecklistID]])-1</f>
        <v>3</v>
      </c>
      <c r="L615" s="23" t="s">
        <v>6</v>
      </c>
    </row>
    <row r="616" spans="1:12" ht="15.75">
      <c r="A616" s="23">
        <f t="shared" si="9"/>
        <v>615</v>
      </c>
      <c r="B616" s="21">
        <f ca="1">Master[[#This Row],[ChecklistID]]+Master[[#This Row],[Checklist Order]]</f>
        <v>72004</v>
      </c>
      <c r="C616" s="22"/>
      <c r="D616" s="3" t="str" cm="1">
        <f t="array" aca="1" ref="D616" ca="1">_xlfn.SWITCH(MID(Master[[#This Row],[Checklist]],1,4),"C - ","Civil","F - ","Foundation","ST -","Structure","FC -","Façade","PRE ","Pre-Line","POST","Post-Line","H - ","Handover","S - ","Services","CST ","Completion Docs", "I - ", "Inspection")</f>
        <v>Façade</v>
      </c>
      <c r="E616" s="23" t="str">
        <f ca="1">IF(NOT(ISERROR(SEARCH("- S -", Master[[#This Row],[Checklist]]))), "Subcontractor",IF(NOT(ISERROR(SEARCH("- R -", Master[[#This Row],[Checklist]]))), "Ryman",IF(NOT(ISERROR(SEARCH("- C -", Master[[#This Row],[Checklist]]))), "Consultant",IF(NOT(ISERROR(SEARCH("- I -", Master[[#This Row],[Checklist]]))),  "Inspection Test Plan", "Naming Error"))))</f>
        <v>Ryman</v>
      </c>
      <c r="F616" s="24" t="str">
        <f ca="1">IF(OR(Master[[#This Row],[Type]]="checklist", Master[[#This Row],[Type]]="checklist-flat"), Master[[#This Row],[Name]], F615)</f>
        <v>FC - R - Eyebrow - Canopy</v>
      </c>
      <c r="G616" s="3" t="s">
        <v>49</v>
      </c>
      <c r="H616" s="24" t="s">
        <v>1634</v>
      </c>
      <c r="I616" s="3"/>
      <c r="J616" s="21">
        <f ca="1">_xlfn.XLOOKUP(Master[[#This Row],[Checklist]],Ref!A:A,Ref!B:B)*1000</f>
        <v>72000</v>
      </c>
      <c r="K616" s="21">
        <f ca="1">COUNTIF($J$2:Master[[#This Row],[ChecklistID]],Master[[#This Row],[ChecklistID]])-1</f>
        <v>4</v>
      </c>
      <c r="L616" s="23" t="s">
        <v>6</v>
      </c>
    </row>
    <row r="617" spans="1:12" ht="15.75">
      <c r="A617" s="23">
        <f t="shared" si="9"/>
        <v>616</v>
      </c>
      <c r="B617" s="21">
        <f ca="1">Master[[#This Row],[ChecklistID]]+Master[[#This Row],[Checklist Order]]</f>
        <v>73000</v>
      </c>
      <c r="C617" s="22"/>
      <c r="D617" s="3" t="str" cm="1">
        <f t="array" aca="1" ref="D617" ca="1">_xlfn.SWITCH(MID(Master[[#This Row],[Checklist]],1,4),"C - ","Civil","F - ","Foundation","ST -","Structure","FC -","Façade","PRE ","Pre-Line","POST","Post-Line","H - ","Handover","S - ","Services","CST ","Completion Docs", "I - ", "Inspection")</f>
        <v>Completion Docs</v>
      </c>
      <c r="E617" s="23" t="str">
        <f ca="1">IF(NOT(ISERROR(SEARCH("- S -", Master[[#This Row],[Checklist]]))), "Subcontractor",IF(NOT(ISERROR(SEARCH("- R -", Master[[#This Row],[Checklist]]))), "Ryman",IF(NOT(ISERROR(SEARCH("- C -", Master[[#This Row],[Checklist]]))), "Consultant",IF(NOT(ISERROR(SEARCH("- I -", Master[[#This Row],[Checklist]]))),  "Inspection Test Plan", "Naming Error"))))</f>
        <v>Ryman</v>
      </c>
      <c r="F617" s="24" t="str">
        <f ca="1">IF(OR(Master[[#This Row],[Type]]="checklist", Master[[#This Row],[Type]]="checklist-flat"), Master[[#This Row],[Name]], F616)</f>
        <v>CST - R - Site Inspection Details</v>
      </c>
      <c r="G617" s="3" t="s">
        <v>48</v>
      </c>
      <c r="H617" s="24" t="s">
        <v>1635</v>
      </c>
      <c r="I617" s="3"/>
      <c r="J617" s="21">
        <f ca="1">_xlfn.XLOOKUP(Master[[#This Row],[Checklist]],Ref!A:A,Ref!B:B)*1000</f>
        <v>73000</v>
      </c>
      <c r="K617" s="21">
        <f ca="1">COUNTIF($J$2:Master[[#This Row],[ChecklistID]],Master[[#This Row],[ChecklistID]])-1</f>
        <v>0</v>
      </c>
      <c r="L617" s="23" t="s">
        <v>6</v>
      </c>
    </row>
    <row r="618" spans="1:12" ht="15.75">
      <c r="A618" s="23">
        <f t="shared" si="9"/>
        <v>617</v>
      </c>
      <c r="B618" s="21">
        <f ca="1">Master[[#This Row],[ChecklistID]]+Master[[#This Row],[Checklist Order]]</f>
        <v>73001</v>
      </c>
      <c r="C618" s="22"/>
      <c r="D618" s="3" t="str" cm="1">
        <f t="array" aca="1" ref="D618" ca="1">_xlfn.SWITCH(MID(Master[[#This Row],[Checklist]],1,4),"C - ","Civil","F - ","Foundation","ST -","Structure","FC -","Façade","PRE ","Pre-Line","POST","Post-Line","H - ","Handover","S - ","Services","CST ","Completion Docs", "I - ", "Inspection")</f>
        <v>Completion Docs</v>
      </c>
      <c r="E618" s="23" t="str">
        <f ca="1">IF(NOT(ISERROR(SEARCH("- S -", Master[[#This Row],[Checklist]]))), "Subcontractor",IF(NOT(ISERROR(SEARCH("- R -", Master[[#This Row],[Checklist]]))), "Ryman",IF(NOT(ISERROR(SEARCH("- C -", Master[[#This Row],[Checklist]]))), "Consultant",IF(NOT(ISERROR(SEARCH("- I -", Master[[#This Row],[Checklist]]))),  "Inspection Test Plan", "Naming Error"))))</f>
        <v>Ryman</v>
      </c>
      <c r="F618" s="24" t="str">
        <f ca="1">IF(OR(Master[[#This Row],[Type]]="checklist", Master[[#This Row],[Type]]="checklist-flat"), Master[[#This Row],[Name]], F617)</f>
        <v>CST - R - Site Inspection Details</v>
      </c>
      <c r="G618" s="3" t="s">
        <v>831</v>
      </c>
      <c r="H618" s="24" t="s">
        <v>1636</v>
      </c>
      <c r="I618" s="3"/>
      <c r="J618" s="21">
        <f ca="1">_xlfn.XLOOKUP(Master[[#This Row],[Checklist]],Ref!A:A,Ref!B:B)*1000</f>
        <v>73000</v>
      </c>
      <c r="K618" s="21">
        <f ca="1">COUNTIF($J$2:Master[[#This Row],[ChecklistID]],Master[[#This Row],[ChecklistID]])-1</f>
        <v>1</v>
      </c>
      <c r="L618" s="23" t="s">
        <v>6</v>
      </c>
    </row>
    <row r="619" spans="1:12" ht="15.75">
      <c r="A619" s="23">
        <f t="shared" si="9"/>
        <v>618</v>
      </c>
      <c r="B619" s="21">
        <f ca="1">Master[[#This Row],[ChecklistID]]+Master[[#This Row],[Checklist Order]]</f>
        <v>73002</v>
      </c>
      <c r="C619" s="22"/>
      <c r="D619" s="3" t="str" cm="1">
        <f t="array" aca="1" ref="D619" ca="1">_xlfn.SWITCH(MID(Master[[#This Row],[Checklist]],1,4),"C - ","Civil","F - ","Foundation","ST -","Structure","FC -","Façade","PRE ","Pre-Line","POST","Post-Line","H - ","Handover","S - ","Services","CST ","Completion Docs", "I - ", "Inspection")</f>
        <v>Completion Docs</v>
      </c>
      <c r="E619" s="23" t="str">
        <f ca="1">IF(NOT(ISERROR(SEARCH("- S -", Master[[#This Row],[Checklist]]))), "Subcontractor",IF(NOT(ISERROR(SEARCH("- R -", Master[[#This Row],[Checklist]]))), "Ryman",IF(NOT(ISERROR(SEARCH("- C -", Master[[#This Row],[Checklist]]))), "Consultant",IF(NOT(ISERROR(SEARCH("- I -", Master[[#This Row],[Checklist]]))),  "Inspection Test Plan", "Naming Error"))))</f>
        <v>Ryman</v>
      </c>
      <c r="F619" s="24" t="str">
        <f ca="1">IF(OR(Master[[#This Row],[Type]]="checklist", Master[[#This Row],[Type]]="checklist-flat"), Master[[#This Row],[Name]], F618)</f>
        <v>CST - R - Site Inspection Details</v>
      </c>
      <c r="G619" s="3" t="s">
        <v>831</v>
      </c>
      <c r="H619" s="24" t="s">
        <v>1637</v>
      </c>
      <c r="I619" s="3"/>
      <c r="J619" s="21">
        <f ca="1">_xlfn.XLOOKUP(Master[[#This Row],[Checklist]],Ref!A:A,Ref!B:B)*1000</f>
        <v>73000</v>
      </c>
      <c r="K619" s="21">
        <f ca="1">COUNTIF($J$2:Master[[#This Row],[ChecklistID]],Master[[#This Row],[ChecklistID]])-1</f>
        <v>2</v>
      </c>
      <c r="L619" s="23" t="s">
        <v>6</v>
      </c>
    </row>
    <row r="620" spans="1:12" ht="15.75">
      <c r="A620" s="23">
        <f t="shared" si="9"/>
        <v>619</v>
      </c>
      <c r="B620" s="21">
        <f ca="1">Master[[#This Row],[ChecklistID]]+Master[[#This Row],[Checklist Order]]</f>
        <v>73003</v>
      </c>
      <c r="C620" s="22"/>
      <c r="D620" s="3" t="str" cm="1">
        <f t="array" aca="1" ref="D620" ca="1">_xlfn.SWITCH(MID(Master[[#This Row],[Checklist]],1,4),"C - ","Civil","F - ","Foundation","ST -","Structure","FC -","Façade","PRE ","Pre-Line","POST","Post-Line","H - ","Handover","S - ","Services","CST ","Completion Docs", "I - ", "Inspection")</f>
        <v>Completion Docs</v>
      </c>
      <c r="E620" s="23" t="str">
        <f ca="1">IF(NOT(ISERROR(SEARCH("- S -", Master[[#This Row],[Checklist]]))), "Subcontractor",IF(NOT(ISERROR(SEARCH("- R -", Master[[#This Row],[Checklist]]))), "Ryman",IF(NOT(ISERROR(SEARCH("- C -", Master[[#This Row],[Checklist]]))), "Consultant",IF(NOT(ISERROR(SEARCH("- I -", Master[[#This Row],[Checklist]]))),  "Inspection Test Plan", "Naming Error"))))</f>
        <v>Ryman</v>
      </c>
      <c r="F620" s="24" t="str">
        <f ca="1">IF(OR(Master[[#This Row],[Type]]="checklist", Master[[#This Row],[Type]]="checklist-flat"), Master[[#This Row],[Name]], F619)</f>
        <v>CST - R - Site Inspection Details</v>
      </c>
      <c r="G620" s="3" t="s">
        <v>831</v>
      </c>
      <c r="H620" s="24" t="s">
        <v>1638</v>
      </c>
      <c r="I620" s="3"/>
      <c r="J620" s="21">
        <f ca="1">_xlfn.XLOOKUP(Master[[#This Row],[Checklist]],Ref!A:A,Ref!B:B)*1000</f>
        <v>73000</v>
      </c>
      <c r="K620" s="21">
        <f ca="1">COUNTIF($J$2:Master[[#This Row],[ChecklistID]],Master[[#This Row],[ChecklistID]])-1</f>
        <v>3</v>
      </c>
      <c r="L620" s="23" t="s">
        <v>6</v>
      </c>
    </row>
    <row r="621" spans="1:12" ht="15.75">
      <c r="A621" s="23">
        <f t="shared" si="9"/>
        <v>620</v>
      </c>
      <c r="B621" s="21">
        <f ca="1">Master[[#This Row],[ChecklistID]]+Master[[#This Row],[Checklist Order]]</f>
        <v>73004</v>
      </c>
      <c r="C621" s="22"/>
      <c r="D621" s="3" t="str" cm="1">
        <f t="array" aca="1" ref="D621" ca="1">_xlfn.SWITCH(MID(Master[[#This Row],[Checklist]],1,4),"C - ","Civil","F - ","Foundation","ST -","Structure","FC -","Façade","PRE ","Pre-Line","POST","Post-Line","H - ","Handover","S - ","Services","CST ","Completion Docs", "I - ", "Inspection")</f>
        <v>Completion Docs</v>
      </c>
      <c r="E621" s="23" t="str">
        <f ca="1">IF(NOT(ISERROR(SEARCH("- S -", Master[[#This Row],[Checklist]]))), "Subcontractor",IF(NOT(ISERROR(SEARCH("- R -", Master[[#This Row],[Checklist]]))), "Ryman",IF(NOT(ISERROR(SEARCH("- C -", Master[[#This Row],[Checklist]]))), "Consultant",IF(NOT(ISERROR(SEARCH("- I -", Master[[#This Row],[Checklist]]))),  "Inspection Test Plan", "Naming Error"))))</f>
        <v>Ryman</v>
      </c>
      <c r="F621" s="24" t="str">
        <f ca="1">IF(OR(Master[[#This Row],[Type]]="checklist", Master[[#This Row],[Type]]="checklist-flat"), Master[[#This Row],[Name]], F620)</f>
        <v>CST - R - Site Inspection Details</v>
      </c>
      <c r="G621" s="3" t="s">
        <v>831</v>
      </c>
      <c r="H621" s="24" t="s">
        <v>1639</v>
      </c>
      <c r="I621" s="3"/>
      <c r="J621" s="21">
        <f ca="1">_xlfn.XLOOKUP(Master[[#This Row],[Checklist]],Ref!A:A,Ref!B:B)*1000</f>
        <v>73000</v>
      </c>
      <c r="K621" s="21">
        <f ca="1">COUNTIF($J$2:Master[[#This Row],[ChecklistID]],Master[[#This Row],[ChecklistID]])-1</f>
        <v>4</v>
      </c>
      <c r="L621" s="23" t="s">
        <v>6</v>
      </c>
    </row>
    <row r="622" spans="1:12" ht="15.75">
      <c r="A622" s="23">
        <f t="shared" si="9"/>
        <v>621</v>
      </c>
      <c r="B622" s="21">
        <f ca="1">Master[[#This Row],[ChecklistID]]+Master[[#This Row],[Checklist Order]]</f>
        <v>73005</v>
      </c>
      <c r="C622" s="22"/>
      <c r="D622" s="3" t="str" cm="1">
        <f t="array" aca="1" ref="D622" ca="1">_xlfn.SWITCH(MID(Master[[#This Row],[Checklist]],1,4),"C - ","Civil","F - ","Foundation","ST -","Structure","FC -","Façade","PRE ","Pre-Line","POST","Post-Line","H - ","Handover","S - ","Services","CST ","Completion Docs", "I - ", "Inspection")</f>
        <v>Completion Docs</v>
      </c>
      <c r="E622" s="23" t="str">
        <f ca="1">IF(NOT(ISERROR(SEARCH("- S -", Master[[#This Row],[Checklist]]))), "Subcontractor",IF(NOT(ISERROR(SEARCH("- R -", Master[[#This Row],[Checklist]]))), "Ryman",IF(NOT(ISERROR(SEARCH("- C -", Master[[#This Row],[Checklist]]))), "Consultant",IF(NOT(ISERROR(SEARCH("- I -", Master[[#This Row],[Checklist]]))),  "Inspection Test Plan", "Naming Error"))))</f>
        <v>Ryman</v>
      </c>
      <c r="F622" s="24" t="str">
        <f ca="1">IF(OR(Master[[#This Row],[Type]]="checklist", Master[[#This Row],[Type]]="checklist-flat"), Master[[#This Row],[Name]], F621)</f>
        <v>CST - R - Site Inspection Details</v>
      </c>
      <c r="G622" s="3" t="s">
        <v>831</v>
      </c>
      <c r="H622" s="24" t="s">
        <v>1640</v>
      </c>
      <c r="I622" s="3"/>
      <c r="J622" s="21">
        <f ca="1">_xlfn.XLOOKUP(Master[[#This Row],[Checklist]],Ref!A:A,Ref!B:B)*1000</f>
        <v>73000</v>
      </c>
      <c r="K622" s="21">
        <f ca="1">COUNTIF($J$2:Master[[#This Row],[ChecklistID]],Master[[#This Row],[ChecklistID]])-1</f>
        <v>5</v>
      </c>
      <c r="L622" s="23" t="s">
        <v>6</v>
      </c>
    </row>
    <row r="623" spans="1:12" ht="15.75">
      <c r="A623" s="23">
        <f t="shared" si="9"/>
        <v>622</v>
      </c>
      <c r="B623" s="21">
        <f ca="1">Master[[#This Row],[ChecklistID]]+Master[[#This Row],[Checklist Order]]</f>
        <v>74000</v>
      </c>
      <c r="C623" s="22"/>
      <c r="D623" s="3" t="str" cm="1">
        <f t="array" aca="1" ref="D623" ca="1">_xlfn.SWITCH(MID(Master[[#This Row],[Checklist]],1,4),"C - ","Civil","F - ","Foundation","ST -","Structure","FC -","Façade","PRE ","Pre-Line","POST","Post-Line","H - ","Handover","S - ","Services","CST ","Completion Docs", "I - ", "Inspection")</f>
        <v>Handover</v>
      </c>
      <c r="E623" s="23" t="str">
        <f ca="1">IF(NOT(ISERROR(SEARCH("- S -", Master[[#This Row],[Checklist]]))), "Subcontractor",IF(NOT(ISERROR(SEARCH("- R -", Master[[#This Row],[Checklist]]))), "Ryman",IF(NOT(ISERROR(SEARCH("- C -", Master[[#This Row],[Checklist]]))), "Consultant",IF(NOT(ISERROR(SEARCH("- I -", Master[[#This Row],[Checklist]]))),  "Inspection Test Plan", "Naming Error"))))</f>
        <v>Ryman</v>
      </c>
      <c r="F623" s="24" t="str">
        <f ca="1">IF(OR(Master[[#This Row],[Type]]="checklist", Master[[#This Row],[Type]]="checklist-flat"), Master[[#This Row],[Name]], F622)</f>
        <v>H - R - Handover</v>
      </c>
      <c r="G623" s="3" t="s">
        <v>48</v>
      </c>
      <c r="H623" s="24" t="s">
        <v>1641</v>
      </c>
      <c r="I623" s="3"/>
      <c r="J623" s="21">
        <f ca="1">_xlfn.XLOOKUP(Master[[#This Row],[Checklist]],Ref!A:A,Ref!B:B)*1000</f>
        <v>74000</v>
      </c>
      <c r="K623" s="21">
        <f ca="1">COUNTIF($J$2:Master[[#This Row],[ChecklistID]],Master[[#This Row],[ChecklistID]])-1</f>
        <v>0</v>
      </c>
      <c r="L623" s="23" t="s">
        <v>6</v>
      </c>
    </row>
    <row r="624" spans="1:12" ht="15.75">
      <c r="A624" s="23">
        <f t="shared" si="9"/>
        <v>623</v>
      </c>
      <c r="B624" s="21">
        <f ca="1">Master[[#This Row],[ChecklistID]]+Master[[#This Row],[Checklist Order]]</f>
        <v>74001</v>
      </c>
      <c r="C624" s="22"/>
      <c r="D624" s="3" t="str" cm="1">
        <f t="array" aca="1" ref="D624" ca="1">_xlfn.SWITCH(MID(Master[[#This Row],[Checklist]],1,4),"C - ","Civil","F - ","Foundation","ST -","Structure","FC -","Façade","PRE ","Pre-Line","POST","Post-Line","H - ","Handover","S - ","Services","CST ","Completion Docs", "I - ", "Inspection")</f>
        <v>Handover</v>
      </c>
      <c r="E624" s="23" t="str">
        <f ca="1">IF(NOT(ISERROR(SEARCH("- S -", Master[[#This Row],[Checklist]]))), "Subcontractor",IF(NOT(ISERROR(SEARCH("- R -", Master[[#This Row],[Checklist]]))), "Ryman",IF(NOT(ISERROR(SEARCH("- C -", Master[[#This Row],[Checklist]]))), "Consultant",IF(NOT(ISERROR(SEARCH("- I -", Master[[#This Row],[Checklist]]))),  "Inspection Test Plan", "Naming Error"))))</f>
        <v>Ryman</v>
      </c>
      <c r="F624" s="24" t="str">
        <f ca="1">IF(OR(Master[[#This Row],[Type]]="checklist", Master[[#This Row],[Type]]="checklist-flat"), Master[[#This Row],[Name]], F623)</f>
        <v>H - R - Handover</v>
      </c>
      <c r="G624" s="3" t="s">
        <v>49</v>
      </c>
      <c r="H624" s="24" t="s">
        <v>1642</v>
      </c>
      <c r="I624" s="3"/>
      <c r="J624" s="21">
        <f ca="1">_xlfn.XLOOKUP(Master[[#This Row],[Checklist]],Ref!A:A,Ref!B:B)*1000</f>
        <v>74000</v>
      </c>
      <c r="K624" s="21">
        <f ca="1">COUNTIF($J$2:Master[[#This Row],[ChecklistID]],Master[[#This Row],[ChecklistID]])-1</f>
        <v>1</v>
      </c>
      <c r="L624" s="23" t="s">
        <v>6</v>
      </c>
    </row>
    <row r="625" spans="1:12" ht="15.75">
      <c r="A625" s="23">
        <f t="shared" si="9"/>
        <v>624</v>
      </c>
      <c r="B625" s="21">
        <f ca="1">Master[[#This Row],[ChecklistID]]+Master[[#This Row],[Checklist Order]]</f>
        <v>74002</v>
      </c>
      <c r="C625" s="22"/>
      <c r="D625" s="3" t="str" cm="1">
        <f t="array" aca="1" ref="D625" ca="1">_xlfn.SWITCH(MID(Master[[#This Row],[Checklist]],1,4),"C - ","Civil","F - ","Foundation","ST -","Structure","FC -","Façade","PRE ","Pre-Line","POST","Post-Line","H - ","Handover","S - ","Services","CST ","Completion Docs", "I - ", "Inspection")</f>
        <v>Handover</v>
      </c>
      <c r="E625" s="23" t="str">
        <f ca="1">IF(NOT(ISERROR(SEARCH("- S -", Master[[#This Row],[Checklist]]))), "Subcontractor",IF(NOT(ISERROR(SEARCH("- R -", Master[[#This Row],[Checklist]]))), "Ryman",IF(NOT(ISERROR(SEARCH("- C -", Master[[#This Row],[Checklist]]))), "Consultant",IF(NOT(ISERROR(SEARCH("- I -", Master[[#This Row],[Checklist]]))),  "Inspection Test Plan", "Naming Error"))))</f>
        <v>Ryman</v>
      </c>
      <c r="F625" s="24" t="str">
        <f ca="1">IF(OR(Master[[#This Row],[Type]]="checklist", Master[[#This Row],[Type]]="checklist-flat"), Master[[#This Row],[Name]], F624)</f>
        <v>H - R - Handover</v>
      </c>
      <c r="G625" s="3" t="s">
        <v>49</v>
      </c>
      <c r="H625" s="24" t="s">
        <v>1511</v>
      </c>
      <c r="I625" s="3"/>
      <c r="J625" s="21">
        <f ca="1">_xlfn.XLOOKUP(Master[[#This Row],[Checklist]],Ref!A:A,Ref!B:B)*1000</f>
        <v>74000</v>
      </c>
      <c r="K625" s="21">
        <f ca="1">COUNTIF($J$2:Master[[#This Row],[ChecklistID]],Master[[#This Row],[ChecklistID]])-1</f>
        <v>2</v>
      </c>
      <c r="L625" s="23" t="s">
        <v>6</v>
      </c>
    </row>
    <row r="626" spans="1:12" ht="15.75">
      <c r="A626" s="23">
        <f t="shared" si="9"/>
        <v>625</v>
      </c>
      <c r="B626" s="21">
        <f ca="1">Master[[#This Row],[ChecklistID]]+Master[[#This Row],[Checklist Order]]</f>
        <v>74003</v>
      </c>
      <c r="C626" s="22"/>
      <c r="D626" s="3" t="str" cm="1">
        <f t="array" aca="1" ref="D626" ca="1">_xlfn.SWITCH(MID(Master[[#This Row],[Checklist]],1,4),"C - ","Civil","F - ","Foundation","ST -","Structure","FC -","Façade","PRE ","Pre-Line","POST","Post-Line","H - ","Handover","S - ","Services","CST ","Completion Docs", "I - ", "Inspection")</f>
        <v>Handover</v>
      </c>
      <c r="E626" s="23" t="str">
        <f ca="1">IF(NOT(ISERROR(SEARCH("- S -", Master[[#This Row],[Checklist]]))), "Subcontractor",IF(NOT(ISERROR(SEARCH("- R -", Master[[#This Row],[Checklist]]))), "Ryman",IF(NOT(ISERROR(SEARCH("- C -", Master[[#This Row],[Checklist]]))), "Consultant",IF(NOT(ISERROR(SEARCH("- I -", Master[[#This Row],[Checklist]]))),  "Inspection Test Plan", "Naming Error"))))</f>
        <v>Ryman</v>
      </c>
      <c r="F626" s="24" t="str">
        <f ca="1">IF(OR(Master[[#This Row],[Type]]="checklist", Master[[#This Row],[Type]]="checklist-flat"), Master[[#This Row],[Name]], F625)</f>
        <v>H - R - Handover</v>
      </c>
      <c r="G626" s="3" t="s">
        <v>49</v>
      </c>
      <c r="H626" s="24" t="s">
        <v>1486</v>
      </c>
      <c r="I626" s="3"/>
      <c r="J626" s="21">
        <f ca="1">_xlfn.XLOOKUP(Master[[#This Row],[Checklist]],Ref!A:A,Ref!B:B)*1000</f>
        <v>74000</v>
      </c>
      <c r="K626" s="21">
        <f ca="1">COUNTIF($J$2:Master[[#This Row],[ChecklistID]],Master[[#This Row],[ChecklistID]])-1</f>
        <v>3</v>
      </c>
      <c r="L626" s="23" t="s">
        <v>6</v>
      </c>
    </row>
    <row r="627" spans="1:12" ht="15.75">
      <c r="A627" s="23">
        <f t="shared" si="9"/>
        <v>626</v>
      </c>
      <c r="B627" s="21">
        <f ca="1">Master[[#This Row],[ChecklistID]]+Master[[#This Row],[Checklist Order]]</f>
        <v>74004</v>
      </c>
      <c r="C627" s="22"/>
      <c r="D627" s="3" t="str" cm="1">
        <f t="array" aca="1" ref="D627" ca="1">_xlfn.SWITCH(MID(Master[[#This Row],[Checklist]],1,4),"C - ","Civil","F - ","Foundation","ST -","Structure","FC -","Façade","PRE ","Pre-Line","POST","Post-Line","H - ","Handover","S - ","Services","CST ","Completion Docs", "I - ", "Inspection")</f>
        <v>Handover</v>
      </c>
      <c r="E627" s="23" t="str">
        <f ca="1">IF(NOT(ISERROR(SEARCH("- S -", Master[[#This Row],[Checklist]]))), "Subcontractor",IF(NOT(ISERROR(SEARCH("- R -", Master[[#This Row],[Checklist]]))), "Ryman",IF(NOT(ISERROR(SEARCH("- C -", Master[[#This Row],[Checklist]]))), "Consultant",IF(NOT(ISERROR(SEARCH("- I -", Master[[#This Row],[Checklist]]))),  "Inspection Test Plan", "Naming Error"))))</f>
        <v>Ryman</v>
      </c>
      <c r="F627" s="24" t="str">
        <f ca="1">IF(OR(Master[[#This Row],[Type]]="checklist", Master[[#This Row],[Type]]="checklist-flat"), Master[[#This Row],[Name]], F626)</f>
        <v>H - R - Handover</v>
      </c>
      <c r="G627" s="3" t="s">
        <v>49</v>
      </c>
      <c r="H627" s="24" t="s">
        <v>1643</v>
      </c>
      <c r="I627" s="3"/>
      <c r="J627" s="21">
        <f ca="1">_xlfn.XLOOKUP(Master[[#This Row],[Checklist]],Ref!A:A,Ref!B:B)*1000</f>
        <v>74000</v>
      </c>
      <c r="K627" s="21">
        <f ca="1">COUNTIF($J$2:Master[[#This Row],[ChecklistID]],Master[[#This Row],[ChecklistID]])-1</f>
        <v>4</v>
      </c>
      <c r="L627" s="23" t="s">
        <v>6</v>
      </c>
    </row>
    <row r="628" spans="1:12" ht="15.75">
      <c r="A628" s="23">
        <f t="shared" si="9"/>
        <v>627</v>
      </c>
      <c r="B628" s="21">
        <f ca="1">Master[[#This Row],[ChecklistID]]+Master[[#This Row],[Checklist Order]]</f>
        <v>74005</v>
      </c>
      <c r="C628" s="22"/>
      <c r="D628" s="3" t="str" cm="1">
        <f t="array" aca="1" ref="D628" ca="1">_xlfn.SWITCH(MID(Master[[#This Row],[Checklist]],1,4),"C - ","Civil","F - ","Foundation","ST -","Structure","FC -","Façade","PRE ","Pre-Line","POST","Post-Line","H - ","Handover","S - ","Services","CST ","Completion Docs", "I - ", "Inspection")</f>
        <v>Handover</v>
      </c>
      <c r="E628" s="23" t="str">
        <f ca="1">IF(NOT(ISERROR(SEARCH("- S -", Master[[#This Row],[Checklist]]))), "Subcontractor",IF(NOT(ISERROR(SEARCH("- R -", Master[[#This Row],[Checklist]]))), "Ryman",IF(NOT(ISERROR(SEARCH("- C -", Master[[#This Row],[Checklist]]))), "Consultant",IF(NOT(ISERROR(SEARCH("- I -", Master[[#This Row],[Checklist]]))),  "Inspection Test Plan", "Naming Error"))))</f>
        <v>Ryman</v>
      </c>
      <c r="F628" s="24" t="str">
        <f ca="1">IF(OR(Master[[#This Row],[Type]]="checklist", Master[[#This Row],[Type]]="checklist-flat"), Master[[#This Row],[Name]], F627)</f>
        <v>H - R - Handover</v>
      </c>
      <c r="G628" s="3" t="s">
        <v>49</v>
      </c>
      <c r="H628" s="24" t="s">
        <v>1644</v>
      </c>
      <c r="I628" s="3"/>
      <c r="J628" s="21">
        <f ca="1">_xlfn.XLOOKUP(Master[[#This Row],[Checklist]],Ref!A:A,Ref!B:B)*1000</f>
        <v>74000</v>
      </c>
      <c r="K628" s="21">
        <f ca="1">COUNTIF($J$2:Master[[#This Row],[ChecklistID]],Master[[#This Row],[ChecklistID]])-1</f>
        <v>5</v>
      </c>
      <c r="L628" s="23" t="s">
        <v>6</v>
      </c>
    </row>
    <row r="629" spans="1:12" ht="15.75">
      <c r="A629" s="23">
        <f t="shared" si="9"/>
        <v>628</v>
      </c>
      <c r="B629" s="21">
        <f ca="1">Master[[#This Row],[ChecklistID]]+Master[[#This Row],[Checklist Order]]</f>
        <v>74006</v>
      </c>
      <c r="C629" s="22"/>
      <c r="D629" s="3" t="str" cm="1">
        <f t="array" aca="1" ref="D629" ca="1">_xlfn.SWITCH(MID(Master[[#This Row],[Checklist]],1,4),"C - ","Civil","F - ","Foundation","ST -","Structure","FC -","Façade","PRE ","Pre-Line","POST","Post-Line","H - ","Handover","S - ","Services","CST ","Completion Docs", "I - ", "Inspection")</f>
        <v>Handover</v>
      </c>
      <c r="E629" s="23" t="str">
        <f ca="1">IF(NOT(ISERROR(SEARCH("- S -", Master[[#This Row],[Checklist]]))), "Subcontractor",IF(NOT(ISERROR(SEARCH("- R -", Master[[#This Row],[Checklist]]))), "Ryman",IF(NOT(ISERROR(SEARCH("- C -", Master[[#This Row],[Checklist]]))), "Consultant",IF(NOT(ISERROR(SEARCH("- I -", Master[[#This Row],[Checklist]]))),  "Inspection Test Plan", "Naming Error"))))</f>
        <v>Ryman</v>
      </c>
      <c r="F629" s="24" t="str">
        <f ca="1">IF(OR(Master[[#This Row],[Type]]="checklist", Master[[#This Row],[Type]]="checklist-flat"), Master[[#This Row],[Name]], F628)</f>
        <v>H - R - Handover</v>
      </c>
      <c r="G629" s="3" t="s">
        <v>49</v>
      </c>
      <c r="H629" s="24" t="s">
        <v>1645</v>
      </c>
      <c r="I629" s="3"/>
      <c r="J629" s="21">
        <f ca="1">_xlfn.XLOOKUP(Master[[#This Row],[Checklist]],Ref!A:A,Ref!B:B)*1000</f>
        <v>74000</v>
      </c>
      <c r="K629" s="21">
        <f ca="1">COUNTIF($J$2:Master[[#This Row],[ChecklistID]],Master[[#This Row],[ChecklistID]])-1</f>
        <v>6</v>
      </c>
      <c r="L629" s="23" t="s">
        <v>6</v>
      </c>
    </row>
    <row r="630" spans="1:12" ht="15.75">
      <c r="A630" s="23">
        <f t="shared" si="9"/>
        <v>629</v>
      </c>
      <c r="B630" s="21">
        <f ca="1">Master[[#This Row],[ChecklistID]]+Master[[#This Row],[Checklist Order]]</f>
        <v>74007</v>
      </c>
      <c r="C630" s="22"/>
      <c r="D630" s="3" t="str" cm="1">
        <f t="array" aca="1" ref="D630" ca="1">_xlfn.SWITCH(MID(Master[[#This Row],[Checklist]],1,4),"C - ","Civil","F - ","Foundation","ST -","Structure","FC -","Façade","PRE ","Pre-Line","POST","Post-Line","H - ","Handover","S - ","Services","CST ","Completion Docs", "I - ", "Inspection")</f>
        <v>Handover</v>
      </c>
      <c r="E630" s="23" t="str">
        <f ca="1">IF(NOT(ISERROR(SEARCH("- S -", Master[[#This Row],[Checklist]]))), "Subcontractor",IF(NOT(ISERROR(SEARCH("- R -", Master[[#This Row],[Checklist]]))), "Ryman",IF(NOT(ISERROR(SEARCH("- C -", Master[[#This Row],[Checklist]]))), "Consultant",IF(NOT(ISERROR(SEARCH("- I -", Master[[#This Row],[Checklist]]))),  "Inspection Test Plan", "Naming Error"))))</f>
        <v>Ryman</v>
      </c>
      <c r="F630" s="24" t="str">
        <f ca="1">IF(OR(Master[[#This Row],[Type]]="checklist", Master[[#This Row],[Type]]="checklist-flat"), Master[[#This Row],[Name]], F629)</f>
        <v>H - R - Handover</v>
      </c>
      <c r="G630" s="3" t="s">
        <v>49</v>
      </c>
      <c r="H630" s="3" t="s">
        <v>1646</v>
      </c>
      <c r="I630" s="3"/>
      <c r="J630" s="21">
        <f ca="1">_xlfn.XLOOKUP(Master[[#This Row],[Checklist]],Ref!A:A,Ref!B:B)*1000</f>
        <v>74000</v>
      </c>
      <c r="K630" s="21">
        <f ca="1">COUNTIF($J$2:Master[[#This Row],[ChecklistID]],Master[[#This Row],[ChecklistID]])-1</f>
        <v>7</v>
      </c>
      <c r="L630" s="23" t="s">
        <v>6</v>
      </c>
    </row>
    <row r="631" spans="1:12" ht="15.75">
      <c r="A631" s="23">
        <f t="shared" si="9"/>
        <v>630</v>
      </c>
      <c r="B631" s="21">
        <f ca="1">Master[[#This Row],[ChecklistID]]+Master[[#This Row],[Checklist Order]]</f>
        <v>74008</v>
      </c>
      <c r="C631" s="22"/>
      <c r="D631" s="3" t="str" cm="1">
        <f t="array" aca="1" ref="D631" ca="1">_xlfn.SWITCH(MID(Master[[#This Row],[Checklist]],1,4),"C - ","Civil","F - ","Foundation","ST -","Structure","FC -","Façade","PRE ","Pre-Line","POST","Post-Line","H - ","Handover","S - ","Services","CST ","Completion Docs", "I - ", "Inspection")</f>
        <v>Handover</v>
      </c>
      <c r="E631" s="23" t="str">
        <f ca="1">IF(NOT(ISERROR(SEARCH("- S -", Master[[#This Row],[Checklist]]))), "Subcontractor",IF(NOT(ISERROR(SEARCH("- R -", Master[[#This Row],[Checklist]]))), "Ryman",IF(NOT(ISERROR(SEARCH("- C -", Master[[#This Row],[Checklist]]))), "Consultant",IF(NOT(ISERROR(SEARCH("- I -", Master[[#This Row],[Checklist]]))),  "Inspection Test Plan", "Naming Error"))))</f>
        <v>Ryman</v>
      </c>
      <c r="F631" s="24" t="str">
        <f ca="1">IF(OR(Master[[#This Row],[Type]]="checklist", Master[[#This Row],[Type]]="checklist-flat"), Master[[#This Row],[Name]], F630)</f>
        <v>H - R - Handover</v>
      </c>
      <c r="G631" s="3" t="s">
        <v>49</v>
      </c>
      <c r="H631" s="3" t="s">
        <v>1647</v>
      </c>
      <c r="I631" s="3"/>
      <c r="J631" s="21">
        <f ca="1">_xlfn.XLOOKUP(Master[[#This Row],[Checklist]],Ref!A:A,Ref!B:B)*1000</f>
        <v>74000</v>
      </c>
      <c r="K631" s="21">
        <f ca="1">COUNTIF($J$2:Master[[#This Row],[ChecklistID]],Master[[#This Row],[ChecklistID]])-1</f>
        <v>8</v>
      </c>
      <c r="L631" s="23" t="s">
        <v>6</v>
      </c>
    </row>
    <row r="632" spans="1:12" ht="15.75">
      <c r="A632" s="23">
        <f t="shared" si="9"/>
        <v>631</v>
      </c>
      <c r="B632" s="21">
        <f ca="1">Master[[#This Row],[ChecklistID]]+Master[[#This Row],[Checklist Order]]</f>
        <v>75000</v>
      </c>
      <c r="C632" s="22"/>
      <c r="D632" s="3" t="str" cm="1">
        <f t="array" aca="1" ref="D632" ca="1">_xlfn.SWITCH(MID(Master[[#This Row],[Checklist]],1,4),"C - ","Civil","F - ","Foundation","ST -","Structure","FC -","Façade","PRE ","Pre-Line","POST","Post-Line","H - ","Handover","S - ","Services","CST ","Completion Docs", "I - ", "Inspection")</f>
        <v>Completion Docs</v>
      </c>
      <c r="E632" s="23" t="str">
        <f ca="1">IF(NOT(ISERROR(SEARCH("- S -", Master[[#This Row],[Checklist]]))), "Subcontractor",IF(NOT(ISERROR(SEARCH("- R -", Master[[#This Row],[Checklist]]))), "Ryman",IF(NOT(ISERROR(SEARCH("- C -", Master[[#This Row],[Checklist]]))), "Consultant",IF(NOT(ISERROR(SEARCH("- I -", Master[[#This Row],[Checklist]]))),  "Inspection Test Plan", "Naming Error"))))</f>
        <v>Ryman</v>
      </c>
      <c r="F632" s="24" t="str">
        <f ca="1">IF(OR(Master[[#This Row],[Type]]="checklist", Master[[#This Row],[Type]]="checklist-flat"), Master[[#This Row],[Name]], F631)</f>
        <v>CST - R - Council Inspection</v>
      </c>
      <c r="G632" s="24" t="s">
        <v>48</v>
      </c>
      <c r="H632" s="24" t="s">
        <v>1648</v>
      </c>
      <c r="I632" s="24"/>
      <c r="J632" s="21">
        <f ca="1">_xlfn.XLOOKUP(Master[[#This Row],[Checklist]],Ref!A:A,Ref!B:B)*1000</f>
        <v>75000</v>
      </c>
      <c r="K632" s="21">
        <f ca="1">COUNTIF($J$2:Master[[#This Row],[ChecklistID]],Master[[#This Row],[ChecklistID]])-1</f>
        <v>0</v>
      </c>
      <c r="L632" s="23" t="s">
        <v>6</v>
      </c>
    </row>
    <row r="633" spans="1:12" ht="15.75">
      <c r="A633" s="23">
        <f t="shared" si="9"/>
        <v>632</v>
      </c>
      <c r="B633" s="21">
        <f ca="1">Master[[#This Row],[ChecklistID]]+Master[[#This Row],[Checklist Order]]</f>
        <v>75001</v>
      </c>
      <c r="C633" s="22"/>
      <c r="D633" s="3" t="str" cm="1">
        <f t="array" aca="1" ref="D633" ca="1">_xlfn.SWITCH(MID(Master[[#This Row],[Checklist]],1,4),"C - ","Civil","F - ","Foundation","ST -","Structure","FC -","Façade","PRE ","Pre-Line","POST","Post-Line","H - ","Handover","S - ","Services","CST ","Completion Docs", "I - ", "Inspection")</f>
        <v>Completion Docs</v>
      </c>
      <c r="E633" s="23" t="str">
        <f ca="1">IF(NOT(ISERROR(SEARCH("- S -", Master[[#This Row],[Checklist]]))), "Subcontractor",IF(NOT(ISERROR(SEARCH("- R -", Master[[#This Row],[Checklist]]))), "Ryman",IF(NOT(ISERROR(SEARCH("- C -", Master[[#This Row],[Checklist]]))), "Consultant",IF(NOT(ISERROR(SEARCH("- I -", Master[[#This Row],[Checklist]]))),  "Inspection Test Plan", "Naming Error"))))</f>
        <v>Ryman</v>
      </c>
      <c r="F633" s="24" t="str">
        <f ca="1">IF(OR(Master[[#This Row],[Type]]="checklist", Master[[#This Row],[Type]]="checklist-flat"), Master[[#This Row],[Name]], F632)</f>
        <v>CST - R - Council Inspection</v>
      </c>
      <c r="G633" s="24" t="s">
        <v>124</v>
      </c>
      <c r="H633" s="24" t="s">
        <v>1649</v>
      </c>
      <c r="I633" s="24"/>
      <c r="J633" s="21">
        <f ca="1">_xlfn.XLOOKUP(Master[[#This Row],[Checklist]],Ref!A:A,Ref!B:B)*1000</f>
        <v>75000</v>
      </c>
      <c r="K633" s="21">
        <f ca="1">COUNTIF($J$2:Master[[#This Row],[ChecklistID]],Master[[#This Row],[ChecklistID]])-1</f>
        <v>1</v>
      </c>
      <c r="L633" s="23" t="s">
        <v>6</v>
      </c>
    </row>
    <row r="634" spans="1:12" ht="15.75">
      <c r="A634" s="23">
        <f t="shared" si="9"/>
        <v>633</v>
      </c>
      <c r="B634" s="21">
        <f ca="1">Master[[#This Row],[ChecklistID]]+Master[[#This Row],[Checklist Order]]</f>
        <v>75002</v>
      </c>
      <c r="C634" s="22"/>
      <c r="D634" s="3" t="str" cm="1">
        <f t="array" aca="1" ref="D634" ca="1">_xlfn.SWITCH(MID(Master[[#This Row],[Checklist]],1,4),"C - ","Civil","F - ","Foundation","ST -","Structure","FC -","Façade","PRE ","Pre-Line","POST","Post-Line","H - ","Handover","S - ","Services","CST ","Completion Docs", "I - ", "Inspection")</f>
        <v>Completion Docs</v>
      </c>
      <c r="E634" s="23" t="str">
        <f ca="1">IF(NOT(ISERROR(SEARCH("- S -", Master[[#This Row],[Checklist]]))), "Subcontractor",IF(NOT(ISERROR(SEARCH("- R -", Master[[#This Row],[Checklist]]))), "Ryman",IF(NOT(ISERROR(SEARCH("- C -", Master[[#This Row],[Checklist]]))), "Consultant",IF(NOT(ISERROR(SEARCH("- I -", Master[[#This Row],[Checklist]]))),  "Inspection Test Plan", "Naming Error"))))</f>
        <v>Ryman</v>
      </c>
      <c r="F634" s="24" t="str">
        <f ca="1">IF(OR(Master[[#This Row],[Type]]="checklist", Master[[#This Row],[Type]]="checklist-flat"), Master[[#This Row],[Name]], F633)</f>
        <v>CST - R - Council Inspection</v>
      </c>
      <c r="G634" s="24" t="s">
        <v>124</v>
      </c>
      <c r="H634" s="24" t="s">
        <v>1650</v>
      </c>
      <c r="I634" s="24"/>
      <c r="J634" s="21">
        <f ca="1">_xlfn.XLOOKUP(Master[[#This Row],[Checklist]],Ref!A:A,Ref!B:B)*1000</f>
        <v>75000</v>
      </c>
      <c r="K634" s="21">
        <f ca="1">COUNTIF($J$2:Master[[#This Row],[ChecklistID]],Master[[#This Row],[ChecklistID]])-1</f>
        <v>2</v>
      </c>
      <c r="L634" s="23" t="s">
        <v>6</v>
      </c>
    </row>
    <row r="635" spans="1:12" ht="15.75">
      <c r="A635" s="23">
        <f t="shared" si="9"/>
        <v>634</v>
      </c>
      <c r="B635" s="21">
        <f ca="1">Master[[#This Row],[ChecklistID]]+Master[[#This Row],[Checklist Order]]</f>
        <v>75003</v>
      </c>
      <c r="C635" s="22"/>
      <c r="D635" s="3" t="str" cm="1">
        <f t="array" aca="1" ref="D635" ca="1">_xlfn.SWITCH(MID(Master[[#This Row],[Checklist]],1,4),"C - ","Civil","F - ","Foundation","ST -","Structure","FC -","Façade","PRE ","Pre-Line","POST","Post-Line","H - ","Handover","S - ","Services","CST ","Completion Docs", "I - ", "Inspection")</f>
        <v>Completion Docs</v>
      </c>
      <c r="E635" s="23" t="str">
        <f ca="1">IF(NOT(ISERROR(SEARCH("- S -", Master[[#This Row],[Checklist]]))), "Subcontractor",IF(NOT(ISERROR(SEARCH("- R -", Master[[#This Row],[Checklist]]))), "Ryman",IF(NOT(ISERROR(SEARCH("- C -", Master[[#This Row],[Checklist]]))), "Consultant",IF(NOT(ISERROR(SEARCH("- I -", Master[[#This Row],[Checklist]]))),  "Inspection Test Plan", "Naming Error"))))</f>
        <v>Ryman</v>
      </c>
      <c r="F635" s="24" t="str">
        <f ca="1">IF(OR(Master[[#This Row],[Type]]="checklist", Master[[#This Row],[Type]]="checklist-flat"), Master[[#This Row],[Name]], F634)</f>
        <v>CST - R - Council Inspection</v>
      </c>
      <c r="G635" s="24" t="s">
        <v>124</v>
      </c>
      <c r="H635" s="24" t="s">
        <v>1651</v>
      </c>
      <c r="I635" s="24"/>
      <c r="J635" s="21">
        <f ca="1">_xlfn.XLOOKUP(Master[[#This Row],[Checklist]],Ref!A:A,Ref!B:B)*1000</f>
        <v>75000</v>
      </c>
      <c r="K635" s="21">
        <f ca="1">COUNTIF($J$2:Master[[#This Row],[ChecklistID]],Master[[#This Row],[ChecklistID]])-1</f>
        <v>3</v>
      </c>
      <c r="L635" s="23" t="s">
        <v>6</v>
      </c>
    </row>
    <row r="636" spans="1:12" ht="15.75">
      <c r="A636" s="23">
        <f t="shared" si="9"/>
        <v>635</v>
      </c>
      <c r="B636" s="21">
        <f ca="1">Master[[#This Row],[ChecklistID]]+Master[[#This Row],[Checklist Order]]</f>
        <v>75004</v>
      </c>
      <c r="C636" s="22"/>
      <c r="D636" s="3" t="str" cm="1">
        <f t="array" aca="1" ref="D636" ca="1">_xlfn.SWITCH(MID(Master[[#This Row],[Checklist]],1,4),"C - ","Civil","F - ","Foundation","ST -","Structure","FC -","Façade","PRE ","Pre-Line","POST","Post-Line","H - ","Handover","S - ","Services","CST ","Completion Docs", "I - ", "Inspection")</f>
        <v>Completion Docs</v>
      </c>
      <c r="E636" s="23" t="str">
        <f ca="1">IF(NOT(ISERROR(SEARCH("- S -", Master[[#This Row],[Checklist]]))), "Subcontractor",IF(NOT(ISERROR(SEARCH("- R -", Master[[#This Row],[Checklist]]))), "Ryman",IF(NOT(ISERROR(SEARCH("- C -", Master[[#This Row],[Checklist]]))), "Consultant",IF(NOT(ISERROR(SEARCH("- I -", Master[[#This Row],[Checklist]]))),  "Inspection Test Plan", "Naming Error"))))</f>
        <v>Ryman</v>
      </c>
      <c r="F636" s="24" t="str">
        <f ca="1">IF(OR(Master[[#This Row],[Type]]="checklist", Master[[#This Row],[Type]]="checklist-flat"), Master[[#This Row],[Name]], F635)</f>
        <v>CST - R - Council Inspection</v>
      </c>
      <c r="G636" s="24" t="s">
        <v>796</v>
      </c>
      <c r="H636" s="24" t="s">
        <v>1652</v>
      </c>
      <c r="I636" s="24" t="s">
        <v>1653</v>
      </c>
      <c r="J636" s="21">
        <f ca="1">_xlfn.XLOOKUP(Master[[#This Row],[Checklist]],Ref!A:A,Ref!B:B)*1000</f>
        <v>75000</v>
      </c>
      <c r="K636" s="21">
        <f ca="1">COUNTIF($J$2:Master[[#This Row],[ChecklistID]],Master[[#This Row],[ChecklistID]])-1</f>
        <v>4</v>
      </c>
      <c r="L636" s="23" t="s">
        <v>6</v>
      </c>
    </row>
    <row r="637" spans="1:12" ht="15.75">
      <c r="A637" s="23">
        <f t="shared" si="9"/>
        <v>636</v>
      </c>
      <c r="B637" s="21">
        <f ca="1">Master[[#This Row],[ChecklistID]]+Master[[#This Row],[Checklist Order]]</f>
        <v>75005</v>
      </c>
      <c r="C637" s="22"/>
      <c r="D637" s="3" t="str" cm="1">
        <f t="array" aca="1" ref="D637" ca="1">_xlfn.SWITCH(MID(Master[[#This Row],[Checklist]],1,4),"C - ","Civil","F - ","Foundation","ST -","Structure","FC -","Façade","PRE ","Pre-Line","POST","Post-Line","H - ","Handover","S - ","Services","CST ","Completion Docs", "I - ", "Inspection")</f>
        <v>Completion Docs</v>
      </c>
      <c r="E637" s="23" t="str">
        <f ca="1">IF(NOT(ISERROR(SEARCH("- S -", Master[[#This Row],[Checklist]]))), "Subcontractor",IF(NOT(ISERROR(SEARCH("- R -", Master[[#This Row],[Checklist]]))), "Ryman",IF(NOT(ISERROR(SEARCH("- C -", Master[[#This Row],[Checklist]]))), "Consultant",IF(NOT(ISERROR(SEARCH("- I -", Master[[#This Row],[Checklist]]))),  "Inspection Test Plan", "Naming Error"))))</f>
        <v>Ryman</v>
      </c>
      <c r="F637" s="24" t="str">
        <f ca="1">IF(OR(Master[[#This Row],[Type]]="checklist", Master[[#This Row],[Type]]="checklist-flat"), Master[[#This Row],[Name]], F636)</f>
        <v>CST - R - Council Inspection</v>
      </c>
      <c r="G637" s="24" t="s">
        <v>66</v>
      </c>
      <c r="H637" s="24" t="s">
        <v>1654</v>
      </c>
      <c r="I637" s="24"/>
      <c r="J637" s="21">
        <f ca="1">_xlfn.XLOOKUP(Master[[#This Row],[Checklist]],Ref!A:A,Ref!B:B)*1000</f>
        <v>75000</v>
      </c>
      <c r="K637" s="21">
        <f ca="1">COUNTIF($J$2:Master[[#This Row],[ChecklistID]],Master[[#This Row],[ChecklistID]])-1</f>
        <v>5</v>
      </c>
      <c r="L637" s="23" t="s">
        <v>6</v>
      </c>
    </row>
    <row r="638" spans="1:12" ht="15.75">
      <c r="A638" s="23">
        <f t="shared" si="9"/>
        <v>637</v>
      </c>
      <c r="B638" s="21">
        <f ca="1">Master[[#This Row],[ChecklistID]]+Master[[#This Row],[Checklist Order]]</f>
        <v>75006</v>
      </c>
      <c r="C638" s="22"/>
      <c r="D638" s="3" t="str" cm="1">
        <f t="array" aca="1" ref="D638" ca="1">_xlfn.SWITCH(MID(Master[[#This Row],[Checklist]],1,4),"C - ","Civil","F - ","Foundation","ST -","Structure","FC -","Façade","PRE ","Pre-Line","POST","Post-Line","H - ","Handover","S - ","Services","CST ","Completion Docs", "I - ", "Inspection")</f>
        <v>Completion Docs</v>
      </c>
      <c r="E638" s="23" t="str">
        <f ca="1">IF(NOT(ISERROR(SEARCH("- S -", Master[[#This Row],[Checklist]]))), "Subcontractor",IF(NOT(ISERROR(SEARCH("- R -", Master[[#This Row],[Checklist]]))), "Ryman",IF(NOT(ISERROR(SEARCH("- C -", Master[[#This Row],[Checklist]]))), "Consultant",IF(NOT(ISERROR(SEARCH("- I -", Master[[#This Row],[Checklist]]))),  "Inspection Test Plan", "Naming Error"))))</f>
        <v>Ryman</v>
      </c>
      <c r="F638" s="24" t="str">
        <f ca="1">IF(OR(Master[[#This Row],[Type]]="checklist", Master[[#This Row],[Type]]="checklist-flat"), Master[[#This Row],[Name]], F637)</f>
        <v>CST - R - Council Inspection</v>
      </c>
      <c r="G638" s="24" t="s">
        <v>49</v>
      </c>
      <c r="H638" s="24" t="s">
        <v>1655</v>
      </c>
      <c r="I638" s="24"/>
      <c r="J638" s="21">
        <f ca="1">_xlfn.XLOOKUP(Master[[#This Row],[Checklist]],Ref!A:A,Ref!B:B)*1000</f>
        <v>75000</v>
      </c>
      <c r="K638" s="21">
        <f ca="1">COUNTIF($J$2:Master[[#This Row],[ChecklistID]],Master[[#This Row],[ChecklistID]])-1</f>
        <v>6</v>
      </c>
      <c r="L638" s="23" t="s">
        <v>6</v>
      </c>
    </row>
    <row r="639" spans="1:12" ht="15.75">
      <c r="A639" s="23">
        <f t="shared" si="9"/>
        <v>638</v>
      </c>
      <c r="B639" s="21">
        <f ca="1">Master[[#This Row],[ChecklistID]]+Master[[#This Row],[Checklist Order]]</f>
        <v>75007</v>
      </c>
      <c r="C639" s="22"/>
      <c r="D639" s="3" t="str" cm="1">
        <f t="array" aca="1" ref="D639" ca="1">_xlfn.SWITCH(MID(Master[[#This Row],[Checklist]],1,4),"C - ","Civil","F - ","Foundation","ST -","Structure","FC -","Façade","PRE ","Pre-Line","POST","Post-Line","H - ","Handover","S - ","Services","CST ","Completion Docs", "I - ", "Inspection")</f>
        <v>Completion Docs</v>
      </c>
      <c r="E639" s="23" t="str">
        <f ca="1">IF(NOT(ISERROR(SEARCH("- S -", Master[[#This Row],[Checklist]]))), "Subcontractor",IF(NOT(ISERROR(SEARCH("- R -", Master[[#This Row],[Checklist]]))), "Ryman",IF(NOT(ISERROR(SEARCH("- C -", Master[[#This Row],[Checklist]]))), "Consultant",IF(NOT(ISERROR(SEARCH("- I -", Master[[#This Row],[Checklist]]))),  "Inspection Test Plan", "Naming Error"))))</f>
        <v>Ryman</v>
      </c>
      <c r="F639" s="24" t="str">
        <f ca="1">IF(OR(Master[[#This Row],[Type]]="checklist", Master[[#This Row],[Type]]="checklist-flat"), Master[[#This Row],[Name]], F638)</f>
        <v>CST - R - Council Inspection</v>
      </c>
      <c r="G639" s="24" t="s">
        <v>124</v>
      </c>
      <c r="H639" s="24" t="s">
        <v>1656</v>
      </c>
      <c r="I639" s="24"/>
      <c r="J639" s="21">
        <f ca="1">_xlfn.XLOOKUP(Master[[#This Row],[Checklist]],Ref!A:A,Ref!B:B)*1000</f>
        <v>75000</v>
      </c>
      <c r="K639" s="21">
        <f ca="1">COUNTIF($J$2:Master[[#This Row],[ChecklistID]],Master[[#This Row],[ChecklistID]])-1</f>
        <v>7</v>
      </c>
      <c r="L639" s="23" t="s">
        <v>6</v>
      </c>
    </row>
    <row r="640" spans="1:12" ht="15.75">
      <c r="A640" s="23">
        <f t="shared" si="9"/>
        <v>639</v>
      </c>
      <c r="B640" s="21">
        <f ca="1">Master[[#This Row],[ChecklistID]]+Master[[#This Row],[Checklist Order]]</f>
        <v>76000</v>
      </c>
      <c r="C640" s="22"/>
      <c r="D640" s="3" t="str" cm="1">
        <f t="array" aca="1" ref="D640" ca="1">_xlfn.SWITCH(MID(Master[[#This Row],[Checklist]],1,4),"C - ","Civil","F - ","Foundation","ST -","Structure","FC -","Façade","PRE ","Pre-Line","POST","Post-Line","H - ","Handover","S - ","Services","CST ","Completion Docs", "I - ", "Inspection")</f>
        <v>Structure</v>
      </c>
      <c r="E640" s="23" t="str">
        <f ca="1">IF(NOT(ISERROR(SEARCH("- S -", Master[[#This Row],[Checklist]]))), "Subcontractor",IF(NOT(ISERROR(SEARCH("- R -", Master[[#This Row],[Checklist]]))), "Ryman",IF(NOT(ISERROR(SEARCH("- C -", Master[[#This Row],[Checklist]]))), "Consultant",IF(NOT(ISERROR(SEARCH("- I -", Master[[#This Row],[Checklist]]))),  "Inspection Test Plan", "Naming Error"))))</f>
        <v>Ryman</v>
      </c>
      <c r="F640" s="24" t="str">
        <f ca="1">IF(OR(Master[[#This Row],[Type]]="checklist", Master[[#This Row],[Type]]="checklist-flat"), Master[[#This Row],[Name]], F639)</f>
        <v>ST - R - Precast Balcony Installation</v>
      </c>
      <c r="G640" s="3" t="s">
        <v>48</v>
      </c>
      <c r="H640" s="24" t="s">
        <v>1657</v>
      </c>
      <c r="I640" s="3"/>
      <c r="J640" s="21">
        <f ca="1">_xlfn.XLOOKUP(Master[[#This Row],[Checklist]],Ref!A:A,Ref!B:B)*1000</f>
        <v>76000</v>
      </c>
      <c r="K640" s="21">
        <f ca="1">COUNTIF($J$2:Master[[#This Row],[ChecklistID]],Master[[#This Row],[ChecklistID]])-1</f>
        <v>0</v>
      </c>
      <c r="L640" s="23" t="s">
        <v>6</v>
      </c>
    </row>
    <row r="641" spans="1:12" ht="15.75">
      <c r="A641" s="23">
        <f t="shared" si="9"/>
        <v>640</v>
      </c>
      <c r="B641" s="21">
        <f ca="1">Master[[#This Row],[ChecklistID]]+Master[[#This Row],[Checklist Order]]</f>
        <v>76001</v>
      </c>
      <c r="C641" s="22"/>
      <c r="D641" s="3" t="str" cm="1">
        <f t="array" aca="1" ref="D641" ca="1">_xlfn.SWITCH(MID(Master[[#This Row],[Checklist]],1,4),"C - ","Civil","F - ","Foundation","ST -","Structure","FC -","Façade","PRE ","Pre-Line","POST","Post-Line","H - ","Handover","S - ","Services","CST ","Completion Docs", "I - ", "Inspection")</f>
        <v>Structure</v>
      </c>
      <c r="E641" s="23" t="str">
        <f ca="1">IF(NOT(ISERROR(SEARCH("- S -", Master[[#This Row],[Checklist]]))), "Subcontractor",IF(NOT(ISERROR(SEARCH("- R -", Master[[#This Row],[Checklist]]))), "Ryman",IF(NOT(ISERROR(SEARCH("- C -", Master[[#This Row],[Checklist]]))), "Consultant",IF(NOT(ISERROR(SEARCH("- I -", Master[[#This Row],[Checklist]]))),  "Inspection Test Plan", "Naming Error"))))</f>
        <v>Ryman</v>
      </c>
      <c r="F641" s="24" t="str">
        <f ca="1">IF(OR(Master[[#This Row],[Type]]="checklist", Master[[#This Row],[Type]]="checklist-flat"), Master[[#This Row],[Name]], F640)</f>
        <v>ST - R - Precast Balcony Installation</v>
      </c>
      <c r="G641" s="3" t="s">
        <v>49</v>
      </c>
      <c r="H641" s="24" t="s">
        <v>1263</v>
      </c>
      <c r="I641" s="3"/>
      <c r="J641" s="21">
        <f ca="1">_xlfn.XLOOKUP(Master[[#This Row],[Checklist]],Ref!A:A,Ref!B:B)*1000</f>
        <v>76000</v>
      </c>
      <c r="K641" s="21">
        <f ca="1">COUNTIF($J$2:Master[[#This Row],[ChecklistID]],Master[[#This Row],[ChecklistID]])-1</f>
        <v>1</v>
      </c>
      <c r="L641" s="23" t="s">
        <v>6</v>
      </c>
    </row>
    <row r="642" spans="1:12" ht="15.75">
      <c r="A642" s="23">
        <f t="shared" ref="A642:A681" si="10">IFERROR(A641+1,1)</f>
        <v>641</v>
      </c>
      <c r="B642" s="21">
        <f ca="1">Master[[#This Row],[ChecklistID]]+Master[[#This Row],[Checklist Order]]</f>
        <v>76002</v>
      </c>
      <c r="C642" s="22"/>
      <c r="D642" s="3" t="str" cm="1">
        <f t="array" aca="1" ref="D642" ca="1">_xlfn.SWITCH(MID(Master[[#This Row],[Checklist]],1,4),"C - ","Civil","F - ","Foundation","ST -","Structure","FC -","Façade","PRE ","Pre-Line","POST","Post-Line","H - ","Handover","S - ","Services","CST ","Completion Docs", "I - ", "Inspection")</f>
        <v>Structure</v>
      </c>
      <c r="E642" s="23" t="str">
        <f ca="1">IF(NOT(ISERROR(SEARCH("- S -", Master[[#This Row],[Checklist]]))), "Subcontractor",IF(NOT(ISERROR(SEARCH("- R -", Master[[#This Row],[Checklist]]))), "Ryman",IF(NOT(ISERROR(SEARCH("- C -", Master[[#This Row],[Checklist]]))), "Consultant",IF(NOT(ISERROR(SEARCH("- I -", Master[[#This Row],[Checklist]]))),  "Inspection Test Plan", "Naming Error"))))</f>
        <v>Ryman</v>
      </c>
      <c r="F642" s="24" t="str">
        <f ca="1">IF(OR(Master[[#This Row],[Type]]="checklist", Master[[#This Row],[Type]]="checklist-flat"), Master[[#This Row],[Name]], F641)</f>
        <v>ST - R - Precast Balcony Installation</v>
      </c>
      <c r="G642" s="3" t="s">
        <v>49</v>
      </c>
      <c r="H642" s="24" t="s">
        <v>1264</v>
      </c>
      <c r="I642" s="3"/>
      <c r="J642" s="21">
        <f ca="1">_xlfn.XLOOKUP(Master[[#This Row],[Checklist]],Ref!A:A,Ref!B:B)*1000</f>
        <v>76000</v>
      </c>
      <c r="K642" s="21">
        <f ca="1">COUNTIF($J$2:Master[[#This Row],[ChecklistID]],Master[[#This Row],[ChecklistID]])-1</f>
        <v>2</v>
      </c>
      <c r="L642" s="23" t="s">
        <v>6</v>
      </c>
    </row>
    <row r="643" spans="1:12" ht="15.75">
      <c r="A643" s="23">
        <f t="shared" si="10"/>
        <v>642</v>
      </c>
      <c r="B643" s="21">
        <f ca="1">Master[[#This Row],[ChecklistID]]+Master[[#This Row],[Checklist Order]]</f>
        <v>76003</v>
      </c>
      <c r="C643" s="22"/>
      <c r="D643" s="3" t="str" cm="1">
        <f t="array" aca="1" ref="D643" ca="1">_xlfn.SWITCH(MID(Master[[#This Row],[Checklist]],1,4),"C - ","Civil","F - ","Foundation","ST -","Structure","FC -","Façade","PRE ","Pre-Line","POST","Post-Line","H - ","Handover","S - ","Services","CST ","Completion Docs", "I - ", "Inspection")</f>
        <v>Structure</v>
      </c>
      <c r="E643" s="23" t="str">
        <f ca="1">IF(NOT(ISERROR(SEARCH("- S -", Master[[#This Row],[Checklist]]))), "Subcontractor",IF(NOT(ISERROR(SEARCH("- R -", Master[[#This Row],[Checklist]]))), "Ryman",IF(NOT(ISERROR(SEARCH("- C -", Master[[#This Row],[Checklist]]))), "Consultant",IF(NOT(ISERROR(SEARCH("- I -", Master[[#This Row],[Checklist]]))),  "Inspection Test Plan", "Naming Error"))))</f>
        <v>Ryman</v>
      </c>
      <c r="F643" s="24" t="str">
        <f ca="1">IF(OR(Master[[#This Row],[Type]]="checklist", Master[[#This Row],[Type]]="checklist-flat"), Master[[#This Row],[Name]], F642)</f>
        <v>ST - R - Precast Balcony Installation</v>
      </c>
      <c r="G643" s="3" t="s">
        <v>49</v>
      </c>
      <c r="H643" s="24" t="s">
        <v>1658</v>
      </c>
      <c r="I643" s="3"/>
      <c r="J643" s="21">
        <f ca="1">_xlfn.XLOOKUP(Master[[#This Row],[Checklist]],Ref!A:A,Ref!B:B)*1000</f>
        <v>76000</v>
      </c>
      <c r="K643" s="21">
        <f ca="1">COUNTIF($J$2:Master[[#This Row],[ChecklistID]],Master[[#This Row],[ChecklistID]])-1</f>
        <v>3</v>
      </c>
      <c r="L643" s="23" t="s">
        <v>6</v>
      </c>
    </row>
    <row r="644" spans="1:12" ht="15.75">
      <c r="A644" s="23">
        <f t="shared" si="10"/>
        <v>643</v>
      </c>
      <c r="B644" s="21">
        <f ca="1">Master[[#This Row],[ChecklistID]]+Master[[#This Row],[Checklist Order]]</f>
        <v>76004</v>
      </c>
      <c r="C644" s="22"/>
      <c r="D644" s="3" t="str" cm="1">
        <f t="array" aca="1" ref="D644" ca="1">_xlfn.SWITCH(MID(Master[[#This Row],[Checklist]],1,4),"C - ","Civil","F - ","Foundation","ST -","Structure","FC -","Façade","PRE ","Pre-Line","POST","Post-Line","H - ","Handover","S - ","Services","CST ","Completion Docs", "I - ", "Inspection")</f>
        <v>Structure</v>
      </c>
      <c r="E644" s="23" t="str">
        <f ca="1">IF(NOT(ISERROR(SEARCH("- S -", Master[[#This Row],[Checklist]]))), "Subcontractor",IF(NOT(ISERROR(SEARCH("- R -", Master[[#This Row],[Checklist]]))), "Ryman",IF(NOT(ISERROR(SEARCH("- C -", Master[[#This Row],[Checklist]]))), "Consultant",IF(NOT(ISERROR(SEARCH("- I -", Master[[#This Row],[Checklist]]))),  "Inspection Test Plan", "Naming Error"))))</f>
        <v>Ryman</v>
      </c>
      <c r="F644" s="24" t="str">
        <f ca="1">IF(OR(Master[[#This Row],[Type]]="checklist", Master[[#This Row],[Type]]="checklist-flat"), Master[[#This Row],[Name]], F643)</f>
        <v>ST - R - Precast Balcony Installation</v>
      </c>
      <c r="G644" s="3" t="s">
        <v>58</v>
      </c>
      <c r="H644" s="24" t="s">
        <v>306</v>
      </c>
      <c r="I644" s="3"/>
      <c r="J644" s="21">
        <f ca="1">_xlfn.XLOOKUP(Master[[#This Row],[Checklist]],Ref!A:A,Ref!B:B)*1000</f>
        <v>76000</v>
      </c>
      <c r="K644" s="21">
        <f ca="1">COUNTIF($J$2:Master[[#This Row],[ChecklistID]],Master[[#This Row],[ChecklistID]])-1</f>
        <v>4</v>
      </c>
      <c r="L644" s="23" t="s">
        <v>6</v>
      </c>
    </row>
    <row r="645" spans="1:12" ht="15.75">
      <c r="A645" s="23">
        <f t="shared" si="10"/>
        <v>644</v>
      </c>
      <c r="B645" s="21">
        <f ca="1">Master[[#This Row],[ChecklistID]]+Master[[#This Row],[Checklist Order]]</f>
        <v>76005</v>
      </c>
      <c r="C645" s="22"/>
      <c r="D645" s="3" t="str" cm="1">
        <f t="array" aca="1" ref="D645" ca="1">_xlfn.SWITCH(MID(Master[[#This Row],[Checklist]],1,4),"C - ","Civil","F - ","Foundation","ST -","Structure","FC -","Façade","PRE ","Pre-Line","POST","Post-Line","H - ","Handover","S - ","Services","CST ","Completion Docs", "I - ", "Inspection")</f>
        <v>Structure</v>
      </c>
      <c r="E645" s="23" t="str">
        <f ca="1">IF(NOT(ISERROR(SEARCH("- S -", Master[[#This Row],[Checklist]]))), "Subcontractor",IF(NOT(ISERROR(SEARCH("- R -", Master[[#This Row],[Checklist]]))), "Ryman",IF(NOT(ISERROR(SEARCH("- C -", Master[[#This Row],[Checklist]]))), "Consultant",IF(NOT(ISERROR(SEARCH("- I -", Master[[#This Row],[Checklist]]))),  "Inspection Test Plan", "Naming Error"))))</f>
        <v>Ryman</v>
      </c>
      <c r="F645" s="24" t="str">
        <f ca="1">IF(OR(Master[[#This Row],[Type]]="checklist", Master[[#This Row],[Type]]="checklist-flat"), Master[[#This Row],[Name]], F644)</f>
        <v>ST - R - Precast Balcony Installation</v>
      </c>
      <c r="G645" s="3" t="s">
        <v>49</v>
      </c>
      <c r="H645" s="24" t="s">
        <v>1659</v>
      </c>
      <c r="I645" s="3"/>
      <c r="J645" s="21">
        <f ca="1">_xlfn.XLOOKUP(Master[[#This Row],[Checklist]],Ref!A:A,Ref!B:B)*1000</f>
        <v>76000</v>
      </c>
      <c r="K645" s="21">
        <f ca="1">COUNTIF($J$2:Master[[#This Row],[ChecklistID]],Master[[#This Row],[ChecklistID]])-1</f>
        <v>5</v>
      </c>
      <c r="L645" s="23" t="s">
        <v>6</v>
      </c>
    </row>
    <row r="646" spans="1:12" ht="15.75">
      <c r="A646" s="23">
        <f t="shared" si="10"/>
        <v>645</v>
      </c>
      <c r="B646" s="21">
        <f ca="1">Master[[#This Row],[ChecklistID]]+Master[[#This Row],[Checklist Order]]</f>
        <v>77000</v>
      </c>
      <c r="C646" s="22"/>
      <c r="D646" s="3" t="str" cm="1">
        <f t="array" aca="1" ref="D646" ca="1">_xlfn.SWITCH(MID(Master[[#This Row],[Checklist]],1,4),"C - ","Civil","F - ","Foundation","ST -","Structure","FC -","Façade","PRE ","Pre-Line","POST","Post-Line","H - ","Handover","S - ","Services","CST ","Completion Docs", "I - ", "Inspection")</f>
        <v>Completion Docs</v>
      </c>
      <c r="E646" s="23" t="str">
        <f ca="1">IF(NOT(ISERROR(SEARCH("- S -", Master[[#This Row],[Checklist]]))), "Subcontractor",IF(NOT(ISERROR(SEARCH("- R -", Master[[#This Row],[Checklist]]))), "Ryman",IF(NOT(ISERROR(SEARCH("- C -", Master[[#This Row],[Checklist]]))), "Consultant",IF(NOT(ISERROR(SEARCH("- I -", Master[[#This Row],[Checklist]]))),  "Inspection Test Plan", "Naming Error"))))</f>
        <v>Ryman</v>
      </c>
      <c r="F646" s="24" t="str">
        <f ca="1">IF(OR(Master[[#This Row],[Type]]="checklist", Master[[#This Row],[Type]]="checklist-flat"), Master[[#This Row],[Name]], F645)</f>
        <v>CST - R - Demolition Consent</v>
      </c>
      <c r="G646" s="3" t="s">
        <v>48</v>
      </c>
      <c r="H646" s="24" t="s">
        <v>1660</v>
      </c>
      <c r="I646" s="3"/>
      <c r="J646" s="21">
        <f ca="1">_xlfn.XLOOKUP(Master[[#This Row],[Checklist]],Ref!A:A,Ref!B:B)*1000</f>
        <v>77000</v>
      </c>
      <c r="K646" s="21">
        <f ca="1">COUNTIF($J$2:Master[[#This Row],[ChecklistID]],Master[[#This Row],[ChecklistID]])-1</f>
        <v>0</v>
      </c>
      <c r="L646" s="23" t="s">
        <v>6</v>
      </c>
    </row>
    <row r="647" spans="1:12" ht="15.75">
      <c r="A647" s="23">
        <f t="shared" si="10"/>
        <v>646</v>
      </c>
      <c r="B647" s="21">
        <f ca="1">Master[[#This Row],[ChecklistID]]+Master[[#This Row],[Checklist Order]]</f>
        <v>77001</v>
      </c>
      <c r="C647" s="22"/>
      <c r="D647" s="3" t="str" cm="1">
        <f t="array" aca="1" ref="D647" ca="1">_xlfn.SWITCH(MID(Master[[#This Row],[Checklist]],1,4),"C - ","Civil","F - ","Foundation","ST -","Structure","FC -","Façade","PRE ","Pre-Line","POST","Post-Line","H - ","Handover","S - ","Services","CST ","Completion Docs", "I - ", "Inspection")</f>
        <v>Completion Docs</v>
      </c>
      <c r="E647" s="23" t="str">
        <f ca="1">IF(NOT(ISERROR(SEARCH("- S -", Master[[#This Row],[Checklist]]))), "Subcontractor",IF(NOT(ISERROR(SEARCH("- R -", Master[[#This Row],[Checklist]]))), "Ryman",IF(NOT(ISERROR(SEARCH("- C -", Master[[#This Row],[Checklist]]))), "Consultant",IF(NOT(ISERROR(SEARCH("- I -", Master[[#This Row],[Checklist]]))),  "Inspection Test Plan", "Naming Error"))))</f>
        <v>Ryman</v>
      </c>
      <c r="F647" s="24" t="str">
        <f ca="1">IF(OR(Master[[#This Row],[Type]]="checklist", Master[[#This Row],[Type]]="checklist-flat"), Master[[#This Row],[Name]], F646)</f>
        <v>CST - R - Demolition Consent</v>
      </c>
      <c r="G647" s="3" t="s">
        <v>49</v>
      </c>
      <c r="H647" s="24" t="s">
        <v>1391</v>
      </c>
      <c r="I647" s="3"/>
      <c r="J647" s="21">
        <f ca="1">_xlfn.XLOOKUP(Master[[#This Row],[Checklist]],Ref!A:A,Ref!B:B)*1000</f>
        <v>77000</v>
      </c>
      <c r="K647" s="21">
        <f ca="1">COUNTIF($J$2:Master[[#This Row],[ChecklistID]],Master[[#This Row],[ChecklistID]])-1</f>
        <v>1</v>
      </c>
      <c r="L647" s="23" t="s">
        <v>6</v>
      </c>
    </row>
    <row r="648" spans="1:12" ht="15.75">
      <c r="A648" s="23">
        <f t="shared" si="10"/>
        <v>647</v>
      </c>
      <c r="B648" s="21">
        <f ca="1">Master[[#This Row],[ChecklistID]]+Master[[#This Row],[Checklist Order]]</f>
        <v>77002</v>
      </c>
      <c r="C648" s="22"/>
      <c r="D648" s="3" t="str" cm="1">
        <f t="array" aca="1" ref="D648" ca="1">_xlfn.SWITCH(MID(Master[[#This Row],[Checklist]],1,4),"C - ","Civil","F - ","Foundation","ST -","Structure","FC -","Façade","PRE ","Pre-Line","POST","Post-Line","H - ","Handover","S - ","Services","CST ","Completion Docs", "I - ", "Inspection")</f>
        <v>Completion Docs</v>
      </c>
      <c r="E648" s="23" t="str">
        <f ca="1">IF(NOT(ISERROR(SEARCH("- S -", Master[[#This Row],[Checklist]]))), "Subcontractor",IF(NOT(ISERROR(SEARCH("- R -", Master[[#This Row],[Checklist]]))), "Ryman",IF(NOT(ISERROR(SEARCH("- C -", Master[[#This Row],[Checklist]]))), "Consultant",IF(NOT(ISERROR(SEARCH("- I -", Master[[#This Row],[Checklist]]))),  "Inspection Test Plan", "Naming Error"))))</f>
        <v>Ryman</v>
      </c>
      <c r="F648" s="24" t="str">
        <f ca="1">IF(OR(Master[[#This Row],[Type]]="checklist", Master[[#This Row],[Type]]="checklist-flat"), Master[[#This Row],[Name]], F647)</f>
        <v>CST - R - Demolition Consent</v>
      </c>
      <c r="G648" s="3" t="s">
        <v>49</v>
      </c>
      <c r="H648" s="24" t="s">
        <v>1661</v>
      </c>
      <c r="I648" s="3"/>
      <c r="J648" s="21">
        <f ca="1">_xlfn.XLOOKUP(Master[[#This Row],[Checklist]],Ref!A:A,Ref!B:B)*1000</f>
        <v>77000</v>
      </c>
      <c r="K648" s="21">
        <f ca="1">COUNTIF($J$2:Master[[#This Row],[ChecklistID]],Master[[#This Row],[ChecklistID]])-1</f>
        <v>2</v>
      </c>
      <c r="L648" s="23" t="s">
        <v>6</v>
      </c>
    </row>
    <row r="649" spans="1:12" ht="15.75">
      <c r="A649" s="23">
        <f t="shared" si="10"/>
        <v>648</v>
      </c>
      <c r="B649" s="21">
        <f ca="1">Master[[#This Row],[ChecklistID]]+Master[[#This Row],[Checklist Order]]</f>
        <v>77003</v>
      </c>
      <c r="C649" s="22"/>
      <c r="D649" s="3" t="str" cm="1">
        <f t="array" aca="1" ref="D649" ca="1">_xlfn.SWITCH(MID(Master[[#This Row],[Checklist]],1,4),"C - ","Civil","F - ","Foundation","ST -","Structure","FC -","Façade","PRE ","Pre-Line","POST","Post-Line","H - ","Handover","S - ","Services","CST ","Completion Docs", "I - ", "Inspection")</f>
        <v>Completion Docs</v>
      </c>
      <c r="E649" s="23" t="str">
        <f ca="1">IF(NOT(ISERROR(SEARCH("- S -", Master[[#This Row],[Checklist]]))), "Subcontractor",IF(NOT(ISERROR(SEARCH("- R -", Master[[#This Row],[Checklist]]))), "Ryman",IF(NOT(ISERROR(SEARCH("- C -", Master[[#This Row],[Checklist]]))), "Consultant",IF(NOT(ISERROR(SEARCH("- I -", Master[[#This Row],[Checklist]]))),  "Inspection Test Plan", "Naming Error"))))</f>
        <v>Ryman</v>
      </c>
      <c r="F649" s="24" t="str">
        <f ca="1">IF(OR(Master[[#This Row],[Type]]="checklist", Master[[#This Row],[Type]]="checklist-flat"), Master[[#This Row],[Name]], F648)</f>
        <v>CST - R - Demolition Consent</v>
      </c>
      <c r="G649" s="3" t="s">
        <v>49</v>
      </c>
      <c r="H649" s="24" t="s">
        <v>1662</v>
      </c>
      <c r="I649" s="3"/>
      <c r="J649" s="21">
        <f ca="1">_xlfn.XLOOKUP(Master[[#This Row],[Checklist]],Ref!A:A,Ref!B:B)*1000</f>
        <v>77000</v>
      </c>
      <c r="K649" s="21">
        <f ca="1">COUNTIF($J$2:Master[[#This Row],[ChecklistID]],Master[[#This Row],[ChecklistID]])-1</f>
        <v>3</v>
      </c>
      <c r="L649" s="23" t="s">
        <v>6</v>
      </c>
    </row>
    <row r="650" spans="1:12" ht="15.75">
      <c r="A650" s="23">
        <f t="shared" si="10"/>
        <v>649</v>
      </c>
      <c r="B650" s="21">
        <f ca="1">Master[[#This Row],[ChecklistID]]+Master[[#This Row],[Checklist Order]]</f>
        <v>77004</v>
      </c>
      <c r="C650" s="22"/>
      <c r="D650" s="3" t="str" cm="1">
        <f t="array" aca="1" ref="D650" ca="1">_xlfn.SWITCH(MID(Master[[#This Row],[Checklist]],1,4),"C - ","Civil","F - ","Foundation","ST -","Structure","FC -","Façade","PRE ","Pre-Line","POST","Post-Line","H - ","Handover","S - ","Services","CST ","Completion Docs", "I - ", "Inspection")</f>
        <v>Completion Docs</v>
      </c>
      <c r="E650" s="23" t="str">
        <f ca="1">IF(NOT(ISERROR(SEARCH("- S -", Master[[#This Row],[Checklist]]))), "Subcontractor",IF(NOT(ISERROR(SEARCH("- R -", Master[[#This Row],[Checklist]]))), "Ryman",IF(NOT(ISERROR(SEARCH("- C -", Master[[#This Row],[Checklist]]))), "Consultant",IF(NOT(ISERROR(SEARCH("- I -", Master[[#This Row],[Checklist]]))),  "Inspection Test Plan", "Naming Error"))))</f>
        <v>Ryman</v>
      </c>
      <c r="F650" s="24" t="str">
        <f ca="1">IF(OR(Master[[#This Row],[Type]]="checklist", Master[[#This Row],[Type]]="checklist-flat"), Master[[#This Row],[Name]], F649)</f>
        <v>CST - R - Demolition Consent</v>
      </c>
      <c r="G650" s="3" t="s">
        <v>49</v>
      </c>
      <c r="H650" s="24" t="s">
        <v>1663</v>
      </c>
      <c r="I650" s="3"/>
      <c r="J650" s="21">
        <f ca="1">_xlfn.XLOOKUP(Master[[#This Row],[Checklist]],Ref!A:A,Ref!B:B)*1000</f>
        <v>77000</v>
      </c>
      <c r="K650" s="21">
        <f ca="1">COUNTIF($J$2:Master[[#This Row],[ChecklistID]],Master[[#This Row],[ChecklistID]])-1</f>
        <v>4</v>
      </c>
      <c r="L650" s="23" t="s">
        <v>6</v>
      </c>
    </row>
    <row r="651" spans="1:12" ht="15.75">
      <c r="A651" s="23">
        <f t="shared" si="10"/>
        <v>650</v>
      </c>
      <c r="B651" s="21">
        <f ca="1">Master[[#This Row],[ChecklistID]]+Master[[#This Row],[Checklist Order]]</f>
        <v>77005</v>
      </c>
      <c r="C651" s="22"/>
      <c r="D651" s="3" t="str" cm="1">
        <f t="array" aca="1" ref="D651" ca="1">_xlfn.SWITCH(MID(Master[[#This Row],[Checklist]],1,4),"C - ","Civil","F - ","Foundation","ST -","Structure","FC -","Façade","PRE ","Pre-Line","POST","Post-Line","H - ","Handover","S - ","Services","CST ","Completion Docs", "I - ", "Inspection")</f>
        <v>Completion Docs</v>
      </c>
      <c r="E651" s="23" t="str">
        <f ca="1">IF(NOT(ISERROR(SEARCH("- S -", Master[[#This Row],[Checklist]]))), "Subcontractor",IF(NOT(ISERROR(SEARCH("- R -", Master[[#This Row],[Checklist]]))), "Ryman",IF(NOT(ISERROR(SEARCH("- C -", Master[[#This Row],[Checklist]]))), "Consultant",IF(NOT(ISERROR(SEARCH("- I -", Master[[#This Row],[Checklist]]))),  "Inspection Test Plan", "Naming Error"))))</f>
        <v>Ryman</v>
      </c>
      <c r="F651" s="24" t="str">
        <f ca="1">IF(OR(Master[[#This Row],[Type]]="checklist", Master[[#This Row],[Type]]="checklist-flat"), Master[[#This Row],[Name]], F650)</f>
        <v>CST - R - Demolition Consent</v>
      </c>
      <c r="G651" s="3" t="s">
        <v>49</v>
      </c>
      <c r="H651" s="24" t="s">
        <v>1664</v>
      </c>
      <c r="I651" s="3"/>
      <c r="J651" s="21">
        <f ca="1">_xlfn.XLOOKUP(Master[[#This Row],[Checklist]],Ref!A:A,Ref!B:B)*1000</f>
        <v>77000</v>
      </c>
      <c r="K651" s="21">
        <f ca="1">COUNTIF($J$2:Master[[#This Row],[ChecklistID]],Master[[#This Row],[ChecklistID]])-1</f>
        <v>5</v>
      </c>
      <c r="L651" s="23" t="s">
        <v>6</v>
      </c>
    </row>
    <row r="652" spans="1:12" ht="15.75">
      <c r="A652" s="23">
        <f t="shared" si="10"/>
        <v>651</v>
      </c>
      <c r="B652" s="21">
        <f ca="1">Master[[#This Row],[ChecklistID]]+Master[[#This Row],[Checklist Order]]</f>
        <v>77006</v>
      </c>
      <c r="C652" s="22"/>
      <c r="D652" s="3" t="str" cm="1">
        <f t="array" aca="1" ref="D652" ca="1">_xlfn.SWITCH(MID(Master[[#This Row],[Checklist]],1,4),"C - ","Civil","F - ","Foundation","ST -","Structure","FC -","Façade","PRE ","Pre-Line","POST","Post-Line","H - ","Handover","S - ","Services","CST ","Completion Docs", "I - ", "Inspection")</f>
        <v>Completion Docs</v>
      </c>
      <c r="E652" s="23" t="str">
        <f ca="1">IF(NOT(ISERROR(SEARCH("- S -", Master[[#This Row],[Checklist]]))), "Subcontractor",IF(NOT(ISERROR(SEARCH("- R -", Master[[#This Row],[Checklist]]))), "Ryman",IF(NOT(ISERROR(SEARCH("- C -", Master[[#This Row],[Checklist]]))), "Consultant",IF(NOT(ISERROR(SEARCH("- I -", Master[[#This Row],[Checklist]]))),  "Inspection Test Plan", "Naming Error"))))</f>
        <v>Ryman</v>
      </c>
      <c r="F652" s="24" t="str">
        <f ca="1">IF(OR(Master[[#This Row],[Type]]="checklist", Master[[#This Row],[Type]]="checklist-flat"), Master[[#This Row],[Name]], F651)</f>
        <v>CST - R - Demolition Consent</v>
      </c>
      <c r="G652" s="3" t="s">
        <v>49</v>
      </c>
      <c r="H652" s="24" t="s">
        <v>1665</v>
      </c>
      <c r="I652" s="3"/>
      <c r="J652" s="21">
        <f ca="1">_xlfn.XLOOKUP(Master[[#This Row],[Checklist]],Ref!A:A,Ref!B:B)*1000</f>
        <v>77000</v>
      </c>
      <c r="K652" s="21">
        <f ca="1">COUNTIF($J$2:Master[[#This Row],[ChecklistID]],Master[[#This Row],[ChecklistID]])-1</f>
        <v>6</v>
      </c>
      <c r="L652" s="23" t="s">
        <v>6</v>
      </c>
    </row>
    <row r="653" spans="1:12" ht="15.75">
      <c r="A653" s="23">
        <f t="shared" si="10"/>
        <v>652</v>
      </c>
      <c r="B653" s="21">
        <f ca="1">Master[[#This Row],[ChecklistID]]+Master[[#This Row],[Checklist Order]]</f>
        <v>78000</v>
      </c>
      <c r="C653" s="22"/>
      <c r="D653" s="3" t="str" cm="1">
        <f t="array" aca="1" ref="D653" ca="1">_xlfn.SWITCH(MID(Master[[#This Row],[Checklist]],1,4),"C - ","Civil","F - ","Foundation","ST -","Structure","FC -","Façade","PRE ","Pre-Line","POST","Post-Line","H - ","Handover","S - ","Services","CST ","Completion Docs", "I - ", "Inspection")</f>
        <v>Structure</v>
      </c>
      <c r="E653" s="23" t="str">
        <f ca="1">IF(NOT(ISERROR(SEARCH("- S -", Master[[#This Row],[Checklist]]))), "Subcontractor",IF(NOT(ISERROR(SEARCH("- R -", Master[[#This Row],[Checklist]]))), "Ryman",IF(NOT(ISERROR(SEARCH("- C -", Master[[#This Row],[Checklist]]))), "Consultant",IF(NOT(ISERROR(SEARCH("- I -", Master[[#This Row],[Checklist]]))),  "Inspection Test Plan", "Naming Error"))))</f>
        <v>Ryman</v>
      </c>
      <c r="F653" s="24" t="str">
        <f ca="1">IF(OR(Master[[#This Row],[Type]]="checklist", Master[[#This Row],[Type]]="checklist-flat"), Master[[#This Row],[Name]], F652)</f>
        <v>ST - R - Precast Flat Slab Installation</v>
      </c>
      <c r="G653" s="3" t="s">
        <v>48</v>
      </c>
      <c r="H653" s="24" t="s">
        <v>1666</v>
      </c>
      <c r="I653" s="3"/>
      <c r="J653" s="21">
        <f ca="1">_xlfn.XLOOKUP(Master[[#This Row],[Checklist]],Ref!A:A,Ref!B:B)*1000</f>
        <v>78000</v>
      </c>
      <c r="K653" s="21">
        <f ca="1">COUNTIF($J$2:Master[[#This Row],[ChecklistID]],Master[[#This Row],[ChecklistID]])-1</f>
        <v>0</v>
      </c>
      <c r="L653" s="23" t="s">
        <v>6</v>
      </c>
    </row>
    <row r="654" spans="1:12" ht="15.75">
      <c r="A654" s="23">
        <f t="shared" si="10"/>
        <v>653</v>
      </c>
      <c r="B654" s="21">
        <f ca="1">Master[[#This Row],[ChecklistID]]+Master[[#This Row],[Checklist Order]]</f>
        <v>78001</v>
      </c>
      <c r="C654" s="22"/>
      <c r="D654" s="3" t="str" cm="1">
        <f t="array" aca="1" ref="D654" ca="1">_xlfn.SWITCH(MID(Master[[#This Row],[Checklist]],1,4),"C - ","Civil","F - ","Foundation","ST -","Structure","FC -","Façade","PRE ","Pre-Line","POST","Post-Line","H - ","Handover","S - ","Services","CST ","Completion Docs", "I - ", "Inspection")</f>
        <v>Structure</v>
      </c>
      <c r="E654" s="23" t="str">
        <f ca="1">IF(NOT(ISERROR(SEARCH("- S -", Master[[#This Row],[Checklist]]))), "Subcontractor",IF(NOT(ISERROR(SEARCH("- R -", Master[[#This Row],[Checklist]]))), "Ryman",IF(NOT(ISERROR(SEARCH("- C -", Master[[#This Row],[Checklist]]))), "Consultant",IF(NOT(ISERROR(SEARCH("- I -", Master[[#This Row],[Checklist]]))),  "Inspection Test Plan", "Naming Error"))))</f>
        <v>Ryman</v>
      </c>
      <c r="F654" s="24" t="str">
        <f ca="1">IF(OR(Master[[#This Row],[Type]]="checklist", Master[[#This Row],[Type]]="checklist-flat"), Master[[#This Row],[Name]], F653)</f>
        <v>ST - R - Precast Flat Slab Installation</v>
      </c>
      <c r="G654" s="3" t="s">
        <v>49</v>
      </c>
      <c r="H654" s="24" t="s">
        <v>1263</v>
      </c>
      <c r="I654" s="3"/>
      <c r="J654" s="21">
        <f ca="1">_xlfn.XLOOKUP(Master[[#This Row],[Checklist]],Ref!A:A,Ref!B:B)*1000</f>
        <v>78000</v>
      </c>
      <c r="K654" s="21">
        <f ca="1">COUNTIF($J$2:Master[[#This Row],[ChecklistID]],Master[[#This Row],[ChecklistID]])-1</f>
        <v>1</v>
      </c>
      <c r="L654" s="23" t="s">
        <v>6</v>
      </c>
    </row>
    <row r="655" spans="1:12" ht="15.75">
      <c r="A655" s="23">
        <f t="shared" si="10"/>
        <v>654</v>
      </c>
      <c r="B655" s="21">
        <f ca="1">Master[[#This Row],[ChecklistID]]+Master[[#This Row],[Checklist Order]]</f>
        <v>78002</v>
      </c>
      <c r="C655" s="22"/>
      <c r="D655" s="3" t="str" cm="1">
        <f t="array" aca="1" ref="D655" ca="1">_xlfn.SWITCH(MID(Master[[#This Row],[Checklist]],1,4),"C - ","Civil","F - ","Foundation","ST -","Structure","FC -","Façade","PRE ","Pre-Line","POST","Post-Line","H - ","Handover","S - ","Services","CST ","Completion Docs", "I - ", "Inspection")</f>
        <v>Structure</v>
      </c>
      <c r="E655" s="23" t="str">
        <f ca="1">IF(NOT(ISERROR(SEARCH("- S -", Master[[#This Row],[Checklist]]))), "Subcontractor",IF(NOT(ISERROR(SEARCH("- R -", Master[[#This Row],[Checklist]]))), "Ryman",IF(NOT(ISERROR(SEARCH("- C -", Master[[#This Row],[Checklist]]))), "Consultant",IF(NOT(ISERROR(SEARCH("- I -", Master[[#This Row],[Checklist]]))),  "Inspection Test Plan", "Naming Error"))))</f>
        <v>Ryman</v>
      </c>
      <c r="F655" s="24" t="str">
        <f ca="1">IF(OR(Master[[#This Row],[Type]]="checklist", Master[[#This Row],[Type]]="checklist-flat"), Master[[#This Row],[Name]], F654)</f>
        <v>ST - R - Precast Flat Slab Installation</v>
      </c>
      <c r="G655" s="3" t="s">
        <v>49</v>
      </c>
      <c r="H655" s="24" t="s">
        <v>1264</v>
      </c>
      <c r="I655" s="3"/>
      <c r="J655" s="21">
        <f ca="1">_xlfn.XLOOKUP(Master[[#This Row],[Checklist]],Ref!A:A,Ref!B:B)*1000</f>
        <v>78000</v>
      </c>
      <c r="K655" s="21">
        <f ca="1">COUNTIF($J$2:Master[[#This Row],[ChecklistID]],Master[[#This Row],[ChecklistID]])-1</f>
        <v>2</v>
      </c>
      <c r="L655" s="23" t="s">
        <v>6</v>
      </c>
    </row>
    <row r="656" spans="1:12" ht="15.75">
      <c r="A656" s="23">
        <f t="shared" si="10"/>
        <v>655</v>
      </c>
      <c r="B656" s="21">
        <f ca="1">Master[[#This Row],[ChecklistID]]+Master[[#This Row],[Checklist Order]]</f>
        <v>78003</v>
      </c>
      <c r="C656" s="22"/>
      <c r="D656" s="3" t="str" cm="1">
        <f t="array" aca="1" ref="D656" ca="1">_xlfn.SWITCH(MID(Master[[#This Row],[Checklist]],1,4),"C - ","Civil","F - ","Foundation","ST -","Structure","FC -","Façade","PRE ","Pre-Line","POST","Post-Line","H - ","Handover","S - ","Services","CST ","Completion Docs", "I - ", "Inspection")</f>
        <v>Structure</v>
      </c>
      <c r="E656" s="23" t="str">
        <f ca="1">IF(NOT(ISERROR(SEARCH("- S -", Master[[#This Row],[Checklist]]))), "Subcontractor",IF(NOT(ISERROR(SEARCH("- R -", Master[[#This Row],[Checklist]]))), "Ryman",IF(NOT(ISERROR(SEARCH("- C -", Master[[#This Row],[Checklist]]))), "Consultant",IF(NOT(ISERROR(SEARCH("- I -", Master[[#This Row],[Checklist]]))),  "Inspection Test Plan", "Naming Error"))))</f>
        <v>Ryman</v>
      </c>
      <c r="F656" s="24" t="str">
        <f ca="1">IF(OR(Master[[#This Row],[Type]]="checklist", Master[[#This Row],[Type]]="checklist-flat"), Master[[#This Row],[Name]], F655)</f>
        <v>ST - R - Precast Flat Slab Installation</v>
      </c>
      <c r="G656" s="3" t="s">
        <v>58</v>
      </c>
      <c r="H656" s="24" t="s">
        <v>306</v>
      </c>
      <c r="I656" s="3"/>
      <c r="J656" s="21">
        <f ca="1">_xlfn.XLOOKUP(Master[[#This Row],[Checklist]],Ref!A:A,Ref!B:B)*1000</f>
        <v>78000</v>
      </c>
      <c r="K656" s="21">
        <f ca="1">COUNTIF($J$2:Master[[#This Row],[ChecklistID]],Master[[#This Row],[ChecklistID]])-1</f>
        <v>3</v>
      </c>
      <c r="L656" s="23" t="s">
        <v>6</v>
      </c>
    </row>
    <row r="657" spans="1:12" ht="15.75">
      <c r="A657" s="23">
        <f t="shared" si="10"/>
        <v>656</v>
      </c>
      <c r="B657" s="21">
        <f ca="1">Master[[#This Row],[ChecklistID]]+Master[[#This Row],[Checklist Order]]</f>
        <v>78004</v>
      </c>
      <c r="C657" s="22"/>
      <c r="D657" s="3" t="str" cm="1">
        <f t="array" aca="1" ref="D657" ca="1">_xlfn.SWITCH(MID(Master[[#This Row],[Checklist]],1,4),"C - ","Civil","F - ","Foundation","ST -","Structure","FC -","Façade","PRE ","Pre-Line","POST","Post-Line","H - ","Handover","S - ","Services","CST ","Completion Docs", "I - ", "Inspection")</f>
        <v>Structure</v>
      </c>
      <c r="E657" s="23" t="str">
        <f ca="1">IF(NOT(ISERROR(SEARCH("- S -", Master[[#This Row],[Checklist]]))), "Subcontractor",IF(NOT(ISERROR(SEARCH("- R -", Master[[#This Row],[Checklist]]))), "Ryman",IF(NOT(ISERROR(SEARCH("- C -", Master[[#This Row],[Checklist]]))), "Consultant",IF(NOT(ISERROR(SEARCH("- I -", Master[[#This Row],[Checklist]]))),  "Inspection Test Plan", "Naming Error"))))</f>
        <v>Ryman</v>
      </c>
      <c r="F657" s="24" t="str">
        <f ca="1">IF(OR(Master[[#This Row],[Type]]="checklist", Master[[#This Row],[Type]]="checklist-flat"), Master[[#This Row],[Name]], F656)</f>
        <v>ST - R - Precast Flat Slab Installation</v>
      </c>
      <c r="G657" s="3" t="s">
        <v>49</v>
      </c>
      <c r="H657" s="24" t="s">
        <v>1667</v>
      </c>
      <c r="I657" s="3"/>
      <c r="J657" s="21">
        <f ca="1">_xlfn.XLOOKUP(Master[[#This Row],[Checklist]],Ref!A:A,Ref!B:B)*1000</f>
        <v>78000</v>
      </c>
      <c r="K657" s="21">
        <f ca="1">COUNTIF($J$2:Master[[#This Row],[ChecklistID]],Master[[#This Row],[ChecklistID]])-1</f>
        <v>4</v>
      </c>
      <c r="L657" s="23" t="s">
        <v>6</v>
      </c>
    </row>
    <row r="658" spans="1:12" ht="14.25" customHeight="1">
      <c r="A658" s="23">
        <f>IFERROR(A657+1,1)</f>
        <v>657</v>
      </c>
      <c r="B658" s="21">
        <f ca="1">Master[[#This Row],[ChecklistID]]+Master[[#This Row],[Checklist Order]]</f>
        <v>79000</v>
      </c>
      <c r="D658" s="3" t="str" cm="1">
        <f t="array" aca="1" ref="D658" ca="1">_xlfn.SWITCH(MID(Master[[#This Row],[Checklist]],1,4),"C - ","Civil","F - ","Foundation","ST -","Structure","FC -","Façade","PRE ","Pre-Line","POST","Post-Line","H - ","Handover","S - ","Services","CST ","Completion Docs", "I - ", "Inspection")</f>
        <v>Civil</v>
      </c>
      <c r="E6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58" s="2" t="str">
        <f ca="1" xml:space="preserve"> IF(OR(Master[[#This Row],[Type]]="checklist", Master[[#This Row],[Type]]="checklist-flat"), Master[[#This Row],[Name]],#REF!)</f>
        <v>C - S - Pipe Laying - Stormwater</v>
      </c>
      <c r="G658" s="34" t="s">
        <v>48</v>
      </c>
      <c r="H658" s="34" t="s">
        <v>73</v>
      </c>
      <c r="I658" s="35"/>
      <c r="J658" s="21">
        <f ca="1">_xlfn.XLOOKUP(Master[[#This Row],[Checklist]],Ref!A:A,Ref!B:B)*1000</f>
        <v>79000</v>
      </c>
      <c r="K658" s="21">
        <f ca="1">COUNTIF($J$2:Master[[#This Row],[ChecklistID]],Master[[#This Row],[ChecklistID]])-1</f>
        <v>0</v>
      </c>
      <c r="L658" s="23" t="s">
        <v>6</v>
      </c>
    </row>
    <row r="659" spans="1:12" ht="14.25" customHeight="1">
      <c r="A659" s="23">
        <f t="shared" si="10"/>
        <v>658</v>
      </c>
      <c r="B659" s="21">
        <f ca="1">Master[[#This Row],[ChecklistID]]+Master[[#This Row],[Checklist Order]]</f>
        <v>79001</v>
      </c>
      <c r="D659" s="3" t="str" cm="1">
        <f t="array" aca="1" ref="D659" ca="1">_xlfn.SWITCH(MID(Master[[#This Row],[Checklist]],1,4),"C - ","Civil","F - ","Foundation","ST -","Structure","FC -","Façade","PRE ","Pre-Line","POST","Post-Line","H - ","Handover","S - ","Services","CST ","Completion Docs", "I - ", "Inspection")</f>
        <v>Civil</v>
      </c>
      <c r="E6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59" s="2" t="str">
        <f ca="1">IF(OR(Master[[#This Row],[Type]]="checklist", Master[[#This Row],[Type]]="checklist-flat"), Master[[#This Row],[Name]], F658)</f>
        <v>C - S - Pipe Laying - Stormwater</v>
      </c>
      <c r="G659" s="34" t="s">
        <v>49</v>
      </c>
      <c r="H659" s="34" t="s">
        <v>74</v>
      </c>
      <c r="I659" s="35"/>
      <c r="J659" s="21">
        <f ca="1">_xlfn.XLOOKUP(Master[[#This Row],[Checklist]],Ref!A:A,Ref!B:B)*1000</f>
        <v>79000</v>
      </c>
      <c r="K659" s="21">
        <f ca="1">COUNTIF($J$2:Master[[#This Row],[ChecklistID]],Master[[#This Row],[ChecklistID]])-1</f>
        <v>1</v>
      </c>
      <c r="L659" s="23" t="s">
        <v>6</v>
      </c>
    </row>
    <row r="660" spans="1:12" ht="14.25" customHeight="1">
      <c r="A660" s="23">
        <f t="shared" si="10"/>
        <v>659</v>
      </c>
      <c r="B660" s="21">
        <f ca="1">Master[[#This Row],[ChecklistID]]+Master[[#This Row],[Checklist Order]]</f>
        <v>79002</v>
      </c>
      <c r="D660" s="3" t="str" cm="1">
        <f t="array" aca="1" ref="D660" ca="1">_xlfn.SWITCH(MID(Master[[#This Row],[Checklist]],1,4),"C - ","Civil","F - ","Foundation","ST -","Structure","FC -","Façade","PRE ","Pre-Line","POST","Post-Line","H - ","Handover","S - ","Services","CST ","Completion Docs", "I - ", "Inspection")</f>
        <v>Civil</v>
      </c>
      <c r="E6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0" s="2" t="str">
        <f ca="1">IF(OR(Master[[#This Row],[Type]]="checklist", Master[[#This Row],[Type]]="checklist-flat"), Master[[#This Row],[Name]], F659)</f>
        <v>C - S - Pipe Laying - Stormwater</v>
      </c>
      <c r="G660" s="34" t="s">
        <v>49</v>
      </c>
      <c r="H660" s="34" t="s">
        <v>75</v>
      </c>
      <c r="I660" s="35"/>
      <c r="J660" s="21">
        <f ca="1">_xlfn.XLOOKUP(Master[[#This Row],[Checklist]],Ref!A:A,Ref!B:B)*1000</f>
        <v>79000</v>
      </c>
      <c r="K660" s="21">
        <f ca="1">COUNTIF($J$2:Master[[#This Row],[ChecklistID]],Master[[#This Row],[ChecklistID]])-1</f>
        <v>2</v>
      </c>
      <c r="L660" s="23" t="s">
        <v>6</v>
      </c>
    </row>
    <row r="661" spans="1:12" ht="14.25" customHeight="1">
      <c r="A661" s="23">
        <f t="shared" si="10"/>
        <v>660</v>
      </c>
      <c r="B661" s="21">
        <f ca="1">Master[[#This Row],[ChecklistID]]+Master[[#This Row],[Checklist Order]]</f>
        <v>79003</v>
      </c>
      <c r="D661" s="3" t="str" cm="1">
        <f t="array" aca="1" ref="D661" ca="1">_xlfn.SWITCH(MID(Master[[#This Row],[Checklist]],1,4),"C - ","Civil","F - ","Foundation","ST -","Structure","FC -","Façade","PRE ","Pre-Line","POST","Post-Line","H - ","Handover","S - ","Services","CST ","Completion Docs", "I - ", "Inspection")</f>
        <v>Civil</v>
      </c>
      <c r="E6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1" s="2" t="str">
        <f ca="1">IF(OR(Master[[#This Row],[Type]]="checklist", Master[[#This Row],[Type]]="checklist-flat"), Master[[#This Row],[Name]], F660)</f>
        <v>C - S - Pipe Laying - Stormwater</v>
      </c>
      <c r="G661" s="34" t="s">
        <v>49</v>
      </c>
      <c r="H661" s="34" t="s">
        <v>76</v>
      </c>
      <c r="I661" s="35"/>
      <c r="J661" s="21">
        <f ca="1">_xlfn.XLOOKUP(Master[[#This Row],[Checklist]],Ref!A:A,Ref!B:B)*1000</f>
        <v>79000</v>
      </c>
      <c r="K661" s="21">
        <f ca="1">COUNTIF($J$2:Master[[#This Row],[ChecklistID]],Master[[#This Row],[ChecklistID]])-1</f>
        <v>3</v>
      </c>
      <c r="L661" s="23" t="s">
        <v>6</v>
      </c>
    </row>
    <row r="662" spans="1:12" ht="14.25" customHeight="1">
      <c r="A662" s="23">
        <f t="shared" si="10"/>
        <v>661</v>
      </c>
      <c r="B662" s="21">
        <f ca="1">Master[[#This Row],[ChecklistID]]+Master[[#This Row],[Checklist Order]]</f>
        <v>79004</v>
      </c>
      <c r="D662" s="3" t="str" cm="1">
        <f t="array" aca="1" ref="D662" ca="1">_xlfn.SWITCH(MID(Master[[#This Row],[Checklist]],1,4),"C - ","Civil","F - ","Foundation","ST -","Structure","FC -","Façade","PRE ","Pre-Line","POST","Post-Line","H - ","Handover","S - ","Services","CST ","Completion Docs", "I - ", "Inspection")</f>
        <v>Civil</v>
      </c>
      <c r="E6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2" s="2" t="str">
        <f ca="1">IF(OR(Master[[#This Row],[Type]]="checklist", Master[[#This Row],[Type]]="checklist-flat"), Master[[#This Row],[Name]], F661)</f>
        <v>C - S - Pipe Laying - Stormwater</v>
      </c>
      <c r="G662" s="34" t="s">
        <v>49</v>
      </c>
      <c r="H662" s="34" t="s">
        <v>77</v>
      </c>
      <c r="I662" s="35"/>
      <c r="J662" s="21">
        <f ca="1">_xlfn.XLOOKUP(Master[[#This Row],[Checklist]],Ref!A:A,Ref!B:B)*1000</f>
        <v>79000</v>
      </c>
      <c r="K662" s="21">
        <f ca="1">COUNTIF($J$2:Master[[#This Row],[ChecklistID]],Master[[#This Row],[ChecklistID]])-1</f>
        <v>4</v>
      </c>
      <c r="L662" s="23" t="s">
        <v>6</v>
      </c>
    </row>
    <row r="663" spans="1:12" ht="14.25" customHeight="1">
      <c r="A663" s="23">
        <f t="shared" si="10"/>
        <v>662</v>
      </c>
      <c r="B663" s="21">
        <f ca="1">Master[[#This Row],[ChecklistID]]+Master[[#This Row],[Checklist Order]]</f>
        <v>79005</v>
      </c>
      <c r="D663" s="3" t="str" cm="1">
        <f t="array" aca="1" ref="D663" ca="1">_xlfn.SWITCH(MID(Master[[#This Row],[Checklist]],1,4),"C - ","Civil","F - ","Foundation","ST -","Structure","FC -","Façade","PRE ","Pre-Line","POST","Post-Line","H - ","Handover","S - ","Services","CST ","Completion Docs", "I - ", "Inspection")</f>
        <v>Civil</v>
      </c>
      <c r="E6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3" s="2" t="str">
        <f ca="1">IF(OR(Master[[#This Row],[Type]]="checklist", Master[[#This Row],[Type]]="checklist-flat"), Master[[#This Row],[Name]], F662)</f>
        <v>C - S - Pipe Laying - Stormwater</v>
      </c>
      <c r="G663" s="34" t="s">
        <v>49</v>
      </c>
      <c r="H663" s="34" t="s">
        <v>78</v>
      </c>
      <c r="I663" s="35"/>
      <c r="J663" s="21">
        <f ca="1">_xlfn.XLOOKUP(Master[[#This Row],[Checklist]],Ref!A:A,Ref!B:B)*1000</f>
        <v>79000</v>
      </c>
      <c r="K663" s="21">
        <f ca="1">COUNTIF($J$2:Master[[#This Row],[ChecklistID]],Master[[#This Row],[ChecklistID]])-1</f>
        <v>5</v>
      </c>
      <c r="L663" s="23" t="s">
        <v>6</v>
      </c>
    </row>
    <row r="664" spans="1:12" ht="14.25" customHeight="1">
      <c r="A664" s="23">
        <f t="shared" si="10"/>
        <v>663</v>
      </c>
      <c r="B664" s="21">
        <f ca="1">Master[[#This Row],[ChecklistID]]+Master[[#This Row],[Checklist Order]]</f>
        <v>79006</v>
      </c>
      <c r="D664" s="3" t="str" cm="1">
        <f t="array" aca="1" ref="D664" ca="1">_xlfn.SWITCH(MID(Master[[#This Row],[Checklist]],1,4),"C - ","Civil","F - ","Foundation","ST -","Structure","FC -","Façade","PRE ","Pre-Line","POST","Post-Line","H - ","Handover","S - ","Services","CST ","Completion Docs", "I - ", "Inspection")</f>
        <v>Civil</v>
      </c>
      <c r="E6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4" s="2" t="str">
        <f ca="1">IF(OR(Master[[#This Row],[Type]]="checklist", Master[[#This Row],[Type]]="checklist-flat"), Master[[#This Row],[Name]], F663)</f>
        <v>C - S - Pipe Laying - Stormwater</v>
      </c>
      <c r="G664" s="34" t="s">
        <v>49</v>
      </c>
      <c r="H664" s="34" t="s">
        <v>79</v>
      </c>
      <c r="I664" s="35"/>
      <c r="J664" s="21">
        <f ca="1">_xlfn.XLOOKUP(Master[[#This Row],[Checklist]],Ref!A:A,Ref!B:B)*1000</f>
        <v>79000</v>
      </c>
      <c r="K664" s="21">
        <f ca="1">COUNTIF($J$2:Master[[#This Row],[ChecklistID]],Master[[#This Row],[ChecklistID]])-1</f>
        <v>6</v>
      </c>
      <c r="L664" s="23" t="s">
        <v>6</v>
      </c>
    </row>
    <row r="665" spans="1:12" ht="14.25" customHeight="1">
      <c r="A665" s="23">
        <f t="shared" si="10"/>
        <v>664</v>
      </c>
      <c r="B665" s="21">
        <f ca="1">Master[[#This Row],[ChecklistID]]+Master[[#This Row],[Checklist Order]]</f>
        <v>79007</v>
      </c>
      <c r="D665" s="3" t="str" cm="1">
        <f t="array" aca="1" ref="D665" ca="1">_xlfn.SWITCH(MID(Master[[#This Row],[Checklist]],1,4),"C - ","Civil","F - ","Foundation","ST -","Structure","FC -","Façade","PRE ","Pre-Line","POST","Post-Line","H - ","Handover","S - ","Services","CST ","Completion Docs", "I - ", "Inspection")</f>
        <v>Civil</v>
      </c>
      <c r="E6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5" s="2" t="str">
        <f ca="1">IF(OR(Master[[#This Row],[Type]]="checklist", Master[[#This Row],[Type]]="checklist-flat"), Master[[#This Row],[Name]], F664)</f>
        <v>C - S - Pipe Laying - Stormwater</v>
      </c>
      <c r="G665" s="34" t="s">
        <v>49</v>
      </c>
      <c r="H665" s="34" t="s">
        <v>80</v>
      </c>
      <c r="I665" s="35"/>
      <c r="J665" s="21">
        <f ca="1">_xlfn.XLOOKUP(Master[[#This Row],[Checklist]],Ref!A:A,Ref!B:B)*1000</f>
        <v>79000</v>
      </c>
      <c r="K665" s="21">
        <f ca="1">COUNTIF($J$2:Master[[#This Row],[ChecklistID]],Master[[#This Row],[ChecklistID]])-1</f>
        <v>7</v>
      </c>
      <c r="L665" s="23" t="s">
        <v>6</v>
      </c>
    </row>
    <row r="666" spans="1:12" ht="14.25" customHeight="1">
      <c r="A666" s="23">
        <f t="shared" si="10"/>
        <v>665</v>
      </c>
      <c r="B666" s="21">
        <f ca="1">Master[[#This Row],[ChecklistID]]+Master[[#This Row],[Checklist Order]]</f>
        <v>79008</v>
      </c>
      <c r="D666" s="3" t="str" cm="1">
        <f t="array" aca="1" ref="D666" ca="1">_xlfn.SWITCH(MID(Master[[#This Row],[Checklist]],1,4),"C - ","Civil","F - ","Foundation","ST -","Structure","FC -","Façade","PRE ","Pre-Line","POST","Post-Line","H - ","Handover","S - ","Services","CST ","Completion Docs", "I - ", "Inspection")</f>
        <v>Civil</v>
      </c>
      <c r="E6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6" s="2" t="str">
        <f ca="1">IF(OR(Master[[#This Row],[Type]]="checklist", Master[[#This Row],[Type]]="checklist-flat"), Master[[#This Row],[Name]], F665)</f>
        <v>C - S - Pipe Laying - Stormwater</v>
      </c>
      <c r="G666" s="34" t="s">
        <v>49</v>
      </c>
      <c r="H666" s="34" t="s">
        <v>81</v>
      </c>
      <c r="I666" s="35"/>
      <c r="J666" s="21">
        <f ca="1">_xlfn.XLOOKUP(Master[[#This Row],[Checklist]],Ref!A:A,Ref!B:B)*1000</f>
        <v>79000</v>
      </c>
      <c r="K666" s="21">
        <f ca="1">COUNTIF($J$2:Master[[#This Row],[ChecklistID]],Master[[#This Row],[ChecklistID]])-1</f>
        <v>8</v>
      </c>
      <c r="L666" s="23" t="s">
        <v>6</v>
      </c>
    </row>
    <row r="667" spans="1:12" ht="14.25" customHeight="1">
      <c r="A667" s="23">
        <f t="shared" si="10"/>
        <v>666</v>
      </c>
      <c r="B667" s="21">
        <f ca="1">Master[[#This Row],[ChecklistID]]+Master[[#This Row],[Checklist Order]]</f>
        <v>79009</v>
      </c>
      <c r="D667" s="3" t="str" cm="1">
        <f t="array" aca="1" ref="D667" ca="1">_xlfn.SWITCH(MID(Master[[#This Row],[Checklist]],1,4),"C - ","Civil","F - ","Foundation","ST -","Structure","FC -","Façade","PRE ","Pre-Line","POST","Post-Line","H - ","Handover","S - ","Services","CST ","Completion Docs", "I - ", "Inspection")</f>
        <v>Civil</v>
      </c>
      <c r="E6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7" s="2" t="str">
        <f ca="1">IF(OR(Master[[#This Row],[Type]]="checklist", Master[[#This Row],[Type]]="checklist-flat"), Master[[#This Row],[Name]], F666)</f>
        <v>C - S - Pipe Laying - Stormwater</v>
      </c>
      <c r="G667" s="34" t="s">
        <v>49</v>
      </c>
      <c r="H667" s="34" t="s">
        <v>82</v>
      </c>
      <c r="I667" s="35"/>
      <c r="J667" s="21">
        <f ca="1">_xlfn.XLOOKUP(Master[[#This Row],[Checklist]],Ref!A:A,Ref!B:B)*1000</f>
        <v>79000</v>
      </c>
      <c r="K667" s="21">
        <f ca="1">COUNTIF($J$2:Master[[#This Row],[ChecklistID]],Master[[#This Row],[ChecklistID]])-1</f>
        <v>9</v>
      </c>
      <c r="L667" s="23" t="s">
        <v>6</v>
      </c>
    </row>
    <row r="668" spans="1:12" ht="14.25" customHeight="1">
      <c r="A668" s="23">
        <f t="shared" si="10"/>
        <v>667</v>
      </c>
      <c r="B668" s="21">
        <f ca="1">Master[[#This Row],[ChecklistID]]+Master[[#This Row],[Checklist Order]]</f>
        <v>79010</v>
      </c>
      <c r="D668" s="3" t="str" cm="1">
        <f t="array" aca="1" ref="D668" ca="1">_xlfn.SWITCH(MID(Master[[#This Row],[Checklist]],1,4),"C - ","Civil","F - ","Foundation","ST -","Structure","FC -","Façade","PRE ","Pre-Line","POST","Post-Line","H - ","Handover","S - ","Services","CST ","Completion Docs", "I - ", "Inspection")</f>
        <v>Civil</v>
      </c>
      <c r="E6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8" s="2" t="str">
        <f ca="1">IF(OR(Master[[#This Row],[Type]]="checklist", Master[[#This Row],[Type]]="checklist-flat"), Master[[#This Row],[Name]], F667)</f>
        <v>C - S - Pipe Laying - Stormwater</v>
      </c>
      <c r="G668" s="34" t="s">
        <v>49</v>
      </c>
      <c r="H668" s="34" t="s">
        <v>57</v>
      </c>
      <c r="I668" s="35"/>
      <c r="J668" s="21">
        <f ca="1">_xlfn.XLOOKUP(Master[[#This Row],[Checklist]],Ref!A:A,Ref!B:B)*1000</f>
        <v>79000</v>
      </c>
      <c r="K668" s="21">
        <f ca="1">COUNTIF($J$2:Master[[#This Row],[ChecklistID]],Master[[#This Row],[ChecklistID]])-1</f>
        <v>10</v>
      </c>
      <c r="L668" s="23" t="s">
        <v>6</v>
      </c>
    </row>
    <row r="669" spans="1:12" ht="14.25" customHeight="1">
      <c r="A669" s="23">
        <f t="shared" si="10"/>
        <v>668</v>
      </c>
      <c r="B669" s="21">
        <f ca="1">Master[[#This Row],[ChecklistID]]+Master[[#This Row],[Checklist Order]]</f>
        <v>79011</v>
      </c>
      <c r="D669" s="3" t="str" cm="1">
        <f t="array" aca="1" ref="D669" ca="1">_xlfn.SWITCH(MID(Master[[#This Row],[Checklist]],1,4),"C - ","Civil","F - ","Foundation","ST -","Structure","FC -","Façade","PRE ","Pre-Line","POST","Post-Line","H - ","Handover","S - ","Services","CST ","Completion Docs", "I - ", "Inspection")</f>
        <v>Civil</v>
      </c>
      <c r="E6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69" s="2" t="str">
        <f ca="1">IF(OR(Master[[#This Row],[Type]]="checklist", Master[[#This Row],[Type]]="checklist-flat"), Master[[#This Row],[Name]], F668)</f>
        <v>C - S - Pipe Laying - Stormwater</v>
      </c>
      <c r="G669" s="34" t="s">
        <v>58</v>
      </c>
      <c r="H669" s="34" t="s">
        <v>59</v>
      </c>
      <c r="I669" s="35"/>
      <c r="J669" s="21">
        <f ca="1">_xlfn.XLOOKUP(Master[[#This Row],[Checklist]],Ref!A:A,Ref!B:B)*1000</f>
        <v>79000</v>
      </c>
      <c r="K669" s="21">
        <f ca="1">COUNTIF($J$2:Master[[#This Row],[ChecklistID]],Master[[#This Row],[ChecklistID]])-1</f>
        <v>11</v>
      </c>
      <c r="L669" s="23" t="s">
        <v>6</v>
      </c>
    </row>
    <row r="670" spans="1:12" ht="14.25" customHeight="1">
      <c r="A670" s="23">
        <f t="shared" si="10"/>
        <v>669</v>
      </c>
      <c r="B670" s="21">
        <f ca="1">Master[[#This Row],[ChecklistID]]+Master[[#This Row],[Checklist Order]]</f>
        <v>80000</v>
      </c>
      <c r="D670" s="3" t="str" cm="1">
        <f t="array" aca="1" ref="D670" ca="1">_xlfn.SWITCH(MID(Master[[#This Row],[Checklist]],1,4),"C - ","Civil","F - ","Foundation","ST -","Structure","FC -","Façade","PRE ","Pre-Line","POST","Post-Line","H - ","Handover","S - ","Services","CST ","Completion Docs", "I - ", "Inspection")</f>
        <v>Civil</v>
      </c>
      <c r="E6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0" s="2" t="str">
        <f ca="1">IF(OR(Master[[#This Row],[Type]]="checklist", Master[[#This Row],[Type]]="checklist-flat"), Master[[#This Row],[Name]], F669)</f>
        <v>C - S - Pipe Laying - Wastewater</v>
      </c>
      <c r="G670" s="34" t="s">
        <v>48</v>
      </c>
      <c r="H670" s="34" t="s">
        <v>83</v>
      </c>
      <c r="I670" s="35"/>
      <c r="J670" s="21">
        <f ca="1">_xlfn.XLOOKUP(Master[[#This Row],[Checklist]],Ref!A:A,Ref!B:B)*1000</f>
        <v>80000</v>
      </c>
      <c r="K670" s="21">
        <f ca="1">COUNTIF($J$2:Master[[#This Row],[ChecklistID]],Master[[#This Row],[ChecklistID]])-1</f>
        <v>0</v>
      </c>
      <c r="L670" s="23" t="s">
        <v>6</v>
      </c>
    </row>
    <row r="671" spans="1:12" ht="14.25" customHeight="1">
      <c r="A671" s="23">
        <f t="shared" si="10"/>
        <v>670</v>
      </c>
      <c r="B671" s="21">
        <f ca="1">Master[[#This Row],[ChecklistID]]+Master[[#This Row],[Checklist Order]]</f>
        <v>80001</v>
      </c>
      <c r="D671" s="3" t="str" cm="1">
        <f t="array" aca="1" ref="D671" ca="1">_xlfn.SWITCH(MID(Master[[#This Row],[Checklist]],1,4),"C - ","Civil","F - ","Foundation","ST -","Structure","FC -","Façade","PRE ","Pre-Line","POST","Post-Line","H - ","Handover","S - ","Services","CST ","Completion Docs", "I - ", "Inspection")</f>
        <v>Civil</v>
      </c>
      <c r="E6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1" s="2" t="str">
        <f ca="1">IF(OR(Master[[#This Row],[Type]]="checklist", Master[[#This Row],[Type]]="checklist-flat"), Master[[#This Row],[Name]], F670)</f>
        <v>C - S - Pipe Laying - Wastewater</v>
      </c>
      <c r="G671" s="34" t="s">
        <v>49</v>
      </c>
      <c r="H671" s="34" t="s">
        <v>74</v>
      </c>
      <c r="I671" s="35"/>
      <c r="J671" s="21">
        <f ca="1">_xlfn.XLOOKUP(Master[[#This Row],[Checklist]],Ref!A:A,Ref!B:B)*1000</f>
        <v>80000</v>
      </c>
      <c r="K671" s="21">
        <f ca="1">COUNTIF($J$2:Master[[#This Row],[ChecklistID]],Master[[#This Row],[ChecklistID]])-1</f>
        <v>1</v>
      </c>
      <c r="L671" s="23" t="s">
        <v>6</v>
      </c>
    </row>
    <row r="672" spans="1:12" ht="14.25" customHeight="1">
      <c r="A672" s="23">
        <f t="shared" si="10"/>
        <v>671</v>
      </c>
      <c r="B672" s="21">
        <f ca="1">Master[[#This Row],[ChecklistID]]+Master[[#This Row],[Checklist Order]]</f>
        <v>80002</v>
      </c>
      <c r="D672" s="3" t="str" cm="1">
        <f t="array" aca="1" ref="D672" ca="1">_xlfn.SWITCH(MID(Master[[#This Row],[Checklist]],1,4),"C - ","Civil","F - ","Foundation","ST -","Structure","FC -","Façade","PRE ","Pre-Line","POST","Post-Line","H - ","Handover","S - ","Services","CST ","Completion Docs", "I - ", "Inspection")</f>
        <v>Civil</v>
      </c>
      <c r="E6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2" s="2" t="str">
        <f ca="1">IF(OR(Master[[#This Row],[Type]]="checklist", Master[[#This Row],[Type]]="checklist-flat"), Master[[#This Row],[Name]], F671)</f>
        <v>C - S - Pipe Laying - Wastewater</v>
      </c>
      <c r="G672" s="34" t="s">
        <v>49</v>
      </c>
      <c r="H672" s="34" t="s">
        <v>75</v>
      </c>
      <c r="I672" s="35"/>
      <c r="J672" s="21">
        <f ca="1">_xlfn.XLOOKUP(Master[[#This Row],[Checklist]],Ref!A:A,Ref!B:B)*1000</f>
        <v>80000</v>
      </c>
      <c r="K672" s="21">
        <f ca="1">COUNTIF($J$2:Master[[#This Row],[ChecklistID]],Master[[#This Row],[ChecklistID]])-1</f>
        <v>2</v>
      </c>
      <c r="L672" s="23" t="s">
        <v>6</v>
      </c>
    </row>
    <row r="673" spans="1:12">
      <c r="A673" s="23">
        <f t="shared" si="10"/>
        <v>672</v>
      </c>
      <c r="B673" s="21">
        <f ca="1">Master[[#This Row],[ChecklistID]]+Master[[#This Row],[Checklist Order]]</f>
        <v>80003</v>
      </c>
      <c r="C673" s="22"/>
      <c r="D673" s="3" t="str" cm="1">
        <f t="array" aca="1" ref="D673" ca="1">_xlfn.SWITCH(MID(Master[[#This Row],[Checklist]],1,4),"C - ","Civil","F - ","Foundation","ST -","Structure","FC -","Façade","PRE ","Pre-Line","POST","Post-Line","H - ","Handover","S - ","Services","CST ","Completion Docs", "I - ", "Inspection")</f>
        <v>Civil</v>
      </c>
      <c r="E6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3" s="2" t="str">
        <f ca="1">IF(OR(Master[[#This Row],[Type]]="checklist", Master[[#This Row],[Type]]="checklist-flat"), Master[[#This Row],[Name]], F672)</f>
        <v>C - S - Pipe Laying - Wastewater</v>
      </c>
      <c r="G673" s="34" t="s">
        <v>49</v>
      </c>
      <c r="H673" s="34" t="s">
        <v>76</v>
      </c>
      <c r="I673" s="35"/>
      <c r="J673" s="21">
        <f ca="1">_xlfn.XLOOKUP(Master[[#This Row],[Checklist]],Ref!A:A,Ref!B:B)*1000</f>
        <v>80000</v>
      </c>
      <c r="K673" s="21">
        <f ca="1">COUNTIF($J$2:Master[[#This Row],[ChecklistID]],Master[[#This Row],[ChecklistID]])-1</f>
        <v>3</v>
      </c>
      <c r="L673" s="23" t="s">
        <v>6</v>
      </c>
    </row>
    <row r="674" spans="1:12" ht="15.75">
      <c r="A674" s="23">
        <f t="shared" si="10"/>
        <v>673</v>
      </c>
      <c r="B674" s="21">
        <f ca="1">Master[[#This Row],[ChecklistID]]+Master[[#This Row],[Checklist Order]]</f>
        <v>80004</v>
      </c>
      <c r="C674" s="22"/>
      <c r="D674" s="3" t="str" cm="1">
        <f t="array" aca="1" ref="D674" ca="1">_xlfn.SWITCH(MID(Master[[#This Row],[Checklist]],1,4),"C - ","Civil","F - ","Foundation","ST -","Structure","FC -","Façade","PRE ","Pre-Line","POST","Post-Line","H - ","Handover","S - ","Services","CST ","Completion Docs", "I - ", "Inspection")</f>
        <v>Civil</v>
      </c>
      <c r="E6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4" s="24" t="str">
        <f ca="1">IF(OR(Master[[#This Row],[Type]]="checklist", Master[[#This Row],[Type]]="checklist-flat"), Master[[#This Row],[Name]], F673)</f>
        <v>C - S - Pipe Laying - Wastewater</v>
      </c>
      <c r="G674" s="34" t="s">
        <v>49</v>
      </c>
      <c r="H674" s="34" t="s">
        <v>77</v>
      </c>
      <c r="I674" s="35"/>
      <c r="J674" s="21">
        <f ca="1">_xlfn.XLOOKUP(Master[[#This Row],[Checklist]],Ref!A:A,Ref!B:B)*1000</f>
        <v>80000</v>
      </c>
      <c r="K674" s="21">
        <f ca="1">COUNTIF($J$2:Master[[#This Row],[ChecklistID]],Master[[#This Row],[ChecklistID]])-1</f>
        <v>4</v>
      </c>
      <c r="L674" s="23" t="s">
        <v>6</v>
      </c>
    </row>
    <row r="675" spans="1:12" ht="15.75">
      <c r="A675" s="23">
        <f t="shared" si="10"/>
        <v>674</v>
      </c>
      <c r="B675" s="21">
        <f ca="1">Master[[#This Row],[ChecklistID]]+Master[[#This Row],[Checklist Order]]</f>
        <v>80005</v>
      </c>
      <c r="C675" s="22"/>
      <c r="D675" s="3" t="str" cm="1">
        <f t="array" aca="1" ref="D675" ca="1">_xlfn.SWITCH(MID(Master[[#This Row],[Checklist]],1,4),"C - ","Civil","F - ","Foundation","ST -","Structure","FC -","Façade","PRE ","Pre-Line","POST","Post-Line","H - ","Handover","S - ","Services","CST ","Completion Docs", "I - ", "Inspection")</f>
        <v>Civil</v>
      </c>
      <c r="E6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5" s="24" t="str">
        <f ca="1">IF(OR(Master[[#This Row],[Type]]="checklist", Master[[#This Row],[Type]]="checklist-flat"), Master[[#This Row],[Name]], F674)</f>
        <v>C - S - Pipe Laying - Wastewater</v>
      </c>
      <c r="G675" s="34" t="s">
        <v>49</v>
      </c>
      <c r="H675" s="34" t="s">
        <v>78</v>
      </c>
      <c r="I675" s="35"/>
      <c r="J675" s="21">
        <f ca="1">_xlfn.XLOOKUP(Master[[#This Row],[Checklist]],Ref!A:A,Ref!B:B)*1000</f>
        <v>80000</v>
      </c>
      <c r="K675" s="21">
        <f ca="1">COUNTIF($J$2:Master[[#This Row],[ChecklistID]],Master[[#This Row],[ChecklistID]])-1</f>
        <v>5</v>
      </c>
      <c r="L675" s="23" t="s">
        <v>6</v>
      </c>
    </row>
    <row r="676" spans="1:12" ht="15.75">
      <c r="A676" s="23">
        <f t="shared" si="10"/>
        <v>675</v>
      </c>
      <c r="B676" s="21">
        <f ca="1">Master[[#This Row],[ChecklistID]]+Master[[#This Row],[Checklist Order]]</f>
        <v>80006</v>
      </c>
      <c r="C676" s="22"/>
      <c r="D676" s="3" t="str" cm="1">
        <f t="array" aca="1" ref="D676" ca="1">_xlfn.SWITCH(MID(Master[[#This Row],[Checklist]],1,4),"C - ","Civil","F - ","Foundation","ST -","Structure","FC -","Façade","PRE ","Pre-Line","POST","Post-Line","H - ","Handover","S - ","Services","CST ","Completion Docs", "I - ", "Inspection")</f>
        <v>Civil</v>
      </c>
      <c r="E6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6" s="24" t="str">
        <f ca="1">IF(OR(Master[[#This Row],[Type]]="checklist", Master[[#This Row],[Type]]="checklist-flat"), Master[[#This Row],[Name]], F675)</f>
        <v>C - S - Pipe Laying - Wastewater</v>
      </c>
      <c r="G676" s="34" t="s">
        <v>49</v>
      </c>
      <c r="H676" s="34" t="s">
        <v>79</v>
      </c>
      <c r="I676" s="35"/>
      <c r="J676" s="21">
        <f ca="1">_xlfn.XLOOKUP(Master[[#This Row],[Checklist]],Ref!A:A,Ref!B:B)*1000</f>
        <v>80000</v>
      </c>
      <c r="K676" s="21">
        <f ca="1">COUNTIF($J$2:Master[[#This Row],[ChecklistID]],Master[[#This Row],[ChecklistID]])-1</f>
        <v>6</v>
      </c>
      <c r="L676" s="23" t="s">
        <v>6</v>
      </c>
    </row>
    <row r="677" spans="1:12" ht="15.75">
      <c r="A677" s="23">
        <f t="shared" si="10"/>
        <v>676</v>
      </c>
      <c r="B677" s="21">
        <f ca="1">Master[[#This Row],[ChecklistID]]+Master[[#This Row],[Checklist Order]]</f>
        <v>80007</v>
      </c>
      <c r="C677" s="22"/>
      <c r="D677" s="3" t="str" cm="1">
        <f t="array" aca="1" ref="D677" ca="1">_xlfn.SWITCH(MID(Master[[#This Row],[Checklist]],1,4),"C - ","Civil","F - ","Foundation","ST -","Structure","FC -","Façade","PRE ","Pre-Line","POST","Post-Line","H - ","Handover","S - ","Services","CST ","Completion Docs", "I - ", "Inspection")</f>
        <v>Civil</v>
      </c>
      <c r="E6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7" s="24" t="str">
        <f ca="1">IF(OR(Master[[#This Row],[Type]]="checklist", Master[[#This Row],[Type]]="checklist-flat"), Master[[#This Row],[Name]], F676)</f>
        <v>C - S - Pipe Laying - Wastewater</v>
      </c>
      <c r="G677" s="34" t="s">
        <v>49</v>
      </c>
      <c r="H677" s="34" t="s">
        <v>80</v>
      </c>
      <c r="I677" s="35"/>
      <c r="J677" s="21">
        <f ca="1">_xlfn.XLOOKUP(Master[[#This Row],[Checklist]],Ref!A:A,Ref!B:B)*1000</f>
        <v>80000</v>
      </c>
      <c r="K677" s="21">
        <f ca="1">COUNTIF($J$2:Master[[#This Row],[ChecklistID]],Master[[#This Row],[ChecklistID]])-1</f>
        <v>7</v>
      </c>
      <c r="L677" s="23" t="s">
        <v>6</v>
      </c>
    </row>
    <row r="678" spans="1:12" ht="15.75">
      <c r="A678" s="23">
        <f t="shared" si="10"/>
        <v>677</v>
      </c>
      <c r="B678" s="21">
        <f ca="1">Master[[#This Row],[ChecklistID]]+Master[[#This Row],[Checklist Order]]</f>
        <v>80008</v>
      </c>
      <c r="C678" s="22"/>
      <c r="D678" s="3" t="str" cm="1">
        <f t="array" aca="1" ref="D678" ca="1">_xlfn.SWITCH(MID(Master[[#This Row],[Checklist]],1,4),"C - ","Civil","F - ","Foundation","ST -","Structure","FC -","Façade","PRE ","Pre-Line","POST","Post-Line","H - ","Handover","S - ","Services","CST ","Completion Docs", "I - ", "Inspection")</f>
        <v>Civil</v>
      </c>
      <c r="E6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8" s="24" t="str">
        <f ca="1">IF(OR(Master[[#This Row],[Type]]="checklist", Master[[#This Row],[Type]]="checklist-flat"), Master[[#This Row],[Name]], F677)</f>
        <v>C - S - Pipe Laying - Wastewater</v>
      </c>
      <c r="G678" s="34" t="s">
        <v>49</v>
      </c>
      <c r="H678" s="34" t="s">
        <v>84</v>
      </c>
      <c r="I678" s="35"/>
      <c r="J678" s="21">
        <f ca="1">_xlfn.XLOOKUP(Master[[#This Row],[Checklist]],Ref!A:A,Ref!B:B)*1000</f>
        <v>80000</v>
      </c>
      <c r="K678" s="21">
        <f ca="1">COUNTIF($J$2:Master[[#This Row],[ChecklistID]],Master[[#This Row],[ChecklistID]])-1</f>
        <v>8</v>
      </c>
      <c r="L678" s="23" t="s">
        <v>6</v>
      </c>
    </row>
    <row r="679" spans="1:12" ht="15.75">
      <c r="A679" s="23">
        <f t="shared" si="10"/>
        <v>678</v>
      </c>
      <c r="B679" s="21">
        <f ca="1">Master[[#This Row],[ChecklistID]]+Master[[#This Row],[Checklist Order]]</f>
        <v>80009</v>
      </c>
      <c r="C679" s="22"/>
      <c r="D679" s="3" t="str" cm="1">
        <f t="array" aca="1" ref="D679" ca="1">_xlfn.SWITCH(MID(Master[[#This Row],[Checklist]],1,4),"C - ","Civil","F - ","Foundation","ST -","Structure","FC -","Façade","PRE ","Pre-Line","POST","Post-Line","H - ","Handover","S - ","Services","CST ","Completion Docs", "I - ", "Inspection")</f>
        <v>Civil</v>
      </c>
      <c r="E6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79" s="24" t="str">
        <f ca="1">IF(OR(Master[[#This Row],[Type]]="checklist", Master[[#This Row],[Type]]="checklist-flat"), Master[[#This Row],[Name]], F678)</f>
        <v>C - S - Pipe Laying - Wastewater</v>
      </c>
      <c r="G679" s="34" t="s">
        <v>49</v>
      </c>
      <c r="H679" s="34" t="s">
        <v>81</v>
      </c>
      <c r="I679" s="35"/>
      <c r="J679" s="21">
        <f ca="1">_xlfn.XLOOKUP(Master[[#This Row],[Checklist]],Ref!A:A,Ref!B:B)*1000</f>
        <v>80000</v>
      </c>
      <c r="K679" s="21">
        <f ca="1">COUNTIF($J$2:Master[[#This Row],[ChecklistID]],Master[[#This Row],[ChecklistID]])-1</f>
        <v>9</v>
      </c>
      <c r="L679" s="23" t="s">
        <v>6</v>
      </c>
    </row>
    <row r="680" spans="1:12" ht="15.75">
      <c r="A680" s="23">
        <f t="shared" si="10"/>
        <v>679</v>
      </c>
      <c r="B680" s="21">
        <f ca="1">Master[[#This Row],[ChecklistID]]+Master[[#This Row],[Checklist Order]]</f>
        <v>80010</v>
      </c>
      <c r="C680" s="22"/>
      <c r="D680" s="3" t="str" cm="1">
        <f t="array" aca="1" ref="D680" ca="1">_xlfn.SWITCH(MID(Master[[#This Row],[Checklist]],1,4),"C - ","Civil","F - ","Foundation","ST -","Structure","FC -","Façade","PRE ","Pre-Line","POST","Post-Line","H - ","Handover","S - ","Services","CST ","Completion Docs", "I - ", "Inspection")</f>
        <v>Civil</v>
      </c>
      <c r="E6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0" s="24" t="str">
        <f ca="1">IF(OR(Master[[#This Row],[Type]]="checklist", Master[[#This Row],[Type]]="checklist-flat"), Master[[#This Row],[Name]], F679)</f>
        <v>C - S - Pipe Laying - Wastewater</v>
      </c>
      <c r="G680" s="34" t="s">
        <v>49</v>
      </c>
      <c r="H680" s="34" t="s">
        <v>82</v>
      </c>
      <c r="I680" s="35"/>
      <c r="J680" s="21">
        <f ca="1">_xlfn.XLOOKUP(Master[[#This Row],[Checklist]],Ref!A:A,Ref!B:B)*1000</f>
        <v>80000</v>
      </c>
      <c r="K680" s="21">
        <f ca="1">COUNTIF($J$2:Master[[#This Row],[ChecklistID]],Master[[#This Row],[ChecklistID]])-1</f>
        <v>10</v>
      </c>
      <c r="L680" s="23" t="s">
        <v>6</v>
      </c>
    </row>
    <row r="681" spans="1:12" ht="15.75">
      <c r="A681" s="23">
        <f t="shared" si="10"/>
        <v>680</v>
      </c>
      <c r="B681" s="21">
        <f ca="1">Master[[#This Row],[ChecklistID]]+Master[[#This Row],[Checklist Order]]</f>
        <v>80011</v>
      </c>
      <c r="C681" s="22"/>
      <c r="D681" s="3" t="str" cm="1">
        <f t="array" aca="1" ref="D681" ca="1">_xlfn.SWITCH(MID(Master[[#This Row],[Checklist]],1,4),"C - ","Civil","F - ","Foundation","ST -","Structure","FC -","Façade","PRE ","Pre-Line","POST","Post-Line","H - ","Handover","S - ","Services","CST ","Completion Docs", "I - ", "Inspection")</f>
        <v>Civil</v>
      </c>
      <c r="E6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1" s="24" t="str">
        <f ca="1">IF(OR(Master[[#This Row],[Type]]="checklist", Master[[#This Row],[Type]]="checklist-flat"), Master[[#This Row],[Name]], F680)</f>
        <v>C - S - Pipe Laying - Wastewater</v>
      </c>
      <c r="G681" s="34" t="s">
        <v>49</v>
      </c>
      <c r="H681" s="34" t="s">
        <v>57</v>
      </c>
      <c r="I681" s="35"/>
      <c r="J681" s="21">
        <f ca="1">_xlfn.XLOOKUP(Master[[#This Row],[Checklist]],Ref!A:A,Ref!B:B)*1000</f>
        <v>80000</v>
      </c>
      <c r="K681" s="21">
        <f ca="1">COUNTIF($J$2:Master[[#This Row],[ChecklistID]],Master[[#This Row],[ChecklistID]])-1</f>
        <v>11</v>
      </c>
      <c r="L681" s="23" t="s">
        <v>6</v>
      </c>
    </row>
    <row r="682" spans="1:12" ht="15.75">
      <c r="A682" s="23">
        <f t="shared" ref="A682:A745" si="11">IFERROR(A681+1,1)</f>
        <v>681</v>
      </c>
      <c r="B682" s="21">
        <f ca="1">Master[[#This Row],[ChecklistID]]+Master[[#This Row],[Checklist Order]]</f>
        <v>80012</v>
      </c>
      <c r="C682" s="22"/>
      <c r="D682" s="3" t="str" cm="1">
        <f t="array" aca="1" ref="D682" ca="1">_xlfn.SWITCH(MID(Master[[#This Row],[Checklist]],1,4),"C - ","Civil","F - ","Foundation","ST -","Structure","FC -","Façade","PRE ","Pre-Line","POST","Post-Line","H - ","Handover","S - ","Services","CST ","Completion Docs", "I - ", "Inspection")</f>
        <v>Civil</v>
      </c>
      <c r="E6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2" s="24" t="str">
        <f ca="1">IF(OR(Master[[#This Row],[Type]]="checklist", Master[[#This Row],[Type]]="checklist-flat"), Master[[#This Row],[Name]], F681)</f>
        <v>C - S - Pipe Laying - Wastewater</v>
      </c>
      <c r="G682" s="34" t="s">
        <v>58</v>
      </c>
      <c r="H682" s="34" t="s">
        <v>59</v>
      </c>
      <c r="I682" s="35"/>
      <c r="J682" s="21">
        <f ca="1">_xlfn.XLOOKUP(Master[[#This Row],[Checklist]],Ref!A:A,Ref!B:B)*1000</f>
        <v>80000</v>
      </c>
      <c r="K682" s="21">
        <f ca="1">COUNTIF($J$2:Master[[#This Row],[ChecklistID]],Master[[#This Row],[ChecklistID]])-1</f>
        <v>12</v>
      </c>
      <c r="L682" s="23" t="s">
        <v>6</v>
      </c>
    </row>
    <row r="683" spans="1:12" ht="15.75">
      <c r="A683" s="23">
        <f t="shared" si="11"/>
        <v>682</v>
      </c>
      <c r="B683" s="21">
        <f ca="1">Master[[#This Row],[ChecklistID]]+Master[[#This Row],[Checklist Order]]</f>
        <v>81000</v>
      </c>
      <c r="C683" s="22"/>
      <c r="D683" s="3" t="str" cm="1">
        <f t="array" aca="1" ref="D683" ca="1">_xlfn.SWITCH(MID(Master[[#This Row],[Checklist]],1,4),"C - ","Civil","F - ","Foundation","ST -","Structure","FC -","Façade","PRE ","Pre-Line","POST","Post-Line","H - ","Handover","S - ","Services","CST ","Completion Docs", "I - ", "Inspection")</f>
        <v>Civil</v>
      </c>
      <c r="E6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3" s="24" t="str">
        <f ca="1">IF(OR(Master[[#This Row],[Type]]="checklist", Master[[#This Row],[Type]]="checklist-flat"), Master[[#This Row],[Name]], F682)</f>
        <v>C - S - Service Trenches - Common Service Trenches</v>
      </c>
      <c r="G683" s="34" t="s">
        <v>48</v>
      </c>
      <c r="H683" s="34" t="s">
        <v>85</v>
      </c>
      <c r="I683" s="35"/>
      <c r="J683" s="21">
        <f ca="1">_xlfn.XLOOKUP(Master[[#This Row],[Checklist]],Ref!A:A,Ref!B:B)*1000</f>
        <v>81000</v>
      </c>
      <c r="K683" s="21">
        <f ca="1">COUNTIF($J$2:Master[[#This Row],[ChecklistID]],Master[[#This Row],[ChecklistID]])-1</f>
        <v>0</v>
      </c>
      <c r="L683" s="23" t="s">
        <v>6</v>
      </c>
    </row>
    <row r="684" spans="1:12" ht="15.75">
      <c r="A684" s="23">
        <f t="shared" si="11"/>
        <v>683</v>
      </c>
      <c r="B684" s="21">
        <f ca="1">Master[[#This Row],[ChecklistID]]+Master[[#This Row],[Checklist Order]]</f>
        <v>81001</v>
      </c>
      <c r="C684" s="22"/>
      <c r="D684" s="3" t="str" cm="1">
        <f t="array" aca="1" ref="D684" ca="1">_xlfn.SWITCH(MID(Master[[#This Row],[Checklist]],1,4),"C - ","Civil","F - ","Foundation","ST -","Structure","FC -","Façade","PRE ","Pre-Line","POST","Post-Line","H - ","Handover","S - ","Services","CST ","Completion Docs", "I - ", "Inspection")</f>
        <v>Civil</v>
      </c>
      <c r="E6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4" s="24" t="str">
        <f ca="1">IF(OR(Master[[#This Row],[Type]]="checklist", Master[[#This Row],[Type]]="checklist-flat"), Master[[#This Row],[Name]], F683)</f>
        <v>C - S - Service Trenches - Common Service Trenches</v>
      </c>
      <c r="G684" s="34" t="s">
        <v>49</v>
      </c>
      <c r="H684" s="34" t="s">
        <v>75</v>
      </c>
      <c r="I684" s="35"/>
      <c r="J684" s="21">
        <f ca="1">_xlfn.XLOOKUP(Master[[#This Row],[Checklist]],Ref!A:A,Ref!B:B)*1000</f>
        <v>81000</v>
      </c>
      <c r="K684" s="21">
        <f ca="1">COUNTIF($J$2:Master[[#This Row],[ChecklistID]],Master[[#This Row],[ChecklistID]])-1</f>
        <v>1</v>
      </c>
      <c r="L684" s="23" t="s">
        <v>6</v>
      </c>
    </row>
    <row r="685" spans="1:12" ht="15.75">
      <c r="A685" s="23">
        <f t="shared" si="11"/>
        <v>684</v>
      </c>
      <c r="B685" s="21">
        <f ca="1">Master[[#This Row],[ChecklistID]]+Master[[#This Row],[Checklist Order]]</f>
        <v>81002</v>
      </c>
      <c r="C685" s="22"/>
      <c r="D685" s="3" t="str" cm="1">
        <f t="array" aca="1" ref="D685" ca="1">_xlfn.SWITCH(MID(Master[[#This Row],[Checklist]],1,4),"C - ","Civil","F - ","Foundation","ST -","Structure","FC -","Façade","PRE ","Pre-Line","POST","Post-Line","H - ","Handover","S - ","Services","CST ","Completion Docs", "I - ", "Inspection")</f>
        <v>Civil</v>
      </c>
      <c r="E6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5" s="24" t="str">
        <f ca="1">IF(OR(Master[[#This Row],[Type]]="checklist", Master[[#This Row],[Type]]="checklist-flat"), Master[[#This Row],[Name]], F684)</f>
        <v>C - S - Service Trenches - Common Service Trenches</v>
      </c>
      <c r="G685" s="34" t="s">
        <v>49</v>
      </c>
      <c r="H685" s="34" t="s">
        <v>86</v>
      </c>
      <c r="I685" s="35"/>
      <c r="J685" s="21">
        <f ca="1">_xlfn.XLOOKUP(Master[[#This Row],[Checklist]],Ref!A:A,Ref!B:B)*1000</f>
        <v>81000</v>
      </c>
      <c r="K685" s="21">
        <f ca="1">COUNTIF($J$2:Master[[#This Row],[ChecklistID]],Master[[#This Row],[ChecklistID]])-1</f>
        <v>2</v>
      </c>
      <c r="L685" s="23" t="s">
        <v>6</v>
      </c>
    </row>
    <row r="686" spans="1:12" ht="15.75">
      <c r="A686" s="23">
        <f t="shared" si="11"/>
        <v>685</v>
      </c>
      <c r="B686" s="21">
        <f ca="1">Master[[#This Row],[ChecklistID]]+Master[[#This Row],[Checklist Order]]</f>
        <v>81003</v>
      </c>
      <c r="C686" s="22"/>
      <c r="D686" s="3" t="str" cm="1">
        <f t="array" aca="1" ref="D686" ca="1">_xlfn.SWITCH(MID(Master[[#This Row],[Checklist]],1,4),"C - ","Civil","F - ","Foundation","ST -","Structure","FC -","Façade","PRE ","Pre-Line","POST","Post-Line","H - ","Handover","S - ","Services","CST ","Completion Docs", "I - ", "Inspection")</f>
        <v>Civil</v>
      </c>
      <c r="E6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6" s="24" t="str">
        <f ca="1">IF(OR(Master[[#This Row],[Type]]="checklist", Master[[#This Row],[Type]]="checklist-flat"), Master[[#This Row],[Name]], F685)</f>
        <v>C - S - Service Trenches - Common Service Trenches</v>
      </c>
      <c r="G686" s="34" t="s">
        <v>49</v>
      </c>
      <c r="H686" s="34" t="s">
        <v>87</v>
      </c>
      <c r="I686" s="35"/>
      <c r="J686" s="21">
        <f ca="1">_xlfn.XLOOKUP(Master[[#This Row],[Checklist]],Ref!A:A,Ref!B:B)*1000</f>
        <v>81000</v>
      </c>
      <c r="K686" s="21">
        <f ca="1">COUNTIF($J$2:Master[[#This Row],[ChecklistID]],Master[[#This Row],[ChecklistID]])-1</f>
        <v>3</v>
      </c>
      <c r="L686" s="23" t="s">
        <v>6</v>
      </c>
    </row>
    <row r="687" spans="1:12" ht="15.75">
      <c r="A687" s="23">
        <f t="shared" si="11"/>
        <v>686</v>
      </c>
      <c r="B687" s="21">
        <f ca="1">Master[[#This Row],[ChecklistID]]+Master[[#This Row],[Checklist Order]]</f>
        <v>81004</v>
      </c>
      <c r="C687" s="22"/>
      <c r="D687" s="3" t="str" cm="1">
        <f t="array" aca="1" ref="D687" ca="1">_xlfn.SWITCH(MID(Master[[#This Row],[Checklist]],1,4),"C - ","Civil","F - ","Foundation","ST -","Structure","FC -","Façade","PRE ","Pre-Line","POST","Post-Line","H - ","Handover","S - ","Services","CST ","Completion Docs", "I - ", "Inspection")</f>
        <v>Civil</v>
      </c>
      <c r="E6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7" s="24" t="str">
        <f ca="1">IF(OR(Master[[#This Row],[Type]]="checklist", Master[[#This Row],[Type]]="checklist-flat"), Master[[#This Row],[Name]], F686)</f>
        <v>C - S - Service Trenches - Common Service Trenches</v>
      </c>
      <c r="G687" s="34" t="s">
        <v>49</v>
      </c>
      <c r="H687" s="34" t="s">
        <v>88</v>
      </c>
      <c r="I687" s="35"/>
      <c r="J687" s="21">
        <f ca="1">_xlfn.XLOOKUP(Master[[#This Row],[Checklist]],Ref!A:A,Ref!B:B)*1000</f>
        <v>81000</v>
      </c>
      <c r="K687" s="21">
        <f ca="1">COUNTIF($J$2:Master[[#This Row],[ChecklistID]],Master[[#This Row],[ChecklistID]])-1</f>
        <v>4</v>
      </c>
      <c r="L687" s="23" t="s">
        <v>6</v>
      </c>
    </row>
    <row r="688" spans="1:12" ht="15.75">
      <c r="A688" s="23">
        <f t="shared" si="11"/>
        <v>687</v>
      </c>
      <c r="B688" s="21">
        <f ca="1">Master[[#This Row],[ChecklistID]]+Master[[#This Row],[Checklist Order]]</f>
        <v>81005</v>
      </c>
      <c r="C688" s="22"/>
      <c r="D688" s="3" t="str" cm="1">
        <f t="array" aca="1" ref="D688" ca="1">_xlfn.SWITCH(MID(Master[[#This Row],[Checklist]],1,4),"C - ","Civil","F - ","Foundation","ST -","Structure","FC -","Façade","PRE ","Pre-Line","POST","Post-Line","H - ","Handover","S - ","Services","CST ","Completion Docs", "I - ", "Inspection")</f>
        <v>Civil</v>
      </c>
      <c r="E6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8" s="24" t="str">
        <f ca="1">IF(OR(Master[[#This Row],[Type]]="checklist", Master[[#This Row],[Type]]="checklist-flat"), Master[[#This Row],[Name]], F687)</f>
        <v>C - S - Service Trenches - Common Service Trenches</v>
      </c>
      <c r="G688" s="34" t="s">
        <v>49</v>
      </c>
      <c r="H688" s="34" t="s">
        <v>89</v>
      </c>
      <c r="I688" s="35"/>
      <c r="J688" s="21">
        <f ca="1">_xlfn.XLOOKUP(Master[[#This Row],[Checklist]],Ref!A:A,Ref!B:B)*1000</f>
        <v>81000</v>
      </c>
      <c r="K688" s="21">
        <f ca="1">COUNTIF($J$2:Master[[#This Row],[ChecklistID]],Master[[#This Row],[ChecklistID]])-1</f>
        <v>5</v>
      </c>
      <c r="L688" s="23" t="s">
        <v>6</v>
      </c>
    </row>
    <row r="689" spans="1:12" ht="15.75">
      <c r="A689" s="23">
        <f t="shared" si="11"/>
        <v>688</v>
      </c>
      <c r="B689" s="21">
        <f ca="1">Master[[#This Row],[ChecklistID]]+Master[[#This Row],[Checklist Order]]</f>
        <v>81006</v>
      </c>
      <c r="C689" s="22"/>
      <c r="D689" s="3" t="str" cm="1">
        <f t="array" aca="1" ref="D689" ca="1">_xlfn.SWITCH(MID(Master[[#This Row],[Checklist]],1,4),"C - ","Civil","F - ","Foundation","ST -","Structure","FC -","Façade","PRE ","Pre-Line","POST","Post-Line","H - ","Handover","S - ","Services","CST ","Completion Docs", "I - ", "Inspection")</f>
        <v>Civil</v>
      </c>
      <c r="E6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89" s="24" t="str">
        <f ca="1">IF(OR(Master[[#This Row],[Type]]="checklist", Master[[#This Row],[Type]]="checklist-flat"), Master[[#This Row],[Name]], F688)</f>
        <v>C - S - Service Trenches - Common Service Trenches</v>
      </c>
      <c r="G689" s="34" t="s">
        <v>49</v>
      </c>
      <c r="H689" s="34" t="s">
        <v>90</v>
      </c>
      <c r="I689" s="35"/>
      <c r="J689" s="21">
        <f ca="1">_xlfn.XLOOKUP(Master[[#This Row],[Checklist]],Ref!A:A,Ref!B:B)*1000</f>
        <v>81000</v>
      </c>
      <c r="K689" s="21">
        <f ca="1">COUNTIF($J$2:Master[[#This Row],[ChecklistID]],Master[[#This Row],[ChecklistID]])-1</f>
        <v>6</v>
      </c>
      <c r="L689" s="23" t="s">
        <v>6</v>
      </c>
    </row>
    <row r="690" spans="1:12" ht="15.75">
      <c r="A690" s="23">
        <f t="shared" si="11"/>
        <v>689</v>
      </c>
      <c r="B690" s="21">
        <f ca="1">Master[[#This Row],[ChecklistID]]+Master[[#This Row],[Checklist Order]]</f>
        <v>81007</v>
      </c>
      <c r="C690" s="22"/>
      <c r="D690" s="3" t="str" cm="1">
        <f t="array" aca="1" ref="D690" ca="1">_xlfn.SWITCH(MID(Master[[#This Row],[Checklist]],1,4),"C - ","Civil","F - ","Foundation","ST -","Structure","FC -","Façade","PRE ","Pre-Line","POST","Post-Line","H - ","Handover","S - ","Services","CST ","Completion Docs", "I - ", "Inspection")</f>
        <v>Civil</v>
      </c>
      <c r="E6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0" s="24" t="str">
        <f ca="1">IF(OR(Master[[#This Row],[Type]]="checklist", Master[[#This Row],[Type]]="checklist-flat"), Master[[#This Row],[Name]], F689)</f>
        <v>C - S - Service Trenches - Common Service Trenches</v>
      </c>
      <c r="G690" s="34" t="s">
        <v>49</v>
      </c>
      <c r="H690" s="34" t="s">
        <v>82</v>
      </c>
      <c r="I690" s="35"/>
      <c r="J690" s="21">
        <f ca="1">_xlfn.XLOOKUP(Master[[#This Row],[Checklist]],Ref!A:A,Ref!B:B)*1000</f>
        <v>81000</v>
      </c>
      <c r="K690" s="21">
        <f ca="1">COUNTIF($J$2:Master[[#This Row],[ChecklistID]],Master[[#This Row],[ChecklistID]])-1</f>
        <v>7</v>
      </c>
      <c r="L690" s="23" t="s">
        <v>6</v>
      </c>
    </row>
    <row r="691" spans="1:12" ht="15.75">
      <c r="A691" s="23">
        <f t="shared" si="11"/>
        <v>690</v>
      </c>
      <c r="B691" s="21">
        <f ca="1">Master[[#This Row],[ChecklistID]]+Master[[#This Row],[Checklist Order]]</f>
        <v>81008</v>
      </c>
      <c r="C691" s="22"/>
      <c r="D691" s="3" t="str" cm="1">
        <f t="array" aca="1" ref="D691" ca="1">_xlfn.SWITCH(MID(Master[[#This Row],[Checklist]],1,4),"C - ","Civil","F - ","Foundation","ST -","Structure","FC -","Façade","PRE ","Pre-Line","POST","Post-Line","H - ","Handover","S - ","Services","CST ","Completion Docs", "I - ", "Inspection")</f>
        <v>Civil</v>
      </c>
      <c r="E6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1" s="24" t="str">
        <f ca="1">IF(OR(Master[[#This Row],[Type]]="checklist", Master[[#This Row],[Type]]="checklist-flat"), Master[[#This Row],[Name]], F690)</f>
        <v>C - S - Service Trenches - Common Service Trenches</v>
      </c>
      <c r="G691" s="34" t="s">
        <v>49</v>
      </c>
      <c r="H691" s="34" t="s">
        <v>57</v>
      </c>
      <c r="I691" s="35"/>
      <c r="J691" s="21">
        <f ca="1">_xlfn.XLOOKUP(Master[[#This Row],[Checklist]],Ref!A:A,Ref!B:B)*1000</f>
        <v>81000</v>
      </c>
      <c r="K691" s="21">
        <f ca="1">COUNTIF($J$2:Master[[#This Row],[ChecklistID]],Master[[#This Row],[ChecklistID]])-1</f>
        <v>8</v>
      </c>
      <c r="L691" s="23" t="s">
        <v>6</v>
      </c>
    </row>
    <row r="692" spans="1:12" ht="15.75">
      <c r="A692" s="23">
        <f t="shared" si="11"/>
        <v>691</v>
      </c>
      <c r="B692" s="21">
        <f ca="1">Master[[#This Row],[ChecklistID]]+Master[[#This Row],[Checklist Order]]</f>
        <v>81009</v>
      </c>
      <c r="C692" s="22"/>
      <c r="D692" s="3" t="str" cm="1">
        <f t="array" aca="1" ref="D692" ca="1">_xlfn.SWITCH(MID(Master[[#This Row],[Checklist]],1,4),"C - ","Civil","F - ","Foundation","ST -","Structure","FC -","Façade","PRE ","Pre-Line","POST","Post-Line","H - ","Handover","S - ","Services","CST ","Completion Docs", "I - ", "Inspection")</f>
        <v>Civil</v>
      </c>
      <c r="E6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2" s="24" t="str">
        <f ca="1">IF(OR(Master[[#This Row],[Type]]="checklist", Master[[#This Row],[Type]]="checklist-flat"), Master[[#This Row],[Name]], F691)</f>
        <v>C - S - Service Trenches - Common Service Trenches</v>
      </c>
      <c r="G692" s="34" t="s">
        <v>58</v>
      </c>
      <c r="H692" s="34" t="s">
        <v>59</v>
      </c>
      <c r="I692" s="35"/>
      <c r="J692" s="21">
        <f ca="1">_xlfn.XLOOKUP(Master[[#This Row],[Checklist]],Ref!A:A,Ref!B:B)*1000</f>
        <v>81000</v>
      </c>
      <c r="K692" s="21">
        <f ca="1">COUNTIF($J$2:Master[[#This Row],[ChecklistID]],Master[[#This Row],[ChecklistID]])-1</f>
        <v>9</v>
      </c>
      <c r="L692" s="23" t="s">
        <v>6</v>
      </c>
    </row>
    <row r="693" spans="1:12" ht="15.75">
      <c r="A693" s="23">
        <f t="shared" si="11"/>
        <v>692</v>
      </c>
      <c r="B693" s="21">
        <f ca="1">Master[[#This Row],[ChecklistID]]+Master[[#This Row],[Checklist Order]]</f>
        <v>82000</v>
      </c>
      <c r="C693" s="22"/>
      <c r="D693" s="3" t="str" cm="1">
        <f t="array" aca="1" ref="D693" ca="1">_xlfn.SWITCH(MID(Master[[#This Row],[Checklist]],1,4),"C - ","Civil","F - ","Foundation","ST -","Structure","FC -","Façade","PRE ","Pre-Line","POST","Post-Line","H - ","Handover","S - ","Services","CST ","Completion Docs", "I - ", "Inspection")</f>
        <v>Civil</v>
      </c>
      <c r="E6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3" s="24" t="str">
        <f ca="1">IF(OR(Master[[#This Row],[Type]]="checklist", Master[[#This Row],[Type]]="checklist-flat"), Master[[#This Row],[Name]], F692)</f>
        <v>C - S - Service Trenches - Pulling Pits</v>
      </c>
      <c r="G693" s="34" t="s">
        <v>48</v>
      </c>
      <c r="H693" s="34" t="s">
        <v>91</v>
      </c>
      <c r="I693" s="35"/>
      <c r="J693" s="21">
        <f ca="1">_xlfn.XLOOKUP(Master[[#This Row],[Checklist]],Ref!A:A,Ref!B:B)*1000</f>
        <v>82000</v>
      </c>
      <c r="K693" s="21">
        <f ca="1">COUNTIF($J$2:Master[[#This Row],[ChecklistID]],Master[[#This Row],[ChecklistID]])-1</f>
        <v>0</v>
      </c>
      <c r="L693" s="23" t="s">
        <v>6</v>
      </c>
    </row>
    <row r="694" spans="1:12" ht="15.75">
      <c r="A694" s="23">
        <f t="shared" si="11"/>
        <v>693</v>
      </c>
      <c r="B694" s="21">
        <f ca="1">Master[[#This Row],[ChecklistID]]+Master[[#This Row],[Checklist Order]]</f>
        <v>82001</v>
      </c>
      <c r="C694" s="22"/>
      <c r="D694" s="3" t="str" cm="1">
        <f t="array" aca="1" ref="D694" ca="1">_xlfn.SWITCH(MID(Master[[#This Row],[Checklist]],1,4),"C - ","Civil","F - ","Foundation","ST -","Structure","FC -","Façade","PRE ","Pre-Line","POST","Post-Line","H - ","Handover","S - ","Services","CST ","Completion Docs", "I - ", "Inspection")</f>
        <v>Civil</v>
      </c>
      <c r="E6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4" s="24" t="str">
        <f ca="1">IF(OR(Master[[#This Row],[Type]]="checklist", Master[[#This Row],[Type]]="checklist-flat"), Master[[#This Row],[Name]], F693)</f>
        <v>C - S - Service Trenches - Pulling Pits</v>
      </c>
      <c r="G694" s="34" t="s">
        <v>49</v>
      </c>
      <c r="H694" s="34" t="s">
        <v>75</v>
      </c>
      <c r="I694" s="35"/>
      <c r="J694" s="21">
        <f ca="1">_xlfn.XLOOKUP(Master[[#This Row],[Checklist]],Ref!A:A,Ref!B:B)*1000</f>
        <v>82000</v>
      </c>
      <c r="K694" s="21">
        <f ca="1">COUNTIF($J$2:Master[[#This Row],[ChecklistID]],Master[[#This Row],[ChecklistID]])-1</f>
        <v>1</v>
      </c>
      <c r="L694" s="23" t="s">
        <v>6</v>
      </c>
    </row>
    <row r="695" spans="1:12" ht="15.75">
      <c r="A695" s="23">
        <f t="shared" si="11"/>
        <v>694</v>
      </c>
      <c r="B695" s="21">
        <f ca="1">Master[[#This Row],[ChecklistID]]+Master[[#This Row],[Checklist Order]]</f>
        <v>82002</v>
      </c>
      <c r="C695" s="22"/>
      <c r="D695" s="3" t="str" cm="1">
        <f t="array" aca="1" ref="D695" ca="1">_xlfn.SWITCH(MID(Master[[#This Row],[Checklist]],1,4),"C - ","Civil","F - ","Foundation","ST -","Structure","FC -","Façade","PRE ","Pre-Line","POST","Post-Line","H - ","Handover","S - ","Services","CST ","Completion Docs", "I - ", "Inspection")</f>
        <v>Civil</v>
      </c>
      <c r="E6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5" s="24" t="str">
        <f ca="1">IF(OR(Master[[#This Row],[Type]]="checklist", Master[[#This Row],[Type]]="checklist-flat"), Master[[#This Row],[Name]], F694)</f>
        <v>C - S - Service Trenches - Pulling Pits</v>
      </c>
      <c r="G695" s="34" t="s">
        <v>49</v>
      </c>
      <c r="H695" s="34" t="s">
        <v>86</v>
      </c>
      <c r="I695" s="35"/>
      <c r="J695" s="21">
        <f ca="1">_xlfn.XLOOKUP(Master[[#This Row],[Checklist]],Ref!A:A,Ref!B:B)*1000</f>
        <v>82000</v>
      </c>
      <c r="K695" s="21">
        <f ca="1">COUNTIF($J$2:Master[[#This Row],[ChecklistID]],Master[[#This Row],[ChecklistID]])-1</f>
        <v>2</v>
      </c>
      <c r="L695" s="23" t="s">
        <v>6</v>
      </c>
    </row>
    <row r="696" spans="1:12" ht="15.75">
      <c r="A696" s="23">
        <f t="shared" si="11"/>
        <v>695</v>
      </c>
      <c r="B696" s="21">
        <f ca="1">Master[[#This Row],[ChecklistID]]+Master[[#This Row],[Checklist Order]]</f>
        <v>82003</v>
      </c>
      <c r="C696" s="22"/>
      <c r="D696" s="3" t="str" cm="1">
        <f t="array" aca="1" ref="D696" ca="1">_xlfn.SWITCH(MID(Master[[#This Row],[Checklist]],1,4),"C - ","Civil","F - ","Foundation","ST -","Structure","FC -","Façade","PRE ","Pre-Line","POST","Post-Line","H - ","Handover","S - ","Services","CST ","Completion Docs", "I - ", "Inspection")</f>
        <v>Civil</v>
      </c>
      <c r="E6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6" s="24" t="str">
        <f ca="1">IF(OR(Master[[#This Row],[Type]]="checklist", Master[[#This Row],[Type]]="checklist-flat"), Master[[#This Row],[Name]], F695)</f>
        <v>C - S - Service Trenches - Pulling Pits</v>
      </c>
      <c r="G696" s="34" t="s">
        <v>49</v>
      </c>
      <c r="H696" s="34" t="s">
        <v>87</v>
      </c>
      <c r="I696" s="35"/>
      <c r="J696" s="21">
        <f ca="1">_xlfn.XLOOKUP(Master[[#This Row],[Checklist]],Ref!A:A,Ref!B:B)*1000</f>
        <v>82000</v>
      </c>
      <c r="K696" s="21">
        <f ca="1">COUNTIF($J$2:Master[[#This Row],[ChecklistID]],Master[[#This Row],[ChecklistID]])-1</f>
        <v>3</v>
      </c>
      <c r="L696" s="23" t="s">
        <v>6</v>
      </c>
    </row>
    <row r="697" spans="1:12" ht="15.75">
      <c r="A697" s="23">
        <f t="shared" si="11"/>
        <v>696</v>
      </c>
      <c r="B697" s="21">
        <f ca="1">Master[[#This Row],[ChecklistID]]+Master[[#This Row],[Checklist Order]]</f>
        <v>82004</v>
      </c>
      <c r="C697" s="22"/>
      <c r="D697" s="3" t="str" cm="1">
        <f t="array" aca="1" ref="D697" ca="1">_xlfn.SWITCH(MID(Master[[#This Row],[Checklist]],1,4),"C - ","Civil","F - ","Foundation","ST -","Structure","FC -","Façade","PRE ","Pre-Line","POST","Post-Line","H - ","Handover","S - ","Services","CST ","Completion Docs", "I - ", "Inspection")</f>
        <v>Civil</v>
      </c>
      <c r="E6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7" s="24" t="str">
        <f ca="1">IF(OR(Master[[#This Row],[Type]]="checklist", Master[[#This Row],[Type]]="checklist-flat"), Master[[#This Row],[Name]], F696)</f>
        <v>C - S - Service Trenches - Pulling Pits</v>
      </c>
      <c r="G697" s="34" t="s">
        <v>49</v>
      </c>
      <c r="H697" s="34" t="s">
        <v>92</v>
      </c>
      <c r="I697" s="35"/>
      <c r="J697" s="21">
        <f ca="1">_xlfn.XLOOKUP(Master[[#This Row],[Checklist]],Ref!A:A,Ref!B:B)*1000</f>
        <v>82000</v>
      </c>
      <c r="K697" s="21">
        <f ca="1">COUNTIF($J$2:Master[[#This Row],[ChecklistID]],Master[[#This Row],[ChecklistID]])-1</f>
        <v>4</v>
      </c>
      <c r="L697" s="23" t="s">
        <v>6</v>
      </c>
    </row>
    <row r="698" spans="1:12" ht="15.75">
      <c r="A698" s="23">
        <f t="shared" si="11"/>
        <v>697</v>
      </c>
      <c r="B698" s="21">
        <f ca="1">Master[[#This Row],[ChecklistID]]+Master[[#This Row],[Checklist Order]]</f>
        <v>82005</v>
      </c>
      <c r="C698" s="22"/>
      <c r="D698" s="3" t="str" cm="1">
        <f t="array" aca="1" ref="D698" ca="1">_xlfn.SWITCH(MID(Master[[#This Row],[Checklist]],1,4),"C - ","Civil","F - ","Foundation","ST -","Structure","FC -","Façade","PRE ","Pre-Line","POST","Post-Line","H - ","Handover","S - ","Services","CST ","Completion Docs", "I - ", "Inspection")</f>
        <v>Civil</v>
      </c>
      <c r="E6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8" s="24" t="str">
        <f ca="1">IF(OR(Master[[#This Row],[Type]]="checklist", Master[[#This Row],[Type]]="checklist-flat"), Master[[#This Row],[Name]], F697)</f>
        <v>C - S - Service Trenches - Pulling Pits</v>
      </c>
      <c r="G698" s="34" t="s">
        <v>49</v>
      </c>
      <c r="H698" s="34" t="s">
        <v>90</v>
      </c>
      <c r="I698" s="35"/>
      <c r="J698" s="21">
        <f ca="1">_xlfn.XLOOKUP(Master[[#This Row],[Checklist]],Ref!A:A,Ref!B:B)*1000</f>
        <v>82000</v>
      </c>
      <c r="K698" s="21">
        <f ca="1">COUNTIF($J$2:Master[[#This Row],[ChecklistID]],Master[[#This Row],[ChecklistID]])-1</f>
        <v>5</v>
      </c>
      <c r="L698" s="23" t="s">
        <v>6</v>
      </c>
    </row>
    <row r="699" spans="1:12" ht="15.75">
      <c r="A699" s="23">
        <f t="shared" si="11"/>
        <v>698</v>
      </c>
      <c r="B699" s="21">
        <f ca="1">Master[[#This Row],[ChecklistID]]+Master[[#This Row],[Checklist Order]]</f>
        <v>82006</v>
      </c>
      <c r="C699" s="22"/>
      <c r="D699" s="3" t="str" cm="1">
        <f t="array" aca="1" ref="D699" ca="1">_xlfn.SWITCH(MID(Master[[#This Row],[Checklist]],1,4),"C - ","Civil","F - ","Foundation","ST -","Structure","FC -","Façade","PRE ","Pre-Line","POST","Post-Line","H - ","Handover","S - ","Services","CST ","Completion Docs", "I - ", "Inspection")</f>
        <v>Civil</v>
      </c>
      <c r="E6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699" s="24" t="str">
        <f ca="1">IF(OR(Master[[#This Row],[Type]]="checklist", Master[[#This Row],[Type]]="checklist-flat"), Master[[#This Row],[Name]], F698)</f>
        <v>C - S - Service Trenches - Pulling Pits</v>
      </c>
      <c r="G699" s="34" t="s">
        <v>49</v>
      </c>
      <c r="H699" s="34" t="s">
        <v>82</v>
      </c>
      <c r="I699" s="35"/>
      <c r="J699" s="21">
        <f ca="1">_xlfn.XLOOKUP(Master[[#This Row],[Checklist]],Ref!A:A,Ref!B:B)*1000</f>
        <v>82000</v>
      </c>
      <c r="K699" s="21">
        <f ca="1">COUNTIF($J$2:Master[[#This Row],[ChecklistID]],Master[[#This Row],[ChecklistID]])-1</f>
        <v>6</v>
      </c>
      <c r="L699" s="23" t="s">
        <v>6</v>
      </c>
    </row>
    <row r="700" spans="1:12" ht="15.75">
      <c r="A700" s="23">
        <f t="shared" si="11"/>
        <v>699</v>
      </c>
      <c r="B700" s="21">
        <f ca="1">Master[[#This Row],[ChecklistID]]+Master[[#This Row],[Checklist Order]]</f>
        <v>82007</v>
      </c>
      <c r="C700" s="22"/>
      <c r="D700" s="3" t="str" cm="1">
        <f t="array" aca="1" ref="D700" ca="1">_xlfn.SWITCH(MID(Master[[#This Row],[Checklist]],1,4),"C - ","Civil","F - ","Foundation","ST -","Structure","FC -","Façade","PRE ","Pre-Line","POST","Post-Line","H - ","Handover","S - ","Services","CST ","Completion Docs", "I - ", "Inspection")</f>
        <v>Civil</v>
      </c>
      <c r="E7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0" s="24" t="str">
        <f ca="1">IF(OR(Master[[#This Row],[Type]]="checklist", Master[[#This Row],[Type]]="checklist-flat"), Master[[#This Row],[Name]], F699)</f>
        <v>C - S - Service Trenches - Pulling Pits</v>
      </c>
      <c r="G700" s="34" t="s">
        <v>49</v>
      </c>
      <c r="H700" s="34" t="s">
        <v>57</v>
      </c>
      <c r="I700" s="35"/>
      <c r="J700" s="21">
        <f ca="1">_xlfn.XLOOKUP(Master[[#This Row],[Checklist]],Ref!A:A,Ref!B:B)*1000</f>
        <v>82000</v>
      </c>
      <c r="K700" s="21">
        <f ca="1">COUNTIF($J$2:Master[[#This Row],[ChecklistID]],Master[[#This Row],[ChecklistID]])-1</f>
        <v>7</v>
      </c>
      <c r="L700" s="23" t="s">
        <v>6</v>
      </c>
    </row>
    <row r="701" spans="1:12" ht="15.75">
      <c r="A701" s="23">
        <f t="shared" si="11"/>
        <v>700</v>
      </c>
      <c r="B701" s="21">
        <f ca="1">Master[[#This Row],[ChecklistID]]+Master[[#This Row],[Checklist Order]]</f>
        <v>82008</v>
      </c>
      <c r="C701" s="22"/>
      <c r="D701" s="3" t="str" cm="1">
        <f t="array" aca="1" ref="D701" ca="1">_xlfn.SWITCH(MID(Master[[#This Row],[Checklist]],1,4),"C - ","Civil","F - ","Foundation","ST -","Structure","FC -","Façade","PRE ","Pre-Line","POST","Post-Line","H - ","Handover","S - ","Services","CST ","Completion Docs", "I - ", "Inspection")</f>
        <v>Civil</v>
      </c>
      <c r="E7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1" s="24" t="str">
        <f ca="1">IF(OR(Master[[#This Row],[Type]]="checklist", Master[[#This Row],[Type]]="checklist-flat"), Master[[#This Row],[Name]], F700)</f>
        <v>C - S - Service Trenches - Pulling Pits</v>
      </c>
      <c r="G701" s="34" t="s">
        <v>58</v>
      </c>
      <c r="H701" s="34" t="s">
        <v>59</v>
      </c>
      <c r="I701" s="35"/>
      <c r="J701" s="21">
        <f ca="1">_xlfn.XLOOKUP(Master[[#This Row],[Checklist]],Ref!A:A,Ref!B:B)*1000</f>
        <v>82000</v>
      </c>
      <c r="K701" s="21">
        <f ca="1">COUNTIF($J$2:Master[[#This Row],[ChecklistID]],Master[[#This Row],[ChecklistID]])-1</f>
        <v>8</v>
      </c>
      <c r="L701" s="23" t="s">
        <v>6</v>
      </c>
    </row>
    <row r="702" spans="1:12" ht="15.75">
      <c r="A702" s="23">
        <f t="shared" si="11"/>
        <v>701</v>
      </c>
      <c r="B702" s="21">
        <f ca="1">Master[[#This Row],[ChecklistID]]+Master[[#This Row],[Checklist Order]]</f>
        <v>83000</v>
      </c>
      <c r="C702" s="22"/>
      <c r="D702" s="3" t="str" cm="1">
        <f t="array" aca="1" ref="D702" ca="1">_xlfn.SWITCH(MID(Master[[#This Row],[Checklist]],1,4),"C - ","Civil","F - ","Foundation","ST -","Structure","FC -","Façade","PRE ","Pre-Line","POST","Post-Line","H - ","Handover","S - ","Services","CST ","Completion Docs", "I - ", "Inspection")</f>
        <v>Civil</v>
      </c>
      <c r="E7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2" s="24" t="str">
        <f ca="1">IF(OR(Master[[#This Row],[Type]]="checklist", Master[[#This Row],[Type]]="checklist-flat"), Master[[#This Row],[Name]], F701)</f>
        <v>C - S - Demolition</v>
      </c>
      <c r="G702" s="34" t="s">
        <v>48</v>
      </c>
      <c r="H702" s="34" t="s">
        <v>93</v>
      </c>
      <c r="I702" s="35"/>
      <c r="J702" s="21">
        <f ca="1">_xlfn.XLOOKUP(Master[[#This Row],[Checklist]],Ref!A:A,Ref!B:B)*1000</f>
        <v>83000</v>
      </c>
      <c r="K702" s="21">
        <f ca="1">COUNTIF($J$2:Master[[#This Row],[ChecklistID]],Master[[#This Row],[ChecklistID]])-1</f>
        <v>0</v>
      </c>
      <c r="L702" s="23" t="s">
        <v>6</v>
      </c>
    </row>
    <row r="703" spans="1:12" ht="15.75">
      <c r="A703" s="23">
        <f t="shared" si="11"/>
        <v>702</v>
      </c>
      <c r="B703" s="21">
        <f ca="1">Master[[#This Row],[ChecklistID]]+Master[[#This Row],[Checklist Order]]</f>
        <v>83001</v>
      </c>
      <c r="C703" s="22"/>
      <c r="D703" s="3" t="str" cm="1">
        <f t="array" aca="1" ref="D703" ca="1">_xlfn.SWITCH(MID(Master[[#This Row],[Checklist]],1,4),"C - ","Civil","F - ","Foundation","ST -","Structure","FC -","Façade","PRE ","Pre-Line","POST","Post-Line","H - ","Handover","S - ","Services","CST ","Completion Docs", "I - ", "Inspection")</f>
        <v>Civil</v>
      </c>
      <c r="E7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3" s="24" t="str">
        <f ca="1">IF(OR(Master[[#This Row],[Type]]="checklist", Master[[#This Row],[Type]]="checklist-flat"), Master[[#This Row],[Name]], F702)</f>
        <v>C - S - Demolition</v>
      </c>
      <c r="G703" s="34" t="s">
        <v>49</v>
      </c>
      <c r="H703" s="34" t="s">
        <v>94</v>
      </c>
      <c r="I703" s="35"/>
      <c r="J703" s="21">
        <f ca="1">_xlfn.XLOOKUP(Master[[#This Row],[Checklist]],Ref!A:A,Ref!B:B)*1000</f>
        <v>83000</v>
      </c>
      <c r="K703" s="21">
        <f ca="1">COUNTIF($J$2:Master[[#This Row],[ChecklistID]],Master[[#This Row],[ChecklistID]])-1</f>
        <v>1</v>
      </c>
      <c r="L703" s="23" t="s">
        <v>6</v>
      </c>
    </row>
    <row r="704" spans="1:12" ht="15.75">
      <c r="A704" s="23">
        <f t="shared" si="11"/>
        <v>703</v>
      </c>
      <c r="B704" s="21">
        <f ca="1">Master[[#This Row],[ChecklistID]]+Master[[#This Row],[Checklist Order]]</f>
        <v>83002</v>
      </c>
      <c r="C704" s="22"/>
      <c r="D704" s="3" t="str" cm="1">
        <f t="array" aca="1" ref="D704" ca="1">_xlfn.SWITCH(MID(Master[[#This Row],[Checklist]],1,4),"C - ","Civil","F - ","Foundation","ST -","Structure","FC -","Façade","PRE ","Pre-Line","POST","Post-Line","H - ","Handover","S - ","Services","CST ","Completion Docs", "I - ", "Inspection")</f>
        <v>Civil</v>
      </c>
      <c r="E7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4" s="24" t="str">
        <f ca="1">IF(OR(Master[[#This Row],[Type]]="checklist", Master[[#This Row],[Type]]="checklist-flat"), Master[[#This Row],[Name]], F703)</f>
        <v>C - S - Demolition</v>
      </c>
      <c r="G704" s="34" t="s">
        <v>49</v>
      </c>
      <c r="H704" s="34" t="s">
        <v>95</v>
      </c>
      <c r="I704" s="35"/>
      <c r="J704" s="21">
        <f ca="1">_xlfn.XLOOKUP(Master[[#This Row],[Checklist]],Ref!A:A,Ref!B:B)*1000</f>
        <v>83000</v>
      </c>
      <c r="K704" s="21">
        <f ca="1">COUNTIF($J$2:Master[[#This Row],[ChecklistID]],Master[[#This Row],[ChecklistID]])-1</f>
        <v>2</v>
      </c>
      <c r="L704" s="23" t="s">
        <v>6</v>
      </c>
    </row>
    <row r="705" spans="1:12" ht="15.75">
      <c r="A705" s="23">
        <f t="shared" si="11"/>
        <v>704</v>
      </c>
      <c r="B705" s="21">
        <f ca="1">Master[[#This Row],[ChecklistID]]+Master[[#This Row],[Checklist Order]]</f>
        <v>83003</v>
      </c>
      <c r="C705" s="22"/>
      <c r="D705" s="3" t="str" cm="1">
        <f t="array" aca="1" ref="D705" ca="1">_xlfn.SWITCH(MID(Master[[#This Row],[Checklist]],1,4),"C - ","Civil","F - ","Foundation","ST -","Structure","FC -","Façade","PRE ","Pre-Line","POST","Post-Line","H - ","Handover","S - ","Services","CST ","Completion Docs", "I - ", "Inspection")</f>
        <v>Civil</v>
      </c>
      <c r="E7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5" s="24" t="str">
        <f ca="1">IF(OR(Master[[#This Row],[Type]]="checklist", Master[[#This Row],[Type]]="checklist-flat"), Master[[#This Row],[Name]], F704)</f>
        <v>C - S - Demolition</v>
      </c>
      <c r="G705" s="34" t="s">
        <v>49</v>
      </c>
      <c r="H705" s="34" t="s">
        <v>96</v>
      </c>
      <c r="I705" s="35"/>
      <c r="J705" s="21">
        <f ca="1">_xlfn.XLOOKUP(Master[[#This Row],[Checklist]],Ref!A:A,Ref!B:B)*1000</f>
        <v>83000</v>
      </c>
      <c r="K705" s="21">
        <f ca="1">COUNTIF($J$2:Master[[#This Row],[ChecklistID]],Master[[#This Row],[ChecklistID]])-1</f>
        <v>3</v>
      </c>
      <c r="L705" s="23" t="s">
        <v>6</v>
      </c>
    </row>
    <row r="706" spans="1:12" ht="15.75">
      <c r="A706" s="23">
        <f t="shared" si="11"/>
        <v>705</v>
      </c>
      <c r="B706" s="21">
        <f ca="1">Master[[#This Row],[ChecklistID]]+Master[[#This Row],[Checklist Order]]</f>
        <v>83004</v>
      </c>
      <c r="C706" s="22"/>
      <c r="D706" s="3" t="str" cm="1">
        <f t="array" aca="1" ref="D706" ca="1">_xlfn.SWITCH(MID(Master[[#This Row],[Checklist]],1,4),"C - ","Civil","F - ","Foundation","ST -","Structure","FC -","Façade","PRE ","Pre-Line","POST","Post-Line","H - ","Handover","S - ","Services","CST ","Completion Docs", "I - ", "Inspection")</f>
        <v>Civil</v>
      </c>
      <c r="E7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6" s="24" t="str">
        <f ca="1">IF(OR(Master[[#This Row],[Type]]="checklist", Master[[#This Row],[Type]]="checklist-flat"), Master[[#This Row],[Name]], F705)</f>
        <v>C - S - Demolition</v>
      </c>
      <c r="G706" s="34" t="s">
        <v>66</v>
      </c>
      <c r="H706" s="34" t="s">
        <v>97</v>
      </c>
      <c r="I706" s="35"/>
      <c r="J706" s="21">
        <f ca="1">_xlfn.XLOOKUP(Master[[#This Row],[Checklist]],Ref!A:A,Ref!B:B)*1000</f>
        <v>83000</v>
      </c>
      <c r="K706" s="21">
        <f ca="1">COUNTIF($J$2:Master[[#This Row],[ChecklistID]],Master[[#This Row],[ChecklistID]])-1</f>
        <v>4</v>
      </c>
      <c r="L706" s="23" t="s">
        <v>6</v>
      </c>
    </row>
    <row r="707" spans="1:12" ht="15.75">
      <c r="A707" s="23">
        <f t="shared" si="11"/>
        <v>706</v>
      </c>
      <c r="B707" s="21">
        <f ca="1">Master[[#This Row],[ChecklistID]]+Master[[#This Row],[Checklist Order]]</f>
        <v>83005</v>
      </c>
      <c r="C707" s="22"/>
      <c r="D707" s="3" t="str" cm="1">
        <f t="array" aca="1" ref="D707" ca="1">_xlfn.SWITCH(MID(Master[[#This Row],[Checklist]],1,4),"C - ","Civil","F - ","Foundation","ST -","Structure","FC -","Façade","PRE ","Pre-Line","POST","Post-Line","H - ","Handover","S - ","Services","CST ","Completion Docs", "I - ", "Inspection")</f>
        <v>Civil</v>
      </c>
      <c r="E7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7" s="24" t="str">
        <f ca="1">IF(OR(Master[[#This Row],[Type]]="checklist", Master[[#This Row],[Type]]="checklist-flat"), Master[[#This Row],[Name]], F706)</f>
        <v>C - S - Demolition</v>
      </c>
      <c r="G707" s="34" t="s">
        <v>66</v>
      </c>
      <c r="H707" s="34" t="s">
        <v>98</v>
      </c>
      <c r="I707" s="35"/>
      <c r="J707" s="21">
        <f ca="1">_xlfn.XLOOKUP(Master[[#This Row],[Checklist]],Ref!A:A,Ref!B:B)*1000</f>
        <v>83000</v>
      </c>
      <c r="K707" s="21">
        <f ca="1">COUNTIF($J$2:Master[[#This Row],[ChecklistID]],Master[[#This Row],[ChecklistID]])-1</f>
        <v>5</v>
      </c>
      <c r="L707" s="23" t="s">
        <v>6</v>
      </c>
    </row>
    <row r="708" spans="1:12" ht="15.75">
      <c r="A708" s="23">
        <f t="shared" si="11"/>
        <v>707</v>
      </c>
      <c r="B708" s="21">
        <f ca="1">Master[[#This Row],[ChecklistID]]+Master[[#This Row],[Checklist Order]]</f>
        <v>83006</v>
      </c>
      <c r="C708" s="22"/>
      <c r="D708" s="3" t="str" cm="1">
        <f t="array" aca="1" ref="D708" ca="1">_xlfn.SWITCH(MID(Master[[#This Row],[Checklist]],1,4),"C - ","Civil","F - ","Foundation","ST -","Structure","FC -","Façade","PRE ","Pre-Line","POST","Post-Line","H - ","Handover","S - ","Services","CST ","Completion Docs", "I - ", "Inspection")</f>
        <v>Civil</v>
      </c>
      <c r="E7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8" s="24" t="str">
        <f ca="1">IF(OR(Master[[#This Row],[Type]]="checklist", Master[[#This Row],[Type]]="checklist-flat"), Master[[#This Row],[Name]], F707)</f>
        <v>C - S - Demolition</v>
      </c>
      <c r="G708" s="34" t="s">
        <v>66</v>
      </c>
      <c r="H708" s="34" t="s">
        <v>99</v>
      </c>
      <c r="I708" s="35"/>
      <c r="J708" s="21">
        <f ca="1">_xlfn.XLOOKUP(Master[[#This Row],[Checklist]],Ref!A:A,Ref!B:B)*1000</f>
        <v>83000</v>
      </c>
      <c r="K708" s="21">
        <f ca="1">COUNTIF($J$2:Master[[#This Row],[ChecklistID]],Master[[#This Row],[ChecklistID]])-1</f>
        <v>6</v>
      </c>
      <c r="L708" s="23" t="s">
        <v>6</v>
      </c>
    </row>
    <row r="709" spans="1:12" ht="15.75">
      <c r="A709" s="23">
        <f t="shared" si="11"/>
        <v>708</v>
      </c>
      <c r="B709" s="21">
        <f ca="1">Master[[#This Row],[ChecklistID]]+Master[[#This Row],[Checklist Order]]</f>
        <v>83007</v>
      </c>
      <c r="C709" s="22"/>
      <c r="D709" s="3" t="str" cm="1">
        <f t="array" aca="1" ref="D709" ca="1">_xlfn.SWITCH(MID(Master[[#This Row],[Checklist]],1,4),"C - ","Civil","F - ","Foundation","ST -","Structure","FC -","Façade","PRE ","Pre-Line","POST","Post-Line","H - ","Handover","S - ","Services","CST ","Completion Docs", "I - ", "Inspection")</f>
        <v>Civil</v>
      </c>
      <c r="E7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09" s="24" t="str">
        <f ca="1">IF(OR(Master[[#This Row],[Type]]="checklist", Master[[#This Row],[Type]]="checklist-flat"), Master[[#This Row],[Name]], F708)</f>
        <v>C - S - Demolition</v>
      </c>
      <c r="G709" s="34" t="s">
        <v>66</v>
      </c>
      <c r="H709" s="34" t="s">
        <v>100</v>
      </c>
      <c r="I709" s="35"/>
      <c r="J709" s="21">
        <f ca="1">_xlfn.XLOOKUP(Master[[#This Row],[Checklist]],Ref!A:A,Ref!B:B)*1000</f>
        <v>83000</v>
      </c>
      <c r="K709" s="21">
        <f ca="1">COUNTIF($J$2:Master[[#This Row],[ChecklistID]],Master[[#This Row],[ChecklistID]])-1</f>
        <v>7</v>
      </c>
      <c r="L709" s="23" t="s">
        <v>6</v>
      </c>
    </row>
    <row r="710" spans="1:12" ht="15.75">
      <c r="A710" s="23">
        <f t="shared" si="11"/>
        <v>709</v>
      </c>
      <c r="B710" s="21">
        <f ca="1">Master[[#This Row],[ChecklistID]]+Master[[#This Row],[Checklist Order]]</f>
        <v>83008</v>
      </c>
      <c r="C710" s="22"/>
      <c r="D710" s="3" t="str" cm="1">
        <f t="array" aca="1" ref="D710" ca="1">_xlfn.SWITCH(MID(Master[[#This Row],[Checklist]],1,4),"C - ","Civil","F - ","Foundation","ST -","Structure","FC -","Façade","PRE ","Pre-Line","POST","Post-Line","H - ","Handover","S - ","Services","CST ","Completion Docs", "I - ", "Inspection")</f>
        <v>Civil</v>
      </c>
      <c r="E7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0" s="24" t="str">
        <f ca="1">IF(OR(Master[[#This Row],[Type]]="checklist", Master[[#This Row],[Type]]="checklist-flat"), Master[[#This Row],[Name]], F709)</f>
        <v>C - S - Demolition</v>
      </c>
      <c r="G710" s="34" t="s">
        <v>49</v>
      </c>
      <c r="H710" s="34" t="s">
        <v>101</v>
      </c>
      <c r="I710" s="35"/>
      <c r="J710" s="21">
        <f ca="1">_xlfn.XLOOKUP(Master[[#This Row],[Checklist]],Ref!A:A,Ref!B:B)*1000</f>
        <v>83000</v>
      </c>
      <c r="K710" s="21">
        <f ca="1">COUNTIF($J$2:Master[[#This Row],[ChecklistID]],Master[[#This Row],[ChecklistID]])-1</f>
        <v>8</v>
      </c>
      <c r="L710" s="23" t="s">
        <v>6</v>
      </c>
    </row>
    <row r="711" spans="1:12" ht="15.75">
      <c r="A711" s="23">
        <f t="shared" si="11"/>
        <v>710</v>
      </c>
      <c r="B711" s="21">
        <f ca="1">Master[[#This Row],[ChecklistID]]+Master[[#This Row],[Checklist Order]]</f>
        <v>83009</v>
      </c>
      <c r="C711" s="22"/>
      <c r="D711" s="3" t="str" cm="1">
        <f t="array" aca="1" ref="D711" ca="1">_xlfn.SWITCH(MID(Master[[#This Row],[Checklist]],1,4),"C - ","Civil","F - ","Foundation","ST -","Structure","FC -","Façade","PRE ","Pre-Line","POST","Post-Line","H - ","Handover","S - ","Services","CST ","Completion Docs", "I - ", "Inspection")</f>
        <v>Civil</v>
      </c>
      <c r="E7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1" s="24" t="str">
        <f ca="1">IF(OR(Master[[#This Row],[Type]]="checklist", Master[[#This Row],[Type]]="checklist-flat"), Master[[#This Row],[Name]], F710)</f>
        <v>C - S - Demolition</v>
      </c>
      <c r="G711" s="34" t="s">
        <v>49</v>
      </c>
      <c r="H711" s="34" t="s">
        <v>102</v>
      </c>
      <c r="I711" s="35"/>
      <c r="J711" s="21">
        <f ca="1">_xlfn.XLOOKUP(Master[[#This Row],[Checklist]],Ref!A:A,Ref!B:B)*1000</f>
        <v>83000</v>
      </c>
      <c r="K711" s="21">
        <f ca="1">COUNTIF($J$2:Master[[#This Row],[ChecklistID]],Master[[#This Row],[ChecklistID]])-1</f>
        <v>9</v>
      </c>
      <c r="L711" s="23" t="s">
        <v>6</v>
      </c>
    </row>
    <row r="712" spans="1:12" ht="15.75">
      <c r="A712" s="23">
        <f t="shared" si="11"/>
        <v>711</v>
      </c>
      <c r="B712" s="21">
        <f ca="1">Master[[#This Row],[ChecklistID]]+Master[[#This Row],[Checklist Order]]</f>
        <v>83010</v>
      </c>
      <c r="C712" s="22"/>
      <c r="D712" s="3" t="str" cm="1">
        <f t="array" aca="1" ref="D712" ca="1">_xlfn.SWITCH(MID(Master[[#This Row],[Checklist]],1,4),"C - ","Civil","F - ","Foundation","ST -","Structure","FC -","Façade","PRE ","Pre-Line","POST","Post-Line","H - ","Handover","S - ","Services","CST ","Completion Docs", "I - ", "Inspection")</f>
        <v>Civil</v>
      </c>
      <c r="E7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2" s="24" t="str">
        <f ca="1">IF(OR(Master[[#This Row],[Type]]="checklist", Master[[#This Row],[Type]]="checklist-flat"), Master[[#This Row],[Name]], F711)</f>
        <v>C - S - Demolition</v>
      </c>
      <c r="G712" s="34" t="s">
        <v>49</v>
      </c>
      <c r="H712" s="34" t="s">
        <v>57</v>
      </c>
      <c r="I712" s="35"/>
      <c r="J712" s="21">
        <f ca="1">_xlfn.XLOOKUP(Master[[#This Row],[Checklist]],Ref!A:A,Ref!B:B)*1000</f>
        <v>83000</v>
      </c>
      <c r="K712" s="21">
        <f ca="1">COUNTIF($J$2:Master[[#This Row],[ChecklistID]],Master[[#This Row],[ChecklistID]])-1</f>
        <v>10</v>
      </c>
      <c r="L712" s="23" t="s">
        <v>6</v>
      </c>
    </row>
    <row r="713" spans="1:12" ht="15.75">
      <c r="A713" s="23">
        <f t="shared" si="11"/>
        <v>712</v>
      </c>
      <c r="B713" s="21">
        <f ca="1">Master[[#This Row],[ChecklistID]]+Master[[#This Row],[Checklist Order]]</f>
        <v>83011</v>
      </c>
      <c r="C713" s="22"/>
      <c r="D713" s="3" t="str" cm="1">
        <f t="array" aca="1" ref="D713" ca="1">_xlfn.SWITCH(MID(Master[[#This Row],[Checklist]],1,4),"C - ","Civil","F - ","Foundation","ST -","Structure","FC -","Façade","PRE ","Pre-Line","POST","Post-Line","H - ","Handover","S - ","Services","CST ","Completion Docs", "I - ", "Inspection")</f>
        <v>Civil</v>
      </c>
      <c r="E7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3" s="24" t="str">
        <f ca="1">IF(OR(Master[[#This Row],[Type]]="checklist", Master[[#This Row],[Type]]="checklist-flat"), Master[[#This Row],[Name]], F712)</f>
        <v>C - S - Demolition</v>
      </c>
      <c r="G713" s="34" t="s">
        <v>58</v>
      </c>
      <c r="H713" s="34" t="s">
        <v>59</v>
      </c>
      <c r="I713" s="35"/>
      <c r="J713" s="21">
        <f ca="1">_xlfn.XLOOKUP(Master[[#This Row],[Checklist]],Ref!A:A,Ref!B:B)*1000</f>
        <v>83000</v>
      </c>
      <c r="K713" s="21">
        <f ca="1">COUNTIF($J$2:Master[[#This Row],[ChecklistID]],Master[[#This Row],[ChecklistID]])-1</f>
        <v>11</v>
      </c>
      <c r="L713" s="23" t="s">
        <v>6</v>
      </c>
    </row>
    <row r="714" spans="1:12" ht="15.75">
      <c r="A714" s="23">
        <f t="shared" si="11"/>
        <v>713</v>
      </c>
      <c r="B714" s="21">
        <f ca="1">Master[[#This Row],[ChecklistID]]+Master[[#This Row],[Checklist Order]]</f>
        <v>84000</v>
      </c>
      <c r="C714" s="22"/>
      <c r="D714" s="3" t="str" cm="1">
        <f t="array" aca="1" ref="D714" ca="1">_xlfn.SWITCH(MID(Master[[#This Row],[Checklist]],1,4),"C - ","Civil","F - ","Foundation","ST -","Structure","FC -","Façade","PRE ","Pre-Line","POST","Post-Line","H - ","Handover","S - ","Services","CST ","Completion Docs", "I - ", "Inspection")</f>
        <v>Foundation</v>
      </c>
      <c r="E7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4" s="24" t="str">
        <f ca="1">IF(OR(Master[[#This Row],[Type]]="checklist", Master[[#This Row],[Type]]="checklist-flat"), Master[[#This Row],[Name]], F713)</f>
        <v>F - S - Crane Piling</v>
      </c>
      <c r="G714" s="34" t="s">
        <v>48</v>
      </c>
      <c r="H714" s="34" t="s">
        <v>103</v>
      </c>
      <c r="I714" s="35"/>
      <c r="J714" s="21">
        <f ca="1">_xlfn.XLOOKUP(Master[[#This Row],[Checklist]],Ref!A:A,Ref!B:B)*1000</f>
        <v>84000</v>
      </c>
      <c r="K714" s="21">
        <f ca="1">COUNTIF($J$2:Master[[#This Row],[ChecklistID]],Master[[#This Row],[ChecklistID]])-1</f>
        <v>0</v>
      </c>
      <c r="L714" s="23" t="s">
        <v>6</v>
      </c>
    </row>
    <row r="715" spans="1:12" ht="15.75">
      <c r="A715" s="23">
        <f t="shared" si="11"/>
        <v>714</v>
      </c>
      <c r="B715" s="21">
        <f ca="1">Master[[#This Row],[ChecklistID]]+Master[[#This Row],[Checklist Order]]</f>
        <v>84001</v>
      </c>
      <c r="C715" s="22"/>
      <c r="D715" s="3" t="str" cm="1">
        <f t="array" aca="1" ref="D715" ca="1">_xlfn.SWITCH(MID(Master[[#This Row],[Checklist]],1,4),"C - ","Civil","F - ","Foundation","ST -","Structure","FC -","Façade","PRE ","Pre-Line","POST","Post-Line","H - ","Handover","S - ","Services","CST ","Completion Docs", "I - ", "Inspection")</f>
        <v>Foundation</v>
      </c>
      <c r="E7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5" s="24" t="str">
        <f ca="1">IF(OR(Master[[#This Row],[Type]]="checklist", Master[[#This Row],[Type]]="checklist-flat"), Master[[#This Row],[Name]], F714)</f>
        <v>F - S - Crane Piling</v>
      </c>
      <c r="G715" s="34" t="s">
        <v>49</v>
      </c>
      <c r="H715" s="34" t="s">
        <v>104</v>
      </c>
      <c r="I715" s="35"/>
      <c r="J715" s="21">
        <f ca="1">_xlfn.XLOOKUP(Master[[#This Row],[Checklist]],Ref!A:A,Ref!B:B)*1000</f>
        <v>84000</v>
      </c>
      <c r="K715" s="21">
        <f ca="1">COUNTIF($J$2:Master[[#This Row],[ChecklistID]],Master[[#This Row],[ChecklistID]])-1</f>
        <v>1</v>
      </c>
      <c r="L715" s="23" t="s">
        <v>6</v>
      </c>
    </row>
    <row r="716" spans="1:12" ht="15.75">
      <c r="A716" s="23">
        <f t="shared" si="11"/>
        <v>715</v>
      </c>
      <c r="B716" s="21">
        <f ca="1">Master[[#This Row],[ChecklistID]]+Master[[#This Row],[Checklist Order]]</f>
        <v>84002</v>
      </c>
      <c r="C716" s="22"/>
      <c r="D716" s="3" t="str" cm="1">
        <f t="array" aca="1" ref="D716" ca="1">_xlfn.SWITCH(MID(Master[[#This Row],[Checklist]],1,4),"C - ","Civil","F - ","Foundation","ST -","Structure","FC -","Façade","PRE ","Pre-Line","POST","Post-Line","H - ","Handover","S - ","Services","CST ","Completion Docs", "I - ", "Inspection")</f>
        <v>Foundation</v>
      </c>
      <c r="E7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6" s="24" t="str">
        <f ca="1">IF(OR(Master[[#This Row],[Type]]="checklist", Master[[#This Row],[Type]]="checklist-flat"), Master[[#This Row],[Name]], F715)</f>
        <v>F - S - Crane Piling</v>
      </c>
      <c r="G716" s="34" t="s">
        <v>49</v>
      </c>
      <c r="H716" s="34" t="s">
        <v>105</v>
      </c>
      <c r="I716" s="35"/>
      <c r="J716" s="21">
        <f ca="1">_xlfn.XLOOKUP(Master[[#This Row],[Checklist]],Ref!A:A,Ref!B:B)*1000</f>
        <v>84000</v>
      </c>
      <c r="K716" s="21">
        <f ca="1">COUNTIF($J$2:Master[[#This Row],[ChecklistID]],Master[[#This Row],[ChecklistID]])-1</f>
        <v>2</v>
      </c>
      <c r="L716" s="23" t="s">
        <v>6</v>
      </c>
    </row>
    <row r="717" spans="1:12" ht="15.75">
      <c r="A717" s="23">
        <f t="shared" si="11"/>
        <v>716</v>
      </c>
      <c r="B717" s="21">
        <f ca="1">Master[[#This Row],[ChecklistID]]+Master[[#This Row],[Checklist Order]]</f>
        <v>84003</v>
      </c>
      <c r="C717" s="22"/>
      <c r="D717" s="3" t="str" cm="1">
        <f t="array" aca="1" ref="D717" ca="1">_xlfn.SWITCH(MID(Master[[#This Row],[Checklist]],1,4),"C - ","Civil","F - ","Foundation","ST -","Structure","FC -","Façade","PRE ","Pre-Line","POST","Post-Line","H - ","Handover","S - ","Services","CST ","Completion Docs", "I - ", "Inspection")</f>
        <v>Foundation</v>
      </c>
      <c r="E7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7" s="24" t="str">
        <f ca="1">IF(OR(Master[[#This Row],[Type]]="checklist", Master[[#This Row],[Type]]="checklist-flat"), Master[[#This Row],[Name]], F716)</f>
        <v>F - S - Crane Piling</v>
      </c>
      <c r="G717" s="34" t="s">
        <v>49</v>
      </c>
      <c r="H717" s="34" t="s">
        <v>106</v>
      </c>
      <c r="I717" s="35"/>
      <c r="J717" s="21">
        <f ca="1">_xlfn.XLOOKUP(Master[[#This Row],[Checklist]],Ref!A:A,Ref!B:B)*1000</f>
        <v>84000</v>
      </c>
      <c r="K717" s="21">
        <f ca="1">COUNTIF($J$2:Master[[#This Row],[ChecklistID]],Master[[#This Row],[ChecklistID]])-1</f>
        <v>3</v>
      </c>
      <c r="L717" s="23" t="s">
        <v>6</v>
      </c>
    </row>
    <row r="718" spans="1:12" ht="15.75">
      <c r="A718" s="23">
        <f t="shared" si="11"/>
        <v>717</v>
      </c>
      <c r="B718" s="21">
        <f ca="1">Master[[#This Row],[ChecklistID]]+Master[[#This Row],[Checklist Order]]</f>
        <v>84004</v>
      </c>
      <c r="C718" s="22"/>
      <c r="D718" s="3" t="str" cm="1">
        <f t="array" aca="1" ref="D718" ca="1">_xlfn.SWITCH(MID(Master[[#This Row],[Checklist]],1,4),"C - ","Civil","F - ","Foundation","ST -","Structure","FC -","Façade","PRE ","Pre-Line","POST","Post-Line","H - ","Handover","S - ","Services","CST ","Completion Docs", "I - ", "Inspection")</f>
        <v>Foundation</v>
      </c>
      <c r="E7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8" s="24" t="str">
        <f ca="1">IF(OR(Master[[#This Row],[Type]]="checklist", Master[[#This Row],[Type]]="checklist-flat"), Master[[#This Row],[Name]], F717)</f>
        <v>F - S - Crane Piling</v>
      </c>
      <c r="G718" s="34" t="s">
        <v>49</v>
      </c>
      <c r="H718" s="34" t="s">
        <v>107</v>
      </c>
      <c r="I718" s="35"/>
      <c r="J718" s="21">
        <f ca="1">_xlfn.XLOOKUP(Master[[#This Row],[Checklist]],Ref!A:A,Ref!B:B)*1000</f>
        <v>84000</v>
      </c>
      <c r="K718" s="21">
        <f ca="1">COUNTIF($J$2:Master[[#This Row],[ChecklistID]],Master[[#This Row],[ChecklistID]])-1</f>
        <v>4</v>
      </c>
      <c r="L718" s="23" t="s">
        <v>6</v>
      </c>
    </row>
    <row r="719" spans="1:12" ht="15.75">
      <c r="A719" s="23">
        <f t="shared" si="11"/>
        <v>718</v>
      </c>
      <c r="B719" s="21">
        <f ca="1">Master[[#This Row],[ChecklistID]]+Master[[#This Row],[Checklist Order]]</f>
        <v>84005</v>
      </c>
      <c r="C719" s="22"/>
      <c r="D719" s="3" t="str" cm="1">
        <f t="array" aca="1" ref="D719" ca="1">_xlfn.SWITCH(MID(Master[[#This Row],[Checklist]],1,4),"C - ","Civil","F - ","Foundation","ST -","Structure","FC -","Façade","PRE ","Pre-Line","POST","Post-Line","H - ","Handover","S - ","Services","CST ","Completion Docs", "I - ", "Inspection")</f>
        <v>Foundation</v>
      </c>
      <c r="E7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19" s="24" t="str">
        <f ca="1">IF(OR(Master[[#This Row],[Type]]="checklist", Master[[#This Row],[Type]]="checklist-flat"), Master[[#This Row],[Name]], F718)</f>
        <v>F - S - Crane Piling</v>
      </c>
      <c r="G719" s="34" t="s">
        <v>49</v>
      </c>
      <c r="H719" s="34" t="s">
        <v>108</v>
      </c>
      <c r="I719" s="35"/>
      <c r="J719" s="21">
        <f ca="1">_xlfn.XLOOKUP(Master[[#This Row],[Checklist]],Ref!A:A,Ref!B:B)*1000</f>
        <v>84000</v>
      </c>
      <c r="K719" s="21">
        <f ca="1">COUNTIF($J$2:Master[[#This Row],[ChecklistID]],Master[[#This Row],[ChecklistID]])-1</f>
        <v>5</v>
      </c>
      <c r="L719" s="23" t="s">
        <v>6</v>
      </c>
    </row>
    <row r="720" spans="1:12" ht="15.75">
      <c r="A720" s="23">
        <f t="shared" si="11"/>
        <v>719</v>
      </c>
      <c r="B720" s="21">
        <f ca="1">Master[[#This Row],[ChecklistID]]+Master[[#This Row],[Checklist Order]]</f>
        <v>84006</v>
      </c>
      <c r="C720" s="22"/>
      <c r="D720" s="3" t="str" cm="1">
        <f t="array" aca="1" ref="D720" ca="1">_xlfn.SWITCH(MID(Master[[#This Row],[Checklist]],1,4),"C - ","Civil","F - ","Foundation","ST -","Structure","FC -","Façade","PRE ","Pre-Line","POST","Post-Line","H - ","Handover","S - ","Services","CST ","Completion Docs", "I - ", "Inspection")</f>
        <v>Foundation</v>
      </c>
      <c r="E7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0" s="24" t="str">
        <f ca="1">IF(OR(Master[[#This Row],[Type]]="checklist", Master[[#This Row],[Type]]="checklist-flat"), Master[[#This Row],[Name]], F719)</f>
        <v>F - S - Crane Piling</v>
      </c>
      <c r="G720" s="34" t="s">
        <v>49</v>
      </c>
      <c r="H720" s="34" t="s">
        <v>109</v>
      </c>
      <c r="I720" s="35"/>
      <c r="J720" s="21">
        <f ca="1">_xlfn.XLOOKUP(Master[[#This Row],[Checklist]],Ref!A:A,Ref!B:B)*1000</f>
        <v>84000</v>
      </c>
      <c r="K720" s="21">
        <f ca="1">COUNTIF($J$2:Master[[#This Row],[ChecklistID]],Master[[#This Row],[ChecklistID]])-1</f>
        <v>6</v>
      </c>
      <c r="L720" s="23" t="s">
        <v>6</v>
      </c>
    </row>
    <row r="721" spans="1:12" ht="15.75">
      <c r="A721" s="23">
        <f t="shared" si="11"/>
        <v>720</v>
      </c>
      <c r="B721" s="21">
        <f ca="1">Master[[#This Row],[ChecklistID]]+Master[[#This Row],[Checklist Order]]</f>
        <v>84007</v>
      </c>
      <c r="C721" s="22"/>
      <c r="D721" s="3" t="str" cm="1">
        <f t="array" aca="1" ref="D721" ca="1">_xlfn.SWITCH(MID(Master[[#This Row],[Checklist]],1,4),"C - ","Civil","F - ","Foundation","ST -","Structure","FC -","Façade","PRE ","Pre-Line","POST","Post-Line","H - ","Handover","S - ","Services","CST ","Completion Docs", "I - ", "Inspection")</f>
        <v>Foundation</v>
      </c>
      <c r="E7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1" s="24" t="str">
        <f ca="1">IF(OR(Master[[#This Row],[Type]]="checklist", Master[[#This Row],[Type]]="checklist-flat"), Master[[#This Row],[Name]], F720)</f>
        <v>F - S - Crane Piling</v>
      </c>
      <c r="G721" s="34" t="s">
        <v>49</v>
      </c>
      <c r="H721" s="34" t="s">
        <v>110</v>
      </c>
      <c r="I721" s="35"/>
      <c r="J721" s="21">
        <f ca="1">_xlfn.XLOOKUP(Master[[#This Row],[Checklist]],Ref!A:A,Ref!B:B)*1000</f>
        <v>84000</v>
      </c>
      <c r="K721" s="21">
        <f ca="1">COUNTIF($J$2:Master[[#This Row],[ChecklistID]],Master[[#This Row],[ChecklistID]])-1</f>
        <v>7</v>
      </c>
      <c r="L721" s="23" t="s">
        <v>6</v>
      </c>
    </row>
    <row r="722" spans="1:12" ht="15.75">
      <c r="A722" s="23">
        <f t="shared" si="11"/>
        <v>721</v>
      </c>
      <c r="B722" s="21">
        <f ca="1">Master[[#This Row],[ChecklistID]]+Master[[#This Row],[Checklist Order]]</f>
        <v>84008</v>
      </c>
      <c r="C722" s="22"/>
      <c r="D722" s="3" t="str" cm="1">
        <f t="array" aca="1" ref="D722" ca="1">_xlfn.SWITCH(MID(Master[[#This Row],[Checklist]],1,4),"C - ","Civil","F - ","Foundation","ST -","Structure","FC -","Façade","PRE ","Pre-Line","POST","Post-Line","H - ","Handover","S - ","Services","CST ","Completion Docs", "I - ", "Inspection")</f>
        <v>Foundation</v>
      </c>
      <c r="E7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2" s="24" t="str">
        <f ca="1">IF(OR(Master[[#This Row],[Type]]="checklist", Master[[#This Row],[Type]]="checklist-flat"), Master[[#This Row],[Name]], F721)</f>
        <v>F - S - Crane Piling</v>
      </c>
      <c r="G722" s="34" t="s">
        <v>49</v>
      </c>
      <c r="H722" s="34" t="s">
        <v>111</v>
      </c>
      <c r="I722" s="35"/>
      <c r="J722" s="21">
        <f ca="1">_xlfn.XLOOKUP(Master[[#This Row],[Checklist]],Ref!A:A,Ref!B:B)*1000</f>
        <v>84000</v>
      </c>
      <c r="K722" s="21">
        <f ca="1">COUNTIF($J$2:Master[[#This Row],[ChecklistID]],Master[[#This Row],[ChecklistID]])-1</f>
        <v>8</v>
      </c>
      <c r="L722" s="23" t="s">
        <v>6</v>
      </c>
    </row>
    <row r="723" spans="1:12" ht="15.75">
      <c r="A723" s="23">
        <f t="shared" si="11"/>
        <v>722</v>
      </c>
      <c r="B723" s="21">
        <f ca="1">Master[[#This Row],[ChecklistID]]+Master[[#This Row],[Checklist Order]]</f>
        <v>84009</v>
      </c>
      <c r="C723" s="22"/>
      <c r="D723" s="3" t="str" cm="1">
        <f t="array" aca="1" ref="D723" ca="1">_xlfn.SWITCH(MID(Master[[#This Row],[Checklist]],1,4),"C - ","Civil","F - ","Foundation","ST -","Structure","FC -","Façade","PRE ","Pre-Line","POST","Post-Line","H - ","Handover","S - ","Services","CST ","Completion Docs", "I - ", "Inspection")</f>
        <v>Foundation</v>
      </c>
      <c r="E7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3" s="24" t="str">
        <f ca="1">IF(OR(Master[[#This Row],[Type]]="checklist", Master[[#This Row],[Type]]="checklist-flat"), Master[[#This Row],[Name]], F722)</f>
        <v>F - S - Crane Piling</v>
      </c>
      <c r="G723" s="34" t="s">
        <v>49</v>
      </c>
      <c r="H723" s="34" t="s">
        <v>57</v>
      </c>
      <c r="I723" s="35"/>
      <c r="J723" s="21">
        <f ca="1">_xlfn.XLOOKUP(Master[[#This Row],[Checklist]],Ref!A:A,Ref!B:B)*1000</f>
        <v>84000</v>
      </c>
      <c r="K723" s="21">
        <f ca="1">COUNTIF($J$2:Master[[#This Row],[ChecklistID]],Master[[#This Row],[ChecklistID]])-1</f>
        <v>9</v>
      </c>
      <c r="L723" s="23" t="s">
        <v>6</v>
      </c>
    </row>
    <row r="724" spans="1:12" ht="15.75">
      <c r="A724" s="23">
        <f t="shared" si="11"/>
        <v>723</v>
      </c>
      <c r="B724" s="21">
        <f ca="1">Master[[#This Row],[ChecklistID]]+Master[[#This Row],[Checklist Order]]</f>
        <v>84010</v>
      </c>
      <c r="C724" s="22"/>
      <c r="D724" s="3" t="str" cm="1">
        <f t="array" aca="1" ref="D724" ca="1">_xlfn.SWITCH(MID(Master[[#This Row],[Checklist]],1,4),"C - ","Civil","F - ","Foundation","ST -","Structure","FC -","Façade","PRE ","Pre-Line","POST","Post-Line","H - ","Handover","S - ","Services","CST ","Completion Docs", "I - ", "Inspection")</f>
        <v>Foundation</v>
      </c>
      <c r="E7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4" s="24" t="str">
        <f ca="1">IF(OR(Master[[#This Row],[Type]]="checklist", Master[[#This Row],[Type]]="checklist-flat"), Master[[#This Row],[Name]], F723)</f>
        <v>F - S - Crane Piling</v>
      </c>
      <c r="G724" s="34" t="s">
        <v>58</v>
      </c>
      <c r="H724" s="34" t="s">
        <v>59</v>
      </c>
      <c r="I724" s="35"/>
      <c r="J724" s="21">
        <f ca="1">_xlfn.XLOOKUP(Master[[#This Row],[Checklist]],Ref!A:A,Ref!B:B)*1000</f>
        <v>84000</v>
      </c>
      <c r="K724" s="21">
        <f ca="1">COUNTIF($J$2:Master[[#This Row],[ChecklistID]],Master[[#This Row],[ChecklistID]])-1</f>
        <v>10</v>
      </c>
      <c r="L724" s="23" t="s">
        <v>6</v>
      </c>
    </row>
    <row r="725" spans="1:12" ht="15.75">
      <c r="A725" s="23">
        <f t="shared" si="11"/>
        <v>724</v>
      </c>
      <c r="B725" s="21">
        <f ca="1">Master[[#This Row],[ChecklistID]]+Master[[#This Row],[Checklist Order]]</f>
        <v>85000</v>
      </c>
      <c r="C725" s="22"/>
      <c r="D725" s="3" t="str" cm="1">
        <f t="array" aca="1" ref="D725" ca="1">_xlfn.SWITCH(MID(Master[[#This Row],[Checklist]],1,4),"C - ","Civil","F - ","Foundation","ST -","Structure","FC -","Façade","PRE ","Pre-Line","POST","Post-Line","H - ","Handover","S - ","Services","CST ","Completion Docs", "I - ", "Inspection")</f>
        <v>Foundation</v>
      </c>
      <c r="E7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5" s="24" t="str">
        <f ca="1">IF(OR(Master[[#This Row],[Type]]="checklist", Master[[#This Row],[Type]]="checklist-flat"), Master[[#This Row],[Name]], F724)</f>
        <v>F - S - Sheet Piling</v>
      </c>
      <c r="G725" s="34" t="s">
        <v>48</v>
      </c>
      <c r="H725" s="34" t="s">
        <v>112</v>
      </c>
      <c r="I725" s="35"/>
      <c r="J725" s="21">
        <f ca="1">_xlfn.XLOOKUP(Master[[#This Row],[Checklist]],Ref!A:A,Ref!B:B)*1000</f>
        <v>85000</v>
      </c>
      <c r="K725" s="21">
        <f ca="1">COUNTIF($J$2:Master[[#This Row],[ChecklistID]],Master[[#This Row],[ChecklistID]])-1</f>
        <v>0</v>
      </c>
      <c r="L725" s="23" t="s">
        <v>6</v>
      </c>
    </row>
    <row r="726" spans="1:12" ht="15.75">
      <c r="A726" s="23">
        <f t="shared" si="11"/>
        <v>725</v>
      </c>
      <c r="B726" s="21">
        <f ca="1">Master[[#This Row],[ChecklistID]]+Master[[#This Row],[Checklist Order]]</f>
        <v>85001</v>
      </c>
      <c r="C726" s="22"/>
      <c r="D726" s="3" t="str" cm="1">
        <f t="array" aca="1" ref="D726" ca="1">_xlfn.SWITCH(MID(Master[[#This Row],[Checklist]],1,4),"C - ","Civil","F - ","Foundation","ST -","Structure","FC -","Façade","PRE ","Pre-Line","POST","Post-Line","H - ","Handover","S - ","Services","CST ","Completion Docs", "I - ", "Inspection")</f>
        <v>Foundation</v>
      </c>
      <c r="E7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6" s="24" t="str">
        <f ca="1">IF(OR(Master[[#This Row],[Type]]="checklist", Master[[#This Row],[Type]]="checklist-flat"), Master[[#This Row],[Name]], F725)</f>
        <v>F - S - Sheet Piling</v>
      </c>
      <c r="G726" s="34" t="s">
        <v>49</v>
      </c>
      <c r="H726" s="34" t="s">
        <v>104</v>
      </c>
      <c r="I726" s="35"/>
      <c r="J726" s="21">
        <f ca="1">_xlfn.XLOOKUP(Master[[#This Row],[Checklist]],Ref!A:A,Ref!B:B)*1000</f>
        <v>85000</v>
      </c>
      <c r="K726" s="21">
        <f ca="1">COUNTIF($J$2:Master[[#This Row],[ChecklistID]],Master[[#This Row],[ChecklistID]])-1</f>
        <v>1</v>
      </c>
      <c r="L726" s="23" t="s">
        <v>6</v>
      </c>
    </row>
    <row r="727" spans="1:12" ht="15.75">
      <c r="A727" s="23">
        <f t="shared" si="11"/>
        <v>726</v>
      </c>
      <c r="B727" s="21">
        <f ca="1">Master[[#This Row],[ChecklistID]]+Master[[#This Row],[Checklist Order]]</f>
        <v>85002</v>
      </c>
      <c r="C727" s="22"/>
      <c r="D727" s="3" t="str" cm="1">
        <f t="array" aca="1" ref="D727" ca="1">_xlfn.SWITCH(MID(Master[[#This Row],[Checklist]],1,4),"C - ","Civil","F - ","Foundation","ST -","Structure","FC -","Façade","PRE ","Pre-Line","POST","Post-Line","H - ","Handover","S - ","Services","CST ","Completion Docs", "I - ", "Inspection")</f>
        <v>Foundation</v>
      </c>
      <c r="E7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7" s="24" t="str">
        <f ca="1">IF(OR(Master[[#This Row],[Type]]="checklist", Master[[#This Row],[Type]]="checklist-flat"), Master[[#This Row],[Name]], F726)</f>
        <v>F - S - Sheet Piling</v>
      </c>
      <c r="G727" s="34" t="s">
        <v>49</v>
      </c>
      <c r="H727" s="34" t="s">
        <v>1668</v>
      </c>
      <c r="I727" s="35"/>
      <c r="J727" s="21">
        <f ca="1">_xlfn.XLOOKUP(Master[[#This Row],[Checklist]],Ref!A:A,Ref!B:B)*1000</f>
        <v>85000</v>
      </c>
      <c r="K727" s="21">
        <f ca="1">COUNTIF($J$2:Master[[#This Row],[ChecklistID]],Master[[#This Row],[ChecklistID]])-1</f>
        <v>2</v>
      </c>
      <c r="L727" s="23" t="s">
        <v>6</v>
      </c>
    </row>
    <row r="728" spans="1:12" ht="15.75">
      <c r="A728" s="23">
        <f t="shared" si="11"/>
        <v>727</v>
      </c>
      <c r="B728" s="21">
        <f ca="1">Master[[#This Row],[ChecklistID]]+Master[[#This Row],[Checklist Order]]</f>
        <v>85003</v>
      </c>
      <c r="C728" s="22"/>
      <c r="D728" s="3" t="str" cm="1">
        <f t="array" aca="1" ref="D728" ca="1">_xlfn.SWITCH(MID(Master[[#This Row],[Checklist]],1,4),"C - ","Civil","F - ","Foundation","ST -","Structure","FC -","Façade","PRE ","Pre-Line","POST","Post-Line","H - ","Handover","S - ","Services","CST ","Completion Docs", "I - ", "Inspection")</f>
        <v>Foundation</v>
      </c>
      <c r="E7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8" s="24" t="str">
        <f ca="1">IF(OR(Master[[#This Row],[Type]]="checklist", Master[[#This Row],[Type]]="checklist-flat"), Master[[#This Row],[Name]], F727)</f>
        <v>F - S - Sheet Piling</v>
      </c>
      <c r="G728" s="34" t="s">
        <v>49</v>
      </c>
      <c r="H728" s="34" t="s">
        <v>114</v>
      </c>
      <c r="I728" s="35"/>
      <c r="J728" s="21">
        <f ca="1">_xlfn.XLOOKUP(Master[[#This Row],[Checklist]],Ref!A:A,Ref!B:B)*1000</f>
        <v>85000</v>
      </c>
      <c r="K728" s="21">
        <f ca="1">COUNTIF($J$2:Master[[#This Row],[ChecklistID]],Master[[#This Row],[ChecklistID]])-1</f>
        <v>3</v>
      </c>
      <c r="L728" s="23" t="s">
        <v>6</v>
      </c>
    </row>
    <row r="729" spans="1:12" ht="15.75">
      <c r="A729" s="23">
        <f t="shared" si="11"/>
        <v>728</v>
      </c>
      <c r="B729" s="21">
        <f ca="1">Master[[#This Row],[ChecklistID]]+Master[[#This Row],[Checklist Order]]</f>
        <v>85004</v>
      </c>
      <c r="C729" s="22"/>
      <c r="D729" s="3" t="str" cm="1">
        <f t="array" aca="1" ref="D729" ca="1">_xlfn.SWITCH(MID(Master[[#This Row],[Checklist]],1,4),"C - ","Civil","F - ","Foundation","ST -","Structure","FC -","Façade","PRE ","Pre-Line","POST","Post-Line","H - ","Handover","S - ","Services","CST ","Completion Docs", "I - ", "Inspection")</f>
        <v>Foundation</v>
      </c>
      <c r="E7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29" s="24" t="str">
        <f ca="1">IF(OR(Master[[#This Row],[Type]]="checklist", Master[[#This Row],[Type]]="checklist-flat"), Master[[#This Row],[Name]], F728)</f>
        <v>F - S - Sheet Piling</v>
      </c>
      <c r="G729" s="34" t="s">
        <v>49</v>
      </c>
      <c r="H729" s="34" t="s">
        <v>115</v>
      </c>
      <c r="I729" s="35"/>
      <c r="J729" s="21">
        <f ca="1">_xlfn.XLOOKUP(Master[[#This Row],[Checklist]],Ref!A:A,Ref!B:B)*1000</f>
        <v>85000</v>
      </c>
      <c r="K729" s="21">
        <f ca="1">COUNTIF($J$2:Master[[#This Row],[ChecklistID]],Master[[#This Row],[ChecklistID]])-1</f>
        <v>4</v>
      </c>
      <c r="L729" s="23" t="s">
        <v>6</v>
      </c>
    </row>
    <row r="730" spans="1:12" ht="15.75">
      <c r="A730" s="23">
        <f t="shared" si="11"/>
        <v>729</v>
      </c>
      <c r="B730" s="21">
        <f ca="1">Master[[#This Row],[ChecklistID]]+Master[[#This Row],[Checklist Order]]</f>
        <v>85005</v>
      </c>
      <c r="C730" s="22"/>
      <c r="D730" s="3" t="str" cm="1">
        <f t="array" aca="1" ref="D730" ca="1">_xlfn.SWITCH(MID(Master[[#This Row],[Checklist]],1,4),"C - ","Civil","F - ","Foundation","ST -","Structure","FC -","Façade","PRE ","Pre-Line","POST","Post-Line","H - ","Handover","S - ","Services","CST ","Completion Docs", "I - ", "Inspection")</f>
        <v>Foundation</v>
      </c>
      <c r="E7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0" s="24" t="str">
        <f ca="1">IF(OR(Master[[#This Row],[Type]]="checklist", Master[[#This Row],[Type]]="checklist-flat"), Master[[#This Row],[Name]], F729)</f>
        <v>F - S - Sheet Piling</v>
      </c>
      <c r="G730" s="34" t="s">
        <v>49</v>
      </c>
      <c r="H730" s="34" t="s">
        <v>116</v>
      </c>
      <c r="I730" s="35"/>
      <c r="J730" s="21">
        <f ca="1">_xlfn.XLOOKUP(Master[[#This Row],[Checklist]],Ref!A:A,Ref!B:B)*1000</f>
        <v>85000</v>
      </c>
      <c r="K730" s="21">
        <f ca="1">COUNTIF($J$2:Master[[#This Row],[ChecklistID]],Master[[#This Row],[ChecklistID]])-1</f>
        <v>5</v>
      </c>
      <c r="L730" s="23" t="s">
        <v>6</v>
      </c>
    </row>
    <row r="731" spans="1:12" ht="15.75">
      <c r="A731" s="23">
        <f t="shared" si="11"/>
        <v>730</v>
      </c>
      <c r="B731" s="21">
        <f ca="1">Master[[#This Row],[ChecklistID]]+Master[[#This Row],[Checklist Order]]</f>
        <v>85006</v>
      </c>
      <c r="C731" s="22"/>
      <c r="D731" s="3" t="str" cm="1">
        <f t="array" aca="1" ref="D731" ca="1">_xlfn.SWITCH(MID(Master[[#This Row],[Checklist]],1,4),"C - ","Civil","F - ","Foundation","ST -","Structure","FC -","Façade","PRE ","Pre-Line","POST","Post-Line","H - ","Handover","S - ","Services","CST ","Completion Docs", "I - ", "Inspection")</f>
        <v>Foundation</v>
      </c>
      <c r="E7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1" s="24" t="str">
        <f ca="1">IF(OR(Master[[#This Row],[Type]]="checklist", Master[[#This Row],[Type]]="checklist-flat"), Master[[#This Row],[Name]], F730)</f>
        <v>F - S - Sheet Piling</v>
      </c>
      <c r="G731" s="34" t="s">
        <v>66</v>
      </c>
      <c r="H731" s="34" t="s">
        <v>107</v>
      </c>
      <c r="I731" s="35"/>
      <c r="J731" s="21">
        <f ca="1">_xlfn.XLOOKUP(Master[[#This Row],[Checklist]],Ref!A:A,Ref!B:B)*1000</f>
        <v>85000</v>
      </c>
      <c r="K731" s="21">
        <f ca="1">COUNTIF($J$2:Master[[#This Row],[ChecklistID]],Master[[#This Row],[ChecklistID]])-1</f>
        <v>6</v>
      </c>
      <c r="L731" s="23" t="s">
        <v>6</v>
      </c>
    </row>
    <row r="732" spans="1:12" ht="15.75">
      <c r="A732" s="23">
        <f t="shared" si="11"/>
        <v>731</v>
      </c>
      <c r="B732" s="21">
        <f ca="1">Master[[#This Row],[ChecklistID]]+Master[[#This Row],[Checklist Order]]</f>
        <v>85007</v>
      </c>
      <c r="C732" s="22"/>
      <c r="D732" s="3" t="str" cm="1">
        <f t="array" aca="1" ref="D732" ca="1">_xlfn.SWITCH(MID(Master[[#This Row],[Checklist]],1,4),"C - ","Civil","F - ","Foundation","ST -","Structure","FC -","Façade","PRE ","Pre-Line","POST","Post-Line","H - ","Handover","S - ","Services","CST ","Completion Docs", "I - ", "Inspection")</f>
        <v>Foundation</v>
      </c>
      <c r="E7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2" s="24" t="str">
        <f ca="1">IF(OR(Master[[#This Row],[Type]]="checklist", Master[[#This Row],[Type]]="checklist-flat"), Master[[#This Row],[Name]], F731)</f>
        <v>F - S - Sheet Piling</v>
      </c>
      <c r="G732" s="34" t="s">
        <v>66</v>
      </c>
      <c r="H732" s="34" t="s">
        <v>117</v>
      </c>
      <c r="I732" s="35"/>
      <c r="J732" s="21">
        <f ca="1">_xlfn.XLOOKUP(Master[[#This Row],[Checklist]],Ref!A:A,Ref!B:B)*1000</f>
        <v>85000</v>
      </c>
      <c r="K732" s="21">
        <f ca="1">COUNTIF($J$2:Master[[#This Row],[ChecklistID]],Master[[#This Row],[ChecklistID]])-1</f>
        <v>7</v>
      </c>
      <c r="L732" s="23" t="s">
        <v>6</v>
      </c>
    </row>
    <row r="733" spans="1:12" ht="15.75">
      <c r="A733" s="23">
        <f t="shared" si="11"/>
        <v>732</v>
      </c>
      <c r="B733" s="21">
        <f ca="1">Master[[#This Row],[ChecklistID]]+Master[[#This Row],[Checklist Order]]</f>
        <v>85008</v>
      </c>
      <c r="C733" s="22"/>
      <c r="D733" s="3" t="str" cm="1">
        <f t="array" aca="1" ref="D733" ca="1">_xlfn.SWITCH(MID(Master[[#This Row],[Checklist]],1,4),"C - ","Civil","F - ","Foundation","ST -","Structure","FC -","Façade","PRE ","Pre-Line","POST","Post-Line","H - ","Handover","S - ","Services","CST ","Completion Docs", "I - ", "Inspection")</f>
        <v>Foundation</v>
      </c>
      <c r="E7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3" s="24" t="str">
        <f ca="1">IF(OR(Master[[#This Row],[Type]]="checklist", Master[[#This Row],[Type]]="checklist-flat"), Master[[#This Row],[Name]], F732)</f>
        <v>F - S - Sheet Piling</v>
      </c>
      <c r="G733" s="34" t="s">
        <v>49</v>
      </c>
      <c r="H733" s="34" t="s">
        <v>57</v>
      </c>
      <c r="I733" s="35"/>
      <c r="J733" s="21">
        <f ca="1">_xlfn.XLOOKUP(Master[[#This Row],[Checklist]],Ref!A:A,Ref!B:B)*1000</f>
        <v>85000</v>
      </c>
      <c r="K733" s="21">
        <f ca="1">COUNTIF($J$2:Master[[#This Row],[ChecklistID]],Master[[#This Row],[ChecklistID]])-1</f>
        <v>8</v>
      </c>
      <c r="L733" s="23" t="s">
        <v>6</v>
      </c>
    </row>
    <row r="734" spans="1:12" ht="15.75">
      <c r="A734" s="23">
        <f t="shared" si="11"/>
        <v>733</v>
      </c>
      <c r="B734" s="21">
        <f ca="1">Master[[#This Row],[ChecklistID]]+Master[[#This Row],[Checklist Order]]</f>
        <v>85009</v>
      </c>
      <c r="C734" s="22"/>
      <c r="D734" s="3" t="str" cm="1">
        <f t="array" aca="1" ref="D734" ca="1">_xlfn.SWITCH(MID(Master[[#This Row],[Checklist]],1,4),"C - ","Civil","F - ","Foundation","ST -","Structure","FC -","Façade","PRE ","Pre-Line","POST","Post-Line","H - ","Handover","S - ","Services","CST ","Completion Docs", "I - ", "Inspection")</f>
        <v>Foundation</v>
      </c>
      <c r="E7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4" s="24" t="str">
        <f ca="1">IF(OR(Master[[#This Row],[Type]]="checklist", Master[[#This Row],[Type]]="checklist-flat"), Master[[#This Row],[Name]], F733)</f>
        <v>F - S - Sheet Piling</v>
      </c>
      <c r="G734" s="34" t="s">
        <v>58</v>
      </c>
      <c r="H734" s="34" t="s">
        <v>59</v>
      </c>
      <c r="I734" s="35"/>
      <c r="J734" s="21">
        <f ca="1">_xlfn.XLOOKUP(Master[[#This Row],[Checklist]],Ref!A:A,Ref!B:B)*1000</f>
        <v>85000</v>
      </c>
      <c r="K734" s="21">
        <f ca="1">COUNTIF($J$2:Master[[#This Row],[ChecklistID]],Master[[#This Row],[ChecklistID]])-1</f>
        <v>9</v>
      </c>
      <c r="L734" s="23" t="s">
        <v>6</v>
      </c>
    </row>
    <row r="735" spans="1:12" ht="15.75">
      <c r="A735" s="23">
        <f t="shared" si="11"/>
        <v>734</v>
      </c>
      <c r="B735" s="21">
        <f ca="1">Master[[#This Row],[ChecklistID]]+Master[[#This Row],[Checklist Order]]</f>
        <v>86000</v>
      </c>
      <c r="C735" s="22"/>
      <c r="D735" s="3" t="str" cm="1">
        <f t="array" aca="1" ref="D735" ca="1">_xlfn.SWITCH(MID(Master[[#This Row],[Checklist]],1,4),"C - ","Civil","F - ","Foundation","ST -","Structure","FC -","Façade","PRE ","Pre-Line","POST","Post-Line","H - ","Handover","S - ","Services","CST ","Completion Docs", "I - ", "Inspection")</f>
        <v>Foundation</v>
      </c>
      <c r="E7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5" s="24" t="str">
        <f ca="1">IF(OR(Master[[#This Row],[Type]]="checklist", Master[[#This Row],[Type]]="checklist-flat"), Master[[#This Row],[Name]], F734)</f>
        <v>F - S - Piling</v>
      </c>
      <c r="G735" s="34" t="s">
        <v>119</v>
      </c>
      <c r="H735" s="34" t="s">
        <v>118</v>
      </c>
      <c r="I735" s="35"/>
      <c r="J735" s="21">
        <f ca="1">_xlfn.XLOOKUP(Master[[#This Row],[Checklist]],Ref!A:A,Ref!B:B)*1000</f>
        <v>86000</v>
      </c>
      <c r="K735" s="21">
        <f ca="1">COUNTIF($J$2:Master[[#This Row],[ChecklistID]],Master[[#This Row],[ChecklistID]])-1</f>
        <v>0</v>
      </c>
      <c r="L735" s="23" t="s">
        <v>6</v>
      </c>
    </row>
    <row r="736" spans="1:12" ht="15.75">
      <c r="A736" s="23">
        <f t="shared" si="11"/>
        <v>735</v>
      </c>
      <c r="B736" s="21">
        <f ca="1">Master[[#This Row],[ChecklistID]]+Master[[#This Row],[Checklist Order]]</f>
        <v>86001</v>
      </c>
      <c r="C736" s="22"/>
      <c r="D736" s="3" t="str" cm="1">
        <f t="array" aca="1" ref="D736" ca="1">_xlfn.SWITCH(MID(Master[[#This Row],[Checklist]],1,4),"C - ","Civil","F - ","Foundation","ST -","Structure","FC -","Façade","PRE ","Pre-Line","POST","Post-Line","H - ","Handover","S - ","Services","CST ","Completion Docs", "I - ", "Inspection")</f>
        <v>Foundation</v>
      </c>
      <c r="E7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6" s="24" t="str">
        <f ca="1">IF(OR(Master[[#This Row],[Type]]="checklist", Master[[#This Row],[Type]]="checklist-flat"), Master[[#This Row],[Name]], F735)</f>
        <v>F - S - Piling</v>
      </c>
      <c r="G736" s="34" t="s">
        <v>120</v>
      </c>
      <c r="H736" s="34" t="s">
        <v>121</v>
      </c>
      <c r="I736" s="35" t="s">
        <v>122</v>
      </c>
      <c r="J736" s="21">
        <f ca="1">_xlfn.XLOOKUP(Master[[#This Row],[Checklist]],Ref!A:A,Ref!B:B)*1000</f>
        <v>86000</v>
      </c>
      <c r="K736" s="21">
        <f ca="1">COUNTIF($J$2:Master[[#This Row],[ChecklistID]],Master[[#This Row],[ChecklistID]])-1</f>
        <v>1</v>
      </c>
      <c r="L736" s="23" t="s">
        <v>6</v>
      </c>
    </row>
    <row r="737" spans="1:12" ht="15.75">
      <c r="A737" s="23">
        <f t="shared" si="11"/>
        <v>736</v>
      </c>
      <c r="B737" s="21">
        <f ca="1">Master[[#This Row],[ChecklistID]]+Master[[#This Row],[Checklist Order]]</f>
        <v>86002</v>
      </c>
      <c r="C737" s="22"/>
      <c r="D737" s="3" t="str" cm="1">
        <f t="array" aca="1" ref="D737" ca="1">_xlfn.SWITCH(MID(Master[[#This Row],[Checklist]],1,4),"C - ","Civil","F - ","Foundation","ST -","Structure","FC -","Façade","PRE ","Pre-Line","POST","Post-Line","H - ","Handover","S - ","Services","CST ","Completion Docs", "I - ", "Inspection")</f>
        <v>Foundation</v>
      </c>
      <c r="E7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7" s="24" t="str">
        <f ca="1">IF(OR(Master[[#This Row],[Type]]="checklist", Master[[#This Row],[Type]]="checklist-flat"), Master[[#This Row],[Name]], F736)</f>
        <v>F - S - Piling</v>
      </c>
      <c r="G737" s="34" t="s">
        <v>49</v>
      </c>
      <c r="H737" s="34" t="s">
        <v>123</v>
      </c>
      <c r="I737" s="35"/>
      <c r="J737" s="21">
        <f ca="1">_xlfn.XLOOKUP(Master[[#This Row],[Checklist]],Ref!A:A,Ref!B:B)*1000</f>
        <v>86000</v>
      </c>
      <c r="K737" s="21">
        <f ca="1">COUNTIF($J$2:Master[[#This Row],[ChecklistID]],Master[[#This Row],[ChecklistID]])-1</f>
        <v>2</v>
      </c>
      <c r="L737" s="23" t="s">
        <v>6</v>
      </c>
    </row>
    <row r="738" spans="1:12" ht="15.75">
      <c r="A738" s="23">
        <f t="shared" si="11"/>
        <v>737</v>
      </c>
      <c r="B738" s="21">
        <f ca="1">Master[[#This Row],[ChecklistID]]+Master[[#This Row],[Checklist Order]]</f>
        <v>86003</v>
      </c>
      <c r="C738" s="22"/>
      <c r="D738" s="3" t="str" cm="1">
        <f t="array" aca="1" ref="D738" ca="1">_xlfn.SWITCH(MID(Master[[#This Row],[Checklist]],1,4),"C - ","Civil","F - ","Foundation","ST -","Structure","FC -","Façade","PRE ","Pre-Line","POST","Post-Line","H - ","Handover","S - ","Services","CST ","Completion Docs", "I - ", "Inspection")</f>
        <v>Foundation</v>
      </c>
      <c r="E7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8" s="24" t="str">
        <f ca="1">IF(OR(Master[[#This Row],[Type]]="checklist", Master[[#This Row],[Type]]="checklist-flat"), Master[[#This Row],[Name]], F737)</f>
        <v>F - S - Piling</v>
      </c>
      <c r="G738" s="34" t="s">
        <v>124</v>
      </c>
      <c r="H738" s="34" t="s">
        <v>125</v>
      </c>
      <c r="I738" s="35"/>
      <c r="J738" s="21">
        <f ca="1">_xlfn.XLOOKUP(Master[[#This Row],[Checklist]],Ref!A:A,Ref!B:B)*1000</f>
        <v>86000</v>
      </c>
      <c r="K738" s="21">
        <f ca="1">COUNTIF($J$2:Master[[#This Row],[ChecklistID]],Master[[#This Row],[ChecklistID]])-1</f>
        <v>3</v>
      </c>
      <c r="L738" s="23" t="s">
        <v>6</v>
      </c>
    </row>
    <row r="739" spans="1:12" ht="15.75">
      <c r="A739" s="23">
        <f t="shared" si="11"/>
        <v>738</v>
      </c>
      <c r="B739" s="21">
        <f ca="1">Master[[#This Row],[ChecklistID]]+Master[[#This Row],[Checklist Order]]</f>
        <v>86004</v>
      </c>
      <c r="C739" s="22"/>
      <c r="D739" s="3" t="str" cm="1">
        <f t="array" aca="1" ref="D739" ca="1">_xlfn.SWITCH(MID(Master[[#This Row],[Checklist]],1,4),"C - ","Civil","F - ","Foundation","ST -","Structure","FC -","Façade","PRE ","Pre-Line","POST","Post-Line","H - ","Handover","S - ","Services","CST ","Completion Docs", "I - ", "Inspection")</f>
        <v>Foundation</v>
      </c>
      <c r="E7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39" s="24" t="str">
        <f ca="1">IF(OR(Master[[#This Row],[Type]]="checklist", Master[[#This Row],[Type]]="checklist-flat"), Master[[#This Row],[Name]], F738)</f>
        <v>F - S - Piling</v>
      </c>
      <c r="G739" s="34" t="s">
        <v>124</v>
      </c>
      <c r="H739" s="34" t="s">
        <v>126</v>
      </c>
      <c r="I739" s="35"/>
      <c r="J739" s="21">
        <f ca="1">_xlfn.XLOOKUP(Master[[#This Row],[Checklist]],Ref!A:A,Ref!B:B)*1000</f>
        <v>86000</v>
      </c>
      <c r="K739" s="21">
        <f ca="1">COUNTIF($J$2:Master[[#This Row],[ChecklistID]],Master[[#This Row],[ChecklistID]])-1</f>
        <v>4</v>
      </c>
      <c r="L739" s="23" t="s">
        <v>6</v>
      </c>
    </row>
    <row r="740" spans="1:12" ht="15.75">
      <c r="A740" s="23">
        <f t="shared" si="11"/>
        <v>739</v>
      </c>
      <c r="B740" s="21">
        <f ca="1">Master[[#This Row],[ChecklistID]]+Master[[#This Row],[Checklist Order]]</f>
        <v>86005</v>
      </c>
      <c r="C740" s="22"/>
      <c r="D740" s="3" t="str" cm="1">
        <f t="array" aca="1" ref="D740" ca="1">_xlfn.SWITCH(MID(Master[[#This Row],[Checklist]],1,4),"C - ","Civil","F - ","Foundation","ST -","Structure","FC -","Façade","PRE ","Pre-Line","POST","Post-Line","H - ","Handover","S - ","Services","CST ","Completion Docs", "I - ", "Inspection")</f>
        <v>Foundation</v>
      </c>
      <c r="E7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0" s="24" t="str">
        <f ca="1">IF(OR(Master[[#This Row],[Type]]="checklist", Master[[#This Row],[Type]]="checklist-flat"), Master[[#This Row],[Name]], F739)</f>
        <v>F - S - Piling</v>
      </c>
      <c r="G740" s="34" t="s">
        <v>66</v>
      </c>
      <c r="H740" s="34" t="s">
        <v>127</v>
      </c>
      <c r="I740" s="35" t="s">
        <v>128</v>
      </c>
      <c r="J740" s="21">
        <f ca="1">_xlfn.XLOOKUP(Master[[#This Row],[Checklist]],Ref!A:A,Ref!B:B)*1000</f>
        <v>86000</v>
      </c>
      <c r="K740" s="21">
        <f ca="1">COUNTIF($J$2:Master[[#This Row],[ChecklistID]],Master[[#This Row],[ChecklistID]])-1</f>
        <v>5</v>
      </c>
      <c r="L740" s="23" t="s">
        <v>6</v>
      </c>
    </row>
    <row r="741" spans="1:12" ht="15.75">
      <c r="A741" s="23">
        <f t="shared" si="11"/>
        <v>740</v>
      </c>
      <c r="B741" s="21">
        <f ca="1">Master[[#This Row],[ChecklistID]]+Master[[#This Row],[Checklist Order]]</f>
        <v>86006</v>
      </c>
      <c r="C741" s="22"/>
      <c r="D741" s="3" t="str" cm="1">
        <f t="array" aca="1" ref="D741" ca="1">_xlfn.SWITCH(MID(Master[[#This Row],[Checklist]],1,4),"C - ","Civil","F - ","Foundation","ST -","Structure","FC -","Façade","PRE ","Pre-Line","POST","Post-Line","H - ","Handover","S - ","Services","CST ","Completion Docs", "I - ", "Inspection")</f>
        <v>Foundation</v>
      </c>
      <c r="E7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1" s="24" t="str">
        <f ca="1">IF(OR(Master[[#This Row],[Type]]="checklist", Master[[#This Row],[Type]]="checklist-flat"), Master[[#This Row],[Name]], F740)</f>
        <v>F - S - Piling</v>
      </c>
      <c r="G741" s="34" t="s">
        <v>124</v>
      </c>
      <c r="H741" s="34" t="s">
        <v>129</v>
      </c>
      <c r="I741" s="35"/>
      <c r="J741" s="21">
        <f ca="1">_xlfn.XLOOKUP(Master[[#This Row],[Checklist]],Ref!A:A,Ref!B:B)*1000</f>
        <v>86000</v>
      </c>
      <c r="K741" s="21">
        <f ca="1">COUNTIF($J$2:Master[[#This Row],[ChecklistID]],Master[[#This Row],[ChecklistID]])-1</f>
        <v>6</v>
      </c>
      <c r="L741" s="23" t="s">
        <v>6</v>
      </c>
    </row>
    <row r="742" spans="1:12" ht="15.75">
      <c r="A742" s="23">
        <f t="shared" si="11"/>
        <v>741</v>
      </c>
      <c r="B742" s="21">
        <f ca="1">Master[[#This Row],[ChecklistID]]+Master[[#This Row],[Checklist Order]]</f>
        <v>86007</v>
      </c>
      <c r="C742" s="22"/>
      <c r="D742" s="3" t="str" cm="1">
        <f t="array" aca="1" ref="D742" ca="1">_xlfn.SWITCH(MID(Master[[#This Row],[Checklist]],1,4),"C - ","Civil","F - ","Foundation","ST -","Structure","FC -","Façade","PRE ","Pre-Line","POST","Post-Line","H - ","Handover","S - ","Services","CST ","Completion Docs", "I - ", "Inspection")</f>
        <v>Foundation</v>
      </c>
      <c r="E7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2" s="24" t="str">
        <f ca="1">IF(OR(Master[[#This Row],[Type]]="checklist", Master[[#This Row],[Type]]="checklist-flat"), Master[[#This Row],[Name]], F741)</f>
        <v>F - S - Piling</v>
      </c>
      <c r="G742" s="34" t="s">
        <v>49</v>
      </c>
      <c r="H742" s="34" t="s">
        <v>130</v>
      </c>
      <c r="I742" s="35"/>
      <c r="J742" s="21">
        <f ca="1">_xlfn.XLOOKUP(Master[[#This Row],[Checklist]],Ref!A:A,Ref!B:B)*1000</f>
        <v>86000</v>
      </c>
      <c r="K742" s="21">
        <f ca="1">COUNTIF($J$2:Master[[#This Row],[ChecklistID]],Master[[#This Row],[ChecklistID]])-1</f>
        <v>7</v>
      </c>
      <c r="L742" s="23" t="s">
        <v>6</v>
      </c>
    </row>
    <row r="743" spans="1:12" ht="15.75">
      <c r="A743" s="23">
        <f t="shared" si="11"/>
        <v>742</v>
      </c>
      <c r="B743" s="21">
        <f ca="1">Master[[#This Row],[ChecklistID]]+Master[[#This Row],[Checklist Order]]</f>
        <v>86008</v>
      </c>
      <c r="C743" s="22"/>
      <c r="D743" s="3" t="str" cm="1">
        <f t="array" aca="1" ref="D743" ca="1">_xlfn.SWITCH(MID(Master[[#This Row],[Checklist]],1,4),"C - ","Civil","F - ","Foundation","ST -","Structure","FC -","Façade","PRE ","Pre-Line","POST","Post-Line","H - ","Handover","S - ","Services","CST ","Completion Docs", "I - ", "Inspection")</f>
        <v>Foundation</v>
      </c>
      <c r="E7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3" s="24" t="str">
        <f ca="1">IF(OR(Master[[#This Row],[Type]]="checklist", Master[[#This Row],[Type]]="checklist-flat"), Master[[#This Row],[Name]], F742)</f>
        <v>F - S - Piling</v>
      </c>
      <c r="G743" s="34" t="s">
        <v>131</v>
      </c>
      <c r="H743" s="34" t="s">
        <v>132</v>
      </c>
      <c r="I743" s="35" t="s">
        <v>133</v>
      </c>
      <c r="J743" s="21">
        <f ca="1">_xlfn.XLOOKUP(Master[[#This Row],[Checklist]],Ref!A:A,Ref!B:B)*1000</f>
        <v>86000</v>
      </c>
      <c r="K743" s="21">
        <f ca="1">COUNTIF($J$2:Master[[#This Row],[ChecklistID]],Master[[#This Row],[ChecklistID]])-1</f>
        <v>8</v>
      </c>
      <c r="L743" s="23" t="s">
        <v>6</v>
      </c>
    </row>
    <row r="744" spans="1:12" ht="15.75">
      <c r="A744" s="23">
        <f t="shared" si="11"/>
        <v>743</v>
      </c>
      <c r="B744" s="21">
        <f ca="1">Master[[#This Row],[ChecklistID]]+Master[[#This Row],[Checklist Order]]</f>
        <v>86009</v>
      </c>
      <c r="C744" s="22"/>
      <c r="D744" s="3" t="str" cm="1">
        <f t="array" aca="1" ref="D744" ca="1">_xlfn.SWITCH(MID(Master[[#This Row],[Checklist]],1,4),"C - ","Civil","F - ","Foundation","ST -","Structure","FC -","Façade","PRE ","Pre-Line","POST","Post-Line","H - ","Handover","S - ","Services","CST ","Completion Docs", "I - ", "Inspection")</f>
        <v>Foundation</v>
      </c>
      <c r="E7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4" s="24" t="str">
        <f ca="1">IF(OR(Master[[#This Row],[Type]]="checklist", Master[[#This Row],[Type]]="checklist-flat"), Master[[#This Row],[Name]], F743)</f>
        <v>F - S - Piling</v>
      </c>
      <c r="G744" s="34" t="s">
        <v>124</v>
      </c>
      <c r="H744" s="34" t="s">
        <v>134</v>
      </c>
      <c r="I744" s="35"/>
      <c r="J744" s="21">
        <f ca="1">_xlfn.XLOOKUP(Master[[#This Row],[Checklist]],Ref!A:A,Ref!B:B)*1000</f>
        <v>86000</v>
      </c>
      <c r="K744" s="21">
        <f ca="1">COUNTIF($J$2:Master[[#This Row],[ChecklistID]],Master[[#This Row],[ChecklistID]])-1</f>
        <v>9</v>
      </c>
      <c r="L744" s="23" t="s">
        <v>6</v>
      </c>
    </row>
    <row r="745" spans="1:12" ht="15.75">
      <c r="A745" s="23">
        <f t="shared" si="11"/>
        <v>744</v>
      </c>
      <c r="B745" s="21">
        <f ca="1">Master[[#This Row],[ChecklistID]]+Master[[#This Row],[Checklist Order]]</f>
        <v>86010</v>
      </c>
      <c r="C745" s="22"/>
      <c r="D745" s="3" t="str" cm="1">
        <f t="array" aca="1" ref="D745" ca="1">_xlfn.SWITCH(MID(Master[[#This Row],[Checklist]],1,4),"C - ","Civil","F - ","Foundation","ST -","Structure","FC -","Façade","PRE ","Pre-Line","POST","Post-Line","H - ","Handover","S - ","Services","CST ","Completion Docs", "I - ", "Inspection")</f>
        <v>Foundation</v>
      </c>
      <c r="E7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5" s="24" t="str">
        <f ca="1">IF(OR(Master[[#This Row],[Type]]="checklist", Master[[#This Row],[Type]]="checklist-flat"), Master[[#This Row],[Name]], F744)</f>
        <v>F - S - Piling</v>
      </c>
      <c r="G745" s="34" t="s">
        <v>124</v>
      </c>
      <c r="H745" s="34" t="s">
        <v>135</v>
      </c>
      <c r="I745" s="35"/>
      <c r="J745" s="21">
        <f ca="1">_xlfn.XLOOKUP(Master[[#This Row],[Checklist]],Ref!A:A,Ref!B:B)*1000</f>
        <v>86000</v>
      </c>
      <c r="K745" s="21">
        <f ca="1">COUNTIF($J$2:Master[[#This Row],[ChecklistID]],Master[[#This Row],[ChecklistID]])-1</f>
        <v>10</v>
      </c>
      <c r="L745" s="23" t="s">
        <v>6</v>
      </c>
    </row>
    <row r="746" spans="1:12" ht="15.75">
      <c r="A746" s="23">
        <f t="shared" ref="A746:A809" si="12">IFERROR(A745+1,1)</f>
        <v>745</v>
      </c>
      <c r="B746" s="21">
        <f ca="1">Master[[#This Row],[ChecklistID]]+Master[[#This Row],[Checklist Order]]</f>
        <v>86011</v>
      </c>
      <c r="C746" s="22"/>
      <c r="D746" s="3" t="str" cm="1">
        <f t="array" aca="1" ref="D746" ca="1">_xlfn.SWITCH(MID(Master[[#This Row],[Checklist]],1,4),"C - ","Civil","F - ","Foundation","ST -","Structure","FC -","Façade","PRE ","Pre-Line","POST","Post-Line","H - ","Handover","S - ","Services","CST ","Completion Docs", "I - ", "Inspection")</f>
        <v>Foundation</v>
      </c>
      <c r="E7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6" s="24" t="str">
        <f ca="1">IF(OR(Master[[#This Row],[Type]]="checklist", Master[[#This Row],[Type]]="checklist-flat"), Master[[#This Row],[Name]], F745)</f>
        <v>F - S - Piling</v>
      </c>
      <c r="G746" s="34" t="s">
        <v>66</v>
      </c>
      <c r="H746" s="34" t="s">
        <v>136</v>
      </c>
      <c r="I746" s="35"/>
      <c r="J746" s="21">
        <f ca="1">_xlfn.XLOOKUP(Master[[#This Row],[Checklist]],Ref!A:A,Ref!B:B)*1000</f>
        <v>86000</v>
      </c>
      <c r="K746" s="21">
        <f ca="1">COUNTIF($J$2:Master[[#This Row],[ChecklistID]],Master[[#This Row],[ChecklistID]])-1</f>
        <v>11</v>
      </c>
      <c r="L746" s="23" t="s">
        <v>6</v>
      </c>
    </row>
    <row r="747" spans="1:12" ht="15.75">
      <c r="A747" s="23">
        <f t="shared" si="12"/>
        <v>746</v>
      </c>
      <c r="B747" s="21">
        <f ca="1">Master[[#This Row],[ChecklistID]]+Master[[#This Row],[Checklist Order]]</f>
        <v>86012</v>
      </c>
      <c r="C747" s="22"/>
      <c r="D747" s="3" t="str" cm="1">
        <f t="array" aca="1" ref="D747" ca="1">_xlfn.SWITCH(MID(Master[[#This Row],[Checklist]],1,4),"C - ","Civil","F - ","Foundation","ST -","Structure","FC -","Façade","PRE ","Pre-Line","POST","Post-Line","H - ","Handover","S - ","Services","CST ","Completion Docs", "I - ", "Inspection")</f>
        <v>Foundation</v>
      </c>
      <c r="E7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7" s="24" t="str">
        <f ca="1">IF(OR(Master[[#This Row],[Type]]="checklist", Master[[#This Row],[Type]]="checklist-flat"), Master[[#This Row],[Name]], F746)</f>
        <v>F - S - Piling</v>
      </c>
      <c r="G747" s="34" t="s">
        <v>66</v>
      </c>
      <c r="H747" s="34" t="s">
        <v>137</v>
      </c>
      <c r="I747" s="35"/>
      <c r="J747" s="21">
        <f ca="1">_xlfn.XLOOKUP(Master[[#This Row],[Checklist]],Ref!A:A,Ref!B:B)*1000</f>
        <v>86000</v>
      </c>
      <c r="K747" s="21">
        <f ca="1">COUNTIF($J$2:Master[[#This Row],[ChecklistID]],Master[[#This Row],[ChecklistID]])-1</f>
        <v>12</v>
      </c>
      <c r="L747" s="23" t="s">
        <v>6</v>
      </c>
    </row>
    <row r="748" spans="1:12" ht="15.75">
      <c r="A748" s="23">
        <f t="shared" si="12"/>
        <v>747</v>
      </c>
      <c r="B748" s="21">
        <f ca="1">Master[[#This Row],[ChecklistID]]+Master[[#This Row],[Checklist Order]]</f>
        <v>86013</v>
      </c>
      <c r="C748" s="22"/>
      <c r="D748" s="3" t="str" cm="1">
        <f t="array" aca="1" ref="D748" ca="1">_xlfn.SWITCH(MID(Master[[#This Row],[Checklist]],1,4),"C - ","Civil","F - ","Foundation","ST -","Structure","FC -","Façade","PRE ","Pre-Line","POST","Post-Line","H - ","Handover","S - ","Services","CST ","Completion Docs", "I - ", "Inspection")</f>
        <v>Foundation</v>
      </c>
      <c r="E7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8" s="24" t="str">
        <f ca="1">IF(OR(Master[[#This Row],[Type]]="checklist", Master[[#This Row],[Type]]="checklist-flat"), Master[[#This Row],[Name]], F747)</f>
        <v>F - S - Piling</v>
      </c>
      <c r="G748" s="34" t="s">
        <v>49</v>
      </c>
      <c r="H748" s="34" t="s">
        <v>138</v>
      </c>
      <c r="I748" s="35"/>
      <c r="J748" s="21">
        <f ca="1">_xlfn.XLOOKUP(Master[[#This Row],[Checklist]],Ref!A:A,Ref!B:B)*1000</f>
        <v>86000</v>
      </c>
      <c r="K748" s="21">
        <f ca="1">COUNTIF($J$2:Master[[#This Row],[ChecklistID]],Master[[#This Row],[ChecklistID]])-1</f>
        <v>13</v>
      </c>
      <c r="L748" s="23" t="s">
        <v>6</v>
      </c>
    </row>
    <row r="749" spans="1:12" ht="15.75">
      <c r="A749" s="23">
        <f t="shared" si="12"/>
        <v>748</v>
      </c>
      <c r="B749" s="21">
        <f ca="1">Master[[#This Row],[ChecklistID]]+Master[[#This Row],[Checklist Order]]</f>
        <v>86014</v>
      </c>
      <c r="C749" s="22"/>
      <c r="D749" s="3" t="str" cm="1">
        <f t="array" aca="1" ref="D749" ca="1">_xlfn.SWITCH(MID(Master[[#This Row],[Checklist]],1,4),"C - ","Civil","F - ","Foundation","ST -","Structure","FC -","Façade","PRE ","Pre-Line","POST","Post-Line","H - ","Handover","S - ","Services","CST ","Completion Docs", "I - ", "Inspection")</f>
        <v>Foundation</v>
      </c>
      <c r="E7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49" s="24" t="str">
        <f ca="1">IF(OR(Master[[#This Row],[Type]]="checklist", Master[[#This Row],[Type]]="checklist-flat"), Master[[#This Row],[Name]], F748)</f>
        <v>F - S - Piling</v>
      </c>
      <c r="G749" s="34" t="s">
        <v>124</v>
      </c>
      <c r="H749" s="34" t="s">
        <v>139</v>
      </c>
      <c r="I749" s="35"/>
      <c r="J749" s="21">
        <f ca="1">_xlfn.XLOOKUP(Master[[#This Row],[Checklist]],Ref!A:A,Ref!B:B)*1000</f>
        <v>86000</v>
      </c>
      <c r="K749" s="21">
        <f ca="1">COUNTIF($J$2:Master[[#This Row],[ChecklistID]],Master[[#This Row],[ChecklistID]])-1</f>
        <v>14</v>
      </c>
      <c r="L749" s="23" t="s">
        <v>6</v>
      </c>
    </row>
    <row r="750" spans="1:12" ht="15.75">
      <c r="A750" s="23">
        <f t="shared" si="12"/>
        <v>749</v>
      </c>
      <c r="B750" s="21">
        <f ca="1">Master[[#This Row],[ChecklistID]]+Master[[#This Row],[Checklist Order]]</f>
        <v>86015</v>
      </c>
      <c r="C750" s="22"/>
      <c r="D750" s="3" t="str" cm="1">
        <f t="array" aca="1" ref="D750" ca="1">_xlfn.SWITCH(MID(Master[[#This Row],[Checklist]],1,4),"C - ","Civil","F - ","Foundation","ST -","Structure","FC -","Façade","PRE ","Pre-Line","POST","Post-Line","H - ","Handover","S - ","Services","CST ","Completion Docs", "I - ", "Inspection")</f>
        <v>Foundation</v>
      </c>
      <c r="E7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0" s="24" t="str">
        <f ca="1">IF(OR(Master[[#This Row],[Type]]="checklist", Master[[#This Row],[Type]]="checklist-flat"), Master[[#This Row],[Name]], F749)</f>
        <v>F - S - Piling</v>
      </c>
      <c r="G750" s="34" t="s">
        <v>124</v>
      </c>
      <c r="H750" s="34" t="s">
        <v>140</v>
      </c>
      <c r="I750" s="35"/>
      <c r="J750" s="21">
        <f ca="1">_xlfn.XLOOKUP(Master[[#This Row],[Checklist]],Ref!A:A,Ref!B:B)*1000</f>
        <v>86000</v>
      </c>
      <c r="K750" s="21">
        <f ca="1">COUNTIF($J$2:Master[[#This Row],[ChecklistID]],Master[[#This Row],[ChecklistID]])-1</f>
        <v>15</v>
      </c>
      <c r="L750" s="23" t="s">
        <v>6</v>
      </c>
    </row>
    <row r="751" spans="1:12" ht="15.75">
      <c r="A751" s="23">
        <f t="shared" si="12"/>
        <v>750</v>
      </c>
      <c r="B751" s="21">
        <f ca="1">Master[[#This Row],[ChecklistID]]+Master[[#This Row],[Checklist Order]]</f>
        <v>86016</v>
      </c>
      <c r="C751" s="22"/>
      <c r="D751" s="3" t="str" cm="1">
        <f t="array" aca="1" ref="D751" ca="1">_xlfn.SWITCH(MID(Master[[#This Row],[Checklist]],1,4),"C - ","Civil","F - ","Foundation","ST -","Structure","FC -","Façade","PRE ","Pre-Line","POST","Post-Line","H - ","Handover","S - ","Services","CST ","Completion Docs", "I - ", "Inspection")</f>
        <v>Foundation</v>
      </c>
      <c r="E7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1" s="24" t="str">
        <f ca="1">IF(OR(Master[[#This Row],[Type]]="checklist", Master[[#This Row],[Type]]="checklist-flat"), Master[[#This Row],[Name]], F750)</f>
        <v>F - S - Piling</v>
      </c>
      <c r="G751" s="34" t="s">
        <v>124</v>
      </c>
      <c r="H751" s="34" t="s">
        <v>141</v>
      </c>
      <c r="I751" s="35"/>
      <c r="J751" s="21">
        <f ca="1">_xlfn.XLOOKUP(Master[[#This Row],[Checklist]],Ref!A:A,Ref!B:B)*1000</f>
        <v>86000</v>
      </c>
      <c r="K751" s="21">
        <f ca="1">COUNTIF($J$2:Master[[#This Row],[ChecklistID]],Master[[#This Row],[ChecklistID]])-1</f>
        <v>16</v>
      </c>
      <c r="L751" s="23" t="s">
        <v>6</v>
      </c>
    </row>
    <row r="752" spans="1:12" ht="15.75">
      <c r="A752" s="23">
        <f t="shared" si="12"/>
        <v>751</v>
      </c>
      <c r="B752" s="21">
        <f ca="1">Master[[#This Row],[ChecklistID]]+Master[[#This Row],[Checklist Order]]</f>
        <v>86017</v>
      </c>
      <c r="C752" s="22"/>
      <c r="D752" s="3" t="str" cm="1">
        <f t="array" aca="1" ref="D752" ca="1">_xlfn.SWITCH(MID(Master[[#This Row],[Checklist]],1,4),"C - ","Civil","F - ","Foundation","ST -","Structure","FC -","Façade","PRE ","Pre-Line","POST","Post-Line","H - ","Handover","S - ","Services","CST ","Completion Docs", "I - ", "Inspection")</f>
        <v>Foundation</v>
      </c>
      <c r="E7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2" s="24" t="str">
        <f ca="1">IF(OR(Master[[#This Row],[Type]]="checklist", Master[[#This Row],[Type]]="checklist-flat"), Master[[#This Row],[Name]], F751)</f>
        <v>F - S - Piling</v>
      </c>
      <c r="G752" s="34" t="s">
        <v>124</v>
      </c>
      <c r="H752" s="34" t="s">
        <v>142</v>
      </c>
      <c r="I752" s="35"/>
      <c r="J752" s="21">
        <f ca="1">_xlfn.XLOOKUP(Master[[#This Row],[Checklist]],Ref!A:A,Ref!B:B)*1000</f>
        <v>86000</v>
      </c>
      <c r="K752" s="21">
        <f ca="1">COUNTIF($J$2:Master[[#This Row],[ChecklistID]],Master[[#This Row],[ChecklistID]])-1</f>
        <v>17</v>
      </c>
      <c r="L752" s="23" t="s">
        <v>6</v>
      </c>
    </row>
    <row r="753" spans="1:12" ht="15.75">
      <c r="A753" s="23">
        <f t="shared" si="12"/>
        <v>752</v>
      </c>
      <c r="B753" s="21">
        <f ca="1">Master[[#This Row],[ChecklistID]]+Master[[#This Row],[Checklist Order]]</f>
        <v>86018</v>
      </c>
      <c r="C753" s="22"/>
      <c r="D753" s="3" t="str" cm="1">
        <f t="array" aca="1" ref="D753" ca="1">_xlfn.SWITCH(MID(Master[[#This Row],[Checklist]],1,4),"C - ","Civil","F - ","Foundation","ST -","Structure","FC -","Façade","PRE ","Pre-Line","POST","Post-Line","H - ","Handover","S - ","Services","CST ","Completion Docs", "I - ", "Inspection")</f>
        <v>Foundation</v>
      </c>
      <c r="E7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3" s="24" t="str">
        <f ca="1">IF(OR(Master[[#This Row],[Type]]="checklist", Master[[#This Row],[Type]]="checklist-flat"), Master[[#This Row],[Name]], F752)</f>
        <v>F - S - Piling</v>
      </c>
      <c r="G753" s="34" t="s">
        <v>124</v>
      </c>
      <c r="H753" s="34" t="s">
        <v>143</v>
      </c>
      <c r="I753" s="35"/>
      <c r="J753" s="21">
        <f ca="1">_xlfn.XLOOKUP(Master[[#This Row],[Checklist]],Ref!A:A,Ref!B:B)*1000</f>
        <v>86000</v>
      </c>
      <c r="K753" s="21">
        <f ca="1">COUNTIF($J$2:Master[[#This Row],[ChecklistID]],Master[[#This Row],[ChecklistID]])-1</f>
        <v>18</v>
      </c>
      <c r="L753" s="23" t="s">
        <v>6</v>
      </c>
    </row>
    <row r="754" spans="1:12" ht="15.75">
      <c r="A754" s="23">
        <f t="shared" si="12"/>
        <v>753</v>
      </c>
      <c r="B754" s="21">
        <f ca="1">Master[[#This Row],[ChecklistID]]+Master[[#This Row],[Checklist Order]]</f>
        <v>86019</v>
      </c>
      <c r="C754" s="22"/>
      <c r="D754" s="3" t="str" cm="1">
        <f t="array" aca="1" ref="D754" ca="1">_xlfn.SWITCH(MID(Master[[#This Row],[Checklist]],1,4),"C - ","Civil","F - ","Foundation","ST -","Structure","FC -","Façade","PRE ","Pre-Line","POST","Post-Line","H - ","Handover","S - ","Services","CST ","Completion Docs", "I - ", "Inspection")</f>
        <v>Foundation</v>
      </c>
      <c r="E7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4" s="24" t="str">
        <f ca="1">IF(OR(Master[[#This Row],[Type]]="checklist", Master[[#This Row],[Type]]="checklist-flat"), Master[[#This Row],[Name]], F753)</f>
        <v>F - S - Piling</v>
      </c>
      <c r="G754" s="34" t="s">
        <v>124</v>
      </c>
      <c r="H754" s="34" t="s">
        <v>144</v>
      </c>
      <c r="I754" s="35"/>
      <c r="J754" s="21">
        <f ca="1">_xlfn.XLOOKUP(Master[[#This Row],[Checklist]],Ref!A:A,Ref!B:B)*1000</f>
        <v>86000</v>
      </c>
      <c r="K754" s="21">
        <f ca="1">COUNTIF($J$2:Master[[#This Row],[ChecklistID]],Master[[#This Row],[ChecklistID]])-1</f>
        <v>19</v>
      </c>
      <c r="L754" s="23" t="s">
        <v>6</v>
      </c>
    </row>
    <row r="755" spans="1:12" ht="15.75">
      <c r="A755" s="23">
        <f t="shared" si="12"/>
        <v>754</v>
      </c>
      <c r="B755" s="21">
        <f ca="1">Master[[#This Row],[ChecklistID]]+Master[[#This Row],[Checklist Order]]</f>
        <v>86020</v>
      </c>
      <c r="C755" s="22"/>
      <c r="D755" s="3" t="str" cm="1">
        <f t="array" aca="1" ref="D755" ca="1">_xlfn.SWITCH(MID(Master[[#This Row],[Checklist]],1,4),"C - ","Civil","F - ","Foundation","ST -","Structure","FC -","Façade","PRE ","Pre-Line","POST","Post-Line","H - ","Handover","S - ","Services","CST ","Completion Docs", "I - ", "Inspection")</f>
        <v>Foundation</v>
      </c>
      <c r="E7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5" s="24" t="str">
        <f ca="1">IF(OR(Master[[#This Row],[Type]]="checklist", Master[[#This Row],[Type]]="checklist-flat"), Master[[#This Row],[Name]], F754)</f>
        <v>F - S - Piling</v>
      </c>
      <c r="G755" s="34" t="s">
        <v>49</v>
      </c>
      <c r="H755" s="34" t="s">
        <v>145</v>
      </c>
      <c r="I755" s="35"/>
      <c r="J755" s="21">
        <f ca="1">_xlfn.XLOOKUP(Master[[#This Row],[Checklist]],Ref!A:A,Ref!B:B)*1000</f>
        <v>86000</v>
      </c>
      <c r="K755" s="21">
        <f ca="1">COUNTIF($J$2:Master[[#This Row],[ChecklistID]],Master[[#This Row],[ChecklistID]])-1</f>
        <v>20</v>
      </c>
      <c r="L755" s="23" t="s">
        <v>6</v>
      </c>
    </row>
    <row r="756" spans="1:12" ht="15.75">
      <c r="A756" s="23">
        <f t="shared" si="12"/>
        <v>755</v>
      </c>
      <c r="B756" s="21">
        <f ca="1">Master[[#This Row],[ChecklistID]]+Master[[#This Row],[Checklist Order]]</f>
        <v>86021</v>
      </c>
      <c r="C756" s="22"/>
      <c r="D756" s="3" t="str" cm="1">
        <f t="array" aca="1" ref="D756" ca="1">_xlfn.SWITCH(MID(Master[[#This Row],[Checklist]],1,4),"C - ","Civil","F - ","Foundation","ST -","Structure","FC -","Façade","PRE ","Pre-Line","POST","Post-Line","H - ","Handover","S - ","Services","CST ","Completion Docs", "I - ", "Inspection")</f>
        <v>Foundation</v>
      </c>
      <c r="E7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6" s="24" t="str">
        <f ca="1">IF(OR(Master[[#This Row],[Type]]="checklist", Master[[#This Row],[Type]]="checklist-flat"), Master[[#This Row],[Name]], F755)</f>
        <v>F - S - Piling</v>
      </c>
      <c r="G756" s="34" t="s">
        <v>124</v>
      </c>
      <c r="H756" s="34" t="s">
        <v>139</v>
      </c>
      <c r="I756" s="35"/>
      <c r="J756" s="21">
        <f ca="1">_xlfn.XLOOKUP(Master[[#This Row],[Checklist]],Ref!A:A,Ref!B:B)*1000</f>
        <v>86000</v>
      </c>
      <c r="K756" s="21">
        <f ca="1">COUNTIF($J$2:Master[[#This Row],[ChecklistID]],Master[[#This Row],[ChecklistID]])-1</f>
        <v>21</v>
      </c>
      <c r="L756" s="23" t="s">
        <v>6</v>
      </c>
    </row>
    <row r="757" spans="1:12" ht="15.75">
      <c r="A757" s="23">
        <f t="shared" si="12"/>
        <v>756</v>
      </c>
      <c r="B757" s="21">
        <f ca="1">Master[[#This Row],[ChecklistID]]+Master[[#This Row],[Checklist Order]]</f>
        <v>86022</v>
      </c>
      <c r="C757" s="22"/>
      <c r="D757" s="3" t="str" cm="1">
        <f t="array" aca="1" ref="D757" ca="1">_xlfn.SWITCH(MID(Master[[#This Row],[Checklist]],1,4),"C - ","Civil","F - ","Foundation","ST -","Structure","FC -","Façade","PRE ","Pre-Line","POST","Post-Line","H - ","Handover","S - ","Services","CST ","Completion Docs", "I - ", "Inspection")</f>
        <v>Foundation</v>
      </c>
      <c r="E7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7" s="24" t="str">
        <f ca="1">IF(OR(Master[[#This Row],[Type]]="checklist", Master[[#This Row],[Type]]="checklist-flat"), Master[[#This Row],[Name]], F756)</f>
        <v>F - S - Piling</v>
      </c>
      <c r="G757" s="34" t="s">
        <v>124</v>
      </c>
      <c r="H757" s="34" t="s">
        <v>140</v>
      </c>
      <c r="I757" s="35"/>
      <c r="J757" s="21">
        <f ca="1">_xlfn.XLOOKUP(Master[[#This Row],[Checklist]],Ref!A:A,Ref!B:B)*1000</f>
        <v>86000</v>
      </c>
      <c r="K757" s="21">
        <f ca="1">COUNTIF($J$2:Master[[#This Row],[ChecklistID]],Master[[#This Row],[ChecklistID]])-1</f>
        <v>22</v>
      </c>
      <c r="L757" s="23" t="s">
        <v>6</v>
      </c>
    </row>
    <row r="758" spans="1:12" ht="15.75">
      <c r="A758" s="23">
        <f t="shared" si="12"/>
        <v>757</v>
      </c>
      <c r="B758" s="21">
        <f ca="1">Master[[#This Row],[ChecklistID]]+Master[[#This Row],[Checklist Order]]</f>
        <v>86023</v>
      </c>
      <c r="C758" s="22"/>
      <c r="D758" s="3" t="str" cm="1">
        <f t="array" aca="1" ref="D758" ca="1">_xlfn.SWITCH(MID(Master[[#This Row],[Checklist]],1,4),"C - ","Civil","F - ","Foundation","ST -","Structure","FC -","Façade","PRE ","Pre-Line","POST","Post-Line","H - ","Handover","S - ","Services","CST ","Completion Docs", "I - ", "Inspection")</f>
        <v>Foundation</v>
      </c>
      <c r="E7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8" s="24" t="str">
        <f ca="1">IF(OR(Master[[#This Row],[Type]]="checklist", Master[[#This Row],[Type]]="checklist-flat"), Master[[#This Row],[Name]], F757)</f>
        <v>F - S - Piling</v>
      </c>
      <c r="G758" s="34" t="s">
        <v>124</v>
      </c>
      <c r="H758" s="34" t="s">
        <v>146</v>
      </c>
      <c r="I758" s="35"/>
      <c r="J758" s="21">
        <f ca="1">_xlfn.XLOOKUP(Master[[#This Row],[Checklist]],Ref!A:A,Ref!B:B)*1000</f>
        <v>86000</v>
      </c>
      <c r="K758" s="21">
        <f ca="1">COUNTIF($J$2:Master[[#This Row],[ChecklistID]],Master[[#This Row],[ChecklistID]])-1</f>
        <v>23</v>
      </c>
      <c r="L758" s="23" t="s">
        <v>6</v>
      </c>
    </row>
    <row r="759" spans="1:12" ht="15.75">
      <c r="A759" s="23">
        <f t="shared" si="12"/>
        <v>758</v>
      </c>
      <c r="B759" s="21">
        <f ca="1">Master[[#This Row],[ChecklistID]]+Master[[#This Row],[Checklist Order]]</f>
        <v>86024</v>
      </c>
      <c r="C759" s="22"/>
      <c r="D759" s="3" t="str" cm="1">
        <f t="array" aca="1" ref="D759" ca="1">_xlfn.SWITCH(MID(Master[[#This Row],[Checklist]],1,4),"C - ","Civil","F - ","Foundation","ST -","Structure","FC -","Façade","PRE ","Pre-Line","POST","Post-Line","H - ","Handover","S - ","Services","CST ","Completion Docs", "I - ", "Inspection")</f>
        <v>Foundation</v>
      </c>
      <c r="E7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59" s="24" t="str">
        <f ca="1">IF(OR(Master[[#This Row],[Type]]="checklist", Master[[#This Row],[Type]]="checklist-flat"), Master[[#This Row],[Name]], F758)</f>
        <v>F - S - Piling</v>
      </c>
      <c r="G759" s="34" t="s">
        <v>124</v>
      </c>
      <c r="H759" s="34" t="s">
        <v>147</v>
      </c>
      <c r="I759" s="35"/>
      <c r="J759" s="21">
        <f ca="1">_xlfn.XLOOKUP(Master[[#This Row],[Checklist]],Ref!A:A,Ref!B:B)*1000</f>
        <v>86000</v>
      </c>
      <c r="K759" s="21">
        <f ca="1">COUNTIF($J$2:Master[[#This Row],[ChecklistID]],Master[[#This Row],[ChecklistID]])-1</f>
        <v>24</v>
      </c>
      <c r="L759" s="23" t="s">
        <v>6</v>
      </c>
    </row>
    <row r="760" spans="1:12" ht="15.75">
      <c r="A760" s="23">
        <f t="shared" si="12"/>
        <v>759</v>
      </c>
      <c r="B760" s="21">
        <f ca="1">Master[[#This Row],[ChecklistID]]+Master[[#This Row],[Checklist Order]]</f>
        <v>86025</v>
      </c>
      <c r="C760" s="22"/>
      <c r="D760" s="3" t="str" cm="1">
        <f t="array" aca="1" ref="D760" ca="1">_xlfn.SWITCH(MID(Master[[#This Row],[Checklist]],1,4),"C - ","Civil","F - ","Foundation","ST -","Structure","FC -","Façade","PRE ","Pre-Line","POST","Post-Line","H - ","Handover","S - ","Services","CST ","Completion Docs", "I - ", "Inspection")</f>
        <v>Foundation</v>
      </c>
      <c r="E7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0" s="24" t="str">
        <f ca="1">IF(OR(Master[[#This Row],[Type]]="checklist", Master[[#This Row],[Type]]="checklist-flat"), Master[[#This Row],[Name]], F759)</f>
        <v>F - S - Piling</v>
      </c>
      <c r="G760" s="34" t="s">
        <v>124</v>
      </c>
      <c r="H760" s="34" t="s">
        <v>148</v>
      </c>
      <c r="I760" s="35"/>
      <c r="J760" s="21">
        <f ca="1">_xlfn.XLOOKUP(Master[[#This Row],[Checklist]],Ref!A:A,Ref!B:B)*1000</f>
        <v>86000</v>
      </c>
      <c r="K760" s="21">
        <f ca="1">COUNTIF($J$2:Master[[#This Row],[ChecklistID]],Master[[#This Row],[ChecklistID]])-1</f>
        <v>25</v>
      </c>
      <c r="L760" s="23" t="s">
        <v>6</v>
      </c>
    </row>
    <row r="761" spans="1:12" ht="15.75">
      <c r="A761" s="23">
        <f t="shared" si="12"/>
        <v>760</v>
      </c>
      <c r="B761" s="21">
        <f ca="1">Master[[#This Row],[ChecklistID]]+Master[[#This Row],[Checklist Order]]</f>
        <v>86026</v>
      </c>
      <c r="C761" s="22"/>
      <c r="D761" s="3" t="str" cm="1">
        <f t="array" aca="1" ref="D761" ca="1">_xlfn.SWITCH(MID(Master[[#This Row],[Checklist]],1,4),"C - ","Civil","F - ","Foundation","ST -","Structure","FC -","Façade","PRE ","Pre-Line","POST","Post-Line","H - ","Handover","S - ","Services","CST ","Completion Docs", "I - ", "Inspection")</f>
        <v>Foundation</v>
      </c>
      <c r="E7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1" s="24" t="str">
        <f ca="1">IF(OR(Master[[#This Row],[Type]]="checklist", Master[[#This Row],[Type]]="checklist-flat"), Master[[#This Row],[Name]], F760)</f>
        <v>F - S - Piling</v>
      </c>
      <c r="G761" s="34" t="s">
        <v>124</v>
      </c>
      <c r="H761" s="34" t="s">
        <v>149</v>
      </c>
      <c r="I761" s="35"/>
      <c r="J761" s="21">
        <f ca="1">_xlfn.XLOOKUP(Master[[#This Row],[Checklist]],Ref!A:A,Ref!B:B)*1000</f>
        <v>86000</v>
      </c>
      <c r="K761" s="21">
        <f ca="1">COUNTIF($J$2:Master[[#This Row],[ChecklistID]],Master[[#This Row],[ChecklistID]])-1</f>
        <v>26</v>
      </c>
      <c r="L761" s="23" t="s">
        <v>6</v>
      </c>
    </row>
    <row r="762" spans="1:12" ht="15.75">
      <c r="A762" s="23">
        <f t="shared" si="12"/>
        <v>761</v>
      </c>
      <c r="B762" s="21">
        <f ca="1">Master[[#This Row],[ChecklistID]]+Master[[#This Row],[Checklist Order]]</f>
        <v>86027</v>
      </c>
      <c r="C762" s="22"/>
      <c r="D762" s="3" t="str" cm="1">
        <f t="array" aca="1" ref="D762" ca="1">_xlfn.SWITCH(MID(Master[[#This Row],[Checklist]],1,4),"C - ","Civil","F - ","Foundation","ST -","Structure","FC -","Façade","PRE ","Pre-Line","POST","Post-Line","H - ","Handover","S - ","Services","CST ","Completion Docs", "I - ", "Inspection")</f>
        <v>Foundation</v>
      </c>
      <c r="E7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2" s="24" t="str">
        <f ca="1">IF(OR(Master[[#This Row],[Type]]="checklist", Master[[#This Row],[Type]]="checklist-flat"), Master[[#This Row],[Name]], F761)</f>
        <v>F - S - Piling</v>
      </c>
      <c r="G762" s="34" t="s">
        <v>124</v>
      </c>
      <c r="H762" s="34" t="s">
        <v>144</v>
      </c>
      <c r="I762" s="35"/>
      <c r="J762" s="21">
        <f ca="1">_xlfn.XLOOKUP(Master[[#This Row],[Checklist]],Ref!A:A,Ref!B:B)*1000</f>
        <v>86000</v>
      </c>
      <c r="K762" s="21">
        <f ca="1">COUNTIF($J$2:Master[[#This Row],[ChecklistID]],Master[[#This Row],[ChecklistID]])-1</f>
        <v>27</v>
      </c>
      <c r="L762" s="23" t="s">
        <v>6</v>
      </c>
    </row>
    <row r="763" spans="1:12" ht="15.75">
      <c r="A763" s="23">
        <f t="shared" si="12"/>
        <v>762</v>
      </c>
      <c r="B763" s="21">
        <f ca="1">Master[[#This Row],[ChecklistID]]+Master[[#This Row],[Checklist Order]]</f>
        <v>86028</v>
      </c>
      <c r="C763" s="22"/>
      <c r="D763" s="3" t="str" cm="1">
        <f t="array" aca="1" ref="D763" ca="1">_xlfn.SWITCH(MID(Master[[#This Row],[Checklist]],1,4),"C - ","Civil","F - ","Foundation","ST -","Structure","FC -","Façade","PRE ","Pre-Line","POST","Post-Line","H - ","Handover","S - ","Services","CST ","Completion Docs", "I - ", "Inspection")</f>
        <v>Foundation</v>
      </c>
      <c r="E7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3" s="24" t="str">
        <f ca="1">IF(OR(Master[[#This Row],[Type]]="checklist", Master[[#This Row],[Type]]="checklist-flat"), Master[[#This Row],[Name]], F762)</f>
        <v>F - S - Piling</v>
      </c>
      <c r="G763" s="34" t="s">
        <v>124</v>
      </c>
      <c r="H763" s="34" t="s">
        <v>150</v>
      </c>
      <c r="I763" s="35"/>
      <c r="J763" s="21">
        <f ca="1">_xlfn.XLOOKUP(Master[[#This Row],[Checklist]],Ref!A:A,Ref!B:B)*1000</f>
        <v>86000</v>
      </c>
      <c r="K763" s="21">
        <f ca="1">COUNTIF($J$2:Master[[#This Row],[ChecklistID]],Master[[#This Row],[ChecklistID]])-1</f>
        <v>28</v>
      </c>
      <c r="L763" s="23" t="s">
        <v>6</v>
      </c>
    </row>
    <row r="764" spans="1:12" ht="15.75">
      <c r="A764" s="23">
        <f t="shared" si="12"/>
        <v>763</v>
      </c>
      <c r="B764" s="21">
        <f ca="1">Master[[#This Row],[ChecklistID]]+Master[[#This Row],[Checklist Order]]</f>
        <v>86029</v>
      </c>
      <c r="C764" s="22"/>
      <c r="D764" s="3" t="str" cm="1">
        <f t="array" aca="1" ref="D764" ca="1">_xlfn.SWITCH(MID(Master[[#This Row],[Checklist]],1,4),"C - ","Civil","F - ","Foundation","ST -","Structure","FC -","Façade","PRE ","Pre-Line","POST","Post-Line","H - ","Handover","S - ","Services","CST ","Completion Docs", "I - ", "Inspection")</f>
        <v>Foundation</v>
      </c>
      <c r="E7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4" s="24" t="str">
        <f ca="1">IF(OR(Master[[#This Row],[Type]]="checklist", Master[[#This Row],[Type]]="checklist-flat"), Master[[#This Row],[Name]], F763)</f>
        <v>F - S - Piling</v>
      </c>
      <c r="G764" s="34" t="s">
        <v>124</v>
      </c>
      <c r="H764" s="34" t="s">
        <v>151</v>
      </c>
      <c r="I764" s="35"/>
      <c r="J764" s="21">
        <f ca="1">_xlfn.XLOOKUP(Master[[#This Row],[Checklist]],Ref!A:A,Ref!B:B)*1000</f>
        <v>86000</v>
      </c>
      <c r="K764" s="21">
        <f ca="1">COUNTIF($J$2:Master[[#This Row],[ChecklistID]],Master[[#This Row],[ChecklistID]])-1</f>
        <v>29</v>
      </c>
      <c r="L764" s="23" t="s">
        <v>6</v>
      </c>
    </row>
    <row r="765" spans="1:12" ht="15.75">
      <c r="A765" s="23">
        <f t="shared" si="12"/>
        <v>764</v>
      </c>
      <c r="B765" s="21">
        <f ca="1">Master[[#This Row],[ChecklistID]]+Master[[#This Row],[Checklist Order]]</f>
        <v>86030</v>
      </c>
      <c r="C765" s="22"/>
      <c r="D765" s="3" t="str" cm="1">
        <f t="array" aca="1" ref="D765" ca="1">_xlfn.SWITCH(MID(Master[[#This Row],[Checklist]],1,4),"C - ","Civil","F - ","Foundation","ST -","Structure","FC -","Façade","PRE ","Pre-Line","POST","Post-Line","H - ","Handover","S - ","Services","CST ","Completion Docs", "I - ", "Inspection")</f>
        <v>Foundation</v>
      </c>
      <c r="E7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5" s="24" t="str">
        <f ca="1">IF(OR(Master[[#This Row],[Type]]="checklist", Master[[#This Row],[Type]]="checklist-flat"), Master[[#This Row],[Name]], F764)</f>
        <v>F - S - Piling</v>
      </c>
      <c r="G765" s="34" t="s">
        <v>131</v>
      </c>
      <c r="H765" s="34" t="s">
        <v>152</v>
      </c>
      <c r="I765" s="35" t="s">
        <v>153</v>
      </c>
      <c r="J765" s="21">
        <f ca="1">_xlfn.XLOOKUP(Master[[#This Row],[Checklist]],Ref!A:A,Ref!B:B)*1000</f>
        <v>86000</v>
      </c>
      <c r="K765" s="21">
        <f ca="1">COUNTIF($J$2:Master[[#This Row],[ChecklistID]],Master[[#This Row],[ChecklistID]])-1</f>
        <v>30</v>
      </c>
      <c r="L765" s="23" t="s">
        <v>6</v>
      </c>
    </row>
    <row r="766" spans="1:12" ht="15.75">
      <c r="A766" s="23">
        <f t="shared" si="12"/>
        <v>765</v>
      </c>
      <c r="B766" s="21">
        <f ca="1">Master[[#This Row],[ChecklistID]]+Master[[#This Row],[Checklist Order]]</f>
        <v>86031</v>
      </c>
      <c r="C766" s="22"/>
      <c r="D766" s="3" t="str" cm="1">
        <f t="array" aca="1" ref="D766" ca="1">_xlfn.SWITCH(MID(Master[[#This Row],[Checklist]],1,4),"C - ","Civil","F - ","Foundation","ST -","Structure","FC -","Façade","PRE ","Pre-Line","POST","Post-Line","H - ","Handover","S - ","Services","CST ","Completion Docs", "I - ", "Inspection")</f>
        <v>Foundation</v>
      </c>
      <c r="E7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6" s="24" t="str">
        <f ca="1">IF(OR(Master[[#This Row],[Type]]="checklist", Master[[#This Row],[Type]]="checklist-flat"), Master[[#This Row],[Name]], F765)</f>
        <v>F - S - Piling</v>
      </c>
      <c r="G766" s="34" t="s">
        <v>124</v>
      </c>
      <c r="H766" s="34" t="s">
        <v>154</v>
      </c>
      <c r="I766" s="35"/>
      <c r="J766" s="21">
        <f ca="1">_xlfn.XLOOKUP(Master[[#This Row],[Checklist]],Ref!A:A,Ref!B:B)*1000</f>
        <v>86000</v>
      </c>
      <c r="K766" s="21">
        <f ca="1">COUNTIF($J$2:Master[[#This Row],[ChecklistID]],Master[[#This Row],[ChecklistID]])-1</f>
        <v>31</v>
      </c>
      <c r="L766" s="23" t="s">
        <v>6</v>
      </c>
    </row>
    <row r="767" spans="1:12" ht="15.75">
      <c r="A767" s="23">
        <f t="shared" si="12"/>
        <v>766</v>
      </c>
      <c r="B767" s="21">
        <f ca="1">Master[[#This Row],[ChecklistID]]+Master[[#This Row],[Checklist Order]]</f>
        <v>86032</v>
      </c>
      <c r="C767" s="22"/>
      <c r="D767" s="3" t="str" cm="1">
        <f t="array" aca="1" ref="D767" ca="1">_xlfn.SWITCH(MID(Master[[#This Row],[Checklist]],1,4),"C - ","Civil","F - ","Foundation","ST -","Structure","FC -","Façade","PRE ","Pre-Line","POST","Post-Line","H - ","Handover","S - ","Services","CST ","Completion Docs", "I - ", "Inspection")</f>
        <v>Foundation</v>
      </c>
      <c r="E7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7" s="24" t="str">
        <f ca="1">IF(OR(Master[[#This Row],[Type]]="checklist", Master[[#This Row],[Type]]="checklist-flat"), Master[[#This Row],[Name]], F766)</f>
        <v>F - S - Piling</v>
      </c>
      <c r="G767" s="34" t="s">
        <v>66</v>
      </c>
      <c r="H767" s="34" t="s">
        <v>155</v>
      </c>
      <c r="I767" s="35" t="s">
        <v>153</v>
      </c>
      <c r="J767" s="21">
        <f ca="1">_xlfn.XLOOKUP(Master[[#This Row],[Checklist]],Ref!A:A,Ref!B:B)*1000</f>
        <v>86000</v>
      </c>
      <c r="K767" s="21">
        <f ca="1">COUNTIF($J$2:Master[[#This Row],[ChecklistID]],Master[[#This Row],[ChecklistID]])-1</f>
        <v>32</v>
      </c>
      <c r="L767" s="23" t="s">
        <v>6</v>
      </c>
    </row>
    <row r="768" spans="1:12" ht="15.75">
      <c r="A768" s="23">
        <f t="shared" si="12"/>
        <v>767</v>
      </c>
      <c r="B768" s="21">
        <f ca="1">Master[[#This Row],[ChecklistID]]+Master[[#This Row],[Checklist Order]]</f>
        <v>86033</v>
      </c>
      <c r="C768" s="22"/>
      <c r="D768" s="3" t="str" cm="1">
        <f t="array" aca="1" ref="D768" ca="1">_xlfn.SWITCH(MID(Master[[#This Row],[Checklist]],1,4),"C - ","Civil","F - ","Foundation","ST -","Structure","FC -","Façade","PRE ","Pre-Line","POST","Post-Line","H - ","Handover","S - ","Services","CST ","Completion Docs", "I - ", "Inspection")</f>
        <v>Foundation</v>
      </c>
      <c r="E7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8" s="24" t="str">
        <f ca="1">IF(OR(Master[[#This Row],[Type]]="checklist", Master[[#This Row],[Type]]="checklist-flat"), Master[[#This Row],[Name]], F767)</f>
        <v>F - S - Piling</v>
      </c>
      <c r="G768" s="34" t="s">
        <v>131</v>
      </c>
      <c r="H768" s="34" t="s">
        <v>156</v>
      </c>
      <c r="I768" s="35" t="s">
        <v>157</v>
      </c>
      <c r="J768" s="21">
        <f ca="1">_xlfn.XLOOKUP(Master[[#This Row],[Checklist]],Ref!A:A,Ref!B:B)*1000</f>
        <v>86000</v>
      </c>
      <c r="K768" s="21">
        <f ca="1">COUNTIF($J$2:Master[[#This Row],[ChecklistID]],Master[[#This Row],[ChecklistID]])-1</f>
        <v>33</v>
      </c>
      <c r="L768" s="23" t="s">
        <v>6</v>
      </c>
    </row>
    <row r="769" spans="1:12" ht="15.75">
      <c r="A769" s="23">
        <f t="shared" si="12"/>
        <v>768</v>
      </c>
      <c r="B769" s="21">
        <f ca="1">Master[[#This Row],[ChecklistID]]+Master[[#This Row],[Checklist Order]]</f>
        <v>86034</v>
      </c>
      <c r="C769" s="22"/>
      <c r="D769" s="3" t="str" cm="1">
        <f t="array" aca="1" ref="D769" ca="1">_xlfn.SWITCH(MID(Master[[#This Row],[Checklist]],1,4),"C - ","Civil","F - ","Foundation","ST -","Structure","FC -","Façade","PRE ","Pre-Line","POST","Post-Line","H - ","Handover","S - ","Services","CST ","Completion Docs", "I - ", "Inspection")</f>
        <v>Foundation</v>
      </c>
      <c r="E7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69" s="24" t="str">
        <f ca="1">IF(OR(Master[[#This Row],[Type]]="checklist", Master[[#This Row],[Type]]="checklist-flat"), Master[[#This Row],[Name]], F768)</f>
        <v>F - S - Piling</v>
      </c>
      <c r="G769" s="34" t="s">
        <v>124</v>
      </c>
      <c r="H769" s="34" t="s">
        <v>158</v>
      </c>
      <c r="I769" s="35"/>
      <c r="J769" s="21">
        <f ca="1">_xlfn.XLOOKUP(Master[[#This Row],[Checklist]],Ref!A:A,Ref!B:B)*1000</f>
        <v>86000</v>
      </c>
      <c r="K769" s="21">
        <f ca="1">COUNTIF($J$2:Master[[#This Row],[ChecklistID]],Master[[#This Row],[ChecklistID]])-1</f>
        <v>34</v>
      </c>
      <c r="L769" s="23" t="s">
        <v>6</v>
      </c>
    </row>
    <row r="770" spans="1:12" ht="15.75">
      <c r="A770" s="23">
        <f t="shared" si="12"/>
        <v>769</v>
      </c>
      <c r="B770" s="21">
        <f ca="1">Master[[#This Row],[ChecklistID]]+Master[[#This Row],[Checklist Order]]</f>
        <v>86035</v>
      </c>
      <c r="C770" s="22"/>
      <c r="D770" s="3" t="str" cm="1">
        <f t="array" aca="1" ref="D770" ca="1">_xlfn.SWITCH(MID(Master[[#This Row],[Checklist]],1,4),"C - ","Civil","F - ","Foundation","ST -","Structure","FC -","Façade","PRE ","Pre-Line","POST","Post-Line","H - ","Handover","S - ","Services","CST ","Completion Docs", "I - ", "Inspection")</f>
        <v>Foundation</v>
      </c>
      <c r="E7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0" s="24" t="str">
        <f ca="1">IF(OR(Master[[#This Row],[Type]]="checklist", Master[[#This Row],[Type]]="checklist-flat"), Master[[#This Row],[Name]], F769)</f>
        <v>F - S - Piling</v>
      </c>
      <c r="G770" s="34" t="s">
        <v>49</v>
      </c>
      <c r="H770" s="34" t="s">
        <v>159</v>
      </c>
      <c r="I770" s="35"/>
      <c r="J770" s="21">
        <f ca="1">_xlfn.XLOOKUP(Master[[#This Row],[Checklist]],Ref!A:A,Ref!B:B)*1000</f>
        <v>86000</v>
      </c>
      <c r="K770" s="21">
        <f ca="1">COUNTIF($J$2:Master[[#This Row],[ChecklistID]],Master[[#This Row],[ChecklistID]])-1</f>
        <v>35</v>
      </c>
      <c r="L770" s="23" t="s">
        <v>6</v>
      </c>
    </row>
    <row r="771" spans="1:12" ht="15.75">
      <c r="A771" s="23">
        <f t="shared" si="12"/>
        <v>770</v>
      </c>
      <c r="B771" s="21">
        <f ca="1">Master[[#This Row],[ChecklistID]]+Master[[#This Row],[Checklist Order]]</f>
        <v>86036</v>
      </c>
      <c r="C771" s="22"/>
      <c r="D771" s="3" t="str" cm="1">
        <f t="array" aca="1" ref="D771" ca="1">_xlfn.SWITCH(MID(Master[[#This Row],[Checklist]],1,4),"C - ","Civil","F - ","Foundation","ST -","Structure","FC -","Façade","PRE ","Pre-Line","POST","Post-Line","H - ","Handover","S - ","Services","CST ","Completion Docs", "I - ", "Inspection")</f>
        <v>Foundation</v>
      </c>
      <c r="E7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1" s="24" t="str">
        <f ca="1">IF(OR(Master[[#This Row],[Type]]="checklist", Master[[#This Row],[Type]]="checklist-flat"), Master[[#This Row],[Name]], F770)</f>
        <v>F - S - Piling</v>
      </c>
      <c r="G771" s="34" t="s">
        <v>124</v>
      </c>
      <c r="H771" s="34" t="s">
        <v>1669</v>
      </c>
      <c r="I771" s="35"/>
      <c r="J771" s="21">
        <f ca="1">_xlfn.XLOOKUP(Master[[#This Row],[Checklist]],Ref!A:A,Ref!B:B)*1000</f>
        <v>86000</v>
      </c>
      <c r="K771" s="21">
        <f ca="1">COUNTIF($J$2:Master[[#This Row],[ChecklistID]],Master[[#This Row],[ChecklistID]])-1</f>
        <v>36</v>
      </c>
      <c r="L771" s="23" t="s">
        <v>6</v>
      </c>
    </row>
    <row r="772" spans="1:12" ht="15.75">
      <c r="A772" s="23">
        <f t="shared" si="12"/>
        <v>771</v>
      </c>
      <c r="B772" s="21">
        <f ca="1">Master[[#This Row],[ChecklistID]]+Master[[#This Row],[Checklist Order]]</f>
        <v>86037</v>
      </c>
      <c r="C772" s="22"/>
      <c r="D772" s="3" t="str" cm="1">
        <f t="array" aca="1" ref="D772" ca="1">_xlfn.SWITCH(MID(Master[[#This Row],[Checklist]],1,4),"C - ","Civil","F - ","Foundation","ST -","Structure","FC -","Façade","PRE ","Pre-Line","POST","Post-Line","H - ","Handover","S - ","Services","CST ","Completion Docs", "I - ", "Inspection")</f>
        <v>Foundation</v>
      </c>
      <c r="E7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2" s="24" t="str">
        <f ca="1">IF(OR(Master[[#This Row],[Type]]="checklist", Master[[#This Row],[Type]]="checklist-flat"), Master[[#This Row],[Name]], F771)</f>
        <v>F - S - Piling</v>
      </c>
      <c r="G772" s="34" t="s">
        <v>124</v>
      </c>
      <c r="H772" s="34" t="s">
        <v>161</v>
      </c>
      <c r="I772" s="35"/>
      <c r="J772" s="21">
        <f ca="1">_xlfn.XLOOKUP(Master[[#This Row],[Checklist]],Ref!A:A,Ref!B:B)*1000</f>
        <v>86000</v>
      </c>
      <c r="K772" s="21">
        <f ca="1">COUNTIF($J$2:Master[[#This Row],[ChecklistID]],Master[[#This Row],[ChecklistID]])-1</f>
        <v>37</v>
      </c>
      <c r="L772" s="23" t="s">
        <v>6</v>
      </c>
    </row>
    <row r="773" spans="1:12" ht="15.75">
      <c r="A773" s="23">
        <f t="shared" si="12"/>
        <v>772</v>
      </c>
      <c r="B773" s="21">
        <f ca="1">Master[[#This Row],[ChecklistID]]+Master[[#This Row],[Checklist Order]]</f>
        <v>86038</v>
      </c>
      <c r="C773" s="22"/>
      <c r="D773" s="3" t="str" cm="1">
        <f t="array" aca="1" ref="D773" ca="1">_xlfn.SWITCH(MID(Master[[#This Row],[Checklist]],1,4),"C - ","Civil","F - ","Foundation","ST -","Structure","FC -","Façade","PRE ","Pre-Line","POST","Post-Line","H - ","Handover","S - ","Services","CST ","Completion Docs", "I - ", "Inspection")</f>
        <v>Foundation</v>
      </c>
      <c r="E7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3" s="24" t="str">
        <f ca="1">IF(OR(Master[[#This Row],[Type]]="checklist", Master[[#This Row],[Type]]="checklist-flat"), Master[[#This Row],[Name]], F772)</f>
        <v>F - S - Piling</v>
      </c>
      <c r="G773" s="34" t="s">
        <v>124</v>
      </c>
      <c r="H773" s="34" t="s">
        <v>162</v>
      </c>
      <c r="I773" s="35"/>
      <c r="J773" s="21">
        <f ca="1">_xlfn.XLOOKUP(Master[[#This Row],[Checklist]],Ref!A:A,Ref!B:B)*1000</f>
        <v>86000</v>
      </c>
      <c r="K773" s="21">
        <f ca="1">COUNTIF($J$2:Master[[#This Row],[ChecklistID]],Master[[#This Row],[ChecklistID]])-1</f>
        <v>38</v>
      </c>
      <c r="L773" s="23" t="s">
        <v>6</v>
      </c>
    </row>
    <row r="774" spans="1:12" ht="15.75">
      <c r="A774" s="23">
        <f t="shared" si="12"/>
        <v>773</v>
      </c>
      <c r="B774" s="21">
        <f ca="1">Master[[#This Row],[ChecklistID]]+Master[[#This Row],[Checklist Order]]</f>
        <v>86039</v>
      </c>
      <c r="C774" s="22"/>
      <c r="D774" s="3" t="str" cm="1">
        <f t="array" aca="1" ref="D774" ca="1">_xlfn.SWITCH(MID(Master[[#This Row],[Checklist]],1,4),"C - ","Civil","F - ","Foundation","ST -","Structure","FC -","Façade","PRE ","Pre-Line","POST","Post-Line","H - ","Handover","S - ","Services","CST ","Completion Docs", "I - ", "Inspection")</f>
        <v>Foundation</v>
      </c>
      <c r="E7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4" s="24" t="str">
        <f ca="1">IF(OR(Master[[#This Row],[Type]]="checklist", Master[[#This Row],[Type]]="checklist-flat"), Master[[#This Row],[Name]], F773)</f>
        <v>F - S - Piling</v>
      </c>
      <c r="G774" s="34" t="s">
        <v>124</v>
      </c>
      <c r="H774" s="34" t="s">
        <v>163</v>
      </c>
      <c r="I774" s="35"/>
      <c r="J774" s="21">
        <f ca="1">_xlfn.XLOOKUP(Master[[#This Row],[Checklist]],Ref!A:A,Ref!B:B)*1000</f>
        <v>86000</v>
      </c>
      <c r="K774" s="21">
        <f ca="1">COUNTIF($J$2:Master[[#This Row],[ChecklistID]],Master[[#This Row],[ChecklistID]])-1</f>
        <v>39</v>
      </c>
      <c r="L774" s="23" t="s">
        <v>6</v>
      </c>
    </row>
    <row r="775" spans="1:12" ht="15.75">
      <c r="A775" s="23">
        <f t="shared" si="12"/>
        <v>774</v>
      </c>
      <c r="B775" s="21">
        <f ca="1">Master[[#This Row],[ChecklistID]]+Master[[#This Row],[Checklist Order]]</f>
        <v>86040</v>
      </c>
      <c r="C775" s="22"/>
      <c r="D775" s="3" t="str" cm="1">
        <f t="array" aca="1" ref="D775" ca="1">_xlfn.SWITCH(MID(Master[[#This Row],[Checklist]],1,4),"C - ","Civil","F - ","Foundation","ST -","Structure","FC -","Façade","PRE ","Pre-Line","POST","Post-Line","H - ","Handover","S - ","Services","CST ","Completion Docs", "I - ", "Inspection")</f>
        <v>Foundation</v>
      </c>
      <c r="E7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5" s="24" t="str">
        <f ca="1">IF(OR(Master[[#This Row],[Type]]="checklist", Master[[#This Row],[Type]]="checklist-flat"), Master[[#This Row],[Name]], F774)</f>
        <v>F - S - Piling</v>
      </c>
      <c r="G775" s="34" t="s">
        <v>124</v>
      </c>
      <c r="H775" s="34" t="s">
        <v>164</v>
      </c>
      <c r="I775" s="35"/>
      <c r="J775" s="21">
        <f ca="1">_xlfn.XLOOKUP(Master[[#This Row],[Checklist]],Ref!A:A,Ref!B:B)*1000</f>
        <v>86000</v>
      </c>
      <c r="K775" s="21">
        <f ca="1">COUNTIF($J$2:Master[[#This Row],[ChecklistID]],Master[[#This Row],[ChecklistID]])-1</f>
        <v>40</v>
      </c>
      <c r="L775" s="23" t="s">
        <v>6</v>
      </c>
    </row>
    <row r="776" spans="1:12" ht="15.75">
      <c r="A776" s="23">
        <f t="shared" si="12"/>
        <v>775</v>
      </c>
      <c r="B776" s="21">
        <f ca="1">Master[[#This Row],[ChecklistID]]+Master[[#This Row],[Checklist Order]]</f>
        <v>86041</v>
      </c>
      <c r="C776" s="22"/>
      <c r="D776" s="3" t="str" cm="1">
        <f t="array" aca="1" ref="D776" ca="1">_xlfn.SWITCH(MID(Master[[#This Row],[Checklist]],1,4),"C - ","Civil","F - ","Foundation","ST -","Structure","FC -","Façade","PRE ","Pre-Line","POST","Post-Line","H - ","Handover","S - ","Services","CST ","Completion Docs", "I - ", "Inspection")</f>
        <v>Foundation</v>
      </c>
      <c r="E7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6" s="24" t="str">
        <f ca="1">IF(OR(Master[[#This Row],[Type]]="checklist", Master[[#This Row],[Type]]="checklist-flat"), Master[[#This Row],[Name]], F775)</f>
        <v>F - S - Piling</v>
      </c>
      <c r="G776" s="34" t="s">
        <v>120</v>
      </c>
      <c r="H776" s="34" t="s">
        <v>165</v>
      </c>
      <c r="I776" s="35" t="s">
        <v>122</v>
      </c>
      <c r="J776" s="21">
        <f ca="1">_xlfn.XLOOKUP(Master[[#This Row],[Checklist]],Ref!A:A,Ref!B:B)*1000</f>
        <v>86000</v>
      </c>
      <c r="K776" s="21">
        <f ca="1">COUNTIF($J$2:Master[[#This Row],[ChecklistID]],Master[[#This Row],[ChecklistID]])-1</f>
        <v>41</v>
      </c>
      <c r="L776" s="23" t="s">
        <v>6</v>
      </c>
    </row>
    <row r="777" spans="1:12" ht="15.75">
      <c r="A777" s="23">
        <f t="shared" si="12"/>
        <v>776</v>
      </c>
      <c r="B777" s="21">
        <f ca="1">Master[[#This Row],[ChecklistID]]+Master[[#This Row],[Checklist Order]]</f>
        <v>86042</v>
      </c>
      <c r="C777" s="22"/>
      <c r="D777" s="3" t="str" cm="1">
        <f t="array" aca="1" ref="D777" ca="1">_xlfn.SWITCH(MID(Master[[#This Row],[Checklist]],1,4),"C - ","Civil","F - ","Foundation","ST -","Structure","FC -","Façade","PRE ","Pre-Line","POST","Post-Line","H - ","Handover","S - ","Services","CST ","Completion Docs", "I - ", "Inspection")</f>
        <v>Foundation</v>
      </c>
      <c r="E7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7" s="24" t="str">
        <f ca="1">IF(OR(Master[[#This Row],[Type]]="checklist", Master[[#This Row],[Type]]="checklist-flat"), Master[[#This Row],[Name]], F776)</f>
        <v>F - S - Piling</v>
      </c>
      <c r="G777" s="34" t="s">
        <v>49</v>
      </c>
      <c r="H777" s="34" t="s">
        <v>166</v>
      </c>
      <c r="I777" s="35"/>
      <c r="J777" s="21">
        <f ca="1">_xlfn.XLOOKUP(Master[[#This Row],[Checklist]],Ref!A:A,Ref!B:B)*1000</f>
        <v>86000</v>
      </c>
      <c r="K777" s="21">
        <f ca="1">COUNTIF($J$2:Master[[#This Row],[ChecklistID]],Master[[#This Row],[ChecklistID]])-1</f>
        <v>42</v>
      </c>
      <c r="L777" s="23" t="s">
        <v>6</v>
      </c>
    </row>
    <row r="778" spans="1:12" ht="15.75">
      <c r="A778" s="23">
        <f t="shared" si="12"/>
        <v>777</v>
      </c>
      <c r="B778" s="21">
        <f ca="1">Master[[#This Row],[ChecklistID]]+Master[[#This Row],[Checklist Order]]</f>
        <v>86043</v>
      </c>
      <c r="C778" s="22"/>
      <c r="D778" s="3" t="str" cm="1">
        <f t="array" aca="1" ref="D778" ca="1">_xlfn.SWITCH(MID(Master[[#This Row],[Checklist]],1,4),"C - ","Civil","F - ","Foundation","ST -","Structure","FC -","Façade","PRE ","Pre-Line","POST","Post-Line","H - ","Handover","S - ","Services","CST ","Completion Docs", "I - ", "Inspection")</f>
        <v>Foundation</v>
      </c>
      <c r="E7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8" s="24" t="str">
        <f ca="1">IF(OR(Master[[#This Row],[Type]]="checklist", Master[[#This Row],[Type]]="checklist-flat"), Master[[#This Row],[Name]], F777)</f>
        <v>F - S - Piling</v>
      </c>
      <c r="G778" s="34" t="s">
        <v>49</v>
      </c>
      <c r="H778" s="34" t="s">
        <v>167</v>
      </c>
      <c r="I778" s="35"/>
      <c r="J778" s="21">
        <f ca="1">_xlfn.XLOOKUP(Master[[#This Row],[Checklist]],Ref!A:A,Ref!B:B)*1000</f>
        <v>86000</v>
      </c>
      <c r="K778" s="21">
        <f ca="1">COUNTIF($J$2:Master[[#This Row],[ChecklistID]],Master[[#This Row],[ChecklistID]])-1</f>
        <v>43</v>
      </c>
      <c r="L778" s="23" t="s">
        <v>6</v>
      </c>
    </row>
    <row r="779" spans="1:12" ht="15.75">
      <c r="A779" s="23">
        <f t="shared" si="12"/>
        <v>778</v>
      </c>
      <c r="B779" s="21">
        <f ca="1">Master[[#This Row],[ChecklistID]]+Master[[#This Row],[Checklist Order]]</f>
        <v>86044</v>
      </c>
      <c r="C779" s="22"/>
      <c r="D779" s="3" t="str" cm="1">
        <f t="array" aca="1" ref="D779" ca="1">_xlfn.SWITCH(MID(Master[[#This Row],[Checklist]],1,4),"C - ","Civil","F - ","Foundation","ST -","Structure","FC -","Façade","PRE ","Pre-Line","POST","Post-Line","H - ","Handover","S - ","Services","CST ","Completion Docs", "I - ", "Inspection")</f>
        <v>Foundation</v>
      </c>
      <c r="E7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79" s="24" t="str">
        <f ca="1">IF(OR(Master[[#This Row],[Type]]="checklist", Master[[#This Row],[Type]]="checklist-flat"), Master[[#This Row],[Name]], F778)</f>
        <v>F - S - Piling</v>
      </c>
      <c r="G779" s="34" t="s">
        <v>49</v>
      </c>
      <c r="H779" s="34" t="s">
        <v>168</v>
      </c>
      <c r="I779" s="35"/>
      <c r="J779" s="21">
        <f ca="1">_xlfn.XLOOKUP(Master[[#This Row],[Checklist]],Ref!A:A,Ref!B:B)*1000</f>
        <v>86000</v>
      </c>
      <c r="K779" s="21">
        <f ca="1">COUNTIF($J$2:Master[[#This Row],[ChecklistID]],Master[[#This Row],[ChecklistID]])-1</f>
        <v>44</v>
      </c>
      <c r="L779" s="23" t="s">
        <v>6</v>
      </c>
    </row>
    <row r="780" spans="1:12" ht="15.75">
      <c r="A780" s="23">
        <f t="shared" si="12"/>
        <v>779</v>
      </c>
      <c r="B780" s="21">
        <f ca="1">Master[[#This Row],[ChecklistID]]+Master[[#This Row],[Checklist Order]]</f>
        <v>86045</v>
      </c>
      <c r="C780" s="22"/>
      <c r="D780" s="3" t="str" cm="1">
        <f t="array" aca="1" ref="D780" ca="1">_xlfn.SWITCH(MID(Master[[#This Row],[Checklist]],1,4),"C - ","Civil","F - ","Foundation","ST -","Structure","FC -","Façade","PRE ","Pre-Line","POST","Post-Line","H - ","Handover","S - ","Services","CST ","Completion Docs", "I - ", "Inspection")</f>
        <v>Foundation</v>
      </c>
      <c r="E7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0" s="24" t="str">
        <f ca="1">IF(OR(Master[[#This Row],[Type]]="checklist", Master[[#This Row],[Type]]="checklist-flat"), Master[[#This Row],[Name]], F779)</f>
        <v>F - S - Piling</v>
      </c>
      <c r="G780" s="34" t="s">
        <v>49</v>
      </c>
      <c r="H780" s="34" t="s">
        <v>169</v>
      </c>
      <c r="I780" s="35"/>
      <c r="J780" s="21">
        <f ca="1">_xlfn.XLOOKUP(Master[[#This Row],[Checklist]],Ref!A:A,Ref!B:B)*1000</f>
        <v>86000</v>
      </c>
      <c r="K780" s="21">
        <f ca="1">COUNTIF($J$2:Master[[#This Row],[ChecklistID]],Master[[#This Row],[ChecklistID]])-1</f>
        <v>45</v>
      </c>
      <c r="L780" s="23" t="s">
        <v>6</v>
      </c>
    </row>
    <row r="781" spans="1:12" ht="15.75">
      <c r="A781" s="23">
        <f t="shared" si="12"/>
        <v>780</v>
      </c>
      <c r="B781" s="21">
        <f ca="1">Master[[#This Row],[ChecklistID]]+Master[[#This Row],[Checklist Order]]</f>
        <v>86046</v>
      </c>
      <c r="C781" s="22"/>
      <c r="D781" s="3" t="str" cm="1">
        <f t="array" aca="1" ref="D781" ca="1">_xlfn.SWITCH(MID(Master[[#This Row],[Checklist]],1,4),"C - ","Civil","F - ","Foundation","ST -","Structure","FC -","Façade","PRE ","Pre-Line","POST","Post-Line","H - ","Handover","S - ","Services","CST ","Completion Docs", "I - ", "Inspection")</f>
        <v>Foundation</v>
      </c>
      <c r="E7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1" s="24" t="str">
        <f ca="1">IF(OR(Master[[#This Row],[Type]]="checklist", Master[[#This Row],[Type]]="checklist-flat"), Master[[#This Row],[Name]], F780)</f>
        <v>F - S - Piling</v>
      </c>
      <c r="G781" s="34" t="s">
        <v>124</v>
      </c>
      <c r="H781" s="34" t="s">
        <v>170</v>
      </c>
      <c r="I781" s="35"/>
      <c r="J781" s="21">
        <f ca="1">_xlfn.XLOOKUP(Master[[#This Row],[Checklist]],Ref!A:A,Ref!B:B)*1000</f>
        <v>86000</v>
      </c>
      <c r="K781" s="21">
        <f ca="1">COUNTIF($J$2:Master[[#This Row],[ChecklistID]],Master[[#This Row],[ChecklistID]])-1</f>
        <v>46</v>
      </c>
      <c r="L781" s="23" t="s">
        <v>6</v>
      </c>
    </row>
    <row r="782" spans="1:12" ht="15.75">
      <c r="A782" s="23">
        <f t="shared" si="12"/>
        <v>781</v>
      </c>
      <c r="B782" s="21">
        <f ca="1">Master[[#This Row],[ChecklistID]]+Master[[#This Row],[Checklist Order]]</f>
        <v>86047</v>
      </c>
      <c r="C782" s="22"/>
      <c r="D782" s="3" t="str" cm="1">
        <f t="array" aca="1" ref="D782" ca="1">_xlfn.SWITCH(MID(Master[[#This Row],[Checklist]],1,4),"C - ","Civil","F - ","Foundation","ST -","Structure","FC -","Façade","PRE ","Pre-Line","POST","Post-Line","H - ","Handover","S - ","Services","CST ","Completion Docs", "I - ", "Inspection")</f>
        <v>Foundation</v>
      </c>
      <c r="E7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2" s="24" t="str">
        <f ca="1">IF(OR(Master[[#This Row],[Type]]="checklist", Master[[#This Row],[Type]]="checklist-flat"), Master[[#This Row],[Name]], F781)</f>
        <v>F - S - Piling</v>
      </c>
      <c r="G782" s="34" t="s">
        <v>49</v>
      </c>
      <c r="H782" s="34" t="s">
        <v>171</v>
      </c>
      <c r="I782" s="35"/>
      <c r="J782" s="21">
        <f ca="1">_xlfn.XLOOKUP(Master[[#This Row],[Checklist]],Ref!A:A,Ref!B:B)*1000</f>
        <v>86000</v>
      </c>
      <c r="K782" s="21">
        <f ca="1">COUNTIF($J$2:Master[[#This Row],[ChecklistID]],Master[[#This Row],[ChecklistID]])-1</f>
        <v>47</v>
      </c>
      <c r="L782" s="23" t="s">
        <v>6</v>
      </c>
    </row>
    <row r="783" spans="1:12" ht="15.75">
      <c r="A783" s="23">
        <f t="shared" si="12"/>
        <v>782</v>
      </c>
      <c r="B783" s="21">
        <f ca="1">Master[[#This Row],[ChecklistID]]+Master[[#This Row],[Checklist Order]]</f>
        <v>86048</v>
      </c>
      <c r="C783" s="22"/>
      <c r="D783" s="3" t="str" cm="1">
        <f t="array" aca="1" ref="D783" ca="1">_xlfn.SWITCH(MID(Master[[#This Row],[Checklist]],1,4),"C - ","Civil","F - ","Foundation","ST -","Structure","FC -","Façade","PRE ","Pre-Line","POST","Post-Line","H - ","Handover","S - ","Services","CST ","Completion Docs", "I - ", "Inspection")</f>
        <v>Foundation</v>
      </c>
      <c r="E7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3" s="24" t="str">
        <f ca="1">IF(OR(Master[[#This Row],[Type]]="checklist", Master[[#This Row],[Type]]="checklist-flat"), Master[[#This Row],[Name]], F782)</f>
        <v>F - S - Piling</v>
      </c>
      <c r="G783" s="34" t="s">
        <v>58</v>
      </c>
      <c r="H783" s="34" t="s">
        <v>172</v>
      </c>
      <c r="I783" s="35"/>
      <c r="J783" s="21">
        <f ca="1">_xlfn.XLOOKUP(Master[[#This Row],[Checklist]],Ref!A:A,Ref!B:B)*1000</f>
        <v>86000</v>
      </c>
      <c r="K783" s="21">
        <f ca="1">COUNTIF($J$2:Master[[#This Row],[ChecklistID]],Master[[#This Row],[ChecklistID]])-1</f>
        <v>48</v>
      </c>
      <c r="L783" s="23" t="s">
        <v>6</v>
      </c>
    </row>
    <row r="784" spans="1:12" ht="15.75">
      <c r="A784" s="23">
        <f t="shared" si="12"/>
        <v>783</v>
      </c>
      <c r="B784" s="21">
        <f ca="1">Master[[#This Row],[ChecklistID]]+Master[[#This Row],[Checklist Order]]</f>
        <v>86049</v>
      </c>
      <c r="C784" s="22"/>
      <c r="D784" s="3" t="str" cm="1">
        <f t="array" aca="1" ref="D784" ca="1">_xlfn.SWITCH(MID(Master[[#This Row],[Checklist]],1,4),"C - ","Civil","F - ","Foundation","ST -","Structure","FC -","Façade","PRE ","Pre-Line","POST","Post-Line","H - ","Handover","S - ","Services","CST ","Completion Docs", "I - ", "Inspection")</f>
        <v>Foundation</v>
      </c>
      <c r="E7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4" s="24" t="str">
        <f ca="1">IF(OR(Master[[#This Row],[Type]]="checklist", Master[[#This Row],[Type]]="checklist-flat"), Master[[#This Row],[Name]], F783)</f>
        <v>F - S - Piling</v>
      </c>
      <c r="G784" s="34" t="s">
        <v>120</v>
      </c>
      <c r="H784" s="34" t="s">
        <v>173</v>
      </c>
      <c r="I784" s="35" t="s">
        <v>122</v>
      </c>
      <c r="J784" s="21">
        <f ca="1">_xlfn.XLOOKUP(Master[[#This Row],[Checklist]],Ref!A:A,Ref!B:B)*1000</f>
        <v>86000</v>
      </c>
      <c r="K784" s="21">
        <f ca="1">COUNTIF($J$2:Master[[#This Row],[ChecklistID]],Master[[#This Row],[ChecklistID]])-1</f>
        <v>49</v>
      </c>
      <c r="L784" s="23" t="s">
        <v>6</v>
      </c>
    </row>
    <row r="785" spans="1:12" ht="15.75">
      <c r="A785" s="23">
        <f t="shared" si="12"/>
        <v>784</v>
      </c>
      <c r="B785" s="21">
        <f ca="1">Master[[#This Row],[ChecklistID]]+Master[[#This Row],[Checklist Order]]</f>
        <v>86050</v>
      </c>
      <c r="C785" s="22"/>
      <c r="D785" s="3" t="str" cm="1">
        <f t="array" aca="1" ref="D785" ca="1">_xlfn.SWITCH(MID(Master[[#This Row],[Checklist]],1,4),"C - ","Civil","F - ","Foundation","ST -","Structure","FC -","Façade","PRE ","Pre-Line","POST","Post-Line","H - ","Handover","S - ","Services","CST ","Completion Docs", "I - ", "Inspection")</f>
        <v>Foundation</v>
      </c>
      <c r="E7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5" s="24" t="str">
        <f ca="1">IF(OR(Master[[#This Row],[Type]]="checklist", Master[[#This Row],[Type]]="checklist-flat"), Master[[#This Row],[Name]], F784)</f>
        <v>F - S - Piling</v>
      </c>
      <c r="G785" s="34" t="s">
        <v>49</v>
      </c>
      <c r="H785" s="34" t="s">
        <v>174</v>
      </c>
      <c r="I785" s="35"/>
      <c r="J785" s="21">
        <f ca="1">_xlfn.XLOOKUP(Master[[#This Row],[Checklist]],Ref!A:A,Ref!B:B)*1000</f>
        <v>86000</v>
      </c>
      <c r="K785" s="21">
        <f ca="1">COUNTIF($J$2:Master[[#This Row],[ChecklistID]],Master[[#This Row],[ChecklistID]])-1</f>
        <v>50</v>
      </c>
      <c r="L785" s="23" t="s">
        <v>6</v>
      </c>
    </row>
    <row r="786" spans="1:12" ht="15.75">
      <c r="A786" s="23">
        <f t="shared" si="12"/>
        <v>785</v>
      </c>
      <c r="B786" s="21">
        <f ca="1">Master[[#This Row],[ChecklistID]]+Master[[#This Row],[Checklist Order]]</f>
        <v>86051</v>
      </c>
      <c r="C786" s="22"/>
      <c r="D786" s="3" t="str" cm="1">
        <f t="array" aca="1" ref="D786" ca="1">_xlfn.SWITCH(MID(Master[[#This Row],[Checklist]],1,4),"C - ","Civil","F - ","Foundation","ST -","Structure","FC -","Façade","PRE ","Pre-Line","POST","Post-Line","H - ","Handover","S - ","Services","CST ","Completion Docs", "I - ", "Inspection")</f>
        <v>Foundation</v>
      </c>
      <c r="E7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6" s="24" t="str">
        <f ca="1">IF(OR(Master[[#This Row],[Type]]="checklist", Master[[#This Row],[Type]]="checklist-flat"), Master[[#This Row],[Name]], F785)</f>
        <v>F - S - Piling</v>
      </c>
      <c r="G786" s="34" t="s">
        <v>124</v>
      </c>
      <c r="H786" s="34" t="s">
        <v>175</v>
      </c>
      <c r="I786" s="35"/>
      <c r="J786" s="21">
        <f ca="1">_xlfn.XLOOKUP(Master[[#This Row],[Checklist]],Ref!A:A,Ref!B:B)*1000</f>
        <v>86000</v>
      </c>
      <c r="K786" s="21">
        <f ca="1">COUNTIF($J$2:Master[[#This Row],[ChecklistID]],Master[[#This Row],[ChecklistID]])-1</f>
        <v>51</v>
      </c>
      <c r="L786" s="23" t="s">
        <v>6</v>
      </c>
    </row>
    <row r="787" spans="1:12" ht="15.75">
      <c r="A787" s="23">
        <f t="shared" si="12"/>
        <v>786</v>
      </c>
      <c r="B787" s="21">
        <f ca="1">Master[[#This Row],[ChecklistID]]+Master[[#This Row],[Checklist Order]]</f>
        <v>86052</v>
      </c>
      <c r="C787" s="22"/>
      <c r="D787" s="3" t="str" cm="1">
        <f t="array" aca="1" ref="D787" ca="1">_xlfn.SWITCH(MID(Master[[#This Row],[Checklist]],1,4),"C - ","Civil","F - ","Foundation","ST -","Structure","FC -","Façade","PRE ","Pre-Line","POST","Post-Line","H - ","Handover","S - ","Services","CST ","Completion Docs", "I - ", "Inspection")</f>
        <v>Foundation</v>
      </c>
      <c r="E7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7" s="24" t="str">
        <f ca="1">IF(OR(Master[[#This Row],[Type]]="checklist", Master[[#This Row],[Type]]="checklist-flat"), Master[[#This Row],[Name]], F786)</f>
        <v>F - S - Piling</v>
      </c>
      <c r="G787" s="34" t="s">
        <v>124</v>
      </c>
      <c r="H787" s="34" t="s">
        <v>176</v>
      </c>
      <c r="I787" s="35"/>
      <c r="J787" s="21">
        <f ca="1">_xlfn.XLOOKUP(Master[[#This Row],[Checklist]],Ref!A:A,Ref!B:B)*1000</f>
        <v>86000</v>
      </c>
      <c r="K787" s="21">
        <f ca="1">COUNTIF($J$2:Master[[#This Row],[ChecklistID]],Master[[#This Row],[ChecklistID]])-1</f>
        <v>52</v>
      </c>
      <c r="L787" s="23" t="s">
        <v>6</v>
      </c>
    </row>
    <row r="788" spans="1:12" ht="15.75">
      <c r="A788" s="23">
        <f t="shared" si="12"/>
        <v>787</v>
      </c>
      <c r="B788" s="21">
        <f ca="1">Master[[#This Row],[ChecklistID]]+Master[[#This Row],[Checklist Order]]</f>
        <v>86053</v>
      </c>
      <c r="C788" s="22"/>
      <c r="D788" s="3" t="str" cm="1">
        <f t="array" aca="1" ref="D788" ca="1">_xlfn.SWITCH(MID(Master[[#This Row],[Checklist]],1,4),"C - ","Civil","F - ","Foundation","ST -","Structure","FC -","Façade","PRE ","Pre-Line","POST","Post-Line","H - ","Handover","S - ","Services","CST ","Completion Docs", "I - ", "Inspection")</f>
        <v>Foundation</v>
      </c>
      <c r="E7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8" s="24" t="str">
        <f ca="1">IF(OR(Master[[#This Row],[Type]]="checklist", Master[[#This Row],[Type]]="checklist-flat"), Master[[#This Row],[Name]], F787)</f>
        <v>F - S - Piling</v>
      </c>
      <c r="G788" s="34" t="s">
        <v>124</v>
      </c>
      <c r="H788" s="34" t="s">
        <v>177</v>
      </c>
      <c r="I788" s="35"/>
      <c r="J788" s="21">
        <f ca="1">_xlfn.XLOOKUP(Master[[#This Row],[Checklist]],Ref!A:A,Ref!B:B)*1000</f>
        <v>86000</v>
      </c>
      <c r="K788" s="21">
        <f ca="1">COUNTIF($J$2:Master[[#This Row],[ChecklistID]],Master[[#This Row],[ChecklistID]])-1</f>
        <v>53</v>
      </c>
      <c r="L788" s="23" t="s">
        <v>6</v>
      </c>
    </row>
    <row r="789" spans="1:12" ht="15.75">
      <c r="A789" s="23">
        <f t="shared" si="12"/>
        <v>788</v>
      </c>
      <c r="B789" s="21">
        <f ca="1">Master[[#This Row],[ChecklistID]]+Master[[#This Row],[Checklist Order]]</f>
        <v>86054</v>
      </c>
      <c r="C789" s="22"/>
      <c r="D789" s="3" t="str" cm="1">
        <f t="array" aca="1" ref="D789" ca="1">_xlfn.SWITCH(MID(Master[[#This Row],[Checklist]],1,4),"C - ","Civil","F - ","Foundation","ST -","Structure","FC -","Façade","PRE ","Pre-Line","POST","Post-Line","H - ","Handover","S - ","Services","CST ","Completion Docs", "I - ", "Inspection")</f>
        <v>Foundation</v>
      </c>
      <c r="E7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89" s="24" t="str">
        <f ca="1">IF(OR(Master[[#This Row],[Type]]="checklist", Master[[#This Row],[Type]]="checklist-flat"), Master[[#This Row],[Name]], F788)</f>
        <v>F - S - Piling</v>
      </c>
      <c r="G789" s="34" t="s">
        <v>124</v>
      </c>
      <c r="H789" s="34" t="s">
        <v>178</v>
      </c>
      <c r="I789" s="35"/>
      <c r="J789" s="21">
        <f ca="1">_xlfn.XLOOKUP(Master[[#This Row],[Checklist]],Ref!A:A,Ref!B:B)*1000</f>
        <v>86000</v>
      </c>
      <c r="K789" s="21">
        <f ca="1">COUNTIF($J$2:Master[[#This Row],[ChecklistID]],Master[[#This Row],[ChecklistID]])-1</f>
        <v>54</v>
      </c>
      <c r="L789" s="23" t="s">
        <v>6</v>
      </c>
    </row>
    <row r="790" spans="1:12" ht="15.75">
      <c r="A790" s="23">
        <f t="shared" si="12"/>
        <v>789</v>
      </c>
      <c r="B790" s="21">
        <f ca="1">Master[[#This Row],[ChecklistID]]+Master[[#This Row],[Checklist Order]]</f>
        <v>86055</v>
      </c>
      <c r="C790" s="22"/>
      <c r="D790" s="3" t="str" cm="1">
        <f t="array" aca="1" ref="D790" ca="1">_xlfn.SWITCH(MID(Master[[#This Row],[Checklist]],1,4),"C - ","Civil","F - ","Foundation","ST -","Structure","FC -","Façade","PRE ","Pre-Line","POST","Post-Line","H - ","Handover","S - ","Services","CST ","Completion Docs", "I - ", "Inspection")</f>
        <v>Foundation</v>
      </c>
      <c r="E7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0" s="24" t="str">
        <f ca="1">IF(OR(Master[[#This Row],[Type]]="checklist", Master[[#This Row],[Type]]="checklist-flat"), Master[[#This Row],[Name]], F789)</f>
        <v>F - S - Piling</v>
      </c>
      <c r="G790" s="34" t="s">
        <v>124</v>
      </c>
      <c r="H790" s="34" t="s">
        <v>179</v>
      </c>
      <c r="I790" s="35"/>
      <c r="J790" s="21">
        <f ca="1">_xlfn.XLOOKUP(Master[[#This Row],[Checklist]],Ref!A:A,Ref!B:B)*1000</f>
        <v>86000</v>
      </c>
      <c r="K790" s="21">
        <f ca="1">COUNTIF($J$2:Master[[#This Row],[ChecklistID]],Master[[#This Row],[ChecklistID]])-1</f>
        <v>55</v>
      </c>
      <c r="L790" s="23" t="s">
        <v>6</v>
      </c>
    </row>
    <row r="791" spans="1:12" ht="15.75">
      <c r="A791" s="23">
        <f t="shared" si="12"/>
        <v>790</v>
      </c>
      <c r="B791" s="21">
        <f ca="1">Master[[#This Row],[ChecklistID]]+Master[[#This Row],[Checklist Order]]</f>
        <v>86056</v>
      </c>
      <c r="C791" s="22"/>
      <c r="D791" s="3" t="str" cm="1">
        <f t="array" aca="1" ref="D791" ca="1">_xlfn.SWITCH(MID(Master[[#This Row],[Checklist]],1,4),"C - ","Civil","F - ","Foundation","ST -","Structure","FC -","Façade","PRE ","Pre-Line","POST","Post-Line","H - ","Handover","S - ","Services","CST ","Completion Docs", "I - ", "Inspection")</f>
        <v>Foundation</v>
      </c>
      <c r="E7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1" s="24" t="str">
        <f ca="1">IF(OR(Master[[#This Row],[Type]]="checklist", Master[[#This Row],[Type]]="checklist-flat"), Master[[#This Row],[Name]], F790)</f>
        <v>F - S - Piling</v>
      </c>
      <c r="G791" s="34" t="s">
        <v>124</v>
      </c>
      <c r="H791" s="34" t="s">
        <v>180</v>
      </c>
      <c r="I791" s="35"/>
      <c r="J791" s="21">
        <f ca="1">_xlfn.XLOOKUP(Master[[#This Row],[Checklist]],Ref!A:A,Ref!B:B)*1000</f>
        <v>86000</v>
      </c>
      <c r="K791" s="21">
        <f ca="1">COUNTIF($J$2:Master[[#This Row],[ChecklistID]],Master[[#This Row],[ChecklistID]])-1</f>
        <v>56</v>
      </c>
      <c r="L791" s="23" t="s">
        <v>6</v>
      </c>
    </row>
    <row r="792" spans="1:12" ht="15.75">
      <c r="A792" s="23">
        <f t="shared" si="12"/>
        <v>791</v>
      </c>
      <c r="B792" s="21">
        <f ca="1">Master[[#This Row],[ChecklistID]]+Master[[#This Row],[Checklist Order]]</f>
        <v>86057</v>
      </c>
      <c r="C792" s="22"/>
      <c r="D792" s="3" t="str" cm="1">
        <f t="array" aca="1" ref="D792" ca="1">_xlfn.SWITCH(MID(Master[[#This Row],[Checklist]],1,4),"C - ","Civil","F - ","Foundation","ST -","Structure","FC -","Façade","PRE ","Pre-Line","POST","Post-Line","H - ","Handover","S - ","Services","CST ","Completion Docs", "I - ", "Inspection")</f>
        <v>Foundation</v>
      </c>
      <c r="E7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2" s="24" t="str">
        <f ca="1">IF(OR(Master[[#This Row],[Type]]="checklist", Master[[#This Row],[Type]]="checklist-flat"), Master[[#This Row],[Name]], F791)</f>
        <v>F - S - Piling</v>
      </c>
      <c r="G792" s="34" t="s">
        <v>66</v>
      </c>
      <c r="H792" s="34" t="s">
        <v>181</v>
      </c>
      <c r="I792" s="35"/>
      <c r="J792" s="21">
        <f ca="1">_xlfn.XLOOKUP(Master[[#This Row],[Checklist]],Ref!A:A,Ref!B:B)*1000</f>
        <v>86000</v>
      </c>
      <c r="K792" s="21">
        <f ca="1">COUNTIF($J$2:Master[[#This Row],[ChecklistID]],Master[[#This Row],[ChecklistID]])-1</f>
        <v>57</v>
      </c>
      <c r="L792" s="23" t="s">
        <v>6</v>
      </c>
    </row>
    <row r="793" spans="1:12" ht="15.75">
      <c r="A793" s="23">
        <f t="shared" si="12"/>
        <v>792</v>
      </c>
      <c r="B793" s="21">
        <f ca="1">Master[[#This Row],[ChecklistID]]+Master[[#This Row],[Checklist Order]]</f>
        <v>86058</v>
      </c>
      <c r="C793" s="22"/>
      <c r="D793" s="3" t="str" cm="1">
        <f t="array" aca="1" ref="D793" ca="1">_xlfn.SWITCH(MID(Master[[#This Row],[Checklist]],1,4),"C - ","Civil","F - ","Foundation","ST -","Structure","FC -","Façade","PRE ","Pre-Line","POST","Post-Line","H - ","Handover","S - ","Services","CST ","Completion Docs", "I - ", "Inspection")</f>
        <v>Foundation</v>
      </c>
      <c r="E7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3" s="24" t="str">
        <f ca="1">IF(OR(Master[[#This Row],[Type]]="checklist", Master[[#This Row],[Type]]="checklist-flat"), Master[[#This Row],[Name]], F792)</f>
        <v>F - S - Piling</v>
      </c>
      <c r="G793" s="34" t="s">
        <v>120</v>
      </c>
      <c r="H793" s="34" t="s">
        <v>182</v>
      </c>
      <c r="I793" s="35" t="s">
        <v>122</v>
      </c>
      <c r="J793" s="21">
        <f ca="1">_xlfn.XLOOKUP(Master[[#This Row],[Checklist]],Ref!A:A,Ref!B:B)*1000</f>
        <v>86000</v>
      </c>
      <c r="K793" s="21">
        <f ca="1">COUNTIF($J$2:Master[[#This Row],[ChecklistID]],Master[[#This Row],[ChecklistID]])-1</f>
        <v>58</v>
      </c>
      <c r="L793" s="23" t="s">
        <v>6</v>
      </c>
    </row>
    <row r="794" spans="1:12" ht="15.75">
      <c r="A794" s="23">
        <f t="shared" si="12"/>
        <v>793</v>
      </c>
      <c r="B794" s="21">
        <f ca="1">Master[[#This Row],[ChecklistID]]+Master[[#This Row],[Checklist Order]]</f>
        <v>86059</v>
      </c>
      <c r="C794" s="22"/>
      <c r="D794" s="3" t="str" cm="1">
        <f t="array" aca="1" ref="D794" ca="1">_xlfn.SWITCH(MID(Master[[#This Row],[Checklist]],1,4),"C - ","Civil","F - ","Foundation","ST -","Structure","FC -","Façade","PRE ","Pre-Line","POST","Post-Line","H - ","Handover","S - ","Services","CST ","Completion Docs", "I - ", "Inspection")</f>
        <v>Foundation</v>
      </c>
      <c r="E7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4" s="24" t="str">
        <f ca="1">IF(OR(Master[[#This Row],[Type]]="checklist", Master[[#This Row],[Type]]="checklist-flat"), Master[[#This Row],[Name]], F793)</f>
        <v>F - S - Piling</v>
      </c>
      <c r="G794" s="34" t="s">
        <v>49</v>
      </c>
      <c r="H794" s="34" t="s">
        <v>183</v>
      </c>
      <c r="I794" s="35"/>
      <c r="J794" s="21">
        <f ca="1">_xlfn.XLOOKUP(Master[[#This Row],[Checklist]],Ref!A:A,Ref!B:B)*1000</f>
        <v>86000</v>
      </c>
      <c r="K794" s="21">
        <f ca="1">COUNTIF($J$2:Master[[#This Row],[ChecklistID]],Master[[#This Row],[ChecklistID]])-1</f>
        <v>59</v>
      </c>
      <c r="L794" s="23" t="s">
        <v>6</v>
      </c>
    </row>
    <row r="795" spans="1:12" ht="15.75">
      <c r="A795" s="23">
        <f t="shared" si="12"/>
        <v>794</v>
      </c>
      <c r="B795" s="21">
        <f ca="1">Master[[#This Row],[ChecklistID]]+Master[[#This Row],[Checklist Order]]</f>
        <v>86060</v>
      </c>
      <c r="C795" s="22"/>
      <c r="D795" s="3" t="str" cm="1">
        <f t="array" aca="1" ref="D795" ca="1">_xlfn.SWITCH(MID(Master[[#This Row],[Checklist]],1,4),"C - ","Civil","F - ","Foundation","ST -","Structure","FC -","Façade","PRE ","Pre-Line","POST","Post-Line","H - ","Handover","S - ","Services","CST ","Completion Docs", "I - ", "Inspection")</f>
        <v>Foundation</v>
      </c>
      <c r="E7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5" s="24" t="str">
        <f ca="1">IF(OR(Master[[#This Row],[Type]]="checklist", Master[[#This Row],[Type]]="checklist-flat"), Master[[#This Row],[Name]], F794)</f>
        <v>F - S - Piling</v>
      </c>
      <c r="G795" s="34" t="s">
        <v>124</v>
      </c>
      <c r="H795" s="34" t="s">
        <v>184</v>
      </c>
      <c r="I795" s="35"/>
      <c r="J795" s="21">
        <f ca="1">_xlfn.XLOOKUP(Master[[#This Row],[Checklist]],Ref!A:A,Ref!B:B)*1000</f>
        <v>86000</v>
      </c>
      <c r="K795" s="21">
        <f ca="1">COUNTIF($J$2:Master[[#This Row],[ChecklistID]],Master[[#This Row],[ChecklistID]])-1</f>
        <v>60</v>
      </c>
      <c r="L795" s="23" t="s">
        <v>6</v>
      </c>
    </row>
    <row r="796" spans="1:12" ht="15.75">
      <c r="A796" s="23">
        <f t="shared" si="12"/>
        <v>795</v>
      </c>
      <c r="B796" s="21">
        <f ca="1">Master[[#This Row],[ChecklistID]]+Master[[#This Row],[Checklist Order]]</f>
        <v>86061</v>
      </c>
      <c r="C796" s="22"/>
      <c r="D796" s="3" t="str" cm="1">
        <f t="array" aca="1" ref="D796" ca="1">_xlfn.SWITCH(MID(Master[[#This Row],[Checklist]],1,4),"C - ","Civil","F - ","Foundation","ST -","Structure","FC -","Façade","PRE ","Pre-Line","POST","Post-Line","H - ","Handover","S - ","Services","CST ","Completion Docs", "I - ", "Inspection")</f>
        <v>Foundation</v>
      </c>
      <c r="E7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6" s="24" t="str">
        <f ca="1">IF(OR(Master[[#This Row],[Type]]="checklist", Master[[#This Row],[Type]]="checklist-flat"), Master[[#This Row],[Name]], F795)</f>
        <v>F - S - Piling</v>
      </c>
      <c r="G796" s="34" t="s">
        <v>124</v>
      </c>
      <c r="H796" s="34" t="s">
        <v>185</v>
      </c>
      <c r="I796" s="35"/>
      <c r="J796" s="21">
        <f ca="1">_xlfn.XLOOKUP(Master[[#This Row],[Checklist]],Ref!A:A,Ref!B:B)*1000</f>
        <v>86000</v>
      </c>
      <c r="K796" s="21">
        <f ca="1">COUNTIF($J$2:Master[[#This Row],[ChecklistID]],Master[[#This Row],[ChecklistID]])-1</f>
        <v>61</v>
      </c>
      <c r="L796" s="23" t="s">
        <v>6</v>
      </c>
    </row>
    <row r="797" spans="1:12" ht="15.75">
      <c r="A797" s="23">
        <f t="shared" si="12"/>
        <v>796</v>
      </c>
      <c r="B797" s="21">
        <f ca="1">Master[[#This Row],[ChecklistID]]+Master[[#This Row],[Checklist Order]]</f>
        <v>86062</v>
      </c>
      <c r="C797" s="22"/>
      <c r="D797" s="3" t="str" cm="1">
        <f t="array" aca="1" ref="D797" ca="1">_xlfn.SWITCH(MID(Master[[#This Row],[Checklist]],1,4),"C - ","Civil","F - ","Foundation","ST -","Structure","FC -","Façade","PRE ","Pre-Line","POST","Post-Line","H - ","Handover","S - ","Services","CST ","Completion Docs", "I - ", "Inspection")</f>
        <v>Foundation</v>
      </c>
      <c r="E7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7" s="24" t="str">
        <f ca="1">IF(OR(Master[[#This Row],[Type]]="checklist", Master[[#This Row],[Type]]="checklist-flat"), Master[[#This Row],[Name]], F796)</f>
        <v>F - S - Piling</v>
      </c>
      <c r="G797" s="34" t="s">
        <v>124</v>
      </c>
      <c r="H797" s="34" t="s">
        <v>186</v>
      </c>
      <c r="I797" s="35"/>
      <c r="J797" s="21">
        <f ca="1">_xlfn.XLOOKUP(Master[[#This Row],[Checklist]],Ref!A:A,Ref!B:B)*1000</f>
        <v>86000</v>
      </c>
      <c r="K797" s="21">
        <f ca="1">COUNTIF($J$2:Master[[#This Row],[ChecklistID]],Master[[#This Row],[ChecklistID]])-1</f>
        <v>62</v>
      </c>
      <c r="L797" s="23" t="s">
        <v>6</v>
      </c>
    </row>
    <row r="798" spans="1:12" ht="15.75">
      <c r="A798" s="23">
        <f t="shared" si="12"/>
        <v>797</v>
      </c>
      <c r="B798" s="21">
        <f ca="1">Master[[#This Row],[ChecklistID]]+Master[[#This Row],[Checklist Order]]</f>
        <v>86063</v>
      </c>
      <c r="C798" s="22"/>
      <c r="D798" s="3" t="str" cm="1">
        <f t="array" aca="1" ref="D798" ca="1">_xlfn.SWITCH(MID(Master[[#This Row],[Checklist]],1,4),"C - ","Civil","F - ","Foundation","ST -","Structure","FC -","Façade","PRE ","Pre-Line","POST","Post-Line","H - ","Handover","S - ","Services","CST ","Completion Docs", "I - ", "Inspection")</f>
        <v>Foundation</v>
      </c>
      <c r="E7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8" s="24" t="str">
        <f ca="1">IF(OR(Master[[#This Row],[Type]]="checklist", Master[[#This Row],[Type]]="checklist-flat"), Master[[#This Row],[Name]], F797)</f>
        <v>F - S - Piling</v>
      </c>
      <c r="G798" s="34" t="s">
        <v>124</v>
      </c>
      <c r="H798" s="34" t="s">
        <v>187</v>
      </c>
      <c r="I798" s="35"/>
      <c r="J798" s="21">
        <f ca="1">_xlfn.XLOOKUP(Master[[#This Row],[Checklist]],Ref!A:A,Ref!B:B)*1000</f>
        <v>86000</v>
      </c>
      <c r="K798" s="21">
        <f ca="1">COUNTIF($J$2:Master[[#This Row],[ChecklistID]],Master[[#This Row],[ChecklistID]])-1</f>
        <v>63</v>
      </c>
      <c r="L798" s="23" t="s">
        <v>6</v>
      </c>
    </row>
    <row r="799" spans="1:12" ht="15.75">
      <c r="A799" s="23">
        <f t="shared" si="12"/>
        <v>798</v>
      </c>
      <c r="B799" s="21">
        <f ca="1">Master[[#This Row],[ChecklistID]]+Master[[#This Row],[Checklist Order]]</f>
        <v>86064</v>
      </c>
      <c r="C799" s="22"/>
      <c r="D799" s="3" t="str" cm="1">
        <f t="array" aca="1" ref="D799" ca="1">_xlfn.SWITCH(MID(Master[[#This Row],[Checklist]],1,4),"C - ","Civil","F - ","Foundation","ST -","Structure","FC -","Façade","PRE ","Pre-Line","POST","Post-Line","H - ","Handover","S - ","Services","CST ","Completion Docs", "I - ", "Inspection")</f>
        <v>Foundation</v>
      </c>
      <c r="E7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799" s="24" t="str">
        <f ca="1">IF(OR(Master[[#This Row],[Type]]="checklist", Master[[#This Row],[Type]]="checklist-flat"), Master[[#This Row],[Name]], F798)</f>
        <v>F - S - Piling</v>
      </c>
      <c r="G799" s="34" t="s">
        <v>131</v>
      </c>
      <c r="H799" s="34" t="s">
        <v>188</v>
      </c>
      <c r="I799" s="35" t="s">
        <v>189</v>
      </c>
      <c r="J799" s="21">
        <f ca="1">_xlfn.XLOOKUP(Master[[#This Row],[Checklist]],Ref!A:A,Ref!B:B)*1000</f>
        <v>86000</v>
      </c>
      <c r="K799" s="21">
        <f ca="1">COUNTIF($J$2:Master[[#This Row],[ChecklistID]],Master[[#This Row],[ChecklistID]])-1</f>
        <v>64</v>
      </c>
      <c r="L799" s="23" t="s">
        <v>6</v>
      </c>
    </row>
    <row r="800" spans="1:12" ht="15.75">
      <c r="A800" s="23">
        <f t="shared" si="12"/>
        <v>799</v>
      </c>
      <c r="B800" s="21">
        <f ca="1">Master[[#This Row],[ChecklistID]]+Master[[#This Row],[Checklist Order]]</f>
        <v>86065</v>
      </c>
      <c r="C800" s="22"/>
      <c r="D800" s="3" t="str" cm="1">
        <f t="array" aca="1" ref="D800" ca="1">_xlfn.SWITCH(MID(Master[[#This Row],[Checklist]],1,4),"C - ","Civil","F - ","Foundation","ST -","Structure","FC -","Façade","PRE ","Pre-Line","POST","Post-Line","H - ","Handover","S - ","Services","CST ","Completion Docs", "I - ", "Inspection")</f>
        <v>Foundation</v>
      </c>
      <c r="E8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0" s="24" t="str">
        <f ca="1">IF(OR(Master[[#This Row],[Type]]="checklist", Master[[#This Row],[Type]]="checklist-flat"), Master[[#This Row],[Name]], F799)</f>
        <v>F - S - Piling</v>
      </c>
      <c r="G800" s="34" t="s">
        <v>124</v>
      </c>
      <c r="H800" s="34" t="s">
        <v>190</v>
      </c>
      <c r="I800" s="35"/>
      <c r="J800" s="21">
        <f ca="1">_xlfn.XLOOKUP(Master[[#This Row],[Checklist]],Ref!A:A,Ref!B:B)*1000</f>
        <v>86000</v>
      </c>
      <c r="K800" s="21">
        <f ca="1">COUNTIF($J$2:Master[[#This Row],[ChecklistID]],Master[[#This Row],[ChecklistID]])-1</f>
        <v>65</v>
      </c>
      <c r="L800" s="23" t="s">
        <v>6</v>
      </c>
    </row>
    <row r="801" spans="1:12" ht="15.75">
      <c r="A801" s="23">
        <f t="shared" si="12"/>
        <v>800</v>
      </c>
      <c r="B801" s="21">
        <f ca="1">Master[[#This Row],[ChecklistID]]+Master[[#This Row],[Checklist Order]]</f>
        <v>86066</v>
      </c>
      <c r="C801" s="22"/>
      <c r="D801" s="3" t="str" cm="1">
        <f t="array" aca="1" ref="D801" ca="1">_xlfn.SWITCH(MID(Master[[#This Row],[Checklist]],1,4),"C - ","Civil","F - ","Foundation","ST -","Structure","FC -","Façade","PRE ","Pre-Line","POST","Post-Line","H - ","Handover","S - ","Services","CST ","Completion Docs", "I - ", "Inspection")</f>
        <v>Foundation</v>
      </c>
      <c r="E8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1" s="24" t="str">
        <f ca="1">IF(OR(Master[[#This Row],[Type]]="checklist", Master[[#This Row],[Type]]="checklist-flat"), Master[[#This Row],[Name]], F800)</f>
        <v>F - S - Piling</v>
      </c>
      <c r="G801" s="34" t="s">
        <v>124</v>
      </c>
      <c r="H801" s="34" t="s">
        <v>191</v>
      </c>
      <c r="I801" s="35"/>
      <c r="J801" s="21">
        <f ca="1">_xlfn.XLOOKUP(Master[[#This Row],[Checklist]],Ref!A:A,Ref!B:B)*1000</f>
        <v>86000</v>
      </c>
      <c r="K801" s="21">
        <f ca="1">COUNTIF($J$2:Master[[#This Row],[ChecklistID]],Master[[#This Row],[ChecklistID]])-1</f>
        <v>66</v>
      </c>
      <c r="L801" s="23" t="s">
        <v>6</v>
      </c>
    </row>
    <row r="802" spans="1:12" ht="15.75">
      <c r="A802" s="23">
        <f t="shared" si="12"/>
        <v>801</v>
      </c>
      <c r="B802" s="21">
        <f ca="1">Master[[#This Row],[ChecklistID]]+Master[[#This Row],[Checklist Order]]</f>
        <v>86067</v>
      </c>
      <c r="C802" s="22"/>
      <c r="D802" s="3" t="str" cm="1">
        <f t="array" aca="1" ref="D802" ca="1">_xlfn.SWITCH(MID(Master[[#This Row],[Checklist]],1,4),"C - ","Civil","F - ","Foundation","ST -","Structure","FC -","Façade","PRE ","Pre-Line","POST","Post-Line","H - ","Handover","S - ","Services","CST ","Completion Docs", "I - ", "Inspection")</f>
        <v>Foundation</v>
      </c>
      <c r="E8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2" s="24" t="str">
        <f ca="1">IF(OR(Master[[#This Row],[Type]]="checklist", Master[[#This Row],[Type]]="checklist-flat"), Master[[#This Row],[Name]], F801)</f>
        <v>F - S - Piling</v>
      </c>
      <c r="G802" s="34" t="s">
        <v>124</v>
      </c>
      <c r="H802" s="34" t="s">
        <v>192</v>
      </c>
      <c r="I802" s="35"/>
      <c r="J802" s="21">
        <f ca="1">_xlfn.XLOOKUP(Master[[#This Row],[Checklist]],Ref!A:A,Ref!B:B)*1000</f>
        <v>86000</v>
      </c>
      <c r="K802" s="21">
        <f ca="1">COUNTIF($J$2:Master[[#This Row],[ChecklistID]],Master[[#This Row],[ChecklistID]])-1</f>
        <v>67</v>
      </c>
      <c r="L802" s="23" t="s">
        <v>6</v>
      </c>
    </row>
    <row r="803" spans="1:12" ht="15.75">
      <c r="A803" s="23">
        <f t="shared" si="12"/>
        <v>802</v>
      </c>
      <c r="B803" s="21">
        <f ca="1">Master[[#This Row],[ChecklistID]]+Master[[#This Row],[Checklist Order]]</f>
        <v>86068</v>
      </c>
      <c r="C803" s="22"/>
      <c r="D803" s="3" t="str" cm="1">
        <f t="array" aca="1" ref="D803" ca="1">_xlfn.SWITCH(MID(Master[[#This Row],[Checklist]],1,4),"C - ","Civil","F - ","Foundation","ST -","Structure","FC -","Façade","PRE ","Pre-Line","POST","Post-Line","H - ","Handover","S - ","Services","CST ","Completion Docs", "I - ", "Inspection")</f>
        <v>Foundation</v>
      </c>
      <c r="E8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3" s="24" t="str">
        <f ca="1">IF(OR(Master[[#This Row],[Type]]="checklist", Master[[#This Row],[Type]]="checklist-flat"), Master[[#This Row],[Name]], F802)</f>
        <v>F - S - Piling</v>
      </c>
      <c r="G803" s="34" t="s">
        <v>124</v>
      </c>
      <c r="H803" s="34" t="s">
        <v>193</v>
      </c>
      <c r="I803" s="35"/>
      <c r="J803" s="21">
        <f ca="1">_xlfn.XLOOKUP(Master[[#This Row],[Checklist]],Ref!A:A,Ref!B:B)*1000</f>
        <v>86000</v>
      </c>
      <c r="K803" s="21">
        <f ca="1">COUNTIF($J$2:Master[[#This Row],[ChecklistID]],Master[[#This Row],[ChecklistID]])-1</f>
        <v>68</v>
      </c>
      <c r="L803" s="23" t="s">
        <v>6</v>
      </c>
    </row>
    <row r="804" spans="1:12" ht="15.75">
      <c r="A804" s="23">
        <f t="shared" si="12"/>
        <v>803</v>
      </c>
      <c r="B804" s="21">
        <f ca="1">Master[[#This Row],[ChecklistID]]+Master[[#This Row],[Checklist Order]]</f>
        <v>86069</v>
      </c>
      <c r="C804" s="22"/>
      <c r="D804" s="3" t="str" cm="1">
        <f t="array" aca="1" ref="D804" ca="1">_xlfn.SWITCH(MID(Master[[#This Row],[Checklist]],1,4),"C - ","Civil","F - ","Foundation","ST -","Structure","FC -","Façade","PRE ","Pre-Line","POST","Post-Line","H - ","Handover","S - ","Services","CST ","Completion Docs", "I - ", "Inspection")</f>
        <v>Foundation</v>
      </c>
      <c r="E8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4" s="24" t="str">
        <f ca="1">IF(OR(Master[[#This Row],[Type]]="checklist", Master[[#This Row],[Type]]="checklist-flat"), Master[[#This Row],[Name]], F803)</f>
        <v>F - S - Piling</v>
      </c>
      <c r="G804" s="34" t="s">
        <v>49</v>
      </c>
      <c r="H804" s="34" t="s">
        <v>194</v>
      </c>
      <c r="I804" s="35"/>
      <c r="J804" s="21">
        <f ca="1">_xlfn.XLOOKUP(Master[[#This Row],[Checklist]],Ref!A:A,Ref!B:B)*1000</f>
        <v>86000</v>
      </c>
      <c r="K804" s="21">
        <f ca="1">COUNTIF($J$2:Master[[#This Row],[ChecklistID]],Master[[#This Row],[ChecklistID]])-1</f>
        <v>69</v>
      </c>
      <c r="L804" s="23" t="s">
        <v>6</v>
      </c>
    </row>
    <row r="805" spans="1:12" ht="15.75">
      <c r="A805" s="23">
        <f t="shared" si="12"/>
        <v>804</v>
      </c>
      <c r="B805" s="21">
        <f ca="1">Master[[#This Row],[ChecklistID]]+Master[[#This Row],[Checklist Order]]</f>
        <v>86070</v>
      </c>
      <c r="C805" s="22"/>
      <c r="D805" s="3" t="str" cm="1">
        <f t="array" aca="1" ref="D805" ca="1">_xlfn.SWITCH(MID(Master[[#This Row],[Checklist]],1,4),"C - ","Civil","F - ","Foundation","ST -","Structure","FC -","Façade","PRE ","Pre-Line","POST","Post-Line","H - ","Handover","S - ","Services","CST ","Completion Docs", "I - ", "Inspection")</f>
        <v>Foundation</v>
      </c>
      <c r="E8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5" s="24" t="str">
        <f ca="1">IF(OR(Master[[#This Row],[Type]]="checklist", Master[[#This Row],[Type]]="checklist-flat"), Master[[#This Row],[Name]], F804)</f>
        <v>F - S - Piling</v>
      </c>
      <c r="G805" s="34" t="s">
        <v>49</v>
      </c>
      <c r="H805" s="34" t="s">
        <v>195</v>
      </c>
      <c r="I805" s="35"/>
      <c r="J805" s="21">
        <f ca="1">_xlfn.XLOOKUP(Master[[#This Row],[Checklist]],Ref!A:A,Ref!B:B)*1000</f>
        <v>86000</v>
      </c>
      <c r="K805" s="21">
        <f ca="1">COUNTIF($J$2:Master[[#This Row],[ChecklistID]],Master[[#This Row],[ChecklistID]])-1</f>
        <v>70</v>
      </c>
      <c r="L805" s="23" t="s">
        <v>6</v>
      </c>
    </row>
    <row r="806" spans="1:12" ht="15.75">
      <c r="A806" s="23">
        <f t="shared" si="12"/>
        <v>805</v>
      </c>
      <c r="B806" s="21">
        <f ca="1">Master[[#This Row],[ChecklistID]]+Master[[#This Row],[Checklist Order]]</f>
        <v>86071</v>
      </c>
      <c r="C806" s="22"/>
      <c r="D806" s="3" t="str" cm="1">
        <f t="array" aca="1" ref="D806" ca="1">_xlfn.SWITCH(MID(Master[[#This Row],[Checklist]],1,4),"C - ","Civil","F - ","Foundation","ST -","Structure","FC -","Façade","PRE ","Pre-Line","POST","Post-Line","H - ","Handover","S - ","Services","CST ","Completion Docs", "I - ", "Inspection")</f>
        <v>Foundation</v>
      </c>
      <c r="E8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6" s="24" t="str">
        <f ca="1">IF(OR(Master[[#This Row],[Type]]="checklist", Master[[#This Row],[Type]]="checklist-flat"), Master[[#This Row],[Name]], F805)</f>
        <v>F - S - Piling</v>
      </c>
      <c r="G806" s="34" t="s">
        <v>124</v>
      </c>
      <c r="H806" s="34" t="s">
        <v>196</v>
      </c>
      <c r="I806" s="35"/>
      <c r="J806" s="21">
        <f ca="1">_xlfn.XLOOKUP(Master[[#This Row],[Checklist]],Ref!A:A,Ref!B:B)*1000</f>
        <v>86000</v>
      </c>
      <c r="K806" s="21">
        <f ca="1">COUNTIF($J$2:Master[[#This Row],[ChecklistID]],Master[[#This Row],[ChecklistID]])-1</f>
        <v>71</v>
      </c>
      <c r="L806" s="23" t="s">
        <v>6</v>
      </c>
    </row>
    <row r="807" spans="1:12" ht="15.75">
      <c r="A807" s="23">
        <f t="shared" si="12"/>
        <v>806</v>
      </c>
      <c r="B807" s="21">
        <f ca="1">Master[[#This Row],[ChecklistID]]+Master[[#This Row],[Checklist Order]]</f>
        <v>86072</v>
      </c>
      <c r="C807" s="22"/>
      <c r="D807" s="3" t="str" cm="1">
        <f t="array" aca="1" ref="D807" ca="1">_xlfn.SWITCH(MID(Master[[#This Row],[Checklist]],1,4),"C - ","Civil","F - ","Foundation","ST -","Structure","FC -","Façade","PRE ","Pre-Line","POST","Post-Line","H - ","Handover","S - ","Services","CST ","Completion Docs", "I - ", "Inspection")</f>
        <v>Foundation</v>
      </c>
      <c r="E8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7" s="24" t="str">
        <f ca="1">IF(OR(Master[[#This Row],[Type]]="checklist", Master[[#This Row],[Type]]="checklist-flat"), Master[[#This Row],[Name]], F806)</f>
        <v>F - S - Piling</v>
      </c>
      <c r="G807" s="34" t="s">
        <v>66</v>
      </c>
      <c r="H807" s="34" t="s">
        <v>197</v>
      </c>
      <c r="I807" s="35"/>
      <c r="J807" s="21">
        <f ca="1">_xlfn.XLOOKUP(Master[[#This Row],[Checklist]],Ref!A:A,Ref!B:B)*1000</f>
        <v>86000</v>
      </c>
      <c r="K807" s="21">
        <f ca="1">COUNTIF($J$2:Master[[#This Row],[ChecklistID]],Master[[#This Row],[ChecklistID]])-1</f>
        <v>72</v>
      </c>
      <c r="L807" s="23" t="s">
        <v>6</v>
      </c>
    </row>
    <row r="808" spans="1:12" ht="15.75">
      <c r="A808" s="23">
        <f t="shared" si="12"/>
        <v>807</v>
      </c>
      <c r="B808" s="21">
        <f ca="1">Master[[#This Row],[ChecklistID]]+Master[[#This Row],[Checklist Order]]</f>
        <v>86073</v>
      </c>
      <c r="C808" s="22"/>
      <c r="D808" s="3" t="str" cm="1">
        <f t="array" aca="1" ref="D808" ca="1">_xlfn.SWITCH(MID(Master[[#This Row],[Checklist]],1,4),"C - ","Civil","F - ","Foundation","ST -","Structure","FC -","Façade","PRE ","Pre-Line","POST","Post-Line","H - ","Handover","S - ","Services","CST ","Completion Docs", "I - ", "Inspection")</f>
        <v>Foundation</v>
      </c>
      <c r="E8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8" s="24" t="str">
        <f ca="1">IF(OR(Master[[#This Row],[Type]]="checklist", Master[[#This Row],[Type]]="checklist-flat"), Master[[#This Row],[Name]], F807)</f>
        <v>F - S - Piling</v>
      </c>
      <c r="G808" s="34" t="s">
        <v>66</v>
      </c>
      <c r="H808" s="34" t="s">
        <v>198</v>
      </c>
      <c r="I808" s="35"/>
      <c r="J808" s="21">
        <f ca="1">_xlfn.XLOOKUP(Master[[#This Row],[Checklist]],Ref!A:A,Ref!B:B)*1000</f>
        <v>86000</v>
      </c>
      <c r="K808" s="21">
        <f ca="1">COUNTIF($J$2:Master[[#This Row],[ChecklistID]],Master[[#This Row],[ChecklistID]])-1</f>
        <v>73</v>
      </c>
      <c r="L808" s="23" t="s">
        <v>6</v>
      </c>
    </row>
    <row r="809" spans="1:12" ht="15.75">
      <c r="A809" s="23">
        <f t="shared" si="12"/>
        <v>808</v>
      </c>
      <c r="B809" s="21">
        <f ca="1">Master[[#This Row],[ChecklistID]]+Master[[#This Row],[Checklist Order]]</f>
        <v>86074</v>
      </c>
      <c r="C809" s="22"/>
      <c r="D809" s="3" t="str" cm="1">
        <f t="array" aca="1" ref="D809" ca="1">_xlfn.SWITCH(MID(Master[[#This Row],[Checklist]],1,4),"C - ","Civil","F - ","Foundation","ST -","Structure","FC -","Façade","PRE ","Pre-Line","POST","Post-Line","H - ","Handover","S - ","Services","CST ","Completion Docs", "I - ", "Inspection")</f>
        <v>Foundation</v>
      </c>
      <c r="E8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09" s="24" t="str">
        <f ca="1">IF(OR(Master[[#This Row],[Type]]="checklist", Master[[#This Row],[Type]]="checklist-flat"), Master[[#This Row],[Name]], F808)</f>
        <v>F - S - Piling</v>
      </c>
      <c r="G809" s="34" t="s">
        <v>131</v>
      </c>
      <c r="H809" s="34" t="s">
        <v>199</v>
      </c>
      <c r="I809" s="35" t="s">
        <v>200</v>
      </c>
      <c r="J809" s="21">
        <f ca="1">_xlfn.XLOOKUP(Master[[#This Row],[Checklist]],Ref!A:A,Ref!B:B)*1000</f>
        <v>86000</v>
      </c>
      <c r="K809" s="21">
        <f ca="1">COUNTIF($J$2:Master[[#This Row],[ChecklistID]],Master[[#This Row],[ChecklistID]])-1</f>
        <v>74</v>
      </c>
      <c r="L809" s="23" t="s">
        <v>6</v>
      </c>
    </row>
    <row r="810" spans="1:12" ht="15.75">
      <c r="A810" s="23">
        <f t="shared" ref="A810:A873" si="13">IFERROR(A809+1,1)</f>
        <v>809</v>
      </c>
      <c r="B810" s="21">
        <f ca="1">Master[[#This Row],[ChecklistID]]+Master[[#This Row],[Checklist Order]]</f>
        <v>86075</v>
      </c>
      <c r="C810" s="22"/>
      <c r="D810" s="3" t="str" cm="1">
        <f t="array" aca="1" ref="D810" ca="1">_xlfn.SWITCH(MID(Master[[#This Row],[Checklist]],1,4),"C - ","Civil","F - ","Foundation","ST -","Structure","FC -","Façade","PRE ","Pre-Line","POST","Post-Line","H - ","Handover","S - ","Services","CST ","Completion Docs", "I - ", "Inspection")</f>
        <v>Foundation</v>
      </c>
      <c r="E8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0" s="24" t="str">
        <f ca="1">IF(OR(Master[[#This Row],[Type]]="checklist", Master[[#This Row],[Type]]="checklist-flat"), Master[[#This Row],[Name]], F809)</f>
        <v>F - S - Piling</v>
      </c>
      <c r="G810" s="34" t="s">
        <v>124</v>
      </c>
      <c r="H810" s="34" t="s">
        <v>201</v>
      </c>
      <c r="I810" s="35"/>
      <c r="J810" s="21">
        <f ca="1">_xlfn.XLOOKUP(Master[[#This Row],[Checklist]],Ref!A:A,Ref!B:B)*1000</f>
        <v>86000</v>
      </c>
      <c r="K810" s="21">
        <f ca="1">COUNTIF($J$2:Master[[#This Row],[ChecklistID]],Master[[#This Row],[ChecklistID]])-1</f>
        <v>75</v>
      </c>
      <c r="L810" s="23" t="s">
        <v>6</v>
      </c>
    </row>
    <row r="811" spans="1:12" ht="15.75">
      <c r="A811" s="23">
        <f t="shared" si="13"/>
        <v>810</v>
      </c>
      <c r="B811" s="21">
        <f ca="1">Master[[#This Row],[ChecklistID]]+Master[[#This Row],[Checklist Order]]</f>
        <v>86076</v>
      </c>
      <c r="C811" s="22"/>
      <c r="D811" s="3" t="str" cm="1">
        <f t="array" aca="1" ref="D811" ca="1">_xlfn.SWITCH(MID(Master[[#This Row],[Checklist]],1,4),"C - ","Civil","F - ","Foundation","ST -","Structure","FC -","Façade","PRE ","Pre-Line","POST","Post-Line","H - ","Handover","S - ","Services","CST ","Completion Docs", "I - ", "Inspection")</f>
        <v>Foundation</v>
      </c>
      <c r="E8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1" s="24" t="str">
        <f ca="1">IF(OR(Master[[#This Row],[Type]]="checklist", Master[[#This Row],[Type]]="checklist-flat"), Master[[#This Row],[Name]], F810)</f>
        <v>F - S - Piling</v>
      </c>
      <c r="G811" s="34" t="s">
        <v>120</v>
      </c>
      <c r="H811" s="34" t="s">
        <v>202</v>
      </c>
      <c r="I811" s="35" t="s">
        <v>122</v>
      </c>
      <c r="J811" s="21">
        <f ca="1">_xlfn.XLOOKUP(Master[[#This Row],[Checklist]],Ref!A:A,Ref!B:B)*1000</f>
        <v>86000</v>
      </c>
      <c r="K811" s="21">
        <f ca="1">COUNTIF($J$2:Master[[#This Row],[ChecklistID]],Master[[#This Row],[ChecklistID]])-1</f>
        <v>76</v>
      </c>
      <c r="L811" s="23" t="s">
        <v>6</v>
      </c>
    </row>
    <row r="812" spans="1:12" ht="15.75">
      <c r="A812" s="23">
        <f t="shared" si="13"/>
        <v>811</v>
      </c>
      <c r="B812" s="21">
        <f ca="1">Master[[#This Row],[ChecklistID]]+Master[[#This Row],[Checklist Order]]</f>
        <v>86077</v>
      </c>
      <c r="C812" s="22"/>
      <c r="D812" s="3" t="str" cm="1">
        <f t="array" aca="1" ref="D812" ca="1">_xlfn.SWITCH(MID(Master[[#This Row],[Checklist]],1,4),"C - ","Civil","F - ","Foundation","ST -","Structure","FC -","Façade","PRE ","Pre-Line","POST","Post-Line","H - ","Handover","S - ","Services","CST ","Completion Docs", "I - ", "Inspection")</f>
        <v>Foundation</v>
      </c>
      <c r="E8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2" s="24" t="str">
        <f ca="1">IF(OR(Master[[#This Row],[Type]]="checklist", Master[[#This Row],[Type]]="checklist-flat"), Master[[#This Row],[Name]], F811)</f>
        <v>F - S - Piling</v>
      </c>
      <c r="G812" s="34" t="s">
        <v>49</v>
      </c>
      <c r="H812" s="34" t="s">
        <v>203</v>
      </c>
      <c r="I812" s="35"/>
      <c r="J812" s="21">
        <f ca="1">_xlfn.XLOOKUP(Master[[#This Row],[Checklist]],Ref!A:A,Ref!B:B)*1000</f>
        <v>86000</v>
      </c>
      <c r="K812" s="21">
        <f ca="1">COUNTIF($J$2:Master[[#This Row],[ChecklistID]],Master[[#This Row],[ChecklistID]])-1</f>
        <v>77</v>
      </c>
      <c r="L812" s="23" t="s">
        <v>6</v>
      </c>
    </row>
    <row r="813" spans="1:12" ht="15.75">
      <c r="A813" s="23">
        <f t="shared" si="13"/>
        <v>812</v>
      </c>
      <c r="B813" s="21">
        <f ca="1">Master[[#This Row],[ChecklistID]]+Master[[#This Row],[Checklist Order]]</f>
        <v>86078</v>
      </c>
      <c r="C813" s="22"/>
      <c r="D813" s="3" t="str" cm="1">
        <f t="array" aca="1" ref="D813" ca="1">_xlfn.SWITCH(MID(Master[[#This Row],[Checklist]],1,4),"C - ","Civil","F - ","Foundation","ST -","Structure","FC -","Façade","PRE ","Pre-Line","POST","Post-Line","H - ","Handover","S - ","Services","CST ","Completion Docs", "I - ", "Inspection")</f>
        <v>Foundation</v>
      </c>
      <c r="E8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3" s="24" t="str">
        <f ca="1">IF(OR(Master[[#This Row],[Type]]="checklist", Master[[#This Row],[Type]]="checklist-flat"), Master[[#This Row],[Name]], F812)</f>
        <v>F - S - Piling</v>
      </c>
      <c r="G813" s="34" t="s">
        <v>131</v>
      </c>
      <c r="H813" s="34" t="s">
        <v>204</v>
      </c>
      <c r="I813" s="35" t="s">
        <v>200</v>
      </c>
      <c r="J813" s="21">
        <f ca="1">_xlfn.XLOOKUP(Master[[#This Row],[Checklist]],Ref!A:A,Ref!B:B)*1000</f>
        <v>86000</v>
      </c>
      <c r="K813" s="21">
        <f ca="1">COUNTIF($J$2:Master[[#This Row],[ChecklistID]],Master[[#This Row],[ChecklistID]])-1</f>
        <v>78</v>
      </c>
      <c r="L813" s="23" t="s">
        <v>6</v>
      </c>
    </row>
    <row r="814" spans="1:12" ht="15.75">
      <c r="A814" s="23">
        <f t="shared" si="13"/>
        <v>813</v>
      </c>
      <c r="B814" s="21">
        <f ca="1">Master[[#This Row],[ChecklistID]]+Master[[#This Row],[Checklist Order]]</f>
        <v>86079</v>
      </c>
      <c r="C814" s="22"/>
      <c r="D814" s="3" t="str" cm="1">
        <f t="array" aca="1" ref="D814" ca="1">_xlfn.SWITCH(MID(Master[[#This Row],[Checklist]],1,4),"C - ","Civil","F - ","Foundation","ST -","Structure","FC -","Façade","PRE ","Pre-Line","POST","Post-Line","H - ","Handover","S - ","Services","CST ","Completion Docs", "I - ", "Inspection")</f>
        <v>Foundation</v>
      </c>
      <c r="E8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4" s="24" t="str">
        <f ca="1">IF(OR(Master[[#This Row],[Type]]="checklist", Master[[#This Row],[Type]]="checklist-flat"), Master[[#This Row],[Name]], F813)</f>
        <v>F - S - Piling</v>
      </c>
      <c r="G814" s="34" t="s">
        <v>49</v>
      </c>
      <c r="H814" s="34" t="s">
        <v>205</v>
      </c>
      <c r="I814" s="35"/>
      <c r="J814" s="21">
        <f ca="1">_xlfn.XLOOKUP(Master[[#This Row],[Checklist]],Ref!A:A,Ref!B:B)*1000</f>
        <v>86000</v>
      </c>
      <c r="K814" s="21">
        <f ca="1">COUNTIF($J$2:Master[[#This Row],[ChecklistID]],Master[[#This Row],[ChecklistID]])-1</f>
        <v>79</v>
      </c>
      <c r="L814" s="23" t="s">
        <v>6</v>
      </c>
    </row>
    <row r="815" spans="1:12" ht="15.75">
      <c r="A815" s="23">
        <f t="shared" si="13"/>
        <v>814</v>
      </c>
      <c r="B815" s="21">
        <f ca="1">Master[[#This Row],[ChecklistID]]+Master[[#This Row],[Checklist Order]]</f>
        <v>86080</v>
      </c>
      <c r="C815" s="22"/>
      <c r="D815" s="3" t="str" cm="1">
        <f t="array" aca="1" ref="D815" ca="1">_xlfn.SWITCH(MID(Master[[#This Row],[Checklist]],1,4),"C - ","Civil","F - ","Foundation","ST -","Structure","FC -","Façade","PRE ","Pre-Line","POST","Post-Line","H - ","Handover","S - ","Services","CST ","Completion Docs", "I - ", "Inspection")</f>
        <v>Foundation</v>
      </c>
      <c r="E8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5" s="24" t="str">
        <f ca="1">IF(OR(Master[[#This Row],[Type]]="checklist", Master[[#This Row],[Type]]="checklist-flat"), Master[[#This Row],[Name]], F814)</f>
        <v>F - S - Piling</v>
      </c>
      <c r="G815" s="34" t="s">
        <v>124</v>
      </c>
      <c r="H815" s="34" t="s">
        <v>206</v>
      </c>
      <c r="I815" s="35"/>
      <c r="J815" s="21">
        <f ca="1">_xlfn.XLOOKUP(Master[[#This Row],[Checklist]],Ref!A:A,Ref!B:B)*1000</f>
        <v>86000</v>
      </c>
      <c r="K815" s="21">
        <f ca="1">COUNTIF($J$2:Master[[#This Row],[ChecklistID]],Master[[#This Row],[ChecklistID]])-1</f>
        <v>80</v>
      </c>
      <c r="L815" s="23" t="s">
        <v>6</v>
      </c>
    </row>
    <row r="816" spans="1:12" ht="15.75">
      <c r="A816" s="23">
        <f t="shared" si="13"/>
        <v>815</v>
      </c>
      <c r="B816" s="21">
        <f ca="1">Master[[#This Row],[ChecklistID]]+Master[[#This Row],[Checklist Order]]</f>
        <v>86081</v>
      </c>
      <c r="C816" s="22"/>
      <c r="D816" s="3" t="str" cm="1">
        <f t="array" aca="1" ref="D816" ca="1">_xlfn.SWITCH(MID(Master[[#This Row],[Checklist]],1,4),"C - ","Civil","F - ","Foundation","ST -","Structure","FC -","Façade","PRE ","Pre-Line","POST","Post-Line","H - ","Handover","S - ","Services","CST ","Completion Docs", "I - ", "Inspection")</f>
        <v>Foundation</v>
      </c>
      <c r="E8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6" s="24" t="str">
        <f ca="1">IF(OR(Master[[#This Row],[Type]]="checklist", Master[[#This Row],[Type]]="checklist-flat"), Master[[#This Row],[Name]], F815)</f>
        <v>F - S - Piling</v>
      </c>
      <c r="G816" s="34" t="s">
        <v>124</v>
      </c>
      <c r="H816" s="34" t="s">
        <v>207</v>
      </c>
      <c r="I816" s="35"/>
      <c r="J816" s="21">
        <f ca="1">_xlfn.XLOOKUP(Master[[#This Row],[Checklist]],Ref!A:A,Ref!B:B)*1000</f>
        <v>86000</v>
      </c>
      <c r="K816" s="21">
        <f ca="1">COUNTIF($J$2:Master[[#This Row],[ChecklistID]],Master[[#This Row],[ChecklistID]])-1</f>
        <v>81</v>
      </c>
      <c r="L816" s="23" t="s">
        <v>6</v>
      </c>
    </row>
    <row r="817" spans="1:12" ht="15.75">
      <c r="A817" s="23">
        <f t="shared" si="13"/>
        <v>816</v>
      </c>
      <c r="B817" s="21">
        <f ca="1">Master[[#This Row],[ChecklistID]]+Master[[#This Row],[Checklist Order]]</f>
        <v>86082</v>
      </c>
      <c r="C817" s="22"/>
      <c r="D817" s="3" t="str" cm="1">
        <f t="array" aca="1" ref="D817" ca="1">_xlfn.SWITCH(MID(Master[[#This Row],[Checklist]],1,4),"C - ","Civil","F - ","Foundation","ST -","Structure","FC -","Façade","PRE ","Pre-Line","POST","Post-Line","H - ","Handover","S - ","Services","CST ","Completion Docs", "I - ", "Inspection")</f>
        <v>Foundation</v>
      </c>
      <c r="E8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7" s="24" t="str">
        <f ca="1">IF(OR(Master[[#This Row],[Type]]="checklist", Master[[#This Row],[Type]]="checklist-flat"), Master[[#This Row],[Name]], F816)</f>
        <v>F - S - Piling</v>
      </c>
      <c r="G817" s="34" t="s">
        <v>49</v>
      </c>
      <c r="H817" s="34" t="s">
        <v>208</v>
      </c>
      <c r="I817" s="35"/>
      <c r="J817" s="21">
        <f ca="1">_xlfn.XLOOKUP(Master[[#This Row],[Checklist]],Ref!A:A,Ref!B:B)*1000</f>
        <v>86000</v>
      </c>
      <c r="K817" s="21">
        <f ca="1">COUNTIF($J$2:Master[[#This Row],[ChecklistID]],Master[[#This Row],[ChecklistID]])-1</f>
        <v>82</v>
      </c>
      <c r="L817" s="23" t="s">
        <v>6</v>
      </c>
    </row>
    <row r="818" spans="1:12" ht="15.75">
      <c r="A818" s="23">
        <f t="shared" si="13"/>
        <v>817</v>
      </c>
      <c r="B818" s="21">
        <f ca="1">Master[[#This Row],[ChecklistID]]+Master[[#This Row],[Checklist Order]]</f>
        <v>86083</v>
      </c>
      <c r="C818" s="22"/>
      <c r="D818" s="3" t="str" cm="1">
        <f t="array" aca="1" ref="D818" ca="1">_xlfn.SWITCH(MID(Master[[#This Row],[Checklist]],1,4),"C - ","Civil","F - ","Foundation","ST -","Structure","FC -","Façade","PRE ","Pre-Line","POST","Post-Line","H - ","Handover","S - ","Services","CST ","Completion Docs", "I - ", "Inspection")</f>
        <v>Foundation</v>
      </c>
      <c r="E8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8" s="24" t="str">
        <f ca="1">IF(OR(Master[[#This Row],[Type]]="checklist", Master[[#This Row],[Type]]="checklist-flat"), Master[[#This Row],[Name]], F817)</f>
        <v>F - S - Piling</v>
      </c>
      <c r="G818" s="34" t="s">
        <v>58</v>
      </c>
      <c r="H818" s="34" t="s">
        <v>209</v>
      </c>
      <c r="I818" s="35"/>
      <c r="J818" s="21">
        <f ca="1">_xlfn.XLOOKUP(Master[[#This Row],[Checklist]],Ref!A:A,Ref!B:B)*1000</f>
        <v>86000</v>
      </c>
      <c r="K818" s="21">
        <f ca="1">COUNTIF($J$2:Master[[#This Row],[ChecklistID]],Master[[#This Row],[ChecklistID]])-1</f>
        <v>83</v>
      </c>
      <c r="L818" s="23" t="s">
        <v>6</v>
      </c>
    </row>
    <row r="819" spans="1:12" ht="15.75">
      <c r="A819" s="23">
        <f t="shared" si="13"/>
        <v>818</v>
      </c>
      <c r="B819" s="21">
        <f ca="1">Master[[#This Row],[ChecklistID]]+Master[[#This Row],[Checklist Order]]</f>
        <v>86084</v>
      </c>
      <c r="C819" s="22"/>
      <c r="D819" s="3" t="str" cm="1">
        <f t="array" aca="1" ref="D819" ca="1">_xlfn.SWITCH(MID(Master[[#This Row],[Checklist]],1,4),"C - ","Civil","F - ","Foundation","ST -","Structure","FC -","Façade","PRE ","Pre-Line","POST","Post-Line","H - ","Handover","S - ","Services","CST ","Completion Docs", "I - ", "Inspection")</f>
        <v>Foundation</v>
      </c>
      <c r="E8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19" s="24" t="str">
        <f ca="1">IF(OR(Master[[#This Row],[Type]]="checklist", Master[[#This Row],[Type]]="checklist-flat"), Master[[#This Row],[Name]], F818)</f>
        <v>F - S - Piling</v>
      </c>
      <c r="G819" s="34" t="s">
        <v>49</v>
      </c>
      <c r="H819" s="34" t="s">
        <v>57</v>
      </c>
      <c r="I819" s="35"/>
      <c r="J819" s="21">
        <f ca="1">_xlfn.XLOOKUP(Master[[#This Row],[Checklist]],Ref!A:A,Ref!B:B)*1000</f>
        <v>86000</v>
      </c>
      <c r="K819" s="21">
        <f ca="1">COUNTIF($J$2:Master[[#This Row],[ChecklistID]],Master[[#This Row],[ChecklistID]])-1</f>
        <v>84</v>
      </c>
      <c r="L819" s="23" t="s">
        <v>6</v>
      </c>
    </row>
    <row r="820" spans="1:12" ht="15.75">
      <c r="A820" s="23">
        <f t="shared" si="13"/>
        <v>819</v>
      </c>
      <c r="B820" s="21">
        <f ca="1">Master[[#This Row],[ChecklistID]]+Master[[#This Row],[Checklist Order]]</f>
        <v>86085</v>
      </c>
      <c r="C820" s="22"/>
      <c r="D820" s="3" t="str" cm="1">
        <f t="array" aca="1" ref="D820" ca="1">_xlfn.SWITCH(MID(Master[[#This Row],[Checklist]],1,4),"C - ","Civil","F - ","Foundation","ST -","Structure","FC -","Façade","PRE ","Pre-Line","POST","Post-Line","H - ","Handover","S - ","Services","CST ","Completion Docs", "I - ", "Inspection")</f>
        <v>Foundation</v>
      </c>
      <c r="E8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0" s="24" t="str">
        <f ca="1">IF(OR(Master[[#This Row],[Type]]="checklist", Master[[#This Row],[Type]]="checklist-flat"), Master[[#This Row],[Name]], F819)</f>
        <v>F - S - Piling</v>
      </c>
      <c r="G820" s="34" t="s">
        <v>58</v>
      </c>
      <c r="H820" s="34" t="s">
        <v>59</v>
      </c>
      <c r="I820" s="35"/>
      <c r="J820" s="21">
        <f ca="1">_xlfn.XLOOKUP(Master[[#This Row],[Checklist]],Ref!A:A,Ref!B:B)*1000</f>
        <v>86000</v>
      </c>
      <c r="K820" s="21">
        <f ca="1">COUNTIF($J$2:Master[[#This Row],[ChecklistID]],Master[[#This Row],[ChecklistID]])-1</f>
        <v>85</v>
      </c>
      <c r="L820" s="23" t="s">
        <v>6</v>
      </c>
    </row>
    <row r="821" spans="1:12" ht="15.75">
      <c r="A821" s="23">
        <f t="shared" si="13"/>
        <v>820</v>
      </c>
      <c r="B821" s="21">
        <f ca="1">Master[[#This Row],[ChecklistID]]+Master[[#This Row],[Checklist Order]]</f>
        <v>87000</v>
      </c>
      <c r="C821" s="22"/>
      <c r="D821" s="3" t="str" cm="1">
        <f t="array" aca="1" ref="D821" ca="1">_xlfn.SWITCH(MID(Master[[#This Row],[Checklist]],1,4),"C - ","Civil","F - ","Foundation","ST -","Structure","FC -","Façade","PRE ","Pre-Line","POST","Post-Line","H - ","Handover","S - ","Services","CST ","Completion Docs", "I - ", "Inspection")</f>
        <v>Foundation</v>
      </c>
      <c r="E8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1" s="24" t="str">
        <f ca="1">IF(OR(Master[[#This Row],[Type]]="checklist", Master[[#This Row],[Type]]="checklist-flat"), Master[[#This Row],[Name]], F820)</f>
        <v>F - S - Shell Beam Installation</v>
      </c>
      <c r="G821" s="34" t="s">
        <v>48</v>
      </c>
      <c r="H821" s="34" t="s">
        <v>210</v>
      </c>
      <c r="I821" s="35"/>
      <c r="J821" s="21">
        <f ca="1">_xlfn.XLOOKUP(Master[[#This Row],[Checklist]],Ref!A:A,Ref!B:B)*1000</f>
        <v>87000</v>
      </c>
      <c r="K821" s="21">
        <f ca="1">COUNTIF($J$2:Master[[#This Row],[ChecklistID]],Master[[#This Row],[ChecklistID]])-1</f>
        <v>0</v>
      </c>
      <c r="L821" s="23" t="s">
        <v>6</v>
      </c>
    </row>
    <row r="822" spans="1:12" ht="15.75">
      <c r="A822" s="23">
        <f t="shared" si="13"/>
        <v>821</v>
      </c>
      <c r="B822" s="21">
        <f ca="1">Master[[#This Row],[ChecklistID]]+Master[[#This Row],[Checklist Order]]</f>
        <v>87001</v>
      </c>
      <c r="C822" s="22"/>
      <c r="D822" s="3" t="str" cm="1">
        <f t="array" aca="1" ref="D822" ca="1">_xlfn.SWITCH(MID(Master[[#This Row],[Checklist]],1,4),"C - ","Civil","F - ","Foundation","ST -","Structure","FC -","Façade","PRE ","Pre-Line","POST","Post-Line","H - ","Handover","S - ","Services","CST ","Completion Docs", "I - ", "Inspection")</f>
        <v>Foundation</v>
      </c>
      <c r="E8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2" s="24" t="str">
        <f ca="1">IF(OR(Master[[#This Row],[Type]]="checklist", Master[[#This Row],[Type]]="checklist-flat"), Master[[#This Row],[Name]], F821)</f>
        <v>F - S - Shell Beam Installation</v>
      </c>
      <c r="G822" s="34" t="s">
        <v>49</v>
      </c>
      <c r="H822" s="34" t="s">
        <v>211</v>
      </c>
      <c r="I822" s="35"/>
      <c r="J822" s="21">
        <f ca="1">_xlfn.XLOOKUP(Master[[#This Row],[Checklist]],Ref!A:A,Ref!B:B)*1000</f>
        <v>87000</v>
      </c>
      <c r="K822" s="21">
        <f ca="1">COUNTIF($J$2:Master[[#This Row],[ChecklistID]],Master[[#This Row],[ChecklistID]])-1</f>
        <v>1</v>
      </c>
      <c r="L822" s="23" t="s">
        <v>6</v>
      </c>
    </row>
    <row r="823" spans="1:12" ht="15.75">
      <c r="A823" s="23">
        <f t="shared" si="13"/>
        <v>822</v>
      </c>
      <c r="B823" s="21">
        <f ca="1">Master[[#This Row],[ChecklistID]]+Master[[#This Row],[Checklist Order]]</f>
        <v>87002</v>
      </c>
      <c r="C823" s="22"/>
      <c r="D823" s="3" t="str" cm="1">
        <f t="array" aca="1" ref="D823" ca="1">_xlfn.SWITCH(MID(Master[[#This Row],[Checklist]],1,4),"C - ","Civil","F - ","Foundation","ST -","Structure","FC -","Façade","PRE ","Pre-Line","POST","Post-Line","H - ","Handover","S - ","Services","CST ","Completion Docs", "I - ", "Inspection")</f>
        <v>Foundation</v>
      </c>
      <c r="E8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3" s="24" t="str">
        <f ca="1">IF(OR(Master[[#This Row],[Type]]="checklist", Master[[#This Row],[Type]]="checklist-flat"), Master[[#This Row],[Name]], F822)</f>
        <v>F - S - Shell Beam Installation</v>
      </c>
      <c r="G823" s="34" t="s">
        <v>49</v>
      </c>
      <c r="H823" s="34" t="s">
        <v>212</v>
      </c>
      <c r="I823" s="35"/>
      <c r="J823" s="21">
        <f ca="1">_xlfn.XLOOKUP(Master[[#This Row],[Checklist]],Ref!A:A,Ref!B:B)*1000</f>
        <v>87000</v>
      </c>
      <c r="K823" s="21">
        <f ca="1">COUNTIF($J$2:Master[[#This Row],[ChecklistID]],Master[[#This Row],[ChecklistID]])-1</f>
        <v>2</v>
      </c>
      <c r="L823" s="23" t="s">
        <v>6</v>
      </c>
    </row>
    <row r="824" spans="1:12" ht="15.75">
      <c r="A824" s="23">
        <f t="shared" si="13"/>
        <v>823</v>
      </c>
      <c r="B824" s="21">
        <f ca="1">Master[[#This Row],[ChecklistID]]+Master[[#This Row],[Checklist Order]]</f>
        <v>87003</v>
      </c>
      <c r="C824" s="22"/>
      <c r="D824" s="3" t="str" cm="1">
        <f t="array" aca="1" ref="D824" ca="1">_xlfn.SWITCH(MID(Master[[#This Row],[Checklist]],1,4),"C - ","Civil","F - ","Foundation","ST -","Structure","FC -","Façade","PRE ","Pre-Line","POST","Post-Line","H - ","Handover","S - ","Services","CST ","Completion Docs", "I - ", "Inspection")</f>
        <v>Foundation</v>
      </c>
      <c r="E8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4" s="24" t="str">
        <f ca="1">IF(OR(Master[[#This Row],[Type]]="checklist", Master[[#This Row],[Type]]="checklist-flat"), Master[[#This Row],[Name]], F823)</f>
        <v>F - S - Shell Beam Installation</v>
      </c>
      <c r="G824" s="34" t="s">
        <v>49</v>
      </c>
      <c r="H824" s="34" t="s">
        <v>57</v>
      </c>
      <c r="I824" s="35"/>
      <c r="J824" s="21">
        <f ca="1">_xlfn.XLOOKUP(Master[[#This Row],[Checklist]],Ref!A:A,Ref!B:B)*1000</f>
        <v>87000</v>
      </c>
      <c r="K824" s="21">
        <f ca="1">COUNTIF($J$2:Master[[#This Row],[ChecklistID]],Master[[#This Row],[ChecklistID]])-1</f>
        <v>3</v>
      </c>
      <c r="L824" s="23" t="s">
        <v>6</v>
      </c>
    </row>
    <row r="825" spans="1:12" ht="15.75">
      <c r="A825" s="23">
        <f t="shared" si="13"/>
        <v>824</v>
      </c>
      <c r="B825" s="21">
        <f ca="1">Master[[#This Row],[ChecklistID]]+Master[[#This Row],[Checklist Order]]</f>
        <v>87004</v>
      </c>
      <c r="C825" s="22"/>
      <c r="D825" s="3" t="str" cm="1">
        <f t="array" aca="1" ref="D825" ca="1">_xlfn.SWITCH(MID(Master[[#This Row],[Checklist]],1,4),"C - ","Civil","F - ","Foundation","ST -","Structure","FC -","Façade","PRE ","Pre-Line","POST","Post-Line","H - ","Handover","S - ","Services","CST ","Completion Docs", "I - ", "Inspection")</f>
        <v>Foundation</v>
      </c>
      <c r="E8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5" s="24" t="str">
        <f ca="1">IF(OR(Master[[#This Row],[Type]]="checklist", Master[[#This Row],[Type]]="checklist-flat"), Master[[#This Row],[Name]], F824)</f>
        <v>F - S - Shell Beam Installation</v>
      </c>
      <c r="G825" s="34" t="s">
        <v>58</v>
      </c>
      <c r="H825" s="34" t="s">
        <v>59</v>
      </c>
      <c r="I825" s="35"/>
      <c r="J825" s="21">
        <f ca="1">_xlfn.XLOOKUP(Master[[#This Row],[Checklist]],Ref!A:A,Ref!B:B)*1000</f>
        <v>87000</v>
      </c>
      <c r="K825" s="21">
        <f ca="1">COUNTIF($J$2:Master[[#This Row],[ChecklistID]],Master[[#This Row],[ChecklistID]])-1</f>
        <v>4</v>
      </c>
      <c r="L825" s="23" t="s">
        <v>6</v>
      </c>
    </row>
    <row r="826" spans="1:12" ht="15.75">
      <c r="A826" s="23">
        <f t="shared" si="13"/>
        <v>825</v>
      </c>
      <c r="B826" s="21">
        <f ca="1">Master[[#This Row],[ChecklistID]]+Master[[#This Row],[Checklist Order]]</f>
        <v>88000</v>
      </c>
      <c r="C826" s="22"/>
      <c r="D826" s="3" t="str" cm="1">
        <f t="array" aca="1" ref="D826" ca="1">_xlfn.SWITCH(MID(Master[[#This Row],[Checklist]],1,4),"C - ","Civil","F - ","Foundation","ST -","Structure","FC -","Façade","PRE ","Pre-Line","POST","Post-Line","H - ","Handover","S - ","Services","CST ","Completion Docs", "I - ", "Inspection")</f>
        <v>Foundation</v>
      </c>
      <c r="E8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6" s="24" t="str">
        <f ca="1">IF(OR(Master[[#This Row],[Type]]="checklist", Master[[#This Row],[Type]]="checklist-flat"), Master[[#This Row],[Name]], F825)</f>
        <v xml:space="preserve">F - S - Underground services </v>
      </c>
      <c r="G826" s="34" t="s">
        <v>48</v>
      </c>
      <c r="H826" s="34" t="s">
        <v>213</v>
      </c>
      <c r="I826" s="35"/>
      <c r="J826" s="21">
        <f ca="1">_xlfn.XLOOKUP(Master[[#This Row],[Checklist]],Ref!A:A,Ref!B:B)*1000</f>
        <v>88000</v>
      </c>
      <c r="K826" s="21">
        <f ca="1">COUNTIF($J$2:Master[[#This Row],[ChecklistID]],Master[[#This Row],[ChecklistID]])-1</f>
        <v>0</v>
      </c>
      <c r="L826" s="23" t="s">
        <v>6</v>
      </c>
    </row>
    <row r="827" spans="1:12" ht="15.75">
      <c r="A827" s="23">
        <f t="shared" si="13"/>
        <v>826</v>
      </c>
      <c r="B827" s="21">
        <f ca="1">Master[[#This Row],[ChecklistID]]+Master[[#This Row],[Checklist Order]]</f>
        <v>88001</v>
      </c>
      <c r="C827" s="22"/>
      <c r="D827" s="3" t="str" cm="1">
        <f t="array" aca="1" ref="D827" ca="1">_xlfn.SWITCH(MID(Master[[#This Row],[Checklist]],1,4),"C - ","Civil","F - ","Foundation","ST -","Structure","FC -","Façade","PRE ","Pre-Line","POST","Post-Line","H - ","Handover","S - ","Services","CST ","Completion Docs", "I - ", "Inspection")</f>
        <v>Foundation</v>
      </c>
      <c r="E8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7" s="24" t="str">
        <f ca="1">IF(OR(Master[[#This Row],[Type]]="checklist", Master[[#This Row],[Type]]="checklist-flat"), Master[[#This Row],[Name]], F826)</f>
        <v xml:space="preserve">F - S - Underground services </v>
      </c>
      <c r="G827" s="34" t="s">
        <v>49</v>
      </c>
      <c r="H827" s="34" t="s">
        <v>214</v>
      </c>
      <c r="I827" s="35"/>
      <c r="J827" s="21">
        <f ca="1">_xlfn.XLOOKUP(Master[[#This Row],[Checklist]],Ref!A:A,Ref!B:B)*1000</f>
        <v>88000</v>
      </c>
      <c r="K827" s="21">
        <f ca="1">COUNTIF($J$2:Master[[#This Row],[ChecklistID]],Master[[#This Row],[ChecklistID]])-1</f>
        <v>1</v>
      </c>
      <c r="L827" s="23" t="s">
        <v>6</v>
      </c>
    </row>
    <row r="828" spans="1:12" ht="15.75">
      <c r="A828" s="23">
        <f t="shared" si="13"/>
        <v>827</v>
      </c>
      <c r="B828" s="21">
        <f ca="1">Master[[#This Row],[ChecklistID]]+Master[[#This Row],[Checklist Order]]</f>
        <v>88002</v>
      </c>
      <c r="C828" s="22"/>
      <c r="D828" s="3" t="str" cm="1">
        <f t="array" aca="1" ref="D828" ca="1">_xlfn.SWITCH(MID(Master[[#This Row],[Checklist]],1,4),"C - ","Civil","F - ","Foundation","ST -","Structure","FC -","Façade","PRE ","Pre-Line","POST","Post-Line","H - ","Handover","S - ","Services","CST ","Completion Docs", "I - ", "Inspection")</f>
        <v>Foundation</v>
      </c>
      <c r="E8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8" s="24" t="str">
        <f ca="1">IF(OR(Master[[#This Row],[Type]]="checklist", Master[[#This Row],[Type]]="checklist-flat"), Master[[#This Row],[Name]], F827)</f>
        <v xml:space="preserve">F - S - Underground services </v>
      </c>
      <c r="G828" s="34" t="s">
        <v>49</v>
      </c>
      <c r="H828" s="34" t="s">
        <v>215</v>
      </c>
      <c r="I828" s="35"/>
      <c r="J828" s="21">
        <f ca="1">_xlfn.XLOOKUP(Master[[#This Row],[Checklist]],Ref!A:A,Ref!B:B)*1000</f>
        <v>88000</v>
      </c>
      <c r="K828" s="21">
        <f ca="1">COUNTIF($J$2:Master[[#This Row],[ChecklistID]],Master[[#This Row],[ChecklistID]])-1</f>
        <v>2</v>
      </c>
      <c r="L828" s="23" t="s">
        <v>6</v>
      </c>
    </row>
    <row r="829" spans="1:12" ht="15.75">
      <c r="A829" s="23">
        <f t="shared" si="13"/>
        <v>828</v>
      </c>
      <c r="B829" s="21">
        <f ca="1">Master[[#This Row],[ChecklistID]]+Master[[#This Row],[Checklist Order]]</f>
        <v>88003</v>
      </c>
      <c r="C829" s="22"/>
      <c r="D829" s="3" t="str" cm="1">
        <f t="array" aca="1" ref="D829" ca="1">_xlfn.SWITCH(MID(Master[[#This Row],[Checklist]],1,4),"C - ","Civil","F - ","Foundation","ST -","Structure","FC -","Façade","PRE ","Pre-Line","POST","Post-Line","H - ","Handover","S - ","Services","CST ","Completion Docs", "I - ", "Inspection")</f>
        <v>Foundation</v>
      </c>
      <c r="E8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29" s="24" t="str">
        <f ca="1">IF(OR(Master[[#This Row],[Type]]="checklist", Master[[#This Row],[Type]]="checklist-flat"), Master[[#This Row],[Name]], F828)</f>
        <v xml:space="preserve">F - S - Underground services </v>
      </c>
      <c r="G829" s="34" t="s">
        <v>49</v>
      </c>
      <c r="H829" s="34" t="s">
        <v>216</v>
      </c>
      <c r="I829" s="35"/>
      <c r="J829" s="21">
        <f ca="1">_xlfn.XLOOKUP(Master[[#This Row],[Checklist]],Ref!A:A,Ref!B:B)*1000</f>
        <v>88000</v>
      </c>
      <c r="K829" s="21">
        <f ca="1">COUNTIF($J$2:Master[[#This Row],[ChecklistID]],Master[[#This Row],[ChecklistID]])-1</f>
        <v>3</v>
      </c>
      <c r="L829" s="23" t="s">
        <v>6</v>
      </c>
    </row>
    <row r="830" spans="1:12" ht="15.75">
      <c r="A830" s="23">
        <f t="shared" si="13"/>
        <v>829</v>
      </c>
      <c r="B830" s="21">
        <f ca="1">Master[[#This Row],[ChecklistID]]+Master[[#This Row],[Checklist Order]]</f>
        <v>88004</v>
      </c>
      <c r="C830" s="22"/>
      <c r="D830" s="3" t="str" cm="1">
        <f t="array" aca="1" ref="D830" ca="1">_xlfn.SWITCH(MID(Master[[#This Row],[Checklist]],1,4),"C - ","Civil","F - ","Foundation","ST -","Structure","FC -","Façade","PRE ","Pre-Line","POST","Post-Line","H - ","Handover","S - ","Services","CST ","Completion Docs", "I - ", "Inspection")</f>
        <v>Foundation</v>
      </c>
      <c r="E8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0" s="24" t="str">
        <f ca="1">IF(OR(Master[[#This Row],[Type]]="checklist", Master[[#This Row],[Type]]="checklist-flat"), Master[[#This Row],[Name]], F829)</f>
        <v xml:space="preserve">F - S - Underground services </v>
      </c>
      <c r="G830" s="34" t="s">
        <v>49</v>
      </c>
      <c r="H830" s="34" t="s">
        <v>217</v>
      </c>
      <c r="I830" s="35"/>
      <c r="J830" s="21">
        <f ca="1">_xlfn.XLOOKUP(Master[[#This Row],[Checklist]],Ref!A:A,Ref!B:B)*1000</f>
        <v>88000</v>
      </c>
      <c r="K830" s="21">
        <f ca="1">COUNTIF($J$2:Master[[#This Row],[ChecklistID]],Master[[#This Row],[ChecklistID]])-1</f>
        <v>4</v>
      </c>
      <c r="L830" s="23" t="s">
        <v>6</v>
      </c>
    </row>
    <row r="831" spans="1:12" ht="15.75">
      <c r="A831" s="23">
        <f t="shared" si="13"/>
        <v>830</v>
      </c>
      <c r="B831" s="21">
        <f ca="1">Master[[#This Row],[ChecklistID]]+Master[[#This Row],[Checklist Order]]</f>
        <v>88005</v>
      </c>
      <c r="C831" s="22"/>
      <c r="D831" s="3" t="str" cm="1">
        <f t="array" aca="1" ref="D831" ca="1">_xlfn.SWITCH(MID(Master[[#This Row],[Checklist]],1,4),"C - ","Civil","F - ","Foundation","ST -","Structure","FC -","Façade","PRE ","Pre-Line","POST","Post-Line","H - ","Handover","S - ","Services","CST ","Completion Docs", "I - ", "Inspection")</f>
        <v>Foundation</v>
      </c>
      <c r="E8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1" s="24" t="str">
        <f ca="1">IF(OR(Master[[#This Row],[Type]]="checklist", Master[[#This Row],[Type]]="checklist-flat"), Master[[#This Row],[Name]], F830)</f>
        <v xml:space="preserve">F - S - Underground services </v>
      </c>
      <c r="G831" s="34" t="s">
        <v>49</v>
      </c>
      <c r="H831" s="34" t="s">
        <v>218</v>
      </c>
      <c r="I831" s="35"/>
      <c r="J831" s="21">
        <f ca="1">_xlfn.XLOOKUP(Master[[#This Row],[Checklist]],Ref!A:A,Ref!B:B)*1000</f>
        <v>88000</v>
      </c>
      <c r="K831" s="21">
        <f ca="1">COUNTIF($J$2:Master[[#This Row],[ChecklistID]],Master[[#This Row],[ChecklistID]])-1</f>
        <v>5</v>
      </c>
      <c r="L831" s="23" t="s">
        <v>6</v>
      </c>
    </row>
    <row r="832" spans="1:12" ht="15.75">
      <c r="A832" s="23">
        <f t="shared" si="13"/>
        <v>831</v>
      </c>
      <c r="B832" s="21">
        <f ca="1">Master[[#This Row],[ChecklistID]]+Master[[#This Row],[Checklist Order]]</f>
        <v>88006</v>
      </c>
      <c r="C832" s="22"/>
      <c r="D832" s="3" t="str" cm="1">
        <f t="array" aca="1" ref="D832" ca="1">_xlfn.SWITCH(MID(Master[[#This Row],[Checklist]],1,4),"C - ","Civil","F - ","Foundation","ST -","Structure","FC -","Façade","PRE ","Pre-Line","POST","Post-Line","H - ","Handover","S - ","Services","CST ","Completion Docs", "I - ", "Inspection")</f>
        <v>Foundation</v>
      </c>
      <c r="E8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2" s="24" t="str">
        <f ca="1">IF(OR(Master[[#This Row],[Type]]="checklist", Master[[#This Row],[Type]]="checklist-flat"), Master[[#This Row],[Name]], F831)</f>
        <v xml:space="preserve">F - S - Underground services </v>
      </c>
      <c r="G832" s="34" t="s">
        <v>49</v>
      </c>
      <c r="H832" s="34" t="s">
        <v>57</v>
      </c>
      <c r="I832" s="35"/>
      <c r="J832" s="21">
        <f ca="1">_xlfn.XLOOKUP(Master[[#This Row],[Checklist]],Ref!A:A,Ref!B:B)*1000</f>
        <v>88000</v>
      </c>
      <c r="K832" s="21">
        <f ca="1">COUNTIF($J$2:Master[[#This Row],[ChecklistID]],Master[[#This Row],[ChecklistID]])-1</f>
        <v>6</v>
      </c>
      <c r="L832" s="23" t="s">
        <v>6</v>
      </c>
    </row>
    <row r="833" spans="1:12" ht="15.75">
      <c r="A833" s="23">
        <f t="shared" si="13"/>
        <v>832</v>
      </c>
      <c r="B833" s="21">
        <f ca="1">Master[[#This Row],[ChecklistID]]+Master[[#This Row],[Checklist Order]]</f>
        <v>88007</v>
      </c>
      <c r="C833" s="22"/>
      <c r="D833" s="3" t="str" cm="1">
        <f t="array" aca="1" ref="D833" ca="1">_xlfn.SWITCH(MID(Master[[#This Row],[Checklist]],1,4),"C - ","Civil","F - ","Foundation","ST -","Structure","FC -","Façade","PRE ","Pre-Line","POST","Post-Line","H - ","Handover","S - ","Services","CST ","Completion Docs", "I - ", "Inspection")</f>
        <v>Foundation</v>
      </c>
      <c r="E8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3" s="24" t="str">
        <f ca="1">IF(OR(Master[[#This Row],[Type]]="checklist", Master[[#This Row],[Type]]="checklist-flat"), Master[[#This Row],[Name]], F832)</f>
        <v xml:space="preserve">F - S - Underground services </v>
      </c>
      <c r="G833" s="34" t="s">
        <v>58</v>
      </c>
      <c r="H833" s="34" t="s">
        <v>59</v>
      </c>
      <c r="I833" s="35"/>
      <c r="J833" s="21">
        <f ca="1">_xlfn.XLOOKUP(Master[[#This Row],[Checklist]],Ref!A:A,Ref!B:B)*1000</f>
        <v>88000</v>
      </c>
      <c r="K833" s="21">
        <f ca="1">COUNTIF($J$2:Master[[#This Row],[ChecklistID]],Master[[#This Row],[ChecklistID]])-1</f>
        <v>7</v>
      </c>
      <c r="L833" s="23" t="s">
        <v>6</v>
      </c>
    </row>
    <row r="834" spans="1:12" ht="15.75">
      <c r="A834" s="23">
        <f t="shared" si="13"/>
        <v>833</v>
      </c>
      <c r="B834" s="21">
        <f ca="1">Master[[#This Row],[ChecklistID]]+Master[[#This Row],[Checklist Order]]</f>
        <v>89000</v>
      </c>
      <c r="C834" s="22"/>
      <c r="D834" s="3" t="str" cm="1">
        <f t="array" aca="1" ref="D834" ca="1">_xlfn.SWITCH(MID(Master[[#This Row],[Checklist]],1,4),"C - ","Civil","F - ","Foundation","ST -","Structure","FC -","Façade","PRE ","Pre-Line","POST","Post-Line","H - ","Handover","S - ","Services","CST ","Completion Docs", "I - ", "Inspection")</f>
        <v>Foundation</v>
      </c>
      <c r="E8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4" s="24" t="str">
        <f ca="1">IF(OR(Master[[#This Row],[Type]]="checklist", Master[[#This Row],[Type]]="checklist-flat"), Master[[#This Row],[Name]], F833)</f>
        <v>F - S - Underslab plumbing</v>
      </c>
      <c r="G834" s="34" t="s">
        <v>48</v>
      </c>
      <c r="H834" s="34" t="s">
        <v>219</v>
      </c>
      <c r="I834" s="35"/>
      <c r="J834" s="21">
        <f ca="1">_xlfn.XLOOKUP(Master[[#This Row],[Checklist]],Ref!A:A,Ref!B:B)*1000</f>
        <v>89000</v>
      </c>
      <c r="K834" s="21">
        <f ca="1">COUNTIF($J$2:Master[[#This Row],[ChecklistID]],Master[[#This Row],[ChecklistID]])-1</f>
        <v>0</v>
      </c>
      <c r="L834" s="23" t="s">
        <v>6</v>
      </c>
    </row>
    <row r="835" spans="1:12" ht="15.75">
      <c r="A835" s="23">
        <f t="shared" si="13"/>
        <v>834</v>
      </c>
      <c r="B835" s="21">
        <f ca="1">Master[[#This Row],[ChecklistID]]+Master[[#This Row],[Checklist Order]]</f>
        <v>89001</v>
      </c>
      <c r="C835" s="22"/>
      <c r="D835" s="3" t="str" cm="1">
        <f t="array" aca="1" ref="D835" ca="1">_xlfn.SWITCH(MID(Master[[#This Row],[Checklist]],1,4),"C - ","Civil","F - ","Foundation","ST -","Structure","FC -","Façade","PRE ","Pre-Line","POST","Post-Line","H - ","Handover","S - ","Services","CST ","Completion Docs", "I - ", "Inspection")</f>
        <v>Foundation</v>
      </c>
      <c r="E8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5" s="24" t="str">
        <f ca="1">IF(OR(Master[[#This Row],[Type]]="checklist", Master[[#This Row],[Type]]="checklist-flat"), Master[[#This Row],[Name]], F834)</f>
        <v>F - S - Underslab plumbing</v>
      </c>
      <c r="G835" s="34" t="s">
        <v>49</v>
      </c>
      <c r="H835" s="34" t="s">
        <v>1670</v>
      </c>
      <c r="I835" s="35"/>
      <c r="J835" s="21">
        <f ca="1">_xlfn.XLOOKUP(Master[[#This Row],[Checklist]],Ref!A:A,Ref!B:B)*1000</f>
        <v>89000</v>
      </c>
      <c r="K835" s="21">
        <f ca="1">COUNTIF($J$2:Master[[#This Row],[ChecklistID]],Master[[#This Row],[ChecklistID]])-1</f>
        <v>1</v>
      </c>
      <c r="L835" s="23" t="s">
        <v>6</v>
      </c>
    </row>
    <row r="836" spans="1:12" ht="15.75">
      <c r="A836" s="23">
        <f t="shared" si="13"/>
        <v>835</v>
      </c>
      <c r="B836" s="21">
        <f ca="1">Master[[#This Row],[ChecklistID]]+Master[[#This Row],[Checklist Order]]</f>
        <v>89002</v>
      </c>
      <c r="C836" s="22"/>
      <c r="D836" s="3" t="str" cm="1">
        <f t="array" aca="1" ref="D836" ca="1">_xlfn.SWITCH(MID(Master[[#This Row],[Checklist]],1,4),"C - ","Civil","F - ","Foundation","ST -","Structure","FC -","Façade","PRE ","Pre-Line","POST","Post-Line","H - ","Handover","S - ","Services","CST ","Completion Docs", "I - ", "Inspection")</f>
        <v>Foundation</v>
      </c>
      <c r="E8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6" s="24" t="str">
        <f ca="1">IF(OR(Master[[#This Row],[Type]]="checklist", Master[[#This Row],[Type]]="checklist-flat"), Master[[#This Row],[Name]], F835)</f>
        <v>F - S - Underslab plumbing</v>
      </c>
      <c r="G836" s="34" t="s">
        <v>49</v>
      </c>
      <c r="H836" s="34" t="s">
        <v>221</v>
      </c>
      <c r="I836" s="35"/>
      <c r="J836" s="21">
        <f ca="1">_xlfn.XLOOKUP(Master[[#This Row],[Checklist]],Ref!A:A,Ref!B:B)*1000</f>
        <v>89000</v>
      </c>
      <c r="K836" s="21">
        <f ca="1">COUNTIF($J$2:Master[[#This Row],[ChecklistID]],Master[[#This Row],[ChecklistID]])-1</f>
        <v>2</v>
      </c>
      <c r="L836" s="23" t="s">
        <v>6</v>
      </c>
    </row>
    <row r="837" spans="1:12" ht="15.75">
      <c r="A837" s="23">
        <f t="shared" si="13"/>
        <v>836</v>
      </c>
      <c r="B837" s="21">
        <f ca="1">Master[[#This Row],[ChecklistID]]+Master[[#This Row],[Checklist Order]]</f>
        <v>89003</v>
      </c>
      <c r="C837" s="22"/>
      <c r="D837" s="3" t="str" cm="1">
        <f t="array" aca="1" ref="D837" ca="1">_xlfn.SWITCH(MID(Master[[#This Row],[Checklist]],1,4),"C - ","Civil","F - ","Foundation","ST -","Structure","FC -","Façade","PRE ","Pre-Line","POST","Post-Line","H - ","Handover","S - ","Services","CST ","Completion Docs", "I - ", "Inspection")</f>
        <v>Foundation</v>
      </c>
      <c r="E8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7" s="24" t="str">
        <f ca="1">IF(OR(Master[[#This Row],[Type]]="checklist", Master[[#This Row],[Type]]="checklist-flat"), Master[[#This Row],[Name]], F836)</f>
        <v>F - S - Underslab plumbing</v>
      </c>
      <c r="G837" s="34" t="s">
        <v>49</v>
      </c>
      <c r="H837" s="34" t="s">
        <v>222</v>
      </c>
      <c r="I837" s="35"/>
      <c r="J837" s="21">
        <f ca="1">_xlfn.XLOOKUP(Master[[#This Row],[Checklist]],Ref!A:A,Ref!B:B)*1000</f>
        <v>89000</v>
      </c>
      <c r="K837" s="21">
        <f ca="1">COUNTIF($J$2:Master[[#This Row],[ChecklistID]],Master[[#This Row],[ChecklistID]])-1</f>
        <v>3</v>
      </c>
      <c r="L837" s="23" t="s">
        <v>6</v>
      </c>
    </row>
    <row r="838" spans="1:12" ht="15.75">
      <c r="A838" s="23">
        <f t="shared" si="13"/>
        <v>837</v>
      </c>
      <c r="B838" s="21">
        <f ca="1">Master[[#This Row],[ChecklistID]]+Master[[#This Row],[Checklist Order]]</f>
        <v>89004</v>
      </c>
      <c r="C838" s="22"/>
      <c r="D838" s="3" t="str" cm="1">
        <f t="array" aca="1" ref="D838" ca="1">_xlfn.SWITCH(MID(Master[[#This Row],[Checklist]],1,4),"C - ","Civil","F - ","Foundation","ST -","Structure","FC -","Façade","PRE ","Pre-Line","POST","Post-Line","H - ","Handover","S - ","Services","CST ","Completion Docs", "I - ", "Inspection")</f>
        <v>Foundation</v>
      </c>
      <c r="E8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8" s="24" t="str">
        <f ca="1">IF(OR(Master[[#This Row],[Type]]="checklist", Master[[#This Row],[Type]]="checklist-flat"), Master[[#This Row],[Name]], F837)</f>
        <v>F - S - Underslab plumbing</v>
      </c>
      <c r="G838" s="34" t="s">
        <v>49</v>
      </c>
      <c r="H838" s="34" t="s">
        <v>223</v>
      </c>
      <c r="I838" s="35"/>
      <c r="J838" s="21">
        <f ca="1">_xlfn.XLOOKUP(Master[[#This Row],[Checklist]],Ref!A:A,Ref!B:B)*1000</f>
        <v>89000</v>
      </c>
      <c r="K838" s="21">
        <f ca="1">COUNTIF($J$2:Master[[#This Row],[ChecklistID]],Master[[#This Row],[ChecklistID]])-1</f>
        <v>4</v>
      </c>
      <c r="L838" s="23" t="s">
        <v>6</v>
      </c>
    </row>
    <row r="839" spans="1:12" ht="15.75">
      <c r="A839" s="23">
        <f t="shared" si="13"/>
        <v>838</v>
      </c>
      <c r="B839" s="21">
        <f ca="1">Master[[#This Row],[ChecklistID]]+Master[[#This Row],[Checklist Order]]</f>
        <v>89005</v>
      </c>
      <c r="C839" s="22"/>
      <c r="D839" s="3" t="str" cm="1">
        <f t="array" aca="1" ref="D839" ca="1">_xlfn.SWITCH(MID(Master[[#This Row],[Checklist]],1,4),"C - ","Civil","F - ","Foundation","ST -","Structure","FC -","Façade","PRE ","Pre-Line","POST","Post-Line","H - ","Handover","S - ","Services","CST ","Completion Docs", "I - ", "Inspection")</f>
        <v>Foundation</v>
      </c>
      <c r="E8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39" s="24" t="str">
        <f ca="1">IF(OR(Master[[#This Row],[Type]]="checklist", Master[[#This Row],[Type]]="checklist-flat"), Master[[#This Row],[Name]], F838)</f>
        <v>F - S - Underslab plumbing</v>
      </c>
      <c r="G839" s="34" t="s">
        <v>49</v>
      </c>
      <c r="H839" s="34" t="s">
        <v>1671</v>
      </c>
      <c r="I839" s="35"/>
      <c r="J839" s="21">
        <f ca="1">_xlfn.XLOOKUP(Master[[#This Row],[Checklist]],Ref!A:A,Ref!B:B)*1000</f>
        <v>89000</v>
      </c>
      <c r="K839" s="21">
        <f ca="1">COUNTIF($J$2:Master[[#This Row],[ChecklistID]],Master[[#This Row],[ChecklistID]])-1</f>
        <v>5</v>
      </c>
      <c r="L839" s="23" t="s">
        <v>6</v>
      </c>
    </row>
    <row r="840" spans="1:12" ht="15.75">
      <c r="A840" s="23">
        <f t="shared" si="13"/>
        <v>839</v>
      </c>
      <c r="B840" s="21">
        <f ca="1">Master[[#This Row],[ChecklistID]]+Master[[#This Row],[Checklist Order]]</f>
        <v>89006</v>
      </c>
      <c r="C840" s="22"/>
      <c r="D840" s="3" t="str" cm="1">
        <f t="array" aca="1" ref="D840" ca="1">_xlfn.SWITCH(MID(Master[[#This Row],[Checklist]],1,4),"C - ","Civil","F - ","Foundation","ST -","Structure","FC -","Façade","PRE ","Pre-Line","POST","Post-Line","H - ","Handover","S - ","Services","CST ","Completion Docs", "I - ", "Inspection")</f>
        <v>Foundation</v>
      </c>
      <c r="E8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0" s="24" t="str">
        <f ca="1">IF(OR(Master[[#This Row],[Type]]="checklist", Master[[#This Row],[Type]]="checklist-flat"), Master[[#This Row],[Name]], F839)</f>
        <v>F - S - Underslab plumbing</v>
      </c>
      <c r="G840" s="34" t="s">
        <v>49</v>
      </c>
      <c r="H840" s="34" t="s">
        <v>57</v>
      </c>
      <c r="I840" s="35"/>
      <c r="J840" s="21">
        <f ca="1">_xlfn.XLOOKUP(Master[[#This Row],[Checklist]],Ref!A:A,Ref!B:B)*1000</f>
        <v>89000</v>
      </c>
      <c r="K840" s="21">
        <f ca="1">COUNTIF($J$2:Master[[#This Row],[ChecklistID]],Master[[#This Row],[ChecklistID]])-1</f>
        <v>6</v>
      </c>
      <c r="L840" s="23" t="s">
        <v>6</v>
      </c>
    </row>
    <row r="841" spans="1:12" ht="15.75">
      <c r="A841" s="23">
        <f t="shared" si="13"/>
        <v>840</v>
      </c>
      <c r="B841" s="21">
        <f ca="1">Master[[#This Row],[ChecklistID]]+Master[[#This Row],[Checklist Order]]</f>
        <v>89007</v>
      </c>
      <c r="C841" s="22"/>
      <c r="D841" s="3" t="str" cm="1">
        <f t="array" aca="1" ref="D841" ca="1">_xlfn.SWITCH(MID(Master[[#This Row],[Checklist]],1,4),"C - ","Civil","F - ","Foundation","ST -","Structure","FC -","Façade","PRE ","Pre-Line","POST","Post-Line","H - ","Handover","S - ","Services","CST ","Completion Docs", "I - ", "Inspection")</f>
        <v>Foundation</v>
      </c>
      <c r="E8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1" s="24" t="str">
        <f ca="1">IF(OR(Master[[#This Row],[Type]]="checklist", Master[[#This Row],[Type]]="checklist-flat"), Master[[#This Row],[Name]], F840)</f>
        <v>F - S - Underslab plumbing</v>
      </c>
      <c r="G841" s="34" t="s">
        <v>58</v>
      </c>
      <c r="H841" s="34" t="s">
        <v>59</v>
      </c>
      <c r="I841" s="35"/>
      <c r="J841" s="21">
        <f ca="1">_xlfn.XLOOKUP(Master[[#This Row],[Checklist]],Ref!A:A,Ref!B:B)*1000</f>
        <v>89000</v>
      </c>
      <c r="K841" s="21">
        <f ca="1">COUNTIF($J$2:Master[[#This Row],[ChecklistID]],Master[[#This Row],[ChecklistID]])-1</f>
        <v>7</v>
      </c>
      <c r="L841" s="23" t="s">
        <v>6</v>
      </c>
    </row>
    <row r="842" spans="1:12" ht="15.75">
      <c r="A842" s="23">
        <f t="shared" si="13"/>
        <v>841</v>
      </c>
      <c r="B842" s="21">
        <f ca="1">Master[[#This Row],[ChecklistID]]+Master[[#This Row],[Checklist Order]]</f>
        <v>90000</v>
      </c>
      <c r="C842" s="22"/>
      <c r="D842" s="3" t="str" cm="1">
        <f t="array" aca="1" ref="D842" ca="1">_xlfn.SWITCH(MID(Master[[#This Row],[Checklist]],1,4),"C - ","Civil","F - ","Foundation","ST -","Structure","FC -","Façade","PRE ","Pre-Line","POST","Post-Line","H - ","Handover","S - ","Services","CST ","Completion Docs", "I - ", "Inspection")</f>
        <v>Foundation</v>
      </c>
      <c r="E8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2" s="24" t="str">
        <f ca="1">IF(OR(Master[[#This Row],[Type]]="checklist", Master[[#This Row],[Type]]="checklist-flat"), Master[[#This Row],[Name]], F841)</f>
        <v>F - S - Waterproofing</v>
      </c>
      <c r="G842" s="34" t="s">
        <v>48</v>
      </c>
      <c r="H842" s="34" t="s">
        <v>225</v>
      </c>
      <c r="I842" s="35"/>
      <c r="J842" s="21">
        <f ca="1">_xlfn.XLOOKUP(Master[[#This Row],[Checklist]],Ref!A:A,Ref!B:B)*1000</f>
        <v>90000</v>
      </c>
      <c r="K842" s="21">
        <f ca="1">COUNTIF($J$2:Master[[#This Row],[ChecklistID]],Master[[#This Row],[ChecklistID]])-1</f>
        <v>0</v>
      </c>
      <c r="L842" s="23" t="s">
        <v>6</v>
      </c>
    </row>
    <row r="843" spans="1:12" ht="15.75">
      <c r="A843" s="23">
        <f t="shared" si="13"/>
        <v>842</v>
      </c>
      <c r="B843" s="21">
        <f ca="1">Master[[#This Row],[ChecklistID]]+Master[[#This Row],[Checklist Order]]</f>
        <v>90001</v>
      </c>
      <c r="C843" s="22"/>
      <c r="D843" s="3" t="str" cm="1">
        <f t="array" aca="1" ref="D843" ca="1">_xlfn.SWITCH(MID(Master[[#This Row],[Checklist]],1,4),"C - ","Civil","F - ","Foundation","ST -","Structure","FC -","Façade","PRE ","Pre-Line","POST","Post-Line","H - ","Handover","S - ","Services","CST ","Completion Docs", "I - ", "Inspection")</f>
        <v>Foundation</v>
      </c>
      <c r="E8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3" s="24" t="str">
        <f ca="1">IF(OR(Master[[#This Row],[Type]]="checklist", Master[[#This Row],[Type]]="checklist-flat"), Master[[#This Row],[Name]], F842)</f>
        <v>F - S - Waterproofing</v>
      </c>
      <c r="G843" s="34" t="s">
        <v>49</v>
      </c>
      <c r="H843" s="34" t="s">
        <v>226</v>
      </c>
      <c r="I843" s="35"/>
      <c r="J843" s="21">
        <f ca="1">_xlfn.XLOOKUP(Master[[#This Row],[Checklist]],Ref!A:A,Ref!B:B)*1000</f>
        <v>90000</v>
      </c>
      <c r="K843" s="21">
        <f ca="1">COUNTIF($J$2:Master[[#This Row],[ChecklistID]],Master[[#This Row],[ChecklistID]])-1</f>
        <v>1</v>
      </c>
      <c r="L843" s="23" t="s">
        <v>6</v>
      </c>
    </row>
    <row r="844" spans="1:12" ht="15.75">
      <c r="A844" s="23">
        <f t="shared" si="13"/>
        <v>843</v>
      </c>
      <c r="B844" s="21">
        <f ca="1">Master[[#This Row],[ChecklistID]]+Master[[#This Row],[Checklist Order]]</f>
        <v>90002</v>
      </c>
      <c r="C844" s="22"/>
      <c r="D844" s="3" t="str" cm="1">
        <f t="array" aca="1" ref="D844" ca="1">_xlfn.SWITCH(MID(Master[[#This Row],[Checklist]],1,4),"C - ","Civil","F - ","Foundation","ST -","Structure","FC -","Façade","PRE ","Pre-Line","POST","Post-Line","H - ","Handover","S - ","Services","CST ","Completion Docs", "I - ", "Inspection")</f>
        <v>Foundation</v>
      </c>
      <c r="E8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4" s="24" t="str">
        <f ca="1">IF(OR(Master[[#This Row],[Type]]="checklist", Master[[#This Row],[Type]]="checklist-flat"), Master[[#This Row],[Name]], F843)</f>
        <v>F - S - Waterproofing</v>
      </c>
      <c r="G844" s="34" t="s">
        <v>49</v>
      </c>
      <c r="H844" s="34" t="s">
        <v>227</v>
      </c>
      <c r="I844" s="35"/>
      <c r="J844" s="21">
        <f ca="1">_xlfn.XLOOKUP(Master[[#This Row],[Checklist]],Ref!A:A,Ref!B:B)*1000</f>
        <v>90000</v>
      </c>
      <c r="K844" s="21">
        <f ca="1">COUNTIF($J$2:Master[[#This Row],[ChecklistID]],Master[[#This Row],[ChecklistID]])-1</f>
        <v>2</v>
      </c>
      <c r="L844" s="23" t="s">
        <v>6</v>
      </c>
    </row>
    <row r="845" spans="1:12" ht="15.75">
      <c r="A845" s="23">
        <f t="shared" si="13"/>
        <v>844</v>
      </c>
      <c r="B845" s="21">
        <f ca="1">Master[[#This Row],[ChecklistID]]+Master[[#This Row],[Checklist Order]]</f>
        <v>90003</v>
      </c>
      <c r="C845" s="22"/>
      <c r="D845" s="3" t="str" cm="1">
        <f t="array" aca="1" ref="D845" ca="1">_xlfn.SWITCH(MID(Master[[#This Row],[Checklist]],1,4),"C - ","Civil","F - ","Foundation","ST -","Structure","FC -","Façade","PRE ","Pre-Line","POST","Post-Line","H - ","Handover","S - ","Services","CST ","Completion Docs", "I - ", "Inspection")</f>
        <v>Foundation</v>
      </c>
      <c r="E8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5" s="24" t="str">
        <f ca="1">IF(OR(Master[[#This Row],[Type]]="checklist", Master[[#This Row],[Type]]="checklist-flat"), Master[[#This Row],[Name]], F844)</f>
        <v>F - S - Waterproofing</v>
      </c>
      <c r="G845" s="34" t="s">
        <v>49</v>
      </c>
      <c r="H845" s="34" t="s">
        <v>228</v>
      </c>
      <c r="I845" s="35"/>
      <c r="J845" s="21">
        <f ca="1">_xlfn.XLOOKUP(Master[[#This Row],[Checklist]],Ref!A:A,Ref!B:B)*1000</f>
        <v>90000</v>
      </c>
      <c r="K845" s="21">
        <f ca="1">COUNTIF($J$2:Master[[#This Row],[ChecklistID]],Master[[#This Row],[ChecklistID]])-1</f>
        <v>3</v>
      </c>
      <c r="L845" s="23" t="s">
        <v>6</v>
      </c>
    </row>
    <row r="846" spans="1:12" ht="15.75">
      <c r="A846" s="23">
        <f t="shared" si="13"/>
        <v>845</v>
      </c>
      <c r="B846" s="21">
        <f ca="1">Master[[#This Row],[ChecklistID]]+Master[[#This Row],[Checklist Order]]</f>
        <v>90004</v>
      </c>
      <c r="C846" s="22"/>
      <c r="D846" s="3" t="str" cm="1">
        <f t="array" aca="1" ref="D846" ca="1">_xlfn.SWITCH(MID(Master[[#This Row],[Checklist]],1,4),"C - ","Civil","F - ","Foundation","ST -","Structure","FC -","Façade","PRE ","Pre-Line","POST","Post-Line","H - ","Handover","S - ","Services","CST ","Completion Docs", "I - ", "Inspection")</f>
        <v>Foundation</v>
      </c>
      <c r="E8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6" s="24" t="str">
        <f ca="1">IF(OR(Master[[#This Row],[Type]]="checklist", Master[[#This Row],[Type]]="checklist-flat"), Master[[#This Row],[Name]], F845)</f>
        <v>F - S - Waterproofing</v>
      </c>
      <c r="G846" s="34" t="s">
        <v>49</v>
      </c>
      <c r="H846" s="34" t="s">
        <v>229</v>
      </c>
      <c r="I846" s="35"/>
      <c r="J846" s="21">
        <f ca="1">_xlfn.XLOOKUP(Master[[#This Row],[Checklist]],Ref!A:A,Ref!B:B)*1000</f>
        <v>90000</v>
      </c>
      <c r="K846" s="21">
        <f ca="1">COUNTIF($J$2:Master[[#This Row],[ChecklistID]],Master[[#This Row],[ChecklistID]])-1</f>
        <v>4</v>
      </c>
      <c r="L846" s="23" t="s">
        <v>6</v>
      </c>
    </row>
    <row r="847" spans="1:12" ht="15.75">
      <c r="A847" s="23">
        <f t="shared" si="13"/>
        <v>846</v>
      </c>
      <c r="B847" s="21">
        <f ca="1">Master[[#This Row],[ChecklistID]]+Master[[#This Row],[Checklist Order]]</f>
        <v>90005</v>
      </c>
      <c r="C847" s="22"/>
      <c r="D847" s="3" t="str" cm="1">
        <f t="array" aca="1" ref="D847" ca="1">_xlfn.SWITCH(MID(Master[[#This Row],[Checklist]],1,4),"C - ","Civil","F - ","Foundation","ST -","Structure","FC -","Façade","PRE ","Pre-Line","POST","Post-Line","H - ","Handover","S - ","Services","CST ","Completion Docs", "I - ", "Inspection")</f>
        <v>Foundation</v>
      </c>
      <c r="E8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7" s="24" t="str">
        <f ca="1">IF(OR(Master[[#This Row],[Type]]="checklist", Master[[#This Row],[Type]]="checklist-flat"), Master[[#This Row],[Name]], F846)</f>
        <v>F - S - Waterproofing</v>
      </c>
      <c r="G847" s="34" t="s">
        <v>49</v>
      </c>
      <c r="H847" s="34" t="s">
        <v>230</v>
      </c>
      <c r="I847" s="35"/>
      <c r="J847" s="21">
        <f ca="1">_xlfn.XLOOKUP(Master[[#This Row],[Checklist]],Ref!A:A,Ref!B:B)*1000</f>
        <v>90000</v>
      </c>
      <c r="K847" s="21">
        <f ca="1">COUNTIF($J$2:Master[[#This Row],[ChecklistID]],Master[[#This Row],[ChecklistID]])-1</f>
        <v>5</v>
      </c>
      <c r="L847" s="23" t="s">
        <v>6</v>
      </c>
    </row>
    <row r="848" spans="1:12" ht="15.75">
      <c r="A848" s="23">
        <f t="shared" si="13"/>
        <v>847</v>
      </c>
      <c r="B848" s="21">
        <f ca="1">Master[[#This Row],[ChecklistID]]+Master[[#This Row],[Checklist Order]]</f>
        <v>90006</v>
      </c>
      <c r="C848" s="22"/>
      <c r="D848" s="3" t="str" cm="1">
        <f t="array" aca="1" ref="D848" ca="1">_xlfn.SWITCH(MID(Master[[#This Row],[Checklist]],1,4),"C - ","Civil","F - ","Foundation","ST -","Structure","FC -","Façade","PRE ","Pre-Line","POST","Post-Line","H - ","Handover","S - ","Services","CST ","Completion Docs", "I - ", "Inspection")</f>
        <v>Foundation</v>
      </c>
      <c r="E8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8" s="24" t="str">
        <f ca="1">IF(OR(Master[[#This Row],[Type]]="checklist", Master[[#This Row],[Type]]="checklist-flat"), Master[[#This Row],[Name]], F847)</f>
        <v>F - S - Waterproofing</v>
      </c>
      <c r="G848" s="34" t="s">
        <v>49</v>
      </c>
      <c r="H848" s="34" t="s">
        <v>231</v>
      </c>
      <c r="I848" s="35"/>
      <c r="J848" s="21">
        <f ca="1">_xlfn.XLOOKUP(Master[[#This Row],[Checklist]],Ref!A:A,Ref!B:B)*1000</f>
        <v>90000</v>
      </c>
      <c r="K848" s="21">
        <f ca="1">COUNTIF($J$2:Master[[#This Row],[ChecklistID]],Master[[#This Row],[ChecklistID]])-1</f>
        <v>6</v>
      </c>
      <c r="L848" s="23" t="s">
        <v>6</v>
      </c>
    </row>
    <row r="849" spans="1:12" ht="15.75">
      <c r="A849" s="23">
        <f t="shared" si="13"/>
        <v>848</v>
      </c>
      <c r="B849" s="21">
        <f ca="1">Master[[#This Row],[ChecklistID]]+Master[[#This Row],[Checklist Order]]</f>
        <v>90007</v>
      </c>
      <c r="C849" s="22"/>
      <c r="D849" s="3" t="str" cm="1">
        <f t="array" aca="1" ref="D849" ca="1">_xlfn.SWITCH(MID(Master[[#This Row],[Checklist]],1,4),"C - ","Civil","F - ","Foundation","ST -","Structure","FC -","Façade","PRE ","Pre-Line","POST","Post-Line","H - ","Handover","S - ","Services","CST ","Completion Docs", "I - ", "Inspection")</f>
        <v>Foundation</v>
      </c>
      <c r="E8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49" s="24" t="str">
        <f ca="1">IF(OR(Master[[#This Row],[Type]]="checklist", Master[[#This Row],[Type]]="checklist-flat"), Master[[#This Row],[Name]], F848)</f>
        <v>F - S - Waterproofing</v>
      </c>
      <c r="G849" s="34" t="s">
        <v>49</v>
      </c>
      <c r="H849" s="34" t="s">
        <v>232</v>
      </c>
      <c r="I849" s="35"/>
      <c r="J849" s="21">
        <f ca="1">_xlfn.XLOOKUP(Master[[#This Row],[Checklist]],Ref!A:A,Ref!B:B)*1000</f>
        <v>90000</v>
      </c>
      <c r="K849" s="21">
        <f ca="1">COUNTIF($J$2:Master[[#This Row],[ChecklistID]],Master[[#This Row],[ChecklistID]])-1</f>
        <v>7</v>
      </c>
      <c r="L849" s="23" t="s">
        <v>6</v>
      </c>
    </row>
    <row r="850" spans="1:12" ht="15.75">
      <c r="A850" s="23">
        <f t="shared" si="13"/>
        <v>849</v>
      </c>
      <c r="B850" s="21">
        <f ca="1">Master[[#This Row],[ChecklistID]]+Master[[#This Row],[Checklist Order]]</f>
        <v>90008</v>
      </c>
      <c r="C850" s="22"/>
      <c r="D850" s="3" t="str" cm="1">
        <f t="array" aca="1" ref="D850" ca="1">_xlfn.SWITCH(MID(Master[[#This Row],[Checklist]],1,4),"C - ","Civil","F - ","Foundation","ST -","Structure","FC -","Façade","PRE ","Pre-Line","POST","Post-Line","H - ","Handover","S - ","Services","CST ","Completion Docs", "I - ", "Inspection")</f>
        <v>Foundation</v>
      </c>
      <c r="E8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0" s="24" t="str">
        <f ca="1">IF(OR(Master[[#This Row],[Type]]="checklist", Master[[#This Row],[Type]]="checklist-flat"), Master[[#This Row],[Name]], F849)</f>
        <v>F - S - Waterproofing</v>
      </c>
      <c r="G850" s="34" t="s">
        <v>49</v>
      </c>
      <c r="H850" s="34" t="s">
        <v>233</v>
      </c>
      <c r="I850" s="35"/>
      <c r="J850" s="21">
        <f ca="1">_xlfn.XLOOKUP(Master[[#This Row],[Checklist]],Ref!A:A,Ref!B:B)*1000</f>
        <v>90000</v>
      </c>
      <c r="K850" s="21">
        <f ca="1">COUNTIF($J$2:Master[[#This Row],[ChecklistID]],Master[[#This Row],[ChecklistID]])-1</f>
        <v>8</v>
      </c>
      <c r="L850" s="23" t="s">
        <v>6</v>
      </c>
    </row>
    <row r="851" spans="1:12" ht="15.75">
      <c r="A851" s="23">
        <f t="shared" si="13"/>
        <v>850</v>
      </c>
      <c r="B851" s="21">
        <f ca="1">Master[[#This Row],[ChecklistID]]+Master[[#This Row],[Checklist Order]]</f>
        <v>90009</v>
      </c>
      <c r="C851" s="22"/>
      <c r="D851" s="3" t="str" cm="1">
        <f t="array" aca="1" ref="D851" ca="1">_xlfn.SWITCH(MID(Master[[#This Row],[Checklist]],1,4),"C - ","Civil","F - ","Foundation","ST -","Structure","FC -","Façade","PRE ","Pre-Line","POST","Post-Line","H - ","Handover","S - ","Services","CST ","Completion Docs", "I - ", "Inspection")</f>
        <v>Foundation</v>
      </c>
      <c r="E8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1" s="24" t="str">
        <f ca="1">IF(OR(Master[[#This Row],[Type]]="checklist", Master[[#This Row],[Type]]="checklist-flat"), Master[[#This Row],[Name]], F850)</f>
        <v>F - S - Waterproofing</v>
      </c>
      <c r="G851" s="34" t="s">
        <v>66</v>
      </c>
      <c r="H851" s="34" t="s">
        <v>234</v>
      </c>
      <c r="I851" s="35"/>
      <c r="J851" s="21">
        <f ca="1">_xlfn.XLOOKUP(Master[[#This Row],[Checklist]],Ref!A:A,Ref!B:B)*1000</f>
        <v>90000</v>
      </c>
      <c r="K851" s="21">
        <f ca="1">COUNTIF($J$2:Master[[#This Row],[ChecklistID]],Master[[#This Row],[ChecklistID]])-1</f>
        <v>9</v>
      </c>
      <c r="L851" s="23" t="s">
        <v>6</v>
      </c>
    </row>
    <row r="852" spans="1:12" ht="15.75">
      <c r="A852" s="23">
        <f t="shared" si="13"/>
        <v>851</v>
      </c>
      <c r="B852" s="21">
        <f ca="1">Master[[#This Row],[ChecklistID]]+Master[[#This Row],[Checklist Order]]</f>
        <v>90010</v>
      </c>
      <c r="C852" s="22"/>
      <c r="D852" s="3" t="str" cm="1">
        <f t="array" aca="1" ref="D852" ca="1">_xlfn.SWITCH(MID(Master[[#This Row],[Checklist]],1,4),"C - ","Civil","F - ","Foundation","ST -","Structure","FC -","Façade","PRE ","Pre-Line","POST","Post-Line","H - ","Handover","S - ","Services","CST ","Completion Docs", "I - ", "Inspection")</f>
        <v>Foundation</v>
      </c>
      <c r="E8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2" s="24" t="str">
        <f ca="1">IF(OR(Master[[#This Row],[Type]]="checklist", Master[[#This Row],[Type]]="checklist-flat"), Master[[#This Row],[Name]], F851)</f>
        <v>F - S - Waterproofing</v>
      </c>
      <c r="G852" s="34" t="s">
        <v>49</v>
      </c>
      <c r="H852" s="34" t="s">
        <v>57</v>
      </c>
      <c r="I852" s="35"/>
      <c r="J852" s="21">
        <f ca="1">_xlfn.XLOOKUP(Master[[#This Row],[Checklist]],Ref!A:A,Ref!B:B)*1000</f>
        <v>90000</v>
      </c>
      <c r="K852" s="21">
        <f ca="1">COUNTIF($J$2:Master[[#This Row],[ChecklistID]],Master[[#This Row],[ChecklistID]])-1</f>
        <v>10</v>
      </c>
      <c r="L852" s="23" t="s">
        <v>6</v>
      </c>
    </row>
    <row r="853" spans="1:12" ht="15.75">
      <c r="A853" s="23">
        <f t="shared" si="13"/>
        <v>852</v>
      </c>
      <c r="B853" s="21">
        <f ca="1">Master[[#This Row],[ChecklistID]]+Master[[#This Row],[Checklist Order]]</f>
        <v>90011</v>
      </c>
      <c r="C853" s="22"/>
      <c r="D853" s="3" t="str" cm="1">
        <f t="array" aca="1" ref="D853" ca="1">_xlfn.SWITCH(MID(Master[[#This Row],[Checklist]],1,4),"C - ","Civil","F - ","Foundation","ST -","Structure","FC -","Façade","PRE ","Pre-Line","POST","Post-Line","H - ","Handover","S - ","Services","CST ","Completion Docs", "I - ", "Inspection")</f>
        <v>Foundation</v>
      </c>
      <c r="E8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3" s="24" t="str">
        <f ca="1">IF(OR(Master[[#This Row],[Type]]="checklist", Master[[#This Row],[Type]]="checklist-flat"), Master[[#This Row],[Name]], F852)</f>
        <v>F - S - Waterproofing</v>
      </c>
      <c r="G853" s="34" t="s">
        <v>58</v>
      </c>
      <c r="H853" s="34" t="s">
        <v>59</v>
      </c>
      <c r="I853" s="35"/>
      <c r="J853" s="21">
        <f ca="1">_xlfn.XLOOKUP(Master[[#This Row],[Checklist]],Ref!A:A,Ref!B:B)*1000</f>
        <v>90000</v>
      </c>
      <c r="K853" s="21">
        <f ca="1">COUNTIF($J$2:Master[[#This Row],[ChecklistID]],Master[[#This Row],[ChecklistID]])-1</f>
        <v>11</v>
      </c>
      <c r="L853" s="23" t="s">
        <v>6</v>
      </c>
    </row>
    <row r="854" spans="1:12" ht="15.75">
      <c r="A854" s="23">
        <f t="shared" si="13"/>
        <v>853</v>
      </c>
      <c r="B854" s="21">
        <f ca="1">Master[[#This Row],[ChecklistID]]+Master[[#This Row],[Checklist Order]]</f>
        <v>91000</v>
      </c>
      <c r="C854" s="22"/>
      <c r="D854" s="3" t="str" cm="1">
        <f t="array" aca="1" ref="D854" ca="1">_xlfn.SWITCH(MID(Master[[#This Row],[Checklist]],1,4),"C - ","Civil","F - ","Foundation","ST -","Structure","FC -","Façade","PRE ","Pre-Line","POST","Post-Line","H - ","Handover","S - ","Services","CST ","Completion Docs", "I - ", "Inspection")</f>
        <v>Structure</v>
      </c>
      <c r="E8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4" s="24" t="str">
        <f ca="1">IF(OR(Master[[#This Row],[Type]]="checklist", Master[[#This Row],[Type]]="checklist-flat"), Master[[#This Row],[Name]], F853)</f>
        <v>ST - S - Blockwork</v>
      </c>
      <c r="G854" s="34" t="s">
        <v>48</v>
      </c>
      <c r="H854" s="34" t="s">
        <v>235</v>
      </c>
      <c r="I854" s="35"/>
      <c r="J854" s="21">
        <f ca="1">_xlfn.XLOOKUP(Master[[#This Row],[Checklist]],Ref!A:A,Ref!B:B)*1000</f>
        <v>91000</v>
      </c>
      <c r="K854" s="21">
        <f ca="1">COUNTIF($J$2:Master[[#This Row],[ChecklistID]],Master[[#This Row],[ChecklistID]])-1</f>
        <v>0</v>
      </c>
      <c r="L854" s="23" t="s">
        <v>6</v>
      </c>
    </row>
    <row r="855" spans="1:12" ht="15.75">
      <c r="A855" s="23">
        <f t="shared" si="13"/>
        <v>854</v>
      </c>
      <c r="B855" s="21">
        <f ca="1">Master[[#This Row],[ChecklistID]]+Master[[#This Row],[Checklist Order]]</f>
        <v>91001</v>
      </c>
      <c r="C855" s="22"/>
      <c r="D855" s="3" t="str" cm="1">
        <f t="array" aca="1" ref="D855" ca="1">_xlfn.SWITCH(MID(Master[[#This Row],[Checklist]],1,4),"C - ","Civil","F - ","Foundation","ST -","Structure","FC -","Façade","PRE ","Pre-Line","POST","Post-Line","H - ","Handover","S - ","Services","CST ","Completion Docs", "I - ", "Inspection")</f>
        <v>Structure</v>
      </c>
      <c r="E8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5" s="24" t="str">
        <f ca="1">IF(OR(Master[[#This Row],[Type]]="checklist", Master[[#This Row],[Type]]="checklist-flat"), Master[[#This Row],[Name]], F854)</f>
        <v>ST - S - Blockwork</v>
      </c>
      <c r="G855" s="34" t="s">
        <v>49</v>
      </c>
      <c r="H855" s="34" t="s">
        <v>236</v>
      </c>
      <c r="I855" s="35"/>
      <c r="J855" s="21">
        <f ca="1">_xlfn.XLOOKUP(Master[[#This Row],[Checklist]],Ref!A:A,Ref!B:B)*1000</f>
        <v>91000</v>
      </c>
      <c r="K855" s="21">
        <f ca="1">COUNTIF($J$2:Master[[#This Row],[ChecklistID]],Master[[#This Row],[ChecklistID]])-1</f>
        <v>1</v>
      </c>
      <c r="L855" s="23" t="s">
        <v>6</v>
      </c>
    </row>
    <row r="856" spans="1:12" ht="15.75">
      <c r="A856" s="23">
        <f t="shared" si="13"/>
        <v>855</v>
      </c>
      <c r="B856" s="21">
        <f ca="1">Master[[#This Row],[ChecklistID]]+Master[[#This Row],[Checklist Order]]</f>
        <v>91002</v>
      </c>
      <c r="C856" s="22"/>
      <c r="D856" s="3" t="str" cm="1">
        <f t="array" aca="1" ref="D856" ca="1">_xlfn.SWITCH(MID(Master[[#This Row],[Checklist]],1,4),"C - ","Civil","F - ","Foundation","ST -","Structure","FC -","Façade","PRE ","Pre-Line","POST","Post-Line","H - ","Handover","S - ","Services","CST ","Completion Docs", "I - ", "Inspection")</f>
        <v>Structure</v>
      </c>
      <c r="E8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6" s="24" t="str">
        <f ca="1">IF(OR(Master[[#This Row],[Type]]="checklist", Master[[#This Row],[Type]]="checklist-flat"), Master[[#This Row],[Name]], F855)</f>
        <v>ST - S - Blockwork</v>
      </c>
      <c r="G856" s="34" t="s">
        <v>49</v>
      </c>
      <c r="H856" s="34" t="s">
        <v>237</v>
      </c>
      <c r="I856" s="35"/>
      <c r="J856" s="21">
        <f ca="1">_xlfn.XLOOKUP(Master[[#This Row],[Checklist]],Ref!A:A,Ref!B:B)*1000</f>
        <v>91000</v>
      </c>
      <c r="K856" s="21">
        <f ca="1">COUNTIF($J$2:Master[[#This Row],[ChecklistID]],Master[[#This Row],[ChecklistID]])-1</f>
        <v>2</v>
      </c>
      <c r="L856" s="23" t="s">
        <v>6</v>
      </c>
    </row>
    <row r="857" spans="1:12" ht="15.75">
      <c r="A857" s="23">
        <f t="shared" si="13"/>
        <v>856</v>
      </c>
      <c r="B857" s="21">
        <f ca="1">Master[[#This Row],[ChecklistID]]+Master[[#This Row],[Checklist Order]]</f>
        <v>91003</v>
      </c>
      <c r="C857" s="22"/>
      <c r="D857" s="3" t="str" cm="1">
        <f t="array" aca="1" ref="D857" ca="1">_xlfn.SWITCH(MID(Master[[#This Row],[Checklist]],1,4),"C - ","Civil","F - ","Foundation","ST -","Structure","FC -","Façade","PRE ","Pre-Line","POST","Post-Line","H - ","Handover","S - ","Services","CST ","Completion Docs", "I - ", "Inspection")</f>
        <v>Structure</v>
      </c>
      <c r="E8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7" s="24" t="str">
        <f ca="1">IF(OR(Master[[#This Row],[Type]]="checklist", Master[[#This Row],[Type]]="checklist-flat"), Master[[#This Row],[Name]], F856)</f>
        <v>ST - S - Blockwork</v>
      </c>
      <c r="G857" s="34" t="s">
        <v>49</v>
      </c>
      <c r="H857" s="34" t="s">
        <v>238</v>
      </c>
      <c r="I857" s="35"/>
      <c r="J857" s="21">
        <f ca="1">_xlfn.XLOOKUP(Master[[#This Row],[Checklist]],Ref!A:A,Ref!B:B)*1000</f>
        <v>91000</v>
      </c>
      <c r="K857" s="21">
        <f ca="1">COUNTIF($J$2:Master[[#This Row],[ChecklistID]],Master[[#This Row],[ChecklistID]])-1</f>
        <v>3</v>
      </c>
      <c r="L857" s="23" t="s">
        <v>6</v>
      </c>
    </row>
    <row r="858" spans="1:12" ht="15.75">
      <c r="A858" s="23">
        <f t="shared" si="13"/>
        <v>857</v>
      </c>
      <c r="B858" s="21">
        <f ca="1">Master[[#This Row],[ChecklistID]]+Master[[#This Row],[Checklist Order]]</f>
        <v>91004</v>
      </c>
      <c r="C858" s="22"/>
      <c r="D858" s="3" t="str" cm="1">
        <f t="array" aca="1" ref="D858" ca="1">_xlfn.SWITCH(MID(Master[[#This Row],[Checklist]],1,4),"C - ","Civil","F - ","Foundation","ST -","Structure","FC -","Façade","PRE ","Pre-Line","POST","Post-Line","H - ","Handover","S - ","Services","CST ","Completion Docs", "I - ", "Inspection")</f>
        <v>Structure</v>
      </c>
      <c r="E8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8" s="24" t="str">
        <f ca="1">IF(OR(Master[[#This Row],[Type]]="checklist", Master[[#This Row],[Type]]="checklist-flat"), Master[[#This Row],[Name]], F857)</f>
        <v>ST - S - Blockwork</v>
      </c>
      <c r="G858" s="34" t="s">
        <v>49</v>
      </c>
      <c r="H858" s="34" t="s">
        <v>1672</v>
      </c>
      <c r="I858" s="35"/>
      <c r="J858" s="21">
        <f ca="1">_xlfn.XLOOKUP(Master[[#This Row],[Checklist]],Ref!A:A,Ref!B:B)*1000</f>
        <v>91000</v>
      </c>
      <c r="K858" s="21">
        <f ca="1">COUNTIF($J$2:Master[[#This Row],[ChecklistID]],Master[[#This Row],[ChecklistID]])-1</f>
        <v>4</v>
      </c>
      <c r="L858" s="23" t="s">
        <v>6</v>
      </c>
    </row>
    <row r="859" spans="1:12" ht="15.75">
      <c r="A859" s="23">
        <f t="shared" si="13"/>
        <v>858</v>
      </c>
      <c r="B859" s="21">
        <f ca="1">Master[[#This Row],[ChecklistID]]+Master[[#This Row],[Checklist Order]]</f>
        <v>91005</v>
      </c>
      <c r="C859" s="22"/>
      <c r="D859" s="3" t="str" cm="1">
        <f t="array" aca="1" ref="D859" ca="1">_xlfn.SWITCH(MID(Master[[#This Row],[Checklist]],1,4),"C - ","Civil","F - ","Foundation","ST -","Structure","FC -","Façade","PRE ","Pre-Line","POST","Post-Line","H - ","Handover","S - ","Services","CST ","Completion Docs", "I - ", "Inspection")</f>
        <v>Structure</v>
      </c>
      <c r="E8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59" s="24" t="str">
        <f ca="1">IF(OR(Master[[#This Row],[Type]]="checklist", Master[[#This Row],[Type]]="checklist-flat"), Master[[#This Row],[Name]], F858)</f>
        <v>ST - S - Blockwork</v>
      </c>
      <c r="G859" s="34" t="s">
        <v>49</v>
      </c>
      <c r="H859" s="34" t="s">
        <v>240</v>
      </c>
      <c r="I859" s="35"/>
      <c r="J859" s="21">
        <f ca="1">_xlfn.XLOOKUP(Master[[#This Row],[Checklist]],Ref!A:A,Ref!B:B)*1000</f>
        <v>91000</v>
      </c>
      <c r="K859" s="21">
        <f ca="1">COUNTIF($J$2:Master[[#This Row],[ChecklistID]],Master[[#This Row],[ChecklistID]])-1</f>
        <v>5</v>
      </c>
      <c r="L859" s="23" t="s">
        <v>6</v>
      </c>
    </row>
    <row r="860" spans="1:12" ht="15.75">
      <c r="A860" s="23">
        <f t="shared" si="13"/>
        <v>859</v>
      </c>
      <c r="B860" s="21">
        <f ca="1">Master[[#This Row],[ChecklistID]]+Master[[#This Row],[Checklist Order]]</f>
        <v>91006</v>
      </c>
      <c r="C860" s="22"/>
      <c r="D860" s="3" t="str" cm="1">
        <f t="array" aca="1" ref="D860" ca="1">_xlfn.SWITCH(MID(Master[[#This Row],[Checklist]],1,4),"C - ","Civil","F - ","Foundation","ST -","Structure","FC -","Façade","PRE ","Pre-Line","POST","Post-Line","H - ","Handover","S - ","Services","CST ","Completion Docs", "I - ", "Inspection")</f>
        <v>Structure</v>
      </c>
      <c r="E8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0" s="24" t="str">
        <f ca="1">IF(OR(Master[[#This Row],[Type]]="checklist", Master[[#This Row],[Type]]="checklist-flat"), Master[[#This Row],[Name]], F859)</f>
        <v>ST - S - Blockwork</v>
      </c>
      <c r="G860" s="34" t="s">
        <v>49</v>
      </c>
      <c r="H860" s="34" t="s">
        <v>241</v>
      </c>
      <c r="I860" s="35"/>
      <c r="J860" s="21">
        <f ca="1">_xlfn.XLOOKUP(Master[[#This Row],[Checklist]],Ref!A:A,Ref!B:B)*1000</f>
        <v>91000</v>
      </c>
      <c r="K860" s="21">
        <f ca="1">COUNTIF($J$2:Master[[#This Row],[ChecklistID]],Master[[#This Row],[ChecklistID]])-1</f>
        <v>6</v>
      </c>
      <c r="L860" s="23" t="s">
        <v>6</v>
      </c>
    </row>
    <row r="861" spans="1:12" ht="15.75">
      <c r="A861" s="23">
        <f t="shared" si="13"/>
        <v>860</v>
      </c>
      <c r="B861" s="21">
        <f ca="1">Master[[#This Row],[ChecklistID]]+Master[[#This Row],[Checklist Order]]</f>
        <v>91007</v>
      </c>
      <c r="C861" s="22"/>
      <c r="D861" s="3" t="str" cm="1">
        <f t="array" aca="1" ref="D861" ca="1">_xlfn.SWITCH(MID(Master[[#This Row],[Checklist]],1,4),"C - ","Civil","F - ","Foundation","ST -","Structure","FC -","Façade","PRE ","Pre-Line","POST","Post-Line","H - ","Handover","S - ","Services","CST ","Completion Docs", "I - ", "Inspection")</f>
        <v>Structure</v>
      </c>
      <c r="E8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1" s="24" t="str">
        <f ca="1">IF(OR(Master[[#This Row],[Type]]="checklist", Master[[#This Row],[Type]]="checklist-flat"), Master[[#This Row],[Name]], F860)</f>
        <v>ST - S - Blockwork</v>
      </c>
      <c r="G861" s="34" t="s">
        <v>49</v>
      </c>
      <c r="H861" s="34" t="s">
        <v>242</v>
      </c>
      <c r="I861" s="35"/>
      <c r="J861" s="21">
        <f ca="1">_xlfn.XLOOKUP(Master[[#This Row],[Checklist]],Ref!A:A,Ref!B:B)*1000</f>
        <v>91000</v>
      </c>
      <c r="K861" s="21">
        <f ca="1">COUNTIF($J$2:Master[[#This Row],[ChecklistID]],Master[[#This Row],[ChecklistID]])-1</f>
        <v>7</v>
      </c>
      <c r="L861" s="23" t="s">
        <v>6</v>
      </c>
    </row>
    <row r="862" spans="1:12" ht="15.75">
      <c r="A862" s="23">
        <f t="shared" si="13"/>
        <v>861</v>
      </c>
      <c r="B862" s="21">
        <f ca="1">Master[[#This Row],[ChecklistID]]+Master[[#This Row],[Checklist Order]]</f>
        <v>91008</v>
      </c>
      <c r="C862" s="22"/>
      <c r="D862" s="3" t="str" cm="1">
        <f t="array" aca="1" ref="D862" ca="1">_xlfn.SWITCH(MID(Master[[#This Row],[Checklist]],1,4),"C - ","Civil","F - ","Foundation","ST -","Structure","FC -","Façade","PRE ","Pre-Line","POST","Post-Line","H - ","Handover","S - ","Services","CST ","Completion Docs", "I - ", "Inspection")</f>
        <v>Structure</v>
      </c>
      <c r="E8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2" s="24" t="str">
        <f ca="1">IF(OR(Master[[#This Row],[Type]]="checklist", Master[[#This Row],[Type]]="checklist-flat"), Master[[#This Row],[Name]], F861)</f>
        <v>ST - S - Blockwork</v>
      </c>
      <c r="G862" s="34" t="s">
        <v>49</v>
      </c>
      <c r="H862" s="34" t="s">
        <v>243</v>
      </c>
      <c r="I862" s="35"/>
      <c r="J862" s="21">
        <f ca="1">_xlfn.XLOOKUP(Master[[#This Row],[Checklist]],Ref!A:A,Ref!B:B)*1000</f>
        <v>91000</v>
      </c>
      <c r="K862" s="21">
        <f ca="1">COUNTIF($J$2:Master[[#This Row],[ChecklistID]],Master[[#This Row],[ChecklistID]])-1</f>
        <v>8</v>
      </c>
      <c r="L862" s="23" t="s">
        <v>6</v>
      </c>
    </row>
    <row r="863" spans="1:12" ht="15.75">
      <c r="A863" s="23">
        <f t="shared" si="13"/>
        <v>862</v>
      </c>
      <c r="B863" s="21">
        <f ca="1">Master[[#This Row],[ChecklistID]]+Master[[#This Row],[Checklist Order]]</f>
        <v>91009</v>
      </c>
      <c r="C863" s="22"/>
      <c r="D863" s="3" t="str" cm="1">
        <f t="array" aca="1" ref="D863" ca="1">_xlfn.SWITCH(MID(Master[[#This Row],[Checklist]],1,4),"C - ","Civil","F - ","Foundation","ST -","Structure","FC -","Façade","PRE ","Pre-Line","POST","Post-Line","H - ","Handover","S - ","Services","CST ","Completion Docs", "I - ", "Inspection")</f>
        <v>Structure</v>
      </c>
      <c r="E8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3" s="24" t="str">
        <f ca="1">IF(OR(Master[[#This Row],[Type]]="checklist", Master[[#This Row],[Type]]="checklist-flat"), Master[[#This Row],[Name]], F862)</f>
        <v>ST - S - Blockwork</v>
      </c>
      <c r="G863" s="34" t="s">
        <v>49</v>
      </c>
      <c r="H863" s="34" t="s">
        <v>244</v>
      </c>
      <c r="I863" s="35"/>
      <c r="J863" s="21">
        <f ca="1">_xlfn.XLOOKUP(Master[[#This Row],[Checklist]],Ref!A:A,Ref!B:B)*1000</f>
        <v>91000</v>
      </c>
      <c r="K863" s="21">
        <f ca="1">COUNTIF($J$2:Master[[#This Row],[ChecklistID]],Master[[#This Row],[ChecklistID]])-1</f>
        <v>9</v>
      </c>
      <c r="L863" s="23" t="s">
        <v>6</v>
      </c>
    </row>
    <row r="864" spans="1:12" ht="15.75">
      <c r="A864" s="23">
        <f t="shared" si="13"/>
        <v>863</v>
      </c>
      <c r="B864" s="21">
        <f ca="1">Master[[#This Row],[ChecklistID]]+Master[[#This Row],[Checklist Order]]</f>
        <v>91010</v>
      </c>
      <c r="C864" s="22"/>
      <c r="D864" s="3" t="str" cm="1">
        <f t="array" aca="1" ref="D864" ca="1">_xlfn.SWITCH(MID(Master[[#This Row],[Checklist]],1,4),"C - ","Civil","F - ","Foundation","ST -","Structure","FC -","Façade","PRE ","Pre-Line","POST","Post-Line","H - ","Handover","S - ","Services","CST ","Completion Docs", "I - ", "Inspection")</f>
        <v>Structure</v>
      </c>
      <c r="E8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4" s="24" t="str">
        <f ca="1">IF(OR(Master[[#This Row],[Type]]="checklist", Master[[#This Row],[Type]]="checklist-flat"), Master[[#This Row],[Name]], F863)</f>
        <v>ST - S - Blockwork</v>
      </c>
      <c r="G864" s="34" t="s">
        <v>49</v>
      </c>
      <c r="H864" s="34" t="s">
        <v>245</v>
      </c>
      <c r="I864" s="35"/>
      <c r="J864" s="21">
        <f ca="1">_xlfn.XLOOKUP(Master[[#This Row],[Checklist]],Ref!A:A,Ref!B:B)*1000</f>
        <v>91000</v>
      </c>
      <c r="K864" s="21">
        <f ca="1">COUNTIF($J$2:Master[[#This Row],[ChecklistID]],Master[[#This Row],[ChecklistID]])-1</f>
        <v>10</v>
      </c>
      <c r="L864" s="23" t="s">
        <v>6</v>
      </c>
    </row>
    <row r="865" spans="1:12" ht="15.75">
      <c r="A865" s="23">
        <f t="shared" si="13"/>
        <v>864</v>
      </c>
      <c r="B865" s="21">
        <f ca="1">Master[[#This Row],[ChecklistID]]+Master[[#This Row],[Checklist Order]]</f>
        <v>91011</v>
      </c>
      <c r="C865" s="22"/>
      <c r="D865" s="3" t="str" cm="1">
        <f t="array" aca="1" ref="D865" ca="1">_xlfn.SWITCH(MID(Master[[#This Row],[Checklist]],1,4),"C - ","Civil","F - ","Foundation","ST -","Structure","FC -","Façade","PRE ","Pre-Line","POST","Post-Line","H - ","Handover","S - ","Services","CST ","Completion Docs", "I - ", "Inspection")</f>
        <v>Structure</v>
      </c>
      <c r="E8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5" s="24" t="str">
        <f ca="1">IF(OR(Master[[#This Row],[Type]]="checklist", Master[[#This Row],[Type]]="checklist-flat"), Master[[#This Row],[Name]], F864)</f>
        <v>ST - S - Blockwork</v>
      </c>
      <c r="G865" s="34" t="s">
        <v>49</v>
      </c>
      <c r="H865" s="34" t="s">
        <v>246</v>
      </c>
      <c r="I865" s="35"/>
      <c r="J865" s="21">
        <f ca="1">_xlfn.XLOOKUP(Master[[#This Row],[Checklist]],Ref!A:A,Ref!B:B)*1000</f>
        <v>91000</v>
      </c>
      <c r="K865" s="21">
        <f ca="1">COUNTIF($J$2:Master[[#This Row],[ChecklistID]],Master[[#This Row],[ChecklistID]])-1</f>
        <v>11</v>
      </c>
      <c r="L865" s="23" t="s">
        <v>6</v>
      </c>
    </row>
    <row r="866" spans="1:12" ht="15.75">
      <c r="A866" s="23">
        <f t="shared" si="13"/>
        <v>865</v>
      </c>
      <c r="B866" s="21">
        <f ca="1">Master[[#This Row],[ChecklistID]]+Master[[#This Row],[Checklist Order]]</f>
        <v>91012</v>
      </c>
      <c r="C866" s="22"/>
      <c r="D866" s="3" t="str" cm="1">
        <f t="array" aca="1" ref="D866" ca="1">_xlfn.SWITCH(MID(Master[[#This Row],[Checklist]],1,4),"C - ","Civil","F - ","Foundation","ST -","Structure","FC -","Façade","PRE ","Pre-Line","POST","Post-Line","H - ","Handover","S - ","Services","CST ","Completion Docs", "I - ", "Inspection")</f>
        <v>Structure</v>
      </c>
      <c r="E8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6" s="24" t="str">
        <f ca="1">IF(OR(Master[[#This Row],[Type]]="checklist", Master[[#This Row],[Type]]="checklist-flat"), Master[[#This Row],[Name]], F865)</f>
        <v>ST - S - Blockwork</v>
      </c>
      <c r="G866" s="34" t="s">
        <v>49</v>
      </c>
      <c r="H866" s="34" t="s">
        <v>247</v>
      </c>
      <c r="I866" s="35"/>
      <c r="J866" s="21">
        <f ca="1">_xlfn.XLOOKUP(Master[[#This Row],[Checklist]],Ref!A:A,Ref!B:B)*1000</f>
        <v>91000</v>
      </c>
      <c r="K866" s="21">
        <f ca="1">COUNTIF($J$2:Master[[#This Row],[ChecklistID]],Master[[#This Row],[ChecklistID]])-1</f>
        <v>12</v>
      </c>
      <c r="L866" s="23" t="s">
        <v>6</v>
      </c>
    </row>
    <row r="867" spans="1:12" ht="15.75">
      <c r="A867" s="23">
        <f t="shared" si="13"/>
        <v>866</v>
      </c>
      <c r="B867" s="21">
        <f ca="1">Master[[#This Row],[ChecklistID]]+Master[[#This Row],[Checklist Order]]</f>
        <v>91013</v>
      </c>
      <c r="C867" s="22"/>
      <c r="D867" s="3" t="str" cm="1">
        <f t="array" aca="1" ref="D867" ca="1">_xlfn.SWITCH(MID(Master[[#This Row],[Checklist]],1,4),"C - ","Civil","F - ","Foundation","ST -","Structure","FC -","Façade","PRE ","Pre-Line","POST","Post-Line","H - ","Handover","S - ","Services","CST ","Completion Docs", "I - ", "Inspection")</f>
        <v>Structure</v>
      </c>
      <c r="E8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7" s="24" t="str">
        <f ca="1">IF(OR(Master[[#This Row],[Type]]="checklist", Master[[#This Row],[Type]]="checklist-flat"), Master[[#This Row],[Name]], F866)</f>
        <v>ST - S - Blockwork</v>
      </c>
      <c r="G867" s="34" t="s">
        <v>49</v>
      </c>
      <c r="H867" s="34" t="s">
        <v>57</v>
      </c>
      <c r="I867" s="35"/>
      <c r="J867" s="21">
        <f ca="1">_xlfn.XLOOKUP(Master[[#This Row],[Checklist]],Ref!A:A,Ref!B:B)*1000</f>
        <v>91000</v>
      </c>
      <c r="K867" s="21">
        <f ca="1">COUNTIF($J$2:Master[[#This Row],[ChecklistID]],Master[[#This Row],[ChecklistID]])-1</f>
        <v>13</v>
      </c>
      <c r="L867" s="23" t="s">
        <v>6</v>
      </c>
    </row>
    <row r="868" spans="1:12" ht="15.75">
      <c r="A868" s="23">
        <f t="shared" si="13"/>
        <v>867</v>
      </c>
      <c r="B868" s="21">
        <f ca="1">Master[[#This Row],[ChecklistID]]+Master[[#This Row],[Checklist Order]]</f>
        <v>91014</v>
      </c>
      <c r="C868" s="22"/>
      <c r="D868" s="3" t="str" cm="1">
        <f t="array" aca="1" ref="D868" ca="1">_xlfn.SWITCH(MID(Master[[#This Row],[Checklist]],1,4),"C - ","Civil","F - ","Foundation","ST -","Structure","FC -","Façade","PRE ","Pre-Line","POST","Post-Line","H - ","Handover","S - ","Services","CST ","Completion Docs", "I - ", "Inspection")</f>
        <v>Structure</v>
      </c>
      <c r="E8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8" s="24" t="str">
        <f ca="1">IF(OR(Master[[#This Row],[Type]]="checklist", Master[[#This Row],[Type]]="checklist-flat"), Master[[#This Row],[Name]], F867)</f>
        <v>ST - S - Blockwork</v>
      </c>
      <c r="G868" s="34" t="s">
        <v>58</v>
      </c>
      <c r="H868" s="34" t="s">
        <v>59</v>
      </c>
      <c r="I868" s="35"/>
      <c r="J868" s="21">
        <f ca="1">_xlfn.XLOOKUP(Master[[#This Row],[Checklist]],Ref!A:A,Ref!B:B)*1000</f>
        <v>91000</v>
      </c>
      <c r="K868" s="21">
        <f ca="1">COUNTIF($J$2:Master[[#This Row],[ChecklistID]],Master[[#This Row],[ChecklistID]])-1</f>
        <v>14</v>
      </c>
      <c r="L868" s="23" t="s">
        <v>6</v>
      </c>
    </row>
    <row r="869" spans="1:12" ht="15.75">
      <c r="A869" s="23">
        <f t="shared" si="13"/>
        <v>868</v>
      </c>
      <c r="B869" s="21">
        <f ca="1">Master[[#This Row],[ChecklistID]]+Master[[#This Row],[Checklist Order]]</f>
        <v>92000</v>
      </c>
      <c r="C869" s="22"/>
      <c r="D869" s="3" t="str" cm="1">
        <f t="array" aca="1" ref="D869" ca="1">_xlfn.SWITCH(MID(Master[[#This Row],[Checklist]],1,4),"C - ","Civil","F - ","Foundation","ST -","Structure","FC -","Façade","PRE ","Pre-Line","POST","Post-Line","H - ","Handover","S - ","Services","CST ","Completion Docs", "I - ", "Inspection")</f>
        <v>Structure</v>
      </c>
      <c r="E8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69" s="24" t="str">
        <f ca="1">IF(OR(Master[[#This Row],[Type]]="checklist", Master[[#This Row],[Type]]="checklist-flat"), Master[[#This Row],[Name]], F868)</f>
        <v>ST - S - Concrete Pour</v>
      </c>
      <c r="G869" s="34" t="s">
        <v>119</v>
      </c>
      <c r="H869" s="34" t="s">
        <v>248</v>
      </c>
      <c r="I869" s="35"/>
      <c r="J869" s="21">
        <f ca="1">_xlfn.XLOOKUP(Master[[#This Row],[Checklist]],Ref!A:A,Ref!B:B)*1000</f>
        <v>92000</v>
      </c>
      <c r="K869" s="21">
        <f ca="1">COUNTIF($J$2:Master[[#This Row],[ChecklistID]],Master[[#This Row],[ChecklistID]])-1</f>
        <v>0</v>
      </c>
      <c r="L869" s="23" t="s">
        <v>6</v>
      </c>
    </row>
    <row r="870" spans="1:12" ht="15.75">
      <c r="A870" s="23">
        <f t="shared" si="13"/>
        <v>869</v>
      </c>
      <c r="B870" s="21">
        <f ca="1">Master[[#This Row],[ChecklistID]]+Master[[#This Row],[Checklist Order]]</f>
        <v>92001</v>
      </c>
      <c r="C870" s="22"/>
      <c r="D870" s="3" t="str" cm="1">
        <f t="array" aca="1" ref="D870" ca="1">_xlfn.SWITCH(MID(Master[[#This Row],[Checklist]],1,4),"C - ","Civil","F - ","Foundation","ST -","Structure","FC -","Façade","PRE ","Pre-Line","POST","Post-Line","H - ","Handover","S - ","Services","CST ","Completion Docs", "I - ", "Inspection")</f>
        <v>Structure</v>
      </c>
      <c r="E8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0" s="24" t="str">
        <f ca="1">IF(OR(Master[[#This Row],[Type]]="checklist", Master[[#This Row],[Type]]="checklist-flat"), Master[[#This Row],[Name]], F869)</f>
        <v>ST - S - Concrete Pour</v>
      </c>
      <c r="G870" s="34" t="s">
        <v>120</v>
      </c>
      <c r="H870" s="34" t="s">
        <v>249</v>
      </c>
      <c r="I870" s="35"/>
      <c r="J870" s="21">
        <f ca="1">_xlfn.XLOOKUP(Master[[#This Row],[Checklist]],Ref!A:A,Ref!B:B)*1000</f>
        <v>92000</v>
      </c>
      <c r="K870" s="21">
        <f ca="1">COUNTIF($J$2:Master[[#This Row],[ChecklistID]],Master[[#This Row],[ChecklistID]])-1</f>
        <v>1</v>
      </c>
      <c r="L870" s="23" t="s">
        <v>6</v>
      </c>
    </row>
    <row r="871" spans="1:12" ht="15.75">
      <c r="A871" s="23">
        <f t="shared" si="13"/>
        <v>870</v>
      </c>
      <c r="B871" s="21">
        <f ca="1">Master[[#This Row],[ChecklistID]]+Master[[#This Row],[Checklist Order]]</f>
        <v>92002</v>
      </c>
      <c r="C871" s="22"/>
      <c r="D871" s="3" t="str" cm="1">
        <f t="array" aca="1" ref="D871" ca="1">_xlfn.SWITCH(MID(Master[[#This Row],[Checklist]],1,4),"C - ","Civil","F - ","Foundation","ST -","Structure","FC -","Façade","PRE ","Pre-Line","POST","Post-Line","H - ","Handover","S - ","Services","CST ","Completion Docs", "I - ", "Inspection")</f>
        <v>Structure</v>
      </c>
      <c r="E8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1" s="24" t="str">
        <f ca="1">IF(OR(Master[[#This Row],[Type]]="checklist", Master[[#This Row],[Type]]="checklist-flat"), Master[[#This Row],[Name]], F870)</f>
        <v>ST - S - Concrete Pour</v>
      </c>
      <c r="G871" s="34" t="s">
        <v>49</v>
      </c>
      <c r="H871" s="34" t="s">
        <v>250</v>
      </c>
      <c r="I871" s="35"/>
      <c r="J871" s="21">
        <f ca="1">_xlfn.XLOOKUP(Master[[#This Row],[Checklist]],Ref!A:A,Ref!B:B)*1000</f>
        <v>92000</v>
      </c>
      <c r="K871" s="21">
        <f ca="1">COUNTIF($J$2:Master[[#This Row],[ChecklistID]],Master[[#This Row],[ChecklistID]])-1</f>
        <v>2</v>
      </c>
      <c r="L871" s="23" t="s">
        <v>6</v>
      </c>
    </row>
    <row r="872" spans="1:12" ht="15.75">
      <c r="A872" s="23">
        <f t="shared" si="13"/>
        <v>871</v>
      </c>
      <c r="B872" s="21">
        <f ca="1">Master[[#This Row],[ChecklistID]]+Master[[#This Row],[Checklist Order]]</f>
        <v>92003</v>
      </c>
      <c r="C872" s="22"/>
      <c r="D872" s="3" t="str" cm="1">
        <f t="array" aca="1" ref="D872" ca="1">_xlfn.SWITCH(MID(Master[[#This Row],[Checklist]],1,4),"C - ","Civil","F - ","Foundation","ST -","Structure","FC -","Façade","PRE ","Pre-Line","POST","Post-Line","H - ","Handover","S - ","Services","CST ","Completion Docs", "I - ", "Inspection")</f>
        <v>Structure</v>
      </c>
      <c r="E8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2" s="24" t="str">
        <f ca="1">IF(OR(Master[[#This Row],[Type]]="checklist", Master[[#This Row],[Type]]="checklist-flat"), Master[[#This Row],[Name]], F871)</f>
        <v>ST - S - Concrete Pour</v>
      </c>
      <c r="G872" s="34" t="s">
        <v>124</v>
      </c>
      <c r="H872" s="34" t="s">
        <v>251</v>
      </c>
      <c r="I872" s="35"/>
      <c r="J872" s="21">
        <f ca="1">_xlfn.XLOOKUP(Master[[#This Row],[Checklist]],Ref!A:A,Ref!B:B)*1000</f>
        <v>92000</v>
      </c>
      <c r="K872" s="21">
        <f ca="1">COUNTIF($J$2:Master[[#This Row],[ChecklistID]],Master[[#This Row],[ChecklistID]])-1</f>
        <v>3</v>
      </c>
      <c r="L872" s="23" t="s">
        <v>6</v>
      </c>
    </row>
    <row r="873" spans="1:12" ht="15.75">
      <c r="A873" s="23">
        <f t="shared" si="13"/>
        <v>872</v>
      </c>
      <c r="B873" s="21">
        <f ca="1">Master[[#This Row],[ChecklistID]]+Master[[#This Row],[Checklist Order]]</f>
        <v>92004</v>
      </c>
      <c r="C873" s="22"/>
      <c r="D873" s="3" t="str" cm="1">
        <f t="array" aca="1" ref="D873" ca="1">_xlfn.SWITCH(MID(Master[[#This Row],[Checklist]],1,4),"C - ","Civil","F - ","Foundation","ST -","Structure","FC -","Façade","PRE ","Pre-Line","POST","Post-Line","H - ","Handover","S - ","Services","CST ","Completion Docs", "I - ", "Inspection")</f>
        <v>Structure</v>
      </c>
      <c r="E8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3" s="24" t="str">
        <f ca="1">IF(OR(Master[[#This Row],[Type]]="checklist", Master[[#This Row],[Type]]="checklist-flat"), Master[[#This Row],[Name]], F872)</f>
        <v>ST - S - Concrete Pour</v>
      </c>
      <c r="G873" s="34" t="s">
        <v>124</v>
      </c>
      <c r="H873" s="34" t="s">
        <v>252</v>
      </c>
      <c r="I873" s="35"/>
      <c r="J873" s="21">
        <f ca="1">_xlfn.XLOOKUP(Master[[#This Row],[Checklist]],Ref!A:A,Ref!B:B)*1000</f>
        <v>92000</v>
      </c>
      <c r="K873" s="21">
        <f ca="1">COUNTIF($J$2:Master[[#This Row],[ChecklistID]],Master[[#This Row],[ChecklistID]])-1</f>
        <v>4</v>
      </c>
      <c r="L873" s="23" t="s">
        <v>6</v>
      </c>
    </row>
    <row r="874" spans="1:12" ht="15.75">
      <c r="A874" s="23">
        <f t="shared" ref="A874:A937" si="14">IFERROR(A873+1,1)</f>
        <v>873</v>
      </c>
      <c r="B874" s="21">
        <f ca="1">Master[[#This Row],[ChecklistID]]+Master[[#This Row],[Checklist Order]]</f>
        <v>92005</v>
      </c>
      <c r="C874" s="22"/>
      <c r="D874" s="3" t="str" cm="1">
        <f t="array" aca="1" ref="D874" ca="1">_xlfn.SWITCH(MID(Master[[#This Row],[Checklist]],1,4),"C - ","Civil","F - ","Foundation","ST -","Structure","FC -","Façade","PRE ","Pre-Line","POST","Post-Line","H - ","Handover","S - ","Services","CST ","Completion Docs", "I - ", "Inspection")</f>
        <v>Structure</v>
      </c>
      <c r="E8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4" s="24" t="str">
        <f ca="1">IF(OR(Master[[#This Row],[Type]]="checklist", Master[[#This Row],[Type]]="checklist-flat"), Master[[#This Row],[Name]], F873)</f>
        <v>ST - S - Concrete Pour</v>
      </c>
      <c r="G874" s="34" t="s">
        <v>49</v>
      </c>
      <c r="H874" s="34" t="s">
        <v>253</v>
      </c>
      <c r="I874" s="35"/>
      <c r="J874" s="21">
        <f ca="1">_xlfn.XLOOKUP(Master[[#This Row],[Checklist]],Ref!A:A,Ref!B:B)*1000</f>
        <v>92000</v>
      </c>
      <c r="K874" s="21">
        <f ca="1">COUNTIF($J$2:Master[[#This Row],[ChecklistID]],Master[[#This Row],[ChecklistID]])-1</f>
        <v>5</v>
      </c>
      <c r="L874" s="23" t="s">
        <v>6</v>
      </c>
    </row>
    <row r="875" spans="1:12" ht="15.75">
      <c r="A875" s="23">
        <f t="shared" si="14"/>
        <v>874</v>
      </c>
      <c r="B875" s="21">
        <f ca="1">Master[[#This Row],[ChecklistID]]+Master[[#This Row],[Checklist Order]]</f>
        <v>92006</v>
      </c>
      <c r="C875" s="22"/>
      <c r="D875" s="3" t="str" cm="1">
        <f t="array" aca="1" ref="D875" ca="1">_xlfn.SWITCH(MID(Master[[#This Row],[Checklist]],1,4),"C - ","Civil","F - ","Foundation","ST -","Structure","FC -","Façade","PRE ","Pre-Line","POST","Post-Line","H - ","Handover","S - ","Services","CST ","Completion Docs", "I - ", "Inspection")</f>
        <v>Structure</v>
      </c>
      <c r="E8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5" s="24" t="str">
        <f ca="1">IF(OR(Master[[#This Row],[Type]]="checklist", Master[[#This Row],[Type]]="checklist-flat"), Master[[#This Row],[Name]], F874)</f>
        <v>ST - S - Concrete Pour</v>
      </c>
      <c r="G875" s="34" t="s">
        <v>120</v>
      </c>
      <c r="H875" s="34" t="s">
        <v>254</v>
      </c>
      <c r="I875" s="35"/>
      <c r="J875" s="21">
        <f ca="1">_xlfn.XLOOKUP(Master[[#This Row],[Checklist]],Ref!A:A,Ref!B:B)*1000</f>
        <v>92000</v>
      </c>
      <c r="K875" s="21">
        <f ca="1">COUNTIF($J$2:Master[[#This Row],[ChecklistID]],Master[[#This Row],[ChecklistID]])-1</f>
        <v>6</v>
      </c>
      <c r="L875" s="23" t="s">
        <v>6</v>
      </c>
    </row>
    <row r="876" spans="1:12" ht="15.75">
      <c r="A876" s="23">
        <f t="shared" si="14"/>
        <v>875</v>
      </c>
      <c r="B876" s="21">
        <f ca="1">Master[[#This Row],[ChecklistID]]+Master[[#This Row],[Checklist Order]]</f>
        <v>92007</v>
      </c>
      <c r="C876" s="22"/>
      <c r="D876" s="3" t="str" cm="1">
        <f t="array" aca="1" ref="D876" ca="1">_xlfn.SWITCH(MID(Master[[#This Row],[Checklist]],1,4),"C - ","Civil","F - ","Foundation","ST -","Structure","FC -","Façade","PRE ","Pre-Line","POST","Post-Line","H - ","Handover","S - ","Services","CST ","Completion Docs", "I - ", "Inspection")</f>
        <v>Structure</v>
      </c>
      <c r="E8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6" s="24" t="str">
        <f ca="1">IF(OR(Master[[#This Row],[Type]]="checklist", Master[[#This Row],[Type]]="checklist-flat"), Master[[#This Row],[Name]], F875)</f>
        <v>ST - S - Concrete Pour</v>
      </c>
      <c r="G876" s="34" t="s">
        <v>49</v>
      </c>
      <c r="H876" s="34" t="s">
        <v>255</v>
      </c>
      <c r="I876" s="35"/>
      <c r="J876" s="21">
        <f ca="1">_xlfn.XLOOKUP(Master[[#This Row],[Checklist]],Ref!A:A,Ref!B:B)*1000</f>
        <v>92000</v>
      </c>
      <c r="K876" s="21">
        <f ca="1">COUNTIF($J$2:Master[[#This Row],[ChecklistID]],Master[[#This Row],[ChecklistID]])-1</f>
        <v>7</v>
      </c>
      <c r="L876" s="23" t="s">
        <v>6</v>
      </c>
    </row>
    <row r="877" spans="1:12" ht="15.75">
      <c r="A877" s="23">
        <f t="shared" si="14"/>
        <v>876</v>
      </c>
      <c r="B877" s="21">
        <f ca="1">Master[[#This Row],[ChecklistID]]+Master[[#This Row],[Checklist Order]]</f>
        <v>92008</v>
      </c>
      <c r="C877" s="22"/>
      <c r="D877" s="3" t="str" cm="1">
        <f t="array" aca="1" ref="D877" ca="1">_xlfn.SWITCH(MID(Master[[#This Row],[Checklist]],1,4),"C - ","Civil","F - ","Foundation","ST -","Structure","FC -","Façade","PRE ","Pre-Line","POST","Post-Line","H - ","Handover","S - ","Services","CST ","Completion Docs", "I - ", "Inspection")</f>
        <v>Structure</v>
      </c>
      <c r="E8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7" s="24" t="str">
        <f ca="1">IF(OR(Master[[#This Row],[Type]]="checklist", Master[[#This Row],[Type]]="checklist-flat"), Master[[#This Row],[Name]], F876)</f>
        <v>ST - S - Concrete Pour</v>
      </c>
      <c r="G877" s="34" t="s">
        <v>49</v>
      </c>
      <c r="H877" s="34" t="s">
        <v>256</v>
      </c>
      <c r="I877" s="35"/>
      <c r="J877" s="21">
        <f ca="1">_xlfn.XLOOKUP(Master[[#This Row],[Checklist]],Ref!A:A,Ref!B:B)*1000</f>
        <v>92000</v>
      </c>
      <c r="K877" s="21">
        <f ca="1">COUNTIF($J$2:Master[[#This Row],[ChecklistID]],Master[[#This Row],[ChecklistID]])-1</f>
        <v>8</v>
      </c>
      <c r="L877" s="23" t="s">
        <v>6</v>
      </c>
    </row>
    <row r="878" spans="1:12" ht="15.75">
      <c r="A878" s="23">
        <f t="shared" si="14"/>
        <v>877</v>
      </c>
      <c r="B878" s="21">
        <f ca="1">Master[[#This Row],[ChecklistID]]+Master[[#This Row],[Checklist Order]]</f>
        <v>92009</v>
      </c>
      <c r="C878" s="22"/>
      <c r="D878" s="3" t="str" cm="1">
        <f t="array" aca="1" ref="D878" ca="1">_xlfn.SWITCH(MID(Master[[#This Row],[Checklist]],1,4),"C - ","Civil","F - ","Foundation","ST -","Structure","FC -","Façade","PRE ","Pre-Line","POST","Post-Line","H - ","Handover","S - ","Services","CST ","Completion Docs", "I - ", "Inspection")</f>
        <v>Structure</v>
      </c>
      <c r="E8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8" s="24" t="str">
        <f ca="1">IF(OR(Master[[#This Row],[Type]]="checklist", Master[[#This Row],[Type]]="checklist-flat"), Master[[#This Row],[Name]], F877)</f>
        <v>ST - S - Concrete Pour</v>
      </c>
      <c r="G878" s="34" t="s">
        <v>49</v>
      </c>
      <c r="H878" s="34" t="s">
        <v>1673</v>
      </c>
      <c r="I878" s="35"/>
      <c r="J878" s="21">
        <f ca="1">_xlfn.XLOOKUP(Master[[#This Row],[Checklist]],Ref!A:A,Ref!B:B)*1000</f>
        <v>92000</v>
      </c>
      <c r="K878" s="21">
        <f ca="1">COUNTIF($J$2:Master[[#This Row],[ChecklistID]],Master[[#This Row],[ChecklistID]])-1</f>
        <v>9</v>
      </c>
      <c r="L878" s="23" t="s">
        <v>6</v>
      </c>
    </row>
    <row r="879" spans="1:12" ht="15.75">
      <c r="A879" s="23">
        <f t="shared" si="14"/>
        <v>878</v>
      </c>
      <c r="B879" s="21">
        <f ca="1">Master[[#This Row],[ChecklistID]]+Master[[#This Row],[Checklist Order]]</f>
        <v>92010</v>
      </c>
      <c r="C879" s="22"/>
      <c r="D879" s="3" t="str" cm="1">
        <f t="array" aca="1" ref="D879" ca="1">_xlfn.SWITCH(MID(Master[[#This Row],[Checklist]],1,4),"C - ","Civil","F - ","Foundation","ST -","Structure","FC -","Façade","PRE ","Pre-Line","POST","Post-Line","H - ","Handover","S - ","Services","CST ","Completion Docs", "I - ", "Inspection")</f>
        <v>Structure</v>
      </c>
      <c r="E8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79" s="24" t="str">
        <f ca="1">IF(OR(Master[[#This Row],[Type]]="checklist", Master[[#This Row],[Type]]="checklist-flat"), Master[[#This Row],[Name]], F878)</f>
        <v>ST - S - Concrete Pour</v>
      </c>
      <c r="G879" s="34" t="s">
        <v>49</v>
      </c>
      <c r="H879" s="34" t="s">
        <v>258</v>
      </c>
      <c r="I879" s="35"/>
      <c r="J879" s="21">
        <f ca="1">_xlfn.XLOOKUP(Master[[#This Row],[Checklist]],Ref!A:A,Ref!B:B)*1000</f>
        <v>92000</v>
      </c>
      <c r="K879" s="21">
        <f ca="1">COUNTIF($J$2:Master[[#This Row],[ChecklistID]],Master[[#This Row],[ChecklistID]])-1</f>
        <v>10</v>
      </c>
      <c r="L879" s="23" t="s">
        <v>6</v>
      </c>
    </row>
    <row r="880" spans="1:12" ht="15.75">
      <c r="A880" s="23">
        <f t="shared" si="14"/>
        <v>879</v>
      </c>
      <c r="B880" s="21">
        <f ca="1">Master[[#This Row],[ChecklistID]]+Master[[#This Row],[Checklist Order]]</f>
        <v>92011</v>
      </c>
      <c r="C880" s="22"/>
      <c r="D880" s="3" t="str" cm="1">
        <f t="array" aca="1" ref="D880" ca="1">_xlfn.SWITCH(MID(Master[[#This Row],[Checklist]],1,4),"C - ","Civil","F - ","Foundation","ST -","Structure","FC -","Façade","PRE ","Pre-Line","POST","Post-Line","H - ","Handover","S - ","Services","CST ","Completion Docs", "I - ", "Inspection")</f>
        <v>Structure</v>
      </c>
      <c r="E8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0" s="24" t="str">
        <f ca="1">IF(OR(Master[[#This Row],[Type]]="checklist", Master[[#This Row],[Type]]="checklist-flat"), Master[[#This Row],[Name]], F879)</f>
        <v>ST - S - Concrete Pour</v>
      </c>
      <c r="G880" s="34" t="s">
        <v>120</v>
      </c>
      <c r="H880" s="34" t="s">
        <v>259</v>
      </c>
      <c r="I880" s="35"/>
      <c r="J880" s="21">
        <f ca="1">_xlfn.XLOOKUP(Master[[#This Row],[Checklist]],Ref!A:A,Ref!B:B)*1000</f>
        <v>92000</v>
      </c>
      <c r="K880" s="21">
        <f ca="1">COUNTIF($J$2:Master[[#This Row],[ChecklistID]],Master[[#This Row],[ChecklistID]])-1</f>
        <v>11</v>
      </c>
      <c r="L880" s="23" t="s">
        <v>6</v>
      </c>
    </row>
    <row r="881" spans="1:12" ht="15.75">
      <c r="A881" s="23">
        <f t="shared" si="14"/>
        <v>880</v>
      </c>
      <c r="B881" s="21">
        <f ca="1">Master[[#This Row],[ChecklistID]]+Master[[#This Row],[Checklist Order]]</f>
        <v>92012</v>
      </c>
      <c r="C881" s="22"/>
      <c r="D881" s="3" t="str" cm="1">
        <f t="array" aca="1" ref="D881" ca="1">_xlfn.SWITCH(MID(Master[[#This Row],[Checklist]],1,4),"C - ","Civil","F - ","Foundation","ST -","Structure","FC -","Façade","PRE ","Pre-Line","POST","Post-Line","H - ","Handover","S - ","Services","CST ","Completion Docs", "I - ", "Inspection")</f>
        <v>Structure</v>
      </c>
      <c r="E8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1" s="24" t="str">
        <f ca="1">IF(OR(Master[[#This Row],[Type]]="checklist", Master[[#This Row],[Type]]="checklist-flat"), Master[[#This Row],[Name]], F880)</f>
        <v>ST - S - Concrete Pour</v>
      </c>
      <c r="G881" s="34" t="s">
        <v>49</v>
      </c>
      <c r="H881" s="34" t="s">
        <v>260</v>
      </c>
      <c r="I881" s="35"/>
      <c r="J881" s="21">
        <f ca="1">_xlfn.XLOOKUP(Master[[#This Row],[Checklist]],Ref!A:A,Ref!B:B)*1000</f>
        <v>92000</v>
      </c>
      <c r="K881" s="21">
        <f ca="1">COUNTIF($J$2:Master[[#This Row],[ChecklistID]],Master[[#This Row],[ChecklistID]])-1</f>
        <v>12</v>
      </c>
      <c r="L881" s="23" t="s">
        <v>6</v>
      </c>
    </row>
    <row r="882" spans="1:12" ht="15.75">
      <c r="A882" s="23">
        <f t="shared" si="14"/>
        <v>881</v>
      </c>
      <c r="B882" s="21">
        <f ca="1">Master[[#This Row],[ChecklistID]]+Master[[#This Row],[Checklist Order]]</f>
        <v>92013</v>
      </c>
      <c r="C882" s="22"/>
      <c r="D882" s="3" t="str" cm="1">
        <f t="array" aca="1" ref="D882" ca="1">_xlfn.SWITCH(MID(Master[[#This Row],[Checklist]],1,4),"C - ","Civil","F - ","Foundation","ST -","Structure","FC -","Façade","PRE ","Pre-Line","POST","Post-Line","H - ","Handover","S - ","Services","CST ","Completion Docs", "I - ", "Inspection")</f>
        <v>Structure</v>
      </c>
      <c r="E8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2" s="24" t="str">
        <f ca="1">IF(OR(Master[[#This Row],[Type]]="checklist", Master[[#This Row],[Type]]="checklist-flat"), Master[[#This Row],[Name]], F881)</f>
        <v>ST - S - Concrete Pour</v>
      </c>
      <c r="G882" s="34" t="s">
        <v>49</v>
      </c>
      <c r="H882" s="34" t="s">
        <v>261</v>
      </c>
      <c r="I882" s="35"/>
      <c r="J882" s="21">
        <f ca="1">_xlfn.XLOOKUP(Master[[#This Row],[Checklist]],Ref!A:A,Ref!B:B)*1000</f>
        <v>92000</v>
      </c>
      <c r="K882" s="21">
        <f ca="1">COUNTIF($J$2:Master[[#This Row],[ChecklistID]],Master[[#This Row],[ChecklistID]])-1</f>
        <v>13</v>
      </c>
      <c r="L882" s="23" t="s">
        <v>6</v>
      </c>
    </row>
    <row r="883" spans="1:12" ht="15.75">
      <c r="A883" s="23">
        <f t="shared" si="14"/>
        <v>882</v>
      </c>
      <c r="B883" s="21">
        <f ca="1">Master[[#This Row],[ChecklistID]]+Master[[#This Row],[Checklist Order]]</f>
        <v>92014</v>
      </c>
      <c r="C883" s="22"/>
      <c r="D883" s="3" t="str" cm="1">
        <f t="array" aca="1" ref="D883" ca="1">_xlfn.SWITCH(MID(Master[[#This Row],[Checklist]],1,4),"C - ","Civil","F - ","Foundation","ST -","Structure","FC -","Façade","PRE ","Pre-Line","POST","Post-Line","H - ","Handover","S - ","Services","CST ","Completion Docs", "I - ", "Inspection")</f>
        <v>Structure</v>
      </c>
      <c r="E8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3" s="24" t="str">
        <f ca="1">IF(OR(Master[[#This Row],[Type]]="checklist", Master[[#This Row],[Type]]="checklist-flat"), Master[[#This Row],[Name]], F882)</f>
        <v>ST - S - Concrete Pour</v>
      </c>
      <c r="G883" s="34" t="s">
        <v>49</v>
      </c>
      <c r="H883" s="34" t="s">
        <v>262</v>
      </c>
      <c r="I883" s="35"/>
      <c r="J883" s="21">
        <f ca="1">_xlfn.XLOOKUP(Master[[#This Row],[Checklist]],Ref!A:A,Ref!B:B)*1000</f>
        <v>92000</v>
      </c>
      <c r="K883" s="21">
        <f ca="1">COUNTIF($J$2:Master[[#This Row],[ChecklistID]],Master[[#This Row],[ChecklistID]])-1</f>
        <v>14</v>
      </c>
      <c r="L883" s="23" t="s">
        <v>6</v>
      </c>
    </row>
    <row r="884" spans="1:12" ht="15.75">
      <c r="A884" s="23">
        <f t="shared" si="14"/>
        <v>883</v>
      </c>
      <c r="B884" s="21">
        <f ca="1">Master[[#This Row],[ChecklistID]]+Master[[#This Row],[Checklist Order]]</f>
        <v>92015</v>
      </c>
      <c r="C884" s="22"/>
      <c r="D884" s="3" t="str" cm="1">
        <f t="array" aca="1" ref="D884" ca="1">_xlfn.SWITCH(MID(Master[[#This Row],[Checklist]],1,4),"C - ","Civil","F - ","Foundation","ST -","Structure","FC -","Façade","PRE ","Pre-Line","POST","Post-Line","H - ","Handover","S - ","Services","CST ","Completion Docs", "I - ", "Inspection")</f>
        <v>Structure</v>
      </c>
      <c r="E8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4" s="24" t="str">
        <f ca="1">IF(OR(Master[[#This Row],[Type]]="checklist", Master[[#This Row],[Type]]="checklist-flat"), Master[[#This Row],[Name]], F883)</f>
        <v>ST - S - Concrete Pour</v>
      </c>
      <c r="G884" s="34" t="s">
        <v>49</v>
      </c>
      <c r="H884" s="34" t="s">
        <v>263</v>
      </c>
      <c r="I884" s="35"/>
      <c r="J884" s="21">
        <f ca="1">_xlfn.XLOOKUP(Master[[#This Row],[Checklist]],Ref!A:A,Ref!B:B)*1000</f>
        <v>92000</v>
      </c>
      <c r="K884" s="21">
        <f ca="1">COUNTIF($J$2:Master[[#This Row],[ChecklistID]],Master[[#This Row],[ChecklistID]])-1</f>
        <v>15</v>
      </c>
      <c r="L884" s="23" t="s">
        <v>6</v>
      </c>
    </row>
    <row r="885" spans="1:12" ht="15.75">
      <c r="A885" s="23">
        <f t="shared" si="14"/>
        <v>884</v>
      </c>
      <c r="B885" s="21">
        <f ca="1">Master[[#This Row],[ChecklistID]]+Master[[#This Row],[Checklist Order]]</f>
        <v>92016</v>
      </c>
      <c r="C885" s="22"/>
      <c r="D885" s="3" t="str" cm="1">
        <f t="array" aca="1" ref="D885" ca="1">_xlfn.SWITCH(MID(Master[[#This Row],[Checklist]],1,4),"C - ","Civil","F - ","Foundation","ST -","Structure","FC -","Façade","PRE ","Pre-Line","POST","Post-Line","H - ","Handover","S - ","Services","CST ","Completion Docs", "I - ", "Inspection")</f>
        <v>Structure</v>
      </c>
      <c r="E8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5" s="24" t="str">
        <f ca="1">IF(OR(Master[[#This Row],[Type]]="checklist", Master[[#This Row],[Type]]="checklist-flat"), Master[[#This Row],[Name]], F884)</f>
        <v>ST - S - Concrete Pour</v>
      </c>
      <c r="G885" s="34" t="s">
        <v>49</v>
      </c>
      <c r="H885" s="34" t="s">
        <v>264</v>
      </c>
      <c r="I885" s="35"/>
      <c r="J885" s="21">
        <f ca="1">_xlfn.XLOOKUP(Master[[#This Row],[Checklist]],Ref!A:A,Ref!B:B)*1000</f>
        <v>92000</v>
      </c>
      <c r="K885" s="21">
        <f ca="1">COUNTIF($J$2:Master[[#This Row],[ChecklistID]],Master[[#This Row],[ChecklistID]])-1</f>
        <v>16</v>
      </c>
      <c r="L885" s="23" t="s">
        <v>6</v>
      </c>
    </row>
    <row r="886" spans="1:12" ht="15.75">
      <c r="A886" s="23">
        <f t="shared" si="14"/>
        <v>885</v>
      </c>
      <c r="B886" s="21">
        <f ca="1">Master[[#This Row],[ChecklistID]]+Master[[#This Row],[Checklist Order]]</f>
        <v>92017</v>
      </c>
      <c r="C886" s="22"/>
      <c r="D886" s="3" t="str" cm="1">
        <f t="array" aca="1" ref="D886" ca="1">_xlfn.SWITCH(MID(Master[[#This Row],[Checklist]],1,4),"C - ","Civil","F - ","Foundation","ST -","Structure","FC -","Façade","PRE ","Pre-Line","POST","Post-Line","H - ","Handover","S - ","Services","CST ","Completion Docs", "I - ", "Inspection")</f>
        <v>Structure</v>
      </c>
      <c r="E8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6" s="24" t="str">
        <f ca="1">IF(OR(Master[[#This Row],[Type]]="checklist", Master[[#This Row],[Type]]="checklist-flat"), Master[[#This Row],[Name]], F885)</f>
        <v>ST - S - Concrete Pour</v>
      </c>
      <c r="G886" s="34" t="s">
        <v>66</v>
      </c>
      <c r="H886" s="34" t="s">
        <v>265</v>
      </c>
      <c r="I886" s="35"/>
      <c r="J886" s="21">
        <f ca="1">_xlfn.XLOOKUP(Master[[#This Row],[Checklist]],Ref!A:A,Ref!B:B)*1000</f>
        <v>92000</v>
      </c>
      <c r="K886" s="21">
        <f ca="1">COUNTIF($J$2:Master[[#This Row],[ChecklistID]],Master[[#This Row],[ChecklistID]])-1</f>
        <v>17</v>
      </c>
      <c r="L886" s="23" t="s">
        <v>6</v>
      </c>
    </row>
    <row r="887" spans="1:12" ht="15.75">
      <c r="A887" s="23">
        <f t="shared" si="14"/>
        <v>886</v>
      </c>
      <c r="B887" s="21">
        <f ca="1">Master[[#This Row],[ChecklistID]]+Master[[#This Row],[Checklist Order]]</f>
        <v>92018</v>
      </c>
      <c r="C887" s="22"/>
      <c r="D887" s="3" t="str" cm="1">
        <f t="array" aca="1" ref="D887" ca="1">_xlfn.SWITCH(MID(Master[[#This Row],[Checklist]],1,4),"C - ","Civil","F - ","Foundation","ST -","Structure","FC -","Façade","PRE ","Pre-Line","POST","Post-Line","H - ","Handover","S - ","Services","CST ","Completion Docs", "I - ", "Inspection")</f>
        <v>Structure</v>
      </c>
      <c r="E8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7" s="24" t="str">
        <f ca="1">IF(OR(Master[[#This Row],[Type]]="checklist", Master[[#This Row],[Type]]="checklist-flat"), Master[[#This Row],[Name]], F886)</f>
        <v>ST - S - Concrete Pour</v>
      </c>
      <c r="G887" s="34" t="s">
        <v>66</v>
      </c>
      <c r="H887" s="34" t="s">
        <v>266</v>
      </c>
      <c r="I887" s="35"/>
      <c r="J887" s="21">
        <f ca="1">_xlfn.XLOOKUP(Master[[#This Row],[Checklist]],Ref!A:A,Ref!B:B)*1000</f>
        <v>92000</v>
      </c>
      <c r="K887" s="21">
        <f ca="1">COUNTIF($J$2:Master[[#This Row],[ChecklistID]],Master[[#This Row],[ChecklistID]])-1</f>
        <v>18</v>
      </c>
      <c r="L887" s="23" t="s">
        <v>6</v>
      </c>
    </row>
    <row r="888" spans="1:12" ht="15.75">
      <c r="A888" s="23">
        <f t="shared" si="14"/>
        <v>887</v>
      </c>
      <c r="B888" s="21">
        <f ca="1">Master[[#This Row],[ChecklistID]]+Master[[#This Row],[Checklist Order]]</f>
        <v>92019</v>
      </c>
      <c r="C888" s="22"/>
      <c r="D888" s="3" t="str" cm="1">
        <f t="array" aca="1" ref="D888" ca="1">_xlfn.SWITCH(MID(Master[[#This Row],[Checklist]],1,4),"C - ","Civil","F - ","Foundation","ST -","Structure","FC -","Façade","PRE ","Pre-Line","POST","Post-Line","H - ","Handover","S - ","Services","CST ","Completion Docs", "I - ", "Inspection")</f>
        <v>Structure</v>
      </c>
      <c r="E8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8" s="24" t="str">
        <f ca="1">IF(OR(Master[[#This Row],[Type]]="checklist", Master[[#This Row],[Type]]="checklist-flat"), Master[[#This Row],[Name]], F887)</f>
        <v>ST - S - Concrete Pour</v>
      </c>
      <c r="G888" s="34" t="s">
        <v>49</v>
      </c>
      <c r="H888" s="34" t="s">
        <v>267</v>
      </c>
      <c r="I888" s="35"/>
      <c r="J888" s="21">
        <f ca="1">_xlfn.XLOOKUP(Master[[#This Row],[Checklist]],Ref!A:A,Ref!B:B)*1000</f>
        <v>92000</v>
      </c>
      <c r="K888" s="21">
        <f ca="1">COUNTIF($J$2:Master[[#This Row],[ChecklistID]],Master[[#This Row],[ChecklistID]])-1</f>
        <v>19</v>
      </c>
      <c r="L888" s="23" t="s">
        <v>6</v>
      </c>
    </row>
    <row r="889" spans="1:12" ht="15.75">
      <c r="A889" s="23">
        <f t="shared" si="14"/>
        <v>888</v>
      </c>
      <c r="B889" s="21">
        <f ca="1">Master[[#This Row],[ChecklistID]]+Master[[#This Row],[Checklist Order]]</f>
        <v>92020</v>
      </c>
      <c r="C889" s="22"/>
      <c r="D889" s="3" t="str" cm="1">
        <f t="array" aca="1" ref="D889" ca="1">_xlfn.SWITCH(MID(Master[[#This Row],[Checklist]],1,4),"C - ","Civil","F - ","Foundation","ST -","Structure","FC -","Façade","PRE ","Pre-Line","POST","Post-Line","H - ","Handover","S - ","Services","CST ","Completion Docs", "I - ", "Inspection")</f>
        <v>Structure</v>
      </c>
      <c r="E8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89" s="24" t="str">
        <f ca="1">IF(OR(Master[[#This Row],[Type]]="checklist", Master[[#This Row],[Type]]="checklist-flat"), Master[[#This Row],[Name]], F888)</f>
        <v>ST - S - Concrete Pour</v>
      </c>
      <c r="G889" s="34" t="s">
        <v>49</v>
      </c>
      <c r="H889" s="34" t="s">
        <v>268</v>
      </c>
      <c r="I889" s="35"/>
      <c r="J889" s="21">
        <f ca="1">_xlfn.XLOOKUP(Master[[#This Row],[Checklist]],Ref!A:A,Ref!B:B)*1000</f>
        <v>92000</v>
      </c>
      <c r="K889" s="21">
        <f ca="1">COUNTIF($J$2:Master[[#This Row],[ChecklistID]],Master[[#This Row],[ChecklistID]])-1</f>
        <v>20</v>
      </c>
      <c r="L889" s="23" t="s">
        <v>6</v>
      </c>
    </row>
    <row r="890" spans="1:12" ht="15.75">
      <c r="A890" s="23">
        <f t="shared" si="14"/>
        <v>889</v>
      </c>
      <c r="B890" s="21">
        <f ca="1">Master[[#This Row],[ChecklistID]]+Master[[#This Row],[Checklist Order]]</f>
        <v>92021</v>
      </c>
      <c r="C890" s="22"/>
      <c r="D890" s="3" t="str" cm="1">
        <f t="array" aca="1" ref="D890" ca="1">_xlfn.SWITCH(MID(Master[[#This Row],[Checklist]],1,4),"C - ","Civil","F - ","Foundation","ST -","Structure","FC -","Façade","PRE ","Pre-Line","POST","Post-Line","H - ","Handover","S - ","Services","CST ","Completion Docs", "I - ", "Inspection")</f>
        <v>Structure</v>
      </c>
      <c r="E8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0" s="24" t="str">
        <f ca="1">IF(OR(Master[[#This Row],[Type]]="checklist", Master[[#This Row],[Type]]="checklist-flat"), Master[[#This Row],[Name]], F889)</f>
        <v>ST - S - Concrete Pour</v>
      </c>
      <c r="G890" s="34" t="s">
        <v>49</v>
      </c>
      <c r="H890" s="34" t="s">
        <v>269</v>
      </c>
      <c r="I890" s="35"/>
      <c r="J890" s="21">
        <f ca="1">_xlfn.XLOOKUP(Master[[#This Row],[Checklist]],Ref!A:A,Ref!B:B)*1000</f>
        <v>92000</v>
      </c>
      <c r="K890" s="21">
        <f ca="1">COUNTIF($J$2:Master[[#This Row],[ChecklistID]],Master[[#This Row],[ChecklistID]])-1</f>
        <v>21</v>
      </c>
      <c r="L890" s="23" t="s">
        <v>6</v>
      </c>
    </row>
    <row r="891" spans="1:12" ht="15.75">
      <c r="A891" s="23">
        <f t="shared" si="14"/>
        <v>890</v>
      </c>
      <c r="B891" s="21">
        <f ca="1">Master[[#This Row],[ChecklistID]]+Master[[#This Row],[Checklist Order]]</f>
        <v>92022</v>
      </c>
      <c r="C891" s="22"/>
      <c r="D891" s="3" t="str" cm="1">
        <f t="array" aca="1" ref="D891" ca="1">_xlfn.SWITCH(MID(Master[[#This Row],[Checklist]],1,4),"C - ","Civil","F - ","Foundation","ST -","Structure","FC -","Façade","PRE ","Pre-Line","POST","Post-Line","H - ","Handover","S - ","Services","CST ","Completion Docs", "I - ", "Inspection")</f>
        <v>Structure</v>
      </c>
      <c r="E8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1" s="24" t="str">
        <f ca="1">IF(OR(Master[[#This Row],[Type]]="checklist", Master[[#This Row],[Type]]="checklist-flat"), Master[[#This Row],[Name]], F890)</f>
        <v>ST - S - Concrete Pour</v>
      </c>
      <c r="G891" s="34" t="s">
        <v>49</v>
      </c>
      <c r="H891" s="34" t="s">
        <v>270</v>
      </c>
      <c r="I891" s="35"/>
      <c r="J891" s="21">
        <f ca="1">_xlfn.XLOOKUP(Master[[#This Row],[Checklist]],Ref!A:A,Ref!B:B)*1000</f>
        <v>92000</v>
      </c>
      <c r="K891" s="21">
        <f ca="1">COUNTIF($J$2:Master[[#This Row],[ChecklistID]],Master[[#This Row],[ChecklistID]])-1</f>
        <v>22</v>
      </c>
      <c r="L891" s="23" t="s">
        <v>6</v>
      </c>
    </row>
    <row r="892" spans="1:12" ht="15.75">
      <c r="A892" s="23">
        <f t="shared" si="14"/>
        <v>891</v>
      </c>
      <c r="B892" s="21">
        <f ca="1">Master[[#This Row],[ChecklistID]]+Master[[#This Row],[Checklist Order]]</f>
        <v>92023</v>
      </c>
      <c r="C892" s="22"/>
      <c r="D892" s="3" t="str" cm="1">
        <f t="array" aca="1" ref="D892" ca="1">_xlfn.SWITCH(MID(Master[[#This Row],[Checklist]],1,4),"C - ","Civil","F - ","Foundation","ST -","Structure","FC -","Façade","PRE ","Pre-Line","POST","Post-Line","H - ","Handover","S - ","Services","CST ","Completion Docs", "I - ", "Inspection")</f>
        <v>Structure</v>
      </c>
      <c r="E8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2" s="24" t="str">
        <f ca="1">IF(OR(Master[[#This Row],[Type]]="checklist", Master[[#This Row],[Type]]="checklist-flat"), Master[[#This Row],[Name]], F891)</f>
        <v>ST - S - Concrete Pour</v>
      </c>
      <c r="G892" s="34" t="s">
        <v>49</v>
      </c>
      <c r="H892" s="34" t="s">
        <v>271</v>
      </c>
      <c r="I892" s="35"/>
      <c r="J892" s="21">
        <f ca="1">_xlfn.XLOOKUP(Master[[#This Row],[Checklist]],Ref!A:A,Ref!B:B)*1000</f>
        <v>92000</v>
      </c>
      <c r="K892" s="21">
        <f ca="1">COUNTIF($J$2:Master[[#This Row],[ChecklistID]],Master[[#This Row],[ChecklistID]])-1</f>
        <v>23</v>
      </c>
      <c r="L892" s="23" t="s">
        <v>6</v>
      </c>
    </row>
    <row r="893" spans="1:12" ht="15.75">
      <c r="A893" s="23">
        <f t="shared" si="14"/>
        <v>892</v>
      </c>
      <c r="B893" s="21">
        <f ca="1">Master[[#This Row],[ChecklistID]]+Master[[#This Row],[Checklist Order]]</f>
        <v>92024</v>
      </c>
      <c r="C893" s="22"/>
      <c r="D893" s="3" t="str" cm="1">
        <f t="array" aca="1" ref="D893" ca="1">_xlfn.SWITCH(MID(Master[[#This Row],[Checklist]],1,4),"C - ","Civil","F - ","Foundation","ST -","Structure","FC -","Façade","PRE ","Pre-Line","POST","Post-Line","H - ","Handover","S - ","Services","CST ","Completion Docs", "I - ", "Inspection")</f>
        <v>Structure</v>
      </c>
      <c r="E8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3" s="24" t="str">
        <f ca="1">IF(OR(Master[[#This Row],[Type]]="checklist", Master[[#This Row],[Type]]="checklist-flat"), Master[[#This Row],[Name]], F892)</f>
        <v>ST - S - Concrete Pour</v>
      </c>
      <c r="G893" s="34" t="s">
        <v>49</v>
      </c>
      <c r="H893" s="34" t="s">
        <v>272</v>
      </c>
      <c r="I893" s="35"/>
      <c r="J893" s="21">
        <f ca="1">_xlfn.XLOOKUP(Master[[#This Row],[Checklist]],Ref!A:A,Ref!B:B)*1000</f>
        <v>92000</v>
      </c>
      <c r="K893" s="21">
        <f ca="1">COUNTIF($J$2:Master[[#This Row],[ChecklistID]],Master[[#This Row],[ChecklistID]])-1</f>
        <v>24</v>
      </c>
      <c r="L893" s="23" t="s">
        <v>6</v>
      </c>
    </row>
    <row r="894" spans="1:12" ht="15.75">
      <c r="A894" s="23">
        <f t="shared" si="14"/>
        <v>893</v>
      </c>
      <c r="B894" s="21">
        <f ca="1">Master[[#This Row],[ChecklistID]]+Master[[#This Row],[Checklist Order]]</f>
        <v>92025</v>
      </c>
      <c r="C894" s="22"/>
      <c r="D894" s="3" t="str" cm="1">
        <f t="array" aca="1" ref="D894" ca="1">_xlfn.SWITCH(MID(Master[[#This Row],[Checklist]],1,4),"C - ","Civil","F - ","Foundation","ST -","Structure","FC -","Façade","PRE ","Pre-Line","POST","Post-Line","H - ","Handover","S - ","Services","CST ","Completion Docs", "I - ", "Inspection")</f>
        <v>Structure</v>
      </c>
      <c r="E8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4" s="24" t="str">
        <f ca="1">IF(OR(Master[[#This Row],[Type]]="checklist", Master[[#This Row],[Type]]="checklist-flat"), Master[[#This Row],[Name]], F893)</f>
        <v>ST - S - Concrete Pour</v>
      </c>
      <c r="G894" s="34" t="s">
        <v>120</v>
      </c>
      <c r="H894" s="34" t="s">
        <v>273</v>
      </c>
      <c r="I894" s="35"/>
      <c r="J894" s="21">
        <f ca="1">_xlfn.XLOOKUP(Master[[#This Row],[Checklist]],Ref!A:A,Ref!B:B)*1000</f>
        <v>92000</v>
      </c>
      <c r="K894" s="21">
        <f ca="1">COUNTIF($J$2:Master[[#This Row],[ChecklistID]],Master[[#This Row],[ChecklistID]])-1</f>
        <v>25</v>
      </c>
      <c r="L894" s="23" t="s">
        <v>6</v>
      </c>
    </row>
    <row r="895" spans="1:12" ht="15.75">
      <c r="A895" s="23">
        <f t="shared" si="14"/>
        <v>894</v>
      </c>
      <c r="B895" s="21">
        <f ca="1">Master[[#This Row],[ChecklistID]]+Master[[#This Row],[Checklist Order]]</f>
        <v>92026</v>
      </c>
      <c r="C895" s="22"/>
      <c r="D895" s="3" t="str" cm="1">
        <f t="array" aca="1" ref="D895" ca="1">_xlfn.SWITCH(MID(Master[[#This Row],[Checklist]],1,4),"C - ","Civil","F - ","Foundation","ST -","Structure","FC -","Façade","PRE ","Pre-Line","POST","Post-Line","H - ","Handover","S - ","Services","CST ","Completion Docs", "I - ", "Inspection")</f>
        <v>Structure</v>
      </c>
      <c r="E8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5" s="24" t="str">
        <f ca="1">IF(OR(Master[[#This Row],[Type]]="checklist", Master[[#This Row],[Type]]="checklist-flat"), Master[[#This Row],[Name]], F894)</f>
        <v>ST - S - Concrete Pour</v>
      </c>
      <c r="G895" s="34" t="s">
        <v>49</v>
      </c>
      <c r="H895" s="34" t="s">
        <v>274</v>
      </c>
      <c r="I895" s="35"/>
      <c r="J895" s="21">
        <f ca="1">_xlfn.XLOOKUP(Master[[#This Row],[Checklist]],Ref!A:A,Ref!B:B)*1000</f>
        <v>92000</v>
      </c>
      <c r="K895" s="21">
        <f ca="1">COUNTIF($J$2:Master[[#This Row],[ChecklistID]],Master[[#This Row],[ChecklistID]])-1</f>
        <v>26</v>
      </c>
      <c r="L895" s="23" t="s">
        <v>6</v>
      </c>
    </row>
    <row r="896" spans="1:12" ht="15.75">
      <c r="A896" s="23">
        <f t="shared" si="14"/>
        <v>895</v>
      </c>
      <c r="B896" s="21">
        <f ca="1">Master[[#This Row],[ChecklistID]]+Master[[#This Row],[Checklist Order]]</f>
        <v>92027</v>
      </c>
      <c r="C896" s="22"/>
      <c r="D896" s="3" t="str" cm="1">
        <f t="array" aca="1" ref="D896" ca="1">_xlfn.SWITCH(MID(Master[[#This Row],[Checklist]],1,4),"C - ","Civil","F - ","Foundation","ST -","Structure","FC -","Façade","PRE ","Pre-Line","POST","Post-Line","H - ","Handover","S - ","Services","CST ","Completion Docs", "I - ", "Inspection")</f>
        <v>Structure</v>
      </c>
      <c r="E8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6" s="24" t="str">
        <f ca="1">IF(OR(Master[[#This Row],[Type]]="checklist", Master[[#This Row],[Type]]="checklist-flat"), Master[[#This Row],[Name]], F895)</f>
        <v>ST - S - Concrete Pour</v>
      </c>
      <c r="G896" s="34" t="s">
        <v>49</v>
      </c>
      <c r="H896" s="34" t="s">
        <v>275</v>
      </c>
      <c r="I896" s="35"/>
      <c r="J896" s="21">
        <f ca="1">_xlfn.XLOOKUP(Master[[#This Row],[Checklist]],Ref!A:A,Ref!B:B)*1000</f>
        <v>92000</v>
      </c>
      <c r="K896" s="21">
        <f ca="1">COUNTIF($J$2:Master[[#This Row],[ChecklistID]],Master[[#This Row],[ChecklistID]])-1</f>
        <v>27</v>
      </c>
      <c r="L896" s="23" t="s">
        <v>6</v>
      </c>
    </row>
    <row r="897" spans="1:12" ht="15.75">
      <c r="A897" s="23">
        <f t="shared" si="14"/>
        <v>896</v>
      </c>
      <c r="B897" s="21">
        <f ca="1">Master[[#This Row],[ChecklistID]]+Master[[#This Row],[Checklist Order]]</f>
        <v>92028</v>
      </c>
      <c r="C897" s="22"/>
      <c r="D897" s="3" t="str" cm="1">
        <f t="array" aca="1" ref="D897" ca="1">_xlfn.SWITCH(MID(Master[[#This Row],[Checklist]],1,4),"C - ","Civil","F - ","Foundation","ST -","Structure","FC -","Façade","PRE ","Pre-Line","POST","Post-Line","H - ","Handover","S - ","Services","CST ","Completion Docs", "I - ", "Inspection")</f>
        <v>Structure</v>
      </c>
      <c r="E8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7" s="24" t="str">
        <f ca="1">IF(OR(Master[[#This Row],[Type]]="checklist", Master[[#This Row],[Type]]="checklist-flat"), Master[[#This Row],[Name]], F896)</f>
        <v>ST - S - Concrete Pour</v>
      </c>
      <c r="G897" s="34" t="s">
        <v>49</v>
      </c>
      <c r="H897" s="34" t="s">
        <v>276</v>
      </c>
      <c r="I897" s="35"/>
      <c r="J897" s="21">
        <f ca="1">_xlfn.XLOOKUP(Master[[#This Row],[Checklist]],Ref!A:A,Ref!B:B)*1000</f>
        <v>92000</v>
      </c>
      <c r="K897" s="21">
        <f ca="1">COUNTIF($J$2:Master[[#This Row],[ChecklistID]],Master[[#This Row],[ChecklistID]])-1</f>
        <v>28</v>
      </c>
      <c r="L897" s="23" t="s">
        <v>6</v>
      </c>
    </row>
    <row r="898" spans="1:12" ht="15.75">
      <c r="A898" s="23">
        <f t="shared" si="14"/>
        <v>897</v>
      </c>
      <c r="B898" s="21">
        <f ca="1">Master[[#This Row],[ChecklistID]]+Master[[#This Row],[Checklist Order]]</f>
        <v>92029</v>
      </c>
      <c r="C898" s="22"/>
      <c r="D898" s="3" t="str" cm="1">
        <f t="array" aca="1" ref="D898" ca="1">_xlfn.SWITCH(MID(Master[[#This Row],[Checklist]],1,4),"C - ","Civil","F - ","Foundation","ST -","Structure","FC -","Façade","PRE ","Pre-Line","POST","Post-Line","H - ","Handover","S - ","Services","CST ","Completion Docs", "I - ", "Inspection")</f>
        <v>Structure</v>
      </c>
      <c r="E8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8" s="24" t="str">
        <f ca="1">IF(OR(Master[[#This Row],[Type]]="checklist", Master[[#This Row],[Type]]="checklist-flat"), Master[[#This Row],[Name]], F897)</f>
        <v>ST - S - Concrete Pour</v>
      </c>
      <c r="G898" s="34" t="s">
        <v>49</v>
      </c>
      <c r="H898" s="34" t="s">
        <v>277</v>
      </c>
      <c r="I898" s="35"/>
      <c r="J898" s="21">
        <f ca="1">_xlfn.XLOOKUP(Master[[#This Row],[Checklist]],Ref!A:A,Ref!B:B)*1000</f>
        <v>92000</v>
      </c>
      <c r="K898" s="21">
        <f ca="1">COUNTIF($J$2:Master[[#This Row],[ChecklistID]],Master[[#This Row],[ChecklistID]])-1</f>
        <v>29</v>
      </c>
      <c r="L898" s="23" t="s">
        <v>6</v>
      </c>
    </row>
    <row r="899" spans="1:12" ht="15.75">
      <c r="A899" s="23">
        <f t="shared" si="14"/>
        <v>898</v>
      </c>
      <c r="B899" s="21">
        <f ca="1">Master[[#This Row],[ChecklistID]]+Master[[#This Row],[Checklist Order]]</f>
        <v>92030</v>
      </c>
      <c r="C899" s="22"/>
      <c r="D899" s="3" t="str" cm="1">
        <f t="array" aca="1" ref="D899" ca="1">_xlfn.SWITCH(MID(Master[[#This Row],[Checklist]],1,4),"C - ","Civil","F - ","Foundation","ST -","Structure","FC -","Façade","PRE ","Pre-Line","POST","Post-Line","H - ","Handover","S - ","Services","CST ","Completion Docs", "I - ", "Inspection")</f>
        <v>Structure</v>
      </c>
      <c r="E8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899" s="24" t="str">
        <f ca="1">IF(OR(Master[[#This Row],[Type]]="checklist", Master[[#This Row],[Type]]="checklist-flat"), Master[[#This Row],[Name]], F898)</f>
        <v>ST - S - Concrete Pour</v>
      </c>
      <c r="G899" s="34" t="s">
        <v>120</v>
      </c>
      <c r="H899" s="34" t="s">
        <v>278</v>
      </c>
      <c r="I899" s="35"/>
      <c r="J899" s="21">
        <f ca="1">_xlfn.XLOOKUP(Master[[#This Row],[Checklist]],Ref!A:A,Ref!B:B)*1000</f>
        <v>92000</v>
      </c>
      <c r="K899" s="21">
        <f ca="1">COUNTIF($J$2:Master[[#This Row],[ChecklistID]],Master[[#This Row],[ChecklistID]])-1</f>
        <v>30</v>
      </c>
      <c r="L899" s="23" t="s">
        <v>6</v>
      </c>
    </row>
    <row r="900" spans="1:12" ht="15.75">
      <c r="A900" s="23">
        <f t="shared" si="14"/>
        <v>899</v>
      </c>
      <c r="B900" s="21">
        <f ca="1">Master[[#This Row],[ChecklistID]]+Master[[#This Row],[Checklist Order]]</f>
        <v>92031</v>
      </c>
      <c r="C900" s="22"/>
      <c r="D900" s="3" t="str" cm="1">
        <f t="array" aca="1" ref="D900" ca="1">_xlfn.SWITCH(MID(Master[[#This Row],[Checklist]],1,4),"C - ","Civil","F - ","Foundation","ST -","Structure","FC -","Façade","PRE ","Pre-Line","POST","Post-Line","H - ","Handover","S - ","Services","CST ","Completion Docs", "I - ", "Inspection")</f>
        <v>Structure</v>
      </c>
      <c r="E9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0" s="24" t="str">
        <f ca="1">IF(OR(Master[[#This Row],[Type]]="checklist", Master[[#This Row],[Type]]="checklist-flat"), Master[[#This Row],[Name]], F899)</f>
        <v>ST - S - Concrete Pour</v>
      </c>
      <c r="G900" s="34" t="s">
        <v>49</v>
      </c>
      <c r="H900" s="34" t="s">
        <v>279</v>
      </c>
      <c r="I900" s="35"/>
      <c r="J900" s="21">
        <f ca="1">_xlfn.XLOOKUP(Master[[#This Row],[Checklist]],Ref!A:A,Ref!B:B)*1000</f>
        <v>92000</v>
      </c>
      <c r="K900" s="21">
        <f ca="1">COUNTIF($J$2:Master[[#This Row],[ChecklistID]],Master[[#This Row],[ChecklistID]])-1</f>
        <v>31</v>
      </c>
      <c r="L900" s="23" t="s">
        <v>6</v>
      </c>
    </row>
    <row r="901" spans="1:12" ht="15.75">
      <c r="A901" s="23">
        <f t="shared" si="14"/>
        <v>900</v>
      </c>
      <c r="B901" s="21">
        <f ca="1">Master[[#This Row],[ChecklistID]]+Master[[#This Row],[Checklist Order]]</f>
        <v>92032</v>
      </c>
      <c r="C901" s="22"/>
      <c r="D901" s="3" t="str" cm="1">
        <f t="array" aca="1" ref="D901" ca="1">_xlfn.SWITCH(MID(Master[[#This Row],[Checklist]],1,4),"C - ","Civil","F - ","Foundation","ST -","Structure","FC -","Façade","PRE ","Pre-Line","POST","Post-Line","H - ","Handover","S - ","Services","CST ","Completion Docs", "I - ", "Inspection")</f>
        <v>Structure</v>
      </c>
      <c r="E9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1" s="24" t="str">
        <f ca="1">IF(OR(Master[[#This Row],[Type]]="checklist", Master[[#This Row],[Type]]="checklist-flat"), Master[[#This Row],[Name]], F900)</f>
        <v>ST - S - Concrete Pour</v>
      </c>
      <c r="G901" s="34" t="s">
        <v>124</v>
      </c>
      <c r="H901" s="34" t="s">
        <v>280</v>
      </c>
      <c r="I901" s="35"/>
      <c r="J901" s="21">
        <f ca="1">_xlfn.XLOOKUP(Master[[#This Row],[Checklist]],Ref!A:A,Ref!B:B)*1000</f>
        <v>92000</v>
      </c>
      <c r="K901" s="21">
        <f ca="1">COUNTIF($J$2:Master[[#This Row],[ChecklistID]],Master[[#This Row],[ChecklistID]])-1</f>
        <v>32</v>
      </c>
      <c r="L901" s="23" t="s">
        <v>6</v>
      </c>
    </row>
    <row r="902" spans="1:12" ht="15.75">
      <c r="A902" s="23">
        <f t="shared" si="14"/>
        <v>901</v>
      </c>
      <c r="B902" s="21">
        <f ca="1">Master[[#This Row],[ChecklistID]]+Master[[#This Row],[Checklist Order]]</f>
        <v>92033</v>
      </c>
      <c r="C902" s="22"/>
      <c r="D902" s="3" t="str" cm="1">
        <f t="array" aca="1" ref="D902" ca="1">_xlfn.SWITCH(MID(Master[[#This Row],[Checklist]],1,4),"C - ","Civil","F - ","Foundation","ST -","Structure","FC -","Façade","PRE ","Pre-Line","POST","Post-Line","H - ","Handover","S - ","Services","CST ","Completion Docs", "I - ", "Inspection")</f>
        <v>Structure</v>
      </c>
      <c r="E9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2" s="24" t="str">
        <f ca="1">IF(OR(Master[[#This Row],[Type]]="checklist", Master[[#This Row],[Type]]="checklist-flat"), Master[[#This Row],[Name]], F901)</f>
        <v>ST - S - Concrete Pour</v>
      </c>
      <c r="G902" s="34" t="s">
        <v>124</v>
      </c>
      <c r="H902" s="34" t="s">
        <v>281</v>
      </c>
      <c r="I902" s="35" t="s">
        <v>282</v>
      </c>
      <c r="J902" s="21">
        <f ca="1">_xlfn.XLOOKUP(Master[[#This Row],[Checklist]],Ref!A:A,Ref!B:B)*1000</f>
        <v>92000</v>
      </c>
      <c r="K902" s="21">
        <f ca="1">COUNTIF($J$2:Master[[#This Row],[ChecklistID]],Master[[#This Row],[ChecklistID]])-1</f>
        <v>33</v>
      </c>
      <c r="L902" s="23" t="s">
        <v>6</v>
      </c>
    </row>
    <row r="903" spans="1:12" ht="15.75">
      <c r="A903" s="23">
        <f t="shared" si="14"/>
        <v>902</v>
      </c>
      <c r="B903" s="21">
        <f ca="1">Master[[#This Row],[ChecklistID]]+Master[[#This Row],[Checklist Order]]</f>
        <v>92034</v>
      </c>
      <c r="C903" s="22"/>
      <c r="D903" s="3" t="str" cm="1">
        <f t="array" aca="1" ref="D903" ca="1">_xlfn.SWITCH(MID(Master[[#This Row],[Checklist]],1,4),"C - ","Civil","F - ","Foundation","ST -","Structure","FC -","Façade","PRE ","Pre-Line","POST","Post-Line","H - ","Handover","S - ","Services","CST ","Completion Docs", "I - ", "Inspection")</f>
        <v>Structure</v>
      </c>
      <c r="E9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3" s="24" t="str">
        <f ca="1">IF(OR(Master[[#This Row],[Type]]="checklist", Master[[#This Row],[Type]]="checklist-flat"), Master[[#This Row],[Name]], F902)</f>
        <v>ST - S - Concrete Pour</v>
      </c>
      <c r="G903" s="34" t="s">
        <v>124</v>
      </c>
      <c r="H903" s="34" t="s">
        <v>283</v>
      </c>
      <c r="I903" s="35" t="s">
        <v>282</v>
      </c>
      <c r="J903" s="21">
        <f ca="1">_xlfn.XLOOKUP(Master[[#This Row],[Checklist]],Ref!A:A,Ref!B:B)*1000</f>
        <v>92000</v>
      </c>
      <c r="K903" s="21">
        <f ca="1">COUNTIF($J$2:Master[[#This Row],[ChecklistID]],Master[[#This Row],[ChecklistID]])-1</f>
        <v>34</v>
      </c>
      <c r="L903" s="23" t="s">
        <v>6</v>
      </c>
    </row>
    <row r="904" spans="1:12" ht="15.75">
      <c r="A904" s="23">
        <f t="shared" si="14"/>
        <v>903</v>
      </c>
      <c r="B904" s="21">
        <f ca="1">Master[[#This Row],[ChecklistID]]+Master[[#This Row],[Checklist Order]]</f>
        <v>92035</v>
      </c>
      <c r="C904" s="22"/>
      <c r="D904" s="3" t="str" cm="1">
        <f t="array" aca="1" ref="D904" ca="1">_xlfn.SWITCH(MID(Master[[#This Row],[Checklist]],1,4),"C - ","Civil","F - ","Foundation","ST -","Structure","FC -","Façade","PRE ","Pre-Line","POST","Post-Line","H - ","Handover","S - ","Services","CST ","Completion Docs", "I - ", "Inspection")</f>
        <v>Structure</v>
      </c>
      <c r="E9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4" s="24" t="str">
        <f ca="1">IF(OR(Master[[#This Row],[Type]]="checklist", Master[[#This Row],[Type]]="checklist-flat"), Master[[#This Row],[Name]], F903)</f>
        <v>ST - S - Concrete Pour</v>
      </c>
      <c r="G904" s="34" t="s">
        <v>124</v>
      </c>
      <c r="H904" s="34" t="s">
        <v>284</v>
      </c>
      <c r="I904" s="35" t="s">
        <v>285</v>
      </c>
      <c r="J904" s="21">
        <f ca="1">_xlfn.XLOOKUP(Master[[#This Row],[Checklist]],Ref!A:A,Ref!B:B)*1000</f>
        <v>92000</v>
      </c>
      <c r="K904" s="21">
        <f ca="1">COUNTIF($J$2:Master[[#This Row],[ChecklistID]],Master[[#This Row],[ChecklistID]])-1</f>
        <v>35</v>
      </c>
      <c r="L904" s="23" t="s">
        <v>6</v>
      </c>
    </row>
    <row r="905" spans="1:12" ht="15.75">
      <c r="A905" s="23">
        <f t="shared" si="14"/>
        <v>904</v>
      </c>
      <c r="B905" s="21">
        <f ca="1">Master[[#This Row],[ChecklistID]]+Master[[#This Row],[Checklist Order]]</f>
        <v>92036</v>
      </c>
      <c r="C905" s="22"/>
      <c r="D905" s="3" t="str" cm="1">
        <f t="array" aca="1" ref="D905" ca="1">_xlfn.SWITCH(MID(Master[[#This Row],[Checklist]],1,4),"C - ","Civil","F - ","Foundation","ST -","Structure","FC -","Façade","PRE ","Pre-Line","POST","Post-Line","H - ","Handover","S - ","Services","CST ","Completion Docs", "I - ", "Inspection")</f>
        <v>Structure</v>
      </c>
      <c r="E9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5" s="24" t="str">
        <f ca="1">IF(OR(Master[[#This Row],[Type]]="checklist", Master[[#This Row],[Type]]="checklist-flat"), Master[[#This Row],[Name]], F904)</f>
        <v>ST - S - Concrete Pour</v>
      </c>
      <c r="G905" s="34" t="s">
        <v>131</v>
      </c>
      <c r="H905" s="34" t="s">
        <v>286</v>
      </c>
      <c r="I905" s="35" t="s">
        <v>287</v>
      </c>
      <c r="J905" s="21">
        <f ca="1">_xlfn.XLOOKUP(Master[[#This Row],[Checklist]],Ref!A:A,Ref!B:B)*1000</f>
        <v>92000</v>
      </c>
      <c r="K905" s="21">
        <f ca="1">COUNTIF($J$2:Master[[#This Row],[ChecklistID]],Master[[#This Row],[ChecklistID]])-1</f>
        <v>36</v>
      </c>
      <c r="L905" s="23" t="s">
        <v>6</v>
      </c>
    </row>
    <row r="906" spans="1:12" ht="15.75">
      <c r="A906" s="23">
        <f t="shared" si="14"/>
        <v>905</v>
      </c>
      <c r="B906" s="21">
        <f ca="1">Master[[#This Row],[ChecklistID]]+Master[[#This Row],[Checklist Order]]</f>
        <v>92037</v>
      </c>
      <c r="C906" s="22"/>
      <c r="D906" s="3" t="str" cm="1">
        <f t="array" aca="1" ref="D906" ca="1">_xlfn.SWITCH(MID(Master[[#This Row],[Checklist]],1,4),"C - ","Civil","F - ","Foundation","ST -","Structure","FC -","Façade","PRE ","Pre-Line","POST","Post-Line","H - ","Handover","S - ","Services","CST ","Completion Docs", "I - ", "Inspection")</f>
        <v>Structure</v>
      </c>
      <c r="E9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6" s="24" t="str">
        <f ca="1">IF(OR(Master[[#This Row],[Type]]="checklist", Master[[#This Row],[Type]]="checklist-flat"), Master[[#This Row],[Name]], F905)</f>
        <v>ST - S - Concrete Pour</v>
      </c>
      <c r="G906" s="34" t="s">
        <v>49</v>
      </c>
      <c r="H906" s="34" t="s">
        <v>288</v>
      </c>
      <c r="I906" s="35"/>
      <c r="J906" s="21">
        <f ca="1">_xlfn.XLOOKUP(Master[[#This Row],[Checklist]],Ref!A:A,Ref!B:B)*1000</f>
        <v>92000</v>
      </c>
      <c r="K906" s="21">
        <f ca="1">COUNTIF($J$2:Master[[#This Row],[ChecklistID]],Master[[#This Row],[ChecklistID]])-1</f>
        <v>37</v>
      </c>
      <c r="L906" s="23" t="s">
        <v>6</v>
      </c>
    </row>
    <row r="907" spans="1:12" ht="15.75">
      <c r="A907" s="23">
        <f t="shared" si="14"/>
        <v>906</v>
      </c>
      <c r="B907" s="21">
        <f ca="1">Master[[#This Row],[ChecklistID]]+Master[[#This Row],[Checklist Order]]</f>
        <v>92038</v>
      </c>
      <c r="C907" s="22"/>
      <c r="D907" s="3" t="str" cm="1">
        <f t="array" aca="1" ref="D907" ca="1">_xlfn.SWITCH(MID(Master[[#This Row],[Checklist]],1,4),"C - ","Civil","F - ","Foundation","ST -","Structure","FC -","Façade","PRE ","Pre-Line","POST","Post-Line","H - ","Handover","S - ","Services","CST ","Completion Docs", "I - ", "Inspection")</f>
        <v>Structure</v>
      </c>
      <c r="E9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7" s="24" t="str">
        <f ca="1">IF(OR(Master[[#This Row],[Type]]="checklist", Master[[#This Row],[Type]]="checklist-flat"), Master[[#This Row],[Name]], F906)</f>
        <v>ST - S - Concrete Pour</v>
      </c>
      <c r="G907" s="34" t="s">
        <v>49</v>
      </c>
      <c r="H907" s="34" t="s">
        <v>289</v>
      </c>
      <c r="I907" s="35"/>
      <c r="J907" s="21">
        <f ca="1">_xlfn.XLOOKUP(Master[[#This Row],[Checklist]],Ref!A:A,Ref!B:B)*1000</f>
        <v>92000</v>
      </c>
      <c r="K907" s="21">
        <f ca="1">COUNTIF($J$2:Master[[#This Row],[ChecklistID]],Master[[#This Row],[ChecklistID]])-1</f>
        <v>38</v>
      </c>
      <c r="L907" s="23" t="s">
        <v>6</v>
      </c>
    </row>
    <row r="908" spans="1:12" ht="15.75">
      <c r="A908" s="23">
        <f t="shared" si="14"/>
        <v>907</v>
      </c>
      <c r="B908" s="21">
        <f ca="1">Master[[#This Row],[ChecklistID]]+Master[[#This Row],[Checklist Order]]</f>
        <v>92039</v>
      </c>
      <c r="C908" s="22"/>
      <c r="D908" s="3" t="str" cm="1">
        <f t="array" aca="1" ref="D908" ca="1">_xlfn.SWITCH(MID(Master[[#This Row],[Checklist]],1,4),"C - ","Civil","F - ","Foundation","ST -","Structure","FC -","Façade","PRE ","Pre-Line","POST","Post-Line","H - ","Handover","S - ","Services","CST ","Completion Docs", "I - ", "Inspection")</f>
        <v>Structure</v>
      </c>
      <c r="E9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8" s="24" t="str">
        <f ca="1">IF(OR(Master[[#This Row],[Type]]="checklist", Master[[#This Row],[Type]]="checklist-flat"), Master[[#This Row],[Name]], F907)</f>
        <v>ST - S - Concrete Pour</v>
      </c>
      <c r="G908" s="34" t="s">
        <v>120</v>
      </c>
      <c r="H908" s="34" t="s">
        <v>290</v>
      </c>
      <c r="I908" s="35"/>
      <c r="J908" s="21">
        <f ca="1">_xlfn.XLOOKUP(Master[[#This Row],[Checklist]],Ref!A:A,Ref!B:B)*1000</f>
        <v>92000</v>
      </c>
      <c r="K908" s="21">
        <f ca="1">COUNTIF($J$2:Master[[#This Row],[ChecklistID]],Master[[#This Row],[ChecklistID]])-1</f>
        <v>39</v>
      </c>
      <c r="L908" s="23" t="s">
        <v>6</v>
      </c>
    </row>
    <row r="909" spans="1:12" ht="15.75">
      <c r="A909" s="23">
        <f t="shared" si="14"/>
        <v>908</v>
      </c>
      <c r="B909" s="21">
        <f ca="1">Master[[#This Row],[ChecklistID]]+Master[[#This Row],[Checklist Order]]</f>
        <v>92040</v>
      </c>
      <c r="C909" s="22"/>
      <c r="D909" s="3" t="str" cm="1">
        <f t="array" aca="1" ref="D909" ca="1">_xlfn.SWITCH(MID(Master[[#This Row],[Checklist]],1,4),"C - ","Civil","F - ","Foundation","ST -","Structure","FC -","Façade","PRE ","Pre-Line","POST","Post-Line","H - ","Handover","S - ","Services","CST ","Completion Docs", "I - ", "Inspection")</f>
        <v>Structure</v>
      </c>
      <c r="E9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09" s="24" t="str">
        <f ca="1">IF(OR(Master[[#This Row],[Type]]="checklist", Master[[#This Row],[Type]]="checklist-flat"), Master[[#This Row],[Name]], F908)</f>
        <v>ST - S - Concrete Pour</v>
      </c>
      <c r="G909" s="34" t="s">
        <v>49</v>
      </c>
      <c r="H909" s="34" t="s">
        <v>291</v>
      </c>
      <c r="I909" s="35"/>
      <c r="J909" s="21">
        <f ca="1">_xlfn.XLOOKUP(Master[[#This Row],[Checklist]],Ref!A:A,Ref!B:B)*1000</f>
        <v>92000</v>
      </c>
      <c r="K909" s="21">
        <f ca="1">COUNTIF($J$2:Master[[#This Row],[ChecklistID]],Master[[#This Row],[ChecklistID]])-1</f>
        <v>40</v>
      </c>
      <c r="L909" s="23" t="s">
        <v>6</v>
      </c>
    </row>
    <row r="910" spans="1:12" ht="15.75">
      <c r="A910" s="23">
        <f t="shared" si="14"/>
        <v>909</v>
      </c>
      <c r="B910" s="21">
        <f ca="1">Master[[#This Row],[ChecklistID]]+Master[[#This Row],[Checklist Order]]</f>
        <v>92041</v>
      </c>
      <c r="C910" s="22"/>
      <c r="D910" s="3" t="str" cm="1">
        <f t="array" aca="1" ref="D910" ca="1">_xlfn.SWITCH(MID(Master[[#This Row],[Checklist]],1,4),"C - ","Civil","F - ","Foundation","ST -","Structure","FC -","Façade","PRE ","Pre-Line","POST","Post-Line","H - ","Handover","S - ","Services","CST ","Completion Docs", "I - ", "Inspection")</f>
        <v>Structure</v>
      </c>
      <c r="E9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0" s="24" t="str">
        <f ca="1">IF(OR(Master[[#This Row],[Type]]="checklist", Master[[#This Row],[Type]]="checklist-flat"), Master[[#This Row],[Name]], F909)</f>
        <v>ST - S - Concrete Pour</v>
      </c>
      <c r="G910" s="34" t="s">
        <v>49</v>
      </c>
      <c r="H910" s="34" t="s">
        <v>292</v>
      </c>
      <c r="I910" s="35"/>
      <c r="J910" s="21">
        <f ca="1">_xlfn.XLOOKUP(Master[[#This Row],[Checklist]],Ref!A:A,Ref!B:B)*1000</f>
        <v>92000</v>
      </c>
      <c r="K910" s="21">
        <f ca="1">COUNTIF($J$2:Master[[#This Row],[ChecklistID]],Master[[#This Row],[ChecklistID]])-1</f>
        <v>41</v>
      </c>
      <c r="L910" s="23" t="s">
        <v>6</v>
      </c>
    </row>
    <row r="911" spans="1:12" ht="15.75">
      <c r="A911" s="23">
        <f t="shared" si="14"/>
        <v>910</v>
      </c>
      <c r="B911" s="21">
        <f ca="1">Master[[#This Row],[ChecklistID]]+Master[[#This Row],[Checklist Order]]</f>
        <v>92042</v>
      </c>
      <c r="C911" s="22"/>
      <c r="D911" s="3" t="str" cm="1">
        <f t="array" aca="1" ref="D911" ca="1">_xlfn.SWITCH(MID(Master[[#This Row],[Checklist]],1,4),"C - ","Civil","F - ","Foundation","ST -","Structure","FC -","Façade","PRE ","Pre-Line","POST","Post-Line","H - ","Handover","S - ","Services","CST ","Completion Docs", "I - ", "Inspection")</f>
        <v>Structure</v>
      </c>
      <c r="E9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1" s="24" t="str">
        <f ca="1">IF(OR(Master[[#This Row],[Type]]="checklist", Master[[#This Row],[Type]]="checklist-flat"), Master[[#This Row],[Name]], F910)</f>
        <v>ST - S - Concrete Pour</v>
      </c>
      <c r="G911" s="34" t="s">
        <v>131</v>
      </c>
      <c r="H911" s="34" t="s">
        <v>293</v>
      </c>
      <c r="I911" s="35" t="s">
        <v>287</v>
      </c>
      <c r="J911" s="21">
        <f ca="1">_xlfn.XLOOKUP(Master[[#This Row],[Checklist]],Ref!A:A,Ref!B:B)*1000</f>
        <v>92000</v>
      </c>
      <c r="K911" s="21">
        <f ca="1">COUNTIF($J$2:Master[[#This Row],[ChecklistID]],Master[[#This Row],[ChecklistID]])-1</f>
        <v>42</v>
      </c>
      <c r="L911" s="23" t="s">
        <v>6</v>
      </c>
    </row>
    <row r="912" spans="1:12" ht="15.75">
      <c r="A912" s="23">
        <f t="shared" si="14"/>
        <v>911</v>
      </c>
      <c r="B912" s="21">
        <f ca="1">Master[[#This Row],[ChecklistID]]+Master[[#This Row],[Checklist Order]]</f>
        <v>92043</v>
      </c>
      <c r="C912" s="22"/>
      <c r="D912" s="3" t="str" cm="1">
        <f t="array" aca="1" ref="D912" ca="1">_xlfn.SWITCH(MID(Master[[#This Row],[Checklist]],1,4),"C - ","Civil","F - ","Foundation","ST -","Structure","FC -","Façade","PRE ","Pre-Line","POST","Post-Line","H - ","Handover","S - ","Services","CST ","Completion Docs", "I - ", "Inspection")</f>
        <v>Structure</v>
      </c>
      <c r="E9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2" s="24" t="str">
        <f ca="1">IF(OR(Master[[#This Row],[Type]]="checklist", Master[[#This Row],[Type]]="checklist-flat"), Master[[#This Row],[Name]], F911)</f>
        <v>ST - S - Concrete Pour</v>
      </c>
      <c r="G912" s="34" t="s">
        <v>49</v>
      </c>
      <c r="H912" s="34" t="s">
        <v>294</v>
      </c>
      <c r="I912" s="35"/>
      <c r="J912" s="21">
        <f ca="1">_xlfn.XLOOKUP(Master[[#This Row],[Checklist]],Ref!A:A,Ref!B:B)*1000</f>
        <v>92000</v>
      </c>
      <c r="K912" s="21">
        <f ca="1">COUNTIF($J$2:Master[[#This Row],[ChecklistID]],Master[[#This Row],[ChecklistID]])-1</f>
        <v>43</v>
      </c>
      <c r="L912" s="23" t="s">
        <v>6</v>
      </c>
    </row>
    <row r="913" spans="1:12" ht="15.75">
      <c r="A913" s="23">
        <f t="shared" si="14"/>
        <v>912</v>
      </c>
      <c r="B913" s="21">
        <f ca="1">Master[[#This Row],[ChecklistID]]+Master[[#This Row],[Checklist Order]]</f>
        <v>92044</v>
      </c>
      <c r="C913" s="22"/>
      <c r="D913" s="3" t="str" cm="1">
        <f t="array" aca="1" ref="D913" ca="1">_xlfn.SWITCH(MID(Master[[#This Row],[Checklist]],1,4),"C - ","Civil","F - ","Foundation","ST -","Structure","FC -","Façade","PRE ","Pre-Line","POST","Post-Line","H - ","Handover","S - ","Services","CST ","Completion Docs", "I - ", "Inspection")</f>
        <v>Structure</v>
      </c>
      <c r="E9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3" s="24" t="str">
        <f ca="1">IF(OR(Master[[#This Row],[Type]]="checklist", Master[[#This Row],[Type]]="checklist-flat"), Master[[#This Row],[Name]], F912)</f>
        <v>ST - S - Concrete Pour</v>
      </c>
      <c r="G913" s="34" t="s">
        <v>49</v>
      </c>
      <c r="H913" s="34" t="s">
        <v>295</v>
      </c>
      <c r="I913" s="35"/>
      <c r="J913" s="21">
        <f ca="1">_xlfn.XLOOKUP(Master[[#This Row],[Checklist]],Ref!A:A,Ref!B:B)*1000</f>
        <v>92000</v>
      </c>
      <c r="K913" s="21">
        <f ca="1">COUNTIF($J$2:Master[[#This Row],[ChecklistID]],Master[[#This Row],[ChecklistID]])-1</f>
        <v>44</v>
      </c>
      <c r="L913" s="23" t="s">
        <v>6</v>
      </c>
    </row>
    <row r="914" spans="1:12" ht="15.75">
      <c r="A914" s="23">
        <f t="shared" si="14"/>
        <v>913</v>
      </c>
      <c r="B914" s="21">
        <f ca="1">Master[[#This Row],[ChecklistID]]+Master[[#This Row],[Checklist Order]]</f>
        <v>92045</v>
      </c>
      <c r="C914" s="22"/>
      <c r="D914" s="3" t="str" cm="1">
        <f t="array" aca="1" ref="D914" ca="1">_xlfn.SWITCH(MID(Master[[#This Row],[Checklist]],1,4),"C - ","Civil","F - ","Foundation","ST -","Structure","FC -","Façade","PRE ","Pre-Line","POST","Post-Line","H - ","Handover","S - ","Services","CST ","Completion Docs", "I - ", "Inspection")</f>
        <v>Structure</v>
      </c>
      <c r="E9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4" s="24" t="str">
        <f ca="1">IF(OR(Master[[#This Row],[Type]]="checklist", Master[[#This Row],[Type]]="checklist-flat"), Master[[#This Row],[Name]], F913)</f>
        <v>ST - S - Concrete Pour</v>
      </c>
      <c r="G914" s="34" t="s">
        <v>49</v>
      </c>
      <c r="H914" s="34" t="s">
        <v>296</v>
      </c>
      <c r="I914" s="35"/>
      <c r="J914" s="21">
        <f ca="1">_xlfn.XLOOKUP(Master[[#This Row],[Checklist]],Ref!A:A,Ref!B:B)*1000</f>
        <v>92000</v>
      </c>
      <c r="K914" s="21">
        <f ca="1">COUNTIF($J$2:Master[[#This Row],[ChecklistID]],Master[[#This Row],[ChecklistID]])-1</f>
        <v>45</v>
      </c>
      <c r="L914" s="23" t="s">
        <v>6</v>
      </c>
    </row>
    <row r="915" spans="1:12" ht="15.75">
      <c r="A915" s="23">
        <f t="shared" si="14"/>
        <v>914</v>
      </c>
      <c r="B915" s="21">
        <f ca="1">Master[[#This Row],[ChecklistID]]+Master[[#This Row],[Checklist Order]]</f>
        <v>92046</v>
      </c>
      <c r="C915" s="22"/>
      <c r="D915" s="3" t="str" cm="1">
        <f t="array" aca="1" ref="D915" ca="1">_xlfn.SWITCH(MID(Master[[#This Row],[Checklist]],1,4),"C - ","Civil","F - ","Foundation","ST -","Structure","FC -","Façade","PRE ","Pre-Line","POST","Post-Line","H - ","Handover","S - ","Services","CST ","Completion Docs", "I - ", "Inspection")</f>
        <v>Structure</v>
      </c>
      <c r="E9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5" s="24" t="str">
        <f ca="1">IF(OR(Master[[#This Row],[Type]]="checklist", Master[[#This Row],[Type]]="checklist-flat"), Master[[#This Row],[Name]], F914)</f>
        <v>ST - S - Concrete Pour</v>
      </c>
      <c r="G915" s="34" t="s">
        <v>120</v>
      </c>
      <c r="H915" s="34" t="s">
        <v>297</v>
      </c>
      <c r="I915" s="35"/>
      <c r="J915" s="21">
        <f ca="1">_xlfn.XLOOKUP(Master[[#This Row],[Checklist]],Ref!A:A,Ref!B:B)*1000</f>
        <v>92000</v>
      </c>
      <c r="K915" s="21">
        <f ca="1">COUNTIF($J$2:Master[[#This Row],[ChecklistID]],Master[[#This Row],[ChecklistID]])-1</f>
        <v>46</v>
      </c>
      <c r="L915" s="23" t="s">
        <v>6</v>
      </c>
    </row>
    <row r="916" spans="1:12" ht="15.75">
      <c r="A916" s="23">
        <f t="shared" si="14"/>
        <v>915</v>
      </c>
      <c r="B916" s="21">
        <f ca="1">Master[[#This Row],[ChecklistID]]+Master[[#This Row],[Checklist Order]]</f>
        <v>92047</v>
      </c>
      <c r="C916" s="22"/>
      <c r="D916" s="3" t="str" cm="1">
        <f t="array" aca="1" ref="D916" ca="1">_xlfn.SWITCH(MID(Master[[#This Row],[Checklist]],1,4),"C - ","Civil","F - ","Foundation","ST -","Structure","FC -","Façade","PRE ","Pre-Line","POST","Post-Line","H - ","Handover","S - ","Services","CST ","Completion Docs", "I - ", "Inspection")</f>
        <v>Structure</v>
      </c>
      <c r="E9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6" s="24" t="str">
        <f ca="1">IF(OR(Master[[#This Row],[Type]]="checklist", Master[[#This Row],[Type]]="checklist-flat"), Master[[#This Row],[Name]], F915)</f>
        <v>ST - S - Concrete Pour</v>
      </c>
      <c r="G916" s="34" t="s">
        <v>49</v>
      </c>
      <c r="H916" s="34" t="s">
        <v>298</v>
      </c>
      <c r="I916" s="35"/>
      <c r="J916" s="21">
        <f ca="1">_xlfn.XLOOKUP(Master[[#This Row],[Checklist]],Ref!A:A,Ref!B:B)*1000</f>
        <v>92000</v>
      </c>
      <c r="K916" s="21">
        <f ca="1">COUNTIF($J$2:Master[[#This Row],[ChecklistID]],Master[[#This Row],[ChecklistID]])-1</f>
        <v>47</v>
      </c>
      <c r="L916" s="23" t="s">
        <v>6</v>
      </c>
    </row>
    <row r="917" spans="1:12" ht="15.75">
      <c r="A917" s="23">
        <f t="shared" si="14"/>
        <v>916</v>
      </c>
      <c r="B917" s="21">
        <f ca="1">Master[[#This Row],[ChecklistID]]+Master[[#This Row],[Checklist Order]]</f>
        <v>92048</v>
      </c>
      <c r="C917" s="22"/>
      <c r="D917" s="3" t="str" cm="1">
        <f t="array" aca="1" ref="D917" ca="1">_xlfn.SWITCH(MID(Master[[#This Row],[Checklist]],1,4),"C - ","Civil","F - ","Foundation","ST -","Structure","FC -","Façade","PRE ","Pre-Line","POST","Post-Line","H - ","Handover","S - ","Services","CST ","Completion Docs", "I - ", "Inspection")</f>
        <v>Structure</v>
      </c>
      <c r="E9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7" s="24" t="str">
        <f ca="1">IF(OR(Master[[#This Row],[Type]]="checklist", Master[[#This Row],[Type]]="checklist-flat"), Master[[#This Row],[Name]], F916)</f>
        <v>ST - S - Concrete Pour</v>
      </c>
      <c r="G917" s="34" t="s">
        <v>58</v>
      </c>
      <c r="H917" s="34" t="s">
        <v>299</v>
      </c>
      <c r="I917" s="35"/>
      <c r="J917" s="21">
        <f ca="1">_xlfn.XLOOKUP(Master[[#This Row],[Checklist]],Ref!A:A,Ref!B:B)*1000</f>
        <v>92000</v>
      </c>
      <c r="K917" s="21">
        <f ca="1">COUNTIF($J$2:Master[[#This Row],[ChecklistID]],Master[[#This Row],[ChecklistID]])-1</f>
        <v>48</v>
      </c>
      <c r="L917" s="23" t="s">
        <v>6</v>
      </c>
    </row>
    <row r="918" spans="1:12" ht="15.75">
      <c r="A918" s="23">
        <f t="shared" si="14"/>
        <v>917</v>
      </c>
      <c r="B918" s="21">
        <f ca="1">Master[[#This Row],[ChecklistID]]+Master[[#This Row],[Checklist Order]]</f>
        <v>92049</v>
      </c>
      <c r="C918" s="22"/>
      <c r="D918" s="3" t="str" cm="1">
        <f t="array" aca="1" ref="D918" ca="1">_xlfn.SWITCH(MID(Master[[#This Row],[Checklist]],1,4),"C - ","Civil","F - ","Foundation","ST -","Structure","FC -","Façade","PRE ","Pre-Line","POST","Post-Line","H - ","Handover","S - ","Services","CST ","Completion Docs", "I - ", "Inspection")</f>
        <v>Structure</v>
      </c>
      <c r="E9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8" s="24" t="str">
        <f ca="1">IF(OR(Master[[#This Row],[Type]]="checklist", Master[[#This Row],[Type]]="checklist-flat"), Master[[#This Row],[Name]], F917)</f>
        <v>ST - S - Concrete Pour</v>
      </c>
      <c r="G918" s="34" t="s">
        <v>49</v>
      </c>
      <c r="H918" s="34" t="s">
        <v>300</v>
      </c>
      <c r="I918" s="35"/>
      <c r="J918" s="21">
        <f ca="1">_xlfn.XLOOKUP(Master[[#This Row],[Checklist]],Ref!A:A,Ref!B:B)*1000</f>
        <v>92000</v>
      </c>
      <c r="K918" s="21">
        <f ca="1">COUNTIF($J$2:Master[[#This Row],[ChecklistID]],Master[[#This Row],[ChecklistID]])-1</f>
        <v>49</v>
      </c>
      <c r="L918" s="23" t="s">
        <v>6</v>
      </c>
    </row>
    <row r="919" spans="1:12" ht="15.75">
      <c r="A919" s="23">
        <f t="shared" si="14"/>
        <v>918</v>
      </c>
      <c r="B919" s="21">
        <f ca="1">Master[[#This Row],[ChecklistID]]+Master[[#This Row],[Checklist Order]]</f>
        <v>92050</v>
      </c>
      <c r="C919" s="22"/>
      <c r="D919" s="3" t="str" cm="1">
        <f t="array" aca="1" ref="D919" ca="1">_xlfn.SWITCH(MID(Master[[#This Row],[Checklist]],1,4),"C - ","Civil","F - ","Foundation","ST -","Structure","FC -","Façade","PRE ","Pre-Line","POST","Post-Line","H - ","Handover","S - ","Services","CST ","Completion Docs", "I - ", "Inspection")</f>
        <v>Structure</v>
      </c>
      <c r="E9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19" s="24" t="str">
        <f ca="1">IF(OR(Master[[#This Row],[Type]]="checklist", Master[[#This Row],[Type]]="checklist-flat"), Master[[#This Row],[Name]], F918)</f>
        <v>ST - S - Concrete Pour</v>
      </c>
      <c r="G919" s="34" t="s">
        <v>49</v>
      </c>
      <c r="H919" s="34" t="s">
        <v>57</v>
      </c>
      <c r="I919" s="35"/>
      <c r="J919" s="21">
        <f ca="1">_xlfn.XLOOKUP(Master[[#This Row],[Checklist]],Ref!A:A,Ref!B:B)*1000</f>
        <v>92000</v>
      </c>
      <c r="K919" s="21">
        <f ca="1">COUNTIF($J$2:Master[[#This Row],[ChecklistID]],Master[[#This Row],[ChecklistID]])-1</f>
        <v>50</v>
      </c>
      <c r="L919" s="23" t="s">
        <v>6</v>
      </c>
    </row>
    <row r="920" spans="1:12" ht="15.75">
      <c r="A920" s="23">
        <f t="shared" si="14"/>
        <v>919</v>
      </c>
      <c r="B920" s="21">
        <f ca="1">Master[[#This Row],[ChecklistID]]+Master[[#This Row],[Checklist Order]]</f>
        <v>92051</v>
      </c>
      <c r="C920" s="22"/>
      <c r="D920" s="3" t="str" cm="1">
        <f t="array" aca="1" ref="D920" ca="1">_xlfn.SWITCH(MID(Master[[#This Row],[Checklist]],1,4),"C - ","Civil","F - ","Foundation","ST -","Structure","FC -","Façade","PRE ","Pre-Line","POST","Post-Line","H - ","Handover","S - ","Services","CST ","Completion Docs", "I - ", "Inspection")</f>
        <v>Structure</v>
      </c>
      <c r="E9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0" s="24" t="str">
        <f ca="1">IF(OR(Master[[#This Row],[Type]]="checklist", Master[[#This Row],[Type]]="checklist-flat"), Master[[#This Row],[Name]], F919)</f>
        <v>ST - S - Concrete Pour</v>
      </c>
      <c r="G920" s="34" t="s">
        <v>58</v>
      </c>
      <c r="H920" s="34" t="s">
        <v>59</v>
      </c>
      <c r="I920" s="35"/>
      <c r="J920" s="21">
        <f ca="1">_xlfn.XLOOKUP(Master[[#This Row],[Checklist]],Ref!A:A,Ref!B:B)*1000</f>
        <v>92000</v>
      </c>
      <c r="K920" s="21">
        <f ca="1">COUNTIF($J$2:Master[[#This Row],[ChecklistID]],Master[[#This Row],[ChecklistID]])-1</f>
        <v>51</v>
      </c>
      <c r="L920" s="23" t="s">
        <v>6</v>
      </c>
    </row>
    <row r="921" spans="1:12" ht="15.75">
      <c r="A921" s="23">
        <f t="shared" si="14"/>
        <v>920</v>
      </c>
      <c r="B921" s="21">
        <f ca="1">Master[[#This Row],[ChecklistID]]+Master[[#This Row],[Checklist Order]]</f>
        <v>93000</v>
      </c>
      <c r="C921" s="22"/>
      <c r="D921" s="3" t="str" cm="1">
        <f t="array" aca="1" ref="D921" ca="1">_xlfn.SWITCH(MID(Master[[#This Row],[Checklist]],1,4),"C - ","Civil","F - ","Foundation","ST -","Structure","FC -","Façade","PRE ","Pre-Line","POST","Post-Line","H - ","Handover","S - ","Services","CST ","Completion Docs", "I - ", "Inspection")</f>
        <v>Structure</v>
      </c>
      <c r="E9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1" s="24" t="str">
        <f ca="1">IF(OR(Master[[#This Row],[Type]]="checklist", Master[[#This Row],[Type]]="checklist-flat"), Master[[#This Row],[Name]], F920)</f>
        <v xml:space="preserve">ST - S - Insitu Stitch Joints </v>
      </c>
      <c r="G921" s="34" t="s">
        <v>119</v>
      </c>
      <c r="H921" s="34" t="s">
        <v>301</v>
      </c>
      <c r="I921" s="35"/>
      <c r="J921" s="21">
        <f ca="1">_xlfn.XLOOKUP(Master[[#This Row],[Checklist]],Ref!A:A,Ref!B:B)*1000</f>
        <v>93000</v>
      </c>
      <c r="K921" s="21">
        <f ca="1">COUNTIF($J$2:Master[[#This Row],[ChecklistID]],Master[[#This Row],[ChecklistID]])-1</f>
        <v>0</v>
      </c>
      <c r="L921" s="23" t="s">
        <v>6</v>
      </c>
    </row>
    <row r="922" spans="1:12" ht="15.75">
      <c r="A922" s="23">
        <f t="shared" si="14"/>
        <v>921</v>
      </c>
      <c r="B922" s="21">
        <f ca="1">Master[[#This Row],[ChecklistID]]+Master[[#This Row],[Checklist Order]]</f>
        <v>93001</v>
      </c>
      <c r="C922" s="22"/>
      <c r="D922" s="3" t="str" cm="1">
        <f t="array" aca="1" ref="D922" ca="1">_xlfn.SWITCH(MID(Master[[#This Row],[Checklist]],1,4),"C - ","Civil","F - ","Foundation","ST -","Structure","FC -","Façade","PRE ","Pre-Line","POST","Post-Line","H - ","Handover","S - ","Services","CST ","Completion Docs", "I - ", "Inspection")</f>
        <v>Structure</v>
      </c>
      <c r="E9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2" s="24" t="str">
        <f ca="1">IF(OR(Master[[#This Row],[Type]]="checklist", Master[[#This Row],[Type]]="checklist-flat"), Master[[#This Row],[Name]], F921)</f>
        <v xml:space="preserve">ST - S - Insitu Stitch Joints </v>
      </c>
      <c r="G922" s="34" t="s">
        <v>120</v>
      </c>
      <c r="H922" s="34" t="s">
        <v>249</v>
      </c>
      <c r="I922" s="35"/>
      <c r="J922" s="21">
        <f ca="1">_xlfn.XLOOKUP(Master[[#This Row],[Checklist]],Ref!A:A,Ref!B:B)*1000</f>
        <v>93000</v>
      </c>
      <c r="K922" s="21">
        <f ca="1">COUNTIF($J$2:Master[[#This Row],[ChecklistID]],Master[[#This Row],[ChecklistID]])-1</f>
        <v>1</v>
      </c>
      <c r="L922" s="23" t="s">
        <v>6</v>
      </c>
    </row>
    <row r="923" spans="1:12" ht="15.75">
      <c r="A923" s="23">
        <f t="shared" si="14"/>
        <v>922</v>
      </c>
      <c r="B923" s="21">
        <f ca="1">Master[[#This Row],[ChecklistID]]+Master[[#This Row],[Checklist Order]]</f>
        <v>93002</v>
      </c>
      <c r="C923" s="22"/>
      <c r="D923" s="3" t="str" cm="1">
        <f t="array" aca="1" ref="D923" ca="1">_xlfn.SWITCH(MID(Master[[#This Row],[Checklist]],1,4),"C - ","Civil","F - ","Foundation","ST -","Structure","FC -","Façade","PRE ","Pre-Line","POST","Post-Line","H - ","Handover","S - ","Services","CST ","Completion Docs", "I - ", "Inspection")</f>
        <v>Structure</v>
      </c>
      <c r="E9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3" s="24" t="str">
        <f ca="1">IF(OR(Master[[#This Row],[Type]]="checklist", Master[[#This Row],[Type]]="checklist-flat"), Master[[#This Row],[Name]], F922)</f>
        <v xml:space="preserve">ST - S - Insitu Stitch Joints </v>
      </c>
      <c r="G923" s="34" t="s">
        <v>49</v>
      </c>
      <c r="H923" s="34" t="s">
        <v>302</v>
      </c>
      <c r="I923" s="35"/>
      <c r="J923" s="21">
        <f ca="1">_xlfn.XLOOKUP(Master[[#This Row],[Checklist]],Ref!A:A,Ref!B:B)*1000</f>
        <v>93000</v>
      </c>
      <c r="K923" s="21">
        <f ca="1">COUNTIF($J$2:Master[[#This Row],[ChecklistID]],Master[[#This Row],[ChecklistID]])-1</f>
        <v>2</v>
      </c>
      <c r="L923" s="23" t="s">
        <v>6</v>
      </c>
    </row>
    <row r="924" spans="1:12" ht="15.75">
      <c r="A924" s="23">
        <f t="shared" si="14"/>
        <v>923</v>
      </c>
      <c r="B924" s="21">
        <f ca="1">Master[[#This Row],[ChecklistID]]+Master[[#This Row],[Checklist Order]]</f>
        <v>93003</v>
      </c>
      <c r="C924" s="22"/>
      <c r="D924" s="3" t="str" cm="1">
        <f t="array" aca="1" ref="D924" ca="1">_xlfn.SWITCH(MID(Master[[#This Row],[Checklist]],1,4),"C - ","Civil","F - ","Foundation","ST -","Structure","FC -","Façade","PRE ","Pre-Line","POST","Post-Line","H - ","Handover","S - ","Services","CST ","Completion Docs", "I - ", "Inspection")</f>
        <v>Structure</v>
      </c>
      <c r="E9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4" s="24" t="str">
        <f ca="1">IF(OR(Master[[#This Row],[Type]]="checklist", Master[[#This Row],[Type]]="checklist-flat"), Master[[#This Row],[Name]], F923)</f>
        <v xml:space="preserve">ST - S - Insitu Stitch Joints </v>
      </c>
      <c r="G924" s="34" t="s">
        <v>124</v>
      </c>
      <c r="H924" s="34" t="s">
        <v>251</v>
      </c>
      <c r="I924" s="35"/>
      <c r="J924" s="21">
        <f ca="1">_xlfn.XLOOKUP(Master[[#This Row],[Checklist]],Ref!A:A,Ref!B:B)*1000</f>
        <v>93000</v>
      </c>
      <c r="K924" s="21">
        <f ca="1">COUNTIF($J$2:Master[[#This Row],[ChecklistID]],Master[[#This Row],[ChecklistID]])-1</f>
        <v>3</v>
      </c>
      <c r="L924" s="23" t="s">
        <v>6</v>
      </c>
    </row>
    <row r="925" spans="1:12" ht="15.75">
      <c r="A925" s="23">
        <f t="shared" si="14"/>
        <v>924</v>
      </c>
      <c r="B925" s="21">
        <f ca="1">Master[[#This Row],[ChecklistID]]+Master[[#This Row],[Checklist Order]]</f>
        <v>93004</v>
      </c>
      <c r="C925" s="22"/>
      <c r="D925" s="3" t="str" cm="1">
        <f t="array" aca="1" ref="D925" ca="1">_xlfn.SWITCH(MID(Master[[#This Row],[Checklist]],1,4),"C - ","Civil","F - ","Foundation","ST -","Structure","FC -","Façade","PRE ","Pre-Line","POST","Post-Line","H - ","Handover","S - ","Services","CST ","Completion Docs", "I - ", "Inspection")</f>
        <v>Structure</v>
      </c>
      <c r="E9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5" s="24" t="str">
        <f ca="1">IF(OR(Master[[#This Row],[Type]]="checklist", Master[[#This Row],[Type]]="checklist-flat"), Master[[#This Row],[Name]], F924)</f>
        <v xml:space="preserve">ST - S - Insitu Stitch Joints </v>
      </c>
      <c r="G925" s="34" t="s">
        <v>124</v>
      </c>
      <c r="H925" s="34" t="s">
        <v>252</v>
      </c>
      <c r="I925" s="35"/>
      <c r="J925" s="21">
        <f ca="1">_xlfn.XLOOKUP(Master[[#This Row],[Checklist]],Ref!A:A,Ref!B:B)*1000</f>
        <v>93000</v>
      </c>
      <c r="K925" s="21">
        <f ca="1">COUNTIF($J$2:Master[[#This Row],[ChecklistID]],Master[[#This Row],[ChecklistID]])-1</f>
        <v>4</v>
      </c>
      <c r="L925" s="23" t="s">
        <v>6</v>
      </c>
    </row>
    <row r="926" spans="1:12" ht="15.75">
      <c r="A926" s="23">
        <f t="shared" si="14"/>
        <v>925</v>
      </c>
      <c r="B926" s="21">
        <f ca="1">Master[[#This Row],[ChecklistID]]+Master[[#This Row],[Checklist Order]]</f>
        <v>93005</v>
      </c>
      <c r="C926" s="22"/>
      <c r="D926" s="3" t="str" cm="1">
        <f t="array" aca="1" ref="D926" ca="1">_xlfn.SWITCH(MID(Master[[#This Row],[Checklist]],1,4),"C - ","Civil","F - ","Foundation","ST -","Structure","FC -","Façade","PRE ","Pre-Line","POST","Post-Line","H - ","Handover","S - ","Services","CST ","Completion Docs", "I - ", "Inspection")</f>
        <v>Structure</v>
      </c>
      <c r="E9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6" s="24" t="str">
        <f ca="1">IF(OR(Master[[#This Row],[Type]]="checklist", Master[[#This Row],[Type]]="checklist-flat"), Master[[#This Row],[Name]], F925)</f>
        <v xml:space="preserve">ST - S - Insitu Stitch Joints </v>
      </c>
      <c r="G926" s="34" t="s">
        <v>49</v>
      </c>
      <c r="H926" s="34" t="s">
        <v>253</v>
      </c>
      <c r="I926" s="35"/>
      <c r="J926" s="21">
        <f ca="1">_xlfn.XLOOKUP(Master[[#This Row],[Checklist]],Ref!A:A,Ref!B:B)*1000</f>
        <v>93000</v>
      </c>
      <c r="K926" s="21">
        <f ca="1">COUNTIF($J$2:Master[[#This Row],[ChecklistID]],Master[[#This Row],[ChecklistID]])-1</f>
        <v>5</v>
      </c>
      <c r="L926" s="23" t="s">
        <v>6</v>
      </c>
    </row>
    <row r="927" spans="1:12" ht="15.75">
      <c r="A927" s="23">
        <f t="shared" si="14"/>
        <v>926</v>
      </c>
      <c r="B927" s="21">
        <f ca="1">Master[[#This Row],[ChecklistID]]+Master[[#This Row],[Checklist Order]]</f>
        <v>93006</v>
      </c>
      <c r="C927" s="22"/>
      <c r="D927" s="3" t="str" cm="1">
        <f t="array" aca="1" ref="D927" ca="1">_xlfn.SWITCH(MID(Master[[#This Row],[Checklist]],1,4),"C - ","Civil","F - ","Foundation","ST -","Structure","FC -","Façade","PRE ","Pre-Line","POST","Post-Line","H - ","Handover","S - ","Services","CST ","Completion Docs", "I - ", "Inspection")</f>
        <v>Structure</v>
      </c>
      <c r="E9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7" s="24" t="str">
        <f ca="1">IF(OR(Master[[#This Row],[Type]]="checklist", Master[[#This Row],[Type]]="checklist-flat"), Master[[#This Row],[Name]], F926)</f>
        <v xml:space="preserve">ST - S - Insitu Stitch Joints </v>
      </c>
      <c r="G927" s="34" t="s">
        <v>120</v>
      </c>
      <c r="H927" s="34" t="s">
        <v>303</v>
      </c>
      <c r="I927" s="35"/>
      <c r="J927" s="21">
        <f ca="1">_xlfn.XLOOKUP(Master[[#This Row],[Checklist]],Ref!A:A,Ref!B:B)*1000</f>
        <v>93000</v>
      </c>
      <c r="K927" s="21">
        <f ca="1">COUNTIF($J$2:Master[[#This Row],[ChecklistID]],Master[[#This Row],[ChecklistID]])-1</f>
        <v>6</v>
      </c>
      <c r="L927" s="23" t="s">
        <v>6</v>
      </c>
    </row>
    <row r="928" spans="1:12" ht="15.75">
      <c r="A928" s="23">
        <f t="shared" si="14"/>
        <v>927</v>
      </c>
      <c r="B928" s="21">
        <f ca="1">Master[[#This Row],[ChecklistID]]+Master[[#This Row],[Checklist Order]]</f>
        <v>93007</v>
      </c>
      <c r="C928" s="22"/>
      <c r="D928" s="3" t="str" cm="1">
        <f t="array" aca="1" ref="D928" ca="1">_xlfn.SWITCH(MID(Master[[#This Row],[Checklist]],1,4),"C - ","Civil","F - ","Foundation","ST -","Structure","FC -","Façade","PRE ","Pre-Line","POST","Post-Line","H - ","Handover","S - ","Services","CST ","Completion Docs", "I - ", "Inspection")</f>
        <v>Structure</v>
      </c>
      <c r="E9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8" s="24" t="str">
        <f ca="1">IF(OR(Master[[#This Row],[Type]]="checklist", Master[[#This Row],[Type]]="checklist-flat"), Master[[#This Row],[Name]], F927)</f>
        <v xml:space="preserve">ST - S - Insitu Stitch Joints </v>
      </c>
      <c r="G928" s="34" t="s">
        <v>49</v>
      </c>
      <c r="H928" s="34" t="s">
        <v>304</v>
      </c>
      <c r="I928" s="35"/>
      <c r="J928" s="21">
        <f ca="1">_xlfn.XLOOKUP(Master[[#This Row],[Checklist]],Ref!A:A,Ref!B:B)*1000</f>
        <v>93000</v>
      </c>
      <c r="K928" s="21">
        <f ca="1">COUNTIF($J$2:Master[[#This Row],[ChecklistID]],Master[[#This Row],[ChecklistID]])-1</f>
        <v>7</v>
      </c>
      <c r="L928" s="23" t="s">
        <v>6</v>
      </c>
    </row>
    <row r="929" spans="1:12" ht="15.75">
      <c r="A929" s="23">
        <f t="shared" si="14"/>
        <v>928</v>
      </c>
      <c r="B929" s="21">
        <f ca="1">Master[[#This Row],[ChecklistID]]+Master[[#This Row],[Checklist Order]]</f>
        <v>93008</v>
      </c>
      <c r="C929" s="22"/>
      <c r="D929" s="3" t="str" cm="1">
        <f t="array" aca="1" ref="D929" ca="1">_xlfn.SWITCH(MID(Master[[#This Row],[Checklist]],1,4),"C - ","Civil","F - ","Foundation","ST -","Structure","FC -","Façade","PRE ","Pre-Line","POST","Post-Line","H - ","Handover","S - ","Services","CST ","Completion Docs", "I - ", "Inspection")</f>
        <v>Structure</v>
      </c>
      <c r="E9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29" s="24" t="str">
        <f ca="1">IF(OR(Master[[#This Row],[Type]]="checklist", Master[[#This Row],[Type]]="checklist-flat"), Master[[#This Row],[Name]], F928)</f>
        <v xml:space="preserve">ST - S - Insitu Stitch Joints </v>
      </c>
      <c r="G929" s="34" t="s">
        <v>49</v>
      </c>
      <c r="H929" s="34" t="s">
        <v>1673</v>
      </c>
      <c r="I929" s="35"/>
      <c r="J929" s="21">
        <f ca="1">_xlfn.XLOOKUP(Master[[#This Row],[Checklist]],Ref!A:A,Ref!B:B)*1000</f>
        <v>93000</v>
      </c>
      <c r="K929" s="21">
        <f ca="1">COUNTIF($J$2:Master[[#This Row],[ChecklistID]],Master[[#This Row],[ChecklistID]])-1</f>
        <v>8</v>
      </c>
      <c r="L929" s="23" t="s">
        <v>6</v>
      </c>
    </row>
    <row r="930" spans="1:12" ht="15.75">
      <c r="A930" s="23">
        <f t="shared" si="14"/>
        <v>929</v>
      </c>
      <c r="B930" s="21">
        <f ca="1">Master[[#This Row],[ChecklistID]]+Master[[#This Row],[Checklist Order]]</f>
        <v>93009</v>
      </c>
      <c r="C930" s="22"/>
      <c r="D930" s="3" t="str" cm="1">
        <f t="array" aca="1" ref="D930" ca="1">_xlfn.SWITCH(MID(Master[[#This Row],[Checklist]],1,4),"C - ","Civil","F - ","Foundation","ST -","Structure","FC -","Façade","PRE ","Pre-Line","POST","Post-Line","H - ","Handover","S - ","Services","CST ","Completion Docs", "I - ", "Inspection")</f>
        <v>Structure</v>
      </c>
      <c r="E9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0" s="24" t="str">
        <f ca="1">IF(OR(Master[[#This Row],[Type]]="checklist", Master[[#This Row],[Type]]="checklist-flat"), Master[[#This Row],[Name]], F929)</f>
        <v xml:space="preserve">ST - S - Insitu Stitch Joints </v>
      </c>
      <c r="G930" s="34" t="s">
        <v>120</v>
      </c>
      <c r="H930" s="34" t="s">
        <v>259</v>
      </c>
      <c r="I930" s="35"/>
      <c r="J930" s="21">
        <f ca="1">_xlfn.XLOOKUP(Master[[#This Row],[Checklist]],Ref!A:A,Ref!B:B)*1000</f>
        <v>93000</v>
      </c>
      <c r="K930" s="21">
        <f ca="1">COUNTIF($J$2:Master[[#This Row],[ChecklistID]],Master[[#This Row],[ChecklistID]])-1</f>
        <v>9</v>
      </c>
      <c r="L930" s="23" t="s">
        <v>6</v>
      </c>
    </row>
    <row r="931" spans="1:12" ht="15.75">
      <c r="A931" s="23">
        <f t="shared" si="14"/>
        <v>930</v>
      </c>
      <c r="B931" s="21">
        <f ca="1">Master[[#This Row],[ChecklistID]]+Master[[#This Row],[Checklist Order]]</f>
        <v>93010</v>
      </c>
      <c r="C931" s="22"/>
      <c r="D931" s="3" t="str" cm="1">
        <f t="array" aca="1" ref="D931" ca="1">_xlfn.SWITCH(MID(Master[[#This Row],[Checklist]],1,4),"C - ","Civil","F - ","Foundation","ST -","Structure","FC -","Façade","PRE ","Pre-Line","POST","Post-Line","H - ","Handover","S - ","Services","CST ","Completion Docs", "I - ", "Inspection")</f>
        <v>Structure</v>
      </c>
      <c r="E9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1" s="24" t="str">
        <f ca="1">IF(OR(Master[[#This Row],[Type]]="checklist", Master[[#This Row],[Type]]="checklist-flat"), Master[[#This Row],[Name]], F930)</f>
        <v xml:space="preserve">ST - S - Insitu Stitch Joints </v>
      </c>
      <c r="G931" s="34" t="s">
        <v>49</v>
      </c>
      <c r="H931" s="34" t="s">
        <v>260</v>
      </c>
      <c r="I931" s="35"/>
      <c r="J931" s="21">
        <f ca="1">_xlfn.XLOOKUP(Master[[#This Row],[Checklist]],Ref!A:A,Ref!B:B)*1000</f>
        <v>93000</v>
      </c>
      <c r="K931" s="21">
        <f ca="1">COUNTIF($J$2:Master[[#This Row],[ChecklistID]],Master[[#This Row],[ChecklistID]])-1</f>
        <v>10</v>
      </c>
      <c r="L931" s="23" t="s">
        <v>6</v>
      </c>
    </row>
    <row r="932" spans="1:12" ht="15.75">
      <c r="A932" s="23">
        <f t="shared" si="14"/>
        <v>931</v>
      </c>
      <c r="B932" s="21">
        <f ca="1">Master[[#This Row],[ChecklistID]]+Master[[#This Row],[Checklist Order]]</f>
        <v>93011</v>
      </c>
      <c r="C932" s="22"/>
      <c r="D932" s="3" t="str" cm="1">
        <f t="array" aca="1" ref="D932" ca="1">_xlfn.SWITCH(MID(Master[[#This Row],[Checklist]],1,4),"C - ","Civil","F - ","Foundation","ST -","Structure","FC -","Façade","PRE ","Pre-Line","POST","Post-Line","H - ","Handover","S - ","Services","CST ","Completion Docs", "I - ", "Inspection")</f>
        <v>Structure</v>
      </c>
      <c r="E9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2" s="24" t="str">
        <f ca="1">IF(OR(Master[[#This Row],[Type]]="checklist", Master[[#This Row],[Type]]="checklist-flat"), Master[[#This Row],[Name]], F931)</f>
        <v xml:space="preserve">ST - S - Insitu Stitch Joints </v>
      </c>
      <c r="G932" s="34" t="s">
        <v>120</v>
      </c>
      <c r="H932" s="34" t="s">
        <v>273</v>
      </c>
      <c r="I932" s="35"/>
      <c r="J932" s="21">
        <f ca="1">_xlfn.XLOOKUP(Master[[#This Row],[Checklist]],Ref!A:A,Ref!B:B)*1000</f>
        <v>93000</v>
      </c>
      <c r="K932" s="21">
        <f ca="1">COUNTIF($J$2:Master[[#This Row],[ChecklistID]],Master[[#This Row],[ChecklistID]])-1</f>
        <v>11</v>
      </c>
      <c r="L932" s="23" t="s">
        <v>6</v>
      </c>
    </row>
    <row r="933" spans="1:12" ht="15.75">
      <c r="A933" s="23">
        <f t="shared" si="14"/>
        <v>932</v>
      </c>
      <c r="B933" s="21">
        <f ca="1">Master[[#This Row],[ChecklistID]]+Master[[#This Row],[Checklist Order]]</f>
        <v>93012</v>
      </c>
      <c r="C933" s="22"/>
      <c r="D933" s="3" t="str" cm="1">
        <f t="array" aca="1" ref="D933" ca="1">_xlfn.SWITCH(MID(Master[[#This Row],[Checklist]],1,4),"C - ","Civil","F - ","Foundation","ST -","Structure","FC -","Façade","PRE ","Pre-Line","POST","Post-Line","H - ","Handover","S - ","Services","CST ","Completion Docs", "I - ", "Inspection")</f>
        <v>Structure</v>
      </c>
      <c r="E9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3" s="24" t="str">
        <f ca="1">IF(OR(Master[[#This Row],[Type]]="checklist", Master[[#This Row],[Type]]="checklist-flat"), Master[[#This Row],[Name]], F932)</f>
        <v xml:space="preserve">ST - S - Insitu Stitch Joints </v>
      </c>
      <c r="G933" s="34" t="s">
        <v>49</v>
      </c>
      <c r="H933" s="34" t="s">
        <v>276</v>
      </c>
      <c r="I933" s="35"/>
      <c r="J933" s="21">
        <f ca="1">_xlfn.XLOOKUP(Master[[#This Row],[Checklist]],Ref!A:A,Ref!B:B)*1000</f>
        <v>93000</v>
      </c>
      <c r="K933" s="21">
        <f ca="1">COUNTIF($J$2:Master[[#This Row],[ChecklistID]],Master[[#This Row],[ChecklistID]])-1</f>
        <v>12</v>
      </c>
      <c r="L933" s="23" t="s">
        <v>6</v>
      </c>
    </row>
    <row r="934" spans="1:12" ht="15.75">
      <c r="A934" s="23">
        <f t="shared" si="14"/>
        <v>933</v>
      </c>
      <c r="B934" s="21">
        <f ca="1">Master[[#This Row],[ChecklistID]]+Master[[#This Row],[Checklist Order]]</f>
        <v>93013</v>
      </c>
      <c r="C934" s="22"/>
      <c r="D934" s="3" t="str" cm="1">
        <f t="array" aca="1" ref="D934" ca="1">_xlfn.SWITCH(MID(Master[[#This Row],[Checklist]],1,4),"C - ","Civil","F - ","Foundation","ST -","Structure","FC -","Façade","PRE ","Pre-Line","POST","Post-Line","H - ","Handover","S - ","Services","CST ","Completion Docs", "I - ", "Inspection")</f>
        <v>Structure</v>
      </c>
      <c r="E9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4" s="24" t="str">
        <f ca="1">IF(OR(Master[[#This Row],[Type]]="checklist", Master[[#This Row],[Type]]="checklist-flat"), Master[[#This Row],[Name]], F933)</f>
        <v xml:space="preserve">ST - S - Insitu Stitch Joints </v>
      </c>
      <c r="G934" s="34" t="s">
        <v>58</v>
      </c>
      <c r="H934" s="34" t="s">
        <v>306</v>
      </c>
      <c r="I934" s="35"/>
      <c r="J934" s="21">
        <f ca="1">_xlfn.XLOOKUP(Master[[#This Row],[Checklist]],Ref!A:A,Ref!B:B)*1000</f>
        <v>93000</v>
      </c>
      <c r="K934" s="21">
        <f ca="1">COUNTIF($J$2:Master[[#This Row],[ChecklistID]],Master[[#This Row],[ChecklistID]])-1</f>
        <v>13</v>
      </c>
      <c r="L934" s="23" t="s">
        <v>6</v>
      </c>
    </row>
    <row r="935" spans="1:12" ht="15.75">
      <c r="A935" s="23">
        <f t="shared" si="14"/>
        <v>934</v>
      </c>
      <c r="B935" s="21">
        <f ca="1">Master[[#This Row],[ChecklistID]]+Master[[#This Row],[Checklist Order]]</f>
        <v>93014</v>
      </c>
      <c r="C935" s="22"/>
      <c r="D935" s="3" t="str" cm="1">
        <f t="array" aca="1" ref="D935" ca="1">_xlfn.SWITCH(MID(Master[[#This Row],[Checklist]],1,4),"C - ","Civil","F - ","Foundation","ST -","Structure","FC -","Façade","PRE ","Pre-Line","POST","Post-Line","H - ","Handover","S - ","Services","CST ","Completion Docs", "I - ", "Inspection")</f>
        <v>Structure</v>
      </c>
      <c r="E9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5" s="24" t="str">
        <f ca="1">IF(OR(Master[[#This Row],[Type]]="checklist", Master[[#This Row],[Type]]="checklist-flat"), Master[[#This Row],[Name]], F934)</f>
        <v xml:space="preserve">ST - S - Insitu Stitch Joints </v>
      </c>
      <c r="G935" s="34" t="s">
        <v>49</v>
      </c>
      <c r="H935" s="34" t="s">
        <v>307</v>
      </c>
      <c r="I935" s="35"/>
      <c r="J935" s="21">
        <f ca="1">_xlfn.XLOOKUP(Master[[#This Row],[Checklist]],Ref!A:A,Ref!B:B)*1000</f>
        <v>93000</v>
      </c>
      <c r="K935" s="21">
        <f ca="1">COUNTIF($J$2:Master[[#This Row],[ChecklistID]],Master[[#This Row],[ChecklistID]])-1</f>
        <v>14</v>
      </c>
      <c r="L935" s="23" t="s">
        <v>6</v>
      </c>
    </row>
    <row r="936" spans="1:12" ht="15.75">
      <c r="A936" s="23">
        <f t="shared" si="14"/>
        <v>935</v>
      </c>
      <c r="B936" s="21">
        <f ca="1">Master[[#This Row],[ChecklistID]]+Master[[#This Row],[Checklist Order]]</f>
        <v>93015</v>
      </c>
      <c r="C936" s="22"/>
      <c r="D936" s="3" t="str" cm="1">
        <f t="array" aca="1" ref="D936" ca="1">_xlfn.SWITCH(MID(Master[[#This Row],[Checklist]],1,4),"C - ","Civil","F - ","Foundation","ST -","Structure","FC -","Façade","PRE ","Pre-Line","POST","Post-Line","H - ","Handover","S - ","Services","CST ","Completion Docs", "I - ", "Inspection")</f>
        <v>Structure</v>
      </c>
      <c r="E9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6" s="24" t="str">
        <f ca="1">IF(OR(Master[[#This Row],[Type]]="checklist", Master[[#This Row],[Type]]="checklist-flat"), Master[[#This Row],[Name]], F935)</f>
        <v xml:space="preserve">ST - S - Insitu Stitch Joints </v>
      </c>
      <c r="G936" s="34" t="s">
        <v>49</v>
      </c>
      <c r="H936" s="34" t="s">
        <v>277</v>
      </c>
      <c r="I936" s="35"/>
      <c r="J936" s="21">
        <f ca="1">_xlfn.XLOOKUP(Master[[#This Row],[Checklist]],Ref!A:A,Ref!B:B)*1000</f>
        <v>93000</v>
      </c>
      <c r="K936" s="21">
        <f ca="1">COUNTIF($J$2:Master[[#This Row],[ChecklistID]],Master[[#This Row],[ChecklistID]])-1</f>
        <v>15</v>
      </c>
      <c r="L936" s="23" t="s">
        <v>6</v>
      </c>
    </row>
    <row r="937" spans="1:12" ht="15.75">
      <c r="A937" s="23">
        <f t="shared" si="14"/>
        <v>936</v>
      </c>
      <c r="B937" s="21">
        <f ca="1">Master[[#This Row],[ChecklistID]]+Master[[#This Row],[Checklist Order]]</f>
        <v>93016</v>
      </c>
      <c r="C937" s="22"/>
      <c r="D937" s="3" t="str" cm="1">
        <f t="array" aca="1" ref="D937" ca="1">_xlfn.SWITCH(MID(Master[[#This Row],[Checklist]],1,4),"C - ","Civil","F - ","Foundation","ST -","Structure","FC -","Façade","PRE ","Pre-Line","POST","Post-Line","H - ","Handover","S - ","Services","CST ","Completion Docs", "I - ", "Inspection")</f>
        <v>Structure</v>
      </c>
      <c r="E9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7" s="24" t="str">
        <f ca="1">IF(OR(Master[[#This Row],[Type]]="checklist", Master[[#This Row],[Type]]="checklist-flat"), Master[[#This Row],[Name]], F936)</f>
        <v xml:space="preserve">ST - S - Insitu Stitch Joints </v>
      </c>
      <c r="G937" s="34" t="s">
        <v>120</v>
      </c>
      <c r="H937" s="34" t="s">
        <v>278</v>
      </c>
      <c r="I937" s="35"/>
      <c r="J937" s="21">
        <f ca="1">_xlfn.XLOOKUP(Master[[#This Row],[Checklist]],Ref!A:A,Ref!B:B)*1000</f>
        <v>93000</v>
      </c>
      <c r="K937" s="21">
        <f ca="1">COUNTIF($J$2:Master[[#This Row],[ChecklistID]],Master[[#This Row],[ChecklistID]])-1</f>
        <v>16</v>
      </c>
      <c r="L937" s="23" t="s">
        <v>6</v>
      </c>
    </row>
    <row r="938" spans="1:12" ht="15.75">
      <c r="A938" s="23">
        <f t="shared" ref="A938:A1001" si="15">IFERROR(A937+1,1)</f>
        <v>937</v>
      </c>
      <c r="B938" s="21">
        <f ca="1">Master[[#This Row],[ChecklistID]]+Master[[#This Row],[Checklist Order]]</f>
        <v>93017</v>
      </c>
      <c r="C938" s="22"/>
      <c r="D938" s="3" t="str" cm="1">
        <f t="array" aca="1" ref="D938" ca="1">_xlfn.SWITCH(MID(Master[[#This Row],[Checklist]],1,4),"C - ","Civil","F - ","Foundation","ST -","Structure","FC -","Façade","PRE ","Pre-Line","POST","Post-Line","H - ","Handover","S - ","Services","CST ","Completion Docs", "I - ", "Inspection")</f>
        <v>Structure</v>
      </c>
      <c r="E9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8" s="24" t="str">
        <f ca="1">IF(OR(Master[[#This Row],[Type]]="checklist", Master[[#This Row],[Type]]="checklist-flat"), Master[[#This Row],[Name]], F937)</f>
        <v xml:space="preserve">ST - S - Insitu Stitch Joints </v>
      </c>
      <c r="G938" s="34" t="s">
        <v>49</v>
      </c>
      <c r="H938" s="34" t="s">
        <v>286</v>
      </c>
      <c r="I938" s="35"/>
      <c r="J938" s="21">
        <f ca="1">_xlfn.XLOOKUP(Master[[#This Row],[Checklist]],Ref!A:A,Ref!B:B)*1000</f>
        <v>93000</v>
      </c>
      <c r="K938" s="21">
        <f ca="1">COUNTIF($J$2:Master[[#This Row],[ChecklistID]],Master[[#This Row],[ChecklistID]])-1</f>
        <v>17</v>
      </c>
      <c r="L938" s="23" t="s">
        <v>6</v>
      </c>
    </row>
    <row r="939" spans="1:12" ht="15.75">
      <c r="A939" s="23">
        <f t="shared" si="15"/>
        <v>938</v>
      </c>
      <c r="B939" s="21">
        <f ca="1">Master[[#This Row],[ChecklistID]]+Master[[#This Row],[Checklist Order]]</f>
        <v>93018</v>
      </c>
      <c r="C939" s="22"/>
      <c r="D939" s="3" t="str" cm="1">
        <f t="array" aca="1" ref="D939" ca="1">_xlfn.SWITCH(MID(Master[[#This Row],[Checklist]],1,4),"C - ","Civil","F - ","Foundation","ST -","Structure","FC -","Façade","PRE ","Pre-Line","POST","Post-Line","H - ","Handover","S - ","Services","CST ","Completion Docs", "I - ", "Inspection")</f>
        <v>Structure</v>
      </c>
      <c r="E9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39" s="24" t="str">
        <f ca="1">IF(OR(Master[[#This Row],[Type]]="checklist", Master[[#This Row],[Type]]="checklist-flat"), Master[[#This Row],[Name]], F938)</f>
        <v xml:space="preserve">ST - S - Insitu Stitch Joints </v>
      </c>
      <c r="G939" s="34" t="s">
        <v>49</v>
      </c>
      <c r="H939" s="34" t="s">
        <v>288</v>
      </c>
      <c r="I939" s="35"/>
      <c r="J939" s="21">
        <f ca="1">_xlfn.XLOOKUP(Master[[#This Row],[Checklist]],Ref!A:A,Ref!B:B)*1000</f>
        <v>93000</v>
      </c>
      <c r="K939" s="21">
        <f ca="1">COUNTIF($J$2:Master[[#This Row],[ChecklistID]],Master[[#This Row],[ChecklistID]])-1</f>
        <v>18</v>
      </c>
      <c r="L939" s="23" t="s">
        <v>6</v>
      </c>
    </row>
    <row r="940" spans="1:12" ht="15.75">
      <c r="A940" s="23">
        <f t="shared" si="15"/>
        <v>939</v>
      </c>
      <c r="B940" s="21">
        <f ca="1">Master[[#This Row],[ChecklistID]]+Master[[#This Row],[Checklist Order]]</f>
        <v>93019</v>
      </c>
      <c r="C940" s="22"/>
      <c r="D940" s="3" t="str" cm="1">
        <f t="array" aca="1" ref="D940" ca="1">_xlfn.SWITCH(MID(Master[[#This Row],[Checklist]],1,4),"C - ","Civil","F - ","Foundation","ST -","Structure","FC -","Façade","PRE ","Pre-Line","POST","Post-Line","H - ","Handover","S - ","Services","CST ","Completion Docs", "I - ", "Inspection")</f>
        <v>Structure</v>
      </c>
      <c r="E9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0" s="24" t="str">
        <f ca="1">IF(OR(Master[[#This Row],[Type]]="checklist", Master[[#This Row],[Type]]="checklist-flat"), Master[[#This Row],[Name]], F939)</f>
        <v xml:space="preserve">ST - S - Insitu Stitch Joints </v>
      </c>
      <c r="G940" s="34" t="s">
        <v>120</v>
      </c>
      <c r="H940" s="34" t="s">
        <v>297</v>
      </c>
      <c r="I940" s="35"/>
      <c r="J940" s="21">
        <f ca="1">_xlfn.XLOOKUP(Master[[#This Row],[Checklist]],Ref!A:A,Ref!B:B)*1000</f>
        <v>93000</v>
      </c>
      <c r="K940" s="21">
        <f ca="1">COUNTIF($J$2:Master[[#This Row],[ChecklistID]],Master[[#This Row],[ChecklistID]])-1</f>
        <v>19</v>
      </c>
      <c r="L940" s="23" t="s">
        <v>6</v>
      </c>
    </row>
    <row r="941" spans="1:12" ht="15.75">
      <c r="A941" s="23">
        <f t="shared" si="15"/>
        <v>940</v>
      </c>
      <c r="B941" s="21">
        <f ca="1">Master[[#This Row],[ChecklistID]]+Master[[#This Row],[Checklist Order]]</f>
        <v>93020</v>
      </c>
      <c r="C941" s="22"/>
      <c r="D941" s="3" t="str" cm="1">
        <f t="array" aca="1" ref="D941" ca="1">_xlfn.SWITCH(MID(Master[[#This Row],[Checklist]],1,4),"C - ","Civil","F - ","Foundation","ST -","Structure","FC -","Façade","PRE ","Pre-Line","POST","Post-Line","H - ","Handover","S - ","Services","CST ","Completion Docs", "I - ", "Inspection")</f>
        <v>Structure</v>
      </c>
      <c r="E9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1" s="24" t="str">
        <f ca="1">IF(OR(Master[[#This Row],[Type]]="checklist", Master[[#This Row],[Type]]="checklist-flat"), Master[[#This Row],[Name]], F940)</f>
        <v xml:space="preserve">ST - S - Insitu Stitch Joints </v>
      </c>
      <c r="G941" s="34" t="s">
        <v>49</v>
      </c>
      <c r="H941" s="34" t="s">
        <v>298</v>
      </c>
      <c r="I941" s="35"/>
      <c r="J941" s="21">
        <f ca="1">_xlfn.XLOOKUP(Master[[#This Row],[Checklist]],Ref!A:A,Ref!B:B)*1000</f>
        <v>93000</v>
      </c>
      <c r="K941" s="21">
        <f ca="1">COUNTIF($J$2:Master[[#This Row],[ChecklistID]],Master[[#This Row],[ChecklistID]])-1</f>
        <v>20</v>
      </c>
      <c r="L941" s="23" t="s">
        <v>6</v>
      </c>
    </row>
    <row r="942" spans="1:12" ht="15.75">
      <c r="A942" s="23">
        <f t="shared" si="15"/>
        <v>941</v>
      </c>
      <c r="B942" s="21">
        <f ca="1">Master[[#This Row],[ChecklistID]]+Master[[#This Row],[Checklist Order]]</f>
        <v>93021</v>
      </c>
      <c r="C942" s="22"/>
      <c r="D942" s="3" t="str" cm="1">
        <f t="array" aca="1" ref="D942" ca="1">_xlfn.SWITCH(MID(Master[[#This Row],[Checklist]],1,4),"C - ","Civil","F - ","Foundation","ST -","Structure","FC -","Façade","PRE ","Pre-Line","POST","Post-Line","H - ","Handover","S - ","Services","CST ","Completion Docs", "I - ", "Inspection")</f>
        <v>Structure</v>
      </c>
      <c r="E9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2" s="24" t="str">
        <f ca="1">IF(OR(Master[[#This Row],[Type]]="checklist", Master[[#This Row],[Type]]="checklist-flat"), Master[[#This Row],[Name]], F941)</f>
        <v xml:space="preserve">ST - S - Insitu Stitch Joints </v>
      </c>
      <c r="G942" s="34" t="s">
        <v>58</v>
      </c>
      <c r="H942" s="34" t="s">
        <v>306</v>
      </c>
      <c r="I942" s="35"/>
      <c r="J942" s="21">
        <f ca="1">_xlfn.XLOOKUP(Master[[#This Row],[Checklist]],Ref!A:A,Ref!B:B)*1000</f>
        <v>93000</v>
      </c>
      <c r="K942" s="21">
        <f ca="1">COUNTIF($J$2:Master[[#This Row],[ChecklistID]],Master[[#This Row],[ChecklistID]])-1</f>
        <v>21</v>
      </c>
      <c r="L942" s="23" t="s">
        <v>6</v>
      </c>
    </row>
    <row r="943" spans="1:12" ht="15.75">
      <c r="A943" s="23">
        <f t="shared" si="15"/>
        <v>942</v>
      </c>
      <c r="B943" s="21">
        <f ca="1">Master[[#This Row],[ChecklistID]]+Master[[#This Row],[Checklist Order]]</f>
        <v>93022</v>
      </c>
      <c r="C943" s="22"/>
      <c r="D943" s="3" t="str" cm="1">
        <f t="array" aca="1" ref="D943" ca="1">_xlfn.SWITCH(MID(Master[[#This Row],[Checklist]],1,4),"C - ","Civil","F - ","Foundation","ST -","Structure","FC -","Façade","PRE ","Pre-Line","POST","Post-Line","H - ","Handover","S - ","Services","CST ","Completion Docs", "I - ", "Inspection")</f>
        <v>Structure</v>
      </c>
      <c r="E9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3" s="24" t="str">
        <f ca="1">IF(OR(Master[[#This Row],[Type]]="checklist", Master[[#This Row],[Type]]="checklist-flat"), Master[[#This Row],[Name]], F942)</f>
        <v xml:space="preserve">ST - S - Insitu Stitch Joints </v>
      </c>
      <c r="G943" s="34" t="s">
        <v>49</v>
      </c>
      <c r="H943" s="34" t="s">
        <v>300</v>
      </c>
      <c r="I943" s="35"/>
      <c r="J943" s="21">
        <f ca="1">_xlfn.XLOOKUP(Master[[#This Row],[Checklist]],Ref!A:A,Ref!B:B)*1000</f>
        <v>93000</v>
      </c>
      <c r="K943" s="21">
        <f ca="1">COUNTIF($J$2:Master[[#This Row],[ChecklistID]],Master[[#This Row],[ChecklistID]])-1</f>
        <v>22</v>
      </c>
      <c r="L943" s="23" t="s">
        <v>6</v>
      </c>
    </row>
    <row r="944" spans="1:12" ht="15.75">
      <c r="A944" s="23">
        <f t="shared" si="15"/>
        <v>943</v>
      </c>
      <c r="B944" s="21">
        <f ca="1">Master[[#This Row],[ChecklistID]]+Master[[#This Row],[Checklist Order]]</f>
        <v>93023</v>
      </c>
      <c r="C944" s="22"/>
      <c r="D944" s="3" t="str" cm="1">
        <f t="array" aca="1" ref="D944" ca="1">_xlfn.SWITCH(MID(Master[[#This Row],[Checklist]],1,4),"C - ","Civil","F - ","Foundation","ST -","Structure","FC -","Façade","PRE ","Pre-Line","POST","Post-Line","H - ","Handover","S - ","Services","CST ","Completion Docs", "I - ", "Inspection")</f>
        <v>Structure</v>
      </c>
      <c r="E9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4" s="24" t="str">
        <f ca="1">IF(OR(Master[[#This Row],[Type]]="checklist", Master[[#This Row],[Type]]="checklist-flat"), Master[[#This Row],[Name]], F943)</f>
        <v xml:space="preserve">ST - S - Insitu Stitch Joints </v>
      </c>
      <c r="G944" s="34" t="s">
        <v>49</v>
      </c>
      <c r="H944" s="34" t="s">
        <v>57</v>
      </c>
      <c r="I944" s="35"/>
      <c r="J944" s="21">
        <f ca="1">_xlfn.XLOOKUP(Master[[#This Row],[Checklist]],Ref!A:A,Ref!B:B)*1000</f>
        <v>93000</v>
      </c>
      <c r="K944" s="21">
        <f ca="1">COUNTIF($J$2:Master[[#This Row],[ChecklistID]],Master[[#This Row],[ChecklistID]])-1</f>
        <v>23</v>
      </c>
      <c r="L944" s="23" t="s">
        <v>6</v>
      </c>
    </row>
    <row r="945" spans="1:12" ht="15.75">
      <c r="A945" s="23">
        <f t="shared" si="15"/>
        <v>944</v>
      </c>
      <c r="B945" s="21">
        <f ca="1">Master[[#This Row],[ChecklistID]]+Master[[#This Row],[Checklist Order]]</f>
        <v>93024</v>
      </c>
      <c r="C945" s="22"/>
      <c r="D945" s="3" t="str" cm="1">
        <f t="array" aca="1" ref="D945" ca="1">_xlfn.SWITCH(MID(Master[[#This Row],[Checklist]],1,4),"C - ","Civil","F - ","Foundation","ST -","Structure","FC -","Façade","PRE ","Pre-Line","POST","Post-Line","H - ","Handover","S - ","Services","CST ","Completion Docs", "I - ", "Inspection")</f>
        <v>Structure</v>
      </c>
      <c r="E9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5" s="24" t="str">
        <f ca="1">IF(OR(Master[[#This Row],[Type]]="checklist", Master[[#This Row],[Type]]="checklist-flat"), Master[[#This Row],[Name]], F944)</f>
        <v xml:space="preserve">ST - S - Insitu Stitch Joints </v>
      </c>
      <c r="G945" s="34" t="s">
        <v>58</v>
      </c>
      <c r="H945" s="34" t="s">
        <v>59</v>
      </c>
      <c r="I945" s="35"/>
      <c r="J945" s="21">
        <f ca="1">_xlfn.XLOOKUP(Master[[#This Row],[Checklist]],Ref!A:A,Ref!B:B)*1000</f>
        <v>93000</v>
      </c>
      <c r="K945" s="21">
        <f ca="1">COUNTIF($J$2:Master[[#This Row],[ChecklistID]],Master[[#This Row],[ChecklistID]])-1</f>
        <v>24</v>
      </c>
      <c r="L945" s="23" t="s">
        <v>6</v>
      </c>
    </row>
    <row r="946" spans="1:12" ht="15.75">
      <c r="A946" s="23">
        <f t="shared" si="15"/>
        <v>945</v>
      </c>
      <c r="B946" s="21">
        <f ca="1">Master[[#This Row],[ChecklistID]]+Master[[#This Row],[Checklist Order]]</f>
        <v>94000</v>
      </c>
      <c r="C946" s="22"/>
      <c r="D946" s="3" t="str" cm="1">
        <f t="array" aca="1" ref="D946" ca="1">_xlfn.SWITCH(MID(Master[[#This Row],[Checklist]],1,4),"C - ","Civil","F - ","Foundation","ST -","Structure","FC -","Façade","PRE ","Pre-Line","POST","Post-Line","H - ","Handover","S - ","Services","CST ","Completion Docs", "I - ", "Inspection")</f>
        <v>Structure</v>
      </c>
      <c r="E9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6" s="24" t="str">
        <f ca="1">IF(OR(Master[[#This Row],[Type]]="checklist", Master[[#This Row],[Type]]="checklist-flat"), Master[[#This Row],[Name]], F945)</f>
        <v>ST - S - Intumescent Painting - QA</v>
      </c>
      <c r="G946" s="34" t="s">
        <v>119</v>
      </c>
      <c r="H946" s="34" t="s">
        <v>308</v>
      </c>
      <c r="I946" s="35"/>
      <c r="J946" s="21">
        <f ca="1">_xlfn.XLOOKUP(Master[[#This Row],[Checklist]],Ref!A:A,Ref!B:B)*1000</f>
        <v>94000</v>
      </c>
      <c r="K946" s="21">
        <f ca="1">COUNTIF($J$2:Master[[#This Row],[ChecklistID]],Master[[#This Row],[ChecklistID]])-1</f>
        <v>0</v>
      </c>
      <c r="L946" s="23" t="s">
        <v>6</v>
      </c>
    </row>
    <row r="947" spans="1:12" ht="15.75">
      <c r="A947" s="23">
        <f t="shared" si="15"/>
        <v>946</v>
      </c>
      <c r="B947" s="21">
        <f ca="1">Master[[#This Row],[ChecklistID]]+Master[[#This Row],[Checklist Order]]</f>
        <v>94001</v>
      </c>
      <c r="C947" s="22"/>
      <c r="D947" s="3" t="str" cm="1">
        <f t="array" aca="1" ref="D947" ca="1">_xlfn.SWITCH(MID(Master[[#This Row],[Checklist]],1,4),"C - ","Civil","F - ","Foundation","ST -","Structure","FC -","Façade","PRE ","Pre-Line","POST","Post-Line","H - ","Handover","S - ","Services","CST ","Completion Docs", "I - ", "Inspection")</f>
        <v>Structure</v>
      </c>
      <c r="E9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7" s="24" t="str">
        <f ca="1">IF(OR(Master[[#This Row],[Type]]="checklist", Master[[#This Row],[Type]]="checklist-flat"), Master[[#This Row],[Name]], F946)</f>
        <v>ST - S - Intumescent Painting - QA</v>
      </c>
      <c r="G947" s="34" t="s">
        <v>120</v>
      </c>
      <c r="H947" s="34" t="s">
        <v>309</v>
      </c>
      <c r="I947" s="35"/>
      <c r="J947" s="21">
        <f ca="1">_xlfn.XLOOKUP(Master[[#This Row],[Checklist]],Ref!A:A,Ref!B:B)*1000</f>
        <v>94000</v>
      </c>
      <c r="K947" s="21">
        <f ca="1">COUNTIF($J$2:Master[[#This Row],[ChecklistID]],Master[[#This Row],[ChecklistID]])-1</f>
        <v>1</v>
      </c>
      <c r="L947" s="23" t="s">
        <v>6</v>
      </c>
    </row>
    <row r="948" spans="1:12" ht="15.75">
      <c r="A948" s="23">
        <f t="shared" si="15"/>
        <v>947</v>
      </c>
      <c r="B948" s="21">
        <f ca="1">Master[[#This Row],[ChecklistID]]+Master[[#This Row],[Checklist Order]]</f>
        <v>94002</v>
      </c>
      <c r="C948" s="22"/>
      <c r="D948" s="3" t="str" cm="1">
        <f t="array" aca="1" ref="D948" ca="1">_xlfn.SWITCH(MID(Master[[#This Row],[Checklist]],1,4),"C - ","Civil","F - ","Foundation","ST -","Structure","FC -","Façade","PRE ","Pre-Line","POST","Post-Line","H - ","Handover","S - ","Services","CST ","Completion Docs", "I - ", "Inspection")</f>
        <v>Structure</v>
      </c>
      <c r="E9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8" s="24" t="str">
        <f ca="1">IF(OR(Master[[#This Row],[Type]]="checklist", Master[[#This Row],[Type]]="checklist-flat"), Master[[#This Row],[Name]], F947)</f>
        <v>ST - S - Intumescent Painting - QA</v>
      </c>
      <c r="G948" s="34" t="s">
        <v>49</v>
      </c>
      <c r="H948" s="34" t="s">
        <v>310</v>
      </c>
      <c r="I948" s="35"/>
      <c r="J948" s="21">
        <f ca="1">_xlfn.XLOOKUP(Master[[#This Row],[Checklist]],Ref!A:A,Ref!B:B)*1000</f>
        <v>94000</v>
      </c>
      <c r="K948" s="21">
        <f ca="1">COUNTIF($J$2:Master[[#This Row],[ChecklistID]],Master[[#This Row],[ChecklistID]])-1</f>
        <v>2</v>
      </c>
      <c r="L948" s="23" t="s">
        <v>6</v>
      </c>
    </row>
    <row r="949" spans="1:12" ht="15.75">
      <c r="A949" s="23">
        <f t="shared" si="15"/>
        <v>948</v>
      </c>
      <c r="B949" s="21">
        <f ca="1">Master[[#This Row],[ChecklistID]]+Master[[#This Row],[Checklist Order]]</f>
        <v>94003</v>
      </c>
      <c r="C949" s="22"/>
      <c r="D949" s="3" t="str" cm="1">
        <f t="array" aca="1" ref="D949" ca="1">_xlfn.SWITCH(MID(Master[[#This Row],[Checklist]],1,4),"C - ","Civil","F - ","Foundation","ST -","Structure","FC -","Façade","PRE ","Pre-Line","POST","Post-Line","H - ","Handover","S - ","Services","CST ","Completion Docs", "I - ", "Inspection")</f>
        <v>Structure</v>
      </c>
      <c r="E9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49" s="24" t="str">
        <f ca="1">IF(OR(Master[[#This Row],[Type]]="checklist", Master[[#This Row],[Type]]="checklist-flat"), Master[[#This Row],[Name]], F948)</f>
        <v>ST - S - Intumescent Painting - QA</v>
      </c>
      <c r="G949" s="34" t="s">
        <v>124</v>
      </c>
      <c r="H949" s="34" t="s">
        <v>311</v>
      </c>
      <c r="I949" s="35"/>
      <c r="J949" s="21">
        <f ca="1">_xlfn.XLOOKUP(Master[[#This Row],[Checklist]],Ref!A:A,Ref!B:B)*1000</f>
        <v>94000</v>
      </c>
      <c r="K949" s="21">
        <f ca="1">COUNTIF($J$2:Master[[#This Row],[ChecklistID]],Master[[#This Row],[ChecklistID]])-1</f>
        <v>3</v>
      </c>
      <c r="L949" s="23" t="s">
        <v>6</v>
      </c>
    </row>
    <row r="950" spans="1:12" ht="15.75">
      <c r="A950" s="23">
        <f t="shared" si="15"/>
        <v>949</v>
      </c>
      <c r="B950" s="21">
        <f ca="1">Master[[#This Row],[ChecklistID]]+Master[[#This Row],[Checklist Order]]</f>
        <v>94004</v>
      </c>
      <c r="C950" s="22"/>
      <c r="D950" s="3" t="str" cm="1">
        <f t="array" aca="1" ref="D950" ca="1">_xlfn.SWITCH(MID(Master[[#This Row],[Checklist]],1,4),"C - ","Civil","F - ","Foundation","ST -","Structure","FC -","Façade","PRE ","Pre-Line","POST","Post-Line","H - ","Handover","S - ","Services","CST ","Completion Docs", "I - ", "Inspection")</f>
        <v>Structure</v>
      </c>
      <c r="E9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0" s="24" t="str">
        <f ca="1">IF(OR(Master[[#This Row],[Type]]="checklist", Master[[#This Row],[Type]]="checklist-flat"), Master[[#This Row],[Name]], F949)</f>
        <v>ST - S - Intumescent Painting - QA</v>
      </c>
      <c r="G950" s="34" t="s">
        <v>49</v>
      </c>
      <c r="H950" s="34" t="s">
        <v>312</v>
      </c>
      <c r="I950" s="35"/>
      <c r="J950" s="21">
        <f ca="1">_xlfn.XLOOKUP(Master[[#This Row],[Checklist]],Ref!A:A,Ref!B:B)*1000</f>
        <v>94000</v>
      </c>
      <c r="K950" s="21">
        <f ca="1">COUNTIF($J$2:Master[[#This Row],[ChecklistID]],Master[[#This Row],[ChecklistID]])-1</f>
        <v>4</v>
      </c>
      <c r="L950" s="23" t="s">
        <v>6</v>
      </c>
    </row>
    <row r="951" spans="1:12" ht="15.75">
      <c r="A951" s="23">
        <f t="shared" si="15"/>
        <v>950</v>
      </c>
      <c r="B951" s="21">
        <f ca="1">Master[[#This Row],[ChecklistID]]+Master[[#This Row],[Checklist Order]]</f>
        <v>94005</v>
      </c>
      <c r="C951" s="22"/>
      <c r="D951" s="3" t="str" cm="1">
        <f t="array" aca="1" ref="D951" ca="1">_xlfn.SWITCH(MID(Master[[#This Row],[Checklist]],1,4),"C - ","Civil","F - ","Foundation","ST -","Structure","FC -","Façade","PRE ","Pre-Line","POST","Post-Line","H - ","Handover","S - ","Services","CST ","Completion Docs", "I - ", "Inspection")</f>
        <v>Structure</v>
      </c>
      <c r="E9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1" s="24" t="str">
        <f ca="1">IF(OR(Master[[#This Row],[Type]]="checklist", Master[[#This Row],[Type]]="checklist-flat"), Master[[#This Row],[Name]], F950)</f>
        <v>ST - S - Intumescent Painting - QA</v>
      </c>
      <c r="G951" s="34" t="s">
        <v>49</v>
      </c>
      <c r="H951" s="34" t="s">
        <v>1674</v>
      </c>
      <c r="I951" s="35"/>
      <c r="J951" s="21">
        <f ca="1">_xlfn.XLOOKUP(Master[[#This Row],[Checklist]],Ref!A:A,Ref!B:B)*1000</f>
        <v>94000</v>
      </c>
      <c r="K951" s="21">
        <f ca="1">COUNTIF($J$2:Master[[#This Row],[ChecklistID]],Master[[#This Row],[ChecklistID]])-1</f>
        <v>5</v>
      </c>
      <c r="L951" s="23" t="s">
        <v>6</v>
      </c>
    </row>
    <row r="952" spans="1:12" ht="15.75">
      <c r="A952" s="23">
        <f t="shared" si="15"/>
        <v>951</v>
      </c>
      <c r="B952" s="21">
        <f ca="1">Master[[#This Row],[ChecklistID]]+Master[[#This Row],[Checklist Order]]</f>
        <v>94006</v>
      </c>
      <c r="C952" s="22"/>
      <c r="D952" s="3" t="str" cm="1">
        <f t="array" aca="1" ref="D952" ca="1">_xlfn.SWITCH(MID(Master[[#This Row],[Checklist]],1,4),"C - ","Civil","F - ","Foundation","ST -","Structure","FC -","Façade","PRE ","Pre-Line","POST","Post-Line","H - ","Handover","S - ","Services","CST ","Completion Docs", "I - ", "Inspection")</f>
        <v>Structure</v>
      </c>
      <c r="E9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2" s="24" t="str">
        <f ca="1">IF(OR(Master[[#This Row],[Type]]="checklist", Master[[#This Row],[Type]]="checklist-flat"), Master[[#This Row],[Name]], F951)</f>
        <v>ST - S - Intumescent Painting - QA</v>
      </c>
      <c r="G952" s="34" t="s">
        <v>66</v>
      </c>
      <c r="H952" s="34" t="s">
        <v>314</v>
      </c>
      <c r="I952" s="35"/>
      <c r="J952" s="21">
        <f ca="1">_xlfn.XLOOKUP(Master[[#This Row],[Checklist]],Ref!A:A,Ref!B:B)*1000</f>
        <v>94000</v>
      </c>
      <c r="K952" s="21">
        <f ca="1">COUNTIF($J$2:Master[[#This Row],[ChecklistID]],Master[[#This Row],[ChecklistID]])-1</f>
        <v>6</v>
      </c>
      <c r="L952" s="23" t="s">
        <v>6</v>
      </c>
    </row>
    <row r="953" spans="1:12" ht="15.75">
      <c r="A953" s="23">
        <f t="shared" si="15"/>
        <v>952</v>
      </c>
      <c r="B953" s="21">
        <f ca="1">Master[[#This Row],[ChecklistID]]+Master[[#This Row],[Checklist Order]]</f>
        <v>94007</v>
      </c>
      <c r="C953" s="22"/>
      <c r="D953" s="3" t="str" cm="1">
        <f t="array" aca="1" ref="D953" ca="1">_xlfn.SWITCH(MID(Master[[#This Row],[Checklist]],1,4),"C - ","Civil","F - ","Foundation","ST -","Structure","FC -","Façade","PRE ","Pre-Line","POST","Post-Line","H - ","Handover","S - ","Services","CST ","Completion Docs", "I - ", "Inspection")</f>
        <v>Structure</v>
      </c>
      <c r="E9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3" s="24" t="str">
        <f ca="1">IF(OR(Master[[#This Row],[Type]]="checklist", Master[[#This Row],[Type]]="checklist-flat"), Master[[#This Row],[Name]], F952)</f>
        <v>ST - S - Intumescent Painting - QA</v>
      </c>
      <c r="G953" s="34" t="s">
        <v>66</v>
      </c>
      <c r="H953" s="34" t="s">
        <v>315</v>
      </c>
      <c r="I953" s="35"/>
      <c r="J953" s="21">
        <f ca="1">_xlfn.XLOOKUP(Master[[#This Row],[Checklist]],Ref!A:A,Ref!B:B)*1000</f>
        <v>94000</v>
      </c>
      <c r="K953" s="21">
        <f ca="1">COUNTIF($J$2:Master[[#This Row],[ChecklistID]],Master[[#This Row],[ChecklistID]])-1</f>
        <v>7</v>
      </c>
      <c r="L953" s="23" t="s">
        <v>6</v>
      </c>
    </row>
    <row r="954" spans="1:12" ht="15.75">
      <c r="A954" s="23">
        <f t="shared" si="15"/>
        <v>953</v>
      </c>
      <c r="B954" s="21">
        <f ca="1">Master[[#This Row],[ChecklistID]]+Master[[#This Row],[Checklist Order]]</f>
        <v>94008</v>
      </c>
      <c r="C954" s="22"/>
      <c r="D954" s="3" t="str" cm="1">
        <f t="array" aca="1" ref="D954" ca="1">_xlfn.SWITCH(MID(Master[[#This Row],[Checklist]],1,4),"C - ","Civil","F - ","Foundation","ST -","Structure","FC -","Façade","PRE ","Pre-Line","POST","Post-Line","H - ","Handover","S - ","Services","CST ","Completion Docs", "I - ", "Inspection")</f>
        <v>Structure</v>
      </c>
      <c r="E9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4" s="24" t="str">
        <f ca="1">IF(OR(Master[[#This Row],[Type]]="checklist", Master[[#This Row],[Type]]="checklist-flat"), Master[[#This Row],[Name]], F953)</f>
        <v>ST - S - Intumescent Painting - QA</v>
      </c>
      <c r="G954" s="34" t="s">
        <v>66</v>
      </c>
      <c r="H954" s="34" t="s">
        <v>316</v>
      </c>
      <c r="I954" s="35"/>
      <c r="J954" s="21">
        <f ca="1">_xlfn.XLOOKUP(Master[[#This Row],[Checklist]],Ref!A:A,Ref!B:B)*1000</f>
        <v>94000</v>
      </c>
      <c r="K954" s="21">
        <f ca="1">COUNTIF($J$2:Master[[#This Row],[ChecklistID]],Master[[#This Row],[ChecklistID]])-1</f>
        <v>8</v>
      </c>
      <c r="L954" s="23" t="s">
        <v>6</v>
      </c>
    </row>
    <row r="955" spans="1:12" ht="15.75">
      <c r="A955" s="23">
        <f t="shared" si="15"/>
        <v>954</v>
      </c>
      <c r="B955" s="21">
        <f ca="1">Master[[#This Row],[ChecklistID]]+Master[[#This Row],[Checklist Order]]</f>
        <v>94009</v>
      </c>
      <c r="C955" s="22"/>
      <c r="D955" s="3" t="str" cm="1">
        <f t="array" aca="1" ref="D955" ca="1">_xlfn.SWITCH(MID(Master[[#This Row],[Checklist]],1,4),"C - ","Civil","F - ","Foundation","ST -","Structure","FC -","Façade","PRE ","Pre-Line","POST","Post-Line","H - ","Handover","S - ","Services","CST ","Completion Docs", "I - ", "Inspection")</f>
        <v>Structure</v>
      </c>
      <c r="E9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5" s="24" t="str">
        <f ca="1">IF(OR(Master[[#This Row],[Type]]="checklist", Master[[#This Row],[Type]]="checklist-flat"), Master[[#This Row],[Name]], F954)</f>
        <v>ST - S - Intumescent Painting - QA</v>
      </c>
      <c r="G955" s="34" t="s">
        <v>66</v>
      </c>
      <c r="H955" s="34" t="s">
        <v>317</v>
      </c>
      <c r="I955" s="35"/>
      <c r="J955" s="21">
        <f ca="1">_xlfn.XLOOKUP(Master[[#This Row],[Checklist]],Ref!A:A,Ref!B:B)*1000</f>
        <v>94000</v>
      </c>
      <c r="K955" s="21">
        <f ca="1">COUNTIF($J$2:Master[[#This Row],[ChecklistID]],Master[[#This Row],[ChecklistID]])-1</f>
        <v>9</v>
      </c>
      <c r="L955" s="23" t="s">
        <v>6</v>
      </c>
    </row>
    <row r="956" spans="1:12" ht="15.75">
      <c r="A956" s="23">
        <f t="shared" si="15"/>
        <v>955</v>
      </c>
      <c r="B956" s="21">
        <f ca="1">Master[[#This Row],[ChecklistID]]+Master[[#This Row],[Checklist Order]]</f>
        <v>94010</v>
      </c>
      <c r="C956" s="22"/>
      <c r="D956" s="3" t="str" cm="1">
        <f t="array" aca="1" ref="D956" ca="1">_xlfn.SWITCH(MID(Master[[#This Row],[Checklist]],1,4),"C - ","Civil","F - ","Foundation","ST -","Structure","FC -","Façade","PRE ","Pre-Line","POST","Post-Line","H - ","Handover","S - ","Services","CST ","Completion Docs", "I - ", "Inspection")</f>
        <v>Structure</v>
      </c>
      <c r="E9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6" s="24" t="str">
        <f ca="1">IF(OR(Master[[#This Row],[Type]]="checklist", Master[[#This Row],[Type]]="checklist-flat"), Master[[#This Row],[Name]], F955)</f>
        <v>ST - S - Intumescent Painting - QA</v>
      </c>
      <c r="G956" s="34" t="s">
        <v>49</v>
      </c>
      <c r="H956" s="34" t="s">
        <v>318</v>
      </c>
      <c r="I956" s="35"/>
      <c r="J956" s="21">
        <f ca="1">_xlfn.XLOOKUP(Master[[#This Row],[Checklist]],Ref!A:A,Ref!B:B)*1000</f>
        <v>94000</v>
      </c>
      <c r="K956" s="21">
        <f ca="1">COUNTIF($J$2:Master[[#This Row],[ChecklistID]],Master[[#This Row],[ChecklistID]])-1</f>
        <v>10</v>
      </c>
      <c r="L956" s="23" t="s">
        <v>6</v>
      </c>
    </row>
    <row r="957" spans="1:12" ht="15.75">
      <c r="A957" s="23">
        <f t="shared" si="15"/>
        <v>956</v>
      </c>
      <c r="B957" s="21">
        <f ca="1">Master[[#This Row],[ChecklistID]]+Master[[#This Row],[Checklist Order]]</f>
        <v>94011</v>
      </c>
      <c r="C957" s="22"/>
      <c r="D957" s="3" t="str" cm="1">
        <f t="array" aca="1" ref="D957" ca="1">_xlfn.SWITCH(MID(Master[[#This Row],[Checklist]],1,4),"C - ","Civil","F - ","Foundation","ST -","Structure","FC -","Façade","PRE ","Pre-Line","POST","Post-Line","H - ","Handover","S - ","Services","CST ","Completion Docs", "I - ", "Inspection")</f>
        <v>Structure</v>
      </c>
      <c r="E9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7" s="24" t="str">
        <f ca="1">IF(OR(Master[[#This Row],[Type]]="checklist", Master[[#This Row],[Type]]="checklist-flat"), Master[[#This Row],[Name]], F956)</f>
        <v>ST - S - Intumescent Painting - QA</v>
      </c>
      <c r="G957" s="34" t="s">
        <v>120</v>
      </c>
      <c r="H957" s="34" t="s">
        <v>319</v>
      </c>
      <c r="I957" s="35"/>
      <c r="J957" s="21">
        <f ca="1">_xlfn.XLOOKUP(Master[[#This Row],[Checklist]],Ref!A:A,Ref!B:B)*1000</f>
        <v>94000</v>
      </c>
      <c r="K957" s="21">
        <f ca="1">COUNTIF($J$2:Master[[#This Row],[ChecklistID]],Master[[#This Row],[ChecklistID]])-1</f>
        <v>11</v>
      </c>
      <c r="L957" s="23" t="s">
        <v>6</v>
      </c>
    </row>
    <row r="958" spans="1:12" ht="15.75">
      <c r="A958" s="23">
        <f t="shared" si="15"/>
        <v>957</v>
      </c>
      <c r="B958" s="21">
        <f ca="1">Master[[#This Row],[ChecklistID]]+Master[[#This Row],[Checklist Order]]</f>
        <v>94012</v>
      </c>
      <c r="C958" s="22"/>
      <c r="D958" s="3" t="str" cm="1">
        <f t="array" aca="1" ref="D958" ca="1">_xlfn.SWITCH(MID(Master[[#This Row],[Checklist]],1,4),"C - ","Civil","F - ","Foundation","ST -","Structure","FC -","Façade","PRE ","Pre-Line","POST","Post-Line","H - ","Handover","S - ","Services","CST ","Completion Docs", "I - ", "Inspection")</f>
        <v>Structure</v>
      </c>
      <c r="E9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8" s="24" t="str">
        <f ca="1">IF(OR(Master[[#This Row],[Type]]="checklist", Master[[#This Row],[Type]]="checklist-flat"), Master[[#This Row],[Name]], F957)</f>
        <v>ST - S - Intumescent Painting - QA</v>
      </c>
      <c r="G958" s="34" t="s">
        <v>49</v>
      </c>
      <c r="H958" s="34" t="s">
        <v>320</v>
      </c>
      <c r="I958" s="35"/>
      <c r="J958" s="21">
        <f ca="1">_xlfn.XLOOKUP(Master[[#This Row],[Checklist]],Ref!A:A,Ref!B:B)*1000</f>
        <v>94000</v>
      </c>
      <c r="K958" s="21">
        <f ca="1">COUNTIF($J$2:Master[[#This Row],[ChecklistID]],Master[[#This Row],[ChecklistID]])-1</f>
        <v>12</v>
      </c>
      <c r="L958" s="23" t="s">
        <v>6</v>
      </c>
    </row>
    <row r="959" spans="1:12" ht="15.75">
      <c r="A959" s="23">
        <f t="shared" si="15"/>
        <v>958</v>
      </c>
      <c r="B959" s="21">
        <f ca="1">Master[[#This Row],[ChecklistID]]+Master[[#This Row],[Checklist Order]]</f>
        <v>94013</v>
      </c>
      <c r="C959" s="22"/>
      <c r="D959" s="3" t="str" cm="1">
        <f t="array" aca="1" ref="D959" ca="1">_xlfn.SWITCH(MID(Master[[#This Row],[Checklist]],1,4),"C - ","Civil","F - ","Foundation","ST -","Structure","FC -","Façade","PRE ","Pre-Line","POST","Post-Line","H - ","Handover","S - ","Services","CST ","Completion Docs", "I - ", "Inspection")</f>
        <v>Structure</v>
      </c>
      <c r="E9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59" s="24" t="str">
        <f ca="1">IF(OR(Master[[#This Row],[Type]]="checklist", Master[[#This Row],[Type]]="checklist-flat"), Master[[#This Row],[Name]], F958)</f>
        <v>ST - S - Intumescent Painting - QA</v>
      </c>
      <c r="G959" s="34" t="s">
        <v>49</v>
      </c>
      <c r="H959" s="34" t="s">
        <v>321</v>
      </c>
      <c r="I959" s="35"/>
      <c r="J959" s="21">
        <f ca="1">_xlfn.XLOOKUP(Master[[#This Row],[Checklist]],Ref!A:A,Ref!B:B)*1000</f>
        <v>94000</v>
      </c>
      <c r="K959" s="21">
        <f ca="1">COUNTIF($J$2:Master[[#This Row],[ChecklistID]],Master[[#This Row],[ChecklistID]])-1</f>
        <v>13</v>
      </c>
      <c r="L959" s="23" t="s">
        <v>6</v>
      </c>
    </row>
    <row r="960" spans="1:12" ht="15.75">
      <c r="A960" s="23">
        <f t="shared" si="15"/>
        <v>959</v>
      </c>
      <c r="B960" s="21">
        <f ca="1">Master[[#This Row],[ChecklistID]]+Master[[#This Row],[Checklist Order]]</f>
        <v>94014</v>
      </c>
      <c r="C960" s="22"/>
      <c r="D960" s="3" t="str" cm="1">
        <f t="array" aca="1" ref="D960" ca="1">_xlfn.SWITCH(MID(Master[[#This Row],[Checklist]],1,4),"C - ","Civil","F - ","Foundation","ST -","Structure","FC -","Façade","PRE ","Pre-Line","POST","Post-Line","H - ","Handover","S - ","Services","CST ","Completion Docs", "I - ", "Inspection")</f>
        <v>Structure</v>
      </c>
      <c r="E9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0" s="24" t="str">
        <f ca="1">IF(OR(Master[[#This Row],[Type]]="checklist", Master[[#This Row],[Type]]="checklist-flat"), Master[[#This Row],[Name]], F959)</f>
        <v>ST - S - Intumescent Painting - QA</v>
      </c>
      <c r="G960" s="34" t="s">
        <v>49</v>
      </c>
      <c r="H960" s="34" t="s">
        <v>322</v>
      </c>
      <c r="I960" s="35"/>
      <c r="J960" s="21">
        <f ca="1">_xlfn.XLOOKUP(Master[[#This Row],[Checklist]],Ref!A:A,Ref!B:B)*1000</f>
        <v>94000</v>
      </c>
      <c r="K960" s="21">
        <f ca="1">COUNTIF($J$2:Master[[#This Row],[ChecklistID]],Master[[#This Row],[ChecklistID]])-1</f>
        <v>14</v>
      </c>
      <c r="L960" s="23" t="s">
        <v>6</v>
      </c>
    </row>
    <row r="961" spans="1:12" ht="15.75">
      <c r="A961" s="23">
        <f t="shared" si="15"/>
        <v>960</v>
      </c>
      <c r="B961" s="21">
        <f ca="1">Master[[#This Row],[ChecklistID]]+Master[[#This Row],[Checklist Order]]</f>
        <v>94015</v>
      </c>
      <c r="C961" s="22"/>
      <c r="D961" s="3" t="str" cm="1">
        <f t="array" aca="1" ref="D961" ca="1">_xlfn.SWITCH(MID(Master[[#This Row],[Checklist]],1,4),"C - ","Civil","F - ","Foundation","ST -","Structure","FC -","Façade","PRE ","Pre-Line","POST","Post-Line","H - ","Handover","S - ","Services","CST ","Completion Docs", "I - ", "Inspection")</f>
        <v>Structure</v>
      </c>
      <c r="E9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1" s="24" t="str">
        <f ca="1">IF(OR(Master[[#This Row],[Type]]="checklist", Master[[#This Row],[Type]]="checklist-flat"), Master[[#This Row],[Name]], F960)</f>
        <v>ST - S - Intumescent Painting - QA</v>
      </c>
      <c r="G961" s="34" t="s">
        <v>49</v>
      </c>
      <c r="H961" s="34" t="s">
        <v>323</v>
      </c>
      <c r="I961" s="35"/>
      <c r="J961" s="21">
        <f ca="1">_xlfn.XLOOKUP(Master[[#This Row],[Checklist]],Ref!A:A,Ref!B:B)*1000</f>
        <v>94000</v>
      </c>
      <c r="K961" s="21">
        <f ca="1">COUNTIF($J$2:Master[[#This Row],[ChecklistID]],Master[[#This Row],[ChecklistID]])-1</f>
        <v>15</v>
      </c>
      <c r="L961" s="23" t="s">
        <v>6</v>
      </c>
    </row>
    <row r="962" spans="1:12" ht="15.75">
      <c r="A962" s="23">
        <f t="shared" si="15"/>
        <v>961</v>
      </c>
      <c r="B962" s="21">
        <f ca="1">Master[[#This Row],[ChecklistID]]+Master[[#This Row],[Checklist Order]]</f>
        <v>94016</v>
      </c>
      <c r="C962" s="22"/>
      <c r="D962" s="3" t="str" cm="1">
        <f t="array" aca="1" ref="D962" ca="1">_xlfn.SWITCH(MID(Master[[#This Row],[Checklist]],1,4),"C - ","Civil","F - ","Foundation","ST -","Structure","FC -","Façade","PRE ","Pre-Line","POST","Post-Line","H - ","Handover","S - ","Services","CST ","Completion Docs", "I - ", "Inspection")</f>
        <v>Structure</v>
      </c>
      <c r="E9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2" s="24" t="str">
        <f ca="1">IF(OR(Master[[#This Row],[Type]]="checklist", Master[[#This Row],[Type]]="checklist-flat"), Master[[#This Row],[Name]], F961)</f>
        <v>ST - S - Intumescent Painting - QA</v>
      </c>
      <c r="G962" s="34" t="s">
        <v>49</v>
      </c>
      <c r="H962" s="34" t="s">
        <v>57</v>
      </c>
      <c r="I962" s="35"/>
      <c r="J962" s="21">
        <f ca="1">_xlfn.XLOOKUP(Master[[#This Row],[Checklist]],Ref!A:A,Ref!B:B)*1000</f>
        <v>94000</v>
      </c>
      <c r="K962" s="21">
        <f ca="1">COUNTIF($J$2:Master[[#This Row],[ChecklistID]],Master[[#This Row],[ChecklistID]])-1</f>
        <v>16</v>
      </c>
      <c r="L962" s="23" t="s">
        <v>6</v>
      </c>
    </row>
    <row r="963" spans="1:12" ht="15.75">
      <c r="A963" s="23">
        <f t="shared" si="15"/>
        <v>962</v>
      </c>
      <c r="B963" s="21">
        <f ca="1">Master[[#This Row],[ChecklistID]]+Master[[#This Row],[Checklist Order]]</f>
        <v>94017</v>
      </c>
      <c r="C963" s="22"/>
      <c r="D963" s="3" t="str" cm="1">
        <f t="array" aca="1" ref="D963" ca="1">_xlfn.SWITCH(MID(Master[[#This Row],[Checklist]],1,4),"C - ","Civil","F - ","Foundation","ST -","Structure","FC -","Façade","PRE ","Pre-Line","POST","Post-Line","H - ","Handover","S - ","Services","CST ","Completion Docs", "I - ", "Inspection")</f>
        <v>Structure</v>
      </c>
      <c r="E9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3" s="24" t="str">
        <f ca="1">IF(OR(Master[[#This Row],[Type]]="checklist", Master[[#This Row],[Type]]="checklist-flat"), Master[[#This Row],[Name]], F962)</f>
        <v>ST - S - Intumescent Painting - QA</v>
      </c>
      <c r="G963" s="34" t="s">
        <v>58</v>
      </c>
      <c r="H963" s="34" t="s">
        <v>59</v>
      </c>
      <c r="I963" s="35"/>
      <c r="J963" s="21">
        <f ca="1">_xlfn.XLOOKUP(Master[[#This Row],[Checklist]],Ref!A:A,Ref!B:B)*1000</f>
        <v>94000</v>
      </c>
      <c r="K963" s="21">
        <f ca="1">COUNTIF($J$2:Master[[#This Row],[ChecklistID]],Master[[#This Row],[ChecklistID]])-1</f>
        <v>17</v>
      </c>
      <c r="L963" s="23" t="s">
        <v>6</v>
      </c>
    </row>
    <row r="964" spans="1:12" ht="15.75">
      <c r="A964" s="23">
        <f t="shared" si="15"/>
        <v>963</v>
      </c>
      <c r="B964" s="21">
        <f ca="1">Master[[#This Row],[ChecklistID]]+Master[[#This Row],[Checklist Order]]</f>
        <v>95000</v>
      </c>
      <c r="C964" s="22"/>
      <c r="D964" s="3" t="str" cm="1">
        <f t="array" aca="1" ref="D964" ca="1">_xlfn.SWITCH(MID(Master[[#This Row],[Checklist]],1,4),"C - ","Civil","F - ","Foundation","ST -","Structure","FC -","Façade","PRE ","Pre-Line","POST","Post-Line","H - ","Handover","S - ","Services","CST ","Completion Docs", "I - ", "Inspection")</f>
        <v>Structure</v>
      </c>
      <c r="E9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4" s="24" t="str">
        <f ca="1">IF(OR(Master[[#This Row],[Type]]="checklist", Master[[#This Row],[Type]]="checklist-flat"), Master[[#This Row],[Name]], F963)</f>
        <v>ST - S - Intumescent Painting - Pre-Commencement</v>
      </c>
      <c r="G964" s="34" t="s">
        <v>119</v>
      </c>
      <c r="H964" s="34" t="s">
        <v>324</v>
      </c>
      <c r="I964" s="35"/>
      <c r="J964" s="21">
        <f ca="1">_xlfn.XLOOKUP(Master[[#This Row],[Checklist]],Ref!A:A,Ref!B:B)*1000</f>
        <v>95000</v>
      </c>
      <c r="K964" s="21">
        <f ca="1">COUNTIF($J$2:Master[[#This Row],[ChecklistID]],Master[[#This Row],[ChecklistID]])-1</f>
        <v>0</v>
      </c>
      <c r="L964" s="23" t="s">
        <v>6</v>
      </c>
    </row>
    <row r="965" spans="1:12" ht="15.75">
      <c r="A965" s="23">
        <f t="shared" si="15"/>
        <v>964</v>
      </c>
      <c r="B965" s="21">
        <f ca="1">Master[[#This Row],[ChecklistID]]+Master[[#This Row],[Checklist Order]]</f>
        <v>95001</v>
      </c>
      <c r="C965" s="22"/>
      <c r="D965" s="3" t="str" cm="1">
        <f t="array" aca="1" ref="D965" ca="1">_xlfn.SWITCH(MID(Master[[#This Row],[Checklist]],1,4),"C - ","Civil","F - ","Foundation","ST -","Structure","FC -","Façade","PRE ","Pre-Line","POST","Post-Line","H - ","Handover","S - ","Services","CST ","Completion Docs", "I - ", "Inspection")</f>
        <v>Structure</v>
      </c>
      <c r="E9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5" s="24" t="str">
        <f ca="1">IF(OR(Master[[#This Row],[Type]]="checklist", Master[[#This Row],[Type]]="checklist-flat"), Master[[#This Row],[Name]], F964)</f>
        <v>ST - S - Intumescent Painting - Pre-Commencement</v>
      </c>
      <c r="G965" s="34" t="s">
        <v>120</v>
      </c>
      <c r="H965" s="34" t="s">
        <v>325</v>
      </c>
      <c r="I965" s="35"/>
      <c r="J965" s="21">
        <f ca="1">_xlfn.XLOOKUP(Master[[#This Row],[Checklist]],Ref!A:A,Ref!B:B)*1000</f>
        <v>95000</v>
      </c>
      <c r="K965" s="21">
        <f ca="1">COUNTIF($J$2:Master[[#This Row],[ChecklistID]],Master[[#This Row],[ChecklistID]])-1</f>
        <v>1</v>
      </c>
      <c r="L965" s="23" t="s">
        <v>6</v>
      </c>
    </row>
    <row r="966" spans="1:12" ht="15.75">
      <c r="A966" s="23">
        <f t="shared" si="15"/>
        <v>965</v>
      </c>
      <c r="B966" s="21">
        <f ca="1">Master[[#This Row],[ChecklistID]]+Master[[#This Row],[Checklist Order]]</f>
        <v>95002</v>
      </c>
      <c r="C966" s="22"/>
      <c r="D966" s="3" t="str" cm="1">
        <f t="array" aca="1" ref="D966" ca="1">_xlfn.SWITCH(MID(Master[[#This Row],[Checklist]],1,4),"C - ","Civil","F - ","Foundation","ST -","Structure","FC -","Façade","PRE ","Pre-Line","POST","Post-Line","H - ","Handover","S - ","Services","CST ","Completion Docs", "I - ", "Inspection")</f>
        <v>Structure</v>
      </c>
      <c r="E9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6" s="24" t="str">
        <f ca="1">IF(OR(Master[[#This Row],[Type]]="checklist", Master[[#This Row],[Type]]="checklist-flat"), Master[[#This Row],[Name]], F965)</f>
        <v>ST - S - Intumescent Painting - Pre-Commencement</v>
      </c>
      <c r="G966" s="34" t="s">
        <v>49</v>
      </c>
      <c r="H966" s="34" t="s">
        <v>326</v>
      </c>
      <c r="I966" s="35"/>
      <c r="J966" s="21">
        <f ca="1">_xlfn.XLOOKUP(Master[[#This Row],[Checklist]],Ref!A:A,Ref!B:B)*1000</f>
        <v>95000</v>
      </c>
      <c r="K966" s="21">
        <f ca="1">COUNTIF($J$2:Master[[#This Row],[ChecklistID]],Master[[#This Row],[ChecklistID]])-1</f>
        <v>2</v>
      </c>
      <c r="L966" s="23" t="s">
        <v>6</v>
      </c>
    </row>
    <row r="967" spans="1:12" ht="15.75">
      <c r="A967" s="23">
        <f t="shared" si="15"/>
        <v>966</v>
      </c>
      <c r="B967" s="21">
        <f ca="1">Master[[#This Row],[ChecklistID]]+Master[[#This Row],[Checklist Order]]</f>
        <v>95003</v>
      </c>
      <c r="C967" s="22"/>
      <c r="D967" s="3" t="str" cm="1">
        <f t="array" aca="1" ref="D967" ca="1">_xlfn.SWITCH(MID(Master[[#This Row],[Checklist]],1,4),"C - ","Civil","F - ","Foundation","ST -","Structure","FC -","Façade","PRE ","Pre-Line","POST","Post-Line","H - ","Handover","S - ","Services","CST ","Completion Docs", "I - ", "Inspection")</f>
        <v>Structure</v>
      </c>
      <c r="E9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7" s="24" t="str">
        <f ca="1">IF(OR(Master[[#This Row],[Type]]="checklist", Master[[#This Row],[Type]]="checklist-flat"), Master[[#This Row],[Name]], F966)</f>
        <v>ST - S - Intumescent Painting - Pre-Commencement</v>
      </c>
      <c r="G967" s="34" t="s">
        <v>49</v>
      </c>
      <c r="H967" s="34" t="s">
        <v>327</v>
      </c>
      <c r="I967" s="35"/>
      <c r="J967" s="21">
        <f ca="1">_xlfn.XLOOKUP(Master[[#This Row],[Checklist]],Ref!A:A,Ref!B:B)*1000</f>
        <v>95000</v>
      </c>
      <c r="K967" s="21">
        <f ca="1">COUNTIF($J$2:Master[[#This Row],[ChecklistID]],Master[[#This Row],[ChecklistID]])-1</f>
        <v>3</v>
      </c>
      <c r="L967" s="23" t="s">
        <v>6</v>
      </c>
    </row>
    <row r="968" spans="1:12" ht="15.75">
      <c r="A968" s="23">
        <f t="shared" si="15"/>
        <v>967</v>
      </c>
      <c r="B968" s="21">
        <f ca="1">Master[[#This Row],[ChecklistID]]+Master[[#This Row],[Checklist Order]]</f>
        <v>95004</v>
      </c>
      <c r="C968" s="22"/>
      <c r="D968" s="3" t="str" cm="1">
        <f t="array" aca="1" ref="D968" ca="1">_xlfn.SWITCH(MID(Master[[#This Row],[Checklist]],1,4),"C - ","Civil","F - ","Foundation","ST -","Structure","FC -","Façade","PRE ","Pre-Line","POST","Post-Line","H - ","Handover","S - ","Services","CST ","Completion Docs", "I - ", "Inspection")</f>
        <v>Structure</v>
      </c>
      <c r="E9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8" s="24" t="str">
        <f ca="1">IF(OR(Master[[#This Row],[Type]]="checklist", Master[[#This Row],[Type]]="checklist-flat"), Master[[#This Row],[Name]], F967)</f>
        <v>ST - S - Intumescent Painting - Pre-Commencement</v>
      </c>
      <c r="G968" s="34" t="s">
        <v>49</v>
      </c>
      <c r="H968" s="34" t="s">
        <v>328</v>
      </c>
      <c r="I968" s="35"/>
      <c r="J968" s="21">
        <f ca="1">_xlfn.XLOOKUP(Master[[#This Row],[Checklist]],Ref!A:A,Ref!B:B)*1000</f>
        <v>95000</v>
      </c>
      <c r="K968" s="21">
        <f ca="1">COUNTIF($J$2:Master[[#This Row],[ChecklistID]],Master[[#This Row],[ChecklistID]])-1</f>
        <v>4</v>
      </c>
      <c r="L968" s="23" t="s">
        <v>6</v>
      </c>
    </row>
    <row r="969" spans="1:12" ht="15.75">
      <c r="A969" s="23">
        <f t="shared" si="15"/>
        <v>968</v>
      </c>
      <c r="B969" s="21">
        <f ca="1">Master[[#This Row],[ChecklistID]]+Master[[#This Row],[Checklist Order]]</f>
        <v>95005</v>
      </c>
      <c r="C969" s="22"/>
      <c r="D969" s="3" t="str" cm="1">
        <f t="array" aca="1" ref="D969" ca="1">_xlfn.SWITCH(MID(Master[[#This Row],[Checklist]],1,4),"C - ","Civil","F - ","Foundation","ST -","Structure","FC -","Façade","PRE ","Pre-Line","POST","Post-Line","H - ","Handover","S - ","Services","CST ","Completion Docs", "I - ", "Inspection")</f>
        <v>Structure</v>
      </c>
      <c r="E9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69" s="24" t="str">
        <f ca="1">IF(OR(Master[[#This Row],[Type]]="checklist", Master[[#This Row],[Type]]="checklist-flat"), Master[[#This Row],[Name]], F968)</f>
        <v>ST - S - Intumescent Painting - Pre-Commencement</v>
      </c>
      <c r="G969" s="34" t="s">
        <v>49</v>
      </c>
      <c r="H969" s="34" t="s">
        <v>329</v>
      </c>
      <c r="I969" s="35"/>
      <c r="J969" s="21">
        <f ca="1">_xlfn.XLOOKUP(Master[[#This Row],[Checklist]],Ref!A:A,Ref!B:B)*1000</f>
        <v>95000</v>
      </c>
      <c r="K969" s="21">
        <f ca="1">COUNTIF($J$2:Master[[#This Row],[ChecklistID]],Master[[#This Row],[ChecklistID]])-1</f>
        <v>5</v>
      </c>
      <c r="L969" s="23" t="s">
        <v>6</v>
      </c>
    </row>
    <row r="970" spans="1:12" ht="15.75">
      <c r="A970" s="23">
        <f t="shared" si="15"/>
        <v>969</v>
      </c>
      <c r="B970" s="21">
        <f ca="1">Master[[#This Row],[ChecklistID]]+Master[[#This Row],[Checklist Order]]</f>
        <v>95006</v>
      </c>
      <c r="C970" s="22"/>
      <c r="D970" s="3" t="str" cm="1">
        <f t="array" aca="1" ref="D970" ca="1">_xlfn.SWITCH(MID(Master[[#This Row],[Checklist]],1,4),"C - ","Civil","F - ","Foundation","ST -","Structure","FC -","Façade","PRE ","Pre-Line","POST","Post-Line","H - ","Handover","S - ","Services","CST ","Completion Docs", "I - ", "Inspection")</f>
        <v>Structure</v>
      </c>
      <c r="E9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0" s="24" t="str">
        <f ca="1">IF(OR(Master[[#This Row],[Type]]="checklist", Master[[#This Row],[Type]]="checklist-flat"), Master[[#This Row],[Name]], F969)</f>
        <v>ST - S - Intumescent Painting - Pre-Commencement</v>
      </c>
      <c r="G970" s="34" t="s">
        <v>124</v>
      </c>
      <c r="H970" s="34" t="s">
        <v>330</v>
      </c>
      <c r="I970" s="35"/>
      <c r="J970" s="21">
        <f ca="1">_xlfn.XLOOKUP(Master[[#This Row],[Checklist]],Ref!A:A,Ref!B:B)*1000</f>
        <v>95000</v>
      </c>
      <c r="K970" s="21">
        <f ca="1">COUNTIF($J$2:Master[[#This Row],[ChecklistID]],Master[[#This Row],[ChecklistID]])-1</f>
        <v>6</v>
      </c>
      <c r="L970" s="23" t="s">
        <v>6</v>
      </c>
    </row>
    <row r="971" spans="1:12" ht="15.75">
      <c r="A971" s="23">
        <f t="shared" si="15"/>
        <v>970</v>
      </c>
      <c r="B971" s="21">
        <f ca="1">Master[[#This Row],[ChecklistID]]+Master[[#This Row],[Checklist Order]]</f>
        <v>95007</v>
      </c>
      <c r="C971" s="22"/>
      <c r="D971" s="3" t="str" cm="1">
        <f t="array" aca="1" ref="D971" ca="1">_xlfn.SWITCH(MID(Master[[#This Row],[Checklist]],1,4),"C - ","Civil","F - ","Foundation","ST -","Structure","FC -","Façade","PRE ","Pre-Line","POST","Post-Line","H - ","Handover","S - ","Services","CST ","Completion Docs", "I - ", "Inspection")</f>
        <v>Structure</v>
      </c>
      <c r="E9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1" s="24" t="str">
        <f ca="1">IF(OR(Master[[#This Row],[Type]]="checklist", Master[[#This Row],[Type]]="checklist-flat"), Master[[#This Row],[Name]], F970)</f>
        <v>ST - S - Intumescent Painting - Pre-Commencement</v>
      </c>
      <c r="G971" s="34" t="s">
        <v>124</v>
      </c>
      <c r="H971" s="34" t="s">
        <v>331</v>
      </c>
      <c r="I971" s="35"/>
      <c r="J971" s="21">
        <f ca="1">_xlfn.XLOOKUP(Master[[#This Row],[Checklist]],Ref!A:A,Ref!B:B)*1000</f>
        <v>95000</v>
      </c>
      <c r="K971" s="21">
        <f ca="1">COUNTIF($J$2:Master[[#This Row],[ChecklistID]],Master[[#This Row],[ChecklistID]])-1</f>
        <v>7</v>
      </c>
      <c r="L971" s="23" t="s">
        <v>6</v>
      </c>
    </row>
    <row r="972" spans="1:12" ht="15.75">
      <c r="A972" s="23">
        <f t="shared" si="15"/>
        <v>971</v>
      </c>
      <c r="B972" s="21">
        <f ca="1">Master[[#This Row],[ChecklistID]]+Master[[#This Row],[Checklist Order]]</f>
        <v>95008</v>
      </c>
      <c r="C972" s="22"/>
      <c r="D972" s="3" t="str" cm="1">
        <f t="array" aca="1" ref="D972" ca="1">_xlfn.SWITCH(MID(Master[[#This Row],[Checklist]],1,4),"C - ","Civil","F - ","Foundation","ST -","Structure","FC -","Façade","PRE ","Pre-Line","POST","Post-Line","H - ","Handover","S - ","Services","CST ","Completion Docs", "I - ", "Inspection")</f>
        <v>Structure</v>
      </c>
      <c r="E9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2" s="24" t="str">
        <f ca="1">IF(OR(Master[[#This Row],[Type]]="checklist", Master[[#This Row],[Type]]="checklist-flat"), Master[[#This Row],[Name]], F971)</f>
        <v>ST - S - Intumescent Painting - Pre-Commencement</v>
      </c>
      <c r="G972" s="34" t="s">
        <v>49</v>
      </c>
      <c r="H972" s="34" t="s">
        <v>332</v>
      </c>
      <c r="I972" s="35"/>
      <c r="J972" s="21">
        <f ca="1">_xlfn.XLOOKUP(Master[[#This Row],[Checklist]],Ref!A:A,Ref!B:B)*1000</f>
        <v>95000</v>
      </c>
      <c r="K972" s="21">
        <f ca="1">COUNTIF($J$2:Master[[#This Row],[ChecklistID]],Master[[#This Row],[ChecklistID]])-1</f>
        <v>8</v>
      </c>
      <c r="L972" s="23" t="s">
        <v>6</v>
      </c>
    </row>
    <row r="973" spans="1:12" ht="15.75">
      <c r="A973" s="23">
        <f t="shared" si="15"/>
        <v>972</v>
      </c>
      <c r="B973" s="21">
        <f ca="1">Master[[#This Row],[ChecklistID]]+Master[[#This Row],[Checklist Order]]</f>
        <v>95009</v>
      </c>
      <c r="C973" s="22"/>
      <c r="D973" s="3" t="str" cm="1">
        <f t="array" aca="1" ref="D973" ca="1">_xlfn.SWITCH(MID(Master[[#This Row],[Checklist]],1,4),"C - ","Civil","F - ","Foundation","ST -","Structure","FC -","Façade","PRE ","Pre-Line","POST","Post-Line","H - ","Handover","S - ","Services","CST ","Completion Docs", "I - ", "Inspection")</f>
        <v>Structure</v>
      </c>
      <c r="E9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3" s="24" t="str">
        <f ca="1">IF(OR(Master[[#This Row],[Type]]="checklist", Master[[#This Row],[Type]]="checklist-flat"), Master[[#This Row],[Name]], F972)</f>
        <v>ST - S - Intumescent Painting - Pre-Commencement</v>
      </c>
      <c r="G973" s="34" t="s">
        <v>58</v>
      </c>
      <c r="H973" s="34" t="s">
        <v>333</v>
      </c>
      <c r="I973" s="35"/>
      <c r="J973" s="21">
        <f ca="1">_xlfn.XLOOKUP(Master[[#This Row],[Checklist]],Ref!A:A,Ref!B:B)*1000</f>
        <v>95000</v>
      </c>
      <c r="K973" s="21">
        <f ca="1">COUNTIF($J$2:Master[[#This Row],[ChecklistID]],Master[[#This Row],[ChecklistID]])-1</f>
        <v>9</v>
      </c>
      <c r="L973" s="23" t="s">
        <v>6</v>
      </c>
    </row>
    <row r="974" spans="1:12" ht="15.75">
      <c r="A974" s="23">
        <f t="shared" si="15"/>
        <v>973</v>
      </c>
      <c r="B974" s="21">
        <f ca="1">Master[[#This Row],[ChecklistID]]+Master[[#This Row],[Checklist Order]]</f>
        <v>95010</v>
      </c>
      <c r="C974" s="22"/>
      <c r="D974" s="3" t="str" cm="1">
        <f t="array" aca="1" ref="D974" ca="1">_xlfn.SWITCH(MID(Master[[#This Row],[Checklist]],1,4),"C - ","Civil","F - ","Foundation","ST -","Structure","FC -","Façade","PRE ","Pre-Line","POST","Post-Line","H - ","Handover","S - ","Services","CST ","Completion Docs", "I - ", "Inspection")</f>
        <v>Structure</v>
      </c>
      <c r="E9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4" s="24" t="str">
        <f ca="1">IF(OR(Master[[#This Row],[Type]]="checklist", Master[[#This Row],[Type]]="checklist-flat"), Master[[#This Row],[Name]], F973)</f>
        <v>ST - S - Intumescent Painting - Pre-Commencement</v>
      </c>
      <c r="G974" s="34" t="s">
        <v>120</v>
      </c>
      <c r="H974" s="34" t="s">
        <v>334</v>
      </c>
      <c r="I974" s="35"/>
      <c r="J974" s="21">
        <f ca="1">_xlfn.XLOOKUP(Master[[#This Row],[Checklist]],Ref!A:A,Ref!B:B)*1000</f>
        <v>95000</v>
      </c>
      <c r="K974" s="21">
        <f ca="1">COUNTIF($J$2:Master[[#This Row],[ChecklistID]],Master[[#This Row],[ChecklistID]])-1</f>
        <v>10</v>
      </c>
      <c r="L974" s="23" t="s">
        <v>6</v>
      </c>
    </row>
    <row r="975" spans="1:12" ht="15.75">
      <c r="A975" s="23">
        <f t="shared" si="15"/>
        <v>974</v>
      </c>
      <c r="B975" s="21">
        <f ca="1">Master[[#This Row],[ChecklistID]]+Master[[#This Row],[Checklist Order]]</f>
        <v>95011</v>
      </c>
      <c r="C975" s="22"/>
      <c r="D975" s="3" t="str" cm="1">
        <f t="array" aca="1" ref="D975" ca="1">_xlfn.SWITCH(MID(Master[[#This Row],[Checklist]],1,4),"C - ","Civil","F - ","Foundation","ST -","Structure","FC -","Façade","PRE ","Pre-Line","POST","Post-Line","H - ","Handover","S - ","Services","CST ","Completion Docs", "I - ", "Inspection")</f>
        <v>Structure</v>
      </c>
      <c r="E9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5" s="24" t="str">
        <f ca="1">IF(OR(Master[[#This Row],[Type]]="checklist", Master[[#This Row],[Type]]="checklist-flat"), Master[[#This Row],[Name]], F974)</f>
        <v>ST - S - Intumescent Painting - Pre-Commencement</v>
      </c>
      <c r="G975" s="34" t="s">
        <v>49</v>
      </c>
      <c r="H975" s="34" t="s">
        <v>335</v>
      </c>
      <c r="I975" s="35"/>
      <c r="J975" s="21">
        <f ca="1">_xlfn.XLOOKUP(Master[[#This Row],[Checklist]],Ref!A:A,Ref!B:B)*1000</f>
        <v>95000</v>
      </c>
      <c r="K975" s="21">
        <f ca="1">COUNTIF($J$2:Master[[#This Row],[ChecklistID]],Master[[#This Row],[ChecklistID]])-1</f>
        <v>11</v>
      </c>
      <c r="L975" s="23" t="s">
        <v>6</v>
      </c>
    </row>
    <row r="976" spans="1:12" ht="15.75">
      <c r="A976" s="23">
        <f t="shared" si="15"/>
        <v>975</v>
      </c>
      <c r="B976" s="21">
        <f ca="1">Master[[#This Row],[ChecklistID]]+Master[[#This Row],[Checklist Order]]</f>
        <v>95012</v>
      </c>
      <c r="C976" s="22"/>
      <c r="D976" s="3" t="str" cm="1">
        <f t="array" aca="1" ref="D976" ca="1">_xlfn.SWITCH(MID(Master[[#This Row],[Checklist]],1,4),"C - ","Civil","F - ","Foundation","ST -","Structure","FC -","Façade","PRE ","Pre-Line","POST","Post-Line","H - ","Handover","S - ","Services","CST ","Completion Docs", "I - ", "Inspection")</f>
        <v>Structure</v>
      </c>
      <c r="E9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6" s="24" t="str">
        <f ca="1">IF(OR(Master[[#This Row],[Type]]="checklist", Master[[#This Row],[Type]]="checklist-flat"), Master[[#This Row],[Name]], F975)</f>
        <v>ST - S - Intumescent Painting - Pre-Commencement</v>
      </c>
      <c r="G976" s="34" t="s">
        <v>49</v>
      </c>
      <c r="H976" s="34" t="s">
        <v>336</v>
      </c>
      <c r="I976" s="35"/>
      <c r="J976" s="21">
        <f ca="1">_xlfn.XLOOKUP(Master[[#This Row],[Checklist]],Ref!A:A,Ref!B:B)*1000</f>
        <v>95000</v>
      </c>
      <c r="K976" s="21">
        <f ca="1">COUNTIF($J$2:Master[[#This Row],[ChecklistID]],Master[[#This Row],[ChecklistID]])-1</f>
        <v>12</v>
      </c>
      <c r="L976" s="23" t="s">
        <v>6</v>
      </c>
    </row>
    <row r="977" spans="1:12" ht="15.75">
      <c r="A977" s="23">
        <f t="shared" si="15"/>
        <v>976</v>
      </c>
      <c r="B977" s="21">
        <f ca="1">Master[[#This Row],[ChecklistID]]+Master[[#This Row],[Checklist Order]]</f>
        <v>95013</v>
      </c>
      <c r="C977" s="22"/>
      <c r="D977" s="3" t="str" cm="1">
        <f t="array" aca="1" ref="D977" ca="1">_xlfn.SWITCH(MID(Master[[#This Row],[Checklist]],1,4),"C - ","Civil","F - ","Foundation","ST -","Structure","FC -","Façade","PRE ","Pre-Line","POST","Post-Line","H - ","Handover","S - ","Services","CST ","Completion Docs", "I - ", "Inspection")</f>
        <v>Structure</v>
      </c>
      <c r="E9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7" s="24" t="str">
        <f ca="1">IF(OR(Master[[#This Row],[Type]]="checklist", Master[[#This Row],[Type]]="checklist-flat"), Master[[#This Row],[Name]], F976)</f>
        <v>ST - S - Intumescent Painting - Pre-Commencement</v>
      </c>
      <c r="G977" s="34" t="s">
        <v>49</v>
      </c>
      <c r="H977" s="34" t="s">
        <v>337</v>
      </c>
      <c r="I977" s="35"/>
      <c r="J977" s="21">
        <f ca="1">_xlfn.XLOOKUP(Master[[#This Row],[Checklist]],Ref!A:A,Ref!B:B)*1000</f>
        <v>95000</v>
      </c>
      <c r="K977" s="21">
        <f ca="1">COUNTIF($J$2:Master[[#This Row],[ChecklistID]],Master[[#This Row],[ChecklistID]])-1</f>
        <v>13</v>
      </c>
      <c r="L977" s="23" t="s">
        <v>6</v>
      </c>
    </row>
    <row r="978" spans="1:12" ht="15.75">
      <c r="A978" s="23">
        <f t="shared" si="15"/>
        <v>977</v>
      </c>
      <c r="B978" s="21">
        <f ca="1">Master[[#This Row],[ChecklistID]]+Master[[#This Row],[Checklist Order]]</f>
        <v>95014</v>
      </c>
      <c r="C978" s="22"/>
      <c r="D978" s="3" t="str" cm="1">
        <f t="array" aca="1" ref="D978" ca="1">_xlfn.SWITCH(MID(Master[[#This Row],[Checklist]],1,4),"C - ","Civil","F - ","Foundation","ST -","Structure","FC -","Façade","PRE ","Pre-Line","POST","Post-Line","H - ","Handover","S - ","Services","CST ","Completion Docs", "I - ", "Inspection")</f>
        <v>Structure</v>
      </c>
      <c r="E9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8" s="24" t="str">
        <f ca="1">IF(OR(Master[[#This Row],[Type]]="checklist", Master[[#This Row],[Type]]="checklist-flat"), Master[[#This Row],[Name]], F977)</f>
        <v>ST - S - Intumescent Painting - Pre-Commencement</v>
      </c>
      <c r="G978" s="34" t="s">
        <v>49</v>
      </c>
      <c r="H978" s="34" t="s">
        <v>318</v>
      </c>
      <c r="I978" s="35"/>
      <c r="J978" s="21">
        <f ca="1">_xlfn.XLOOKUP(Master[[#This Row],[Checklist]],Ref!A:A,Ref!B:B)*1000</f>
        <v>95000</v>
      </c>
      <c r="K978" s="21">
        <f ca="1">COUNTIF($J$2:Master[[#This Row],[ChecklistID]],Master[[#This Row],[ChecklistID]])-1</f>
        <v>14</v>
      </c>
      <c r="L978" s="23" t="s">
        <v>6</v>
      </c>
    </row>
    <row r="979" spans="1:12" ht="15.75">
      <c r="A979" s="23">
        <f t="shared" si="15"/>
        <v>978</v>
      </c>
      <c r="B979" s="21">
        <f ca="1">Master[[#This Row],[ChecklistID]]+Master[[#This Row],[Checklist Order]]</f>
        <v>95015</v>
      </c>
      <c r="C979" s="22"/>
      <c r="D979" s="3" t="str" cm="1">
        <f t="array" aca="1" ref="D979" ca="1">_xlfn.SWITCH(MID(Master[[#This Row],[Checklist]],1,4),"C - ","Civil","F - ","Foundation","ST -","Structure","FC -","Façade","PRE ","Pre-Line","POST","Post-Line","H - ","Handover","S - ","Services","CST ","Completion Docs", "I - ", "Inspection")</f>
        <v>Structure</v>
      </c>
      <c r="E9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79" s="24" t="str">
        <f ca="1">IF(OR(Master[[#This Row],[Type]]="checklist", Master[[#This Row],[Type]]="checklist-flat"), Master[[#This Row],[Name]], F978)</f>
        <v>ST - S - Intumescent Painting - Pre-Commencement</v>
      </c>
      <c r="G979" s="34" t="s">
        <v>58</v>
      </c>
      <c r="H979" s="34" t="s">
        <v>333</v>
      </c>
      <c r="I979" s="35"/>
      <c r="J979" s="21">
        <f ca="1">_xlfn.XLOOKUP(Master[[#This Row],[Checklist]],Ref!A:A,Ref!B:B)*1000</f>
        <v>95000</v>
      </c>
      <c r="K979" s="21">
        <f ca="1">COUNTIF($J$2:Master[[#This Row],[ChecklistID]],Master[[#This Row],[ChecklistID]])-1</f>
        <v>15</v>
      </c>
      <c r="L979" s="23" t="s">
        <v>6</v>
      </c>
    </row>
    <row r="980" spans="1:12" ht="15.75">
      <c r="A980" s="23">
        <f t="shared" si="15"/>
        <v>979</v>
      </c>
      <c r="B980" s="21">
        <f ca="1">Master[[#This Row],[ChecklistID]]+Master[[#This Row],[Checklist Order]]</f>
        <v>95016</v>
      </c>
      <c r="C980" s="22"/>
      <c r="D980" s="3" t="str" cm="1">
        <f t="array" aca="1" ref="D980" ca="1">_xlfn.SWITCH(MID(Master[[#This Row],[Checklist]],1,4),"C - ","Civil","F - ","Foundation","ST -","Structure","FC -","Façade","PRE ","Pre-Line","POST","Post-Line","H - ","Handover","S - ","Services","CST ","Completion Docs", "I - ", "Inspection")</f>
        <v>Structure</v>
      </c>
      <c r="E9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0" s="24" t="str">
        <f ca="1">IF(OR(Master[[#This Row],[Type]]="checklist", Master[[#This Row],[Type]]="checklist-flat"), Master[[#This Row],[Name]], F979)</f>
        <v>ST - S - Intumescent Painting - Pre-Commencement</v>
      </c>
      <c r="G980" s="34" t="s">
        <v>49</v>
      </c>
      <c r="H980" s="34" t="s">
        <v>57</v>
      </c>
      <c r="I980" s="35"/>
      <c r="J980" s="21">
        <f ca="1">_xlfn.XLOOKUP(Master[[#This Row],[Checklist]],Ref!A:A,Ref!B:B)*1000</f>
        <v>95000</v>
      </c>
      <c r="K980" s="21">
        <f ca="1">COUNTIF($J$2:Master[[#This Row],[ChecklistID]],Master[[#This Row],[ChecklistID]])-1</f>
        <v>16</v>
      </c>
      <c r="L980" s="23" t="s">
        <v>6</v>
      </c>
    </row>
    <row r="981" spans="1:12" ht="15.75">
      <c r="A981" s="23">
        <f t="shared" si="15"/>
        <v>980</v>
      </c>
      <c r="B981" s="21">
        <f ca="1">Master[[#This Row],[ChecklistID]]+Master[[#This Row],[Checklist Order]]</f>
        <v>95017</v>
      </c>
      <c r="C981" s="22"/>
      <c r="D981" s="3" t="str" cm="1">
        <f t="array" aca="1" ref="D981" ca="1">_xlfn.SWITCH(MID(Master[[#This Row],[Checklist]],1,4),"C - ","Civil","F - ","Foundation","ST -","Structure","FC -","Façade","PRE ","Pre-Line","POST","Post-Line","H - ","Handover","S - ","Services","CST ","Completion Docs", "I - ", "Inspection")</f>
        <v>Structure</v>
      </c>
      <c r="E9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1" s="24" t="str">
        <f ca="1">IF(OR(Master[[#This Row],[Type]]="checklist", Master[[#This Row],[Type]]="checklist-flat"), Master[[#This Row],[Name]], F980)</f>
        <v>ST - S - Intumescent Painting - Pre-Commencement</v>
      </c>
      <c r="G981" s="34" t="s">
        <v>58</v>
      </c>
      <c r="H981" s="34" t="s">
        <v>59</v>
      </c>
      <c r="I981" s="35"/>
      <c r="J981" s="21">
        <f ca="1">_xlfn.XLOOKUP(Master[[#This Row],[Checklist]],Ref!A:A,Ref!B:B)*1000</f>
        <v>95000</v>
      </c>
      <c r="K981" s="21">
        <f ca="1">COUNTIF($J$2:Master[[#This Row],[ChecklistID]],Master[[#This Row],[ChecklistID]])-1</f>
        <v>17</v>
      </c>
      <c r="L981" s="23" t="s">
        <v>6</v>
      </c>
    </row>
    <row r="982" spans="1:12" ht="15.75">
      <c r="A982" s="23">
        <f t="shared" si="15"/>
        <v>981</v>
      </c>
      <c r="B982" s="21">
        <f ca="1">Master[[#This Row],[ChecklistID]]+Master[[#This Row],[Checklist Order]]</f>
        <v>96000</v>
      </c>
      <c r="C982" s="22"/>
      <c r="D982" s="3" t="str" cm="1">
        <f t="array" aca="1" ref="D982" ca="1">_xlfn.SWITCH(MID(Master[[#This Row],[Checklist]],1,4),"C - ","Civil","F - ","Foundation","ST -","Structure","FC -","Façade","PRE ","Pre-Line","POST","Post-Line","H - ","Handover","S - ","Services","CST ","Completion Docs", "I - ", "Inspection")</f>
        <v>Structure</v>
      </c>
      <c r="E9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2" s="24" t="str">
        <f ca="1">IF(OR(Master[[#This Row],[Type]]="checklist", Master[[#This Row],[Type]]="checklist-flat"), Master[[#This Row],[Name]], F981)</f>
        <v>ST - S - Precast Edge Beams Installation</v>
      </c>
      <c r="G982" s="34" t="s">
        <v>48</v>
      </c>
      <c r="H982" s="34" t="s">
        <v>338</v>
      </c>
      <c r="I982" s="35"/>
      <c r="J982" s="21">
        <f ca="1">_xlfn.XLOOKUP(Master[[#This Row],[Checklist]],Ref!A:A,Ref!B:B)*1000</f>
        <v>96000</v>
      </c>
      <c r="K982" s="21">
        <f ca="1">COUNTIF($J$2:Master[[#This Row],[ChecklistID]],Master[[#This Row],[ChecklistID]])-1</f>
        <v>0</v>
      </c>
      <c r="L982" s="23" t="s">
        <v>6</v>
      </c>
    </row>
    <row r="983" spans="1:12" ht="15.75">
      <c r="A983" s="23">
        <f t="shared" si="15"/>
        <v>982</v>
      </c>
      <c r="B983" s="21">
        <f ca="1">Master[[#This Row],[ChecklistID]]+Master[[#This Row],[Checklist Order]]</f>
        <v>96001</v>
      </c>
      <c r="C983" s="22"/>
      <c r="D983" s="3" t="str" cm="1">
        <f t="array" aca="1" ref="D983" ca="1">_xlfn.SWITCH(MID(Master[[#This Row],[Checklist]],1,4),"C - ","Civil","F - ","Foundation","ST -","Structure","FC -","Façade","PRE ","Pre-Line","POST","Post-Line","H - ","Handover","S - ","Services","CST ","Completion Docs", "I - ", "Inspection")</f>
        <v>Structure</v>
      </c>
      <c r="E9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3" s="24" t="str">
        <f ca="1">IF(OR(Master[[#This Row],[Type]]="checklist", Master[[#This Row],[Type]]="checklist-flat"), Master[[#This Row],[Name]], F982)</f>
        <v>ST - S - Precast Edge Beams Installation</v>
      </c>
      <c r="G983" s="34" t="s">
        <v>49</v>
      </c>
      <c r="H983" s="34" t="s">
        <v>339</v>
      </c>
      <c r="I983" s="35"/>
      <c r="J983" s="21">
        <f ca="1">_xlfn.XLOOKUP(Master[[#This Row],[Checklist]],Ref!A:A,Ref!B:B)*1000</f>
        <v>96000</v>
      </c>
      <c r="K983" s="21">
        <f ca="1">COUNTIF($J$2:Master[[#This Row],[ChecklistID]],Master[[#This Row],[ChecklistID]])-1</f>
        <v>1</v>
      </c>
      <c r="L983" s="23" t="s">
        <v>6</v>
      </c>
    </row>
    <row r="984" spans="1:12" ht="15.75">
      <c r="A984" s="23">
        <f t="shared" si="15"/>
        <v>983</v>
      </c>
      <c r="B984" s="21">
        <f ca="1">Master[[#This Row],[ChecklistID]]+Master[[#This Row],[Checklist Order]]</f>
        <v>96002</v>
      </c>
      <c r="C984" s="22"/>
      <c r="D984" s="3" t="str" cm="1">
        <f t="array" aca="1" ref="D984" ca="1">_xlfn.SWITCH(MID(Master[[#This Row],[Checklist]],1,4),"C - ","Civil","F - ","Foundation","ST -","Structure","FC -","Façade","PRE ","Pre-Line","POST","Post-Line","H - ","Handover","S - ","Services","CST ","Completion Docs", "I - ", "Inspection")</f>
        <v>Structure</v>
      </c>
      <c r="E9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4" s="24" t="str">
        <f ca="1">IF(OR(Master[[#This Row],[Type]]="checklist", Master[[#This Row],[Type]]="checklist-flat"), Master[[#This Row],[Name]], F983)</f>
        <v>ST - S - Precast Edge Beams Installation</v>
      </c>
      <c r="G984" s="34" t="s">
        <v>49</v>
      </c>
      <c r="H984" s="34" t="s">
        <v>340</v>
      </c>
      <c r="I984" s="35"/>
      <c r="J984" s="21">
        <f ca="1">_xlfn.XLOOKUP(Master[[#This Row],[Checklist]],Ref!A:A,Ref!B:B)*1000</f>
        <v>96000</v>
      </c>
      <c r="K984" s="21">
        <f ca="1">COUNTIF($J$2:Master[[#This Row],[ChecklistID]],Master[[#This Row],[ChecklistID]])-1</f>
        <v>2</v>
      </c>
      <c r="L984" s="23" t="s">
        <v>6</v>
      </c>
    </row>
    <row r="985" spans="1:12" ht="15.75">
      <c r="A985" s="23">
        <f t="shared" si="15"/>
        <v>984</v>
      </c>
      <c r="B985" s="21">
        <f ca="1">Master[[#This Row],[ChecklistID]]+Master[[#This Row],[Checklist Order]]</f>
        <v>96003</v>
      </c>
      <c r="C985" s="22"/>
      <c r="D985" s="3" t="str" cm="1">
        <f t="array" aca="1" ref="D985" ca="1">_xlfn.SWITCH(MID(Master[[#This Row],[Checklist]],1,4),"C - ","Civil","F - ","Foundation","ST -","Structure","FC -","Façade","PRE ","Pre-Line","POST","Post-Line","H - ","Handover","S - ","Services","CST ","Completion Docs", "I - ", "Inspection")</f>
        <v>Structure</v>
      </c>
      <c r="E9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5" s="24" t="str">
        <f ca="1">IF(OR(Master[[#This Row],[Type]]="checklist", Master[[#This Row],[Type]]="checklist-flat"), Master[[#This Row],[Name]], F984)</f>
        <v>ST - S - Precast Edge Beams Installation</v>
      </c>
      <c r="G985" s="34" t="s">
        <v>49</v>
      </c>
      <c r="H985" s="34" t="s">
        <v>341</v>
      </c>
      <c r="I985" s="35"/>
      <c r="J985" s="21">
        <f ca="1">_xlfn.XLOOKUP(Master[[#This Row],[Checklist]],Ref!A:A,Ref!B:B)*1000</f>
        <v>96000</v>
      </c>
      <c r="K985" s="21">
        <f ca="1">COUNTIF($J$2:Master[[#This Row],[ChecklistID]],Master[[#This Row],[ChecklistID]])-1</f>
        <v>3</v>
      </c>
      <c r="L985" s="23" t="s">
        <v>6</v>
      </c>
    </row>
    <row r="986" spans="1:12" ht="15.75">
      <c r="A986" s="23">
        <f t="shared" si="15"/>
        <v>985</v>
      </c>
      <c r="B986" s="21">
        <f ca="1">Master[[#This Row],[ChecklistID]]+Master[[#This Row],[Checklist Order]]</f>
        <v>96004</v>
      </c>
      <c r="C986" s="22"/>
      <c r="D986" s="3" t="str" cm="1">
        <f t="array" aca="1" ref="D986" ca="1">_xlfn.SWITCH(MID(Master[[#This Row],[Checklist]],1,4),"C - ","Civil","F - ","Foundation","ST -","Structure","FC -","Façade","PRE ","Pre-Line","POST","Post-Line","H - ","Handover","S - ","Services","CST ","Completion Docs", "I - ", "Inspection")</f>
        <v>Structure</v>
      </c>
      <c r="E9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6" s="24" t="str">
        <f ca="1">IF(OR(Master[[#This Row],[Type]]="checklist", Master[[#This Row],[Type]]="checklist-flat"), Master[[#This Row],[Name]], F985)</f>
        <v>ST - S - Precast Edge Beams Installation</v>
      </c>
      <c r="G986" s="34" t="s">
        <v>49</v>
      </c>
      <c r="H986" s="34" t="s">
        <v>342</v>
      </c>
      <c r="I986" s="35"/>
      <c r="J986" s="21">
        <f ca="1">_xlfn.XLOOKUP(Master[[#This Row],[Checklist]],Ref!A:A,Ref!B:B)*1000</f>
        <v>96000</v>
      </c>
      <c r="K986" s="21">
        <f ca="1">COUNTIF($J$2:Master[[#This Row],[ChecklistID]],Master[[#This Row],[ChecklistID]])-1</f>
        <v>4</v>
      </c>
      <c r="L986" s="23" t="s">
        <v>6</v>
      </c>
    </row>
    <row r="987" spans="1:12" ht="15.75">
      <c r="A987" s="23">
        <f t="shared" si="15"/>
        <v>986</v>
      </c>
      <c r="B987" s="21">
        <f ca="1">Master[[#This Row],[ChecklistID]]+Master[[#This Row],[Checklist Order]]</f>
        <v>96005</v>
      </c>
      <c r="C987" s="22"/>
      <c r="D987" s="3" t="str" cm="1">
        <f t="array" aca="1" ref="D987" ca="1">_xlfn.SWITCH(MID(Master[[#This Row],[Checklist]],1,4),"C - ","Civil","F - ","Foundation","ST -","Structure","FC -","Façade","PRE ","Pre-Line","POST","Post-Line","H - ","Handover","S - ","Services","CST ","Completion Docs", "I - ", "Inspection")</f>
        <v>Structure</v>
      </c>
      <c r="E9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7" s="24" t="str">
        <f ca="1">IF(OR(Master[[#This Row],[Type]]="checklist", Master[[#This Row],[Type]]="checklist-flat"), Master[[#This Row],[Name]], F986)</f>
        <v>ST - S - Precast Edge Beams Installation</v>
      </c>
      <c r="G987" s="34" t="s">
        <v>49</v>
      </c>
      <c r="H987" s="34" t="s">
        <v>57</v>
      </c>
      <c r="I987" s="35"/>
      <c r="J987" s="21">
        <f ca="1">_xlfn.XLOOKUP(Master[[#This Row],[Checklist]],Ref!A:A,Ref!B:B)*1000</f>
        <v>96000</v>
      </c>
      <c r="K987" s="21">
        <f ca="1">COUNTIF($J$2:Master[[#This Row],[ChecklistID]],Master[[#This Row],[ChecklistID]])-1</f>
        <v>5</v>
      </c>
      <c r="L987" s="23" t="s">
        <v>6</v>
      </c>
    </row>
    <row r="988" spans="1:12" ht="15.75">
      <c r="A988" s="23">
        <f t="shared" si="15"/>
        <v>987</v>
      </c>
      <c r="B988" s="21">
        <f ca="1">Master[[#This Row],[ChecklistID]]+Master[[#This Row],[Checklist Order]]</f>
        <v>96006</v>
      </c>
      <c r="C988" s="22"/>
      <c r="D988" s="3" t="str" cm="1">
        <f t="array" aca="1" ref="D988" ca="1">_xlfn.SWITCH(MID(Master[[#This Row],[Checklist]],1,4),"C - ","Civil","F - ","Foundation","ST -","Structure","FC -","Façade","PRE ","Pre-Line","POST","Post-Line","H - ","Handover","S - ","Services","CST ","Completion Docs", "I - ", "Inspection")</f>
        <v>Structure</v>
      </c>
      <c r="E9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8" s="24" t="str">
        <f ca="1">IF(OR(Master[[#This Row],[Type]]="checklist", Master[[#This Row],[Type]]="checklist-flat"), Master[[#This Row],[Name]], F987)</f>
        <v>ST - S - Precast Edge Beams Installation</v>
      </c>
      <c r="G988" s="34" t="s">
        <v>58</v>
      </c>
      <c r="H988" s="34" t="s">
        <v>59</v>
      </c>
      <c r="I988" s="35"/>
      <c r="J988" s="21">
        <f ca="1">_xlfn.XLOOKUP(Master[[#This Row],[Checklist]],Ref!A:A,Ref!B:B)*1000</f>
        <v>96000</v>
      </c>
      <c r="K988" s="21">
        <f ca="1">COUNTIF($J$2:Master[[#This Row],[ChecklistID]],Master[[#This Row],[ChecklistID]])-1</f>
        <v>6</v>
      </c>
      <c r="L988" s="23" t="s">
        <v>6</v>
      </c>
    </row>
    <row r="989" spans="1:12" ht="15.75">
      <c r="A989" s="23">
        <f t="shared" si="15"/>
        <v>988</v>
      </c>
      <c r="B989" s="21">
        <f ca="1">Master[[#This Row],[ChecklistID]]+Master[[#This Row],[Checklist Order]]</f>
        <v>97000</v>
      </c>
      <c r="C989" s="22"/>
      <c r="D989" s="3" t="str" cm="1">
        <f t="array" aca="1" ref="D989" ca="1">_xlfn.SWITCH(MID(Master[[#This Row],[Checklist]],1,4),"C - ","Civil","F - ","Foundation","ST -","Structure","FC -","Façade","PRE ","Pre-Line","POST","Post-Line","H - ","Handover","S - ","Services","CST ","Completion Docs", "I - ", "Inspection")</f>
        <v>Structure</v>
      </c>
      <c r="E9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89" s="24" t="str">
        <f ca="1">IF(OR(Master[[#This Row],[Type]]="checklist", Master[[#This Row],[Type]]="checklist-flat"), Master[[#This Row],[Name]], F988)</f>
        <v xml:space="preserve">ST - S - Lintel Installation </v>
      </c>
      <c r="G989" s="34" t="s">
        <v>48</v>
      </c>
      <c r="H989" s="38" t="s">
        <v>1675</v>
      </c>
      <c r="I989" s="35"/>
      <c r="J989" s="21">
        <f ca="1">_xlfn.XLOOKUP(Master[[#This Row],[Checklist]],Ref!A:A,Ref!B:B)*1000</f>
        <v>97000</v>
      </c>
      <c r="K989" s="21">
        <f ca="1">COUNTIF($J$2:Master[[#This Row],[ChecklistID]],Master[[#This Row],[ChecklistID]])-1</f>
        <v>0</v>
      </c>
      <c r="L989" s="23" t="s">
        <v>6</v>
      </c>
    </row>
    <row r="990" spans="1:12" ht="15.75">
      <c r="A990" s="23">
        <f t="shared" si="15"/>
        <v>989</v>
      </c>
      <c r="B990" s="21">
        <f ca="1">Master[[#This Row],[ChecklistID]]+Master[[#This Row],[Checklist Order]]</f>
        <v>97001</v>
      </c>
      <c r="C990" s="22"/>
      <c r="D990" s="3" t="str" cm="1">
        <f t="array" aca="1" ref="D990" ca="1">_xlfn.SWITCH(MID(Master[[#This Row],[Checklist]],1,4),"C - ","Civil","F - ","Foundation","ST -","Structure","FC -","Façade","PRE ","Pre-Line","POST","Post-Line","H - ","Handover","S - ","Services","CST ","Completion Docs", "I - ", "Inspection")</f>
        <v>Structure</v>
      </c>
      <c r="E9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0" s="24" t="str">
        <f ca="1">IF(OR(Master[[#This Row],[Type]]="checklist", Master[[#This Row],[Type]]="checklist-flat"), Master[[#This Row],[Name]], F989)</f>
        <v xml:space="preserve">ST - S - Lintel Installation </v>
      </c>
      <c r="G990" s="34" t="s">
        <v>49</v>
      </c>
      <c r="H990" s="34" t="s">
        <v>339</v>
      </c>
      <c r="I990" s="35"/>
      <c r="J990" s="21">
        <f ca="1">_xlfn.XLOOKUP(Master[[#This Row],[Checklist]],Ref!A:A,Ref!B:B)*1000</f>
        <v>97000</v>
      </c>
      <c r="K990" s="21">
        <f ca="1">COUNTIF($J$2:Master[[#This Row],[ChecklistID]],Master[[#This Row],[ChecklistID]])-1</f>
        <v>1</v>
      </c>
      <c r="L990" s="23" t="s">
        <v>6</v>
      </c>
    </row>
    <row r="991" spans="1:12" ht="15.75">
      <c r="A991" s="23">
        <f t="shared" si="15"/>
        <v>990</v>
      </c>
      <c r="B991" s="21">
        <f ca="1">Master[[#This Row],[ChecklistID]]+Master[[#This Row],[Checklist Order]]</f>
        <v>97002</v>
      </c>
      <c r="C991" s="22"/>
      <c r="D991" s="23" t="str" cm="1">
        <f t="array" aca="1" ref="D991" ca="1">_xlfn.SWITCH(MID(Master[[#This Row],[Checklist]],1,4),"C - ","Civil","F - ","Foundation","ST -","Structure","FC -","Façade","PRE ","Pre-Line","POST","Post-Line","H - ","Handover","S - ","Services","CST ","Completion Docs", "I - ", "Inspection")</f>
        <v>Structure</v>
      </c>
      <c r="E9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1" s="24" t="str">
        <f ca="1">IF(OR(Master[[#This Row],[Type]]="checklist", Master[[#This Row],[Type]]="checklist-flat"), Master[[#This Row],[Name]], F990)</f>
        <v xml:space="preserve">ST - S - Lintel Installation </v>
      </c>
      <c r="G991" s="34" t="s">
        <v>49</v>
      </c>
      <c r="H991" s="34" t="s">
        <v>340</v>
      </c>
      <c r="I991" s="35"/>
      <c r="J991" s="21">
        <f ca="1">_xlfn.XLOOKUP(Master[[#This Row],[Checklist]],Ref!A:A,Ref!B:B)*1000</f>
        <v>97000</v>
      </c>
      <c r="K991" s="21">
        <f ca="1">COUNTIF($J$2:Master[[#This Row],[ChecklistID]],Master[[#This Row],[ChecklistID]])-1</f>
        <v>2</v>
      </c>
      <c r="L991" s="23" t="s">
        <v>6</v>
      </c>
    </row>
    <row r="992" spans="1:12" ht="15.75">
      <c r="A992" s="23">
        <f t="shared" si="15"/>
        <v>991</v>
      </c>
      <c r="B992" s="21">
        <f ca="1">Master[[#This Row],[ChecklistID]]+Master[[#This Row],[Checklist Order]]</f>
        <v>97003</v>
      </c>
      <c r="C992" s="22"/>
      <c r="D992" s="3" t="str" cm="1">
        <f t="array" aca="1" ref="D992" ca="1">_xlfn.SWITCH(MID(Master[[#This Row],[Checklist]],1,4),"C - ","Civil","F - ","Foundation","ST -","Structure","FC -","Façade","PRE ","Pre-Line","POST","Post-Line","H - ","Handover","S - ","Services","CST ","Completion Docs", "I - ", "Inspection")</f>
        <v>Structure</v>
      </c>
      <c r="E9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2" s="24" t="str">
        <f ca="1">IF(OR(Master[[#This Row],[Type]]="checklist", Master[[#This Row],[Type]]="checklist-flat"), Master[[#This Row],[Name]], F991)</f>
        <v xml:space="preserve">ST - S - Lintel Installation </v>
      </c>
      <c r="G992" s="34" t="s">
        <v>49</v>
      </c>
      <c r="H992" s="34" t="s">
        <v>341</v>
      </c>
      <c r="I992" s="35"/>
      <c r="J992" s="21">
        <f ca="1">_xlfn.XLOOKUP(Master[[#This Row],[Checklist]],Ref!A:A,Ref!B:B)*1000</f>
        <v>97000</v>
      </c>
      <c r="K992" s="21">
        <f ca="1">COUNTIF($J$2:Master[[#This Row],[ChecklistID]],Master[[#This Row],[ChecklistID]])-1</f>
        <v>3</v>
      </c>
      <c r="L992" s="23" t="s">
        <v>6</v>
      </c>
    </row>
    <row r="993" spans="1:12" ht="18" customHeight="1">
      <c r="A993" s="23">
        <f t="shared" si="15"/>
        <v>992</v>
      </c>
      <c r="B993" s="21">
        <f ca="1">Master[[#This Row],[ChecklistID]]+Master[[#This Row],[Checklist Order]]</f>
        <v>97004</v>
      </c>
      <c r="C993" s="22"/>
      <c r="D993" s="3" t="str" cm="1">
        <f t="array" aca="1" ref="D993" ca="1">_xlfn.SWITCH(MID(Master[[#This Row],[Checklist]],1,4),"C - ","Civil","F - ","Foundation","ST -","Structure","FC -","Façade","PRE ","Pre-Line","POST","Post-Line","H - ","Handover","S - ","Services","CST ","Completion Docs", "I - ", "Inspection")</f>
        <v>Structure</v>
      </c>
      <c r="E9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3" s="24" t="str">
        <f ca="1">IF(OR(Master[[#This Row],[Type]]="checklist", Master[[#This Row],[Type]]="checklist-flat"), Master[[#This Row],[Name]], F992)</f>
        <v xml:space="preserve">ST - S - Lintel Installation </v>
      </c>
      <c r="G993" s="34" t="s">
        <v>49</v>
      </c>
      <c r="H993" s="24" t="s">
        <v>1676</v>
      </c>
      <c r="I993" s="35"/>
      <c r="J993" s="21">
        <f ca="1">_xlfn.XLOOKUP(Master[[#This Row],[Checklist]],Ref!A:A,Ref!B:B)*1000</f>
        <v>97000</v>
      </c>
      <c r="K993" s="21">
        <f ca="1">COUNTIF($J$2:Master[[#This Row],[ChecklistID]],Master[[#This Row],[ChecklistID]])-1</f>
        <v>4</v>
      </c>
      <c r="L993" s="23" t="s">
        <v>6</v>
      </c>
    </row>
    <row r="994" spans="1:12" ht="15.75">
      <c r="A994" s="23">
        <f t="shared" si="15"/>
        <v>993</v>
      </c>
      <c r="B994" s="21">
        <f ca="1">Master[[#This Row],[ChecklistID]]+Master[[#This Row],[Checklist Order]]</f>
        <v>97005</v>
      </c>
      <c r="C994" s="22"/>
      <c r="D994" s="3" t="str" cm="1">
        <f t="array" aca="1" ref="D994" ca="1">_xlfn.SWITCH(MID(Master[[#This Row],[Checklist]],1,4),"C - ","Civil","F - ","Foundation","ST -","Structure","FC -","Façade","PRE ","Pre-Line","POST","Post-Line","H - ","Handover","S - ","Services","CST ","Completion Docs", "I - ", "Inspection")</f>
        <v>Structure</v>
      </c>
      <c r="E9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4" s="24" t="str">
        <f ca="1">IF(OR(Master[[#This Row],[Type]]="checklist", Master[[#This Row],[Type]]="checklist-flat"), Master[[#This Row],[Name]], F993)</f>
        <v xml:space="preserve">ST - S - Lintel Installation </v>
      </c>
      <c r="G994" s="34" t="s">
        <v>49</v>
      </c>
      <c r="H994" s="34" t="s">
        <v>57</v>
      </c>
      <c r="I994" s="35"/>
      <c r="J994" s="21">
        <f ca="1">_xlfn.XLOOKUP(Master[[#This Row],[Checklist]],Ref!A:A,Ref!B:B)*1000</f>
        <v>97000</v>
      </c>
      <c r="K994" s="21">
        <f ca="1">COUNTIF($J$2:Master[[#This Row],[ChecklistID]],Master[[#This Row],[ChecklistID]])-1</f>
        <v>5</v>
      </c>
      <c r="L994" s="23" t="s">
        <v>6</v>
      </c>
    </row>
    <row r="995" spans="1:12" ht="15.75">
      <c r="A995" s="23">
        <f t="shared" si="15"/>
        <v>994</v>
      </c>
      <c r="B995" s="21">
        <f ca="1">Master[[#This Row],[ChecklistID]]+Master[[#This Row],[Checklist Order]]</f>
        <v>97006</v>
      </c>
      <c r="C995" s="22"/>
      <c r="D995" s="3" t="str" cm="1">
        <f t="array" aca="1" ref="D995" ca="1">_xlfn.SWITCH(MID(Master[[#This Row],[Checklist]],1,4),"C - ","Civil","F - ","Foundation","ST -","Structure","FC -","Façade","PRE ","Pre-Line","POST","Post-Line","H - ","Handover","S - ","Services","CST ","Completion Docs", "I - ", "Inspection")</f>
        <v>Structure</v>
      </c>
      <c r="E9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5" s="24" t="str">
        <f ca="1">IF(OR(Master[[#This Row],[Type]]="checklist", Master[[#This Row],[Type]]="checklist-flat"), Master[[#This Row],[Name]], F994)</f>
        <v xml:space="preserve">ST - S - Lintel Installation </v>
      </c>
      <c r="G995" s="34" t="s">
        <v>58</v>
      </c>
      <c r="H995" s="34" t="s">
        <v>59</v>
      </c>
      <c r="I995" s="35"/>
      <c r="J995" s="21">
        <f ca="1">_xlfn.XLOOKUP(Master[[#This Row],[Checklist]],Ref!A:A,Ref!B:B)*1000</f>
        <v>97000</v>
      </c>
      <c r="K995" s="21">
        <f ca="1">COUNTIF($J$2:Master[[#This Row],[ChecklistID]],Master[[#This Row],[ChecklistID]])-1</f>
        <v>6</v>
      </c>
      <c r="L995" s="23" t="s">
        <v>6</v>
      </c>
    </row>
    <row r="996" spans="1:12" ht="15.75">
      <c r="A996" s="23">
        <f t="shared" si="15"/>
        <v>995</v>
      </c>
      <c r="B996" s="21">
        <f ca="1">Master[[#This Row],[ChecklistID]]+Master[[#This Row],[Checklist Order]]</f>
        <v>98000</v>
      </c>
      <c r="C996" s="22"/>
      <c r="D996" s="3" t="str" cm="1">
        <f t="array" aca="1" ref="D996" ca="1">_xlfn.SWITCH(MID(Master[[#This Row],[Checklist]],1,4),"C - ","Civil","F - ","Foundation","ST -","Structure","FC -","Façade","PRE ","Pre-Line","POST","Post-Line","H - ","Handover","S - ","Services","CST ","Completion Docs", "I - ", "Inspection")</f>
        <v>Structure</v>
      </c>
      <c r="E9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6" s="24" t="str">
        <f ca="1">IF(OR(Master[[#This Row],[Type]]="checklist", Master[[#This Row],[Type]]="checklist-flat"), Master[[#This Row],[Name]], F995)</f>
        <v>ST - S - Precast Spandrel Panel Installation</v>
      </c>
      <c r="G996" s="34" t="s">
        <v>48</v>
      </c>
      <c r="H996" s="34" t="s">
        <v>345</v>
      </c>
      <c r="I996" s="35"/>
      <c r="J996" s="21">
        <f ca="1">_xlfn.XLOOKUP(Master[[#This Row],[Checklist]],Ref!A:A,Ref!B:B)*1000</f>
        <v>98000</v>
      </c>
      <c r="K996" s="21">
        <f ca="1">COUNTIF($J$2:Master[[#This Row],[ChecklistID]],Master[[#This Row],[ChecklistID]])-1</f>
        <v>0</v>
      </c>
      <c r="L996" s="23" t="s">
        <v>6</v>
      </c>
    </row>
    <row r="997" spans="1:12" ht="15.75">
      <c r="A997" s="23">
        <f t="shared" si="15"/>
        <v>996</v>
      </c>
      <c r="B997" s="21">
        <f ca="1">Master[[#This Row],[ChecklistID]]+Master[[#This Row],[Checklist Order]]</f>
        <v>98001</v>
      </c>
      <c r="C997" s="22"/>
      <c r="D997" s="3" t="str" cm="1">
        <f t="array" aca="1" ref="D997" ca="1">_xlfn.SWITCH(MID(Master[[#This Row],[Checklist]],1,4),"C - ","Civil","F - ","Foundation","ST -","Structure","FC -","Façade","PRE ","Pre-Line","POST","Post-Line","H - ","Handover","S - ","Services","CST ","Completion Docs", "I - ", "Inspection")</f>
        <v>Structure</v>
      </c>
      <c r="E9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7" s="24" t="str">
        <f ca="1">IF(OR(Master[[#This Row],[Type]]="checklist", Master[[#This Row],[Type]]="checklist-flat"), Master[[#This Row],[Name]], F996)</f>
        <v>ST - S - Precast Spandrel Panel Installation</v>
      </c>
      <c r="G997" s="34" t="s">
        <v>49</v>
      </c>
      <c r="H997" s="34" t="s">
        <v>339</v>
      </c>
      <c r="I997" s="35"/>
      <c r="J997" s="21">
        <f ca="1">_xlfn.XLOOKUP(Master[[#This Row],[Checklist]],Ref!A:A,Ref!B:B)*1000</f>
        <v>98000</v>
      </c>
      <c r="K997" s="21">
        <f ca="1">COUNTIF($J$2:Master[[#This Row],[ChecklistID]],Master[[#This Row],[ChecklistID]])-1</f>
        <v>1</v>
      </c>
      <c r="L997" s="23" t="s">
        <v>6</v>
      </c>
    </row>
    <row r="998" spans="1:12" ht="15.75">
      <c r="A998" s="23">
        <f t="shared" si="15"/>
        <v>997</v>
      </c>
      <c r="B998" s="21">
        <f ca="1">Master[[#This Row],[ChecklistID]]+Master[[#This Row],[Checklist Order]]</f>
        <v>98002</v>
      </c>
      <c r="C998" s="22"/>
      <c r="D998" s="3" t="str" cm="1">
        <f t="array" aca="1" ref="D998" ca="1">_xlfn.SWITCH(MID(Master[[#This Row],[Checklist]],1,4),"C - ","Civil","F - ","Foundation","ST -","Structure","FC -","Façade","PRE ","Pre-Line","POST","Post-Line","H - ","Handover","S - ","Services","CST ","Completion Docs", "I - ", "Inspection")</f>
        <v>Structure</v>
      </c>
      <c r="E9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8" s="24" t="str">
        <f ca="1">IF(OR(Master[[#This Row],[Type]]="checklist", Master[[#This Row],[Type]]="checklist-flat"), Master[[#This Row],[Name]], F997)</f>
        <v>ST - S - Precast Spandrel Panel Installation</v>
      </c>
      <c r="G998" s="34" t="s">
        <v>49</v>
      </c>
      <c r="H998" s="34" t="s">
        <v>340</v>
      </c>
      <c r="I998" s="35"/>
      <c r="J998" s="21">
        <f ca="1">_xlfn.XLOOKUP(Master[[#This Row],[Checklist]],Ref!A:A,Ref!B:B)*1000</f>
        <v>98000</v>
      </c>
      <c r="K998" s="21">
        <f ca="1">COUNTIF($J$2:Master[[#This Row],[ChecklistID]],Master[[#This Row],[ChecklistID]])-1</f>
        <v>2</v>
      </c>
      <c r="L998" s="23" t="s">
        <v>6</v>
      </c>
    </row>
    <row r="999" spans="1:12" ht="15.75">
      <c r="A999" s="23">
        <f t="shared" si="15"/>
        <v>998</v>
      </c>
      <c r="B999" s="21">
        <f ca="1">Master[[#This Row],[ChecklistID]]+Master[[#This Row],[Checklist Order]]</f>
        <v>98003</v>
      </c>
      <c r="C999" s="22"/>
      <c r="D999" s="3" t="str" cm="1">
        <f t="array" aca="1" ref="D999" ca="1">_xlfn.SWITCH(MID(Master[[#This Row],[Checklist]],1,4),"C - ","Civil","F - ","Foundation","ST -","Structure","FC -","Façade","PRE ","Pre-Line","POST","Post-Line","H - ","Handover","S - ","Services","CST ","Completion Docs", "I - ", "Inspection")</f>
        <v>Structure</v>
      </c>
      <c r="E9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999" s="24" t="str">
        <f ca="1">IF(OR(Master[[#This Row],[Type]]="checklist", Master[[#This Row],[Type]]="checklist-flat"), Master[[#This Row],[Name]], F998)</f>
        <v>ST - S - Precast Spandrel Panel Installation</v>
      </c>
      <c r="G999" s="34" t="s">
        <v>49</v>
      </c>
      <c r="H999" s="34" t="s">
        <v>341</v>
      </c>
      <c r="I999" s="35"/>
      <c r="J999" s="21">
        <f ca="1">_xlfn.XLOOKUP(Master[[#This Row],[Checklist]],Ref!A:A,Ref!B:B)*1000</f>
        <v>98000</v>
      </c>
      <c r="K999" s="21">
        <f ca="1">COUNTIF($J$2:Master[[#This Row],[ChecklistID]],Master[[#This Row],[ChecklistID]])-1</f>
        <v>3</v>
      </c>
      <c r="L999" s="23" t="s">
        <v>6</v>
      </c>
    </row>
    <row r="1000" spans="1:12" ht="15.75">
      <c r="A1000" s="23">
        <f t="shared" si="15"/>
        <v>999</v>
      </c>
      <c r="B1000" s="21">
        <f ca="1">Master[[#This Row],[ChecklistID]]+Master[[#This Row],[Checklist Order]]</f>
        <v>98004</v>
      </c>
      <c r="C1000" s="22"/>
      <c r="D1000" s="3" t="str" cm="1">
        <f t="array" aca="1" ref="D1000" ca="1">_xlfn.SWITCH(MID(Master[[#This Row],[Checklist]],1,4),"C - ","Civil","F - ","Foundation","ST -","Structure","FC -","Façade","PRE ","Pre-Line","POST","Post-Line","H - ","Handover","S - ","Services","CST ","Completion Docs", "I - ", "Inspection")</f>
        <v>Structure</v>
      </c>
      <c r="E10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0" s="24" t="str">
        <f ca="1">IF(OR(Master[[#This Row],[Type]]="checklist", Master[[#This Row],[Type]]="checklist-flat"), Master[[#This Row],[Name]], F999)</f>
        <v>ST - S - Precast Spandrel Panel Installation</v>
      </c>
      <c r="G1000" s="34" t="s">
        <v>49</v>
      </c>
      <c r="H1000" s="34" t="s">
        <v>346</v>
      </c>
      <c r="I1000" s="35"/>
      <c r="J1000" s="21">
        <f ca="1">_xlfn.XLOOKUP(Master[[#This Row],[Checklist]],Ref!A:A,Ref!B:B)*1000</f>
        <v>98000</v>
      </c>
      <c r="K1000" s="21">
        <f ca="1">COUNTIF($J$2:Master[[#This Row],[ChecklistID]],Master[[#This Row],[ChecklistID]])-1</f>
        <v>4</v>
      </c>
      <c r="L1000" s="23" t="s">
        <v>6</v>
      </c>
    </row>
    <row r="1001" spans="1:12" ht="15.75">
      <c r="A1001" s="23">
        <f t="shared" si="15"/>
        <v>1000</v>
      </c>
      <c r="B1001" s="21">
        <f ca="1">Master[[#This Row],[ChecklistID]]+Master[[#This Row],[Checklist Order]]</f>
        <v>98005</v>
      </c>
      <c r="C1001" s="22"/>
      <c r="D1001" s="3" t="str" cm="1">
        <f t="array" aca="1" ref="D1001" ca="1">_xlfn.SWITCH(MID(Master[[#This Row],[Checklist]],1,4),"C - ","Civil","F - ","Foundation","ST -","Structure","FC -","Façade","PRE ","Pre-Line","POST","Post-Line","H - ","Handover","S - ","Services","CST ","Completion Docs", "I - ", "Inspection")</f>
        <v>Structure</v>
      </c>
      <c r="E10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1" s="24" t="str">
        <f ca="1">IF(OR(Master[[#This Row],[Type]]="checklist", Master[[#This Row],[Type]]="checklist-flat"), Master[[#This Row],[Name]], F1000)</f>
        <v>ST - S - Precast Spandrel Panel Installation</v>
      </c>
      <c r="G1001" s="34" t="s">
        <v>49</v>
      </c>
      <c r="H1001" s="34" t="s">
        <v>57</v>
      </c>
      <c r="I1001" s="35"/>
      <c r="J1001" s="21">
        <f ca="1">_xlfn.XLOOKUP(Master[[#This Row],[Checklist]],Ref!A:A,Ref!B:B)*1000</f>
        <v>98000</v>
      </c>
      <c r="K1001" s="21">
        <f ca="1">COUNTIF($J$2:Master[[#This Row],[ChecklistID]],Master[[#This Row],[ChecklistID]])-1</f>
        <v>5</v>
      </c>
      <c r="L1001" s="23" t="s">
        <v>6</v>
      </c>
    </row>
    <row r="1002" spans="1:12" ht="15.75">
      <c r="A1002" s="23">
        <f t="shared" ref="A1002:A1065" si="16">IFERROR(A1001+1,1)</f>
        <v>1001</v>
      </c>
      <c r="B1002" s="21">
        <f ca="1">Master[[#This Row],[ChecklistID]]+Master[[#This Row],[Checklist Order]]</f>
        <v>98006</v>
      </c>
      <c r="C1002" s="22"/>
      <c r="D1002" s="3" t="str" cm="1">
        <f t="array" aca="1" ref="D1002" ca="1">_xlfn.SWITCH(MID(Master[[#This Row],[Checklist]],1,4),"C - ","Civil","F - ","Foundation","ST -","Structure","FC -","Façade","PRE ","Pre-Line","POST","Post-Line","H - ","Handover","S - ","Services","CST ","Completion Docs", "I - ", "Inspection")</f>
        <v>Structure</v>
      </c>
      <c r="E10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2" s="24" t="str">
        <f ca="1">IF(OR(Master[[#This Row],[Type]]="checklist", Master[[#This Row],[Type]]="checklist-flat"), Master[[#This Row],[Name]], F1001)</f>
        <v>ST - S - Precast Spandrel Panel Installation</v>
      </c>
      <c r="G1002" s="34" t="s">
        <v>58</v>
      </c>
      <c r="H1002" s="34" t="s">
        <v>59</v>
      </c>
      <c r="I1002" s="35"/>
      <c r="J1002" s="21">
        <f ca="1">_xlfn.XLOOKUP(Master[[#This Row],[Checklist]],Ref!A:A,Ref!B:B)*1000</f>
        <v>98000</v>
      </c>
      <c r="K1002" s="21">
        <f ca="1">COUNTIF($J$2:Master[[#This Row],[ChecklistID]],Master[[#This Row],[ChecklistID]])-1</f>
        <v>6</v>
      </c>
      <c r="L1002" s="23" t="s">
        <v>6</v>
      </c>
    </row>
    <row r="1003" spans="1:12" ht="15.75">
      <c r="A1003" s="23">
        <f t="shared" si="16"/>
        <v>1002</v>
      </c>
      <c r="B1003" s="21">
        <f ca="1">Master[[#This Row],[ChecklistID]]+Master[[#This Row],[Checklist Order]]</f>
        <v>99000</v>
      </c>
      <c r="C1003" s="22"/>
      <c r="D1003" s="3" t="str" cm="1">
        <f t="array" aca="1" ref="D1003" ca="1">_xlfn.SWITCH(MID(Master[[#This Row],[Checklist]],1,4),"C - ","Civil","F - ","Foundation","ST -","Structure","FC -","Façade","PRE ","Pre-Line","POST","Post-Line","H - ","Handover","S - ","Services","CST ","Completion Docs", "I - ", "Inspection")</f>
        <v>Structure</v>
      </c>
      <c r="E10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3" s="24" t="str">
        <f ca="1">IF(OR(Master[[#This Row],[Type]]="checklist", Master[[#This Row],[Type]]="checklist-flat"), Master[[#This Row],[Name]], F1002)</f>
        <v>ST - S - Precast Wall Bracket Installation</v>
      </c>
      <c r="G1003" s="34" t="s">
        <v>48</v>
      </c>
      <c r="H1003" s="34" t="s">
        <v>347</v>
      </c>
      <c r="I1003" s="35"/>
      <c r="J1003" s="21">
        <f ca="1">_xlfn.XLOOKUP(Master[[#This Row],[Checklist]],Ref!A:A,Ref!B:B)*1000</f>
        <v>99000</v>
      </c>
      <c r="K1003" s="21">
        <f ca="1">COUNTIF($J$2:Master[[#This Row],[ChecklistID]],Master[[#This Row],[ChecklistID]])-1</f>
        <v>0</v>
      </c>
      <c r="L1003" s="23" t="s">
        <v>6</v>
      </c>
    </row>
    <row r="1004" spans="1:12" ht="15.75">
      <c r="A1004" s="23">
        <f t="shared" si="16"/>
        <v>1003</v>
      </c>
      <c r="B1004" s="21">
        <f ca="1">Master[[#This Row],[ChecklistID]]+Master[[#This Row],[Checklist Order]]</f>
        <v>99001</v>
      </c>
      <c r="C1004" s="22"/>
      <c r="D1004" s="3" t="str" cm="1">
        <f t="array" aca="1" ref="D1004" ca="1">_xlfn.SWITCH(MID(Master[[#This Row],[Checklist]],1,4),"C - ","Civil","F - ","Foundation","ST -","Structure","FC -","Façade","PRE ","Pre-Line","POST","Post-Line","H - ","Handover","S - ","Services","CST ","Completion Docs", "I - ", "Inspection")</f>
        <v>Structure</v>
      </c>
      <c r="E10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4" s="24" t="str">
        <f ca="1">IF(OR(Master[[#This Row],[Type]]="checklist", Master[[#This Row],[Type]]="checklist-flat"), Master[[#This Row],[Name]], F1003)</f>
        <v>ST - S - Precast Wall Bracket Installation</v>
      </c>
      <c r="G1004" s="34" t="s">
        <v>49</v>
      </c>
      <c r="H1004" s="34" t="s">
        <v>348</v>
      </c>
      <c r="I1004" s="35"/>
      <c r="J1004" s="21">
        <f ca="1">_xlfn.XLOOKUP(Master[[#This Row],[Checklist]],Ref!A:A,Ref!B:B)*1000</f>
        <v>99000</v>
      </c>
      <c r="K1004" s="21">
        <f ca="1">COUNTIF($J$2:Master[[#This Row],[ChecklistID]],Master[[#This Row],[ChecklistID]])-1</f>
        <v>1</v>
      </c>
      <c r="L1004" s="23" t="s">
        <v>6</v>
      </c>
    </row>
    <row r="1005" spans="1:12" ht="15.75">
      <c r="A1005" s="23">
        <f t="shared" si="16"/>
        <v>1004</v>
      </c>
      <c r="B1005" s="21">
        <f ca="1">Master[[#This Row],[ChecklistID]]+Master[[#This Row],[Checklist Order]]</f>
        <v>99002</v>
      </c>
      <c r="C1005" s="22"/>
      <c r="D1005" s="3" t="str" cm="1">
        <f t="array" aca="1" ref="D1005" ca="1">_xlfn.SWITCH(MID(Master[[#This Row],[Checklist]],1,4),"C - ","Civil","F - ","Foundation","ST -","Structure","FC -","Façade","PRE ","Pre-Line","POST","Post-Line","H - ","Handover","S - ","Services","CST ","Completion Docs", "I - ", "Inspection")</f>
        <v>Structure</v>
      </c>
      <c r="E10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5" s="24" t="str">
        <f ca="1">IF(OR(Master[[#This Row],[Type]]="checklist", Master[[#This Row],[Type]]="checklist-flat"), Master[[#This Row],[Name]], F1004)</f>
        <v>ST - S - Precast Wall Bracket Installation</v>
      </c>
      <c r="G1005" s="34" t="s">
        <v>49</v>
      </c>
      <c r="H1005" s="34" t="s">
        <v>349</v>
      </c>
      <c r="I1005" s="35"/>
      <c r="J1005" s="21">
        <f ca="1">_xlfn.XLOOKUP(Master[[#This Row],[Checklist]],Ref!A:A,Ref!B:B)*1000</f>
        <v>99000</v>
      </c>
      <c r="K1005" s="21">
        <f ca="1">COUNTIF($J$2:Master[[#This Row],[ChecklistID]],Master[[#This Row],[ChecklistID]])-1</f>
        <v>2</v>
      </c>
      <c r="L1005" s="23" t="s">
        <v>6</v>
      </c>
    </row>
    <row r="1006" spans="1:12" ht="15.75">
      <c r="A1006" s="23">
        <f t="shared" si="16"/>
        <v>1005</v>
      </c>
      <c r="B1006" s="21">
        <f ca="1">Master[[#This Row],[ChecklistID]]+Master[[#This Row],[Checklist Order]]</f>
        <v>99003</v>
      </c>
      <c r="C1006" s="22"/>
      <c r="D1006" s="3" t="str" cm="1">
        <f t="array" aca="1" ref="D1006" ca="1">_xlfn.SWITCH(MID(Master[[#This Row],[Checklist]],1,4),"C - ","Civil","F - ","Foundation","ST -","Structure","FC -","Façade","PRE ","Pre-Line","POST","Post-Line","H - ","Handover","S - ","Services","CST ","Completion Docs", "I - ", "Inspection")</f>
        <v>Structure</v>
      </c>
      <c r="E10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6" s="24" t="str">
        <f ca="1">IF(OR(Master[[#This Row],[Type]]="checklist", Master[[#This Row],[Type]]="checklist-flat"), Master[[#This Row],[Name]], F1005)</f>
        <v>ST - S - Precast Wall Bracket Installation</v>
      </c>
      <c r="G1006" s="34" t="s">
        <v>49</v>
      </c>
      <c r="H1006" s="34" t="s">
        <v>350</v>
      </c>
      <c r="I1006" s="35"/>
      <c r="J1006" s="21">
        <f ca="1">_xlfn.XLOOKUP(Master[[#This Row],[Checklist]],Ref!A:A,Ref!B:B)*1000</f>
        <v>99000</v>
      </c>
      <c r="K1006" s="21">
        <f ca="1">COUNTIF($J$2:Master[[#This Row],[ChecklistID]],Master[[#This Row],[ChecklistID]])-1</f>
        <v>3</v>
      </c>
      <c r="L1006" s="23" t="s">
        <v>6</v>
      </c>
    </row>
    <row r="1007" spans="1:12" ht="15.75">
      <c r="A1007" s="23">
        <f t="shared" si="16"/>
        <v>1006</v>
      </c>
      <c r="B1007" s="21">
        <f ca="1">Master[[#This Row],[ChecklistID]]+Master[[#This Row],[Checklist Order]]</f>
        <v>99004</v>
      </c>
      <c r="C1007" s="22"/>
      <c r="D1007" s="3" t="str" cm="1">
        <f t="array" aca="1" ref="D1007" ca="1">_xlfn.SWITCH(MID(Master[[#This Row],[Checklist]],1,4),"C - ","Civil","F - ","Foundation","ST -","Structure","FC -","Façade","PRE ","Pre-Line","POST","Post-Line","H - ","Handover","S - ","Services","CST ","Completion Docs", "I - ", "Inspection")</f>
        <v>Structure</v>
      </c>
      <c r="E10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7" s="24" t="str">
        <f ca="1">IF(OR(Master[[#This Row],[Type]]="checklist", Master[[#This Row],[Type]]="checklist-flat"), Master[[#This Row],[Name]], F1006)</f>
        <v>ST - S - Precast Wall Bracket Installation</v>
      </c>
      <c r="G1007" s="34" t="s">
        <v>49</v>
      </c>
      <c r="H1007" s="34" t="s">
        <v>351</v>
      </c>
      <c r="I1007" s="35"/>
      <c r="J1007" s="21">
        <f ca="1">_xlfn.XLOOKUP(Master[[#This Row],[Checklist]],Ref!A:A,Ref!B:B)*1000</f>
        <v>99000</v>
      </c>
      <c r="K1007" s="21">
        <f ca="1">COUNTIF($J$2:Master[[#This Row],[ChecklistID]],Master[[#This Row],[ChecklistID]])-1</f>
        <v>4</v>
      </c>
      <c r="L1007" s="23" t="s">
        <v>6</v>
      </c>
    </row>
    <row r="1008" spans="1:12" ht="15.75">
      <c r="A1008" s="23">
        <f t="shared" si="16"/>
        <v>1007</v>
      </c>
      <c r="B1008" s="21">
        <f ca="1">Master[[#This Row],[ChecklistID]]+Master[[#This Row],[Checklist Order]]</f>
        <v>99005</v>
      </c>
      <c r="C1008" s="22"/>
      <c r="D1008" s="3" t="str" cm="1">
        <f t="array" aca="1" ref="D1008" ca="1">_xlfn.SWITCH(MID(Master[[#This Row],[Checklist]],1,4),"C - ","Civil","F - ","Foundation","ST -","Structure","FC -","Façade","PRE ","Pre-Line","POST","Post-Line","H - ","Handover","S - ","Services","CST ","Completion Docs", "I - ", "Inspection")</f>
        <v>Structure</v>
      </c>
      <c r="E10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8" s="24" t="str">
        <f ca="1">IF(OR(Master[[#This Row],[Type]]="checklist", Master[[#This Row],[Type]]="checklist-flat"), Master[[#This Row],[Name]], F1007)</f>
        <v>ST - S - Precast Wall Bracket Installation</v>
      </c>
      <c r="G1008" s="34" t="s">
        <v>49</v>
      </c>
      <c r="H1008" s="34" t="s">
        <v>352</v>
      </c>
      <c r="I1008" s="35"/>
      <c r="J1008" s="21">
        <f ca="1">_xlfn.XLOOKUP(Master[[#This Row],[Checklist]],Ref!A:A,Ref!B:B)*1000</f>
        <v>99000</v>
      </c>
      <c r="K1008" s="21">
        <f ca="1">COUNTIF($J$2:Master[[#This Row],[ChecklistID]],Master[[#This Row],[ChecklistID]])-1</f>
        <v>5</v>
      </c>
      <c r="L1008" s="23" t="s">
        <v>6</v>
      </c>
    </row>
    <row r="1009" spans="1:12" ht="15.75">
      <c r="A1009" s="23">
        <f t="shared" si="16"/>
        <v>1008</v>
      </c>
      <c r="B1009" s="21">
        <f ca="1">Master[[#This Row],[ChecklistID]]+Master[[#This Row],[Checklist Order]]</f>
        <v>99006</v>
      </c>
      <c r="C1009" s="22"/>
      <c r="D1009" s="3" t="str" cm="1">
        <f t="array" aca="1" ref="D1009" ca="1">_xlfn.SWITCH(MID(Master[[#This Row],[Checklist]],1,4),"C - ","Civil","F - ","Foundation","ST -","Structure","FC -","Façade","PRE ","Pre-Line","POST","Post-Line","H - ","Handover","S - ","Services","CST ","Completion Docs", "I - ", "Inspection")</f>
        <v>Structure</v>
      </c>
      <c r="E10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09" s="24" t="str">
        <f ca="1">IF(OR(Master[[#This Row],[Type]]="checklist", Master[[#This Row],[Type]]="checklist-flat"), Master[[#This Row],[Name]], F1008)</f>
        <v>ST - S - Precast Wall Bracket Installation</v>
      </c>
      <c r="G1009" s="34" t="s">
        <v>49</v>
      </c>
      <c r="H1009" s="34" t="s">
        <v>353</v>
      </c>
      <c r="I1009" s="35"/>
      <c r="J1009" s="21">
        <f ca="1">_xlfn.XLOOKUP(Master[[#This Row],[Checklist]],Ref!A:A,Ref!B:B)*1000</f>
        <v>99000</v>
      </c>
      <c r="K1009" s="21">
        <f ca="1">COUNTIF($J$2:Master[[#This Row],[ChecklistID]],Master[[#This Row],[ChecklistID]])-1</f>
        <v>6</v>
      </c>
      <c r="L1009" s="23" t="s">
        <v>6</v>
      </c>
    </row>
    <row r="1010" spans="1:12" ht="15.75">
      <c r="A1010" s="23">
        <f t="shared" si="16"/>
        <v>1009</v>
      </c>
      <c r="B1010" s="21">
        <f ca="1">Master[[#This Row],[ChecklistID]]+Master[[#This Row],[Checklist Order]]</f>
        <v>99007</v>
      </c>
      <c r="C1010" s="22"/>
      <c r="D1010" s="3" t="str" cm="1">
        <f t="array" aca="1" ref="D1010" ca="1">_xlfn.SWITCH(MID(Master[[#This Row],[Checklist]],1,4),"C - ","Civil","F - ","Foundation","ST -","Structure","FC -","Façade","PRE ","Pre-Line","POST","Post-Line","H - ","Handover","S - ","Services","CST ","Completion Docs", "I - ", "Inspection")</f>
        <v>Structure</v>
      </c>
      <c r="E10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0" s="24" t="str">
        <f ca="1">IF(OR(Master[[#This Row],[Type]]="checklist", Master[[#This Row],[Type]]="checklist-flat"), Master[[#This Row],[Name]], F1009)</f>
        <v>ST - S - Precast Wall Bracket Installation</v>
      </c>
      <c r="G1010" s="34" t="s">
        <v>49</v>
      </c>
      <c r="H1010" s="34" t="s">
        <v>354</v>
      </c>
      <c r="I1010" s="35"/>
      <c r="J1010" s="21">
        <f ca="1">_xlfn.XLOOKUP(Master[[#This Row],[Checklist]],Ref!A:A,Ref!B:B)*1000</f>
        <v>99000</v>
      </c>
      <c r="K1010" s="21">
        <f ca="1">COUNTIF($J$2:Master[[#This Row],[ChecklistID]],Master[[#This Row],[ChecklistID]])-1</f>
        <v>7</v>
      </c>
      <c r="L1010" s="23" t="s">
        <v>6</v>
      </c>
    </row>
    <row r="1011" spans="1:12" ht="15.75">
      <c r="A1011" s="23">
        <f t="shared" si="16"/>
        <v>1010</v>
      </c>
      <c r="B1011" s="21">
        <f ca="1">Master[[#This Row],[ChecklistID]]+Master[[#This Row],[Checklist Order]]</f>
        <v>99008</v>
      </c>
      <c r="C1011" s="22"/>
      <c r="D1011" s="3" t="str" cm="1">
        <f t="array" aca="1" ref="D1011" ca="1">_xlfn.SWITCH(MID(Master[[#This Row],[Checklist]],1,4),"C - ","Civil","F - ","Foundation","ST -","Structure","FC -","Façade","PRE ","Pre-Line","POST","Post-Line","H - ","Handover","S - ","Services","CST ","Completion Docs", "I - ", "Inspection")</f>
        <v>Structure</v>
      </c>
      <c r="E10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1" s="24" t="str">
        <f ca="1">IF(OR(Master[[#This Row],[Type]]="checklist", Master[[#This Row],[Type]]="checklist-flat"), Master[[#This Row],[Name]], F1010)</f>
        <v>ST - S - Precast Wall Bracket Installation</v>
      </c>
      <c r="G1011" s="34" t="s">
        <v>49</v>
      </c>
      <c r="H1011" s="34" t="s">
        <v>57</v>
      </c>
      <c r="I1011" s="35"/>
      <c r="J1011" s="21">
        <f ca="1">_xlfn.XLOOKUP(Master[[#This Row],[Checklist]],Ref!A:A,Ref!B:B)*1000</f>
        <v>99000</v>
      </c>
      <c r="K1011" s="21">
        <f ca="1">COUNTIF($J$2:Master[[#This Row],[ChecklistID]],Master[[#This Row],[ChecklistID]])-1</f>
        <v>8</v>
      </c>
      <c r="L1011" s="23" t="s">
        <v>6</v>
      </c>
    </row>
    <row r="1012" spans="1:12" ht="15.75">
      <c r="A1012" s="23">
        <f t="shared" si="16"/>
        <v>1011</v>
      </c>
      <c r="B1012" s="21">
        <f ca="1">Master[[#This Row],[ChecklistID]]+Master[[#This Row],[Checklist Order]]</f>
        <v>99009</v>
      </c>
      <c r="C1012" s="22"/>
      <c r="D1012" s="3" t="str" cm="1">
        <f t="array" aca="1" ref="D1012" ca="1">_xlfn.SWITCH(MID(Master[[#This Row],[Checklist]],1,4),"C - ","Civil","F - ","Foundation","ST -","Structure","FC -","Façade","PRE ","Pre-Line","POST","Post-Line","H - ","Handover","S - ","Services","CST ","Completion Docs", "I - ", "Inspection")</f>
        <v>Structure</v>
      </c>
      <c r="E10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2" s="24" t="str">
        <f ca="1">IF(OR(Master[[#This Row],[Type]]="checklist", Master[[#This Row],[Type]]="checklist-flat"), Master[[#This Row],[Name]], F1011)</f>
        <v>ST - S - Precast Wall Bracket Installation</v>
      </c>
      <c r="G1012" s="34" t="s">
        <v>58</v>
      </c>
      <c r="H1012" s="34" t="s">
        <v>59</v>
      </c>
      <c r="I1012" s="35"/>
      <c r="J1012" s="21">
        <f ca="1">_xlfn.XLOOKUP(Master[[#This Row],[Checklist]],Ref!A:A,Ref!B:B)*1000</f>
        <v>99000</v>
      </c>
      <c r="K1012" s="21">
        <f ca="1">COUNTIF($J$2:Master[[#This Row],[ChecklistID]],Master[[#This Row],[ChecklistID]])-1</f>
        <v>9</v>
      </c>
      <c r="L1012" s="23" t="s">
        <v>6</v>
      </c>
    </row>
    <row r="1013" spans="1:12" ht="15.75">
      <c r="A1013" s="23">
        <f t="shared" si="16"/>
        <v>1012</v>
      </c>
      <c r="B1013" s="21">
        <f ca="1">Master[[#This Row],[ChecklistID]]+Master[[#This Row],[Checklist Order]]</f>
        <v>100000</v>
      </c>
      <c r="C1013" s="22"/>
      <c r="D1013" s="3" t="str" cm="1">
        <f t="array" aca="1" ref="D1013" ca="1">_xlfn.SWITCH(MID(Master[[#This Row],[Checklist]],1,4),"C - ","Civil","F - ","Foundation","ST -","Structure","FC -","Façade","PRE ","Pre-Line","POST","Post-Line","H - ","Handover","S - ","Services","CST ","Completion Docs", "I - ", "Inspection")</f>
        <v>Structure</v>
      </c>
      <c r="E10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3" s="24" t="str">
        <f ca="1">IF(OR(Master[[#This Row],[Type]]="checklist", Master[[#This Row],[Type]]="checklist-flat"), Master[[#This Row],[Name]], F1012)</f>
        <v>ST - S - Precast Wall Panel Installation</v>
      </c>
      <c r="G1013" s="34" t="s">
        <v>48</v>
      </c>
      <c r="H1013" s="34" t="s">
        <v>355</v>
      </c>
      <c r="I1013" s="35"/>
      <c r="J1013" s="21">
        <f ca="1">_xlfn.XLOOKUP(Master[[#This Row],[Checklist]],Ref!A:A,Ref!B:B)*1000</f>
        <v>100000</v>
      </c>
      <c r="K1013" s="21">
        <f ca="1">COUNTIF($J$2:Master[[#This Row],[ChecklistID]],Master[[#This Row],[ChecklistID]])-1</f>
        <v>0</v>
      </c>
      <c r="L1013" s="23" t="s">
        <v>6</v>
      </c>
    </row>
    <row r="1014" spans="1:12" ht="15.75">
      <c r="A1014" s="23">
        <f t="shared" si="16"/>
        <v>1013</v>
      </c>
      <c r="B1014" s="21">
        <f ca="1">Master[[#This Row],[ChecklistID]]+Master[[#This Row],[Checklist Order]]</f>
        <v>100001</v>
      </c>
      <c r="C1014" s="22"/>
      <c r="D1014" s="3" t="str" cm="1">
        <f t="array" aca="1" ref="D1014" ca="1">_xlfn.SWITCH(MID(Master[[#This Row],[Checklist]],1,4),"C - ","Civil","F - ","Foundation","ST -","Structure","FC -","Façade","PRE ","Pre-Line","POST","Post-Line","H - ","Handover","S - ","Services","CST ","Completion Docs", "I - ", "Inspection")</f>
        <v>Structure</v>
      </c>
      <c r="E10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4" s="24" t="str">
        <f ca="1">IF(OR(Master[[#This Row],[Type]]="checklist", Master[[#This Row],[Type]]="checklist-flat"), Master[[#This Row],[Name]], F1013)</f>
        <v>ST - S - Precast Wall Panel Installation</v>
      </c>
      <c r="G1014" s="34" t="s">
        <v>49</v>
      </c>
      <c r="H1014" s="34" t="s">
        <v>339</v>
      </c>
      <c r="I1014" s="35"/>
      <c r="J1014" s="21">
        <f ca="1">_xlfn.XLOOKUP(Master[[#This Row],[Checklist]],Ref!A:A,Ref!B:B)*1000</f>
        <v>100000</v>
      </c>
      <c r="K1014" s="21">
        <f ca="1">COUNTIF($J$2:Master[[#This Row],[ChecklistID]],Master[[#This Row],[ChecklistID]])-1</f>
        <v>1</v>
      </c>
      <c r="L1014" s="23" t="s">
        <v>6</v>
      </c>
    </row>
    <row r="1015" spans="1:12" ht="15.75">
      <c r="A1015" s="23">
        <f t="shared" si="16"/>
        <v>1014</v>
      </c>
      <c r="B1015" s="21">
        <f ca="1">Master[[#This Row],[ChecklistID]]+Master[[#This Row],[Checklist Order]]</f>
        <v>100002</v>
      </c>
      <c r="C1015" s="22"/>
      <c r="D1015" s="3" t="str" cm="1">
        <f t="array" aca="1" ref="D1015" ca="1">_xlfn.SWITCH(MID(Master[[#This Row],[Checklist]],1,4),"C - ","Civil","F - ","Foundation","ST -","Structure","FC -","Façade","PRE ","Pre-Line","POST","Post-Line","H - ","Handover","S - ","Services","CST ","Completion Docs", "I - ", "Inspection")</f>
        <v>Structure</v>
      </c>
      <c r="E10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5" s="24" t="str">
        <f ca="1">IF(OR(Master[[#This Row],[Type]]="checklist", Master[[#This Row],[Type]]="checklist-flat"), Master[[#This Row],[Name]], F1014)</f>
        <v>ST - S - Precast Wall Panel Installation</v>
      </c>
      <c r="G1015" s="34" t="s">
        <v>49</v>
      </c>
      <c r="H1015" s="34" t="s">
        <v>265</v>
      </c>
      <c r="I1015" s="35"/>
      <c r="J1015" s="21">
        <f ca="1">_xlfn.XLOOKUP(Master[[#This Row],[Checklist]],Ref!A:A,Ref!B:B)*1000</f>
        <v>100000</v>
      </c>
      <c r="K1015" s="21">
        <f ca="1">COUNTIF($J$2:Master[[#This Row],[ChecklistID]],Master[[#This Row],[ChecklistID]])-1</f>
        <v>2</v>
      </c>
      <c r="L1015" s="23" t="s">
        <v>6</v>
      </c>
    </row>
    <row r="1016" spans="1:12" ht="15.75">
      <c r="A1016" s="23">
        <f t="shared" si="16"/>
        <v>1015</v>
      </c>
      <c r="B1016" s="21">
        <f ca="1">Master[[#This Row],[ChecklistID]]+Master[[#This Row],[Checklist Order]]</f>
        <v>100003</v>
      </c>
      <c r="C1016" s="22"/>
      <c r="D1016" s="3" t="str" cm="1">
        <f t="array" aca="1" ref="D1016" ca="1">_xlfn.SWITCH(MID(Master[[#This Row],[Checklist]],1,4),"C - ","Civil","F - ","Foundation","ST -","Structure","FC -","Façade","PRE ","Pre-Line","POST","Post-Line","H - ","Handover","S - ","Services","CST ","Completion Docs", "I - ", "Inspection")</f>
        <v>Structure</v>
      </c>
      <c r="E10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6" s="24" t="str">
        <f ca="1">IF(OR(Master[[#This Row],[Type]]="checklist", Master[[#This Row],[Type]]="checklist-flat"), Master[[#This Row],[Name]], F1015)</f>
        <v>ST - S - Precast Wall Panel Installation</v>
      </c>
      <c r="G1016" s="34" t="s">
        <v>49</v>
      </c>
      <c r="H1016" s="34" t="s">
        <v>340</v>
      </c>
      <c r="I1016" s="35"/>
      <c r="J1016" s="21">
        <f ca="1">_xlfn.XLOOKUP(Master[[#This Row],[Checklist]],Ref!A:A,Ref!B:B)*1000</f>
        <v>100000</v>
      </c>
      <c r="K1016" s="21">
        <f ca="1">COUNTIF($J$2:Master[[#This Row],[ChecklistID]],Master[[#This Row],[ChecklistID]])-1</f>
        <v>3</v>
      </c>
      <c r="L1016" s="23" t="s">
        <v>6</v>
      </c>
    </row>
    <row r="1017" spans="1:12" ht="15.75">
      <c r="A1017" s="23">
        <f t="shared" si="16"/>
        <v>1016</v>
      </c>
      <c r="B1017" s="21">
        <f ca="1">Master[[#This Row],[ChecklistID]]+Master[[#This Row],[Checklist Order]]</f>
        <v>100004</v>
      </c>
      <c r="C1017" s="22"/>
      <c r="D1017" s="3" t="str" cm="1">
        <f t="array" aca="1" ref="D1017" ca="1">_xlfn.SWITCH(MID(Master[[#This Row],[Checklist]],1,4),"C - ","Civil","F - ","Foundation","ST -","Structure","FC -","Façade","PRE ","Pre-Line","POST","Post-Line","H - ","Handover","S - ","Services","CST ","Completion Docs", "I - ", "Inspection")</f>
        <v>Structure</v>
      </c>
      <c r="E10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7" s="24" t="str">
        <f ca="1">IF(OR(Master[[#This Row],[Type]]="checklist", Master[[#This Row],[Type]]="checklist-flat"), Master[[#This Row],[Name]], F1016)</f>
        <v>ST - S - Precast Wall Panel Installation</v>
      </c>
      <c r="G1017" s="34" t="s">
        <v>49</v>
      </c>
      <c r="H1017" s="34" t="s">
        <v>356</v>
      </c>
      <c r="I1017" s="35"/>
      <c r="J1017" s="21">
        <f ca="1">_xlfn.XLOOKUP(Master[[#This Row],[Checklist]],Ref!A:A,Ref!B:B)*1000</f>
        <v>100000</v>
      </c>
      <c r="K1017" s="21">
        <f ca="1">COUNTIF($J$2:Master[[#This Row],[ChecklistID]],Master[[#This Row],[ChecklistID]])-1</f>
        <v>4</v>
      </c>
      <c r="L1017" s="23" t="s">
        <v>6</v>
      </c>
    </row>
    <row r="1018" spans="1:12" ht="15.75">
      <c r="A1018" s="23">
        <f t="shared" si="16"/>
        <v>1017</v>
      </c>
      <c r="B1018" s="21">
        <f ca="1">Master[[#This Row],[ChecklistID]]+Master[[#This Row],[Checklist Order]]</f>
        <v>100005</v>
      </c>
      <c r="C1018" s="22"/>
      <c r="D1018" s="3" t="str" cm="1">
        <f t="array" aca="1" ref="D1018" ca="1">_xlfn.SWITCH(MID(Master[[#This Row],[Checklist]],1,4),"C - ","Civil","F - ","Foundation","ST -","Structure","FC -","Façade","PRE ","Pre-Line","POST","Post-Line","H - ","Handover","S - ","Services","CST ","Completion Docs", "I - ", "Inspection")</f>
        <v>Structure</v>
      </c>
      <c r="E10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8" s="24" t="str">
        <f ca="1">IF(OR(Master[[#This Row],[Type]]="checklist", Master[[#This Row],[Type]]="checklist-flat"), Master[[#This Row],[Name]], F1017)</f>
        <v>ST - S - Precast Wall Panel Installation</v>
      </c>
      <c r="G1018" s="34" t="s">
        <v>49</v>
      </c>
      <c r="H1018" s="34" t="s">
        <v>357</v>
      </c>
      <c r="I1018" s="35"/>
      <c r="J1018" s="21">
        <f ca="1">_xlfn.XLOOKUP(Master[[#This Row],[Checklist]],Ref!A:A,Ref!B:B)*1000</f>
        <v>100000</v>
      </c>
      <c r="K1018" s="21">
        <f ca="1">COUNTIF($J$2:Master[[#This Row],[ChecklistID]],Master[[#This Row],[ChecklistID]])-1</f>
        <v>5</v>
      </c>
      <c r="L1018" s="23" t="s">
        <v>6</v>
      </c>
    </row>
    <row r="1019" spans="1:12" ht="15.75">
      <c r="A1019" s="23">
        <f t="shared" si="16"/>
        <v>1018</v>
      </c>
      <c r="B1019" s="21">
        <f ca="1">Master[[#This Row],[ChecklistID]]+Master[[#This Row],[Checklist Order]]</f>
        <v>100006</v>
      </c>
      <c r="C1019" s="22"/>
      <c r="D1019" s="3" t="str" cm="1">
        <f t="array" aca="1" ref="D1019" ca="1">_xlfn.SWITCH(MID(Master[[#This Row],[Checklist]],1,4),"C - ","Civil","F - ","Foundation","ST -","Structure","FC -","Façade","PRE ","Pre-Line","POST","Post-Line","H - ","Handover","S - ","Services","CST ","Completion Docs", "I - ", "Inspection")</f>
        <v>Structure</v>
      </c>
      <c r="E10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19" s="24" t="str">
        <f ca="1">IF(OR(Master[[#This Row],[Type]]="checklist", Master[[#This Row],[Type]]="checklist-flat"), Master[[#This Row],[Name]], F1018)</f>
        <v>ST - S - Precast Wall Panel Installation</v>
      </c>
      <c r="G1019" s="34" t="s">
        <v>49</v>
      </c>
      <c r="H1019" s="34" t="s">
        <v>358</v>
      </c>
      <c r="I1019" s="35"/>
      <c r="J1019" s="21">
        <f ca="1">_xlfn.XLOOKUP(Master[[#This Row],[Checklist]],Ref!A:A,Ref!B:B)*1000</f>
        <v>100000</v>
      </c>
      <c r="K1019" s="21">
        <f ca="1">COUNTIF($J$2:Master[[#This Row],[ChecklistID]],Master[[#This Row],[ChecklistID]])-1</f>
        <v>6</v>
      </c>
      <c r="L1019" s="23" t="s">
        <v>6</v>
      </c>
    </row>
    <row r="1020" spans="1:12" ht="15.75">
      <c r="A1020" s="23">
        <f t="shared" si="16"/>
        <v>1019</v>
      </c>
      <c r="B1020" s="21">
        <f ca="1">Master[[#This Row],[ChecklistID]]+Master[[#This Row],[Checklist Order]]</f>
        <v>100007</v>
      </c>
      <c r="C1020" s="22"/>
      <c r="D1020" s="3" t="str" cm="1">
        <f t="array" aca="1" ref="D1020" ca="1">_xlfn.SWITCH(MID(Master[[#This Row],[Checklist]],1,4),"C - ","Civil","F - ","Foundation","ST -","Structure","FC -","Façade","PRE ","Pre-Line","POST","Post-Line","H - ","Handover","S - ","Services","CST ","Completion Docs", "I - ", "Inspection")</f>
        <v>Structure</v>
      </c>
      <c r="E10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0" s="24" t="str">
        <f ca="1">IF(OR(Master[[#This Row],[Type]]="checklist", Master[[#This Row],[Type]]="checklist-flat"), Master[[#This Row],[Name]], F1019)</f>
        <v>ST - S - Precast Wall Panel Installation</v>
      </c>
      <c r="G1020" s="34" t="s">
        <v>49</v>
      </c>
      <c r="H1020" s="34" t="s">
        <v>57</v>
      </c>
      <c r="I1020" s="35"/>
      <c r="J1020" s="21">
        <f ca="1">_xlfn.XLOOKUP(Master[[#This Row],[Checklist]],Ref!A:A,Ref!B:B)*1000</f>
        <v>100000</v>
      </c>
      <c r="K1020" s="21">
        <f ca="1">COUNTIF($J$2:Master[[#This Row],[ChecklistID]],Master[[#This Row],[ChecklistID]])-1</f>
        <v>7</v>
      </c>
      <c r="L1020" s="23" t="s">
        <v>6</v>
      </c>
    </row>
    <row r="1021" spans="1:12" ht="15.75">
      <c r="A1021" s="23">
        <f t="shared" si="16"/>
        <v>1020</v>
      </c>
      <c r="B1021" s="21">
        <f ca="1">Master[[#This Row],[ChecklistID]]+Master[[#This Row],[Checklist Order]]</f>
        <v>100008</v>
      </c>
      <c r="C1021" s="22"/>
      <c r="D1021" s="3" t="str" cm="1">
        <f t="array" aca="1" ref="D1021" ca="1">_xlfn.SWITCH(MID(Master[[#This Row],[Checklist]],1,4),"C - ","Civil","F - ","Foundation","ST -","Structure","FC -","Façade","PRE ","Pre-Line","POST","Post-Line","H - ","Handover","S - ","Services","CST ","Completion Docs", "I - ", "Inspection")</f>
        <v>Structure</v>
      </c>
      <c r="E10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1" s="24" t="str">
        <f ca="1">IF(OR(Master[[#This Row],[Type]]="checklist", Master[[#This Row],[Type]]="checklist-flat"), Master[[#This Row],[Name]], F1020)</f>
        <v>ST - S - Precast Wall Panel Installation</v>
      </c>
      <c r="G1021" s="34" t="s">
        <v>58</v>
      </c>
      <c r="H1021" s="34" t="s">
        <v>59</v>
      </c>
      <c r="I1021" s="35"/>
      <c r="J1021" s="21">
        <f ca="1">_xlfn.XLOOKUP(Master[[#This Row],[Checklist]],Ref!A:A,Ref!B:B)*1000</f>
        <v>100000</v>
      </c>
      <c r="K1021" s="21">
        <f ca="1">COUNTIF($J$2:Master[[#This Row],[ChecklistID]],Master[[#This Row],[ChecklistID]])-1</f>
        <v>8</v>
      </c>
      <c r="L1021" s="23" t="s">
        <v>6</v>
      </c>
    </row>
    <row r="1022" spans="1:12" ht="15.75">
      <c r="A1022" s="23">
        <f t="shared" si="16"/>
        <v>1021</v>
      </c>
      <c r="B1022" s="21">
        <f ca="1">Master[[#This Row],[ChecklistID]]+Master[[#This Row],[Checklist Order]]</f>
        <v>101000</v>
      </c>
      <c r="C1022" s="22"/>
      <c r="D1022" s="3" t="str" cm="1">
        <f t="array" aca="1" ref="D1022" ca="1">_xlfn.SWITCH(MID(Master[[#This Row],[Checklist]],1,4),"C - ","Civil","F - ","Foundation","ST -","Structure","FC -","Façade","PRE ","Pre-Line","POST","Post-Line","H - ","Handover","S - ","Services","CST ","Completion Docs", "I - ", "Inspection")</f>
        <v>Structure</v>
      </c>
      <c r="E10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2" s="24" t="str">
        <f ca="1">IF(OR(Master[[#This Row],[Type]]="checklist", Master[[#This Row],[Type]]="checklist-flat"), Master[[#This Row],[Name]], F1021)</f>
        <v>ST - S - Rib &amp; Infill Installation</v>
      </c>
      <c r="G1022" s="30" t="s">
        <v>119</v>
      </c>
      <c r="H1022" s="38" t="s">
        <v>359</v>
      </c>
      <c r="I1022" s="35"/>
      <c r="J1022" s="21">
        <f ca="1">_xlfn.XLOOKUP(Master[[#This Row],[Checklist]],Ref!A:A,Ref!B:B)*1000</f>
        <v>101000</v>
      </c>
      <c r="K1022" s="21">
        <f ca="1">COUNTIF($J$2:Master[[#This Row],[ChecklistID]],Master[[#This Row],[ChecklistID]])-1</f>
        <v>0</v>
      </c>
      <c r="L1022" s="23" t="s">
        <v>6</v>
      </c>
    </row>
    <row r="1023" spans="1:12" ht="15.75">
      <c r="A1023" s="23">
        <f t="shared" si="16"/>
        <v>1022</v>
      </c>
      <c r="B1023" s="21">
        <f ca="1">Master[[#This Row],[ChecklistID]]+Master[[#This Row],[Checklist Order]]</f>
        <v>101001</v>
      </c>
      <c r="C1023" s="22"/>
      <c r="D1023" s="3" t="str" cm="1">
        <f t="array" aca="1" ref="D1023" ca="1">_xlfn.SWITCH(MID(Master[[#This Row],[Checklist]],1,4),"C - ","Civil","F - ","Foundation","ST -","Structure","FC -","Façade","PRE ","Pre-Line","POST","Post-Line","H - ","Handover","S - ","Services","CST ","Completion Docs", "I - ", "Inspection")</f>
        <v>Structure</v>
      </c>
      <c r="E10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3" s="24" t="str">
        <f ca="1">IF(OR(Master[[#This Row],[Type]]="checklist", Master[[#This Row],[Type]]="checklist-flat"), Master[[#This Row],[Name]], F1022)</f>
        <v>ST - S - Rib &amp; Infill Installation</v>
      </c>
      <c r="G1023" s="30" t="s">
        <v>120</v>
      </c>
      <c r="H1023" s="38" t="s">
        <v>360</v>
      </c>
      <c r="I1023" s="35"/>
      <c r="J1023" s="21">
        <f ca="1">_xlfn.XLOOKUP(Master[[#This Row],[Checklist]],Ref!A:A,Ref!B:B)*1000</f>
        <v>101000</v>
      </c>
      <c r="K1023" s="21">
        <f ca="1">COUNTIF($J$2:Master[[#This Row],[ChecklistID]],Master[[#This Row],[ChecklistID]])-1</f>
        <v>1</v>
      </c>
      <c r="L1023" s="23" t="s">
        <v>6</v>
      </c>
    </row>
    <row r="1024" spans="1:12" ht="15.75">
      <c r="A1024" s="23">
        <f t="shared" si="16"/>
        <v>1023</v>
      </c>
      <c r="B1024" s="21">
        <f ca="1">Master[[#This Row],[ChecklistID]]+Master[[#This Row],[Checklist Order]]</f>
        <v>101002</v>
      </c>
      <c r="C1024" s="22"/>
      <c r="D1024" s="3" t="str" cm="1">
        <f t="array" aca="1" ref="D1024" ca="1">_xlfn.SWITCH(MID(Master[[#This Row],[Checklist]],1,4),"C - ","Civil","F - ","Foundation","ST -","Structure","FC -","Façade","PRE ","Pre-Line","POST","Post-Line","H - ","Handover","S - ","Services","CST ","Completion Docs", "I - ", "Inspection")</f>
        <v>Structure</v>
      </c>
      <c r="E10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4" s="24" t="str">
        <f ca="1">IF(OR(Master[[#This Row],[Type]]="checklist", Master[[#This Row],[Type]]="checklist-flat"), Master[[#This Row],[Name]], F1023)</f>
        <v>ST - S - Rib &amp; Infill Installation</v>
      </c>
      <c r="G1024" s="30" t="s">
        <v>49</v>
      </c>
      <c r="H1024" s="38" t="s">
        <v>1677</v>
      </c>
      <c r="I1024" s="35"/>
      <c r="J1024" s="21">
        <f ca="1">_xlfn.XLOOKUP(Master[[#This Row],[Checklist]],Ref!A:A,Ref!B:B)*1000</f>
        <v>101000</v>
      </c>
      <c r="K1024" s="21">
        <f ca="1">COUNTIF($J$2:Master[[#This Row],[ChecklistID]],Master[[#This Row],[ChecklistID]])-1</f>
        <v>2</v>
      </c>
      <c r="L1024" s="23" t="s">
        <v>6</v>
      </c>
    </row>
    <row r="1025" spans="1:12" ht="15.75">
      <c r="A1025" s="23">
        <f t="shared" si="16"/>
        <v>1024</v>
      </c>
      <c r="B1025" s="21">
        <f ca="1">Master[[#This Row],[ChecklistID]]+Master[[#This Row],[Checklist Order]]</f>
        <v>101003</v>
      </c>
      <c r="C1025" s="22"/>
      <c r="D1025" s="3" t="str" cm="1">
        <f t="array" aca="1" ref="D1025" ca="1">_xlfn.SWITCH(MID(Master[[#This Row],[Checklist]],1,4),"C - ","Civil","F - ","Foundation","ST -","Structure","FC -","Façade","PRE ","Pre-Line","POST","Post-Line","H - ","Handover","S - ","Services","CST ","Completion Docs", "I - ", "Inspection")</f>
        <v>Structure</v>
      </c>
      <c r="E10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5" s="24" t="str">
        <f ca="1">IF(OR(Master[[#This Row],[Type]]="checklist", Master[[#This Row],[Type]]="checklist-flat"), Master[[#This Row],[Name]], F1024)</f>
        <v>ST - S - Rib &amp; Infill Installation</v>
      </c>
      <c r="G1025" s="3" t="s">
        <v>49</v>
      </c>
      <c r="H1025" s="24" t="s">
        <v>1322</v>
      </c>
      <c r="I1025" s="35"/>
      <c r="J1025" s="21">
        <f ca="1">_xlfn.XLOOKUP(Master[[#This Row],[Checklist]],Ref!A:A,Ref!B:B)*1000</f>
        <v>101000</v>
      </c>
      <c r="K1025" s="21">
        <f ca="1">COUNTIF($J$2:Master[[#This Row],[ChecklistID]],Master[[#This Row],[ChecklistID]])-1</f>
        <v>3</v>
      </c>
      <c r="L1025" s="23" t="s">
        <v>6</v>
      </c>
    </row>
    <row r="1026" spans="1:12" ht="15.75">
      <c r="A1026" s="23">
        <f t="shared" si="16"/>
        <v>1025</v>
      </c>
      <c r="B1026" s="21">
        <f ca="1">Master[[#This Row],[ChecklistID]]+Master[[#This Row],[Checklist Order]]</f>
        <v>101004</v>
      </c>
      <c r="C1026" s="22"/>
      <c r="D1026" s="3" t="str" cm="1">
        <f t="array" aca="1" ref="D1026" ca="1">_xlfn.SWITCH(MID(Master[[#This Row],[Checklist]],1,4),"C - ","Civil","F - ","Foundation","ST -","Structure","FC -","Façade","PRE ","Pre-Line","POST","Post-Line","H - ","Handover","S - ","Services","CST ","Completion Docs", "I - ", "Inspection")</f>
        <v>Structure</v>
      </c>
      <c r="E10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6" s="24" t="str">
        <f ca="1">IF(OR(Master[[#This Row],[Type]]="checklist", Master[[#This Row],[Type]]="checklist-flat"), Master[[#This Row],[Name]], F1025)</f>
        <v>ST - S - Rib &amp; Infill Installation</v>
      </c>
      <c r="G1026" s="3" t="s">
        <v>49</v>
      </c>
      <c r="H1026" s="24" t="s">
        <v>1678</v>
      </c>
      <c r="I1026" s="35"/>
      <c r="J1026" s="21">
        <f ca="1">_xlfn.XLOOKUP(Master[[#This Row],[Checklist]],Ref!A:A,Ref!B:B)*1000</f>
        <v>101000</v>
      </c>
      <c r="K1026" s="21">
        <f ca="1">COUNTIF($J$2:Master[[#This Row],[ChecklistID]],Master[[#This Row],[ChecklistID]])-1</f>
        <v>4</v>
      </c>
      <c r="L1026" s="23" t="s">
        <v>6</v>
      </c>
    </row>
    <row r="1027" spans="1:12" ht="15.75">
      <c r="A1027" s="23">
        <f t="shared" si="16"/>
        <v>1026</v>
      </c>
      <c r="B1027" s="21">
        <f ca="1">Master[[#This Row],[ChecklistID]]+Master[[#This Row],[Checklist Order]]</f>
        <v>101005</v>
      </c>
      <c r="C1027" s="22"/>
      <c r="D1027" s="3" t="str" cm="1">
        <f t="array" aca="1" ref="D1027" ca="1">_xlfn.SWITCH(MID(Master[[#This Row],[Checklist]],1,4),"C - ","Civil","F - ","Foundation","ST -","Structure","FC -","Façade","PRE ","Pre-Line","POST","Post-Line","H - ","Handover","S - ","Services","CST ","Completion Docs", "I - ", "Inspection")</f>
        <v>Structure</v>
      </c>
      <c r="E10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7" s="24" t="str">
        <f ca="1">IF(OR(Master[[#This Row],[Type]]="checklist", Master[[#This Row],[Type]]="checklist-flat"), Master[[#This Row],[Name]], F1026)</f>
        <v>ST - S - Rib &amp; Infill Installation</v>
      </c>
      <c r="G1027" s="3" t="s">
        <v>49</v>
      </c>
      <c r="H1027" s="24" t="s">
        <v>1679</v>
      </c>
      <c r="I1027" s="35"/>
      <c r="J1027" s="21">
        <f ca="1">_xlfn.XLOOKUP(Master[[#This Row],[Checklist]],Ref!A:A,Ref!B:B)*1000</f>
        <v>101000</v>
      </c>
      <c r="K1027" s="21">
        <f ca="1">COUNTIF($J$2:Master[[#This Row],[ChecklistID]],Master[[#This Row],[ChecklistID]])-1</f>
        <v>5</v>
      </c>
      <c r="L1027" s="23" t="s">
        <v>6</v>
      </c>
    </row>
    <row r="1028" spans="1:12" ht="15.75">
      <c r="A1028" s="23">
        <f t="shared" si="16"/>
        <v>1027</v>
      </c>
      <c r="B1028" s="21">
        <f ca="1">Master[[#This Row],[ChecklistID]]+Master[[#This Row],[Checklist Order]]</f>
        <v>101006</v>
      </c>
      <c r="C1028" s="22"/>
      <c r="D1028" s="3" t="str" cm="1">
        <f t="array" aca="1" ref="D1028" ca="1">_xlfn.SWITCH(MID(Master[[#This Row],[Checklist]],1,4),"C - ","Civil","F - ","Foundation","ST -","Structure","FC -","Façade","PRE ","Pre-Line","POST","Post-Line","H - ","Handover","S - ","Services","CST ","Completion Docs", "I - ", "Inspection")</f>
        <v>Structure</v>
      </c>
      <c r="E10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8" s="24" t="str">
        <f ca="1">IF(OR(Master[[#This Row],[Type]]="checklist", Master[[#This Row],[Type]]="checklist-flat"), Master[[#This Row],[Name]], F1027)</f>
        <v>ST - S - Rib &amp; Infill Installation</v>
      </c>
      <c r="G1028" s="3" t="s">
        <v>49</v>
      </c>
      <c r="H1028" s="24" t="s">
        <v>1680</v>
      </c>
      <c r="I1028" s="35"/>
      <c r="J1028" s="21">
        <f ca="1">_xlfn.XLOOKUP(Master[[#This Row],[Checklist]],Ref!A:A,Ref!B:B)*1000</f>
        <v>101000</v>
      </c>
      <c r="K1028" s="21">
        <f ca="1">COUNTIF($J$2:Master[[#This Row],[ChecklistID]],Master[[#This Row],[ChecklistID]])-1</f>
        <v>6</v>
      </c>
      <c r="L1028" s="23" t="s">
        <v>6</v>
      </c>
    </row>
    <row r="1029" spans="1:12" ht="15.75">
      <c r="A1029" s="23">
        <f t="shared" si="16"/>
        <v>1028</v>
      </c>
      <c r="B1029" s="21">
        <f ca="1">Master[[#This Row],[ChecklistID]]+Master[[#This Row],[Checklist Order]]</f>
        <v>101007</v>
      </c>
      <c r="C1029" s="22"/>
      <c r="D1029" s="3" t="str" cm="1">
        <f t="array" aca="1" ref="D1029" ca="1">_xlfn.SWITCH(MID(Master[[#This Row],[Checklist]],1,4),"C - ","Civil","F - ","Foundation","ST -","Structure","FC -","Façade","PRE ","Pre-Line","POST","Post-Line","H - ","Handover","S - ","Services","CST ","Completion Docs", "I - ", "Inspection")</f>
        <v>Structure</v>
      </c>
      <c r="E10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29" s="24" t="str">
        <f ca="1">IF(OR(Master[[#This Row],[Type]]="checklist", Master[[#This Row],[Type]]="checklist-flat"), Master[[#This Row],[Name]], F1028)</f>
        <v>ST - S - Rib &amp; Infill Installation</v>
      </c>
      <c r="G1029" s="3" t="s">
        <v>49</v>
      </c>
      <c r="H1029" s="24" t="s">
        <v>365</v>
      </c>
      <c r="I1029" s="35"/>
      <c r="J1029" s="21">
        <f ca="1">_xlfn.XLOOKUP(Master[[#This Row],[Checklist]],Ref!A:A,Ref!B:B)*1000</f>
        <v>101000</v>
      </c>
      <c r="K1029" s="21">
        <f ca="1">COUNTIF($J$2:Master[[#This Row],[ChecklistID]],Master[[#This Row],[ChecklistID]])-1</f>
        <v>7</v>
      </c>
      <c r="L1029" s="23" t="s">
        <v>6</v>
      </c>
    </row>
    <row r="1030" spans="1:12" ht="15.75">
      <c r="A1030" s="23">
        <f t="shared" si="16"/>
        <v>1029</v>
      </c>
      <c r="B1030" s="21">
        <f ca="1">Master[[#This Row],[ChecklistID]]+Master[[#This Row],[Checklist Order]]</f>
        <v>101008</v>
      </c>
      <c r="C1030" s="22"/>
      <c r="D1030" s="3" t="str" cm="1">
        <f t="array" aca="1" ref="D1030" ca="1">_xlfn.SWITCH(MID(Master[[#This Row],[Checklist]],1,4),"C - ","Civil","F - ","Foundation","ST -","Structure","FC -","Façade","PRE ","Pre-Line","POST","Post-Line","H - ","Handover","S - ","Services","CST ","Completion Docs", "I - ", "Inspection")</f>
        <v>Structure</v>
      </c>
      <c r="E10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0" s="24" t="str">
        <f ca="1">IF(OR(Master[[#This Row],[Type]]="checklist", Master[[#This Row],[Type]]="checklist-flat"), Master[[#This Row],[Name]], F1029)</f>
        <v>ST - S - Rib &amp; Infill Installation</v>
      </c>
      <c r="G1030" s="3" t="s">
        <v>120</v>
      </c>
      <c r="H1030" s="24" t="s">
        <v>1681</v>
      </c>
      <c r="I1030" s="35"/>
      <c r="J1030" s="21">
        <f ca="1">_xlfn.XLOOKUP(Master[[#This Row],[Checklist]],Ref!A:A,Ref!B:B)*1000</f>
        <v>101000</v>
      </c>
      <c r="K1030" s="21">
        <f ca="1">COUNTIF($J$2:Master[[#This Row],[ChecklistID]],Master[[#This Row],[ChecklistID]])-1</f>
        <v>8</v>
      </c>
      <c r="L1030" s="23" t="s">
        <v>6</v>
      </c>
    </row>
    <row r="1031" spans="1:12" ht="15.75">
      <c r="A1031" s="23">
        <f t="shared" si="16"/>
        <v>1030</v>
      </c>
      <c r="B1031" s="21">
        <f ca="1">Master[[#This Row],[ChecklistID]]+Master[[#This Row],[Checklist Order]]</f>
        <v>101009</v>
      </c>
      <c r="C1031" s="22"/>
      <c r="D1031" s="3" t="str" cm="1">
        <f t="array" aca="1" ref="D1031" ca="1">_xlfn.SWITCH(MID(Master[[#This Row],[Checklist]],1,4),"C - ","Civil","F - ","Foundation","ST -","Structure","FC -","Façade","PRE ","Pre-Line","POST","Post-Line","H - ","Handover","S - ","Services","CST ","Completion Docs", "I - ", "Inspection")</f>
        <v>Structure</v>
      </c>
      <c r="E10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1" s="24" t="str">
        <f ca="1">IF(OR(Master[[#This Row],[Type]]="checklist", Master[[#This Row],[Type]]="checklist-flat"), Master[[#This Row],[Name]], F1030)</f>
        <v>ST - S - Rib &amp; Infill Installation</v>
      </c>
      <c r="G1031" s="3" t="s">
        <v>49</v>
      </c>
      <c r="H1031" s="24" t="s">
        <v>1324</v>
      </c>
      <c r="I1031" s="35"/>
      <c r="J1031" s="21">
        <f ca="1">_xlfn.XLOOKUP(Master[[#This Row],[Checklist]],Ref!A:A,Ref!B:B)*1000</f>
        <v>101000</v>
      </c>
      <c r="K1031" s="21">
        <f ca="1">COUNTIF($J$2:Master[[#This Row],[ChecklistID]],Master[[#This Row],[ChecklistID]])-1</f>
        <v>9</v>
      </c>
      <c r="L1031" s="23" t="s">
        <v>6</v>
      </c>
    </row>
    <row r="1032" spans="1:12" ht="15.75">
      <c r="A1032" s="23">
        <f t="shared" si="16"/>
        <v>1031</v>
      </c>
      <c r="B1032" s="21">
        <f ca="1">Master[[#This Row],[ChecklistID]]+Master[[#This Row],[Checklist Order]]</f>
        <v>101010</v>
      </c>
      <c r="C1032" s="22"/>
      <c r="D1032" s="3" t="str" cm="1">
        <f t="array" aca="1" ref="D1032" ca="1">_xlfn.SWITCH(MID(Master[[#This Row],[Checklist]],1,4),"C - ","Civil","F - ","Foundation","ST -","Structure","FC -","Façade","PRE ","Pre-Line","POST","Post-Line","H - ","Handover","S - ","Services","CST ","Completion Docs", "I - ", "Inspection")</f>
        <v>Structure</v>
      </c>
      <c r="E10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2" s="24" t="str">
        <f ca="1">IF(OR(Master[[#This Row],[Type]]="checklist", Master[[#This Row],[Type]]="checklist-flat"), Master[[#This Row],[Name]], F1031)</f>
        <v>ST - S - Rib &amp; Infill Installation</v>
      </c>
      <c r="G1032" s="3" t="s">
        <v>49</v>
      </c>
      <c r="H1032" s="24" t="s">
        <v>1682</v>
      </c>
      <c r="I1032" s="35"/>
      <c r="J1032" s="21">
        <f ca="1">_xlfn.XLOOKUP(Master[[#This Row],[Checklist]],Ref!A:A,Ref!B:B)*1000</f>
        <v>101000</v>
      </c>
      <c r="K1032" s="21">
        <f ca="1">COUNTIF($J$2:Master[[#This Row],[ChecklistID]],Master[[#This Row],[ChecklistID]])-1</f>
        <v>10</v>
      </c>
      <c r="L1032" s="23" t="s">
        <v>6</v>
      </c>
    </row>
    <row r="1033" spans="1:12" ht="15.75">
      <c r="A1033" s="23">
        <f t="shared" si="16"/>
        <v>1032</v>
      </c>
      <c r="B1033" s="21">
        <f ca="1">Master[[#This Row],[ChecklistID]]+Master[[#This Row],[Checklist Order]]</f>
        <v>101011</v>
      </c>
      <c r="C1033" s="22"/>
      <c r="D1033" s="3" t="str" cm="1">
        <f t="array" aca="1" ref="D1033" ca="1">_xlfn.SWITCH(MID(Master[[#This Row],[Checklist]],1,4),"C - ","Civil","F - ","Foundation","ST -","Structure","FC -","Façade","PRE ","Pre-Line","POST","Post-Line","H - ","Handover","S - ","Services","CST ","Completion Docs", "I - ", "Inspection")</f>
        <v>Structure</v>
      </c>
      <c r="E10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3" s="24" t="str">
        <f ca="1">IF(OR(Master[[#This Row],[Type]]="checklist", Master[[#This Row],[Type]]="checklist-flat"), Master[[#This Row],[Name]], F1032)</f>
        <v>ST - S - Rib &amp; Infill Installation</v>
      </c>
      <c r="G1033" s="3" t="s">
        <v>49</v>
      </c>
      <c r="H1033" s="24" t="s">
        <v>1683</v>
      </c>
      <c r="I1033" s="35"/>
      <c r="J1033" s="21">
        <f ca="1">_xlfn.XLOOKUP(Master[[#This Row],[Checklist]],Ref!A:A,Ref!B:B)*1000</f>
        <v>101000</v>
      </c>
      <c r="K1033" s="21">
        <f ca="1">COUNTIF($J$2:Master[[#This Row],[ChecklistID]],Master[[#This Row],[ChecklistID]])-1</f>
        <v>11</v>
      </c>
      <c r="L1033" s="23" t="s">
        <v>6</v>
      </c>
    </row>
    <row r="1034" spans="1:12" ht="15.75">
      <c r="A1034" s="23">
        <f t="shared" si="16"/>
        <v>1033</v>
      </c>
      <c r="B1034" s="21">
        <f ca="1">Master[[#This Row],[ChecklistID]]+Master[[#This Row],[Checklist Order]]</f>
        <v>101012</v>
      </c>
      <c r="C1034" s="22"/>
      <c r="D1034" s="3" t="str" cm="1">
        <f t="array" aca="1" ref="D1034" ca="1">_xlfn.SWITCH(MID(Master[[#This Row],[Checklist]],1,4),"C - ","Civil","F - ","Foundation","ST -","Structure","FC -","Façade","PRE ","Pre-Line","POST","Post-Line","H - ","Handover","S - ","Services","CST ","Completion Docs", "I - ", "Inspection")</f>
        <v>Structure</v>
      </c>
      <c r="E10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4" s="24" t="str">
        <f ca="1">IF(OR(Master[[#This Row],[Type]]="checklist", Master[[#This Row],[Type]]="checklist-flat"), Master[[#This Row],[Name]], F1033)</f>
        <v>ST - S - Rib &amp; Infill Installation</v>
      </c>
      <c r="G1034" s="3" t="s">
        <v>49</v>
      </c>
      <c r="H1034" s="24" t="s">
        <v>364</v>
      </c>
      <c r="I1034" s="35"/>
      <c r="J1034" s="21">
        <f ca="1">_xlfn.XLOOKUP(Master[[#This Row],[Checklist]],Ref!A:A,Ref!B:B)*1000</f>
        <v>101000</v>
      </c>
      <c r="K1034" s="21">
        <f ca="1">COUNTIF($J$2:Master[[#This Row],[ChecklistID]],Master[[#This Row],[ChecklistID]])-1</f>
        <v>12</v>
      </c>
      <c r="L1034" s="23" t="s">
        <v>6</v>
      </c>
    </row>
    <row r="1035" spans="1:12" ht="15.75">
      <c r="A1035" s="23">
        <f t="shared" si="16"/>
        <v>1034</v>
      </c>
      <c r="B1035" s="21">
        <f ca="1">Master[[#This Row],[ChecklistID]]+Master[[#This Row],[Checklist Order]]</f>
        <v>101013</v>
      </c>
      <c r="C1035" s="22"/>
      <c r="D1035" s="3" t="str" cm="1">
        <f t="array" aca="1" ref="D1035" ca="1">_xlfn.SWITCH(MID(Master[[#This Row],[Checklist]],1,4),"C - ","Civil","F - ","Foundation","ST -","Structure","FC -","Façade","PRE ","Pre-Line","POST","Post-Line","H - ","Handover","S - ","Services","CST ","Completion Docs", "I - ", "Inspection")</f>
        <v>Structure</v>
      </c>
      <c r="E10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5" s="24" t="str">
        <f ca="1">IF(OR(Master[[#This Row],[Type]]="checklist", Master[[#This Row],[Type]]="checklist-flat"), Master[[#This Row],[Name]], F1034)</f>
        <v>ST - S - Rib &amp; Infill Installation</v>
      </c>
      <c r="G1035" s="3" t="s">
        <v>120</v>
      </c>
      <c r="H1035" s="24" t="s">
        <v>1326</v>
      </c>
      <c r="I1035" s="35"/>
      <c r="J1035" s="21">
        <f ca="1">_xlfn.XLOOKUP(Master[[#This Row],[Checklist]],Ref!A:A,Ref!B:B)*1000</f>
        <v>101000</v>
      </c>
      <c r="K1035" s="21">
        <f ca="1">COUNTIF($J$2:Master[[#This Row],[ChecklistID]],Master[[#This Row],[ChecklistID]])-1</f>
        <v>13</v>
      </c>
      <c r="L1035" s="23" t="s">
        <v>6</v>
      </c>
    </row>
    <row r="1036" spans="1:12" ht="15.75">
      <c r="A1036" s="23">
        <f t="shared" si="16"/>
        <v>1035</v>
      </c>
      <c r="B1036" s="21">
        <f ca="1">Master[[#This Row],[ChecklistID]]+Master[[#This Row],[Checklist Order]]</f>
        <v>101014</v>
      </c>
      <c r="C1036" s="22"/>
      <c r="D1036" s="3" t="str" cm="1">
        <f t="array" aca="1" ref="D1036" ca="1">_xlfn.SWITCH(MID(Master[[#This Row],[Checklist]],1,4),"C - ","Civil","F - ","Foundation","ST -","Structure","FC -","Façade","PRE ","Pre-Line","POST","Post-Line","H - ","Handover","S - ","Services","CST ","Completion Docs", "I - ", "Inspection")</f>
        <v>Structure</v>
      </c>
      <c r="E10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6" s="24" t="str">
        <f ca="1">IF(OR(Master[[#This Row],[Type]]="checklist", Master[[#This Row],[Type]]="checklist-flat"), Master[[#This Row],[Name]], F1035)</f>
        <v>ST - S - Rib &amp; Infill Installation</v>
      </c>
      <c r="G1036" s="3" t="s">
        <v>49</v>
      </c>
      <c r="H1036" s="24" t="s">
        <v>1684</v>
      </c>
      <c r="I1036" s="35"/>
      <c r="J1036" s="21">
        <f ca="1">_xlfn.XLOOKUP(Master[[#This Row],[Checklist]],Ref!A:A,Ref!B:B)*1000</f>
        <v>101000</v>
      </c>
      <c r="K1036" s="21">
        <f ca="1">COUNTIF($J$2:Master[[#This Row],[ChecklistID]],Master[[#This Row],[ChecklistID]])-1</f>
        <v>14</v>
      </c>
      <c r="L1036" s="23" t="s">
        <v>6</v>
      </c>
    </row>
    <row r="1037" spans="1:12" ht="15.75">
      <c r="A1037" s="23">
        <f t="shared" si="16"/>
        <v>1036</v>
      </c>
      <c r="B1037" s="21">
        <f ca="1">Master[[#This Row],[ChecklistID]]+Master[[#This Row],[Checklist Order]]</f>
        <v>101015</v>
      </c>
      <c r="C1037" s="22"/>
      <c r="D1037" s="23" t="str" cm="1">
        <f t="array" aca="1" ref="D1037" ca="1">_xlfn.SWITCH(MID(Master[[#This Row],[Checklist]],1,4),"C - ","Civil","F - ","Foundation","ST -","Structure","FC -","Façade","PRE ","Pre-Line","POST","Post-Line","H - ","Handover","S - ","Services","CST ","Completion Docs", "I - ", "Inspection")</f>
        <v>Structure</v>
      </c>
      <c r="E10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7" s="24" t="str">
        <f ca="1">IF(OR(Master[[#This Row],[Type]]="checklist", Master[[#This Row],[Type]]="checklist-flat"), Master[[#This Row],[Name]], F1036)</f>
        <v>ST - S - Rib &amp; Infill Installation</v>
      </c>
      <c r="G1037" s="3" t="s">
        <v>49</v>
      </c>
      <c r="H1037" s="24" t="s">
        <v>1685</v>
      </c>
      <c r="I1037" s="39"/>
      <c r="J1037" s="21">
        <f ca="1">_xlfn.XLOOKUP(Master[[#This Row],[Checklist]],Ref!A:A,Ref!B:B)*1000</f>
        <v>101000</v>
      </c>
      <c r="K1037" s="21">
        <f ca="1">COUNTIF($J$2:Master[[#This Row],[ChecklistID]],Master[[#This Row],[ChecklistID]])-1</f>
        <v>15</v>
      </c>
      <c r="L1037" s="23" t="s">
        <v>6</v>
      </c>
    </row>
    <row r="1038" spans="1:12" ht="15.75">
      <c r="A1038" s="23">
        <f t="shared" si="16"/>
        <v>1037</v>
      </c>
      <c r="B1038" s="21">
        <f ca="1">Master[[#This Row],[ChecklistID]]+Master[[#This Row],[Checklist Order]]</f>
        <v>101016</v>
      </c>
      <c r="C1038" s="22"/>
      <c r="D1038" s="23" t="str" cm="1">
        <f t="array" aca="1" ref="D1038" ca="1">_xlfn.SWITCH(MID(Master[[#This Row],[Checklist]],1,4),"C - ","Civil","F - ","Foundation","ST -","Structure","FC -","Façade","PRE ","Pre-Line","POST","Post-Line","H - ","Handover","S - ","Services","CST ","Completion Docs", "I - ", "Inspection")</f>
        <v>Structure</v>
      </c>
      <c r="E10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8" s="24" t="str">
        <f ca="1">IF(OR(Master[[#This Row],[Type]]="checklist", Master[[#This Row],[Type]]="checklist-flat"), Master[[#This Row],[Name]], F1037)</f>
        <v>ST - S - Rib &amp; Infill Installation</v>
      </c>
      <c r="G1038" s="3" t="s">
        <v>49</v>
      </c>
      <c r="H1038" s="24" t="s">
        <v>1686</v>
      </c>
      <c r="I1038" s="39"/>
      <c r="J1038" s="21">
        <f ca="1">_xlfn.XLOOKUP(Master[[#This Row],[Checklist]],Ref!A:A,Ref!B:B)*1000</f>
        <v>101000</v>
      </c>
      <c r="K1038" s="21">
        <f ca="1">COUNTIF($J$2:Master[[#This Row],[ChecklistID]],Master[[#This Row],[ChecklistID]])-1</f>
        <v>16</v>
      </c>
      <c r="L1038" s="23" t="s">
        <v>6</v>
      </c>
    </row>
    <row r="1039" spans="1:12" ht="15.75">
      <c r="A1039" s="23">
        <f t="shared" si="16"/>
        <v>1038</v>
      </c>
      <c r="B1039" s="21">
        <f ca="1">Master[[#This Row],[ChecklistID]]+Master[[#This Row],[Checklist Order]]</f>
        <v>101017</v>
      </c>
      <c r="C1039" s="22"/>
      <c r="D1039" s="23" t="str" cm="1">
        <f t="array" aca="1" ref="D1039" ca="1">_xlfn.SWITCH(MID(Master[[#This Row],[Checklist]],1,4),"C - ","Civil","F - ","Foundation","ST -","Structure","FC -","Façade","PRE ","Pre-Line","POST","Post-Line","H - ","Handover","S - ","Services","CST ","Completion Docs", "I - ", "Inspection")</f>
        <v>Structure</v>
      </c>
      <c r="E10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39" s="24" t="str">
        <f ca="1">IF(OR(Master[[#This Row],[Type]]="checklist", Master[[#This Row],[Type]]="checklist-flat"), Master[[#This Row],[Name]], F1038)</f>
        <v>ST - S - Rib &amp; Infill Installation</v>
      </c>
      <c r="G1039" s="3" t="s">
        <v>58</v>
      </c>
      <c r="H1039" s="24" t="s">
        <v>59</v>
      </c>
      <c r="I1039" s="39"/>
      <c r="J1039" s="21">
        <f ca="1">_xlfn.XLOOKUP(Master[[#This Row],[Checklist]],Ref!A:A,Ref!B:B)*1000</f>
        <v>101000</v>
      </c>
      <c r="K1039" s="21">
        <f ca="1">COUNTIF($J$2:Master[[#This Row],[ChecklistID]],Master[[#This Row],[ChecklistID]])-1</f>
        <v>17</v>
      </c>
      <c r="L1039" s="23" t="s">
        <v>6</v>
      </c>
    </row>
    <row r="1040" spans="1:12" ht="15.75">
      <c r="A1040" s="23">
        <f t="shared" si="16"/>
        <v>1039</v>
      </c>
      <c r="B1040" s="21">
        <f ca="1">Master[[#This Row],[ChecklistID]]+Master[[#This Row],[Checklist Order]]</f>
        <v>101018</v>
      </c>
      <c r="C1040" s="22"/>
      <c r="D1040" s="23" t="str" cm="1">
        <f t="array" aca="1" ref="D1040" ca="1">_xlfn.SWITCH(MID(Master[[#This Row],[Checklist]],1,4),"C - ","Civil","F - ","Foundation","ST -","Structure","FC -","Façade","PRE ","Pre-Line","POST","Post-Line","H - ","Handover","S - ","Services","CST ","Completion Docs", "I - ", "Inspection")</f>
        <v>Structure</v>
      </c>
      <c r="E10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0" s="24" t="str">
        <f ca="1">IF(OR(Master[[#This Row],[Type]]="checklist", Master[[#This Row],[Type]]="checklist-flat"), Master[[#This Row],[Name]], F1039)</f>
        <v>ST - S - Rib &amp; Infill Installation</v>
      </c>
      <c r="G1040" s="3" t="s">
        <v>120</v>
      </c>
      <c r="H1040" s="24" t="s">
        <v>1330</v>
      </c>
      <c r="I1040" s="39"/>
      <c r="J1040" s="21">
        <f ca="1">_xlfn.XLOOKUP(Master[[#This Row],[Checklist]],Ref!A:A,Ref!B:B)*1000</f>
        <v>101000</v>
      </c>
      <c r="K1040" s="21">
        <f ca="1">COUNTIF($J$2:Master[[#This Row],[ChecklistID]],Master[[#This Row],[ChecklistID]])-1</f>
        <v>18</v>
      </c>
      <c r="L1040" s="23" t="s">
        <v>6</v>
      </c>
    </row>
    <row r="1041" spans="1:12" ht="15.75">
      <c r="A1041" s="23">
        <f t="shared" si="16"/>
        <v>1040</v>
      </c>
      <c r="B1041" s="21">
        <f ca="1">Master[[#This Row],[ChecklistID]]+Master[[#This Row],[Checklist Order]]</f>
        <v>101019</v>
      </c>
      <c r="C1041" s="22"/>
      <c r="D1041" s="23" t="str" cm="1">
        <f t="array" aca="1" ref="D1041" ca="1">_xlfn.SWITCH(MID(Master[[#This Row],[Checklist]],1,4),"C - ","Civil","F - ","Foundation","ST -","Structure","FC -","Façade","PRE ","Pre-Line","POST","Post-Line","H - ","Handover","S - ","Services","CST ","Completion Docs", "I - ", "Inspection")</f>
        <v>Structure</v>
      </c>
      <c r="E10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1" s="24" t="str">
        <f ca="1">IF(OR(Master[[#This Row],[Type]]="checklist", Master[[#This Row],[Type]]="checklist-flat"), Master[[#This Row],[Name]], F1040)</f>
        <v>ST - S - Rib &amp; Infill Installation</v>
      </c>
      <c r="G1041" s="3" t="s">
        <v>49</v>
      </c>
      <c r="H1041" s="24" t="s">
        <v>1687</v>
      </c>
      <c r="I1041" s="39"/>
      <c r="J1041" s="21">
        <f ca="1">_xlfn.XLOOKUP(Master[[#This Row],[Checklist]],Ref!A:A,Ref!B:B)*1000</f>
        <v>101000</v>
      </c>
      <c r="K1041" s="21">
        <f ca="1">COUNTIF($J$2:Master[[#This Row],[ChecklistID]],Master[[#This Row],[ChecklistID]])-1</f>
        <v>19</v>
      </c>
      <c r="L1041" s="23" t="s">
        <v>6</v>
      </c>
    </row>
    <row r="1042" spans="1:12" ht="15.75">
      <c r="A1042" s="23">
        <f t="shared" si="16"/>
        <v>1041</v>
      </c>
      <c r="B1042" s="21">
        <f ca="1">Master[[#This Row],[ChecklistID]]+Master[[#This Row],[Checklist Order]]</f>
        <v>101020</v>
      </c>
      <c r="C1042" s="22"/>
      <c r="D1042" s="23" t="str" cm="1">
        <f t="array" aca="1" ref="D1042" ca="1">_xlfn.SWITCH(MID(Master[[#This Row],[Checklist]],1,4),"C - ","Civil","F - ","Foundation","ST -","Structure","FC -","Façade","PRE ","Pre-Line","POST","Post-Line","H - ","Handover","S - ","Services","CST ","Completion Docs", "I - ", "Inspection")</f>
        <v>Structure</v>
      </c>
      <c r="E10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2" s="24" t="str">
        <f ca="1">IF(OR(Master[[#This Row],[Type]]="checklist", Master[[#This Row],[Type]]="checklist-flat"), Master[[#This Row],[Name]], F1041)</f>
        <v>ST - S - Rib &amp; Infill Installation</v>
      </c>
      <c r="G1042" s="3" t="s">
        <v>49</v>
      </c>
      <c r="H1042" s="24" t="s">
        <v>1688</v>
      </c>
      <c r="I1042" s="39"/>
      <c r="J1042" s="21">
        <f ca="1">_xlfn.XLOOKUP(Master[[#This Row],[Checklist]],Ref!A:A,Ref!B:B)*1000</f>
        <v>101000</v>
      </c>
      <c r="K1042" s="21">
        <f ca="1">COUNTIF($J$2:Master[[#This Row],[ChecklistID]],Master[[#This Row],[ChecklistID]])-1</f>
        <v>20</v>
      </c>
      <c r="L1042" s="23" t="s">
        <v>6</v>
      </c>
    </row>
    <row r="1043" spans="1:12" ht="15.75">
      <c r="A1043" s="23">
        <f t="shared" si="16"/>
        <v>1042</v>
      </c>
      <c r="B1043" s="21">
        <f ca="1">Master[[#This Row],[ChecklistID]]+Master[[#This Row],[Checklist Order]]</f>
        <v>101021</v>
      </c>
      <c r="C1043" s="22"/>
      <c r="D1043" s="23" t="str" cm="1">
        <f t="array" aca="1" ref="D1043" ca="1">_xlfn.SWITCH(MID(Master[[#This Row],[Checklist]],1,4),"C - ","Civil","F - ","Foundation","ST -","Structure","FC -","Façade","PRE ","Pre-Line","POST","Post-Line","H - ","Handover","S - ","Services","CST ","Completion Docs", "I - ", "Inspection")</f>
        <v>Structure</v>
      </c>
      <c r="E10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3" s="24" t="str">
        <f ca="1">IF(OR(Master[[#This Row],[Type]]="checklist", Master[[#This Row],[Type]]="checklist-flat"), Master[[#This Row],[Name]], F1042)</f>
        <v>ST - S - Rib &amp; Infill Installation</v>
      </c>
      <c r="G1043" s="3" t="s">
        <v>49</v>
      </c>
      <c r="H1043" s="24" t="s">
        <v>1689</v>
      </c>
      <c r="I1043" s="39"/>
      <c r="J1043" s="21">
        <f ca="1">_xlfn.XLOOKUP(Master[[#This Row],[Checklist]],Ref!A:A,Ref!B:B)*1000</f>
        <v>101000</v>
      </c>
      <c r="K1043" s="21">
        <f ca="1">COUNTIF($J$2:Master[[#This Row],[ChecklistID]],Master[[#This Row],[ChecklistID]])-1</f>
        <v>21</v>
      </c>
      <c r="L1043" s="23" t="s">
        <v>6</v>
      </c>
    </row>
    <row r="1044" spans="1:12" ht="15.75">
      <c r="A1044" s="23">
        <f t="shared" si="16"/>
        <v>1043</v>
      </c>
      <c r="B1044" s="21">
        <f ca="1">Master[[#This Row],[ChecklistID]]+Master[[#This Row],[Checklist Order]]</f>
        <v>101022</v>
      </c>
      <c r="C1044" s="22"/>
      <c r="D1044" s="23" t="str" cm="1">
        <f t="array" aca="1" ref="D1044" ca="1">_xlfn.SWITCH(MID(Master[[#This Row],[Checklist]],1,4),"C - ","Civil","F - ","Foundation","ST -","Structure","FC -","Façade","PRE ","Pre-Line","POST","Post-Line","H - ","Handover","S - ","Services","CST ","Completion Docs", "I - ", "Inspection")</f>
        <v>Structure</v>
      </c>
      <c r="E10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4" s="24" t="str">
        <f ca="1">IF(OR(Master[[#This Row],[Type]]="checklist", Master[[#This Row],[Type]]="checklist-flat"), Master[[#This Row],[Name]], F1043)</f>
        <v>ST - S - Rib &amp; Infill Installation</v>
      </c>
      <c r="G1044" s="3" t="s">
        <v>49</v>
      </c>
      <c r="H1044" s="24" t="s">
        <v>1690</v>
      </c>
      <c r="I1044" s="39"/>
      <c r="J1044" s="21">
        <f ca="1">_xlfn.XLOOKUP(Master[[#This Row],[Checklist]],Ref!A:A,Ref!B:B)*1000</f>
        <v>101000</v>
      </c>
      <c r="K1044" s="21">
        <f ca="1">COUNTIF($J$2:Master[[#This Row],[ChecklistID]],Master[[#This Row],[ChecklistID]])-1</f>
        <v>22</v>
      </c>
      <c r="L1044" s="23" t="s">
        <v>6</v>
      </c>
    </row>
    <row r="1045" spans="1:12" ht="15.75">
      <c r="A1045" s="23">
        <f t="shared" si="16"/>
        <v>1044</v>
      </c>
      <c r="B1045" s="21">
        <f ca="1">Master[[#This Row],[ChecklistID]]+Master[[#This Row],[Checklist Order]]</f>
        <v>101023</v>
      </c>
      <c r="C1045" s="22"/>
      <c r="D1045" s="23" t="str" cm="1">
        <f t="array" aca="1" ref="D1045" ca="1">_xlfn.SWITCH(MID(Master[[#This Row],[Checklist]],1,4),"C - ","Civil","F - ","Foundation","ST -","Structure","FC -","Façade","PRE ","Pre-Line","POST","Post-Line","H - ","Handover","S - ","Services","CST ","Completion Docs", "I - ", "Inspection")</f>
        <v>Structure</v>
      </c>
      <c r="E10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5" s="24" t="str">
        <f ca="1">IF(OR(Master[[#This Row],[Type]]="checklist", Master[[#This Row],[Type]]="checklist-flat"), Master[[#This Row],[Name]], F1044)</f>
        <v>ST - S - Rib &amp; Infill Installation</v>
      </c>
      <c r="G1045" s="3" t="s">
        <v>49</v>
      </c>
      <c r="H1045" s="24" t="s">
        <v>1691</v>
      </c>
      <c r="I1045" s="39"/>
      <c r="J1045" s="21">
        <f ca="1">_xlfn.XLOOKUP(Master[[#This Row],[Checklist]],Ref!A:A,Ref!B:B)*1000</f>
        <v>101000</v>
      </c>
      <c r="K1045" s="21">
        <f ca="1">COUNTIF($J$2:Master[[#This Row],[ChecklistID]],Master[[#This Row],[ChecklistID]])-1</f>
        <v>23</v>
      </c>
      <c r="L1045" s="23" t="s">
        <v>6</v>
      </c>
    </row>
    <row r="1046" spans="1:12" ht="15.75">
      <c r="A1046" s="23">
        <f t="shared" si="16"/>
        <v>1045</v>
      </c>
      <c r="B1046" s="21">
        <f ca="1">Master[[#This Row],[ChecklistID]]+Master[[#This Row],[Checklist Order]]</f>
        <v>101024</v>
      </c>
      <c r="C1046" s="22"/>
      <c r="D1046" s="23" t="str" cm="1">
        <f t="array" aca="1" ref="D1046" ca="1">_xlfn.SWITCH(MID(Master[[#This Row],[Checklist]],1,4),"C - ","Civil","F - ","Foundation","ST -","Structure","FC -","Façade","PRE ","Pre-Line","POST","Post-Line","H - ","Handover","S - ","Services","CST ","Completion Docs", "I - ", "Inspection")</f>
        <v>Structure</v>
      </c>
      <c r="E10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6" s="24" t="str">
        <f ca="1">IF(OR(Master[[#This Row],[Type]]="checklist", Master[[#This Row],[Type]]="checklist-flat"), Master[[#This Row],[Name]], F1045)</f>
        <v>ST - S - Rib &amp; Infill Installation</v>
      </c>
      <c r="G1046" s="3" t="s">
        <v>49</v>
      </c>
      <c r="H1046" s="24" t="s">
        <v>1334</v>
      </c>
      <c r="I1046" s="39"/>
      <c r="J1046" s="21">
        <f ca="1">_xlfn.XLOOKUP(Master[[#This Row],[Checklist]],Ref!A:A,Ref!B:B)*1000</f>
        <v>101000</v>
      </c>
      <c r="K1046" s="21">
        <f ca="1">COUNTIF($J$2:Master[[#This Row],[ChecklistID]],Master[[#This Row],[ChecklistID]])-1</f>
        <v>24</v>
      </c>
      <c r="L1046" s="23" t="s">
        <v>6</v>
      </c>
    </row>
    <row r="1047" spans="1:12" ht="15.75">
      <c r="A1047" s="23">
        <f t="shared" si="16"/>
        <v>1046</v>
      </c>
      <c r="B1047" s="21">
        <f ca="1">Master[[#This Row],[ChecklistID]]+Master[[#This Row],[Checklist Order]]</f>
        <v>101025</v>
      </c>
      <c r="C1047" s="22"/>
      <c r="D1047" s="23" t="str" cm="1">
        <f t="array" aca="1" ref="D1047" ca="1">_xlfn.SWITCH(MID(Master[[#This Row],[Checklist]],1,4),"C - ","Civil","F - ","Foundation","ST -","Structure","FC -","Façade","PRE ","Pre-Line","POST","Post-Line","H - ","Handover","S - ","Services","CST ","Completion Docs", "I - ", "Inspection")</f>
        <v>Structure</v>
      </c>
      <c r="E10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7" s="24" t="str">
        <f ca="1">IF(OR(Master[[#This Row],[Type]]="checklist", Master[[#This Row],[Type]]="checklist-flat"), Master[[#This Row],[Name]], F1046)</f>
        <v>ST - S - Rib &amp; Infill Installation</v>
      </c>
      <c r="G1047" s="3" t="s">
        <v>49</v>
      </c>
      <c r="H1047" s="24" t="s">
        <v>1692</v>
      </c>
      <c r="I1047" s="39"/>
      <c r="J1047" s="21">
        <f ca="1">_xlfn.XLOOKUP(Master[[#This Row],[Checklist]],Ref!A:A,Ref!B:B)*1000</f>
        <v>101000</v>
      </c>
      <c r="K1047" s="21">
        <f ca="1">COUNTIF($J$2:Master[[#This Row],[ChecklistID]],Master[[#This Row],[ChecklistID]])-1</f>
        <v>25</v>
      </c>
      <c r="L1047" s="23" t="s">
        <v>6</v>
      </c>
    </row>
    <row r="1048" spans="1:12" ht="15.75">
      <c r="A1048" s="23">
        <f t="shared" si="16"/>
        <v>1047</v>
      </c>
      <c r="B1048" s="21">
        <f ca="1">Master[[#This Row],[ChecklistID]]+Master[[#This Row],[Checklist Order]]</f>
        <v>101026</v>
      </c>
      <c r="C1048" s="22"/>
      <c r="D1048" s="23" t="str" cm="1">
        <f t="array" aca="1" ref="D1048" ca="1">_xlfn.SWITCH(MID(Master[[#This Row],[Checklist]],1,4),"C - ","Civil","F - ","Foundation","ST -","Structure","FC -","Façade","PRE ","Pre-Line","POST","Post-Line","H - ","Handover","S - ","Services","CST ","Completion Docs", "I - ", "Inspection")</f>
        <v>Structure</v>
      </c>
      <c r="E10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8" s="24" t="str">
        <f ca="1">IF(OR(Master[[#This Row],[Type]]="checklist", Master[[#This Row],[Type]]="checklist-flat"), Master[[#This Row],[Name]], F1047)</f>
        <v>ST - S - Rib &amp; Infill Installation</v>
      </c>
      <c r="G1048" s="3" t="s">
        <v>49</v>
      </c>
      <c r="H1048" s="24" t="s">
        <v>1693</v>
      </c>
      <c r="I1048" s="39"/>
      <c r="J1048" s="21">
        <f ca="1">_xlfn.XLOOKUP(Master[[#This Row],[Checklist]],Ref!A:A,Ref!B:B)*1000</f>
        <v>101000</v>
      </c>
      <c r="K1048" s="21">
        <f ca="1">COUNTIF($J$2:Master[[#This Row],[ChecklistID]],Master[[#This Row],[ChecklistID]])-1</f>
        <v>26</v>
      </c>
      <c r="L1048" s="23" t="s">
        <v>6</v>
      </c>
    </row>
    <row r="1049" spans="1:12" ht="15.75">
      <c r="A1049" s="23">
        <f t="shared" si="16"/>
        <v>1048</v>
      </c>
      <c r="B1049" s="21">
        <f ca="1">Master[[#This Row],[ChecklistID]]+Master[[#This Row],[Checklist Order]]</f>
        <v>101027</v>
      </c>
      <c r="C1049" s="22"/>
      <c r="D1049" s="23" t="str" cm="1">
        <f t="array" aca="1" ref="D1049" ca="1">_xlfn.SWITCH(MID(Master[[#This Row],[Checklist]],1,4),"C - ","Civil","F - ","Foundation","ST -","Structure","FC -","Façade","PRE ","Pre-Line","POST","Post-Line","H - ","Handover","S - ","Services","CST ","Completion Docs", "I - ", "Inspection")</f>
        <v>Structure</v>
      </c>
      <c r="E10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49" s="24" t="str">
        <f ca="1">IF(OR(Master[[#This Row],[Type]]="checklist", Master[[#This Row],[Type]]="checklist-flat"), Master[[#This Row],[Name]], F1048)</f>
        <v>ST - S - Rib &amp; Infill Installation</v>
      </c>
      <c r="G1049" s="3" t="s">
        <v>58</v>
      </c>
      <c r="H1049" s="24" t="s">
        <v>59</v>
      </c>
      <c r="I1049" s="39"/>
      <c r="J1049" s="21">
        <f ca="1">_xlfn.XLOOKUP(Master[[#This Row],[Checklist]],Ref!A:A,Ref!B:B)*1000</f>
        <v>101000</v>
      </c>
      <c r="K1049" s="21">
        <f ca="1">COUNTIF($J$2:Master[[#This Row],[ChecklistID]],Master[[#This Row],[ChecklistID]])-1</f>
        <v>27</v>
      </c>
      <c r="L1049" s="23" t="s">
        <v>6</v>
      </c>
    </row>
    <row r="1050" spans="1:12" ht="15.75">
      <c r="A1050" s="23">
        <f t="shared" si="16"/>
        <v>1049</v>
      </c>
      <c r="B1050" s="21">
        <f ca="1">Master[[#This Row],[ChecklistID]]+Master[[#This Row],[Checklist Order]]</f>
        <v>102000</v>
      </c>
      <c r="C1050" s="22"/>
      <c r="D1050" s="3" t="str" cm="1">
        <f t="array" aca="1" ref="D1050" ca="1">_xlfn.SWITCH(MID(Master[[#This Row],[Checklist]],1,4),"C - ","Civil","F - ","Foundation","ST -","Structure","FC -","Façade","PRE ","Pre-Line","POST","Post-Line","H - ","Handover","S - ","Services","CST ","Completion Docs", "I - ", "Inspection")</f>
        <v>Structure</v>
      </c>
      <c r="E10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0" s="24" t="str">
        <f ca="1">IF(OR(Master[[#This Row],[Type]]="checklist", Master[[#This Row],[Type]]="checklist-flat"), Master[[#This Row],[Name]], F1049)</f>
        <v>ST - S - Roof structure - Steel</v>
      </c>
      <c r="G1050" s="34" t="s">
        <v>119</v>
      </c>
      <c r="H1050" s="34" t="s">
        <v>372</v>
      </c>
      <c r="I1050" s="35"/>
      <c r="J1050" s="21">
        <f ca="1">_xlfn.XLOOKUP(Master[[#This Row],[Checklist]],Ref!A:A,Ref!B:B)*1000</f>
        <v>102000</v>
      </c>
      <c r="K1050" s="21">
        <f ca="1">COUNTIF($J$2:Master[[#This Row],[ChecklistID]],Master[[#This Row],[ChecklistID]])-1</f>
        <v>0</v>
      </c>
      <c r="L1050" s="23" t="s">
        <v>6</v>
      </c>
    </row>
    <row r="1051" spans="1:12" ht="15.75">
      <c r="A1051" s="23">
        <f t="shared" si="16"/>
        <v>1050</v>
      </c>
      <c r="B1051" s="21">
        <f ca="1">Master[[#This Row],[ChecklistID]]+Master[[#This Row],[Checklist Order]]</f>
        <v>102001</v>
      </c>
      <c r="C1051" s="22"/>
      <c r="D1051" s="3" t="str" cm="1">
        <f t="array" aca="1" ref="D1051" ca="1">_xlfn.SWITCH(MID(Master[[#This Row],[Checklist]],1,4),"C - ","Civil","F - ","Foundation","ST -","Structure","FC -","Façade","PRE ","Pre-Line","POST","Post-Line","H - ","Handover","S - ","Services","CST ","Completion Docs", "I - ", "Inspection")</f>
        <v>Structure</v>
      </c>
      <c r="E10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1" s="24" t="str">
        <f ca="1">IF(OR(Master[[#This Row],[Type]]="checklist", Master[[#This Row],[Type]]="checklist-flat"), Master[[#This Row],[Name]], F1050)</f>
        <v>ST - S - Roof structure - Steel</v>
      </c>
      <c r="G1051" s="34" t="s">
        <v>120</v>
      </c>
      <c r="H1051" s="34" t="s">
        <v>360</v>
      </c>
      <c r="I1051" s="35"/>
      <c r="J1051" s="21">
        <f ca="1">_xlfn.XLOOKUP(Master[[#This Row],[Checklist]],Ref!A:A,Ref!B:B)*1000</f>
        <v>102000</v>
      </c>
      <c r="K1051" s="21">
        <f ca="1">COUNTIF($J$2:Master[[#This Row],[ChecklistID]],Master[[#This Row],[ChecklistID]])-1</f>
        <v>1</v>
      </c>
      <c r="L1051" s="23" t="s">
        <v>6</v>
      </c>
    </row>
    <row r="1052" spans="1:12" ht="15.75">
      <c r="A1052" s="23">
        <f t="shared" si="16"/>
        <v>1051</v>
      </c>
      <c r="B1052" s="21">
        <f ca="1">Master[[#This Row],[ChecklistID]]+Master[[#This Row],[Checklist Order]]</f>
        <v>102002</v>
      </c>
      <c r="C1052" s="22"/>
      <c r="D1052" s="3" t="str" cm="1">
        <f t="array" aca="1" ref="D1052" ca="1">_xlfn.SWITCH(MID(Master[[#This Row],[Checklist]],1,4),"C - ","Civil","F - ","Foundation","ST -","Structure","FC -","Façade","PRE ","Pre-Line","POST","Post-Line","H - ","Handover","S - ","Services","CST ","Completion Docs", "I - ", "Inspection")</f>
        <v>Structure</v>
      </c>
      <c r="E10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2" s="24" t="str">
        <f ca="1">IF(OR(Master[[#This Row],[Type]]="checklist", Master[[#This Row],[Type]]="checklist-flat"), Master[[#This Row],[Name]], F1051)</f>
        <v>ST - S - Roof structure - Steel</v>
      </c>
      <c r="G1052" s="34" t="s">
        <v>49</v>
      </c>
      <c r="H1052" s="34" t="s">
        <v>373</v>
      </c>
      <c r="I1052" s="35"/>
      <c r="J1052" s="21">
        <f ca="1">_xlfn.XLOOKUP(Master[[#This Row],[Checklist]],Ref!A:A,Ref!B:B)*1000</f>
        <v>102000</v>
      </c>
      <c r="K1052" s="21">
        <f ca="1">COUNTIF($J$2:Master[[#This Row],[ChecklistID]],Master[[#This Row],[ChecklistID]])-1</f>
        <v>2</v>
      </c>
      <c r="L1052" s="23" t="s">
        <v>6</v>
      </c>
    </row>
    <row r="1053" spans="1:12" ht="15.75">
      <c r="A1053" s="23">
        <f t="shared" si="16"/>
        <v>1052</v>
      </c>
      <c r="B1053" s="21">
        <f ca="1">Master[[#This Row],[ChecklistID]]+Master[[#This Row],[Checklist Order]]</f>
        <v>102003</v>
      </c>
      <c r="C1053" s="22"/>
      <c r="D1053" s="3" t="str" cm="1">
        <f t="array" aca="1" ref="D1053" ca="1">_xlfn.SWITCH(MID(Master[[#This Row],[Checklist]],1,4),"C - ","Civil","F - ","Foundation","ST -","Structure","FC -","Façade","PRE ","Pre-Line","POST","Post-Line","H - ","Handover","S - ","Services","CST ","Completion Docs", "I - ", "Inspection")</f>
        <v>Structure</v>
      </c>
      <c r="E10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3" s="24" t="str">
        <f ca="1">IF(OR(Master[[#This Row],[Type]]="checklist", Master[[#This Row],[Type]]="checklist-flat"), Master[[#This Row],[Name]], F1052)</f>
        <v>ST - S - Roof structure - Steel</v>
      </c>
      <c r="G1053" s="34" t="s">
        <v>49</v>
      </c>
      <c r="H1053" s="34" t="s">
        <v>374</v>
      </c>
      <c r="I1053" s="35"/>
      <c r="J1053" s="21">
        <f ca="1">_xlfn.XLOOKUP(Master[[#This Row],[Checklist]],Ref!A:A,Ref!B:B)*1000</f>
        <v>102000</v>
      </c>
      <c r="K1053" s="21">
        <f ca="1">COUNTIF($J$2:Master[[#This Row],[ChecklistID]],Master[[#This Row],[ChecklistID]])-1</f>
        <v>3</v>
      </c>
      <c r="L1053" s="23" t="s">
        <v>6</v>
      </c>
    </row>
    <row r="1054" spans="1:12" ht="15.75">
      <c r="A1054" s="23">
        <f t="shared" si="16"/>
        <v>1053</v>
      </c>
      <c r="B1054" s="21">
        <f ca="1">Master[[#This Row],[ChecklistID]]+Master[[#This Row],[Checklist Order]]</f>
        <v>102004</v>
      </c>
      <c r="C1054" s="22"/>
      <c r="D1054" s="3" t="str" cm="1">
        <f t="array" aca="1" ref="D1054" ca="1">_xlfn.SWITCH(MID(Master[[#This Row],[Checklist]],1,4),"C - ","Civil","F - ","Foundation","ST -","Structure","FC -","Façade","PRE ","Pre-Line","POST","Post-Line","H - ","Handover","S - ","Services","CST ","Completion Docs", "I - ", "Inspection")</f>
        <v>Structure</v>
      </c>
      <c r="E10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4" s="24" t="str">
        <f ca="1">IF(OR(Master[[#This Row],[Type]]="checklist", Master[[#This Row],[Type]]="checklist-flat"), Master[[#This Row],[Name]], F1053)</f>
        <v>ST - S - Roof structure - Steel</v>
      </c>
      <c r="G1054" s="34" t="s">
        <v>120</v>
      </c>
      <c r="H1054" s="34" t="s">
        <v>366</v>
      </c>
      <c r="I1054" s="35"/>
      <c r="J1054" s="21">
        <f ca="1">_xlfn.XLOOKUP(Master[[#This Row],[Checklist]],Ref!A:A,Ref!B:B)*1000</f>
        <v>102000</v>
      </c>
      <c r="K1054" s="21">
        <f ca="1">COUNTIF($J$2:Master[[#This Row],[ChecklistID]],Master[[#This Row],[ChecklistID]])-1</f>
        <v>4</v>
      </c>
      <c r="L1054" s="23" t="s">
        <v>6</v>
      </c>
    </row>
    <row r="1055" spans="1:12" ht="15.75">
      <c r="A1055" s="23">
        <f t="shared" si="16"/>
        <v>1054</v>
      </c>
      <c r="B1055" s="21">
        <f ca="1">Master[[#This Row],[ChecklistID]]+Master[[#This Row],[Checklist Order]]</f>
        <v>102005</v>
      </c>
      <c r="C1055" s="22"/>
      <c r="D1055" s="3" t="str" cm="1">
        <f t="array" aca="1" ref="D1055" ca="1">_xlfn.SWITCH(MID(Master[[#This Row],[Checklist]],1,4),"C - ","Civil","F - ","Foundation","ST -","Structure","FC -","Façade","PRE ","Pre-Line","POST","Post-Line","H - ","Handover","S - ","Services","CST ","Completion Docs", "I - ", "Inspection")</f>
        <v>Structure</v>
      </c>
      <c r="E10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5" s="24" t="str">
        <f ca="1">IF(OR(Master[[#This Row],[Type]]="checklist", Master[[#This Row],[Type]]="checklist-flat"), Master[[#This Row],[Name]], F1054)</f>
        <v>ST - S - Roof structure - Steel</v>
      </c>
      <c r="G1055" s="34" t="s">
        <v>49</v>
      </c>
      <c r="H1055" s="34" t="s">
        <v>375</v>
      </c>
      <c r="I1055" s="35"/>
      <c r="J1055" s="21">
        <f ca="1">_xlfn.XLOOKUP(Master[[#This Row],[Checklist]],Ref!A:A,Ref!B:B)*1000</f>
        <v>102000</v>
      </c>
      <c r="K1055" s="21">
        <f ca="1">COUNTIF($J$2:Master[[#This Row],[ChecklistID]],Master[[#This Row],[ChecklistID]])-1</f>
        <v>5</v>
      </c>
      <c r="L1055" s="23" t="s">
        <v>6</v>
      </c>
    </row>
    <row r="1056" spans="1:12" ht="15.75">
      <c r="A1056" s="23">
        <f t="shared" si="16"/>
        <v>1055</v>
      </c>
      <c r="B1056" s="21">
        <f ca="1">Master[[#This Row],[ChecklistID]]+Master[[#This Row],[Checklist Order]]</f>
        <v>102006</v>
      </c>
      <c r="C1056" s="22"/>
      <c r="D1056" s="3" t="str" cm="1">
        <f t="array" aca="1" ref="D1056" ca="1">_xlfn.SWITCH(MID(Master[[#This Row],[Checklist]],1,4),"C - ","Civil","F - ","Foundation","ST -","Structure","FC -","Façade","PRE ","Pre-Line","POST","Post-Line","H - ","Handover","S - ","Services","CST ","Completion Docs", "I - ", "Inspection")</f>
        <v>Structure</v>
      </c>
      <c r="E10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6" s="24" t="str">
        <f ca="1">IF(OR(Master[[#This Row],[Type]]="checklist", Master[[#This Row],[Type]]="checklist-flat"), Master[[#This Row],[Name]], F1055)</f>
        <v>ST - S - Roof structure - Steel</v>
      </c>
      <c r="G1056" s="34" t="s">
        <v>49</v>
      </c>
      <c r="H1056" s="34" t="s">
        <v>376</v>
      </c>
      <c r="I1056" s="35"/>
      <c r="J1056" s="21">
        <f ca="1">_xlfn.XLOOKUP(Master[[#This Row],[Checklist]],Ref!A:A,Ref!B:B)*1000</f>
        <v>102000</v>
      </c>
      <c r="K1056" s="21">
        <f ca="1">COUNTIF($J$2:Master[[#This Row],[ChecklistID]],Master[[#This Row],[ChecklistID]])-1</f>
        <v>6</v>
      </c>
      <c r="L1056" s="23" t="s">
        <v>6</v>
      </c>
    </row>
    <row r="1057" spans="1:12" ht="15.75">
      <c r="A1057" s="23">
        <f t="shared" si="16"/>
        <v>1056</v>
      </c>
      <c r="B1057" s="21">
        <f ca="1">Master[[#This Row],[ChecklistID]]+Master[[#This Row],[Checklist Order]]</f>
        <v>102007</v>
      </c>
      <c r="C1057" s="22"/>
      <c r="D1057" s="3" t="str" cm="1">
        <f t="array" aca="1" ref="D1057" ca="1">_xlfn.SWITCH(MID(Master[[#This Row],[Checklist]],1,4),"C - ","Civil","F - ","Foundation","ST -","Structure","FC -","Façade","PRE ","Pre-Line","POST","Post-Line","H - ","Handover","S - ","Services","CST ","Completion Docs", "I - ", "Inspection")</f>
        <v>Structure</v>
      </c>
      <c r="E10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7" s="24" t="str">
        <f ca="1">IF(OR(Master[[#This Row],[Type]]="checklist", Master[[#This Row],[Type]]="checklist-flat"), Master[[#This Row],[Name]], F1056)</f>
        <v>ST - S - Roof structure - Steel</v>
      </c>
      <c r="G1057" s="34" t="s">
        <v>49</v>
      </c>
      <c r="H1057" s="34" t="s">
        <v>377</v>
      </c>
      <c r="I1057" s="35"/>
      <c r="J1057" s="21">
        <f ca="1">_xlfn.XLOOKUP(Master[[#This Row],[Checklist]],Ref!A:A,Ref!B:B)*1000</f>
        <v>102000</v>
      </c>
      <c r="K1057" s="21">
        <f ca="1">COUNTIF($J$2:Master[[#This Row],[ChecklistID]],Master[[#This Row],[ChecklistID]])-1</f>
        <v>7</v>
      </c>
      <c r="L1057" s="23" t="s">
        <v>6</v>
      </c>
    </row>
    <row r="1058" spans="1:12" ht="15.75">
      <c r="A1058" s="23">
        <f t="shared" si="16"/>
        <v>1057</v>
      </c>
      <c r="B1058" s="21">
        <f ca="1">Master[[#This Row],[ChecklistID]]+Master[[#This Row],[Checklist Order]]</f>
        <v>102008</v>
      </c>
      <c r="C1058" s="22"/>
      <c r="D1058" s="3" t="str" cm="1">
        <f t="array" aca="1" ref="D1058" ca="1">_xlfn.SWITCH(MID(Master[[#This Row],[Checklist]],1,4),"C - ","Civil","F - ","Foundation","ST -","Structure","FC -","Façade","PRE ","Pre-Line","POST","Post-Line","H - ","Handover","S - ","Services","CST ","Completion Docs", "I - ", "Inspection")</f>
        <v>Structure</v>
      </c>
      <c r="E10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8" s="24" t="str">
        <f ca="1">IF(OR(Master[[#This Row],[Type]]="checklist", Master[[#This Row],[Type]]="checklist-flat"), Master[[#This Row],[Name]], F1057)</f>
        <v>ST - S - Roof structure - Steel</v>
      </c>
      <c r="G1058" s="34" t="s">
        <v>49</v>
      </c>
      <c r="H1058" s="34" t="s">
        <v>1694</v>
      </c>
      <c r="I1058" s="35"/>
      <c r="J1058" s="21">
        <f ca="1">_xlfn.XLOOKUP(Master[[#This Row],[Checklist]],Ref!A:A,Ref!B:B)*1000</f>
        <v>102000</v>
      </c>
      <c r="K1058" s="21">
        <f ca="1">COUNTIF($J$2:Master[[#This Row],[ChecklistID]],Master[[#This Row],[ChecklistID]])-1</f>
        <v>8</v>
      </c>
      <c r="L1058" s="23" t="s">
        <v>6</v>
      </c>
    </row>
    <row r="1059" spans="1:12" ht="15.75">
      <c r="A1059" s="23">
        <f t="shared" si="16"/>
        <v>1058</v>
      </c>
      <c r="B1059" s="21">
        <f ca="1">Master[[#This Row],[ChecklistID]]+Master[[#This Row],[Checklist Order]]</f>
        <v>102009</v>
      </c>
      <c r="C1059" s="22"/>
      <c r="D1059" s="3" t="str" cm="1">
        <f t="array" aca="1" ref="D1059" ca="1">_xlfn.SWITCH(MID(Master[[#This Row],[Checklist]],1,4),"C - ","Civil","F - ","Foundation","ST -","Structure","FC -","Façade","PRE ","Pre-Line","POST","Post-Line","H - ","Handover","S - ","Services","CST ","Completion Docs", "I - ", "Inspection")</f>
        <v>Structure</v>
      </c>
      <c r="E10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59" s="24" t="str">
        <f ca="1">IF(OR(Master[[#This Row],[Type]]="checklist", Master[[#This Row],[Type]]="checklist-flat"), Master[[#This Row],[Name]], F1058)</f>
        <v>ST - S - Roof structure - Steel</v>
      </c>
      <c r="G1059" s="34" t="s">
        <v>49</v>
      </c>
      <c r="H1059" s="34" t="s">
        <v>379</v>
      </c>
      <c r="I1059" s="35"/>
      <c r="J1059" s="21">
        <f ca="1">_xlfn.XLOOKUP(Master[[#This Row],[Checklist]],Ref!A:A,Ref!B:B)*1000</f>
        <v>102000</v>
      </c>
      <c r="K1059" s="21">
        <f ca="1">COUNTIF($J$2:Master[[#This Row],[ChecklistID]],Master[[#This Row],[ChecklistID]])-1</f>
        <v>9</v>
      </c>
      <c r="L1059" s="23" t="s">
        <v>6</v>
      </c>
    </row>
    <row r="1060" spans="1:12" ht="15.75">
      <c r="A1060" s="23">
        <f t="shared" si="16"/>
        <v>1059</v>
      </c>
      <c r="B1060" s="21">
        <f ca="1">Master[[#This Row],[ChecklistID]]+Master[[#This Row],[Checklist Order]]</f>
        <v>102010</v>
      </c>
      <c r="C1060" s="22"/>
      <c r="D1060" s="3" t="str" cm="1">
        <f t="array" aca="1" ref="D1060" ca="1">_xlfn.SWITCH(MID(Master[[#This Row],[Checklist]],1,4),"C - ","Civil","F - ","Foundation","ST -","Structure","FC -","Façade","PRE ","Pre-Line","POST","Post-Line","H - ","Handover","S - ","Services","CST ","Completion Docs", "I - ", "Inspection")</f>
        <v>Structure</v>
      </c>
      <c r="E10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0" s="24" t="str">
        <f ca="1">IF(OR(Master[[#This Row],[Type]]="checklist", Master[[#This Row],[Type]]="checklist-flat"), Master[[#This Row],[Name]], F1059)</f>
        <v>ST - S - Roof structure - Steel</v>
      </c>
      <c r="G1060" s="34" t="s">
        <v>49</v>
      </c>
      <c r="H1060" s="34" t="s">
        <v>380</v>
      </c>
      <c r="I1060" s="35"/>
      <c r="J1060" s="21">
        <f ca="1">_xlfn.XLOOKUP(Master[[#This Row],[Checklist]],Ref!A:A,Ref!B:B)*1000</f>
        <v>102000</v>
      </c>
      <c r="K1060" s="21">
        <f ca="1">COUNTIF($J$2:Master[[#This Row],[ChecklistID]],Master[[#This Row],[ChecklistID]])-1</f>
        <v>10</v>
      </c>
      <c r="L1060" s="23" t="s">
        <v>6</v>
      </c>
    </row>
    <row r="1061" spans="1:12" ht="15.75">
      <c r="A1061" s="23">
        <f t="shared" si="16"/>
        <v>1060</v>
      </c>
      <c r="B1061" s="21">
        <f ca="1">Master[[#This Row],[ChecklistID]]+Master[[#This Row],[Checklist Order]]</f>
        <v>102011</v>
      </c>
      <c r="C1061" s="22"/>
      <c r="D1061" s="3" t="str" cm="1">
        <f t="array" aca="1" ref="D1061" ca="1">_xlfn.SWITCH(MID(Master[[#This Row],[Checklist]],1,4),"C - ","Civil","F - ","Foundation","ST -","Structure","FC -","Façade","PRE ","Pre-Line","POST","Post-Line","H - ","Handover","S - ","Services","CST ","Completion Docs", "I - ", "Inspection")</f>
        <v>Structure</v>
      </c>
      <c r="E10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1" s="24" t="str">
        <f ca="1">IF(OR(Master[[#This Row],[Type]]="checklist", Master[[#This Row],[Type]]="checklist-flat"), Master[[#This Row],[Name]], F1060)</f>
        <v>ST - S - Roof structure - Steel</v>
      </c>
      <c r="G1061" s="34" t="s">
        <v>49</v>
      </c>
      <c r="H1061" s="34" t="s">
        <v>57</v>
      </c>
      <c r="I1061" s="35"/>
      <c r="J1061" s="21">
        <f ca="1">_xlfn.XLOOKUP(Master[[#This Row],[Checklist]],Ref!A:A,Ref!B:B)*1000</f>
        <v>102000</v>
      </c>
      <c r="K1061" s="21">
        <f ca="1">COUNTIF($J$2:Master[[#This Row],[ChecklistID]],Master[[#This Row],[ChecklistID]])-1</f>
        <v>11</v>
      </c>
      <c r="L1061" s="23" t="s">
        <v>6</v>
      </c>
    </row>
    <row r="1062" spans="1:12" ht="15.75">
      <c r="A1062" s="23">
        <f t="shared" si="16"/>
        <v>1061</v>
      </c>
      <c r="B1062" s="21">
        <f ca="1">Master[[#This Row],[ChecklistID]]+Master[[#This Row],[Checklist Order]]</f>
        <v>102012</v>
      </c>
      <c r="C1062" s="22"/>
      <c r="D1062" s="3" t="str" cm="1">
        <f t="array" aca="1" ref="D1062" ca="1">_xlfn.SWITCH(MID(Master[[#This Row],[Checklist]],1,4),"C - ","Civil","F - ","Foundation","ST -","Structure","FC -","Façade","PRE ","Pre-Line","POST","Post-Line","H - ","Handover","S - ","Services","CST ","Completion Docs", "I - ", "Inspection")</f>
        <v>Structure</v>
      </c>
      <c r="E10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2" s="24" t="str">
        <f ca="1">IF(OR(Master[[#This Row],[Type]]="checklist", Master[[#This Row],[Type]]="checklist-flat"), Master[[#This Row],[Name]], F1061)</f>
        <v>ST - S - Roof structure - Steel</v>
      </c>
      <c r="G1062" s="34" t="s">
        <v>58</v>
      </c>
      <c r="H1062" s="34" t="s">
        <v>59</v>
      </c>
      <c r="I1062" s="35"/>
      <c r="J1062" s="21">
        <f ca="1">_xlfn.XLOOKUP(Master[[#This Row],[Checklist]],Ref!A:A,Ref!B:B)*1000</f>
        <v>102000</v>
      </c>
      <c r="K1062" s="21">
        <f ca="1">COUNTIF($J$2:Master[[#This Row],[ChecklistID]],Master[[#This Row],[ChecklistID]])-1</f>
        <v>12</v>
      </c>
      <c r="L1062" s="23" t="s">
        <v>6</v>
      </c>
    </row>
    <row r="1063" spans="1:12" ht="15.75">
      <c r="A1063" s="23">
        <f t="shared" si="16"/>
        <v>1062</v>
      </c>
      <c r="B1063" s="21">
        <f ca="1">Master[[#This Row],[ChecklistID]]+Master[[#This Row],[Checklist Order]]</f>
        <v>103000</v>
      </c>
      <c r="C1063" s="22"/>
      <c r="D1063" s="3" t="str" cm="1">
        <f t="array" aca="1" ref="D1063" ca="1">_xlfn.SWITCH(MID(Master[[#This Row],[Checklist]],1,4),"C - ","Civil","F - ","Foundation","ST -","Structure","FC -","Façade","PRE ","Pre-Line","POST","Post-Line","H - ","Handover","S - ","Services","CST ","Completion Docs", "I - ", "Inspection")</f>
        <v>Structure</v>
      </c>
      <c r="E10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3" s="24" t="str">
        <f ca="1">IF(OR(Master[[#This Row],[Type]]="checklist", Master[[#This Row],[Type]]="checklist-flat"), Master[[#This Row],[Name]], F1062)</f>
        <v>ST - S - Roof structure - Timber Trusses</v>
      </c>
      <c r="G1063" s="34" t="s">
        <v>48</v>
      </c>
      <c r="H1063" s="34" t="s">
        <v>381</v>
      </c>
      <c r="I1063" s="35"/>
      <c r="J1063" s="21">
        <f ca="1">_xlfn.XLOOKUP(Master[[#This Row],[Checklist]],Ref!A:A,Ref!B:B)*1000</f>
        <v>103000</v>
      </c>
      <c r="K1063" s="21">
        <f ca="1">COUNTIF($J$2:Master[[#This Row],[ChecklistID]],Master[[#This Row],[ChecklistID]])-1</f>
        <v>0</v>
      </c>
      <c r="L1063" s="23" t="s">
        <v>6</v>
      </c>
    </row>
    <row r="1064" spans="1:12" ht="15.75">
      <c r="A1064" s="23">
        <f t="shared" si="16"/>
        <v>1063</v>
      </c>
      <c r="B1064" s="21">
        <f ca="1">Master[[#This Row],[ChecklistID]]+Master[[#This Row],[Checklist Order]]</f>
        <v>103001</v>
      </c>
      <c r="C1064" s="22"/>
      <c r="D1064" s="3" t="str" cm="1">
        <f t="array" aca="1" ref="D1064" ca="1">_xlfn.SWITCH(MID(Master[[#This Row],[Checklist]],1,4),"C - ","Civil","F - ","Foundation","ST -","Structure","FC -","Façade","PRE ","Pre-Line","POST","Post-Line","H - ","Handover","S - ","Services","CST ","Completion Docs", "I - ", "Inspection")</f>
        <v>Structure</v>
      </c>
      <c r="E10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4" s="24" t="str">
        <f ca="1">IF(OR(Master[[#This Row],[Type]]="checklist", Master[[#This Row],[Type]]="checklist-flat"), Master[[#This Row],[Name]], F1063)</f>
        <v>ST - S - Roof structure - Timber Trusses</v>
      </c>
      <c r="G1064" s="34" t="s">
        <v>49</v>
      </c>
      <c r="H1064" s="34" t="s">
        <v>382</v>
      </c>
      <c r="I1064" s="35"/>
      <c r="J1064" s="21">
        <f ca="1">_xlfn.XLOOKUP(Master[[#This Row],[Checklist]],Ref!A:A,Ref!B:B)*1000</f>
        <v>103000</v>
      </c>
      <c r="K1064" s="21">
        <f ca="1">COUNTIF($J$2:Master[[#This Row],[ChecklistID]],Master[[#This Row],[ChecklistID]])-1</f>
        <v>1</v>
      </c>
      <c r="L1064" s="23" t="s">
        <v>6</v>
      </c>
    </row>
    <row r="1065" spans="1:12" ht="15.75">
      <c r="A1065" s="23">
        <f t="shared" si="16"/>
        <v>1064</v>
      </c>
      <c r="B1065" s="21">
        <f ca="1">Master[[#This Row],[ChecklistID]]+Master[[#This Row],[Checklist Order]]</f>
        <v>103002</v>
      </c>
      <c r="C1065" s="22"/>
      <c r="D1065" s="3" t="str" cm="1">
        <f t="array" aca="1" ref="D1065" ca="1">_xlfn.SWITCH(MID(Master[[#This Row],[Checklist]],1,4),"C - ","Civil","F - ","Foundation","ST -","Structure","FC -","Façade","PRE ","Pre-Line","POST","Post-Line","H - ","Handover","S - ","Services","CST ","Completion Docs", "I - ", "Inspection")</f>
        <v>Structure</v>
      </c>
      <c r="E10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5" s="24" t="str">
        <f ca="1">IF(OR(Master[[#This Row],[Type]]="checklist", Master[[#This Row],[Type]]="checklist-flat"), Master[[#This Row],[Name]], F1064)</f>
        <v>ST - S - Roof structure - Timber Trusses</v>
      </c>
      <c r="G1065" s="34" t="s">
        <v>49</v>
      </c>
      <c r="H1065" s="34" t="s">
        <v>383</v>
      </c>
      <c r="I1065" s="35"/>
      <c r="J1065" s="21">
        <f ca="1">_xlfn.XLOOKUP(Master[[#This Row],[Checklist]],Ref!A:A,Ref!B:B)*1000</f>
        <v>103000</v>
      </c>
      <c r="K1065" s="21">
        <f ca="1">COUNTIF($J$2:Master[[#This Row],[ChecklistID]],Master[[#This Row],[ChecklistID]])-1</f>
        <v>2</v>
      </c>
      <c r="L1065" s="23" t="s">
        <v>6</v>
      </c>
    </row>
    <row r="1066" spans="1:12" ht="15.75">
      <c r="A1066" s="23">
        <f t="shared" ref="A1066:A1129" si="17">IFERROR(A1065+1,1)</f>
        <v>1065</v>
      </c>
      <c r="B1066" s="21">
        <f ca="1">Master[[#This Row],[ChecklistID]]+Master[[#This Row],[Checklist Order]]</f>
        <v>103003</v>
      </c>
      <c r="C1066" s="22"/>
      <c r="D1066" s="3" t="str" cm="1">
        <f t="array" aca="1" ref="D1066" ca="1">_xlfn.SWITCH(MID(Master[[#This Row],[Checklist]],1,4),"C - ","Civil","F - ","Foundation","ST -","Structure","FC -","Façade","PRE ","Pre-Line","POST","Post-Line","H - ","Handover","S - ","Services","CST ","Completion Docs", "I - ", "Inspection")</f>
        <v>Structure</v>
      </c>
      <c r="E10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6" s="24" t="str">
        <f ca="1">IF(OR(Master[[#This Row],[Type]]="checklist", Master[[#This Row],[Type]]="checklist-flat"), Master[[#This Row],[Name]], F1065)</f>
        <v>ST - S - Roof structure - Timber Trusses</v>
      </c>
      <c r="G1066" s="34" t="s">
        <v>49</v>
      </c>
      <c r="H1066" s="34" t="s">
        <v>384</v>
      </c>
      <c r="I1066" s="35"/>
      <c r="J1066" s="21">
        <f ca="1">_xlfn.XLOOKUP(Master[[#This Row],[Checklist]],Ref!A:A,Ref!B:B)*1000</f>
        <v>103000</v>
      </c>
      <c r="K1066" s="21">
        <f ca="1">COUNTIF($J$2:Master[[#This Row],[ChecklistID]],Master[[#This Row],[ChecklistID]])-1</f>
        <v>3</v>
      </c>
      <c r="L1066" s="23" t="s">
        <v>6</v>
      </c>
    </row>
    <row r="1067" spans="1:12" ht="15.75">
      <c r="A1067" s="23">
        <f t="shared" si="17"/>
        <v>1066</v>
      </c>
      <c r="B1067" s="21">
        <f ca="1">Master[[#This Row],[ChecklistID]]+Master[[#This Row],[Checklist Order]]</f>
        <v>103004</v>
      </c>
      <c r="C1067" s="22"/>
      <c r="D1067" s="3" t="str" cm="1">
        <f t="array" aca="1" ref="D1067" ca="1">_xlfn.SWITCH(MID(Master[[#This Row],[Checklist]],1,4),"C - ","Civil","F - ","Foundation","ST -","Structure","FC -","Façade","PRE ","Pre-Line","POST","Post-Line","H - ","Handover","S - ","Services","CST ","Completion Docs", "I - ", "Inspection")</f>
        <v>Structure</v>
      </c>
      <c r="E10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7" s="24" t="str">
        <f ca="1">IF(OR(Master[[#This Row],[Type]]="checklist", Master[[#This Row],[Type]]="checklist-flat"), Master[[#This Row],[Name]], F1066)</f>
        <v>ST - S - Roof structure - Timber Trusses</v>
      </c>
      <c r="G1067" s="34" t="s">
        <v>49</v>
      </c>
      <c r="H1067" s="34" t="s">
        <v>385</v>
      </c>
      <c r="I1067" s="35"/>
      <c r="J1067" s="21">
        <f ca="1">_xlfn.XLOOKUP(Master[[#This Row],[Checklist]],Ref!A:A,Ref!B:B)*1000</f>
        <v>103000</v>
      </c>
      <c r="K1067" s="21">
        <f ca="1">COUNTIF($J$2:Master[[#This Row],[ChecklistID]],Master[[#This Row],[ChecklistID]])-1</f>
        <v>4</v>
      </c>
      <c r="L1067" s="23" t="s">
        <v>6</v>
      </c>
    </row>
    <row r="1068" spans="1:12" ht="15.75">
      <c r="A1068" s="23">
        <f t="shared" si="17"/>
        <v>1067</v>
      </c>
      <c r="B1068" s="21">
        <f ca="1">Master[[#This Row],[ChecklistID]]+Master[[#This Row],[Checklist Order]]</f>
        <v>103005</v>
      </c>
      <c r="C1068" s="22"/>
      <c r="D1068" s="3" t="str" cm="1">
        <f t="array" aca="1" ref="D1068" ca="1">_xlfn.SWITCH(MID(Master[[#This Row],[Checklist]],1,4),"C - ","Civil","F - ","Foundation","ST -","Structure","FC -","Façade","PRE ","Pre-Line","POST","Post-Line","H - ","Handover","S - ","Services","CST ","Completion Docs", "I - ", "Inspection")</f>
        <v>Structure</v>
      </c>
      <c r="E10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8" s="24" t="str">
        <f ca="1">IF(OR(Master[[#This Row],[Type]]="checklist", Master[[#This Row],[Type]]="checklist-flat"), Master[[#This Row],[Name]], F1067)</f>
        <v>ST - S - Roof structure - Timber Trusses</v>
      </c>
      <c r="G1068" s="34" t="s">
        <v>49</v>
      </c>
      <c r="H1068" s="34" t="s">
        <v>386</v>
      </c>
      <c r="I1068" s="35"/>
      <c r="J1068" s="21">
        <f ca="1">_xlfn.XLOOKUP(Master[[#This Row],[Checklist]],Ref!A:A,Ref!B:B)*1000</f>
        <v>103000</v>
      </c>
      <c r="K1068" s="21">
        <f ca="1">COUNTIF($J$2:Master[[#This Row],[ChecklistID]],Master[[#This Row],[ChecklistID]])-1</f>
        <v>5</v>
      </c>
      <c r="L1068" s="23" t="s">
        <v>6</v>
      </c>
    </row>
    <row r="1069" spans="1:12" ht="15.75">
      <c r="A1069" s="23">
        <f t="shared" si="17"/>
        <v>1068</v>
      </c>
      <c r="B1069" s="21">
        <f ca="1">Master[[#This Row],[ChecklistID]]+Master[[#This Row],[Checklist Order]]</f>
        <v>103006</v>
      </c>
      <c r="C1069" s="22"/>
      <c r="D1069" s="3" t="str" cm="1">
        <f t="array" aca="1" ref="D1069" ca="1">_xlfn.SWITCH(MID(Master[[#This Row],[Checklist]],1,4),"C - ","Civil","F - ","Foundation","ST -","Structure","FC -","Façade","PRE ","Pre-Line","POST","Post-Line","H - ","Handover","S - ","Services","CST ","Completion Docs", "I - ", "Inspection")</f>
        <v>Structure</v>
      </c>
      <c r="E10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69" s="24" t="str">
        <f ca="1">IF(OR(Master[[#This Row],[Type]]="checklist", Master[[#This Row],[Type]]="checklist-flat"), Master[[#This Row],[Name]], F1068)</f>
        <v>ST - S - Roof structure - Timber Trusses</v>
      </c>
      <c r="G1069" s="34" t="s">
        <v>49</v>
      </c>
      <c r="H1069" s="34" t="s">
        <v>387</v>
      </c>
      <c r="I1069" s="35"/>
      <c r="J1069" s="21">
        <f ca="1">_xlfn.XLOOKUP(Master[[#This Row],[Checklist]],Ref!A:A,Ref!B:B)*1000</f>
        <v>103000</v>
      </c>
      <c r="K1069" s="21">
        <f ca="1">COUNTIF($J$2:Master[[#This Row],[ChecklistID]],Master[[#This Row],[ChecklistID]])-1</f>
        <v>6</v>
      </c>
      <c r="L1069" s="23" t="s">
        <v>6</v>
      </c>
    </row>
    <row r="1070" spans="1:12" ht="15.75">
      <c r="A1070" s="23">
        <f t="shared" si="17"/>
        <v>1069</v>
      </c>
      <c r="B1070" s="21">
        <f ca="1">Master[[#This Row],[ChecklistID]]+Master[[#This Row],[Checklist Order]]</f>
        <v>103007</v>
      </c>
      <c r="C1070" s="22"/>
      <c r="D1070" s="3" t="str" cm="1">
        <f t="array" aca="1" ref="D1070" ca="1">_xlfn.SWITCH(MID(Master[[#This Row],[Checklist]],1,4),"C - ","Civil","F - ","Foundation","ST -","Structure","FC -","Façade","PRE ","Pre-Line","POST","Post-Line","H - ","Handover","S - ","Services","CST ","Completion Docs", "I - ", "Inspection")</f>
        <v>Structure</v>
      </c>
      <c r="E10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0" s="24" t="str">
        <f ca="1">IF(OR(Master[[#This Row],[Type]]="checklist", Master[[#This Row],[Type]]="checklist-flat"), Master[[#This Row],[Name]], F1069)</f>
        <v>ST - S - Roof structure - Timber Trusses</v>
      </c>
      <c r="G1070" s="34" t="s">
        <v>49</v>
      </c>
      <c r="H1070" s="34" t="s">
        <v>388</v>
      </c>
      <c r="I1070" s="35"/>
      <c r="J1070" s="21">
        <f ca="1">_xlfn.XLOOKUP(Master[[#This Row],[Checklist]],Ref!A:A,Ref!B:B)*1000</f>
        <v>103000</v>
      </c>
      <c r="K1070" s="21">
        <f ca="1">COUNTIF($J$2:Master[[#This Row],[ChecklistID]],Master[[#This Row],[ChecklistID]])-1</f>
        <v>7</v>
      </c>
      <c r="L1070" s="23" t="s">
        <v>6</v>
      </c>
    </row>
    <row r="1071" spans="1:12" ht="15.75">
      <c r="A1071" s="23">
        <f t="shared" si="17"/>
        <v>1070</v>
      </c>
      <c r="B1071" s="21">
        <f ca="1">Master[[#This Row],[ChecklistID]]+Master[[#This Row],[Checklist Order]]</f>
        <v>103008</v>
      </c>
      <c r="C1071" s="22"/>
      <c r="D1071" s="3" t="str" cm="1">
        <f t="array" aca="1" ref="D1071" ca="1">_xlfn.SWITCH(MID(Master[[#This Row],[Checklist]],1,4),"C - ","Civil","F - ","Foundation","ST -","Structure","FC -","Façade","PRE ","Pre-Line","POST","Post-Line","H - ","Handover","S - ","Services","CST ","Completion Docs", "I - ", "Inspection")</f>
        <v>Structure</v>
      </c>
      <c r="E10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1" s="24" t="str">
        <f ca="1">IF(OR(Master[[#This Row],[Type]]="checklist", Master[[#This Row],[Type]]="checklist-flat"), Master[[#This Row],[Name]], F1070)</f>
        <v>ST - S - Roof structure - Timber Trusses</v>
      </c>
      <c r="G1071" s="34" t="s">
        <v>49</v>
      </c>
      <c r="H1071" s="34" t="s">
        <v>389</v>
      </c>
      <c r="I1071" s="35"/>
      <c r="J1071" s="21">
        <f ca="1">_xlfn.XLOOKUP(Master[[#This Row],[Checklist]],Ref!A:A,Ref!B:B)*1000</f>
        <v>103000</v>
      </c>
      <c r="K1071" s="21">
        <f ca="1">COUNTIF($J$2:Master[[#This Row],[ChecklistID]],Master[[#This Row],[ChecklistID]])-1</f>
        <v>8</v>
      </c>
      <c r="L1071" s="23" t="s">
        <v>6</v>
      </c>
    </row>
    <row r="1072" spans="1:12" ht="15.75">
      <c r="A1072" s="23">
        <f t="shared" si="17"/>
        <v>1071</v>
      </c>
      <c r="B1072" s="21">
        <f ca="1">Master[[#This Row],[ChecklistID]]+Master[[#This Row],[Checklist Order]]</f>
        <v>103009</v>
      </c>
      <c r="C1072" s="22"/>
      <c r="D1072" s="3" t="str" cm="1">
        <f t="array" aca="1" ref="D1072" ca="1">_xlfn.SWITCH(MID(Master[[#This Row],[Checklist]],1,4),"C - ","Civil","F - ","Foundation","ST -","Structure","FC -","Façade","PRE ","Pre-Line","POST","Post-Line","H - ","Handover","S - ","Services","CST ","Completion Docs", "I - ", "Inspection")</f>
        <v>Structure</v>
      </c>
      <c r="E10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2" s="24" t="str">
        <f ca="1">IF(OR(Master[[#This Row],[Type]]="checklist", Master[[#This Row],[Type]]="checklist-flat"), Master[[#This Row],[Name]], F1071)</f>
        <v>ST - S - Roof structure - Timber Trusses</v>
      </c>
      <c r="G1072" s="34" t="s">
        <v>49</v>
      </c>
      <c r="H1072" s="34" t="s">
        <v>390</v>
      </c>
      <c r="I1072" s="35"/>
      <c r="J1072" s="21">
        <f ca="1">_xlfn.XLOOKUP(Master[[#This Row],[Checklist]],Ref!A:A,Ref!B:B)*1000</f>
        <v>103000</v>
      </c>
      <c r="K1072" s="21">
        <f ca="1">COUNTIF($J$2:Master[[#This Row],[ChecklistID]],Master[[#This Row],[ChecklistID]])-1</f>
        <v>9</v>
      </c>
      <c r="L1072" s="23" t="s">
        <v>6</v>
      </c>
    </row>
    <row r="1073" spans="1:12" ht="15.75">
      <c r="A1073" s="23">
        <f t="shared" si="17"/>
        <v>1072</v>
      </c>
      <c r="B1073" s="21">
        <f ca="1">Master[[#This Row],[ChecklistID]]+Master[[#This Row],[Checklist Order]]</f>
        <v>103010</v>
      </c>
      <c r="C1073" s="22"/>
      <c r="D1073" s="3" t="str" cm="1">
        <f t="array" aca="1" ref="D1073" ca="1">_xlfn.SWITCH(MID(Master[[#This Row],[Checklist]],1,4),"C - ","Civil","F - ","Foundation","ST -","Structure","FC -","Façade","PRE ","Pre-Line","POST","Post-Line","H - ","Handover","S - ","Services","CST ","Completion Docs", "I - ", "Inspection")</f>
        <v>Structure</v>
      </c>
      <c r="E10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3" s="24" t="str">
        <f ca="1">IF(OR(Master[[#This Row],[Type]]="checklist", Master[[#This Row],[Type]]="checklist-flat"), Master[[#This Row],[Name]], F1072)</f>
        <v>ST - S - Roof structure - Timber Trusses</v>
      </c>
      <c r="G1073" s="34" t="s">
        <v>49</v>
      </c>
      <c r="H1073" s="34" t="s">
        <v>391</v>
      </c>
      <c r="I1073" s="35"/>
      <c r="J1073" s="21">
        <f ca="1">_xlfn.XLOOKUP(Master[[#This Row],[Checklist]],Ref!A:A,Ref!B:B)*1000</f>
        <v>103000</v>
      </c>
      <c r="K1073" s="21">
        <f ca="1">COUNTIF($J$2:Master[[#This Row],[ChecklistID]],Master[[#This Row],[ChecklistID]])-1</f>
        <v>10</v>
      </c>
      <c r="L1073" s="23" t="s">
        <v>6</v>
      </c>
    </row>
    <row r="1074" spans="1:12" ht="15.75">
      <c r="A1074" s="23">
        <f t="shared" si="17"/>
        <v>1073</v>
      </c>
      <c r="B1074" s="21">
        <f ca="1">Master[[#This Row],[ChecklistID]]+Master[[#This Row],[Checklist Order]]</f>
        <v>103011</v>
      </c>
      <c r="C1074" s="22"/>
      <c r="D1074" s="3" t="str" cm="1">
        <f t="array" aca="1" ref="D1074" ca="1">_xlfn.SWITCH(MID(Master[[#This Row],[Checklist]],1,4),"C - ","Civil","F - ","Foundation","ST -","Structure","FC -","Façade","PRE ","Pre-Line","POST","Post-Line","H - ","Handover","S - ","Services","CST ","Completion Docs", "I - ", "Inspection")</f>
        <v>Structure</v>
      </c>
      <c r="E10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4" s="24" t="str">
        <f ca="1">IF(OR(Master[[#This Row],[Type]]="checklist", Master[[#This Row],[Type]]="checklist-flat"), Master[[#This Row],[Name]], F1073)</f>
        <v>ST - S - Roof structure - Timber Trusses</v>
      </c>
      <c r="G1074" s="34" t="s">
        <v>49</v>
      </c>
      <c r="H1074" s="34" t="s">
        <v>392</v>
      </c>
      <c r="I1074" s="35"/>
      <c r="J1074" s="21">
        <f ca="1">_xlfn.XLOOKUP(Master[[#This Row],[Checklist]],Ref!A:A,Ref!B:B)*1000</f>
        <v>103000</v>
      </c>
      <c r="K1074" s="21">
        <f ca="1">COUNTIF($J$2:Master[[#This Row],[ChecklistID]],Master[[#This Row],[ChecklistID]])-1</f>
        <v>11</v>
      </c>
      <c r="L1074" s="23" t="s">
        <v>6</v>
      </c>
    </row>
    <row r="1075" spans="1:12" ht="15.75">
      <c r="A1075" s="23">
        <f t="shared" si="17"/>
        <v>1074</v>
      </c>
      <c r="B1075" s="21">
        <f ca="1">Master[[#This Row],[ChecklistID]]+Master[[#This Row],[Checklist Order]]</f>
        <v>103012</v>
      </c>
      <c r="C1075" s="22"/>
      <c r="D1075" s="3" t="str" cm="1">
        <f t="array" aca="1" ref="D1075" ca="1">_xlfn.SWITCH(MID(Master[[#This Row],[Checklist]],1,4),"C - ","Civil","F - ","Foundation","ST -","Structure","FC -","Façade","PRE ","Pre-Line","POST","Post-Line","H - ","Handover","S - ","Services","CST ","Completion Docs", "I - ", "Inspection")</f>
        <v>Structure</v>
      </c>
      <c r="E10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5" s="24" t="str">
        <f ca="1">IF(OR(Master[[#This Row],[Type]]="checklist", Master[[#This Row],[Type]]="checklist-flat"), Master[[#This Row],[Name]], F1074)</f>
        <v>ST - S - Roof structure - Timber Trusses</v>
      </c>
      <c r="G1075" s="34" t="s">
        <v>49</v>
      </c>
      <c r="H1075" s="34" t="s">
        <v>393</v>
      </c>
      <c r="I1075" s="35"/>
      <c r="J1075" s="21">
        <f ca="1">_xlfn.XLOOKUP(Master[[#This Row],[Checklist]],Ref!A:A,Ref!B:B)*1000</f>
        <v>103000</v>
      </c>
      <c r="K1075" s="21">
        <f ca="1">COUNTIF($J$2:Master[[#This Row],[ChecklistID]],Master[[#This Row],[ChecklistID]])-1</f>
        <v>12</v>
      </c>
      <c r="L1075" s="23" t="s">
        <v>6</v>
      </c>
    </row>
    <row r="1076" spans="1:12" ht="15.75">
      <c r="A1076" s="23">
        <f t="shared" si="17"/>
        <v>1075</v>
      </c>
      <c r="B1076" s="21">
        <f ca="1">Master[[#This Row],[ChecklistID]]+Master[[#This Row],[Checklist Order]]</f>
        <v>103013</v>
      </c>
      <c r="C1076" s="22"/>
      <c r="D1076" s="3" t="str" cm="1">
        <f t="array" aca="1" ref="D1076" ca="1">_xlfn.SWITCH(MID(Master[[#This Row],[Checklist]],1,4),"C - ","Civil","F - ","Foundation","ST -","Structure","FC -","Façade","PRE ","Pre-Line","POST","Post-Line","H - ","Handover","S - ","Services","CST ","Completion Docs", "I - ", "Inspection")</f>
        <v>Structure</v>
      </c>
      <c r="E10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6" s="24" t="str">
        <f ca="1">IF(OR(Master[[#This Row],[Type]]="checklist", Master[[#This Row],[Type]]="checklist-flat"), Master[[#This Row],[Name]], F1075)</f>
        <v>ST - S - Roof structure - Timber Trusses</v>
      </c>
      <c r="G1076" s="34" t="s">
        <v>49</v>
      </c>
      <c r="H1076" s="34" t="s">
        <v>57</v>
      </c>
      <c r="I1076" s="35"/>
      <c r="J1076" s="21">
        <f ca="1">_xlfn.XLOOKUP(Master[[#This Row],[Checklist]],Ref!A:A,Ref!B:B)*1000</f>
        <v>103000</v>
      </c>
      <c r="K1076" s="21">
        <f ca="1">COUNTIF($J$2:Master[[#This Row],[ChecklistID]],Master[[#This Row],[ChecklistID]])-1</f>
        <v>13</v>
      </c>
      <c r="L1076" s="23" t="s">
        <v>6</v>
      </c>
    </row>
    <row r="1077" spans="1:12" ht="15.75">
      <c r="A1077" s="23">
        <f t="shared" si="17"/>
        <v>1076</v>
      </c>
      <c r="B1077" s="21">
        <f ca="1">Master[[#This Row],[ChecklistID]]+Master[[#This Row],[Checklist Order]]</f>
        <v>103014</v>
      </c>
      <c r="C1077" s="22"/>
      <c r="D1077" s="3" t="str" cm="1">
        <f t="array" aca="1" ref="D1077" ca="1">_xlfn.SWITCH(MID(Master[[#This Row],[Checklist]],1,4),"C - ","Civil","F - ","Foundation","ST -","Structure","FC -","Façade","PRE ","Pre-Line","POST","Post-Line","H - ","Handover","S - ","Services","CST ","Completion Docs", "I - ", "Inspection")</f>
        <v>Structure</v>
      </c>
      <c r="E10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7" s="24" t="str">
        <f ca="1">IF(OR(Master[[#This Row],[Type]]="checklist", Master[[#This Row],[Type]]="checklist-flat"), Master[[#This Row],[Name]], F1076)</f>
        <v>ST - S - Roof structure - Timber Trusses</v>
      </c>
      <c r="G1077" s="34" t="s">
        <v>58</v>
      </c>
      <c r="H1077" s="34" t="s">
        <v>59</v>
      </c>
      <c r="I1077" s="35"/>
      <c r="J1077" s="21">
        <f ca="1">_xlfn.XLOOKUP(Master[[#This Row],[Checklist]],Ref!A:A,Ref!B:B)*1000</f>
        <v>103000</v>
      </c>
      <c r="K1077" s="21">
        <f ca="1">COUNTIF($J$2:Master[[#This Row],[ChecklistID]],Master[[#This Row],[ChecklistID]])-1</f>
        <v>14</v>
      </c>
      <c r="L1077" s="23" t="s">
        <v>6</v>
      </c>
    </row>
    <row r="1078" spans="1:12" ht="15.75">
      <c r="A1078" s="23">
        <f t="shared" si="17"/>
        <v>1077</v>
      </c>
      <c r="B1078" s="21">
        <f ca="1">Master[[#This Row],[ChecklistID]]+Master[[#This Row],[Checklist Order]]</f>
        <v>104000</v>
      </c>
      <c r="C1078" s="22"/>
      <c r="D1078" s="3" t="str" cm="1">
        <f t="array" aca="1" ref="D1078" ca="1">_xlfn.SWITCH(MID(Master[[#This Row],[Checklist]],1,4),"C - ","Civil","F - ","Foundation","ST -","Structure","FC -","Façade","PRE ","Pre-Line","POST","Post-Line","H - ","Handover","S - ","Services","CST ","Completion Docs", "I - ", "Inspection")</f>
        <v>Structure</v>
      </c>
      <c r="E10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8" s="24" t="str">
        <f ca="1">IF(OR(Master[[#This Row],[Type]]="checklist", Master[[#This Row],[Type]]="checklist-flat"), Master[[#This Row],[Name]], F1077)</f>
        <v>ST - S - Stair Installation</v>
      </c>
      <c r="G1078" s="34" t="s">
        <v>48</v>
      </c>
      <c r="H1078" s="34" t="s">
        <v>394</v>
      </c>
      <c r="I1078" s="35"/>
      <c r="J1078" s="21">
        <f ca="1">_xlfn.XLOOKUP(Master[[#This Row],[Checklist]],Ref!A:A,Ref!B:B)*1000</f>
        <v>104000</v>
      </c>
      <c r="K1078" s="21">
        <f ca="1">COUNTIF($J$2:Master[[#This Row],[ChecklistID]],Master[[#This Row],[ChecklistID]])-1</f>
        <v>0</v>
      </c>
      <c r="L1078" s="23" t="s">
        <v>6</v>
      </c>
    </row>
    <row r="1079" spans="1:12" ht="15.75">
      <c r="A1079" s="23">
        <f t="shared" si="17"/>
        <v>1078</v>
      </c>
      <c r="B1079" s="21">
        <f ca="1">Master[[#This Row],[ChecklistID]]+Master[[#This Row],[Checklist Order]]</f>
        <v>104001</v>
      </c>
      <c r="C1079" s="22"/>
      <c r="D1079" s="3" t="str" cm="1">
        <f t="array" aca="1" ref="D1079" ca="1">_xlfn.SWITCH(MID(Master[[#This Row],[Checklist]],1,4),"C - ","Civil","F - ","Foundation","ST -","Structure","FC -","Façade","PRE ","Pre-Line","POST","Post-Line","H - ","Handover","S - ","Services","CST ","Completion Docs", "I - ", "Inspection")</f>
        <v>Structure</v>
      </c>
      <c r="E10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79" s="24" t="str">
        <f ca="1">IF(OR(Master[[#This Row],[Type]]="checklist", Master[[#This Row],[Type]]="checklist-flat"), Master[[#This Row],[Name]], F1078)</f>
        <v>ST - S - Stair Installation</v>
      </c>
      <c r="G1079" s="34" t="s">
        <v>49</v>
      </c>
      <c r="H1079" s="34" t="s">
        <v>361</v>
      </c>
      <c r="I1079" s="35"/>
      <c r="J1079" s="21">
        <f ca="1">_xlfn.XLOOKUP(Master[[#This Row],[Checklist]],Ref!A:A,Ref!B:B)*1000</f>
        <v>104000</v>
      </c>
      <c r="K1079" s="21">
        <f ca="1">COUNTIF($J$2:Master[[#This Row],[ChecklistID]],Master[[#This Row],[ChecklistID]])-1</f>
        <v>1</v>
      </c>
      <c r="L1079" s="23" t="s">
        <v>6</v>
      </c>
    </row>
    <row r="1080" spans="1:12" ht="15.75">
      <c r="A1080" s="23">
        <f t="shared" si="17"/>
        <v>1079</v>
      </c>
      <c r="B1080" s="21">
        <f ca="1">Master[[#This Row],[ChecklistID]]+Master[[#This Row],[Checklist Order]]</f>
        <v>104002</v>
      </c>
      <c r="C1080" s="22"/>
      <c r="D1080" s="3" t="str" cm="1">
        <f t="array" aca="1" ref="D1080" ca="1">_xlfn.SWITCH(MID(Master[[#This Row],[Checklist]],1,4),"C - ","Civil","F - ","Foundation","ST -","Structure","FC -","Façade","PRE ","Pre-Line","POST","Post-Line","H - ","Handover","S - ","Services","CST ","Completion Docs", "I - ", "Inspection")</f>
        <v>Structure</v>
      </c>
      <c r="E10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0" s="24" t="str">
        <f ca="1">IF(OR(Master[[#This Row],[Type]]="checklist", Master[[#This Row],[Type]]="checklist-flat"), Master[[#This Row],[Name]], F1079)</f>
        <v>ST - S - Stair Installation</v>
      </c>
      <c r="G1080" s="34" t="s">
        <v>49</v>
      </c>
      <c r="H1080" s="34" t="s">
        <v>395</v>
      </c>
      <c r="I1080" s="35"/>
      <c r="J1080" s="21">
        <f ca="1">_xlfn.XLOOKUP(Master[[#This Row],[Checklist]],Ref!A:A,Ref!B:B)*1000</f>
        <v>104000</v>
      </c>
      <c r="K1080" s="21">
        <f ca="1">COUNTIF($J$2:Master[[#This Row],[ChecklistID]],Master[[#This Row],[ChecklistID]])-1</f>
        <v>2</v>
      </c>
      <c r="L1080" s="23" t="s">
        <v>6</v>
      </c>
    </row>
    <row r="1081" spans="1:12" ht="15.75">
      <c r="A1081" s="23">
        <f t="shared" si="17"/>
        <v>1080</v>
      </c>
      <c r="B1081" s="21">
        <f ca="1">Master[[#This Row],[ChecklistID]]+Master[[#This Row],[Checklist Order]]</f>
        <v>104003</v>
      </c>
      <c r="C1081" s="22"/>
      <c r="D1081" s="3" t="str" cm="1">
        <f t="array" aca="1" ref="D1081" ca="1">_xlfn.SWITCH(MID(Master[[#This Row],[Checklist]],1,4),"C - ","Civil","F - ","Foundation","ST -","Structure","FC -","Façade","PRE ","Pre-Line","POST","Post-Line","H - ","Handover","S - ","Services","CST ","Completion Docs", "I - ", "Inspection")</f>
        <v>Structure</v>
      </c>
      <c r="E10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1" s="24" t="str">
        <f ca="1">IF(OR(Master[[#This Row],[Type]]="checklist", Master[[#This Row],[Type]]="checklist-flat"), Master[[#This Row],[Name]], F1080)</f>
        <v>ST - S - Stair Installation</v>
      </c>
      <c r="G1081" s="34" t="s">
        <v>49</v>
      </c>
      <c r="H1081" s="34" t="s">
        <v>396</v>
      </c>
      <c r="I1081" s="35"/>
      <c r="J1081" s="21">
        <f ca="1">_xlfn.XLOOKUP(Master[[#This Row],[Checklist]],Ref!A:A,Ref!B:B)*1000</f>
        <v>104000</v>
      </c>
      <c r="K1081" s="21">
        <f ca="1">COUNTIF($J$2:Master[[#This Row],[ChecklistID]],Master[[#This Row],[ChecklistID]])-1</f>
        <v>3</v>
      </c>
      <c r="L1081" s="23" t="s">
        <v>6</v>
      </c>
    </row>
    <row r="1082" spans="1:12" ht="15.75">
      <c r="A1082" s="23">
        <f t="shared" si="17"/>
        <v>1081</v>
      </c>
      <c r="B1082" s="21">
        <f ca="1">Master[[#This Row],[ChecklistID]]+Master[[#This Row],[Checklist Order]]</f>
        <v>104004</v>
      </c>
      <c r="C1082" s="22"/>
      <c r="D1082" s="3" t="str" cm="1">
        <f t="array" aca="1" ref="D1082" ca="1">_xlfn.SWITCH(MID(Master[[#This Row],[Checklist]],1,4),"C - ","Civil","F - ","Foundation","ST -","Structure","FC -","Façade","PRE ","Pre-Line","POST","Post-Line","H - ","Handover","S - ","Services","CST ","Completion Docs", "I - ", "Inspection")</f>
        <v>Structure</v>
      </c>
      <c r="E10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2" s="24" t="str">
        <f ca="1">IF(OR(Master[[#This Row],[Type]]="checklist", Master[[#This Row],[Type]]="checklist-flat"), Master[[#This Row],[Name]], F1081)</f>
        <v>ST - S - Stair Installation</v>
      </c>
      <c r="G1082" s="34" t="s">
        <v>49</v>
      </c>
      <c r="H1082" s="34" t="s">
        <v>397</v>
      </c>
      <c r="I1082" s="35"/>
      <c r="J1082" s="21">
        <f ca="1">_xlfn.XLOOKUP(Master[[#This Row],[Checklist]],Ref!A:A,Ref!B:B)*1000</f>
        <v>104000</v>
      </c>
      <c r="K1082" s="21">
        <f ca="1">COUNTIF($J$2:Master[[#This Row],[ChecklistID]],Master[[#This Row],[ChecklistID]])-1</f>
        <v>4</v>
      </c>
      <c r="L1082" s="23" t="s">
        <v>6</v>
      </c>
    </row>
    <row r="1083" spans="1:12" ht="15.75">
      <c r="A1083" s="23">
        <f t="shared" si="17"/>
        <v>1082</v>
      </c>
      <c r="B1083" s="21">
        <f ca="1">Master[[#This Row],[ChecklistID]]+Master[[#This Row],[Checklist Order]]</f>
        <v>104005</v>
      </c>
      <c r="C1083" s="22"/>
      <c r="D1083" s="3" t="str" cm="1">
        <f t="array" aca="1" ref="D1083" ca="1">_xlfn.SWITCH(MID(Master[[#This Row],[Checklist]],1,4),"C - ","Civil","F - ","Foundation","ST -","Structure","FC -","Façade","PRE ","Pre-Line","POST","Post-Line","H - ","Handover","S - ","Services","CST ","Completion Docs", "I - ", "Inspection")</f>
        <v>Structure</v>
      </c>
      <c r="E10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3" s="24" t="str">
        <f ca="1">IF(OR(Master[[#This Row],[Type]]="checklist", Master[[#This Row],[Type]]="checklist-flat"), Master[[#This Row],[Name]], F1082)</f>
        <v>ST - S - Stair Installation</v>
      </c>
      <c r="G1083" s="34" t="s">
        <v>49</v>
      </c>
      <c r="H1083" s="34" t="s">
        <v>398</v>
      </c>
      <c r="I1083" s="35"/>
      <c r="J1083" s="21">
        <f ca="1">_xlfn.XLOOKUP(Master[[#This Row],[Checklist]],Ref!A:A,Ref!B:B)*1000</f>
        <v>104000</v>
      </c>
      <c r="K1083" s="21">
        <f ca="1">COUNTIF($J$2:Master[[#This Row],[ChecklistID]],Master[[#This Row],[ChecklistID]])-1</f>
        <v>5</v>
      </c>
      <c r="L1083" s="23" t="s">
        <v>6</v>
      </c>
    </row>
    <row r="1084" spans="1:12" ht="15.75">
      <c r="A1084" s="23">
        <f t="shared" si="17"/>
        <v>1083</v>
      </c>
      <c r="B1084" s="21">
        <f ca="1">Master[[#This Row],[ChecklistID]]+Master[[#This Row],[Checklist Order]]</f>
        <v>104006</v>
      </c>
      <c r="C1084" s="22"/>
      <c r="D1084" s="3" t="str" cm="1">
        <f t="array" aca="1" ref="D1084" ca="1">_xlfn.SWITCH(MID(Master[[#This Row],[Checklist]],1,4),"C - ","Civil","F - ","Foundation","ST -","Structure","FC -","Façade","PRE ","Pre-Line","POST","Post-Line","H - ","Handover","S - ","Services","CST ","Completion Docs", "I - ", "Inspection")</f>
        <v>Structure</v>
      </c>
      <c r="E10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4" s="24" t="str">
        <f ca="1">IF(OR(Master[[#This Row],[Type]]="checklist", Master[[#This Row],[Type]]="checklist-flat"), Master[[#This Row],[Name]], F1083)</f>
        <v>ST - S - Stair Installation</v>
      </c>
      <c r="G1084" s="34" t="s">
        <v>49</v>
      </c>
      <c r="H1084" s="34" t="s">
        <v>399</v>
      </c>
      <c r="I1084" s="35"/>
      <c r="J1084" s="21">
        <f ca="1">_xlfn.XLOOKUP(Master[[#This Row],[Checklist]],Ref!A:A,Ref!B:B)*1000</f>
        <v>104000</v>
      </c>
      <c r="K1084" s="21">
        <f ca="1">COUNTIF($J$2:Master[[#This Row],[ChecklistID]],Master[[#This Row],[ChecklistID]])-1</f>
        <v>6</v>
      </c>
      <c r="L1084" s="23" t="s">
        <v>6</v>
      </c>
    </row>
    <row r="1085" spans="1:12" ht="15.75">
      <c r="A1085" s="23">
        <f t="shared" si="17"/>
        <v>1084</v>
      </c>
      <c r="B1085" s="21">
        <f ca="1">Master[[#This Row],[ChecklistID]]+Master[[#This Row],[Checklist Order]]</f>
        <v>104007</v>
      </c>
      <c r="C1085" s="22"/>
      <c r="D1085" s="3" t="str" cm="1">
        <f t="array" aca="1" ref="D1085" ca="1">_xlfn.SWITCH(MID(Master[[#This Row],[Checklist]],1,4),"C - ","Civil","F - ","Foundation","ST -","Structure","FC -","Façade","PRE ","Pre-Line","POST","Post-Line","H - ","Handover","S - ","Services","CST ","Completion Docs", "I - ", "Inspection")</f>
        <v>Structure</v>
      </c>
      <c r="E10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5" s="24" t="str">
        <f ca="1">IF(OR(Master[[#This Row],[Type]]="checklist", Master[[#This Row],[Type]]="checklist-flat"), Master[[#This Row],[Name]], F1084)</f>
        <v>ST - S - Stair Installation</v>
      </c>
      <c r="G1085" s="34" t="s">
        <v>49</v>
      </c>
      <c r="H1085" s="34" t="s">
        <v>57</v>
      </c>
      <c r="I1085" s="35"/>
      <c r="J1085" s="21">
        <f ca="1">_xlfn.XLOOKUP(Master[[#This Row],[Checklist]],Ref!A:A,Ref!B:B)*1000</f>
        <v>104000</v>
      </c>
      <c r="K1085" s="21">
        <f ca="1">COUNTIF($J$2:Master[[#This Row],[ChecklistID]],Master[[#This Row],[ChecklistID]])-1</f>
        <v>7</v>
      </c>
      <c r="L1085" s="23" t="s">
        <v>6</v>
      </c>
    </row>
    <row r="1086" spans="1:12" ht="15.75">
      <c r="A1086" s="23">
        <f t="shared" si="17"/>
        <v>1085</v>
      </c>
      <c r="B1086" s="21">
        <f ca="1">Master[[#This Row],[ChecklistID]]+Master[[#This Row],[Checklist Order]]</f>
        <v>104008</v>
      </c>
      <c r="C1086" s="22"/>
      <c r="D1086" s="3" t="str" cm="1">
        <f t="array" aca="1" ref="D1086" ca="1">_xlfn.SWITCH(MID(Master[[#This Row],[Checklist]],1,4),"C - ","Civil","F - ","Foundation","ST -","Structure","FC -","Façade","PRE ","Pre-Line","POST","Post-Line","H - ","Handover","S - ","Services","CST ","Completion Docs", "I - ", "Inspection")</f>
        <v>Structure</v>
      </c>
      <c r="E10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6" s="24" t="str">
        <f ca="1">IF(OR(Master[[#This Row],[Type]]="checklist", Master[[#This Row],[Type]]="checklist-flat"), Master[[#This Row],[Name]], F1085)</f>
        <v>ST - S - Stair Installation</v>
      </c>
      <c r="G1086" s="34" t="s">
        <v>58</v>
      </c>
      <c r="H1086" s="34" t="s">
        <v>59</v>
      </c>
      <c r="I1086" s="35"/>
      <c r="J1086" s="21">
        <f ca="1">_xlfn.XLOOKUP(Master[[#This Row],[Checklist]],Ref!A:A,Ref!B:B)*1000</f>
        <v>104000</v>
      </c>
      <c r="K1086" s="21">
        <f ca="1">COUNTIF($J$2:Master[[#This Row],[ChecklistID]],Master[[#This Row],[ChecklistID]])-1</f>
        <v>8</v>
      </c>
      <c r="L1086" s="23" t="s">
        <v>6</v>
      </c>
    </row>
    <row r="1087" spans="1:12" ht="15.75">
      <c r="A1087" s="23">
        <f t="shared" si="17"/>
        <v>1086</v>
      </c>
      <c r="B1087" s="21">
        <f ca="1">Master[[#This Row],[ChecklistID]]+Master[[#This Row],[Checklist Order]]</f>
        <v>105000</v>
      </c>
      <c r="C1087" s="22"/>
      <c r="D1087" s="3" t="str" cm="1">
        <f t="array" aca="1" ref="D1087" ca="1">_xlfn.SWITCH(MID(Master[[#This Row],[Checklist]],1,4),"C - ","Civil","F - ","Foundation","ST -","Structure","FC -","Façade","PRE ","Pre-Line","POST","Post-Line","H - ","Handover","S - ","Services","CST ","Completion Docs", "I - ", "Inspection")</f>
        <v>Structure</v>
      </c>
      <c r="E10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7" s="24" t="str">
        <f ca="1">IF(OR(Master[[#This Row],[Type]]="checklist", Master[[#This Row],[Type]]="checklist-flat"), Master[[#This Row],[Name]], F1086)</f>
        <v>ST - S - Structural Steel Installation</v>
      </c>
      <c r="G1087" s="34" t="s">
        <v>119</v>
      </c>
      <c r="H1087" s="34" t="s">
        <v>400</v>
      </c>
      <c r="I1087" s="35"/>
      <c r="J1087" s="21">
        <f ca="1">_xlfn.XLOOKUP(Master[[#This Row],[Checklist]],Ref!A:A,Ref!B:B)*1000</f>
        <v>105000</v>
      </c>
      <c r="K1087" s="21">
        <f ca="1">COUNTIF($J$2:Master[[#This Row],[ChecklistID]],Master[[#This Row],[ChecklistID]])-1</f>
        <v>0</v>
      </c>
      <c r="L1087" s="23" t="s">
        <v>6</v>
      </c>
    </row>
    <row r="1088" spans="1:12" ht="15.75">
      <c r="A1088" s="23">
        <f t="shared" si="17"/>
        <v>1087</v>
      </c>
      <c r="B1088" s="21">
        <f ca="1">Master[[#This Row],[ChecklistID]]+Master[[#This Row],[Checklist Order]]</f>
        <v>105001</v>
      </c>
      <c r="C1088" s="22"/>
      <c r="D1088" s="3" t="str" cm="1">
        <f t="array" aca="1" ref="D1088" ca="1">_xlfn.SWITCH(MID(Master[[#This Row],[Checklist]],1,4),"C - ","Civil","F - ","Foundation","ST -","Structure","FC -","Façade","PRE ","Pre-Line","POST","Post-Line","H - ","Handover","S - ","Services","CST ","Completion Docs", "I - ", "Inspection")</f>
        <v>Structure</v>
      </c>
      <c r="E10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8" s="24" t="str">
        <f ca="1">IF(OR(Master[[#This Row],[Type]]="checklist", Master[[#This Row],[Type]]="checklist-flat"), Master[[#This Row],[Name]], F1087)</f>
        <v>ST - S - Structural Steel Installation</v>
      </c>
      <c r="G1088" s="34" t="s">
        <v>120</v>
      </c>
      <c r="H1088" s="34" t="s">
        <v>360</v>
      </c>
      <c r="I1088" s="35"/>
      <c r="J1088" s="21">
        <f ca="1">_xlfn.XLOOKUP(Master[[#This Row],[Checklist]],Ref!A:A,Ref!B:B)*1000</f>
        <v>105000</v>
      </c>
      <c r="K1088" s="21">
        <f ca="1">COUNTIF($J$2:Master[[#This Row],[ChecklistID]],Master[[#This Row],[ChecklistID]])-1</f>
        <v>1</v>
      </c>
      <c r="L1088" s="23" t="s">
        <v>6</v>
      </c>
    </row>
    <row r="1089" spans="1:12" ht="15.75">
      <c r="A1089" s="23">
        <f t="shared" si="17"/>
        <v>1088</v>
      </c>
      <c r="B1089" s="21">
        <f ca="1">Master[[#This Row],[ChecklistID]]+Master[[#This Row],[Checklist Order]]</f>
        <v>105002</v>
      </c>
      <c r="C1089" s="22"/>
      <c r="D1089" s="3" t="str" cm="1">
        <f t="array" aca="1" ref="D1089" ca="1">_xlfn.SWITCH(MID(Master[[#This Row],[Checklist]],1,4),"C - ","Civil","F - ","Foundation","ST -","Structure","FC -","Façade","PRE ","Pre-Line","POST","Post-Line","H - ","Handover","S - ","Services","CST ","Completion Docs", "I - ", "Inspection")</f>
        <v>Structure</v>
      </c>
      <c r="E10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89" s="24" t="str">
        <f ca="1">IF(OR(Master[[#This Row],[Type]]="checklist", Master[[#This Row],[Type]]="checklist-flat"), Master[[#This Row],[Name]], F1088)</f>
        <v>ST - S - Structural Steel Installation</v>
      </c>
      <c r="G1089" s="34" t="s">
        <v>49</v>
      </c>
      <c r="H1089" s="34" t="s">
        <v>373</v>
      </c>
      <c r="I1089" s="35"/>
      <c r="J1089" s="21">
        <f ca="1">_xlfn.XLOOKUP(Master[[#This Row],[Checklist]],Ref!A:A,Ref!B:B)*1000</f>
        <v>105000</v>
      </c>
      <c r="K1089" s="21">
        <f ca="1">COUNTIF($J$2:Master[[#This Row],[ChecklistID]],Master[[#This Row],[ChecklistID]])-1</f>
        <v>2</v>
      </c>
      <c r="L1089" s="23" t="s">
        <v>6</v>
      </c>
    </row>
    <row r="1090" spans="1:12" ht="15.75">
      <c r="A1090" s="23">
        <f t="shared" si="17"/>
        <v>1089</v>
      </c>
      <c r="B1090" s="21">
        <f ca="1">Master[[#This Row],[ChecklistID]]+Master[[#This Row],[Checklist Order]]</f>
        <v>105003</v>
      </c>
      <c r="C1090" s="22"/>
      <c r="D1090" s="3" t="str" cm="1">
        <f t="array" aca="1" ref="D1090" ca="1">_xlfn.SWITCH(MID(Master[[#This Row],[Checklist]],1,4),"C - ","Civil","F - ","Foundation","ST -","Structure","FC -","Façade","PRE ","Pre-Line","POST","Post-Line","H - ","Handover","S - ","Services","CST ","Completion Docs", "I - ", "Inspection")</f>
        <v>Structure</v>
      </c>
      <c r="E10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0" s="24" t="str">
        <f ca="1">IF(OR(Master[[#This Row],[Type]]="checklist", Master[[#This Row],[Type]]="checklist-flat"), Master[[#This Row],[Name]], F1089)</f>
        <v>ST - S - Structural Steel Installation</v>
      </c>
      <c r="G1090" s="34" t="s">
        <v>49</v>
      </c>
      <c r="H1090" s="34" t="s">
        <v>374</v>
      </c>
      <c r="I1090" s="35"/>
      <c r="J1090" s="21">
        <f ca="1">_xlfn.XLOOKUP(Master[[#This Row],[Checklist]],Ref!A:A,Ref!B:B)*1000</f>
        <v>105000</v>
      </c>
      <c r="K1090" s="21">
        <f ca="1">COUNTIF($J$2:Master[[#This Row],[ChecklistID]],Master[[#This Row],[ChecklistID]])-1</f>
        <v>3</v>
      </c>
      <c r="L1090" s="23" t="s">
        <v>6</v>
      </c>
    </row>
    <row r="1091" spans="1:12" ht="15.75">
      <c r="A1091" s="23">
        <f t="shared" si="17"/>
        <v>1090</v>
      </c>
      <c r="B1091" s="21">
        <f ca="1">Master[[#This Row],[ChecklistID]]+Master[[#This Row],[Checklist Order]]</f>
        <v>105004</v>
      </c>
      <c r="C1091" s="22"/>
      <c r="D1091" s="3" t="str" cm="1">
        <f t="array" aca="1" ref="D1091" ca="1">_xlfn.SWITCH(MID(Master[[#This Row],[Checklist]],1,4),"C - ","Civil","F - ","Foundation","ST -","Structure","FC -","Façade","PRE ","Pre-Line","POST","Post-Line","H - ","Handover","S - ","Services","CST ","Completion Docs", "I - ", "Inspection")</f>
        <v>Structure</v>
      </c>
      <c r="E10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1" s="24" t="str">
        <f ca="1">IF(OR(Master[[#This Row],[Type]]="checklist", Master[[#This Row],[Type]]="checklist-flat"), Master[[#This Row],[Name]], F1090)</f>
        <v>ST - S - Structural Steel Installation</v>
      </c>
      <c r="G1091" s="34" t="s">
        <v>120</v>
      </c>
      <c r="H1091" s="34" t="s">
        <v>366</v>
      </c>
      <c r="I1091" s="35"/>
      <c r="J1091" s="21">
        <f ca="1">_xlfn.XLOOKUP(Master[[#This Row],[Checklist]],Ref!A:A,Ref!B:B)*1000</f>
        <v>105000</v>
      </c>
      <c r="K1091" s="21">
        <f ca="1">COUNTIF($J$2:Master[[#This Row],[ChecklistID]],Master[[#This Row],[ChecklistID]])-1</f>
        <v>4</v>
      </c>
      <c r="L1091" s="23" t="s">
        <v>6</v>
      </c>
    </row>
    <row r="1092" spans="1:12" ht="15.75">
      <c r="A1092" s="23">
        <f t="shared" si="17"/>
        <v>1091</v>
      </c>
      <c r="B1092" s="21">
        <f ca="1">Master[[#This Row],[ChecklistID]]+Master[[#This Row],[Checklist Order]]</f>
        <v>105005</v>
      </c>
      <c r="C1092" s="22"/>
      <c r="D1092" s="3" t="str" cm="1">
        <f t="array" aca="1" ref="D1092" ca="1">_xlfn.SWITCH(MID(Master[[#This Row],[Checklist]],1,4),"C - ","Civil","F - ","Foundation","ST -","Structure","FC -","Façade","PRE ","Pre-Line","POST","Post-Line","H - ","Handover","S - ","Services","CST ","Completion Docs", "I - ", "Inspection")</f>
        <v>Structure</v>
      </c>
      <c r="E10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2" s="24" t="str">
        <f ca="1">IF(OR(Master[[#This Row],[Type]]="checklist", Master[[#This Row],[Type]]="checklist-flat"), Master[[#This Row],[Name]], F1091)</f>
        <v>ST - S - Structural Steel Installation</v>
      </c>
      <c r="G1092" s="34" t="s">
        <v>49</v>
      </c>
      <c r="H1092" s="34" t="s">
        <v>375</v>
      </c>
      <c r="I1092" s="35"/>
      <c r="J1092" s="21">
        <f ca="1">_xlfn.XLOOKUP(Master[[#This Row],[Checklist]],Ref!A:A,Ref!B:B)*1000</f>
        <v>105000</v>
      </c>
      <c r="K1092" s="21">
        <f ca="1">COUNTIF($J$2:Master[[#This Row],[ChecklistID]],Master[[#This Row],[ChecklistID]])-1</f>
        <v>5</v>
      </c>
      <c r="L1092" s="23" t="s">
        <v>6</v>
      </c>
    </row>
    <row r="1093" spans="1:12" ht="15.75">
      <c r="A1093" s="23">
        <f t="shared" si="17"/>
        <v>1092</v>
      </c>
      <c r="B1093" s="21">
        <f ca="1">Master[[#This Row],[ChecklistID]]+Master[[#This Row],[Checklist Order]]</f>
        <v>105006</v>
      </c>
      <c r="C1093" s="22"/>
      <c r="D1093" s="3" t="str" cm="1">
        <f t="array" aca="1" ref="D1093" ca="1">_xlfn.SWITCH(MID(Master[[#This Row],[Checklist]],1,4),"C - ","Civil","F - ","Foundation","ST -","Structure","FC -","Façade","PRE ","Pre-Line","POST","Post-Line","H - ","Handover","S - ","Services","CST ","Completion Docs", "I - ", "Inspection")</f>
        <v>Structure</v>
      </c>
      <c r="E10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3" s="24" t="str">
        <f ca="1">IF(OR(Master[[#This Row],[Type]]="checklist", Master[[#This Row],[Type]]="checklist-flat"), Master[[#This Row],[Name]], F1092)</f>
        <v>ST - S - Structural Steel Installation</v>
      </c>
      <c r="G1093" s="34" t="s">
        <v>49</v>
      </c>
      <c r="H1093" s="34" t="s">
        <v>376</v>
      </c>
      <c r="I1093" s="35"/>
      <c r="J1093" s="21">
        <f ca="1">_xlfn.XLOOKUP(Master[[#This Row],[Checklist]],Ref!A:A,Ref!B:B)*1000</f>
        <v>105000</v>
      </c>
      <c r="K1093" s="21">
        <f ca="1">COUNTIF($J$2:Master[[#This Row],[ChecklistID]],Master[[#This Row],[ChecklistID]])-1</f>
        <v>6</v>
      </c>
      <c r="L1093" s="23" t="s">
        <v>6</v>
      </c>
    </row>
    <row r="1094" spans="1:12" ht="15.75">
      <c r="A1094" s="23">
        <f t="shared" si="17"/>
        <v>1093</v>
      </c>
      <c r="B1094" s="21">
        <f ca="1">Master[[#This Row],[ChecklistID]]+Master[[#This Row],[Checklist Order]]</f>
        <v>105007</v>
      </c>
      <c r="C1094" s="22"/>
      <c r="D1094" s="3" t="str" cm="1">
        <f t="array" aca="1" ref="D1094" ca="1">_xlfn.SWITCH(MID(Master[[#This Row],[Checklist]],1,4),"C - ","Civil","F - ","Foundation","ST -","Structure","FC -","Façade","PRE ","Pre-Line","POST","Post-Line","H - ","Handover","S - ","Services","CST ","Completion Docs", "I - ", "Inspection")</f>
        <v>Structure</v>
      </c>
      <c r="E10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4" s="24" t="str">
        <f ca="1">IF(OR(Master[[#This Row],[Type]]="checklist", Master[[#This Row],[Type]]="checklist-flat"), Master[[#This Row],[Name]], F1093)</f>
        <v>ST - S - Structural Steel Installation</v>
      </c>
      <c r="G1094" s="34" t="s">
        <v>49</v>
      </c>
      <c r="H1094" s="34" t="s">
        <v>377</v>
      </c>
      <c r="I1094" s="35"/>
      <c r="J1094" s="21">
        <f ca="1">_xlfn.XLOOKUP(Master[[#This Row],[Checklist]],Ref!A:A,Ref!B:B)*1000</f>
        <v>105000</v>
      </c>
      <c r="K1094" s="21">
        <f ca="1">COUNTIF($J$2:Master[[#This Row],[ChecklistID]],Master[[#This Row],[ChecklistID]])-1</f>
        <v>7</v>
      </c>
      <c r="L1094" s="23" t="s">
        <v>6</v>
      </c>
    </row>
    <row r="1095" spans="1:12" ht="15.75">
      <c r="A1095" s="23">
        <f t="shared" si="17"/>
        <v>1094</v>
      </c>
      <c r="B1095" s="21">
        <f ca="1">Master[[#This Row],[ChecklistID]]+Master[[#This Row],[Checklist Order]]</f>
        <v>105008</v>
      </c>
      <c r="C1095" s="22"/>
      <c r="D1095" s="3" t="str" cm="1">
        <f t="array" aca="1" ref="D1095" ca="1">_xlfn.SWITCH(MID(Master[[#This Row],[Checklist]],1,4),"C - ","Civil","F - ","Foundation","ST -","Structure","FC -","Façade","PRE ","Pre-Line","POST","Post-Line","H - ","Handover","S - ","Services","CST ","Completion Docs", "I - ", "Inspection")</f>
        <v>Structure</v>
      </c>
      <c r="E10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5" s="24" t="str">
        <f ca="1">IF(OR(Master[[#This Row],[Type]]="checklist", Master[[#This Row],[Type]]="checklist-flat"), Master[[#This Row],[Name]], F1094)</f>
        <v>ST - S - Structural Steel Installation</v>
      </c>
      <c r="G1095" s="34" t="s">
        <v>49</v>
      </c>
      <c r="H1095" s="34" t="s">
        <v>1694</v>
      </c>
      <c r="I1095" s="35"/>
      <c r="J1095" s="21">
        <f ca="1">_xlfn.XLOOKUP(Master[[#This Row],[Checklist]],Ref!A:A,Ref!B:B)*1000</f>
        <v>105000</v>
      </c>
      <c r="K1095" s="21">
        <f ca="1">COUNTIF($J$2:Master[[#This Row],[ChecklistID]],Master[[#This Row],[ChecklistID]])-1</f>
        <v>8</v>
      </c>
      <c r="L1095" s="23" t="s">
        <v>6</v>
      </c>
    </row>
    <row r="1096" spans="1:12" ht="15.75">
      <c r="A1096" s="23">
        <f t="shared" si="17"/>
        <v>1095</v>
      </c>
      <c r="B1096" s="21">
        <f ca="1">Master[[#This Row],[ChecklistID]]+Master[[#This Row],[Checklist Order]]</f>
        <v>105009</v>
      </c>
      <c r="C1096" s="22"/>
      <c r="D1096" s="3" t="str" cm="1">
        <f t="array" aca="1" ref="D1096" ca="1">_xlfn.SWITCH(MID(Master[[#This Row],[Checklist]],1,4),"C - ","Civil","F - ","Foundation","ST -","Structure","FC -","Façade","PRE ","Pre-Line","POST","Post-Line","H - ","Handover","S - ","Services","CST ","Completion Docs", "I - ", "Inspection")</f>
        <v>Structure</v>
      </c>
      <c r="E10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6" s="24" t="str">
        <f ca="1">IF(OR(Master[[#This Row],[Type]]="checklist", Master[[#This Row],[Type]]="checklist-flat"), Master[[#This Row],[Name]], F1095)</f>
        <v>ST - S - Structural Steel Installation</v>
      </c>
      <c r="G1096" s="34" t="s">
        <v>49</v>
      </c>
      <c r="H1096" s="34" t="s">
        <v>379</v>
      </c>
      <c r="I1096" s="35"/>
      <c r="J1096" s="21">
        <f ca="1">_xlfn.XLOOKUP(Master[[#This Row],[Checklist]],Ref!A:A,Ref!B:B)*1000</f>
        <v>105000</v>
      </c>
      <c r="K1096" s="21">
        <f ca="1">COUNTIF($J$2:Master[[#This Row],[ChecklistID]],Master[[#This Row],[ChecklistID]])-1</f>
        <v>9</v>
      </c>
      <c r="L1096" s="23" t="s">
        <v>6</v>
      </c>
    </row>
    <row r="1097" spans="1:12" ht="15.75">
      <c r="A1097" s="23">
        <f t="shared" si="17"/>
        <v>1096</v>
      </c>
      <c r="B1097" s="21">
        <f ca="1">Master[[#This Row],[ChecklistID]]+Master[[#This Row],[Checklist Order]]</f>
        <v>105010</v>
      </c>
      <c r="C1097" s="22"/>
      <c r="D1097" s="3" t="str" cm="1">
        <f t="array" aca="1" ref="D1097" ca="1">_xlfn.SWITCH(MID(Master[[#This Row],[Checklist]],1,4),"C - ","Civil","F - ","Foundation","ST -","Structure","FC -","Façade","PRE ","Pre-Line","POST","Post-Line","H - ","Handover","S - ","Services","CST ","Completion Docs", "I - ", "Inspection")</f>
        <v>Structure</v>
      </c>
      <c r="E10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7" s="24" t="str">
        <f ca="1">IF(OR(Master[[#This Row],[Type]]="checklist", Master[[#This Row],[Type]]="checklist-flat"), Master[[#This Row],[Name]], F1096)</f>
        <v>ST - S - Structural Steel Installation</v>
      </c>
      <c r="G1097" s="34" t="s">
        <v>49</v>
      </c>
      <c r="H1097" s="34" t="s">
        <v>380</v>
      </c>
      <c r="I1097" s="35"/>
      <c r="J1097" s="21">
        <f ca="1">_xlfn.XLOOKUP(Master[[#This Row],[Checklist]],Ref!A:A,Ref!B:B)*1000</f>
        <v>105000</v>
      </c>
      <c r="K1097" s="21">
        <f ca="1">COUNTIF($J$2:Master[[#This Row],[ChecklistID]],Master[[#This Row],[ChecklistID]])-1</f>
        <v>10</v>
      </c>
      <c r="L1097" s="23" t="s">
        <v>6</v>
      </c>
    </row>
    <row r="1098" spans="1:12" ht="15.75">
      <c r="A1098" s="23">
        <f t="shared" si="17"/>
        <v>1097</v>
      </c>
      <c r="B1098" s="21">
        <f ca="1">Master[[#This Row],[ChecklistID]]+Master[[#This Row],[Checklist Order]]</f>
        <v>105011</v>
      </c>
      <c r="C1098" s="22"/>
      <c r="D1098" s="3" t="str" cm="1">
        <f t="array" aca="1" ref="D1098" ca="1">_xlfn.SWITCH(MID(Master[[#This Row],[Checklist]],1,4),"C - ","Civil","F - ","Foundation","ST -","Structure","FC -","Façade","PRE ","Pre-Line","POST","Post-Line","H - ","Handover","S - ","Services","CST ","Completion Docs", "I - ", "Inspection")</f>
        <v>Structure</v>
      </c>
      <c r="E10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8" s="24" t="str">
        <f ca="1">IF(OR(Master[[#This Row],[Type]]="checklist", Master[[#This Row],[Type]]="checklist-flat"), Master[[#This Row],[Name]], F1097)</f>
        <v>ST - S - Structural Steel Installation</v>
      </c>
      <c r="G1098" s="34" t="s">
        <v>120</v>
      </c>
      <c r="H1098" s="34" t="s">
        <v>401</v>
      </c>
      <c r="I1098" s="35"/>
      <c r="J1098" s="21">
        <f ca="1">_xlfn.XLOOKUP(Master[[#This Row],[Checklist]],Ref!A:A,Ref!B:B)*1000</f>
        <v>105000</v>
      </c>
      <c r="K1098" s="21">
        <f ca="1">COUNTIF($J$2:Master[[#This Row],[ChecklistID]],Master[[#This Row],[ChecklistID]])-1</f>
        <v>11</v>
      </c>
      <c r="L1098" s="23" t="s">
        <v>6</v>
      </c>
    </row>
    <row r="1099" spans="1:12" ht="15.75">
      <c r="A1099" s="23">
        <f t="shared" si="17"/>
        <v>1098</v>
      </c>
      <c r="B1099" s="21">
        <f ca="1">Master[[#This Row],[ChecklistID]]+Master[[#This Row],[Checklist Order]]</f>
        <v>105012</v>
      </c>
      <c r="C1099" s="22"/>
      <c r="D1099" s="3" t="str" cm="1">
        <f t="array" aca="1" ref="D1099" ca="1">_xlfn.SWITCH(MID(Master[[#This Row],[Checklist]],1,4),"C - ","Civil","F - ","Foundation","ST -","Structure","FC -","Façade","PRE ","Pre-Line","POST","Post-Line","H - ","Handover","S - ","Services","CST ","Completion Docs", "I - ", "Inspection")</f>
        <v>Structure</v>
      </c>
      <c r="E10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099" s="24" t="str">
        <f ca="1">IF(OR(Master[[#This Row],[Type]]="checklist", Master[[#This Row],[Type]]="checklist-flat"), Master[[#This Row],[Name]], F1098)</f>
        <v>ST - S - Structural Steel Installation</v>
      </c>
      <c r="G1099" s="34" t="s">
        <v>49</v>
      </c>
      <c r="H1099" s="34" t="s">
        <v>402</v>
      </c>
      <c r="I1099" s="35"/>
      <c r="J1099" s="21">
        <f ca="1">_xlfn.XLOOKUP(Master[[#This Row],[Checklist]],Ref!A:A,Ref!B:B)*1000</f>
        <v>105000</v>
      </c>
      <c r="K1099" s="21">
        <f ca="1">COUNTIF($J$2:Master[[#This Row],[ChecklistID]],Master[[#This Row],[ChecklistID]])-1</f>
        <v>12</v>
      </c>
      <c r="L1099" s="23" t="s">
        <v>6</v>
      </c>
    </row>
    <row r="1100" spans="1:12" ht="15.75">
      <c r="A1100" s="23">
        <f t="shared" si="17"/>
        <v>1099</v>
      </c>
      <c r="B1100" s="21">
        <f ca="1">Master[[#This Row],[ChecklistID]]+Master[[#This Row],[Checklist Order]]</f>
        <v>105013</v>
      </c>
      <c r="C1100" s="22"/>
      <c r="D1100" s="3" t="str" cm="1">
        <f t="array" aca="1" ref="D1100" ca="1">_xlfn.SWITCH(MID(Master[[#This Row],[Checklist]],1,4),"C - ","Civil","F - ","Foundation","ST -","Structure","FC -","Façade","PRE ","Pre-Line","POST","Post-Line","H - ","Handover","S - ","Services","CST ","Completion Docs", "I - ", "Inspection")</f>
        <v>Structure</v>
      </c>
      <c r="E11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0" s="24" t="str">
        <f ca="1">IF(OR(Master[[#This Row],[Type]]="checklist", Master[[#This Row],[Type]]="checklist-flat"), Master[[#This Row],[Name]], F1099)</f>
        <v>ST - S - Structural Steel Installation</v>
      </c>
      <c r="G1100" s="34" t="s">
        <v>49</v>
      </c>
      <c r="H1100" s="34" t="s">
        <v>403</v>
      </c>
      <c r="I1100" s="35"/>
      <c r="J1100" s="21">
        <f ca="1">_xlfn.XLOOKUP(Master[[#This Row],[Checklist]],Ref!A:A,Ref!B:B)*1000</f>
        <v>105000</v>
      </c>
      <c r="K1100" s="21">
        <f ca="1">COUNTIF($J$2:Master[[#This Row],[ChecklistID]],Master[[#This Row],[ChecklistID]])-1</f>
        <v>13</v>
      </c>
      <c r="L1100" s="23" t="s">
        <v>6</v>
      </c>
    </row>
    <row r="1101" spans="1:12" ht="15.75">
      <c r="A1101" s="23">
        <f t="shared" si="17"/>
        <v>1100</v>
      </c>
      <c r="B1101" s="21">
        <f ca="1">Master[[#This Row],[ChecklistID]]+Master[[#This Row],[Checklist Order]]</f>
        <v>105014</v>
      </c>
      <c r="C1101" s="22"/>
      <c r="D1101" s="3" t="str" cm="1">
        <f t="array" aca="1" ref="D1101" ca="1">_xlfn.SWITCH(MID(Master[[#This Row],[Checklist]],1,4),"C - ","Civil","F - ","Foundation","ST -","Structure","FC -","Façade","PRE ","Pre-Line","POST","Post-Line","H - ","Handover","S - ","Services","CST ","Completion Docs", "I - ", "Inspection")</f>
        <v>Structure</v>
      </c>
      <c r="E11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1" s="24" t="str">
        <f ca="1">IF(OR(Master[[#This Row],[Type]]="checklist", Master[[#This Row],[Type]]="checklist-flat"), Master[[#This Row],[Name]], F1100)</f>
        <v>ST - S - Structural Steel Installation</v>
      </c>
      <c r="G1101" s="34" t="s">
        <v>66</v>
      </c>
      <c r="H1101" s="34" t="s">
        <v>404</v>
      </c>
      <c r="I1101" s="35"/>
      <c r="J1101" s="21">
        <f ca="1">_xlfn.XLOOKUP(Master[[#This Row],[Checklist]],Ref!A:A,Ref!B:B)*1000</f>
        <v>105000</v>
      </c>
      <c r="K1101" s="21">
        <f ca="1">COUNTIF($J$2:Master[[#This Row],[ChecklistID]],Master[[#This Row],[ChecklistID]])-1</f>
        <v>14</v>
      </c>
      <c r="L1101" s="23" t="s">
        <v>6</v>
      </c>
    </row>
    <row r="1102" spans="1:12" ht="15.75">
      <c r="A1102" s="23">
        <f t="shared" si="17"/>
        <v>1101</v>
      </c>
      <c r="B1102" s="21">
        <f ca="1">Master[[#This Row],[ChecklistID]]+Master[[#This Row],[Checklist Order]]</f>
        <v>105015</v>
      </c>
      <c r="C1102" s="22"/>
      <c r="D1102" s="3" t="str" cm="1">
        <f t="array" aca="1" ref="D1102" ca="1">_xlfn.SWITCH(MID(Master[[#This Row],[Checklist]],1,4),"C - ","Civil","F - ","Foundation","ST -","Structure","FC -","Façade","PRE ","Pre-Line","POST","Post-Line","H - ","Handover","S - ","Services","CST ","Completion Docs", "I - ", "Inspection")</f>
        <v>Structure</v>
      </c>
      <c r="E11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2" s="24" t="str">
        <f ca="1">IF(OR(Master[[#This Row],[Type]]="checklist", Master[[#This Row],[Type]]="checklist-flat"), Master[[#This Row],[Name]], F1101)</f>
        <v>ST - S - Structural Steel Installation</v>
      </c>
      <c r="G1102" s="34" t="s">
        <v>66</v>
      </c>
      <c r="H1102" s="34" t="s">
        <v>405</v>
      </c>
      <c r="I1102" s="35"/>
      <c r="J1102" s="21">
        <f ca="1">_xlfn.XLOOKUP(Master[[#This Row],[Checklist]],Ref!A:A,Ref!B:B)*1000</f>
        <v>105000</v>
      </c>
      <c r="K1102" s="21">
        <f ca="1">COUNTIF($J$2:Master[[#This Row],[ChecklistID]],Master[[#This Row],[ChecklistID]])-1</f>
        <v>15</v>
      </c>
      <c r="L1102" s="23" t="s">
        <v>6</v>
      </c>
    </row>
    <row r="1103" spans="1:12" ht="15.75">
      <c r="A1103" s="23">
        <f t="shared" si="17"/>
        <v>1102</v>
      </c>
      <c r="B1103" s="21">
        <f ca="1">Master[[#This Row],[ChecklistID]]+Master[[#This Row],[Checklist Order]]</f>
        <v>105016</v>
      </c>
      <c r="C1103" s="22"/>
      <c r="D1103" s="3" t="str" cm="1">
        <f t="array" aca="1" ref="D1103" ca="1">_xlfn.SWITCH(MID(Master[[#This Row],[Checklist]],1,4),"C - ","Civil","F - ","Foundation","ST -","Structure","FC -","Façade","PRE ","Pre-Line","POST","Post-Line","H - ","Handover","S - ","Services","CST ","Completion Docs", "I - ", "Inspection")</f>
        <v>Structure</v>
      </c>
      <c r="E11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3" s="24" t="str">
        <f ca="1">IF(OR(Master[[#This Row],[Type]]="checklist", Master[[#This Row],[Type]]="checklist-flat"), Master[[#This Row],[Name]], F1102)</f>
        <v>ST - S - Structural Steel Installation</v>
      </c>
      <c r="G1103" s="34" t="s">
        <v>66</v>
      </c>
      <c r="H1103" s="34" t="s">
        <v>406</v>
      </c>
      <c r="I1103" s="35"/>
      <c r="J1103" s="21">
        <f ca="1">_xlfn.XLOOKUP(Master[[#This Row],[Checklist]],Ref!A:A,Ref!B:B)*1000</f>
        <v>105000</v>
      </c>
      <c r="K1103" s="21">
        <f ca="1">COUNTIF($J$2:Master[[#This Row],[ChecklistID]],Master[[#This Row],[ChecklistID]])-1</f>
        <v>16</v>
      </c>
      <c r="L1103" s="23" t="s">
        <v>6</v>
      </c>
    </row>
    <row r="1104" spans="1:12" ht="15.75">
      <c r="A1104" s="23">
        <f t="shared" si="17"/>
        <v>1103</v>
      </c>
      <c r="B1104" s="21">
        <f ca="1">Master[[#This Row],[ChecklistID]]+Master[[#This Row],[Checklist Order]]</f>
        <v>105017</v>
      </c>
      <c r="C1104" s="22"/>
      <c r="D1104" s="3" t="str" cm="1">
        <f t="array" aca="1" ref="D1104" ca="1">_xlfn.SWITCH(MID(Master[[#This Row],[Checklist]],1,4),"C - ","Civil","F - ","Foundation","ST -","Structure","FC -","Façade","PRE ","Pre-Line","POST","Post-Line","H - ","Handover","S - ","Services","CST ","Completion Docs", "I - ", "Inspection")</f>
        <v>Structure</v>
      </c>
      <c r="E11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4" s="24" t="str">
        <f ca="1">IF(OR(Master[[#This Row],[Type]]="checklist", Master[[#This Row],[Type]]="checklist-flat"), Master[[#This Row],[Name]], F1103)</f>
        <v>ST - S - Structural Steel Installation</v>
      </c>
      <c r="G1104" s="34" t="s">
        <v>66</v>
      </c>
      <c r="H1104" s="34" t="s">
        <v>407</v>
      </c>
      <c r="I1104" s="35"/>
      <c r="J1104" s="21">
        <f ca="1">_xlfn.XLOOKUP(Master[[#This Row],[Checklist]],Ref!A:A,Ref!B:B)*1000</f>
        <v>105000</v>
      </c>
      <c r="K1104" s="21">
        <f ca="1">COUNTIF($J$2:Master[[#This Row],[ChecklistID]],Master[[#This Row],[ChecklistID]])-1</f>
        <v>17</v>
      </c>
      <c r="L1104" s="23" t="s">
        <v>6</v>
      </c>
    </row>
    <row r="1105" spans="1:12" ht="15.75">
      <c r="A1105" s="23">
        <f t="shared" si="17"/>
        <v>1104</v>
      </c>
      <c r="B1105" s="21">
        <f ca="1">Master[[#This Row],[ChecklistID]]+Master[[#This Row],[Checklist Order]]</f>
        <v>105018</v>
      </c>
      <c r="C1105" s="22"/>
      <c r="D1105" s="3" t="str" cm="1">
        <f t="array" aca="1" ref="D1105" ca="1">_xlfn.SWITCH(MID(Master[[#This Row],[Checklist]],1,4),"C - ","Civil","F - ","Foundation","ST -","Structure","FC -","Façade","PRE ","Pre-Line","POST","Post-Line","H - ","Handover","S - ","Services","CST ","Completion Docs", "I - ", "Inspection")</f>
        <v>Structure</v>
      </c>
      <c r="E11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5" s="24" t="str">
        <f ca="1">IF(OR(Master[[#This Row],[Type]]="checklist", Master[[#This Row],[Type]]="checklist-flat"), Master[[#This Row],[Name]], F1104)</f>
        <v>ST - S - Structural Steel Installation</v>
      </c>
      <c r="G1105" s="34" t="s">
        <v>49</v>
      </c>
      <c r="H1105" s="34" t="s">
        <v>408</v>
      </c>
      <c r="I1105" s="35"/>
      <c r="J1105" s="21">
        <f ca="1">_xlfn.XLOOKUP(Master[[#This Row],[Checklist]],Ref!A:A,Ref!B:B)*1000</f>
        <v>105000</v>
      </c>
      <c r="K1105" s="21">
        <f ca="1">COUNTIF($J$2:Master[[#This Row],[ChecklistID]],Master[[#This Row],[ChecklistID]])-1</f>
        <v>18</v>
      </c>
      <c r="L1105" s="23" t="s">
        <v>6</v>
      </c>
    </row>
    <row r="1106" spans="1:12" ht="15.75">
      <c r="A1106" s="23">
        <f t="shared" si="17"/>
        <v>1105</v>
      </c>
      <c r="B1106" s="21">
        <f ca="1">Master[[#This Row],[ChecklistID]]+Master[[#This Row],[Checklist Order]]</f>
        <v>105019</v>
      </c>
      <c r="C1106" s="22"/>
      <c r="D1106" s="3" t="str" cm="1">
        <f t="array" aca="1" ref="D1106" ca="1">_xlfn.SWITCH(MID(Master[[#This Row],[Checklist]],1,4),"C - ","Civil","F - ","Foundation","ST -","Structure","FC -","Façade","PRE ","Pre-Line","POST","Post-Line","H - ","Handover","S - ","Services","CST ","Completion Docs", "I - ", "Inspection")</f>
        <v>Structure</v>
      </c>
      <c r="E11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6" s="24" t="str">
        <f ca="1">IF(OR(Master[[#This Row],[Type]]="checklist", Master[[#This Row],[Type]]="checklist-flat"), Master[[#This Row],[Name]], F1105)</f>
        <v>ST - S - Structural Steel Installation</v>
      </c>
      <c r="G1106" s="34" t="s">
        <v>49</v>
      </c>
      <c r="H1106" s="34" t="s">
        <v>409</v>
      </c>
      <c r="I1106" s="35"/>
      <c r="J1106" s="21">
        <f ca="1">_xlfn.XLOOKUP(Master[[#This Row],[Checklist]],Ref!A:A,Ref!B:B)*1000</f>
        <v>105000</v>
      </c>
      <c r="K1106" s="21">
        <f ca="1">COUNTIF($J$2:Master[[#This Row],[ChecklistID]],Master[[#This Row],[ChecklistID]])-1</f>
        <v>19</v>
      </c>
      <c r="L1106" s="23" t="s">
        <v>6</v>
      </c>
    </row>
    <row r="1107" spans="1:12" ht="15.75">
      <c r="A1107" s="23">
        <f t="shared" si="17"/>
        <v>1106</v>
      </c>
      <c r="B1107" s="21">
        <f ca="1">Master[[#This Row],[ChecklistID]]+Master[[#This Row],[Checklist Order]]</f>
        <v>105020</v>
      </c>
      <c r="C1107" s="22"/>
      <c r="D1107" s="3" t="str" cm="1">
        <f t="array" aca="1" ref="D1107" ca="1">_xlfn.SWITCH(MID(Master[[#This Row],[Checklist]],1,4),"C - ","Civil","F - ","Foundation","ST -","Structure","FC -","Façade","PRE ","Pre-Line","POST","Post-Line","H - ","Handover","S - ","Services","CST ","Completion Docs", "I - ", "Inspection")</f>
        <v>Structure</v>
      </c>
      <c r="E11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7" s="24" t="str">
        <f ca="1">IF(OR(Master[[#This Row],[Type]]="checklist", Master[[#This Row],[Type]]="checklist-flat"), Master[[#This Row],[Name]], F1106)</f>
        <v>ST - S - Structural Steel Installation</v>
      </c>
      <c r="G1107" s="34" t="s">
        <v>66</v>
      </c>
      <c r="H1107" s="34" t="s">
        <v>410</v>
      </c>
      <c r="I1107" s="35"/>
      <c r="J1107" s="21">
        <f ca="1">_xlfn.XLOOKUP(Master[[#This Row],[Checklist]],Ref!A:A,Ref!B:B)*1000</f>
        <v>105000</v>
      </c>
      <c r="K1107" s="21">
        <f ca="1">COUNTIF($J$2:Master[[#This Row],[ChecklistID]],Master[[#This Row],[ChecklistID]])-1</f>
        <v>20</v>
      </c>
      <c r="L1107" s="23" t="s">
        <v>6</v>
      </c>
    </row>
    <row r="1108" spans="1:12" ht="15.75">
      <c r="A1108" s="23">
        <f t="shared" si="17"/>
        <v>1107</v>
      </c>
      <c r="B1108" s="21">
        <f ca="1">Master[[#This Row],[ChecklistID]]+Master[[#This Row],[Checklist Order]]</f>
        <v>105021</v>
      </c>
      <c r="C1108" s="22"/>
      <c r="D1108" s="3" t="str" cm="1">
        <f t="array" aca="1" ref="D1108" ca="1">_xlfn.SWITCH(MID(Master[[#This Row],[Checklist]],1,4),"C - ","Civil","F - ","Foundation","ST -","Structure","FC -","Façade","PRE ","Pre-Line","POST","Post-Line","H - ","Handover","S - ","Services","CST ","Completion Docs", "I - ", "Inspection")</f>
        <v>Structure</v>
      </c>
      <c r="E11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8" s="24" t="str">
        <f ca="1">IF(OR(Master[[#This Row],[Type]]="checklist", Master[[#This Row],[Type]]="checklist-flat"), Master[[#This Row],[Name]], F1107)</f>
        <v>ST - S - Structural Steel Installation</v>
      </c>
      <c r="G1108" s="34" t="s">
        <v>49</v>
      </c>
      <c r="H1108" s="34" t="s">
        <v>408</v>
      </c>
      <c r="I1108" s="35"/>
      <c r="J1108" s="21">
        <f ca="1">_xlfn.XLOOKUP(Master[[#This Row],[Checklist]],Ref!A:A,Ref!B:B)*1000</f>
        <v>105000</v>
      </c>
      <c r="K1108" s="21">
        <f ca="1">COUNTIF($J$2:Master[[#This Row],[ChecklistID]],Master[[#This Row],[ChecklistID]])-1</f>
        <v>21</v>
      </c>
      <c r="L1108" s="23" t="s">
        <v>6</v>
      </c>
    </row>
    <row r="1109" spans="1:12" ht="15.75">
      <c r="A1109" s="23">
        <f t="shared" si="17"/>
        <v>1108</v>
      </c>
      <c r="B1109" s="21">
        <f ca="1">Master[[#This Row],[ChecklistID]]+Master[[#This Row],[Checklist Order]]</f>
        <v>105022</v>
      </c>
      <c r="C1109" s="22"/>
      <c r="D1109" s="3" t="str" cm="1">
        <f t="array" aca="1" ref="D1109" ca="1">_xlfn.SWITCH(MID(Master[[#This Row],[Checklist]],1,4),"C - ","Civil","F - ","Foundation","ST -","Structure","FC -","Façade","PRE ","Pre-Line","POST","Post-Line","H - ","Handover","S - ","Services","CST ","Completion Docs", "I - ", "Inspection")</f>
        <v>Structure</v>
      </c>
      <c r="E11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09" s="24" t="str">
        <f ca="1">IF(OR(Master[[#This Row],[Type]]="checklist", Master[[#This Row],[Type]]="checklist-flat"), Master[[#This Row],[Name]], F1108)</f>
        <v>ST - S - Structural Steel Installation</v>
      </c>
      <c r="G1109" s="34" t="s">
        <v>49</v>
      </c>
      <c r="H1109" s="34" t="s">
        <v>57</v>
      </c>
      <c r="I1109" s="35"/>
      <c r="J1109" s="21">
        <f ca="1">_xlfn.XLOOKUP(Master[[#This Row],[Checklist]],Ref!A:A,Ref!B:B)*1000</f>
        <v>105000</v>
      </c>
      <c r="K1109" s="21">
        <f ca="1">COUNTIF($J$2:Master[[#This Row],[ChecklistID]],Master[[#This Row],[ChecklistID]])-1</f>
        <v>22</v>
      </c>
      <c r="L1109" s="23" t="s">
        <v>6</v>
      </c>
    </row>
    <row r="1110" spans="1:12" ht="15.75">
      <c r="A1110" s="23">
        <f t="shared" si="17"/>
        <v>1109</v>
      </c>
      <c r="B1110" s="21">
        <f ca="1">Master[[#This Row],[ChecklistID]]+Master[[#This Row],[Checklist Order]]</f>
        <v>105023</v>
      </c>
      <c r="C1110" s="22"/>
      <c r="D1110" s="3" t="str" cm="1">
        <f t="array" aca="1" ref="D1110" ca="1">_xlfn.SWITCH(MID(Master[[#This Row],[Checklist]],1,4),"C - ","Civil","F - ","Foundation","ST -","Structure","FC -","Façade","PRE ","Pre-Line","POST","Post-Line","H - ","Handover","S - ","Services","CST ","Completion Docs", "I - ", "Inspection")</f>
        <v>Structure</v>
      </c>
      <c r="E11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0" s="24" t="str">
        <f ca="1">IF(OR(Master[[#This Row],[Type]]="checklist", Master[[#This Row],[Type]]="checklist-flat"), Master[[#This Row],[Name]], F1109)</f>
        <v>ST - S - Structural Steel Installation</v>
      </c>
      <c r="G1110" s="34" t="s">
        <v>58</v>
      </c>
      <c r="H1110" s="34" t="s">
        <v>59</v>
      </c>
      <c r="I1110" s="35"/>
      <c r="J1110" s="21">
        <f ca="1">_xlfn.XLOOKUP(Master[[#This Row],[Checklist]],Ref!A:A,Ref!B:B)*1000</f>
        <v>105000</v>
      </c>
      <c r="K1110" s="21">
        <f ca="1">COUNTIF($J$2:Master[[#This Row],[ChecklistID]],Master[[#This Row],[ChecklistID]])-1</f>
        <v>23</v>
      </c>
      <c r="L1110" s="23" t="s">
        <v>6</v>
      </c>
    </row>
    <row r="1111" spans="1:12" ht="15.75">
      <c r="A1111" s="23">
        <f t="shared" si="17"/>
        <v>1110</v>
      </c>
      <c r="B1111" s="21">
        <f ca="1">Master[[#This Row],[ChecklistID]]+Master[[#This Row],[Checklist Order]]</f>
        <v>106000</v>
      </c>
      <c r="C1111" s="22"/>
      <c r="D1111" s="3" t="str" cm="1">
        <f t="array" aca="1" ref="D1111" ca="1">_xlfn.SWITCH(MID(Master[[#This Row],[Checklist]],1,4),"C - ","Civil","F - ","Foundation","ST -","Structure","FC -","Façade","PRE ","Pre-Line","POST","Post-Line","H - ","Handover","S - ","Services","CST ","Completion Docs", "I - ", "Inspection")</f>
        <v>Structure</v>
      </c>
      <c r="E11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1" s="24" t="str">
        <f ca="1">IF(OR(Master[[#This Row],[Type]]="checklist", Master[[#This Row],[Type]]="checklist-flat"), Master[[#This Row],[Name]], F1110)</f>
        <v>ST - S - Timber Framing</v>
      </c>
      <c r="G1111" s="34" t="s">
        <v>48</v>
      </c>
      <c r="H1111" s="34" t="s">
        <v>411</v>
      </c>
      <c r="I1111" s="35"/>
      <c r="J1111" s="21">
        <f ca="1">_xlfn.XLOOKUP(Master[[#This Row],[Checklist]],Ref!A:A,Ref!B:B)*1000</f>
        <v>106000</v>
      </c>
      <c r="K1111" s="21">
        <f ca="1">COUNTIF($J$2:Master[[#This Row],[ChecklistID]],Master[[#This Row],[ChecklistID]])-1</f>
        <v>0</v>
      </c>
      <c r="L1111" s="23" t="s">
        <v>6</v>
      </c>
    </row>
    <row r="1112" spans="1:12" ht="15.75">
      <c r="A1112" s="23">
        <f t="shared" si="17"/>
        <v>1111</v>
      </c>
      <c r="B1112" s="21">
        <f ca="1">Master[[#This Row],[ChecklistID]]+Master[[#This Row],[Checklist Order]]</f>
        <v>106001</v>
      </c>
      <c r="C1112" s="22"/>
      <c r="D1112" s="3" t="str" cm="1">
        <f t="array" aca="1" ref="D1112" ca="1">_xlfn.SWITCH(MID(Master[[#This Row],[Checklist]],1,4),"C - ","Civil","F - ","Foundation","ST -","Structure","FC -","Façade","PRE ","Pre-Line","POST","Post-Line","H - ","Handover","S - ","Services","CST ","Completion Docs", "I - ", "Inspection")</f>
        <v>Structure</v>
      </c>
      <c r="E11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2" s="24" t="str">
        <f ca="1">IF(OR(Master[[#This Row],[Type]]="checklist", Master[[#This Row],[Type]]="checklist-flat"), Master[[#This Row],[Name]], F1111)</f>
        <v>ST - S - Timber Framing</v>
      </c>
      <c r="G1112" s="34" t="s">
        <v>49</v>
      </c>
      <c r="H1112" s="34" t="s">
        <v>412</v>
      </c>
      <c r="I1112" s="35"/>
      <c r="J1112" s="21">
        <f ca="1">_xlfn.XLOOKUP(Master[[#This Row],[Checklist]],Ref!A:A,Ref!B:B)*1000</f>
        <v>106000</v>
      </c>
      <c r="K1112" s="21">
        <f ca="1">COUNTIF($J$2:Master[[#This Row],[ChecklistID]],Master[[#This Row],[ChecklistID]])-1</f>
        <v>1</v>
      </c>
      <c r="L1112" s="23" t="s">
        <v>6</v>
      </c>
    </row>
    <row r="1113" spans="1:12" ht="15.75">
      <c r="A1113" s="23">
        <f t="shared" si="17"/>
        <v>1112</v>
      </c>
      <c r="B1113" s="21">
        <f ca="1">Master[[#This Row],[ChecklistID]]+Master[[#This Row],[Checklist Order]]</f>
        <v>106002</v>
      </c>
      <c r="C1113" s="22"/>
      <c r="D1113" s="3" t="str" cm="1">
        <f t="array" aca="1" ref="D1113" ca="1">_xlfn.SWITCH(MID(Master[[#This Row],[Checklist]],1,4),"C - ","Civil","F - ","Foundation","ST -","Structure","FC -","Façade","PRE ","Pre-Line","POST","Post-Line","H - ","Handover","S - ","Services","CST ","Completion Docs", "I - ", "Inspection")</f>
        <v>Structure</v>
      </c>
      <c r="E11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3" s="24" t="str">
        <f ca="1">IF(OR(Master[[#This Row],[Type]]="checklist", Master[[#This Row],[Type]]="checklist-flat"), Master[[#This Row],[Name]], F1112)</f>
        <v>ST - S - Timber Framing</v>
      </c>
      <c r="G1113" s="34" t="s">
        <v>49</v>
      </c>
      <c r="H1113" s="34" t="s">
        <v>413</v>
      </c>
      <c r="I1113" s="35"/>
      <c r="J1113" s="21">
        <f ca="1">_xlfn.XLOOKUP(Master[[#This Row],[Checklist]],Ref!A:A,Ref!B:B)*1000</f>
        <v>106000</v>
      </c>
      <c r="K1113" s="21">
        <f ca="1">COUNTIF($J$2:Master[[#This Row],[ChecklistID]],Master[[#This Row],[ChecklistID]])-1</f>
        <v>2</v>
      </c>
      <c r="L1113" s="23" t="s">
        <v>6</v>
      </c>
    </row>
    <row r="1114" spans="1:12" ht="15.75">
      <c r="A1114" s="23">
        <f t="shared" si="17"/>
        <v>1113</v>
      </c>
      <c r="B1114" s="21">
        <f ca="1">Master[[#This Row],[ChecklistID]]+Master[[#This Row],[Checklist Order]]</f>
        <v>106003</v>
      </c>
      <c r="C1114" s="22"/>
      <c r="D1114" s="3" t="str" cm="1">
        <f t="array" aca="1" ref="D1114" ca="1">_xlfn.SWITCH(MID(Master[[#This Row],[Checklist]],1,4),"C - ","Civil","F - ","Foundation","ST -","Structure","FC -","Façade","PRE ","Pre-Line","POST","Post-Line","H - ","Handover","S - ","Services","CST ","Completion Docs", "I - ", "Inspection")</f>
        <v>Structure</v>
      </c>
      <c r="E11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4" s="24" t="str">
        <f ca="1">IF(OR(Master[[#This Row],[Type]]="checklist", Master[[#This Row],[Type]]="checklist-flat"), Master[[#This Row],[Name]], F1113)</f>
        <v>ST - S - Timber Framing</v>
      </c>
      <c r="G1114" s="34" t="s">
        <v>49</v>
      </c>
      <c r="H1114" s="34" t="s">
        <v>414</v>
      </c>
      <c r="I1114" s="35"/>
      <c r="J1114" s="21">
        <f ca="1">_xlfn.XLOOKUP(Master[[#This Row],[Checklist]],Ref!A:A,Ref!B:B)*1000</f>
        <v>106000</v>
      </c>
      <c r="K1114" s="21">
        <f ca="1">COUNTIF($J$2:Master[[#This Row],[ChecklistID]],Master[[#This Row],[ChecklistID]])-1</f>
        <v>3</v>
      </c>
      <c r="L1114" s="23" t="s">
        <v>6</v>
      </c>
    </row>
    <row r="1115" spans="1:12" ht="15.75">
      <c r="A1115" s="23">
        <f t="shared" si="17"/>
        <v>1114</v>
      </c>
      <c r="B1115" s="21">
        <f ca="1">Master[[#This Row],[ChecklistID]]+Master[[#This Row],[Checklist Order]]</f>
        <v>106004</v>
      </c>
      <c r="C1115" s="22"/>
      <c r="D1115" s="3" t="str" cm="1">
        <f t="array" aca="1" ref="D1115" ca="1">_xlfn.SWITCH(MID(Master[[#This Row],[Checklist]],1,4),"C - ","Civil","F - ","Foundation","ST -","Structure","FC -","Façade","PRE ","Pre-Line","POST","Post-Line","H - ","Handover","S - ","Services","CST ","Completion Docs", "I - ", "Inspection")</f>
        <v>Structure</v>
      </c>
      <c r="E11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5" s="24" t="str">
        <f ca="1">IF(OR(Master[[#This Row],[Type]]="checklist", Master[[#This Row],[Type]]="checklist-flat"), Master[[#This Row],[Name]], F1114)</f>
        <v>ST - S - Timber Framing</v>
      </c>
      <c r="G1115" s="34" t="s">
        <v>49</v>
      </c>
      <c r="H1115" s="34" t="s">
        <v>1694</v>
      </c>
      <c r="I1115" s="35"/>
      <c r="J1115" s="21">
        <f ca="1">_xlfn.XLOOKUP(Master[[#This Row],[Checklist]],Ref!A:A,Ref!B:B)*1000</f>
        <v>106000</v>
      </c>
      <c r="K1115" s="21">
        <f ca="1">COUNTIF($J$2:Master[[#This Row],[ChecklistID]],Master[[#This Row],[ChecklistID]])-1</f>
        <v>4</v>
      </c>
      <c r="L1115" s="23" t="s">
        <v>6</v>
      </c>
    </row>
    <row r="1116" spans="1:12" ht="15.75">
      <c r="A1116" s="23">
        <f t="shared" si="17"/>
        <v>1115</v>
      </c>
      <c r="B1116" s="21">
        <f ca="1">Master[[#This Row],[ChecklistID]]+Master[[#This Row],[Checklist Order]]</f>
        <v>106005</v>
      </c>
      <c r="C1116" s="22"/>
      <c r="D1116" s="3" t="str" cm="1">
        <f t="array" aca="1" ref="D1116" ca="1">_xlfn.SWITCH(MID(Master[[#This Row],[Checklist]],1,4),"C - ","Civil","F - ","Foundation","ST -","Structure","FC -","Façade","PRE ","Pre-Line","POST","Post-Line","H - ","Handover","S - ","Services","CST ","Completion Docs", "I - ", "Inspection")</f>
        <v>Structure</v>
      </c>
      <c r="E11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6" s="24" t="str">
        <f ca="1">IF(OR(Master[[#This Row],[Type]]="checklist", Master[[#This Row],[Type]]="checklist-flat"), Master[[#This Row],[Name]], F1115)</f>
        <v>ST - S - Timber Framing</v>
      </c>
      <c r="G1116" s="34" t="s">
        <v>49</v>
      </c>
      <c r="H1116" s="34" t="s">
        <v>415</v>
      </c>
      <c r="I1116" s="35"/>
      <c r="J1116" s="21">
        <f ca="1">_xlfn.XLOOKUP(Master[[#This Row],[Checklist]],Ref!A:A,Ref!B:B)*1000</f>
        <v>106000</v>
      </c>
      <c r="K1116" s="21">
        <f ca="1">COUNTIF($J$2:Master[[#This Row],[ChecklistID]],Master[[#This Row],[ChecklistID]])-1</f>
        <v>5</v>
      </c>
      <c r="L1116" s="23" t="s">
        <v>6</v>
      </c>
    </row>
    <row r="1117" spans="1:12" ht="15.75">
      <c r="A1117" s="23">
        <f t="shared" si="17"/>
        <v>1116</v>
      </c>
      <c r="B1117" s="21">
        <f ca="1">Master[[#This Row],[ChecklistID]]+Master[[#This Row],[Checklist Order]]</f>
        <v>106006</v>
      </c>
      <c r="C1117" s="22"/>
      <c r="D1117" s="3" t="str" cm="1">
        <f t="array" aca="1" ref="D1117" ca="1">_xlfn.SWITCH(MID(Master[[#This Row],[Checklist]],1,4),"C - ","Civil","F - ","Foundation","ST -","Structure","FC -","Façade","PRE ","Pre-Line","POST","Post-Line","H - ","Handover","S - ","Services","CST ","Completion Docs", "I - ", "Inspection")</f>
        <v>Structure</v>
      </c>
      <c r="E11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7" s="24" t="str">
        <f ca="1">IF(OR(Master[[#This Row],[Type]]="checklist", Master[[#This Row],[Type]]="checklist-flat"), Master[[#This Row],[Name]], F1116)</f>
        <v>ST - S - Timber Framing</v>
      </c>
      <c r="G1117" s="34" t="s">
        <v>49</v>
      </c>
      <c r="H1117" s="34" t="s">
        <v>416</v>
      </c>
      <c r="I1117" s="35"/>
      <c r="J1117" s="21">
        <f ca="1">_xlfn.XLOOKUP(Master[[#This Row],[Checklist]],Ref!A:A,Ref!B:B)*1000</f>
        <v>106000</v>
      </c>
      <c r="K1117" s="21">
        <f ca="1">COUNTIF($J$2:Master[[#This Row],[ChecklistID]],Master[[#This Row],[ChecklistID]])-1</f>
        <v>6</v>
      </c>
      <c r="L1117" s="23" t="s">
        <v>6</v>
      </c>
    </row>
    <row r="1118" spans="1:12" ht="15.75">
      <c r="A1118" s="23">
        <f t="shared" si="17"/>
        <v>1117</v>
      </c>
      <c r="B1118" s="21">
        <f ca="1">Master[[#This Row],[ChecklistID]]+Master[[#This Row],[Checklist Order]]</f>
        <v>106007</v>
      </c>
      <c r="C1118" s="22"/>
      <c r="D1118" s="3" t="str" cm="1">
        <f t="array" aca="1" ref="D1118" ca="1">_xlfn.SWITCH(MID(Master[[#This Row],[Checklist]],1,4),"C - ","Civil","F - ","Foundation","ST -","Structure","FC -","Façade","PRE ","Pre-Line","POST","Post-Line","H - ","Handover","S - ","Services","CST ","Completion Docs", "I - ", "Inspection")</f>
        <v>Structure</v>
      </c>
      <c r="E11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8" s="24" t="str">
        <f ca="1">IF(OR(Master[[#This Row],[Type]]="checklist", Master[[#This Row],[Type]]="checklist-flat"), Master[[#This Row],[Name]], F1117)</f>
        <v>ST - S - Timber Framing</v>
      </c>
      <c r="G1118" s="34" t="s">
        <v>49</v>
      </c>
      <c r="H1118" s="34" t="s">
        <v>57</v>
      </c>
      <c r="I1118" s="35"/>
      <c r="J1118" s="21">
        <f ca="1">_xlfn.XLOOKUP(Master[[#This Row],[Checklist]],Ref!A:A,Ref!B:B)*1000</f>
        <v>106000</v>
      </c>
      <c r="K1118" s="21">
        <f ca="1">COUNTIF($J$2:Master[[#This Row],[ChecklistID]],Master[[#This Row],[ChecklistID]])-1</f>
        <v>7</v>
      </c>
      <c r="L1118" s="23" t="s">
        <v>6</v>
      </c>
    </row>
    <row r="1119" spans="1:12" ht="15.75">
      <c r="A1119" s="23">
        <f t="shared" si="17"/>
        <v>1118</v>
      </c>
      <c r="B1119" s="21">
        <f ca="1">Master[[#This Row],[ChecklistID]]+Master[[#This Row],[Checklist Order]]</f>
        <v>106008</v>
      </c>
      <c r="C1119" s="22"/>
      <c r="D1119" s="3" t="str" cm="1">
        <f t="array" aca="1" ref="D1119" ca="1">_xlfn.SWITCH(MID(Master[[#This Row],[Checklist]],1,4),"C - ","Civil","F - ","Foundation","ST -","Structure","FC -","Façade","PRE ","Pre-Line","POST","Post-Line","H - ","Handover","S - ","Services","CST ","Completion Docs", "I - ", "Inspection")</f>
        <v>Structure</v>
      </c>
      <c r="E11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19" s="24" t="str">
        <f ca="1">IF(OR(Master[[#This Row],[Type]]="checklist", Master[[#This Row],[Type]]="checklist-flat"), Master[[#This Row],[Name]], F1118)</f>
        <v>ST - S - Timber Framing</v>
      </c>
      <c r="G1119" s="34" t="s">
        <v>58</v>
      </c>
      <c r="H1119" s="34" t="s">
        <v>59</v>
      </c>
      <c r="I1119" s="35"/>
      <c r="J1119" s="21">
        <f ca="1">_xlfn.XLOOKUP(Master[[#This Row],[Checklist]],Ref!A:A,Ref!B:B)*1000</f>
        <v>106000</v>
      </c>
      <c r="K1119" s="21">
        <f ca="1">COUNTIF($J$2:Master[[#This Row],[ChecklistID]],Master[[#This Row],[ChecklistID]])-1</f>
        <v>8</v>
      </c>
      <c r="L1119" s="23" t="s">
        <v>6</v>
      </c>
    </row>
    <row r="1120" spans="1:12" ht="15.75">
      <c r="A1120" s="23">
        <f t="shared" si="17"/>
        <v>1119</v>
      </c>
      <c r="B1120" s="21">
        <f ca="1">Master[[#This Row],[ChecklistID]]+Master[[#This Row],[Checklist Order]]</f>
        <v>107000</v>
      </c>
      <c r="C1120" s="22"/>
      <c r="D1120" s="3" t="str" cm="1">
        <f t="array" aca="1" ref="D1120" ca="1">_xlfn.SWITCH(MID(Master[[#This Row],[Checklist]],1,4),"C - ","Civil","F - ","Foundation","ST -","Structure","FC -","Façade","PRE ","Pre-Line","POST","Post-Line","H - ","Handover","S - ","Services","CST ","Completion Docs", "I - ", "Inspection")</f>
        <v>Structure</v>
      </c>
      <c r="E11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0" s="24" t="str">
        <f ca="1">IF(OR(Master[[#This Row],[Type]]="checklist", Master[[#This Row],[Type]]="checklist-flat"), Master[[#This Row],[Name]], F1119)</f>
        <v>ST - S - Structural Steel Installation - Pre-Commencement</v>
      </c>
      <c r="G1120" s="34" t="s">
        <v>119</v>
      </c>
      <c r="H1120" s="34" t="s">
        <v>417</v>
      </c>
      <c r="I1120" s="35"/>
      <c r="J1120" s="21">
        <f ca="1">_xlfn.XLOOKUP(Master[[#This Row],[Checklist]],Ref!A:A,Ref!B:B)*1000</f>
        <v>107000</v>
      </c>
      <c r="K1120" s="21">
        <f ca="1">COUNTIF($J$2:Master[[#This Row],[ChecklistID]],Master[[#This Row],[ChecklistID]])-1</f>
        <v>0</v>
      </c>
      <c r="L1120" s="23" t="s">
        <v>6</v>
      </c>
    </row>
    <row r="1121" spans="1:12" ht="15.75">
      <c r="A1121" s="23">
        <f t="shared" si="17"/>
        <v>1120</v>
      </c>
      <c r="B1121" s="21">
        <f ca="1">Master[[#This Row],[ChecklistID]]+Master[[#This Row],[Checklist Order]]</f>
        <v>107001</v>
      </c>
      <c r="C1121" s="22"/>
      <c r="D1121" s="3" t="str" cm="1">
        <f t="array" aca="1" ref="D1121" ca="1">_xlfn.SWITCH(MID(Master[[#This Row],[Checklist]],1,4),"C - ","Civil","F - ","Foundation","ST -","Structure","FC -","Façade","PRE ","Pre-Line","POST","Post-Line","H - ","Handover","S - ","Services","CST ","Completion Docs", "I - ", "Inspection")</f>
        <v>Structure</v>
      </c>
      <c r="E11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1" s="24" t="str">
        <f ca="1">IF(OR(Master[[#This Row],[Type]]="checklist", Master[[#This Row],[Type]]="checklist-flat"), Master[[#This Row],[Name]], F1120)</f>
        <v>ST - S - Structural Steel Installation - Pre-Commencement</v>
      </c>
      <c r="G1121" s="34" t="s">
        <v>120</v>
      </c>
      <c r="H1121" s="34" t="s">
        <v>418</v>
      </c>
      <c r="I1121" s="35"/>
      <c r="J1121" s="21">
        <f ca="1">_xlfn.XLOOKUP(Master[[#This Row],[Checklist]],Ref!A:A,Ref!B:B)*1000</f>
        <v>107000</v>
      </c>
      <c r="K1121" s="21">
        <f ca="1">COUNTIF($J$2:Master[[#This Row],[ChecklistID]],Master[[#This Row],[ChecklistID]])-1</f>
        <v>1</v>
      </c>
      <c r="L1121" s="23" t="s">
        <v>6</v>
      </c>
    </row>
    <row r="1122" spans="1:12" ht="15.75">
      <c r="A1122" s="23">
        <f t="shared" si="17"/>
        <v>1121</v>
      </c>
      <c r="B1122" s="21">
        <f ca="1">Master[[#This Row],[ChecklistID]]+Master[[#This Row],[Checklist Order]]</f>
        <v>107002</v>
      </c>
      <c r="C1122" s="22"/>
      <c r="D1122" s="3" t="str" cm="1">
        <f t="array" aca="1" ref="D1122" ca="1">_xlfn.SWITCH(MID(Master[[#This Row],[Checklist]],1,4),"C - ","Civil","F - ","Foundation","ST -","Structure","FC -","Façade","PRE ","Pre-Line","POST","Post-Line","H - ","Handover","S - ","Services","CST ","Completion Docs", "I - ", "Inspection")</f>
        <v>Structure</v>
      </c>
      <c r="E11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2" s="24" t="str">
        <f ca="1">IF(OR(Master[[#This Row],[Type]]="checklist", Master[[#This Row],[Type]]="checklist-flat"), Master[[#This Row],[Name]], F1121)</f>
        <v>ST - S - Structural Steel Installation - Pre-Commencement</v>
      </c>
      <c r="G1122" s="34" t="s">
        <v>49</v>
      </c>
      <c r="H1122" s="34" t="s">
        <v>1093</v>
      </c>
      <c r="I1122" s="35"/>
      <c r="J1122" s="21">
        <f ca="1">_xlfn.XLOOKUP(Master[[#This Row],[Checklist]],Ref!A:A,Ref!B:B)*1000</f>
        <v>107000</v>
      </c>
      <c r="K1122" s="21">
        <f ca="1">COUNTIF($J$2:Master[[#This Row],[ChecklistID]],Master[[#This Row],[ChecklistID]])-1</f>
        <v>2</v>
      </c>
      <c r="L1122" s="23" t="s">
        <v>6</v>
      </c>
    </row>
    <row r="1123" spans="1:12" ht="15.75">
      <c r="A1123" s="23">
        <f t="shared" si="17"/>
        <v>1122</v>
      </c>
      <c r="B1123" s="21">
        <f ca="1">Master[[#This Row],[ChecklistID]]+Master[[#This Row],[Checklist Order]]</f>
        <v>107003</v>
      </c>
      <c r="C1123" s="22"/>
      <c r="D1123" s="3" t="str" cm="1">
        <f t="array" aca="1" ref="D1123" ca="1">_xlfn.SWITCH(MID(Master[[#This Row],[Checklist]],1,4),"C - ","Civil","F - ","Foundation","ST -","Structure","FC -","Façade","PRE ","Pre-Line","POST","Post-Line","H - ","Handover","S - ","Services","CST ","Completion Docs", "I - ", "Inspection")</f>
        <v>Structure</v>
      </c>
      <c r="E11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3" s="24" t="str">
        <f ca="1">IF(OR(Master[[#This Row],[Type]]="checklist", Master[[#This Row],[Type]]="checklist-flat"), Master[[#This Row],[Name]], F1122)</f>
        <v>ST - S - Structural Steel Installation - Pre-Commencement</v>
      </c>
      <c r="G1123" s="34" t="s">
        <v>49</v>
      </c>
      <c r="H1123" s="34" t="s">
        <v>420</v>
      </c>
      <c r="I1123" s="35"/>
      <c r="J1123" s="21">
        <f ca="1">_xlfn.XLOOKUP(Master[[#This Row],[Checklist]],Ref!A:A,Ref!B:B)*1000</f>
        <v>107000</v>
      </c>
      <c r="K1123" s="21">
        <f ca="1">COUNTIF($J$2:Master[[#This Row],[ChecklistID]],Master[[#This Row],[ChecklistID]])-1</f>
        <v>3</v>
      </c>
      <c r="L1123" s="23" t="s">
        <v>6</v>
      </c>
    </row>
    <row r="1124" spans="1:12" ht="15.75">
      <c r="A1124" s="23">
        <f t="shared" si="17"/>
        <v>1123</v>
      </c>
      <c r="B1124" s="21">
        <f ca="1">Master[[#This Row],[ChecklistID]]+Master[[#This Row],[Checklist Order]]</f>
        <v>107004</v>
      </c>
      <c r="C1124" s="22"/>
      <c r="D1124" s="3" t="str" cm="1">
        <f t="array" aca="1" ref="D1124" ca="1">_xlfn.SWITCH(MID(Master[[#This Row],[Checklist]],1,4),"C - ","Civil","F - ","Foundation","ST -","Structure","FC -","Façade","PRE ","Pre-Line","POST","Post-Line","H - ","Handover","S - ","Services","CST ","Completion Docs", "I - ", "Inspection")</f>
        <v>Structure</v>
      </c>
      <c r="E11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4" s="24" t="str">
        <f ca="1">IF(OR(Master[[#This Row],[Type]]="checklist", Master[[#This Row],[Type]]="checklist-flat"), Master[[#This Row],[Name]], F1123)</f>
        <v>ST - S - Structural Steel Installation - Pre-Commencement</v>
      </c>
      <c r="G1124" s="34" t="s">
        <v>49</v>
      </c>
      <c r="H1124" s="34" t="s">
        <v>421</v>
      </c>
      <c r="I1124" s="35"/>
      <c r="J1124" s="21">
        <f ca="1">_xlfn.XLOOKUP(Master[[#This Row],[Checklist]],Ref!A:A,Ref!B:B)*1000</f>
        <v>107000</v>
      </c>
      <c r="K1124" s="21">
        <f ca="1">COUNTIF($J$2:Master[[#This Row],[ChecklistID]],Master[[#This Row],[ChecklistID]])-1</f>
        <v>4</v>
      </c>
      <c r="L1124" s="23" t="s">
        <v>6</v>
      </c>
    </row>
    <row r="1125" spans="1:12" ht="15.75">
      <c r="A1125" s="23">
        <f t="shared" si="17"/>
        <v>1124</v>
      </c>
      <c r="B1125" s="21">
        <f ca="1">Master[[#This Row],[ChecklistID]]+Master[[#This Row],[Checklist Order]]</f>
        <v>107005</v>
      </c>
      <c r="C1125" s="22"/>
      <c r="D1125" s="3" t="str" cm="1">
        <f t="array" aca="1" ref="D1125" ca="1">_xlfn.SWITCH(MID(Master[[#This Row],[Checklist]],1,4),"C - ","Civil","F - ","Foundation","ST -","Structure","FC -","Façade","PRE ","Pre-Line","POST","Post-Line","H - ","Handover","S - ","Services","CST ","Completion Docs", "I - ", "Inspection")</f>
        <v>Structure</v>
      </c>
      <c r="E11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5" s="24" t="str">
        <f ca="1">IF(OR(Master[[#This Row],[Type]]="checklist", Master[[#This Row],[Type]]="checklist-flat"), Master[[#This Row],[Name]], F1124)</f>
        <v>ST - S - Structural Steel Installation - Pre-Commencement</v>
      </c>
      <c r="G1125" s="34" t="s">
        <v>120</v>
      </c>
      <c r="H1125" s="34" t="s">
        <v>422</v>
      </c>
      <c r="I1125" s="35"/>
      <c r="J1125" s="21">
        <f ca="1">_xlfn.XLOOKUP(Master[[#This Row],[Checklist]],Ref!A:A,Ref!B:B)*1000</f>
        <v>107000</v>
      </c>
      <c r="K1125" s="21">
        <f ca="1">COUNTIF($J$2:Master[[#This Row],[ChecklistID]],Master[[#This Row],[ChecklistID]])-1</f>
        <v>5</v>
      </c>
      <c r="L1125" s="23" t="s">
        <v>6</v>
      </c>
    </row>
    <row r="1126" spans="1:12" ht="15.75">
      <c r="A1126" s="23">
        <f t="shared" si="17"/>
        <v>1125</v>
      </c>
      <c r="B1126" s="21">
        <f ca="1">Master[[#This Row],[ChecklistID]]+Master[[#This Row],[Checklist Order]]</f>
        <v>107006</v>
      </c>
      <c r="C1126" s="22"/>
      <c r="D1126" s="3" t="str" cm="1">
        <f t="array" aca="1" ref="D1126" ca="1">_xlfn.SWITCH(MID(Master[[#This Row],[Checklist]],1,4),"C - ","Civil","F - ","Foundation","ST -","Structure","FC -","Façade","PRE ","Pre-Line","POST","Post-Line","H - ","Handover","S - ","Services","CST ","Completion Docs", "I - ", "Inspection")</f>
        <v>Structure</v>
      </c>
      <c r="E11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6" s="24" t="str">
        <f ca="1">IF(OR(Master[[#This Row],[Type]]="checklist", Master[[#This Row],[Type]]="checklist-flat"), Master[[#This Row],[Name]], F1125)</f>
        <v>ST - S - Structural Steel Installation - Pre-Commencement</v>
      </c>
      <c r="G1126" s="34" t="s">
        <v>49</v>
      </c>
      <c r="H1126" s="34" t="s">
        <v>423</v>
      </c>
      <c r="I1126" s="35"/>
      <c r="J1126" s="21">
        <f ca="1">_xlfn.XLOOKUP(Master[[#This Row],[Checklist]],Ref!A:A,Ref!B:B)*1000</f>
        <v>107000</v>
      </c>
      <c r="K1126" s="21">
        <f ca="1">COUNTIF($J$2:Master[[#This Row],[ChecklistID]],Master[[#This Row],[ChecklistID]])-1</f>
        <v>6</v>
      </c>
      <c r="L1126" s="23" t="s">
        <v>6</v>
      </c>
    </row>
    <row r="1127" spans="1:12" ht="15.75">
      <c r="A1127" s="23">
        <f t="shared" si="17"/>
        <v>1126</v>
      </c>
      <c r="B1127" s="21">
        <f ca="1">Master[[#This Row],[ChecklistID]]+Master[[#This Row],[Checklist Order]]</f>
        <v>107007</v>
      </c>
      <c r="C1127" s="22"/>
      <c r="D1127" s="3" t="str" cm="1">
        <f t="array" aca="1" ref="D1127" ca="1">_xlfn.SWITCH(MID(Master[[#This Row],[Checklist]],1,4),"C - ","Civil","F - ","Foundation","ST -","Structure","FC -","Façade","PRE ","Pre-Line","POST","Post-Line","H - ","Handover","S - ","Services","CST ","Completion Docs", "I - ", "Inspection")</f>
        <v>Structure</v>
      </c>
      <c r="E11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7" s="24" t="str">
        <f ca="1">IF(OR(Master[[#This Row],[Type]]="checklist", Master[[#This Row],[Type]]="checklist-flat"), Master[[#This Row],[Name]], F1126)</f>
        <v>ST - S - Structural Steel Installation - Pre-Commencement</v>
      </c>
      <c r="G1127" s="34" t="s">
        <v>49</v>
      </c>
      <c r="H1127" s="34" t="s">
        <v>424</v>
      </c>
      <c r="I1127" s="35"/>
      <c r="J1127" s="21">
        <f ca="1">_xlfn.XLOOKUP(Master[[#This Row],[Checklist]],Ref!A:A,Ref!B:B)*1000</f>
        <v>107000</v>
      </c>
      <c r="K1127" s="21">
        <f ca="1">COUNTIF($J$2:Master[[#This Row],[ChecklistID]],Master[[#This Row],[ChecklistID]])-1</f>
        <v>7</v>
      </c>
      <c r="L1127" s="23" t="s">
        <v>6</v>
      </c>
    </row>
    <row r="1128" spans="1:12" ht="15.75">
      <c r="A1128" s="23">
        <f t="shared" si="17"/>
        <v>1127</v>
      </c>
      <c r="B1128" s="21">
        <f ca="1">Master[[#This Row],[ChecklistID]]+Master[[#This Row],[Checklist Order]]</f>
        <v>107008</v>
      </c>
      <c r="C1128" s="22"/>
      <c r="D1128" s="3" t="str" cm="1">
        <f t="array" aca="1" ref="D1128" ca="1">_xlfn.SWITCH(MID(Master[[#This Row],[Checklist]],1,4),"C - ","Civil","F - ","Foundation","ST -","Structure","FC -","Façade","PRE ","Pre-Line","POST","Post-Line","H - ","Handover","S - ","Services","CST ","Completion Docs", "I - ", "Inspection")</f>
        <v>Structure</v>
      </c>
      <c r="E11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8" s="24" t="str">
        <f ca="1">IF(OR(Master[[#This Row],[Type]]="checklist", Master[[#This Row],[Type]]="checklist-flat"), Master[[#This Row],[Name]], F1127)</f>
        <v>ST - S - Structural Steel Installation - Pre-Commencement</v>
      </c>
      <c r="G1128" s="34" t="s">
        <v>49</v>
      </c>
      <c r="H1128" s="34" t="s">
        <v>425</v>
      </c>
      <c r="I1128" s="35"/>
      <c r="J1128" s="21">
        <f ca="1">_xlfn.XLOOKUP(Master[[#This Row],[Checklist]],Ref!A:A,Ref!B:B)*1000</f>
        <v>107000</v>
      </c>
      <c r="K1128" s="21">
        <f ca="1">COUNTIF($J$2:Master[[#This Row],[ChecklistID]],Master[[#This Row],[ChecklistID]])-1</f>
        <v>8</v>
      </c>
      <c r="L1128" s="23" t="s">
        <v>6</v>
      </c>
    </row>
    <row r="1129" spans="1:12" ht="15.75">
      <c r="A1129" s="23">
        <f t="shared" si="17"/>
        <v>1128</v>
      </c>
      <c r="B1129" s="21">
        <f ca="1">Master[[#This Row],[ChecklistID]]+Master[[#This Row],[Checklist Order]]</f>
        <v>107009</v>
      </c>
      <c r="C1129" s="22"/>
      <c r="D1129" s="3" t="str" cm="1">
        <f t="array" aca="1" ref="D1129" ca="1">_xlfn.SWITCH(MID(Master[[#This Row],[Checklist]],1,4),"C - ","Civil","F - ","Foundation","ST -","Structure","FC -","Façade","PRE ","Pre-Line","POST","Post-Line","H - ","Handover","S - ","Services","CST ","Completion Docs", "I - ", "Inspection")</f>
        <v>Structure</v>
      </c>
      <c r="E11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29" s="24" t="str">
        <f ca="1">IF(OR(Master[[#This Row],[Type]]="checklist", Master[[#This Row],[Type]]="checklist-flat"), Master[[#This Row],[Name]], F1128)</f>
        <v>ST - S - Structural Steel Installation - Pre-Commencement</v>
      </c>
      <c r="G1129" s="34" t="s">
        <v>49</v>
      </c>
      <c r="H1129" s="34" t="s">
        <v>426</v>
      </c>
      <c r="I1129" s="35"/>
      <c r="J1129" s="21">
        <f ca="1">_xlfn.XLOOKUP(Master[[#This Row],[Checklist]],Ref!A:A,Ref!B:B)*1000</f>
        <v>107000</v>
      </c>
      <c r="K1129" s="21">
        <f ca="1">COUNTIF($J$2:Master[[#This Row],[ChecklistID]],Master[[#This Row],[ChecklistID]])-1</f>
        <v>9</v>
      </c>
      <c r="L1129" s="23" t="s">
        <v>6</v>
      </c>
    </row>
    <row r="1130" spans="1:12" ht="15.75">
      <c r="A1130" s="23">
        <f t="shared" ref="A1130:A1193" si="18">IFERROR(A1129+1,1)</f>
        <v>1129</v>
      </c>
      <c r="B1130" s="21">
        <f ca="1">Master[[#This Row],[ChecklistID]]+Master[[#This Row],[Checklist Order]]</f>
        <v>107010</v>
      </c>
      <c r="C1130" s="22"/>
      <c r="D1130" s="3" t="str" cm="1">
        <f t="array" aca="1" ref="D1130" ca="1">_xlfn.SWITCH(MID(Master[[#This Row],[Checklist]],1,4),"C - ","Civil","F - ","Foundation","ST -","Structure","FC -","Façade","PRE ","Pre-Line","POST","Post-Line","H - ","Handover","S - ","Services","CST ","Completion Docs", "I - ", "Inspection")</f>
        <v>Structure</v>
      </c>
      <c r="E11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0" s="24" t="str">
        <f ca="1">IF(OR(Master[[#This Row],[Type]]="checklist", Master[[#This Row],[Type]]="checklist-flat"), Master[[#This Row],[Name]], F1129)</f>
        <v>ST - S - Structural Steel Installation - Pre-Commencement</v>
      </c>
      <c r="G1130" s="34" t="s">
        <v>49</v>
      </c>
      <c r="H1130" s="34" t="s">
        <v>57</v>
      </c>
      <c r="I1130" s="35"/>
      <c r="J1130" s="21">
        <f ca="1">_xlfn.XLOOKUP(Master[[#This Row],[Checklist]],Ref!A:A,Ref!B:B)*1000</f>
        <v>107000</v>
      </c>
      <c r="K1130" s="21">
        <f ca="1">COUNTIF($J$2:Master[[#This Row],[ChecklistID]],Master[[#This Row],[ChecklistID]])-1</f>
        <v>10</v>
      </c>
      <c r="L1130" s="23" t="s">
        <v>6</v>
      </c>
    </row>
    <row r="1131" spans="1:12" ht="15.75">
      <c r="A1131" s="23">
        <f t="shared" si="18"/>
        <v>1130</v>
      </c>
      <c r="B1131" s="21">
        <f ca="1">Master[[#This Row],[ChecklistID]]+Master[[#This Row],[Checklist Order]]</f>
        <v>107011</v>
      </c>
      <c r="C1131" s="22"/>
      <c r="D1131" s="3" t="str" cm="1">
        <f t="array" aca="1" ref="D1131" ca="1">_xlfn.SWITCH(MID(Master[[#This Row],[Checklist]],1,4),"C - ","Civil","F - ","Foundation","ST -","Structure","FC -","Façade","PRE ","Pre-Line","POST","Post-Line","H - ","Handover","S - ","Services","CST ","Completion Docs", "I - ", "Inspection")</f>
        <v>Structure</v>
      </c>
      <c r="E11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1" s="24" t="str">
        <f ca="1">IF(OR(Master[[#This Row],[Type]]="checklist", Master[[#This Row],[Type]]="checklist-flat"), Master[[#This Row],[Name]], F1130)</f>
        <v>ST - S - Structural Steel Installation - Pre-Commencement</v>
      </c>
      <c r="G1131" s="34" t="s">
        <v>58</v>
      </c>
      <c r="H1131" s="34" t="s">
        <v>59</v>
      </c>
      <c r="I1131" s="35"/>
      <c r="J1131" s="21">
        <f ca="1">_xlfn.XLOOKUP(Master[[#This Row],[Checklist]],Ref!A:A,Ref!B:B)*1000</f>
        <v>107000</v>
      </c>
      <c r="K1131" s="21">
        <f ca="1">COUNTIF($J$2:Master[[#This Row],[ChecklistID]],Master[[#This Row],[ChecklistID]])-1</f>
        <v>11</v>
      </c>
      <c r="L1131" s="23" t="s">
        <v>6</v>
      </c>
    </row>
    <row r="1132" spans="1:12" ht="15.75">
      <c r="A1132" s="23">
        <f t="shared" si="18"/>
        <v>1131</v>
      </c>
      <c r="B1132" s="21">
        <f ca="1">Master[[#This Row],[ChecklistID]]+Master[[#This Row],[Checklist Order]]</f>
        <v>108000</v>
      </c>
      <c r="C1132" s="22"/>
      <c r="D1132" s="3" t="str" cm="1">
        <f t="array" aca="1" ref="D1132" ca="1">_xlfn.SWITCH(MID(Master[[#This Row],[Checklist]],1,4),"C - ","Civil","F - ","Foundation","ST -","Structure","FC -","Façade","PRE ","Pre-Line","POST","Post-Line","H - ","Handover","S - ","Services","CST ","Completion Docs", "I - ", "Inspection")</f>
        <v>Civil</v>
      </c>
      <c r="E11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2" s="24" t="str">
        <f ca="1">IF(OR(Master[[#This Row],[Type]]="checklist", Master[[#This Row],[Type]]="checklist-flat"), Master[[#This Row],[Name]], F1131)</f>
        <v>C - S - Pipe Laying - Water</v>
      </c>
      <c r="G1132" s="34" t="s">
        <v>48</v>
      </c>
      <c r="H1132" s="34" t="s">
        <v>427</v>
      </c>
      <c r="I1132" s="35"/>
      <c r="J1132" s="21">
        <f ca="1">_xlfn.XLOOKUP(Master[[#This Row],[Checklist]],Ref!A:A,Ref!B:B)*1000</f>
        <v>108000</v>
      </c>
      <c r="K1132" s="21">
        <f ca="1">COUNTIF($J$2:Master[[#This Row],[ChecklistID]],Master[[#This Row],[ChecklistID]])-1</f>
        <v>0</v>
      </c>
      <c r="L1132" s="23" t="s">
        <v>6</v>
      </c>
    </row>
    <row r="1133" spans="1:12" ht="15.75">
      <c r="A1133" s="23">
        <f t="shared" si="18"/>
        <v>1132</v>
      </c>
      <c r="B1133" s="21">
        <f ca="1">Master[[#This Row],[ChecklistID]]+Master[[#This Row],[Checklist Order]]</f>
        <v>108001</v>
      </c>
      <c r="C1133" s="22"/>
      <c r="D1133" s="3" t="str" cm="1">
        <f t="array" aca="1" ref="D1133" ca="1">_xlfn.SWITCH(MID(Master[[#This Row],[Checklist]],1,4),"C - ","Civil","F - ","Foundation","ST -","Structure","FC -","Façade","PRE ","Pre-Line","POST","Post-Line","H - ","Handover","S - ","Services","CST ","Completion Docs", "I - ", "Inspection")</f>
        <v>Civil</v>
      </c>
      <c r="E11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3" s="24" t="str">
        <f ca="1">IF(OR(Master[[#This Row],[Type]]="checklist", Master[[#This Row],[Type]]="checklist-flat"), Master[[#This Row],[Name]], F1132)</f>
        <v>C - S - Pipe Laying - Water</v>
      </c>
      <c r="G1133" s="34" t="s">
        <v>49</v>
      </c>
      <c r="H1133" s="34" t="s">
        <v>74</v>
      </c>
      <c r="I1133" s="35"/>
      <c r="J1133" s="21">
        <f ca="1">_xlfn.XLOOKUP(Master[[#This Row],[Checklist]],Ref!A:A,Ref!B:B)*1000</f>
        <v>108000</v>
      </c>
      <c r="K1133" s="21">
        <f ca="1">COUNTIF($J$2:Master[[#This Row],[ChecklistID]],Master[[#This Row],[ChecklistID]])-1</f>
        <v>1</v>
      </c>
      <c r="L1133" s="23" t="s">
        <v>6</v>
      </c>
    </row>
    <row r="1134" spans="1:12" ht="15.75">
      <c r="A1134" s="23">
        <f t="shared" si="18"/>
        <v>1133</v>
      </c>
      <c r="B1134" s="21">
        <f ca="1">Master[[#This Row],[ChecklistID]]+Master[[#This Row],[Checklist Order]]</f>
        <v>108002</v>
      </c>
      <c r="C1134" s="22"/>
      <c r="D1134" s="3" t="str" cm="1">
        <f t="array" aca="1" ref="D1134" ca="1">_xlfn.SWITCH(MID(Master[[#This Row],[Checklist]],1,4),"C - ","Civil","F - ","Foundation","ST -","Structure","FC -","Façade","PRE ","Pre-Line","POST","Post-Line","H - ","Handover","S - ","Services","CST ","Completion Docs", "I - ", "Inspection")</f>
        <v>Civil</v>
      </c>
      <c r="E11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4" s="24" t="str">
        <f ca="1">IF(OR(Master[[#This Row],[Type]]="checklist", Master[[#This Row],[Type]]="checklist-flat"), Master[[#This Row],[Name]], F1133)</f>
        <v>C - S - Pipe Laying - Water</v>
      </c>
      <c r="G1134" s="34" t="s">
        <v>49</v>
      </c>
      <c r="H1134" s="34" t="s">
        <v>75</v>
      </c>
      <c r="I1134" s="35"/>
      <c r="J1134" s="21">
        <f ca="1">_xlfn.XLOOKUP(Master[[#This Row],[Checklist]],Ref!A:A,Ref!B:B)*1000</f>
        <v>108000</v>
      </c>
      <c r="K1134" s="21">
        <f ca="1">COUNTIF($J$2:Master[[#This Row],[ChecklistID]],Master[[#This Row],[ChecklistID]])-1</f>
        <v>2</v>
      </c>
      <c r="L1134" s="23" t="s">
        <v>6</v>
      </c>
    </row>
    <row r="1135" spans="1:12" ht="15.75">
      <c r="A1135" s="23">
        <f t="shared" si="18"/>
        <v>1134</v>
      </c>
      <c r="B1135" s="21">
        <f ca="1">Master[[#This Row],[ChecklistID]]+Master[[#This Row],[Checklist Order]]</f>
        <v>108003</v>
      </c>
      <c r="C1135" s="22"/>
      <c r="D1135" s="3" t="str" cm="1">
        <f t="array" aca="1" ref="D1135" ca="1">_xlfn.SWITCH(MID(Master[[#This Row],[Checklist]],1,4),"C - ","Civil","F - ","Foundation","ST -","Structure","FC -","Façade","PRE ","Pre-Line","POST","Post-Line","H - ","Handover","S - ","Services","CST ","Completion Docs", "I - ", "Inspection")</f>
        <v>Civil</v>
      </c>
      <c r="E11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5" s="24" t="str">
        <f ca="1">IF(OR(Master[[#This Row],[Type]]="checklist", Master[[#This Row],[Type]]="checklist-flat"), Master[[#This Row],[Name]], F1134)</f>
        <v>C - S - Pipe Laying - Water</v>
      </c>
      <c r="G1135" s="34" t="s">
        <v>49</v>
      </c>
      <c r="H1135" s="34" t="s">
        <v>76</v>
      </c>
      <c r="I1135" s="35"/>
      <c r="J1135" s="21">
        <f ca="1">_xlfn.XLOOKUP(Master[[#This Row],[Checklist]],Ref!A:A,Ref!B:B)*1000</f>
        <v>108000</v>
      </c>
      <c r="K1135" s="21">
        <f ca="1">COUNTIF($J$2:Master[[#This Row],[ChecklistID]],Master[[#This Row],[ChecklistID]])-1</f>
        <v>3</v>
      </c>
      <c r="L1135" s="23" t="s">
        <v>6</v>
      </c>
    </row>
    <row r="1136" spans="1:12" ht="15.75">
      <c r="A1136" s="23">
        <f t="shared" si="18"/>
        <v>1135</v>
      </c>
      <c r="B1136" s="21">
        <f ca="1">Master[[#This Row],[ChecklistID]]+Master[[#This Row],[Checklist Order]]</f>
        <v>108004</v>
      </c>
      <c r="C1136" s="22"/>
      <c r="D1136" s="3" t="str" cm="1">
        <f t="array" aca="1" ref="D1136" ca="1">_xlfn.SWITCH(MID(Master[[#This Row],[Checklist]],1,4),"C - ","Civil","F - ","Foundation","ST -","Structure","FC -","Façade","PRE ","Pre-Line","POST","Post-Line","H - ","Handover","S - ","Services","CST ","Completion Docs", "I - ", "Inspection")</f>
        <v>Civil</v>
      </c>
      <c r="E11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6" s="24" t="str">
        <f ca="1">IF(OR(Master[[#This Row],[Type]]="checklist", Master[[#This Row],[Type]]="checklist-flat"), Master[[#This Row],[Name]], F1135)</f>
        <v>C - S - Pipe Laying - Water</v>
      </c>
      <c r="G1136" s="34" t="s">
        <v>49</v>
      </c>
      <c r="H1136" s="34" t="s">
        <v>77</v>
      </c>
      <c r="I1136" s="35"/>
      <c r="J1136" s="21">
        <f ca="1">_xlfn.XLOOKUP(Master[[#This Row],[Checklist]],Ref!A:A,Ref!B:B)*1000</f>
        <v>108000</v>
      </c>
      <c r="K1136" s="21">
        <f ca="1">COUNTIF($J$2:Master[[#This Row],[ChecklistID]],Master[[#This Row],[ChecklistID]])-1</f>
        <v>4</v>
      </c>
      <c r="L1136" s="23" t="s">
        <v>6</v>
      </c>
    </row>
    <row r="1137" spans="1:12" ht="15.75">
      <c r="A1137" s="23">
        <f t="shared" si="18"/>
        <v>1136</v>
      </c>
      <c r="B1137" s="21">
        <f ca="1">Master[[#This Row],[ChecklistID]]+Master[[#This Row],[Checklist Order]]</f>
        <v>108005</v>
      </c>
      <c r="C1137" s="22"/>
      <c r="D1137" s="3" t="str" cm="1">
        <f t="array" aca="1" ref="D1137" ca="1">_xlfn.SWITCH(MID(Master[[#This Row],[Checklist]],1,4),"C - ","Civil","F - ","Foundation","ST -","Structure","FC -","Façade","PRE ","Pre-Line","POST","Post-Line","H - ","Handover","S - ","Services","CST ","Completion Docs", "I - ", "Inspection")</f>
        <v>Civil</v>
      </c>
      <c r="E11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7" s="24" t="str">
        <f ca="1">IF(OR(Master[[#This Row],[Type]]="checklist", Master[[#This Row],[Type]]="checklist-flat"), Master[[#This Row],[Name]], F1136)</f>
        <v>C - S - Pipe Laying - Water</v>
      </c>
      <c r="G1137" s="34" t="s">
        <v>49</v>
      </c>
      <c r="H1137" s="34" t="s">
        <v>78</v>
      </c>
      <c r="I1137" s="35"/>
      <c r="J1137" s="21">
        <f ca="1">_xlfn.XLOOKUP(Master[[#This Row],[Checklist]],Ref!A:A,Ref!B:B)*1000</f>
        <v>108000</v>
      </c>
      <c r="K1137" s="21">
        <f ca="1">COUNTIF($J$2:Master[[#This Row],[ChecklistID]],Master[[#This Row],[ChecklistID]])-1</f>
        <v>5</v>
      </c>
      <c r="L1137" s="23" t="s">
        <v>6</v>
      </c>
    </row>
    <row r="1138" spans="1:12" ht="15.75">
      <c r="A1138" s="23">
        <f t="shared" si="18"/>
        <v>1137</v>
      </c>
      <c r="B1138" s="21">
        <f ca="1">Master[[#This Row],[ChecklistID]]+Master[[#This Row],[Checklist Order]]</f>
        <v>108006</v>
      </c>
      <c r="C1138" s="22"/>
      <c r="D1138" s="3" t="str" cm="1">
        <f t="array" aca="1" ref="D1138" ca="1">_xlfn.SWITCH(MID(Master[[#This Row],[Checklist]],1,4),"C - ","Civil","F - ","Foundation","ST -","Structure","FC -","Façade","PRE ","Pre-Line","POST","Post-Line","H - ","Handover","S - ","Services","CST ","Completion Docs", "I - ", "Inspection")</f>
        <v>Civil</v>
      </c>
      <c r="E11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8" s="24" t="str">
        <f ca="1">IF(OR(Master[[#This Row],[Type]]="checklist", Master[[#This Row],[Type]]="checklist-flat"), Master[[#This Row],[Name]], F1137)</f>
        <v>C - S - Pipe Laying - Water</v>
      </c>
      <c r="G1138" s="34" t="s">
        <v>49</v>
      </c>
      <c r="H1138" s="34" t="s">
        <v>81</v>
      </c>
      <c r="I1138" s="35"/>
      <c r="J1138" s="21">
        <f ca="1">_xlfn.XLOOKUP(Master[[#This Row],[Checklist]],Ref!A:A,Ref!B:B)*1000</f>
        <v>108000</v>
      </c>
      <c r="K1138" s="21">
        <f ca="1">COUNTIF($J$2:Master[[#This Row],[ChecklistID]],Master[[#This Row],[ChecklistID]])-1</f>
        <v>6</v>
      </c>
      <c r="L1138" s="23" t="s">
        <v>6</v>
      </c>
    </row>
    <row r="1139" spans="1:12" ht="15.75">
      <c r="A1139" s="23">
        <f t="shared" si="18"/>
        <v>1138</v>
      </c>
      <c r="B1139" s="21">
        <f ca="1">Master[[#This Row],[ChecklistID]]+Master[[#This Row],[Checklist Order]]</f>
        <v>108007</v>
      </c>
      <c r="C1139" s="22"/>
      <c r="D1139" s="3" t="str" cm="1">
        <f t="array" aca="1" ref="D1139" ca="1">_xlfn.SWITCH(MID(Master[[#This Row],[Checklist]],1,4),"C - ","Civil","F - ","Foundation","ST -","Structure","FC -","Façade","PRE ","Pre-Line","POST","Post-Line","H - ","Handover","S - ","Services","CST ","Completion Docs", "I - ", "Inspection")</f>
        <v>Civil</v>
      </c>
      <c r="E11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39" s="24" t="str">
        <f ca="1">IF(OR(Master[[#This Row],[Type]]="checklist", Master[[#This Row],[Type]]="checklist-flat"), Master[[#This Row],[Name]], F1138)</f>
        <v>C - S - Pipe Laying - Water</v>
      </c>
      <c r="G1139" s="34" t="s">
        <v>49</v>
      </c>
      <c r="H1139" s="34" t="s">
        <v>82</v>
      </c>
      <c r="I1139" s="35"/>
      <c r="J1139" s="21">
        <f ca="1">_xlfn.XLOOKUP(Master[[#This Row],[Checklist]],Ref!A:A,Ref!B:B)*1000</f>
        <v>108000</v>
      </c>
      <c r="K1139" s="21">
        <f ca="1">COUNTIF($J$2:Master[[#This Row],[ChecklistID]],Master[[#This Row],[ChecklistID]])-1</f>
        <v>7</v>
      </c>
      <c r="L1139" s="23" t="s">
        <v>6</v>
      </c>
    </row>
    <row r="1140" spans="1:12" ht="15.75">
      <c r="A1140" s="23">
        <f t="shared" si="18"/>
        <v>1139</v>
      </c>
      <c r="B1140" s="21">
        <f ca="1">Master[[#This Row],[ChecklistID]]+Master[[#This Row],[Checklist Order]]</f>
        <v>108008</v>
      </c>
      <c r="C1140" s="22"/>
      <c r="D1140" s="3" t="str" cm="1">
        <f t="array" aca="1" ref="D1140" ca="1">_xlfn.SWITCH(MID(Master[[#This Row],[Checklist]],1,4),"C - ","Civil","F - ","Foundation","ST -","Structure","FC -","Façade","PRE ","Pre-Line","POST","Post-Line","H - ","Handover","S - ","Services","CST ","Completion Docs", "I - ", "Inspection")</f>
        <v>Civil</v>
      </c>
      <c r="E11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0" s="24" t="str">
        <f ca="1">IF(OR(Master[[#This Row],[Type]]="checklist", Master[[#This Row],[Type]]="checklist-flat"), Master[[#This Row],[Name]], F1139)</f>
        <v>C - S - Pipe Laying - Water</v>
      </c>
      <c r="G1140" s="34" t="s">
        <v>49</v>
      </c>
      <c r="H1140" s="34" t="s">
        <v>57</v>
      </c>
      <c r="I1140" s="35"/>
      <c r="J1140" s="21">
        <f ca="1">_xlfn.XLOOKUP(Master[[#This Row],[Checklist]],Ref!A:A,Ref!B:B)*1000</f>
        <v>108000</v>
      </c>
      <c r="K1140" s="21">
        <f ca="1">COUNTIF($J$2:Master[[#This Row],[ChecklistID]],Master[[#This Row],[ChecklistID]])-1</f>
        <v>8</v>
      </c>
      <c r="L1140" s="23" t="s">
        <v>6</v>
      </c>
    </row>
    <row r="1141" spans="1:12" ht="15.75">
      <c r="A1141" s="23">
        <f t="shared" si="18"/>
        <v>1140</v>
      </c>
      <c r="B1141" s="21">
        <f ca="1">Master[[#This Row],[ChecklistID]]+Master[[#This Row],[Checklist Order]]</f>
        <v>108009</v>
      </c>
      <c r="C1141" s="22"/>
      <c r="D1141" s="3" t="str" cm="1">
        <f t="array" aca="1" ref="D1141" ca="1">_xlfn.SWITCH(MID(Master[[#This Row],[Checklist]],1,4),"C - ","Civil","F - ","Foundation","ST -","Structure","FC -","Façade","PRE ","Pre-Line","POST","Post-Line","H - ","Handover","S - ","Services","CST ","Completion Docs", "I - ", "Inspection")</f>
        <v>Civil</v>
      </c>
      <c r="E11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1" s="24" t="str">
        <f ca="1">IF(OR(Master[[#This Row],[Type]]="checklist", Master[[#This Row],[Type]]="checklist-flat"), Master[[#This Row],[Name]], F1140)</f>
        <v>C - S - Pipe Laying - Water</v>
      </c>
      <c r="G1141" s="34" t="s">
        <v>58</v>
      </c>
      <c r="H1141" s="34" t="s">
        <v>59</v>
      </c>
      <c r="I1141" s="35"/>
      <c r="J1141" s="21">
        <f ca="1">_xlfn.XLOOKUP(Master[[#This Row],[Checklist]],Ref!A:A,Ref!B:B)*1000</f>
        <v>108000</v>
      </c>
      <c r="K1141" s="21">
        <f ca="1">COUNTIF($J$2:Master[[#This Row],[ChecklistID]],Master[[#This Row],[ChecklistID]])-1</f>
        <v>9</v>
      </c>
      <c r="L1141" s="23" t="s">
        <v>6</v>
      </c>
    </row>
    <row r="1142" spans="1:12" ht="15.75">
      <c r="A1142" s="23">
        <f t="shared" si="18"/>
        <v>1141</v>
      </c>
      <c r="B1142" s="21">
        <f ca="1">Master[[#This Row],[ChecklistID]]+Master[[#This Row],[Checklist Order]]</f>
        <v>109000</v>
      </c>
      <c r="C1142" s="22"/>
      <c r="D1142" s="3" t="str" cm="1">
        <f t="array" aca="1" ref="D1142" ca="1">_xlfn.SWITCH(MID(Master[[#This Row],[Checklist]],1,4),"C - ","Civil","F - ","Foundation","ST -","Structure","FC -","Façade","PRE ","Pre-Line","POST","Post-Line","H - ","Handover","S - ","Services","CST ","Completion Docs", "I - ", "Inspection")</f>
        <v>Civil</v>
      </c>
      <c r="E11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2" s="24" t="str">
        <f ca="1">IF(OR(Master[[#This Row],[Type]]="checklist", Master[[#This Row],[Type]]="checklist-flat"), Master[[#This Row],[Name]], F1141)</f>
        <v>C - S - Retaining Walls</v>
      </c>
      <c r="G1142" s="34" t="s">
        <v>48</v>
      </c>
      <c r="H1142" s="34" t="s">
        <v>428</v>
      </c>
      <c r="I1142" s="35"/>
      <c r="J1142" s="21">
        <f ca="1">_xlfn.XLOOKUP(Master[[#This Row],[Checklist]],Ref!A:A,Ref!B:B)*1000</f>
        <v>109000</v>
      </c>
      <c r="K1142" s="21">
        <f ca="1">COUNTIF($J$2:Master[[#This Row],[ChecklistID]],Master[[#This Row],[ChecklistID]])-1</f>
        <v>0</v>
      </c>
      <c r="L1142" s="23" t="s">
        <v>6</v>
      </c>
    </row>
    <row r="1143" spans="1:12" ht="15.75">
      <c r="A1143" s="23">
        <f t="shared" si="18"/>
        <v>1142</v>
      </c>
      <c r="B1143" s="21">
        <f ca="1">Master[[#This Row],[ChecklistID]]+Master[[#This Row],[Checklist Order]]</f>
        <v>109001</v>
      </c>
      <c r="C1143" s="22"/>
      <c r="D1143" s="3" t="str" cm="1">
        <f t="array" aca="1" ref="D1143" ca="1">_xlfn.SWITCH(MID(Master[[#This Row],[Checklist]],1,4),"C - ","Civil","F - ","Foundation","ST -","Structure","FC -","Façade","PRE ","Pre-Line","POST","Post-Line","H - ","Handover","S - ","Services","CST ","Completion Docs", "I - ", "Inspection")</f>
        <v>Civil</v>
      </c>
      <c r="E11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3" s="24" t="str">
        <f ca="1">IF(OR(Master[[#This Row],[Type]]="checklist", Master[[#This Row],[Type]]="checklist-flat"), Master[[#This Row],[Name]], F1142)</f>
        <v>C - S - Retaining Walls</v>
      </c>
      <c r="G1143" s="34" t="s">
        <v>49</v>
      </c>
      <c r="H1143" s="34" t="s">
        <v>429</v>
      </c>
      <c r="I1143" s="35"/>
      <c r="J1143" s="21">
        <f ca="1">_xlfn.XLOOKUP(Master[[#This Row],[Checklist]],Ref!A:A,Ref!B:B)*1000</f>
        <v>109000</v>
      </c>
      <c r="K1143" s="21">
        <f ca="1">COUNTIF($J$2:Master[[#This Row],[ChecklistID]],Master[[#This Row],[ChecklistID]])-1</f>
        <v>1</v>
      </c>
      <c r="L1143" s="23" t="s">
        <v>6</v>
      </c>
    </row>
    <row r="1144" spans="1:12" ht="15.75">
      <c r="A1144" s="23">
        <f t="shared" si="18"/>
        <v>1143</v>
      </c>
      <c r="B1144" s="21">
        <f ca="1">Master[[#This Row],[ChecklistID]]+Master[[#This Row],[Checklist Order]]</f>
        <v>109002</v>
      </c>
      <c r="C1144" s="22"/>
      <c r="D1144" s="3" t="str" cm="1">
        <f t="array" aca="1" ref="D1144" ca="1">_xlfn.SWITCH(MID(Master[[#This Row],[Checklist]],1,4),"C - ","Civil","F - ","Foundation","ST -","Structure","FC -","Façade","PRE ","Pre-Line","POST","Post-Line","H - ","Handover","S - ","Services","CST ","Completion Docs", "I - ", "Inspection")</f>
        <v>Civil</v>
      </c>
      <c r="E11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4" s="24" t="str">
        <f ca="1">IF(OR(Master[[#This Row],[Type]]="checklist", Master[[#This Row],[Type]]="checklist-flat"), Master[[#This Row],[Name]], F1143)</f>
        <v>C - S - Retaining Walls</v>
      </c>
      <c r="G1144" s="34" t="s">
        <v>49</v>
      </c>
      <c r="H1144" s="34" t="s">
        <v>430</v>
      </c>
      <c r="I1144" s="35"/>
      <c r="J1144" s="21">
        <f ca="1">_xlfn.XLOOKUP(Master[[#This Row],[Checklist]],Ref!A:A,Ref!B:B)*1000</f>
        <v>109000</v>
      </c>
      <c r="K1144" s="21">
        <f ca="1">COUNTIF($J$2:Master[[#This Row],[ChecklistID]],Master[[#This Row],[ChecklistID]])-1</f>
        <v>2</v>
      </c>
      <c r="L1144" s="23" t="s">
        <v>6</v>
      </c>
    </row>
    <row r="1145" spans="1:12" ht="15.75">
      <c r="A1145" s="23">
        <f t="shared" si="18"/>
        <v>1144</v>
      </c>
      <c r="B1145" s="21">
        <f ca="1">Master[[#This Row],[ChecklistID]]+Master[[#This Row],[Checklist Order]]</f>
        <v>109003</v>
      </c>
      <c r="C1145" s="22"/>
      <c r="D1145" s="3" t="str" cm="1">
        <f t="array" aca="1" ref="D1145" ca="1">_xlfn.SWITCH(MID(Master[[#This Row],[Checklist]],1,4),"C - ","Civil","F - ","Foundation","ST -","Structure","FC -","Façade","PRE ","Pre-Line","POST","Post-Line","H - ","Handover","S - ","Services","CST ","Completion Docs", "I - ", "Inspection")</f>
        <v>Civil</v>
      </c>
      <c r="E11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5" s="24" t="str">
        <f ca="1">IF(OR(Master[[#This Row],[Type]]="checklist", Master[[#This Row],[Type]]="checklist-flat"), Master[[#This Row],[Name]], F1144)</f>
        <v>C - S - Retaining Walls</v>
      </c>
      <c r="G1145" s="34" t="s">
        <v>49</v>
      </c>
      <c r="H1145" s="34" t="s">
        <v>431</v>
      </c>
      <c r="I1145" s="35"/>
      <c r="J1145" s="21">
        <f ca="1">_xlfn.XLOOKUP(Master[[#This Row],[Checklist]],Ref!A:A,Ref!B:B)*1000</f>
        <v>109000</v>
      </c>
      <c r="K1145" s="21">
        <f ca="1">COUNTIF($J$2:Master[[#This Row],[ChecklistID]],Master[[#This Row],[ChecklistID]])-1</f>
        <v>3</v>
      </c>
      <c r="L1145" s="23" t="s">
        <v>6</v>
      </c>
    </row>
    <row r="1146" spans="1:12" ht="15.75">
      <c r="A1146" s="23">
        <f t="shared" si="18"/>
        <v>1145</v>
      </c>
      <c r="B1146" s="21">
        <f ca="1">Master[[#This Row],[ChecklistID]]+Master[[#This Row],[Checklist Order]]</f>
        <v>109004</v>
      </c>
      <c r="C1146" s="22"/>
      <c r="D1146" s="3" t="str" cm="1">
        <f t="array" aca="1" ref="D1146" ca="1">_xlfn.SWITCH(MID(Master[[#This Row],[Checklist]],1,4),"C - ","Civil","F - ","Foundation","ST -","Structure","FC -","Façade","PRE ","Pre-Line","POST","Post-Line","H - ","Handover","S - ","Services","CST ","Completion Docs", "I - ", "Inspection")</f>
        <v>Civil</v>
      </c>
      <c r="E11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6" s="24" t="str">
        <f ca="1">IF(OR(Master[[#This Row],[Type]]="checklist", Master[[#This Row],[Type]]="checklist-flat"), Master[[#This Row],[Name]], F1145)</f>
        <v>C - S - Retaining Walls</v>
      </c>
      <c r="G1146" s="34" t="s">
        <v>49</v>
      </c>
      <c r="H1146" s="34" t="s">
        <v>432</v>
      </c>
      <c r="I1146" s="35"/>
      <c r="J1146" s="21">
        <f ca="1">_xlfn.XLOOKUP(Master[[#This Row],[Checklist]],Ref!A:A,Ref!B:B)*1000</f>
        <v>109000</v>
      </c>
      <c r="K1146" s="21">
        <f ca="1">COUNTIF($J$2:Master[[#This Row],[ChecklistID]],Master[[#This Row],[ChecklistID]])-1</f>
        <v>4</v>
      </c>
      <c r="L1146" s="23" t="s">
        <v>6</v>
      </c>
    </row>
    <row r="1147" spans="1:12" ht="15.75">
      <c r="A1147" s="23">
        <f t="shared" si="18"/>
        <v>1146</v>
      </c>
      <c r="B1147" s="21">
        <f ca="1">Master[[#This Row],[ChecklistID]]+Master[[#This Row],[Checklist Order]]</f>
        <v>109005</v>
      </c>
      <c r="C1147" s="22"/>
      <c r="D1147" s="3" t="str" cm="1">
        <f t="array" aca="1" ref="D1147" ca="1">_xlfn.SWITCH(MID(Master[[#This Row],[Checklist]],1,4),"C - ","Civil","F - ","Foundation","ST -","Structure","FC -","Façade","PRE ","Pre-Line","POST","Post-Line","H - ","Handover","S - ","Services","CST ","Completion Docs", "I - ", "Inspection")</f>
        <v>Civil</v>
      </c>
      <c r="E11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7" s="24" t="str">
        <f ca="1">IF(OR(Master[[#This Row],[Type]]="checklist", Master[[#This Row],[Type]]="checklist-flat"), Master[[#This Row],[Name]], F1146)</f>
        <v>C - S - Retaining Walls</v>
      </c>
      <c r="G1147" s="34" t="s">
        <v>49</v>
      </c>
      <c r="H1147" s="34" t="s">
        <v>433</v>
      </c>
      <c r="I1147" s="35"/>
      <c r="J1147" s="21">
        <f ca="1">_xlfn.XLOOKUP(Master[[#This Row],[Checklist]],Ref!A:A,Ref!B:B)*1000</f>
        <v>109000</v>
      </c>
      <c r="K1147" s="21">
        <f ca="1">COUNTIF($J$2:Master[[#This Row],[ChecklistID]],Master[[#This Row],[ChecklistID]])-1</f>
        <v>5</v>
      </c>
      <c r="L1147" s="23" t="s">
        <v>6</v>
      </c>
    </row>
    <row r="1148" spans="1:12" ht="15.75">
      <c r="A1148" s="23">
        <f t="shared" si="18"/>
        <v>1147</v>
      </c>
      <c r="B1148" s="21">
        <f ca="1">Master[[#This Row],[ChecklistID]]+Master[[#This Row],[Checklist Order]]</f>
        <v>109006</v>
      </c>
      <c r="C1148" s="22"/>
      <c r="D1148" s="3" t="str" cm="1">
        <f t="array" aca="1" ref="D1148" ca="1">_xlfn.SWITCH(MID(Master[[#This Row],[Checklist]],1,4),"C - ","Civil","F - ","Foundation","ST -","Structure","FC -","Façade","PRE ","Pre-Line","POST","Post-Line","H - ","Handover","S - ","Services","CST ","Completion Docs", "I - ", "Inspection")</f>
        <v>Civil</v>
      </c>
      <c r="E11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8" s="24" t="str">
        <f ca="1">IF(OR(Master[[#This Row],[Type]]="checklist", Master[[#This Row],[Type]]="checklist-flat"), Master[[#This Row],[Name]], F1147)</f>
        <v>C - S - Retaining Walls</v>
      </c>
      <c r="G1148" s="34" t="s">
        <v>49</v>
      </c>
      <c r="H1148" s="34" t="s">
        <v>434</v>
      </c>
      <c r="I1148" s="35"/>
      <c r="J1148" s="21">
        <f ca="1">_xlfn.XLOOKUP(Master[[#This Row],[Checklist]],Ref!A:A,Ref!B:B)*1000</f>
        <v>109000</v>
      </c>
      <c r="K1148" s="21">
        <f ca="1">COUNTIF($J$2:Master[[#This Row],[ChecklistID]],Master[[#This Row],[ChecklistID]])-1</f>
        <v>6</v>
      </c>
      <c r="L1148" s="23" t="s">
        <v>6</v>
      </c>
    </row>
    <row r="1149" spans="1:12" ht="15.75">
      <c r="A1149" s="23">
        <f t="shared" si="18"/>
        <v>1148</v>
      </c>
      <c r="B1149" s="21">
        <f ca="1">Master[[#This Row],[ChecklistID]]+Master[[#This Row],[Checklist Order]]</f>
        <v>109007</v>
      </c>
      <c r="C1149" s="22"/>
      <c r="D1149" s="3" t="str" cm="1">
        <f t="array" aca="1" ref="D1149" ca="1">_xlfn.SWITCH(MID(Master[[#This Row],[Checklist]],1,4),"C - ","Civil","F - ","Foundation","ST -","Structure","FC -","Façade","PRE ","Pre-Line","POST","Post-Line","H - ","Handover","S - ","Services","CST ","Completion Docs", "I - ", "Inspection")</f>
        <v>Civil</v>
      </c>
      <c r="E11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49" s="24" t="str">
        <f ca="1">IF(OR(Master[[#This Row],[Type]]="checklist", Master[[#This Row],[Type]]="checklist-flat"), Master[[#This Row],[Name]], F1148)</f>
        <v>C - S - Retaining Walls</v>
      </c>
      <c r="G1149" s="34" t="s">
        <v>49</v>
      </c>
      <c r="H1149" s="34" t="s">
        <v>435</v>
      </c>
      <c r="I1149" s="35"/>
      <c r="J1149" s="21">
        <f ca="1">_xlfn.XLOOKUP(Master[[#This Row],[Checklist]],Ref!A:A,Ref!B:B)*1000</f>
        <v>109000</v>
      </c>
      <c r="K1149" s="21">
        <f ca="1">COUNTIF($J$2:Master[[#This Row],[ChecklistID]],Master[[#This Row],[ChecklistID]])-1</f>
        <v>7</v>
      </c>
      <c r="L1149" s="23" t="s">
        <v>6</v>
      </c>
    </row>
    <row r="1150" spans="1:12" ht="15.75">
      <c r="A1150" s="23">
        <f t="shared" si="18"/>
        <v>1149</v>
      </c>
      <c r="B1150" s="21">
        <f ca="1">Master[[#This Row],[ChecklistID]]+Master[[#This Row],[Checklist Order]]</f>
        <v>109008</v>
      </c>
      <c r="C1150" s="22"/>
      <c r="D1150" s="3" t="str" cm="1">
        <f t="array" aca="1" ref="D1150" ca="1">_xlfn.SWITCH(MID(Master[[#This Row],[Checklist]],1,4),"C - ","Civil","F - ","Foundation","ST -","Structure","FC -","Façade","PRE ","Pre-Line","POST","Post-Line","H - ","Handover","S - ","Services","CST ","Completion Docs", "I - ", "Inspection")</f>
        <v>Civil</v>
      </c>
      <c r="E11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0" s="24" t="str">
        <f ca="1">IF(OR(Master[[#This Row],[Type]]="checklist", Master[[#This Row],[Type]]="checklist-flat"), Master[[#This Row],[Name]], F1149)</f>
        <v>C - S - Retaining Walls</v>
      </c>
      <c r="G1150" s="34" t="s">
        <v>49</v>
      </c>
      <c r="H1150" s="34" t="s">
        <v>436</v>
      </c>
      <c r="I1150" s="35"/>
      <c r="J1150" s="21">
        <f ca="1">_xlfn.XLOOKUP(Master[[#This Row],[Checklist]],Ref!A:A,Ref!B:B)*1000</f>
        <v>109000</v>
      </c>
      <c r="K1150" s="21">
        <f ca="1">COUNTIF($J$2:Master[[#This Row],[ChecklistID]],Master[[#This Row],[ChecklistID]])-1</f>
        <v>8</v>
      </c>
      <c r="L1150" s="23" t="s">
        <v>6</v>
      </c>
    </row>
    <row r="1151" spans="1:12" ht="15.75">
      <c r="A1151" s="23">
        <f t="shared" si="18"/>
        <v>1150</v>
      </c>
      <c r="B1151" s="21">
        <f ca="1">Master[[#This Row],[ChecklistID]]+Master[[#This Row],[Checklist Order]]</f>
        <v>109009</v>
      </c>
      <c r="C1151" s="22"/>
      <c r="D1151" s="3" t="str" cm="1">
        <f t="array" aca="1" ref="D1151" ca="1">_xlfn.SWITCH(MID(Master[[#This Row],[Checklist]],1,4),"C - ","Civil","F - ","Foundation","ST -","Structure","FC -","Façade","PRE ","Pre-Line","POST","Post-Line","H - ","Handover","S - ","Services","CST ","Completion Docs", "I - ", "Inspection")</f>
        <v>Civil</v>
      </c>
      <c r="E11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1" s="24" t="str">
        <f ca="1">IF(OR(Master[[#This Row],[Type]]="checklist", Master[[#This Row],[Type]]="checklist-flat"), Master[[#This Row],[Name]], F1150)</f>
        <v>C - S - Retaining Walls</v>
      </c>
      <c r="G1151" s="34" t="s">
        <v>49</v>
      </c>
      <c r="H1151" s="34" t="s">
        <v>1695</v>
      </c>
      <c r="I1151" s="35"/>
      <c r="J1151" s="21">
        <f ca="1">_xlfn.XLOOKUP(Master[[#This Row],[Checklist]],Ref!A:A,Ref!B:B)*1000</f>
        <v>109000</v>
      </c>
      <c r="K1151" s="21">
        <f ca="1">COUNTIF($J$2:Master[[#This Row],[ChecklistID]],Master[[#This Row],[ChecklistID]])-1</f>
        <v>9</v>
      </c>
      <c r="L1151" s="23" t="s">
        <v>6</v>
      </c>
    </row>
    <row r="1152" spans="1:12" ht="15.75">
      <c r="A1152" s="23">
        <f t="shared" si="18"/>
        <v>1151</v>
      </c>
      <c r="B1152" s="21">
        <f ca="1">Master[[#This Row],[ChecklistID]]+Master[[#This Row],[Checklist Order]]</f>
        <v>109010</v>
      </c>
      <c r="C1152" s="22"/>
      <c r="D1152" s="3" t="str" cm="1">
        <f t="array" aca="1" ref="D1152" ca="1">_xlfn.SWITCH(MID(Master[[#This Row],[Checklist]],1,4),"C - ","Civil","F - ","Foundation","ST -","Structure","FC -","Façade","PRE ","Pre-Line","POST","Post-Line","H - ","Handover","S - ","Services","CST ","Completion Docs", "I - ", "Inspection")</f>
        <v>Civil</v>
      </c>
      <c r="E11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2" s="24" t="str">
        <f ca="1">IF(OR(Master[[#This Row],[Type]]="checklist", Master[[#This Row],[Type]]="checklist-flat"), Master[[#This Row],[Name]], F1151)</f>
        <v>C - S - Retaining Walls</v>
      </c>
      <c r="G1152" s="34" t="s">
        <v>49</v>
      </c>
      <c r="H1152" s="34" t="s">
        <v>438</v>
      </c>
      <c r="I1152" s="35"/>
      <c r="J1152" s="21">
        <f ca="1">_xlfn.XLOOKUP(Master[[#This Row],[Checklist]],Ref!A:A,Ref!B:B)*1000</f>
        <v>109000</v>
      </c>
      <c r="K1152" s="21">
        <f ca="1">COUNTIF($J$2:Master[[#This Row],[ChecklistID]],Master[[#This Row],[ChecklistID]])-1</f>
        <v>10</v>
      </c>
      <c r="L1152" s="23" t="s">
        <v>6</v>
      </c>
    </row>
    <row r="1153" spans="1:12" ht="15.75">
      <c r="A1153" s="23">
        <f t="shared" si="18"/>
        <v>1152</v>
      </c>
      <c r="B1153" s="21">
        <f ca="1">Master[[#This Row],[ChecklistID]]+Master[[#This Row],[Checklist Order]]</f>
        <v>109011</v>
      </c>
      <c r="C1153" s="22"/>
      <c r="D1153" s="3" t="str" cm="1">
        <f t="array" aca="1" ref="D1153" ca="1">_xlfn.SWITCH(MID(Master[[#This Row],[Checklist]],1,4),"C - ","Civil","F - ","Foundation","ST -","Structure","FC -","Façade","PRE ","Pre-Line","POST","Post-Line","H - ","Handover","S - ","Services","CST ","Completion Docs", "I - ", "Inspection")</f>
        <v>Civil</v>
      </c>
      <c r="E11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3" s="24" t="str">
        <f ca="1">IF(OR(Master[[#This Row],[Type]]="checklist", Master[[#This Row],[Type]]="checklist-flat"), Master[[#This Row],[Name]], F1152)</f>
        <v>C - S - Retaining Walls</v>
      </c>
      <c r="G1153" s="34" t="s">
        <v>49</v>
      </c>
      <c r="H1153" s="34" t="s">
        <v>57</v>
      </c>
      <c r="I1153" s="35"/>
      <c r="J1153" s="21">
        <f ca="1">_xlfn.XLOOKUP(Master[[#This Row],[Checklist]],Ref!A:A,Ref!B:B)*1000</f>
        <v>109000</v>
      </c>
      <c r="K1153" s="21">
        <f ca="1">COUNTIF($J$2:Master[[#This Row],[ChecklistID]],Master[[#This Row],[ChecklistID]])-1</f>
        <v>11</v>
      </c>
      <c r="L1153" s="23" t="s">
        <v>6</v>
      </c>
    </row>
    <row r="1154" spans="1:12" ht="15.75">
      <c r="A1154" s="23">
        <f t="shared" si="18"/>
        <v>1153</v>
      </c>
      <c r="B1154" s="21">
        <f ca="1">Master[[#This Row],[ChecklistID]]+Master[[#This Row],[Checklist Order]]</f>
        <v>109012</v>
      </c>
      <c r="C1154" s="22"/>
      <c r="D1154" s="3" t="str" cm="1">
        <f t="array" aca="1" ref="D1154" ca="1">_xlfn.SWITCH(MID(Master[[#This Row],[Checklist]],1,4),"C - ","Civil","F - ","Foundation","ST -","Structure","FC -","Façade","PRE ","Pre-Line","POST","Post-Line","H - ","Handover","S - ","Services","CST ","Completion Docs", "I - ", "Inspection")</f>
        <v>Civil</v>
      </c>
      <c r="E11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4" s="24" t="str">
        <f ca="1">IF(OR(Master[[#This Row],[Type]]="checklist", Master[[#This Row],[Type]]="checklist-flat"), Master[[#This Row],[Name]], F1153)</f>
        <v>C - S - Retaining Walls</v>
      </c>
      <c r="G1154" s="34" t="s">
        <v>58</v>
      </c>
      <c r="H1154" s="34" t="s">
        <v>59</v>
      </c>
      <c r="I1154" s="35"/>
      <c r="J1154" s="21">
        <f ca="1">_xlfn.XLOOKUP(Master[[#This Row],[Checklist]],Ref!A:A,Ref!B:B)*1000</f>
        <v>109000</v>
      </c>
      <c r="K1154" s="21">
        <f ca="1">COUNTIF($J$2:Master[[#This Row],[ChecklistID]],Master[[#This Row],[ChecklistID]])-1</f>
        <v>12</v>
      </c>
      <c r="L1154" s="23" t="s">
        <v>6</v>
      </c>
    </row>
    <row r="1155" spans="1:12" ht="15.75">
      <c r="A1155" s="23">
        <f t="shared" si="18"/>
        <v>1154</v>
      </c>
      <c r="B1155" s="21">
        <f ca="1">Master[[#This Row],[ChecklistID]]+Master[[#This Row],[Checklist Order]]</f>
        <v>110000</v>
      </c>
      <c r="C1155" s="22"/>
      <c r="D1155" s="3" t="str" cm="1">
        <f t="array" aca="1" ref="D1155" ca="1">_xlfn.SWITCH(MID(Master[[#This Row],[Checklist]],1,4),"C - ","Civil","F - ","Foundation","ST -","Structure","FC -","Façade","PRE ","Pre-Line","POST","Post-Line","H - ","Handover","S - ","Services","CST ","Completion Docs", "I - ", "Inspection")</f>
        <v>Civil</v>
      </c>
      <c r="E11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5" s="24" t="str">
        <f ca="1">IF(OR(Master[[#This Row],[Type]]="checklist", Master[[#This Row],[Type]]="checklist-flat"), Master[[#This Row],[Name]], F1154)</f>
        <v>C - S - Rodding Eye</v>
      </c>
      <c r="G1155" s="34" t="s">
        <v>48</v>
      </c>
      <c r="H1155" s="34" t="s">
        <v>439</v>
      </c>
      <c r="I1155" s="35"/>
      <c r="J1155" s="21">
        <f ca="1">_xlfn.XLOOKUP(Master[[#This Row],[Checklist]],Ref!A:A,Ref!B:B)*1000</f>
        <v>110000</v>
      </c>
      <c r="K1155" s="21">
        <f ca="1">COUNTIF($J$2:Master[[#This Row],[ChecklistID]],Master[[#This Row],[ChecklistID]])-1</f>
        <v>0</v>
      </c>
      <c r="L1155" s="23" t="s">
        <v>6</v>
      </c>
    </row>
    <row r="1156" spans="1:12" ht="15.75">
      <c r="A1156" s="23">
        <f t="shared" si="18"/>
        <v>1155</v>
      </c>
      <c r="B1156" s="21">
        <f ca="1">Master[[#This Row],[ChecklistID]]+Master[[#This Row],[Checklist Order]]</f>
        <v>110001</v>
      </c>
      <c r="C1156" s="22"/>
      <c r="D1156" s="3" t="str" cm="1">
        <f t="array" aca="1" ref="D1156" ca="1">_xlfn.SWITCH(MID(Master[[#This Row],[Checklist]],1,4),"C - ","Civil","F - ","Foundation","ST -","Structure","FC -","Façade","PRE ","Pre-Line","POST","Post-Line","H - ","Handover","S - ","Services","CST ","Completion Docs", "I - ", "Inspection")</f>
        <v>Civil</v>
      </c>
      <c r="E11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6" s="24" t="str">
        <f ca="1">IF(OR(Master[[#This Row],[Type]]="checklist", Master[[#This Row],[Type]]="checklist-flat"), Master[[#This Row],[Name]], F1155)</f>
        <v>C - S - Rodding Eye</v>
      </c>
      <c r="G1156" s="34" t="s">
        <v>49</v>
      </c>
      <c r="H1156" s="34" t="s">
        <v>74</v>
      </c>
      <c r="I1156" s="35"/>
      <c r="J1156" s="21">
        <f ca="1">_xlfn.XLOOKUP(Master[[#This Row],[Checklist]],Ref!A:A,Ref!B:B)*1000</f>
        <v>110000</v>
      </c>
      <c r="K1156" s="21">
        <f ca="1">COUNTIF($J$2:Master[[#This Row],[ChecklistID]],Master[[#This Row],[ChecklistID]])-1</f>
        <v>1</v>
      </c>
      <c r="L1156" s="23" t="s">
        <v>6</v>
      </c>
    </row>
    <row r="1157" spans="1:12" ht="15.75">
      <c r="A1157" s="23">
        <f t="shared" si="18"/>
        <v>1156</v>
      </c>
      <c r="B1157" s="21">
        <f ca="1">Master[[#This Row],[ChecklistID]]+Master[[#This Row],[Checklist Order]]</f>
        <v>110002</v>
      </c>
      <c r="C1157" s="22"/>
      <c r="D1157" s="3" t="str" cm="1">
        <f t="array" aca="1" ref="D1157" ca="1">_xlfn.SWITCH(MID(Master[[#This Row],[Checklist]],1,4),"C - ","Civil","F - ","Foundation","ST -","Structure","FC -","Façade","PRE ","Pre-Line","POST","Post-Line","H - ","Handover","S - ","Services","CST ","Completion Docs", "I - ", "Inspection")</f>
        <v>Civil</v>
      </c>
      <c r="E11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7" s="24" t="str">
        <f ca="1">IF(OR(Master[[#This Row],[Type]]="checklist", Master[[#This Row],[Type]]="checklist-flat"), Master[[#This Row],[Name]], F1156)</f>
        <v>C - S - Rodding Eye</v>
      </c>
      <c r="G1157" s="34" t="s">
        <v>49</v>
      </c>
      <c r="H1157" s="34" t="s">
        <v>440</v>
      </c>
      <c r="I1157" s="35"/>
      <c r="J1157" s="21">
        <f ca="1">_xlfn.XLOOKUP(Master[[#This Row],[Checklist]],Ref!A:A,Ref!B:B)*1000</f>
        <v>110000</v>
      </c>
      <c r="K1157" s="21">
        <f ca="1">COUNTIF($J$2:Master[[#This Row],[ChecklistID]],Master[[#This Row],[ChecklistID]])-1</f>
        <v>2</v>
      </c>
      <c r="L1157" s="23" t="s">
        <v>6</v>
      </c>
    </row>
    <row r="1158" spans="1:12" ht="15.75">
      <c r="A1158" s="23">
        <f t="shared" si="18"/>
        <v>1157</v>
      </c>
      <c r="B1158" s="21">
        <f ca="1">Master[[#This Row],[ChecklistID]]+Master[[#This Row],[Checklist Order]]</f>
        <v>110003</v>
      </c>
      <c r="C1158" s="22"/>
      <c r="D1158" s="3" t="str" cm="1">
        <f t="array" aca="1" ref="D1158" ca="1">_xlfn.SWITCH(MID(Master[[#This Row],[Checklist]],1,4),"C - ","Civil","F - ","Foundation","ST -","Structure","FC -","Façade","PRE ","Pre-Line","POST","Post-Line","H - ","Handover","S - ","Services","CST ","Completion Docs", "I - ", "Inspection")</f>
        <v>Civil</v>
      </c>
      <c r="E11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8" s="24" t="str">
        <f ca="1">IF(OR(Master[[#This Row],[Type]]="checklist", Master[[#This Row],[Type]]="checklist-flat"), Master[[#This Row],[Name]], F1157)</f>
        <v>C - S - Rodding Eye</v>
      </c>
      <c r="G1158" s="34" t="s">
        <v>66</v>
      </c>
      <c r="H1158" s="34" t="s">
        <v>441</v>
      </c>
      <c r="I1158" s="35"/>
      <c r="J1158" s="21">
        <f ca="1">_xlfn.XLOOKUP(Master[[#This Row],[Checklist]],Ref!A:A,Ref!B:B)*1000</f>
        <v>110000</v>
      </c>
      <c r="K1158" s="21">
        <f ca="1">COUNTIF($J$2:Master[[#This Row],[ChecklistID]],Master[[#This Row],[ChecklistID]])-1</f>
        <v>3</v>
      </c>
      <c r="L1158" s="23" t="s">
        <v>6</v>
      </c>
    </row>
    <row r="1159" spans="1:12" ht="15.75">
      <c r="A1159" s="23">
        <f t="shared" si="18"/>
        <v>1158</v>
      </c>
      <c r="B1159" s="21">
        <f ca="1">Master[[#This Row],[ChecklistID]]+Master[[#This Row],[Checklist Order]]</f>
        <v>110004</v>
      </c>
      <c r="C1159" s="22"/>
      <c r="D1159" s="3" t="str" cm="1">
        <f t="array" aca="1" ref="D1159" ca="1">_xlfn.SWITCH(MID(Master[[#This Row],[Checklist]],1,4),"C - ","Civil","F - ","Foundation","ST -","Structure","FC -","Façade","PRE ","Pre-Line","POST","Post-Line","H - ","Handover","S - ","Services","CST ","Completion Docs", "I - ", "Inspection")</f>
        <v>Civil</v>
      </c>
      <c r="E11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59" s="24" t="str">
        <f ca="1">IF(OR(Master[[#This Row],[Type]]="checklist", Master[[#This Row],[Type]]="checklist-flat"), Master[[#This Row],[Name]], F1158)</f>
        <v>C - S - Rodding Eye</v>
      </c>
      <c r="G1159" s="34" t="s">
        <v>66</v>
      </c>
      <c r="H1159" s="34" t="s">
        <v>442</v>
      </c>
      <c r="I1159" s="35"/>
      <c r="J1159" s="21">
        <f ca="1">_xlfn.XLOOKUP(Master[[#This Row],[Checklist]],Ref!A:A,Ref!B:B)*1000</f>
        <v>110000</v>
      </c>
      <c r="K1159" s="21">
        <f ca="1">COUNTIF($J$2:Master[[#This Row],[ChecklistID]],Master[[#This Row],[ChecklistID]])-1</f>
        <v>4</v>
      </c>
      <c r="L1159" s="23" t="s">
        <v>6</v>
      </c>
    </row>
    <row r="1160" spans="1:12" ht="15.75">
      <c r="A1160" s="23">
        <f t="shared" si="18"/>
        <v>1159</v>
      </c>
      <c r="B1160" s="21">
        <f ca="1">Master[[#This Row],[ChecklistID]]+Master[[#This Row],[Checklist Order]]</f>
        <v>110005</v>
      </c>
      <c r="C1160" s="22"/>
      <c r="D1160" s="3" t="str" cm="1">
        <f t="array" aca="1" ref="D1160" ca="1">_xlfn.SWITCH(MID(Master[[#This Row],[Checklist]],1,4),"C - ","Civil","F - ","Foundation","ST -","Structure","FC -","Façade","PRE ","Pre-Line","POST","Post-Line","H - ","Handover","S - ","Services","CST ","Completion Docs", "I - ", "Inspection")</f>
        <v>Civil</v>
      </c>
      <c r="E11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0" s="24" t="str">
        <f ca="1">IF(OR(Master[[#This Row],[Type]]="checklist", Master[[#This Row],[Type]]="checklist-flat"), Master[[#This Row],[Name]], F1159)</f>
        <v>C - S - Rodding Eye</v>
      </c>
      <c r="G1160" s="34" t="s">
        <v>66</v>
      </c>
      <c r="H1160" s="34" t="s">
        <v>340</v>
      </c>
      <c r="I1160" s="35"/>
      <c r="J1160" s="21">
        <f ca="1">_xlfn.XLOOKUP(Master[[#This Row],[Checklist]],Ref!A:A,Ref!B:B)*1000</f>
        <v>110000</v>
      </c>
      <c r="K1160" s="21">
        <f ca="1">COUNTIF($J$2:Master[[#This Row],[ChecklistID]],Master[[#This Row],[ChecklistID]])-1</f>
        <v>5</v>
      </c>
      <c r="L1160" s="23" t="s">
        <v>6</v>
      </c>
    </row>
    <row r="1161" spans="1:12" ht="15.75">
      <c r="A1161" s="23">
        <f t="shared" si="18"/>
        <v>1160</v>
      </c>
      <c r="B1161" s="21">
        <f ca="1">Master[[#This Row],[ChecklistID]]+Master[[#This Row],[Checklist Order]]</f>
        <v>110006</v>
      </c>
      <c r="C1161" s="22"/>
      <c r="D1161" s="3" t="str" cm="1">
        <f t="array" aca="1" ref="D1161" ca="1">_xlfn.SWITCH(MID(Master[[#This Row],[Checklist]],1,4),"C - ","Civil","F - ","Foundation","ST -","Structure","FC -","Façade","PRE ","Pre-Line","POST","Post-Line","H - ","Handover","S - ","Services","CST ","Completion Docs", "I - ", "Inspection")</f>
        <v>Civil</v>
      </c>
      <c r="E11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1" s="24" t="str">
        <f ca="1">IF(OR(Master[[#This Row],[Type]]="checklist", Master[[#This Row],[Type]]="checklist-flat"), Master[[#This Row],[Name]], F1160)</f>
        <v>C - S - Rodding Eye</v>
      </c>
      <c r="G1161" s="34" t="s">
        <v>49</v>
      </c>
      <c r="H1161" s="34" t="s">
        <v>57</v>
      </c>
      <c r="I1161" s="35"/>
      <c r="J1161" s="21">
        <f ca="1">_xlfn.XLOOKUP(Master[[#This Row],[Checklist]],Ref!A:A,Ref!B:B)*1000</f>
        <v>110000</v>
      </c>
      <c r="K1161" s="21">
        <f ca="1">COUNTIF($J$2:Master[[#This Row],[ChecklistID]],Master[[#This Row],[ChecklistID]])-1</f>
        <v>6</v>
      </c>
      <c r="L1161" s="23" t="s">
        <v>6</v>
      </c>
    </row>
    <row r="1162" spans="1:12" ht="15.75">
      <c r="A1162" s="23">
        <f t="shared" si="18"/>
        <v>1161</v>
      </c>
      <c r="B1162" s="21">
        <f ca="1">Master[[#This Row],[ChecklistID]]+Master[[#This Row],[Checklist Order]]</f>
        <v>110007</v>
      </c>
      <c r="C1162" s="22"/>
      <c r="D1162" s="3" t="str" cm="1">
        <f t="array" aca="1" ref="D1162" ca="1">_xlfn.SWITCH(MID(Master[[#This Row],[Checklist]],1,4),"C - ","Civil","F - ","Foundation","ST -","Structure","FC -","Façade","PRE ","Pre-Line","POST","Post-Line","H - ","Handover","S - ","Services","CST ","Completion Docs", "I - ", "Inspection")</f>
        <v>Civil</v>
      </c>
      <c r="E11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2" s="24" t="str">
        <f ca="1">IF(OR(Master[[#This Row],[Type]]="checklist", Master[[#This Row],[Type]]="checklist-flat"), Master[[#This Row],[Name]], F1161)</f>
        <v>C - S - Rodding Eye</v>
      </c>
      <c r="G1162" s="34" t="s">
        <v>58</v>
      </c>
      <c r="H1162" s="34" t="s">
        <v>59</v>
      </c>
      <c r="I1162" s="35"/>
      <c r="J1162" s="21">
        <f ca="1">_xlfn.XLOOKUP(Master[[#This Row],[Checklist]],Ref!A:A,Ref!B:B)*1000</f>
        <v>110000</v>
      </c>
      <c r="K1162" s="21">
        <f ca="1">COUNTIF($J$2:Master[[#This Row],[ChecklistID]],Master[[#This Row],[ChecklistID]])-1</f>
        <v>7</v>
      </c>
      <c r="L1162" s="23" t="s">
        <v>6</v>
      </c>
    </row>
    <row r="1163" spans="1:12" ht="15.75">
      <c r="A1163" s="23">
        <f t="shared" si="18"/>
        <v>1162</v>
      </c>
      <c r="B1163" s="21">
        <f ca="1">Master[[#This Row],[ChecklistID]]+Master[[#This Row],[Checklist Order]]</f>
        <v>111000</v>
      </c>
      <c r="C1163" s="22"/>
      <c r="D1163" s="3" t="str" cm="1">
        <f t="array" aca="1" ref="D1163" ca="1">_xlfn.SWITCH(MID(Master[[#This Row],[Checklist]],1,4),"C - ","Civil","F - ","Foundation","ST -","Structure","FC -","Façade","PRE ","Pre-Line","POST","Post-Line","H - ","Handover","S - ","Services","CST ","Completion Docs", "I - ", "Inspection")</f>
        <v>Structure</v>
      </c>
      <c r="E11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3" s="24" t="str">
        <f ca="1">IF(OR(Master[[#This Row],[Type]]="checklist", Master[[#This Row],[Type]]="checklist-flat"), Master[[#This Row],[Name]], F1162)</f>
        <v>ST - S - Concrete Pour - Without Reo</v>
      </c>
      <c r="G1163" s="34" t="s">
        <v>119</v>
      </c>
      <c r="H1163" s="34" t="s">
        <v>443</v>
      </c>
      <c r="I1163" s="35"/>
      <c r="J1163" s="21">
        <f ca="1">_xlfn.XLOOKUP(Master[[#This Row],[Checklist]],Ref!A:A,Ref!B:B)*1000</f>
        <v>111000</v>
      </c>
      <c r="K1163" s="21">
        <f ca="1">COUNTIF($J$2:Master[[#This Row],[ChecklistID]],Master[[#This Row],[ChecklistID]])-1</f>
        <v>0</v>
      </c>
      <c r="L1163" s="23" t="s">
        <v>6</v>
      </c>
    </row>
    <row r="1164" spans="1:12" ht="15.75">
      <c r="A1164" s="23">
        <f t="shared" si="18"/>
        <v>1163</v>
      </c>
      <c r="B1164" s="21">
        <f ca="1">Master[[#This Row],[ChecklistID]]+Master[[#This Row],[Checklist Order]]</f>
        <v>111001</v>
      </c>
      <c r="C1164" s="22"/>
      <c r="D1164" s="3" t="str" cm="1">
        <f t="array" aca="1" ref="D1164" ca="1">_xlfn.SWITCH(MID(Master[[#This Row],[Checklist]],1,4),"C - ","Civil","F - ","Foundation","ST -","Structure","FC -","Façade","PRE ","Pre-Line","POST","Post-Line","H - ","Handover","S - ","Services","CST ","Completion Docs", "I - ", "Inspection")</f>
        <v>Structure</v>
      </c>
      <c r="E11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4" s="24" t="str">
        <f ca="1">IF(OR(Master[[#This Row],[Type]]="checklist", Master[[#This Row],[Type]]="checklist-flat"), Master[[#This Row],[Name]], F1163)</f>
        <v>ST - S - Concrete Pour - Without Reo</v>
      </c>
      <c r="G1164" s="34" t="s">
        <v>120</v>
      </c>
      <c r="H1164" s="34" t="s">
        <v>249</v>
      </c>
      <c r="I1164" s="35"/>
      <c r="J1164" s="21">
        <f ca="1">_xlfn.XLOOKUP(Master[[#This Row],[Checklist]],Ref!A:A,Ref!B:B)*1000</f>
        <v>111000</v>
      </c>
      <c r="K1164" s="21">
        <f ca="1">COUNTIF($J$2:Master[[#This Row],[ChecklistID]],Master[[#This Row],[ChecklistID]])-1</f>
        <v>1</v>
      </c>
      <c r="L1164" s="23" t="s">
        <v>6</v>
      </c>
    </row>
    <row r="1165" spans="1:12" ht="15.75">
      <c r="A1165" s="23">
        <f t="shared" si="18"/>
        <v>1164</v>
      </c>
      <c r="B1165" s="21">
        <f ca="1">Master[[#This Row],[ChecklistID]]+Master[[#This Row],[Checklist Order]]</f>
        <v>111002</v>
      </c>
      <c r="C1165" s="22"/>
      <c r="D1165" s="3" t="str" cm="1">
        <f t="array" aca="1" ref="D1165" ca="1">_xlfn.SWITCH(MID(Master[[#This Row],[Checklist]],1,4),"C - ","Civil","F - ","Foundation","ST -","Structure","FC -","Façade","PRE ","Pre-Line","POST","Post-Line","H - ","Handover","S - ","Services","CST ","Completion Docs", "I - ", "Inspection")</f>
        <v>Structure</v>
      </c>
      <c r="E11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5" s="24" t="str">
        <f ca="1">IF(OR(Master[[#This Row],[Type]]="checklist", Master[[#This Row],[Type]]="checklist-flat"), Master[[#This Row],[Name]], F1164)</f>
        <v>ST - S - Concrete Pour - Without Reo</v>
      </c>
      <c r="G1165" s="34" t="s">
        <v>49</v>
      </c>
      <c r="H1165" s="34" t="s">
        <v>250</v>
      </c>
      <c r="I1165" s="35"/>
      <c r="J1165" s="21">
        <f ca="1">_xlfn.XLOOKUP(Master[[#This Row],[Checklist]],Ref!A:A,Ref!B:B)*1000</f>
        <v>111000</v>
      </c>
      <c r="K1165" s="21">
        <f ca="1">COUNTIF($J$2:Master[[#This Row],[ChecklistID]],Master[[#This Row],[ChecklistID]])-1</f>
        <v>2</v>
      </c>
      <c r="L1165" s="23" t="s">
        <v>6</v>
      </c>
    </row>
    <row r="1166" spans="1:12" ht="15.75">
      <c r="A1166" s="23">
        <f t="shared" si="18"/>
        <v>1165</v>
      </c>
      <c r="B1166" s="21">
        <f ca="1">Master[[#This Row],[ChecklistID]]+Master[[#This Row],[Checklist Order]]</f>
        <v>111003</v>
      </c>
      <c r="C1166" s="22"/>
      <c r="D1166" s="3" t="str" cm="1">
        <f t="array" aca="1" ref="D1166" ca="1">_xlfn.SWITCH(MID(Master[[#This Row],[Checklist]],1,4),"C - ","Civil","F - ","Foundation","ST -","Structure","FC -","Façade","PRE ","Pre-Line","POST","Post-Line","H - ","Handover","S - ","Services","CST ","Completion Docs", "I - ", "Inspection")</f>
        <v>Structure</v>
      </c>
      <c r="E11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6" s="24" t="str">
        <f ca="1">IF(OR(Master[[#This Row],[Type]]="checklist", Master[[#This Row],[Type]]="checklist-flat"), Master[[#This Row],[Name]], F1165)</f>
        <v>ST - S - Concrete Pour - Without Reo</v>
      </c>
      <c r="G1166" s="34" t="s">
        <v>124</v>
      </c>
      <c r="H1166" s="34" t="s">
        <v>251</v>
      </c>
      <c r="I1166" s="35"/>
      <c r="J1166" s="21">
        <f ca="1">_xlfn.XLOOKUP(Master[[#This Row],[Checklist]],Ref!A:A,Ref!B:B)*1000</f>
        <v>111000</v>
      </c>
      <c r="K1166" s="21">
        <f ca="1">COUNTIF($J$2:Master[[#This Row],[ChecklistID]],Master[[#This Row],[ChecklistID]])-1</f>
        <v>3</v>
      </c>
      <c r="L1166" s="23" t="s">
        <v>6</v>
      </c>
    </row>
    <row r="1167" spans="1:12" ht="15.75">
      <c r="A1167" s="23">
        <f t="shared" si="18"/>
        <v>1166</v>
      </c>
      <c r="B1167" s="21">
        <f ca="1">Master[[#This Row],[ChecklistID]]+Master[[#This Row],[Checklist Order]]</f>
        <v>111004</v>
      </c>
      <c r="C1167" s="22"/>
      <c r="D1167" s="3" t="str" cm="1">
        <f t="array" aca="1" ref="D1167" ca="1">_xlfn.SWITCH(MID(Master[[#This Row],[Checklist]],1,4),"C - ","Civil","F - ","Foundation","ST -","Structure","FC -","Façade","PRE ","Pre-Line","POST","Post-Line","H - ","Handover","S - ","Services","CST ","Completion Docs", "I - ", "Inspection")</f>
        <v>Structure</v>
      </c>
      <c r="E11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7" s="24" t="str">
        <f ca="1">IF(OR(Master[[#This Row],[Type]]="checklist", Master[[#This Row],[Type]]="checklist-flat"), Master[[#This Row],[Name]], F1166)</f>
        <v>ST - S - Concrete Pour - Without Reo</v>
      </c>
      <c r="G1167" s="34" t="s">
        <v>124</v>
      </c>
      <c r="H1167" s="34" t="s">
        <v>252</v>
      </c>
      <c r="I1167" s="35"/>
      <c r="J1167" s="21">
        <f ca="1">_xlfn.XLOOKUP(Master[[#This Row],[Checklist]],Ref!A:A,Ref!B:B)*1000</f>
        <v>111000</v>
      </c>
      <c r="K1167" s="21">
        <f ca="1">COUNTIF($J$2:Master[[#This Row],[ChecklistID]],Master[[#This Row],[ChecklistID]])-1</f>
        <v>4</v>
      </c>
      <c r="L1167" s="23" t="s">
        <v>6</v>
      </c>
    </row>
    <row r="1168" spans="1:12" ht="15.75">
      <c r="A1168" s="23">
        <f t="shared" si="18"/>
        <v>1167</v>
      </c>
      <c r="B1168" s="21">
        <f ca="1">Master[[#This Row],[ChecklistID]]+Master[[#This Row],[Checklist Order]]</f>
        <v>111005</v>
      </c>
      <c r="C1168" s="22"/>
      <c r="D1168" s="3" t="str" cm="1">
        <f t="array" aca="1" ref="D1168" ca="1">_xlfn.SWITCH(MID(Master[[#This Row],[Checklist]],1,4),"C - ","Civil","F - ","Foundation","ST -","Structure","FC -","Façade","PRE ","Pre-Line","POST","Post-Line","H - ","Handover","S - ","Services","CST ","Completion Docs", "I - ", "Inspection")</f>
        <v>Structure</v>
      </c>
      <c r="E11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8" s="24" t="str">
        <f ca="1">IF(OR(Master[[#This Row],[Type]]="checklist", Master[[#This Row],[Type]]="checklist-flat"), Master[[#This Row],[Name]], F1167)</f>
        <v>ST - S - Concrete Pour - Without Reo</v>
      </c>
      <c r="G1168" s="34" t="s">
        <v>49</v>
      </c>
      <c r="H1168" s="34" t="s">
        <v>253</v>
      </c>
      <c r="I1168" s="35"/>
      <c r="J1168" s="21">
        <f ca="1">_xlfn.XLOOKUP(Master[[#This Row],[Checklist]],Ref!A:A,Ref!B:B)*1000</f>
        <v>111000</v>
      </c>
      <c r="K1168" s="21">
        <f ca="1">COUNTIF($J$2:Master[[#This Row],[ChecklistID]],Master[[#This Row],[ChecklistID]])-1</f>
        <v>5</v>
      </c>
      <c r="L1168" s="23" t="s">
        <v>6</v>
      </c>
    </row>
    <row r="1169" spans="1:12" ht="15.75">
      <c r="A1169" s="23">
        <f t="shared" si="18"/>
        <v>1168</v>
      </c>
      <c r="B1169" s="21">
        <f ca="1">Master[[#This Row],[ChecklistID]]+Master[[#This Row],[Checklist Order]]</f>
        <v>111006</v>
      </c>
      <c r="C1169" s="22"/>
      <c r="D1169" s="3" t="str" cm="1">
        <f t="array" aca="1" ref="D1169" ca="1">_xlfn.SWITCH(MID(Master[[#This Row],[Checklist]],1,4),"C - ","Civil","F - ","Foundation","ST -","Structure","FC -","Façade","PRE ","Pre-Line","POST","Post-Line","H - ","Handover","S - ","Services","CST ","Completion Docs", "I - ", "Inspection")</f>
        <v>Structure</v>
      </c>
      <c r="E11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69" s="24" t="str">
        <f ca="1">IF(OR(Master[[#This Row],[Type]]="checklist", Master[[#This Row],[Type]]="checklist-flat"), Master[[#This Row],[Name]], F1168)</f>
        <v>ST - S - Concrete Pour - Without Reo</v>
      </c>
      <c r="G1169" s="34" t="s">
        <v>120</v>
      </c>
      <c r="H1169" s="34" t="s">
        <v>254</v>
      </c>
      <c r="I1169" s="35"/>
      <c r="J1169" s="21">
        <f ca="1">_xlfn.XLOOKUP(Master[[#This Row],[Checklist]],Ref!A:A,Ref!B:B)*1000</f>
        <v>111000</v>
      </c>
      <c r="K1169" s="21">
        <f ca="1">COUNTIF($J$2:Master[[#This Row],[ChecklistID]],Master[[#This Row],[ChecklistID]])-1</f>
        <v>6</v>
      </c>
      <c r="L1169" s="23" t="s">
        <v>6</v>
      </c>
    </row>
    <row r="1170" spans="1:12" ht="15.75">
      <c r="A1170" s="23">
        <f t="shared" si="18"/>
        <v>1169</v>
      </c>
      <c r="B1170" s="21">
        <f ca="1">Master[[#This Row],[ChecklistID]]+Master[[#This Row],[Checklist Order]]</f>
        <v>111007</v>
      </c>
      <c r="C1170" s="22"/>
      <c r="D1170" s="3" t="str" cm="1">
        <f t="array" aca="1" ref="D1170" ca="1">_xlfn.SWITCH(MID(Master[[#This Row],[Checklist]],1,4),"C - ","Civil","F - ","Foundation","ST -","Structure","FC -","Façade","PRE ","Pre-Line","POST","Post-Line","H - ","Handover","S - ","Services","CST ","Completion Docs", "I - ", "Inspection")</f>
        <v>Structure</v>
      </c>
      <c r="E11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0" s="24" t="str">
        <f ca="1">IF(OR(Master[[#This Row],[Type]]="checklist", Master[[#This Row],[Type]]="checklist-flat"), Master[[#This Row],[Name]], F1169)</f>
        <v>ST - S - Concrete Pour - Without Reo</v>
      </c>
      <c r="G1170" s="34" t="s">
        <v>49</v>
      </c>
      <c r="H1170" s="34" t="s">
        <v>255</v>
      </c>
      <c r="I1170" s="35"/>
      <c r="J1170" s="21">
        <f ca="1">_xlfn.XLOOKUP(Master[[#This Row],[Checklist]],Ref!A:A,Ref!B:B)*1000</f>
        <v>111000</v>
      </c>
      <c r="K1170" s="21">
        <f ca="1">COUNTIF($J$2:Master[[#This Row],[ChecklistID]],Master[[#This Row],[ChecklistID]])-1</f>
        <v>7</v>
      </c>
      <c r="L1170" s="23" t="s">
        <v>6</v>
      </c>
    </row>
    <row r="1171" spans="1:12" ht="15.75">
      <c r="A1171" s="23">
        <f t="shared" si="18"/>
        <v>1170</v>
      </c>
      <c r="B1171" s="21">
        <f ca="1">Master[[#This Row],[ChecklistID]]+Master[[#This Row],[Checklist Order]]</f>
        <v>111008</v>
      </c>
      <c r="C1171" s="22"/>
      <c r="D1171" s="3" t="str" cm="1">
        <f t="array" aca="1" ref="D1171" ca="1">_xlfn.SWITCH(MID(Master[[#This Row],[Checklist]],1,4),"C - ","Civil","F - ","Foundation","ST -","Structure","FC -","Façade","PRE ","Pre-Line","POST","Post-Line","H - ","Handover","S - ","Services","CST ","Completion Docs", "I - ", "Inspection")</f>
        <v>Structure</v>
      </c>
      <c r="E11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1" s="24" t="str">
        <f ca="1">IF(OR(Master[[#This Row],[Type]]="checklist", Master[[#This Row],[Type]]="checklist-flat"), Master[[#This Row],[Name]], F1170)</f>
        <v>ST - S - Concrete Pour - Without Reo</v>
      </c>
      <c r="G1171" s="34" t="s">
        <v>49</v>
      </c>
      <c r="H1171" s="34" t="s">
        <v>256</v>
      </c>
      <c r="I1171" s="35"/>
      <c r="J1171" s="21">
        <f ca="1">_xlfn.XLOOKUP(Master[[#This Row],[Checklist]],Ref!A:A,Ref!B:B)*1000</f>
        <v>111000</v>
      </c>
      <c r="K1171" s="21">
        <f ca="1">COUNTIF($J$2:Master[[#This Row],[ChecklistID]],Master[[#This Row],[ChecklistID]])-1</f>
        <v>8</v>
      </c>
      <c r="L1171" s="23" t="s">
        <v>6</v>
      </c>
    </row>
    <row r="1172" spans="1:12" ht="15.75">
      <c r="A1172" s="23">
        <f t="shared" si="18"/>
        <v>1171</v>
      </c>
      <c r="B1172" s="21">
        <f ca="1">Master[[#This Row],[ChecklistID]]+Master[[#This Row],[Checklist Order]]</f>
        <v>111009</v>
      </c>
      <c r="C1172" s="22"/>
      <c r="D1172" s="3" t="str" cm="1">
        <f t="array" aca="1" ref="D1172" ca="1">_xlfn.SWITCH(MID(Master[[#This Row],[Checklist]],1,4),"C - ","Civil","F - ","Foundation","ST -","Structure","FC -","Façade","PRE ","Pre-Line","POST","Post-Line","H - ","Handover","S - ","Services","CST ","Completion Docs", "I - ", "Inspection")</f>
        <v>Structure</v>
      </c>
      <c r="E11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2" s="24" t="str">
        <f ca="1">IF(OR(Master[[#This Row],[Type]]="checklist", Master[[#This Row],[Type]]="checklist-flat"), Master[[#This Row],[Name]], F1171)</f>
        <v>ST - S - Concrete Pour - Without Reo</v>
      </c>
      <c r="G1172" s="34" t="s">
        <v>49</v>
      </c>
      <c r="H1172" s="34" t="s">
        <v>1673</v>
      </c>
      <c r="I1172" s="35"/>
      <c r="J1172" s="21">
        <f ca="1">_xlfn.XLOOKUP(Master[[#This Row],[Checklist]],Ref!A:A,Ref!B:B)*1000</f>
        <v>111000</v>
      </c>
      <c r="K1172" s="21">
        <f ca="1">COUNTIF($J$2:Master[[#This Row],[ChecklistID]],Master[[#This Row],[ChecklistID]])-1</f>
        <v>9</v>
      </c>
      <c r="L1172" s="23" t="s">
        <v>6</v>
      </c>
    </row>
    <row r="1173" spans="1:12" ht="15.75">
      <c r="A1173" s="23">
        <f t="shared" si="18"/>
        <v>1172</v>
      </c>
      <c r="B1173" s="21">
        <f ca="1">Master[[#This Row],[ChecklistID]]+Master[[#This Row],[Checklist Order]]</f>
        <v>111010</v>
      </c>
      <c r="C1173" s="22"/>
      <c r="D1173" s="3" t="str" cm="1">
        <f t="array" aca="1" ref="D1173" ca="1">_xlfn.SWITCH(MID(Master[[#This Row],[Checklist]],1,4),"C - ","Civil","F - ","Foundation","ST -","Structure","FC -","Façade","PRE ","Pre-Line","POST","Post-Line","H - ","Handover","S - ","Services","CST ","Completion Docs", "I - ", "Inspection")</f>
        <v>Structure</v>
      </c>
      <c r="E11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3" s="24" t="str">
        <f ca="1">IF(OR(Master[[#This Row],[Type]]="checklist", Master[[#This Row],[Type]]="checklist-flat"), Master[[#This Row],[Name]], F1172)</f>
        <v>ST - S - Concrete Pour - Without Reo</v>
      </c>
      <c r="G1173" s="34" t="s">
        <v>49</v>
      </c>
      <c r="H1173" s="34" t="s">
        <v>258</v>
      </c>
      <c r="I1173" s="35"/>
      <c r="J1173" s="21">
        <f ca="1">_xlfn.XLOOKUP(Master[[#This Row],[Checklist]],Ref!A:A,Ref!B:B)*1000</f>
        <v>111000</v>
      </c>
      <c r="K1173" s="21">
        <f ca="1">COUNTIF($J$2:Master[[#This Row],[ChecklistID]],Master[[#This Row],[ChecklistID]])-1</f>
        <v>10</v>
      </c>
      <c r="L1173" s="23" t="s">
        <v>6</v>
      </c>
    </row>
    <row r="1174" spans="1:12" ht="15.75">
      <c r="A1174" s="23">
        <f t="shared" si="18"/>
        <v>1173</v>
      </c>
      <c r="B1174" s="21">
        <f ca="1">Master[[#This Row],[ChecklistID]]+Master[[#This Row],[Checklist Order]]</f>
        <v>111011</v>
      </c>
      <c r="C1174" s="22"/>
      <c r="D1174" s="3" t="str" cm="1">
        <f t="array" aca="1" ref="D1174" ca="1">_xlfn.SWITCH(MID(Master[[#This Row],[Checklist]],1,4),"C - ","Civil","F - ","Foundation","ST -","Structure","FC -","Façade","PRE ","Pre-Line","POST","Post-Line","H - ","Handover","S - ","Services","CST ","Completion Docs", "I - ", "Inspection")</f>
        <v>Structure</v>
      </c>
      <c r="E11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4" s="24" t="str">
        <f ca="1">IF(OR(Master[[#This Row],[Type]]="checklist", Master[[#This Row],[Type]]="checklist-flat"), Master[[#This Row],[Name]], F1173)</f>
        <v>ST - S - Concrete Pour - Without Reo</v>
      </c>
      <c r="G1174" s="34" t="s">
        <v>120</v>
      </c>
      <c r="H1174" s="34" t="s">
        <v>273</v>
      </c>
      <c r="I1174" s="35"/>
      <c r="J1174" s="21">
        <f ca="1">_xlfn.XLOOKUP(Master[[#This Row],[Checklist]],Ref!A:A,Ref!B:B)*1000</f>
        <v>111000</v>
      </c>
      <c r="K1174" s="21">
        <f ca="1">COUNTIF($J$2:Master[[#This Row],[ChecklistID]],Master[[#This Row],[ChecklistID]])-1</f>
        <v>11</v>
      </c>
      <c r="L1174" s="23" t="s">
        <v>6</v>
      </c>
    </row>
    <row r="1175" spans="1:12" ht="15.75">
      <c r="A1175" s="23">
        <f t="shared" si="18"/>
        <v>1174</v>
      </c>
      <c r="B1175" s="21">
        <f ca="1">Master[[#This Row],[ChecklistID]]+Master[[#This Row],[Checklist Order]]</f>
        <v>111012</v>
      </c>
      <c r="C1175" s="22"/>
      <c r="D1175" s="3" t="str" cm="1">
        <f t="array" aca="1" ref="D1175" ca="1">_xlfn.SWITCH(MID(Master[[#This Row],[Checklist]],1,4),"C - ","Civil","F - ","Foundation","ST -","Structure","FC -","Façade","PRE ","Pre-Line","POST","Post-Line","H - ","Handover","S - ","Services","CST ","Completion Docs", "I - ", "Inspection")</f>
        <v>Structure</v>
      </c>
      <c r="E11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5" s="24" t="str">
        <f ca="1">IF(OR(Master[[#This Row],[Type]]="checklist", Master[[#This Row],[Type]]="checklist-flat"), Master[[#This Row],[Name]], F1174)</f>
        <v>ST - S - Concrete Pour - Without Reo</v>
      </c>
      <c r="G1175" s="34" t="s">
        <v>49</v>
      </c>
      <c r="H1175" s="34" t="s">
        <v>274</v>
      </c>
      <c r="I1175" s="35"/>
      <c r="J1175" s="21">
        <f ca="1">_xlfn.XLOOKUP(Master[[#This Row],[Checklist]],Ref!A:A,Ref!B:B)*1000</f>
        <v>111000</v>
      </c>
      <c r="K1175" s="21">
        <f ca="1">COUNTIF($J$2:Master[[#This Row],[ChecklistID]],Master[[#This Row],[ChecklistID]])-1</f>
        <v>12</v>
      </c>
      <c r="L1175" s="23" t="s">
        <v>6</v>
      </c>
    </row>
    <row r="1176" spans="1:12" ht="15.75">
      <c r="A1176" s="23">
        <f t="shared" si="18"/>
        <v>1175</v>
      </c>
      <c r="B1176" s="21">
        <f ca="1">Master[[#This Row],[ChecklistID]]+Master[[#This Row],[Checklist Order]]</f>
        <v>111013</v>
      </c>
      <c r="C1176" s="22"/>
      <c r="D1176" s="3" t="str" cm="1">
        <f t="array" aca="1" ref="D1176" ca="1">_xlfn.SWITCH(MID(Master[[#This Row],[Checklist]],1,4),"C - ","Civil","F - ","Foundation","ST -","Structure","FC -","Façade","PRE ","Pre-Line","POST","Post-Line","H - ","Handover","S - ","Services","CST ","Completion Docs", "I - ", "Inspection")</f>
        <v>Structure</v>
      </c>
      <c r="E11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6" s="24" t="str">
        <f ca="1">IF(OR(Master[[#This Row],[Type]]="checklist", Master[[#This Row],[Type]]="checklist-flat"), Master[[#This Row],[Name]], F1175)</f>
        <v>ST - S - Concrete Pour - Without Reo</v>
      </c>
      <c r="G1176" s="34" t="s">
        <v>49</v>
      </c>
      <c r="H1176" s="34" t="s">
        <v>275</v>
      </c>
      <c r="I1176" s="35"/>
      <c r="J1176" s="21">
        <f ca="1">_xlfn.XLOOKUP(Master[[#This Row],[Checklist]],Ref!A:A,Ref!B:B)*1000</f>
        <v>111000</v>
      </c>
      <c r="K1176" s="21">
        <f ca="1">COUNTIF($J$2:Master[[#This Row],[ChecklistID]],Master[[#This Row],[ChecklistID]])-1</f>
        <v>13</v>
      </c>
      <c r="L1176" s="23" t="s">
        <v>6</v>
      </c>
    </row>
    <row r="1177" spans="1:12" ht="15.75">
      <c r="A1177" s="23">
        <f t="shared" si="18"/>
        <v>1176</v>
      </c>
      <c r="B1177" s="21">
        <f ca="1">Master[[#This Row],[ChecklistID]]+Master[[#This Row],[Checklist Order]]</f>
        <v>111014</v>
      </c>
      <c r="C1177" s="22"/>
      <c r="D1177" s="3" t="str" cm="1">
        <f t="array" aca="1" ref="D1177" ca="1">_xlfn.SWITCH(MID(Master[[#This Row],[Checklist]],1,4),"C - ","Civil","F - ","Foundation","ST -","Structure","FC -","Façade","PRE ","Pre-Line","POST","Post-Line","H - ","Handover","S - ","Services","CST ","Completion Docs", "I - ", "Inspection")</f>
        <v>Structure</v>
      </c>
      <c r="E11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7" s="24" t="str">
        <f ca="1">IF(OR(Master[[#This Row],[Type]]="checklist", Master[[#This Row],[Type]]="checklist-flat"), Master[[#This Row],[Name]], F1176)</f>
        <v>ST - S - Concrete Pour - Without Reo</v>
      </c>
      <c r="G1177" s="34" t="s">
        <v>49</v>
      </c>
      <c r="H1177" s="34" t="s">
        <v>276</v>
      </c>
      <c r="I1177" s="35"/>
      <c r="J1177" s="21">
        <f ca="1">_xlfn.XLOOKUP(Master[[#This Row],[Checklist]],Ref!A:A,Ref!B:B)*1000</f>
        <v>111000</v>
      </c>
      <c r="K1177" s="21">
        <f ca="1">COUNTIF($J$2:Master[[#This Row],[ChecklistID]],Master[[#This Row],[ChecklistID]])-1</f>
        <v>14</v>
      </c>
      <c r="L1177" s="23" t="s">
        <v>6</v>
      </c>
    </row>
    <row r="1178" spans="1:12" ht="15.75">
      <c r="A1178" s="23">
        <f t="shared" si="18"/>
        <v>1177</v>
      </c>
      <c r="B1178" s="21">
        <f ca="1">Master[[#This Row],[ChecklistID]]+Master[[#This Row],[Checklist Order]]</f>
        <v>111015</v>
      </c>
      <c r="C1178" s="22"/>
      <c r="D1178" s="3" t="str" cm="1">
        <f t="array" aca="1" ref="D1178" ca="1">_xlfn.SWITCH(MID(Master[[#This Row],[Checklist]],1,4),"C - ","Civil","F - ","Foundation","ST -","Structure","FC -","Façade","PRE ","Pre-Line","POST","Post-Line","H - ","Handover","S - ","Services","CST ","Completion Docs", "I - ", "Inspection")</f>
        <v>Structure</v>
      </c>
      <c r="E11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8" s="24" t="str">
        <f ca="1">IF(OR(Master[[#This Row],[Type]]="checklist", Master[[#This Row],[Type]]="checklist-flat"), Master[[#This Row],[Name]], F1177)</f>
        <v>ST - S - Concrete Pour - Without Reo</v>
      </c>
      <c r="G1178" s="34" t="s">
        <v>49</v>
      </c>
      <c r="H1178" s="34" t="s">
        <v>277</v>
      </c>
      <c r="I1178" s="35"/>
      <c r="J1178" s="21">
        <f ca="1">_xlfn.XLOOKUP(Master[[#This Row],[Checklist]],Ref!A:A,Ref!B:B)*1000</f>
        <v>111000</v>
      </c>
      <c r="K1178" s="21">
        <f ca="1">COUNTIF($J$2:Master[[#This Row],[ChecklistID]],Master[[#This Row],[ChecklistID]])-1</f>
        <v>15</v>
      </c>
      <c r="L1178" s="23" t="s">
        <v>6</v>
      </c>
    </row>
    <row r="1179" spans="1:12" ht="15.75">
      <c r="A1179" s="23">
        <f t="shared" si="18"/>
        <v>1178</v>
      </c>
      <c r="B1179" s="21">
        <f ca="1">Master[[#This Row],[ChecklistID]]+Master[[#This Row],[Checklist Order]]</f>
        <v>111016</v>
      </c>
      <c r="C1179" s="22"/>
      <c r="D1179" s="3" t="str" cm="1">
        <f t="array" aca="1" ref="D1179" ca="1">_xlfn.SWITCH(MID(Master[[#This Row],[Checklist]],1,4),"C - ","Civil","F - ","Foundation","ST -","Structure","FC -","Façade","PRE ","Pre-Line","POST","Post-Line","H - ","Handover","S - ","Services","CST ","Completion Docs", "I - ", "Inspection")</f>
        <v>Structure</v>
      </c>
      <c r="E11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79" s="24" t="str">
        <f ca="1">IF(OR(Master[[#This Row],[Type]]="checklist", Master[[#This Row],[Type]]="checklist-flat"), Master[[#This Row],[Name]], F1178)</f>
        <v>ST - S - Concrete Pour - Without Reo</v>
      </c>
      <c r="G1179" s="34" t="s">
        <v>120</v>
      </c>
      <c r="H1179" s="34" t="s">
        <v>278</v>
      </c>
      <c r="I1179" s="35"/>
      <c r="J1179" s="21">
        <f ca="1">_xlfn.XLOOKUP(Master[[#This Row],[Checklist]],Ref!A:A,Ref!B:B)*1000</f>
        <v>111000</v>
      </c>
      <c r="K1179" s="21">
        <f ca="1">COUNTIF($J$2:Master[[#This Row],[ChecklistID]],Master[[#This Row],[ChecklistID]])-1</f>
        <v>16</v>
      </c>
      <c r="L1179" s="23" t="s">
        <v>6</v>
      </c>
    </row>
    <row r="1180" spans="1:12" ht="15.75">
      <c r="A1180" s="23">
        <f t="shared" si="18"/>
        <v>1179</v>
      </c>
      <c r="B1180" s="21">
        <f ca="1">Master[[#This Row],[ChecklistID]]+Master[[#This Row],[Checklist Order]]</f>
        <v>111017</v>
      </c>
      <c r="C1180" s="22"/>
      <c r="D1180" s="3" t="str" cm="1">
        <f t="array" aca="1" ref="D1180" ca="1">_xlfn.SWITCH(MID(Master[[#This Row],[Checklist]],1,4),"C - ","Civil","F - ","Foundation","ST -","Structure","FC -","Façade","PRE ","Pre-Line","POST","Post-Line","H - ","Handover","S - ","Services","CST ","Completion Docs", "I - ", "Inspection")</f>
        <v>Structure</v>
      </c>
      <c r="E11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0" s="24" t="str">
        <f ca="1">IF(OR(Master[[#This Row],[Type]]="checklist", Master[[#This Row],[Type]]="checklist-flat"), Master[[#This Row],[Name]], F1179)</f>
        <v>ST - S - Concrete Pour - Without Reo</v>
      </c>
      <c r="G1180" s="34" t="s">
        <v>49</v>
      </c>
      <c r="H1180" s="34" t="s">
        <v>279</v>
      </c>
      <c r="I1180" s="35"/>
      <c r="J1180" s="21">
        <f ca="1">_xlfn.XLOOKUP(Master[[#This Row],[Checklist]],Ref!A:A,Ref!B:B)*1000</f>
        <v>111000</v>
      </c>
      <c r="K1180" s="21">
        <f ca="1">COUNTIF($J$2:Master[[#This Row],[ChecklistID]],Master[[#This Row],[ChecklistID]])-1</f>
        <v>17</v>
      </c>
      <c r="L1180" s="23" t="s">
        <v>6</v>
      </c>
    </row>
    <row r="1181" spans="1:12" ht="15.75">
      <c r="A1181" s="23">
        <f t="shared" si="18"/>
        <v>1180</v>
      </c>
      <c r="B1181" s="21">
        <f ca="1">Master[[#This Row],[ChecklistID]]+Master[[#This Row],[Checklist Order]]</f>
        <v>111018</v>
      </c>
      <c r="C1181" s="22"/>
      <c r="D1181" s="3" t="str" cm="1">
        <f t="array" aca="1" ref="D1181" ca="1">_xlfn.SWITCH(MID(Master[[#This Row],[Checklist]],1,4),"C - ","Civil","F - ","Foundation","ST -","Structure","FC -","Façade","PRE ","Pre-Line","POST","Post-Line","H - ","Handover","S - ","Services","CST ","Completion Docs", "I - ", "Inspection")</f>
        <v>Structure</v>
      </c>
      <c r="E11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1" s="24" t="str">
        <f ca="1">IF(OR(Master[[#This Row],[Type]]="checklist", Master[[#This Row],[Type]]="checklist-flat"), Master[[#This Row],[Name]], F1180)</f>
        <v>ST - S - Concrete Pour - Without Reo</v>
      </c>
      <c r="G1181" s="34" t="s">
        <v>124</v>
      </c>
      <c r="H1181" s="34" t="s">
        <v>280</v>
      </c>
      <c r="I1181" s="35"/>
      <c r="J1181" s="21">
        <f ca="1">_xlfn.XLOOKUP(Master[[#This Row],[Checklist]],Ref!A:A,Ref!B:B)*1000</f>
        <v>111000</v>
      </c>
      <c r="K1181" s="21">
        <f ca="1">COUNTIF($J$2:Master[[#This Row],[ChecklistID]],Master[[#This Row],[ChecklistID]])-1</f>
        <v>18</v>
      </c>
      <c r="L1181" s="23" t="s">
        <v>6</v>
      </c>
    </row>
    <row r="1182" spans="1:12" ht="15.75">
      <c r="A1182" s="23">
        <f t="shared" si="18"/>
        <v>1181</v>
      </c>
      <c r="B1182" s="21">
        <f ca="1">Master[[#This Row],[ChecklistID]]+Master[[#This Row],[Checklist Order]]</f>
        <v>111019</v>
      </c>
      <c r="C1182" s="22"/>
      <c r="D1182" s="3" t="str" cm="1">
        <f t="array" aca="1" ref="D1182" ca="1">_xlfn.SWITCH(MID(Master[[#This Row],[Checklist]],1,4),"C - ","Civil","F - ","Foundation","ST -","Structure","FC -","Façade","PRE ","Pre-Line","POST","Post-Line","H - ","Handover","S - ","Services","CST ","Completion Docs", "I - ", "Inspection")</f>
        <v>Structure</v>
      </c>
      <c r="E11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2" s="24" t="str">
        <f ca="1">IF(OR(Master[[#This Row],[Type]]="checklist", Master[[#This Row],[Type]]="checklist-flat"), Master[[#This Row],[Name]], F1181)</f>
        <v>ST - S - Concrete Pour - Without Reo</v>
      </c>
      <c r="G1182" s="34" t="s">
        <v>124</v>
      </c>
      <c r="H1182" s="34" t="s">
        <v>281</v>
      </c>
      <c r="I1182" s="35"/>
      <c r="J1182" s="21">
        <f ca="1">_xlfn.XLOOKUP(Master[[#This Row],[Checklist]],Ref!A:A,Ref!B:B)*1000</f>
        <v>111000</v>
      </c>
      <c r="K1182" s="21">
        <f ca="1">COUNTIF($J$2:Master[[#This Row],[ChecklistID]],Master[[#This Row],[ChecklistID]])-1</f>
        <v>19</v>
      </c>
      <c r="L1182" s="23" t="s">
        <v>6</v>
      </c>
    </row>
    <row r="1183" spans="1:12" ht="15.75">
      <c r="A1183" s="23">
        <f t="shared" si="18"/>
        <v>1182</v>
      </c>
      <c r="B1183" s="21">
        <f ca="1">Master[[#This Row],[ChecklistID]]+Master[[#This Row],[Checklist Order]]</f>
        <v>111020</v>
      </c>
      <c r="C1183" s="22"/>
      <c r="D1183" s="3" t="str" cm="1">
        <f t="array" aca="1" ref="D1183" ca="1">_xlfn.SWITCH(MID(Master[[#This Row],[Checklist]],1,4),"C - ","Civil","F - ","Foundation","ST -","Structure","FC -","Façade","PRE ","Pre-Line","POST","Post-Line","H - ","Handover","S - ","Services","CST ","Completion Docs", "I - ", "Inspection")</f>
        <v>Structure</v>
      </c>
      <c r="E11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3" s="24" t="str">
        <f ca="1">IF(OR(Master[[#This Row],[Type]]="checklist", Master[[#This Row],[Type]]="checklist-flat"), Master[[#This Row],[Name]], F1182)</f>
        <v>ST - S - Concrete Pour - Without Reo</v>
      </c>
      <c r="G1183" s="34" t="s">
        <v>124</v>
      </c>
      <c r="H1183" s="34" t="s">
        <v>283</v>
      </c>
      <c r="I1183" s="35"/>
      <c r="J1183" s="21">
        <f ca="1">_xlfn.XLOOKUP(Master[[#This Row],[Checklist]],Ref!A:A,Ref!B:B)*1000</f>
        <v>111000</v>
      </c>
      <c r="K1183" s="21">
        <f ca="1">COUNTIF($J$2:Master[[#This Row],[ChecklistID]],Master[[#This Row],[ChecklistID]])-1</f>
        <v>20</v>
      </c>
      <c r="L1183" s="23" t="s">
        <v>6</v>
      </c>
    </row>
    <row r="1184" spans="1:12" ht="15.75">
      <c r="A1184" s="23">
        <f t="shared" si="18"/>
        <v>1183</v>
      </c>
      <c r="B1184" s="21">
        <f ca="1">Master[[#This Row],[ChecklistID]]+Master[[#This Row],[Checklist Order]]</f>
        <v>111021</v>
      </c>
      <c r="C1184" s="22"/>
      <c r="D1184" s="3" t="str" cm="1">
        <f t="array" aca="1" ref="D1184" ca="1">_xlfn.SWITCH(MID(Master[[#This Row],[Checklist]],1,4),"C - ","Civil","F - ","Foundation","ST -","Structure","FC -","Façade","PRE ","Pre-Line","POST","Post-Line","H - ","Handover","S - ","Services","CST ","Completion Docs", "I - ", "Inspection")</f>
        <v>Structure</v>
      </c>
      <c r="E11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4" s="24" t="str">
        <f ca="1">IF(OR(Master[[#This Row],[Type]]="checklist", Master[[#This Row],[Type]]="checklist-flat"), Master[[#This Row],[Name]], F1183)</f>
        <v>ST - S - Concrete Pour - Without Reo</v>
      </c>
      <c r="G1184" s="34" t="s">
        <v>124</v>
      </c>
      <c r="H1184" s="34" t="s">
        <v>284</v>
      </c>
      <c r="I1184" s="35"/>
      <c r="J1184" s="21">
        <f ca="1">_xlfn.XLOOKUP(Master[[#This Row],[Checklist]],Ref!A:A,Ref!B:B)*1000</f>
        <v>111000</v>
      </c>
      <c r="K1184" s="21">
        <f ca="1">COUNTIF($J$2:Master[[#This Row],[ChecklistID]],Master[[#This Row],[ChecklistID]])-1</f>
        <v>21</v>
      </c>
      <c r="L1184" s="23" t="s">
        <v>6</v>
      </c>
    </row>
    <row r="1185" spans="1:12" ht="15.75">
      <c r="A1185" s="23">
        <f t="shared" si="18"/>
        <v>1184</v>
      </c>
      <c r="B1185" s="21">
        <f ca="1">Master[[#This Row],[ChecklistID]]+Master[[#This Row],[Checklist Order]]</f>
        <v>111022</v>
      </c>
      <c r="C1185" s="22"/>
      <c r="D1185" s="3" t="str" cm="1">
        <f t="array" aca="1" ref="D1185" ca="1">_xlfn.SWITCH(MID(Master[[#This Row],[Checklist]],1,4),"C - ","Civil","F - ","Foundation","ST -","Structure","FC -","Façade","PRE ","Pre-Line","POST","Post-Line","H - ","Handover","S - ","Services","CST ","Completion Docs", "I - ", "Inspection")</f>
        <v>Structure</v>
      </c>
      <c r="E11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5" s="24" t="str">
        <f ca="1">IF(OR(Master[[#This Row],[Type]]="checklist", Master[[#This Row],[Type]]="checklist-flat"), Master[[#This Row],[Name]], F1184)</f>
        <v>ST - S - Concrete Pour - Without Reo</v>
      </c>
      <c r="G1185" s="34" t="s">
        <v>131</v>
      </c>
      <c r="H1185" s="34" t="s">
        <v>286</v>
      </c>
      <c r="I1185" s="35" t="s">
        <v>287</v>
      </c>
      <c r="J1185" s="21">
        <f ca="1">_xlfn.XLOOKUP(Master[[#This Row],[Checklist]],Ref!A:A,Ref!B:B)*1000</f>
        <v>111000</v>
      </c>
      <c r="K1185" s="21">
        <f ca="1">COUNTIF($J$2:Master[[#This Row],[ChecklistID]],Master[[#This Row],[ChecklistID]])-1</f>
        <v>22</v>
      </c>
      <c r="L1185" s="23" t="s">
        <v>6</v>
      </c>
    </row>
    <row r="1186" spans="1:12" ht="15.75">
      <c r="A1186" s="23">
        <f t="shared" si="18"/>
        <v>1185</v>
      </c>
      <c r="B1186" s="21">
        <f ca="1">Master[[#This Row],[ChecklistID]]+Master[[#This Row],[Checklist Order]]</f>
        <v>111023</v>
      </c>
      <c r="C1186" s="22"/>
      <c r="D1186" s="3" t="str" cm="1">
        <f t="array" aca="1" ref="D1186" ca="1">_xlfn.SWITCH(MID(Master[[#This Row],[Checklist]],1,4),"C - ","Civil","F - ","Foundation","ST -","Structure","FC -","Façade","PRE ","Pre-Line","POST","Post-Line","H - ","Handover","S - ","Services","CST ","Completion Docs", "I - ", "Inspection")</f>
        <v>Structure</v>
      </c>
      <c r="E11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6" s="24" t="str">
        <f ca="1">IF(OR(Master[[#This Row],[Type]]="checklist", Master[[#This Row],[Type]]="checklist-flat"), Master[[#This Row],[Name]], F1185)</f>
        <v>ST - S - Concrete Pour - Without Reo</v>
      </c>
      <c r="G1186" s="34" t="s">
        <v>49</v>
      </c>
      <c r="H1186" s="34" t="s">
        <v>288</v>
      </c>
      <c r="I1186" s="35"/>
      <c r="J1186" s="21">
        <f ca="1">_xlfn.XLOOKUP(Master[[#This Row],[Checklist]],Ref!A:A,Ref!B:B)*1000</f>
        <v>111000</v>
      </c>
      <c r="K1186" s="21">
        <f ca="1">COUNTIF($J$2:Master[[#This Row],[ChecklistID]],Master[[#This Row],[ChecklistID]])-1</f>
        <v>23</v>
      </c>
      <c r="L1186" s="23" t="s">
        <v>6</v>
      </c>
    </row>
    <row r="1187" spans="1:12" ht="15.75">
      <c r="A1187" s="23">
        <f t="shared" si="18"/>
        <v>1186</v>
      </c>
      <c r="B1187" s="21">
        <f ca="1">Master[[#This Row],[ChecklistID]]+Master[[#This Row],[Checklist Order]]</f>
        <v>111024</v>
      </c>
      <c r="C1187" s="22"/>
      <c r="D1187" s="3" t="str" cm="1">
        <f t="array" aca="1" ref="D1187" ca="1">_xlfn.SWITCH(MID(Master[[#This Row],[Checklist]],1,4),"C - ","Civil","F - ","Foundation","ST -","Structure","FC -","Façade","PRE ","Pre-Line","POST","Post-Line","H - ","Handover","S - ","Services","CST ","Completion Docs", "I - ", "Inspection")</f>
        <v>Structure</v>
      </c>
      <c r="E11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7" s="24" t="str">
        <f ca="1">IF(OR(Master[[#This Row],[Type]]="checklist", Master[[#This Row],[Type]]="checklist-flat"), Master[[#This Row],[Name]], F1186)</f>
        <v>ST - S - Concrete Pour - Without Reo</v>
      </c>
      <c r="G1187" s="34" t="s">
        <v>49</v>
      </c>
      <c r="H1187" s="34" t="s">
        <v>289</v>
      </c>
      <c r="I1187" s="35"/>
      <c r="J1187" s="21">
        <f ca="1">_xlfn.XLOOKUP(Master[[#This Row],[Checklist]],Ref!A:A,Ref!B:B)*1000</f>
        <v>111000</v>
      </c>
      <c r="K1187" s="21">
        <f ca="1">COUNTIF($J$2:Master[[#This Row],[ChecklistID]],Master[[#This Row],[ChecklistID]])-1</f>
        <v>24</v>
      </c>
      <c r="L1187" s="23" t="s">
        <v>6</v>
      </c>
    </row>
    <row r="1188" spans="1:12" ht="15.75">
      <c r="A1188" s="23">
        <f t="shared" si="18"/>
        <v>1187</v>
      </c>
      <c r="B1188" s="21">
        <f ca="1">Master[[#This Row],[ChecklistID]]+Master[[#This Row],[Checklist Order]]</f>
        <v>111025</v>
      </c>
      <c r="C1188" s="22"/>
      <c r="D1188" s="3" t="str" cm="1">
        <f t="array" aca="1" ref="D1188" ca="1">_xlfn.SWITCH(MID(Master[[#This Row],[Checklist]],1,4),"C - ","Civil","F - ","Foundation","ST -","Structure","FC -","Façade","PRE ","Pre-Line","POST","Post-Line","H - ","Handover","S - ","Services","CST ","Completion Docs", "I - ", "Inspection")</f>
        <v>Structure</v>
      </c>
      <c r="E11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8" s="24" t="str">
        <f ca="1">IF(OR(Master[[#This Row],[Type]]="checklist", Master[[#This Row],[Type]]="checklist-flat"), Master[[#This Row],[Name]], F1187)</f>
        <v>ST - S - Concrete Pour - Without Reo</v>
      </c>
      <c r="G1188" s="34" t="s">
        <v>120</v>
      </c>
      <c r="H1188" s="34" t="s">
        <v>290</v>
      </c>
      <c r="I1188" s="35"/>
      <c r="J1188" s="21">
        <f ca="1">_xlfn.XLOOKUP(Master[[#This Row],[Checklist]],Ref!A:A,Ref!B:B)*1000</f>
        <v>111000</v>
      </c>
      <c r="K1188" s="21">
        <f ca="1">COUNTIF($J$2:Master[[#This Row],[ChecklistID]],Master[[#This Row],[ChecklistID]])-1</f>
        <v>25</v>
      </c>
      <c r="L1188" s="23" t="s">
        <v>6</v>
      </c>
    </row>
    <row r="1189" spans="1:12" ht="15.75">
      <c r="A1189" s="23">
        <f t="shared" si="18"/>
        <v>1188</v>
      </c>
      <c r="B1189" s="21">
        <f ca="1">Master[[#This Row],[ChecklistID]]+Master[[#This Row],[Checklist Order]]</f>
        <v>111026</v>
      </c>
      <c r="C1189" s="22"/>
      <c r="D1189" s="3" t="str" cm="1">
        <f t="array" aca="1" ref="D1189" ca="1">_xlfn.SWITCH(MID(Master[[#This Row],[Checklist]],1,4),"C - ","Civil","F - ","Foundation","ST -","Structure","FC -","Façade","PRE ","Pre-Line","POST","Post-Line","H - ","Handover","S - ","Services","CST ","Completion Docs", "I - ", "Inspection")</f>
        <v>Structure</v>
      </c>
      <c r="E11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89" s="24" t="str">
        <f ca="1">IF(OR(Master[[#This Row],[Type]]="checklist", Master[[#This Row],[Type]]="checklist-flat"), Master[[#This Row],[Name]], F1188)</f>
        <v>ST - S - Concrete Pour - Without Reo</v>
      </c>
      <c r="G1189" s="34" t="s">
        <v>49</v>
      </c>
      <c r="H1189" s="34" t="s">
        <v>291</v>
      </c>
      <c r="I1189" s="35"/>
      <c r="J1189" s="21">
        <f ca="1">_xlfn.XLOOKUP(Master[[#This Row],[Checklist]],Ref!A:A,Ref!B:B)*1000</f>
        <v>111000</v>
      </c>
      <c r="K1189" s="21">
        <f ca="1">COUNTIF($J$2:Master[[#This Row],[ChecklistID]],Master[[#This Row],[ChecklistID]])-1</f>
        <v>26</v>
      </c>
      <c r="L1189" s="23" t="s">
        <v>6</v>
      </c>
    </row>
    <row r="1190" spans="1:12" ht="15.75">
      <c r="A1190" s="23">
        <f t="shared" si="18"/>
        <v>1189</v>
      </c>
      <c r="B1190" s="21">
        <f ca="1">Master[[#This Row],[ChecklistID]]+Master[[#This Row],[Checklist Order]]</f>
        <v>111027</v>
      </c>
      <c r="C1190" s="22"/>
      <c r="D1190" s="3" t="str" cm="1">
        <f t="array" aca="1" ref="D1190" ca="1">_xlfn.SWITCH(MID(Master[[#This Row],[Checklist]],1,4),"C - ","Civil","F - ","Foundation","ST -","Structure","FC -","Façade","PRE ","Pre-Line","POST","Post-Line","H - ","Handover","S - ","Services","CST ","Completion Docs", "I - ", "Inspection")</f>
        <v>Structure</v>
      </c>
      <c r="E11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0" s="24" t="str">
        <f ca="1">IF(OR(Master[[#This Row],[Type]]="checklist", Master[[#This Row],[Type]]="checklist-flat"), Master[[#This Row],[Name]], F1189)</f>
        <v>ST - S - Concrete Pour - Without Reo</v>
      </c>
      <c r="G1190" s="34" t="s">
        <v>49</v>
      </c>
      <c r="H1190" s="34" t="s">
        <v>292</v>
      </c>
      <c r="I1190" s="35"/>
      <c r="J1190" s="21">
        <f ca="1">_xlfn.XLOOKUP(Master[[#This Row],[Checklist]],Ref!A:A,Ref!B:B)*1000</f>
        <v>111000</v>
      </c>
      <c r="K1190" s="21">
        <f ca="1">COUNTIF($J$2:Master[[#This Row],[ChecklistID]],Master[[#This Row],[ChecklistID]])-1</f>
        <v>27</v>
      </c>
      <c r="L1190" s="23" t="s">
        <v>6</v>
      </c>
    </row>
    <row r="1191" spans="1:12" ht="15.75">
      <c r="A1191" s="23">
        <f t="shared" si="18"/>
        <v>1190</v>
      </c>
      <c r="B1191" s="21">
        <f ca="1">Master[[#This Row],[ChecklistID]]+Master[[#This Row],[Checklist Order]]</f>
        <v>111028</v>
      </c>
      <c r="C1191" s="22"/>
      <c r="D1191" s="3" t="str" cm="1">
        <f t="array" aca="1" ref="D1191" ca="1">_xlfn.SWITCH(MID(Master[[#This Row],[Checklist]],1,4),"C - ","Civil","F - ","Foundation","ST -","Structure","FC -","Façade","PRE ","Pre-Line","POST","Post-Line","H - ","Handover","S - ","Services","CST ","Completion Docs", "I - ", "Inspection")</f>
        <v>Structure</v>
      </c>
      <c r="E11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1" s="24" t="str">
        <f ca="1">IF(OR(Master[[#This Row],[Type]]="checklist", Master[[#This Row],[Type]]="checklist-flat"), Master[[#This Row],[Name]], F1190)</f>
        <v>ST - S - Concrete Pour - Without Reo</v>
      </c>
      <c r="G1191" s="34" t="s">
        <v>131</v>
      </c>
      <c r="H1191" s="34" t="s">
        <v>293</v>
      </c>
      <c r="I1191" s="35" t="s">
        <v>287</v>
      </c>
      <c r="J1191" s="21">
        <f ca="1">_xlfn.XLOOKUP(Master[[#This Row],[Checklist]],Ref!A:A,Ref!B:B)*1000</f>
        <v>111000</v>
      </c>
      <c r="K1191" s="21">
        <f ca="1">COUNTIF($J$2:Master[[#This Row],[ChecklistID]],Master[[#This Row],[ChecklistID]])-1</f>
        <v>28</v>
      </c>
      <c r="L1191" s="23" t="s">
        <v>6</v>
      </c>
    </row>
    <row r="1192" spans="1:12" ht="15.75">
      <c r="A1192" s="23">
        <f t="shared" si="18"/>
        <v>1191</v>
      </c>
      <c r="B1192" s="21">
        <f ca="1">Master[[#This Row],[ChecklistID]]+Master[[#This Row],[Checklist Order]]</f>
        <v>111029</v>
      </c>
      <c r="C1192" s="22"/>
      <c r="D1192" s="3" t="str" cm="1">
        <f t="array" aca="1" ref="D1192" ca="1">_xlfn.SWITCH(MID(Master[[#This Row],[Checklist]],1,4),"C - ","Civil","F - ","Foundation","ST -","Structure","FC -","Façade","PRE ","Pre-Line","POST","Post-Line","H - ","Handover","S - ","Services","CST ","Completion Docs", "I - ", "Inspection")</f>
        <v>Structure</v>
      </c>
      <c r="E11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2" s="24" t="str">
        <f ca="1">IF(OR(Master[[#This Row],[Type]]="checklist", Master[[#This Row],[Type]]="checklist-flat"), Master[[#This Row],[Name]], F1191)</f>
        <v>ST - S - Concrete Pour - Without Reo</v>
      </c>
      <c r="G1192" s="34" t="s">
        <v>49</v>
      </c>
      <c r="H1192" s="34" t="s">
        <v>294</v>
      </c>
      <c r="I1192" s="35"/>
      <c r="J1192" s="21">
        <f ca="1">_xlfn.XLOOKUP(Master[[#This Row],[Checklist]],Ref!A:A,Ref!B:B)*1000</f>
        <v>111000</v>
      </c>
      <c r="K1192" s="21">
        <f ca="1">COUNTIF($J$2:Master[[#This Row],[ChecklistID]],Master[[#This Row],[ChecklistID]])-1</f>
        <v>29</v>
      </c>
      <c r="L1192" s="23" t="s">
        <v>6</v>
      </c>
    </row>
    <row r="1193" spans="1:12" ht="15.75">
      <c r="A1193" s="23">
        <f t="shared" si="18"/>
        <v>1192</v>
      </c>
      <c r="B1193" s="21">
        <f ca="1">Master[[#This Row],[ChecklistID]]+Master[[#This Row],[Checklist Order]]</f>
        <v>111030</v>
      </c>
      <c r="C1193" s="22"/>
      <c r="D1193" s="3" t="str" cm="1">
        <f t="array" aca="1" ref="D1193" ca="1">_xlfn.SWITCH(MID(Master[[#This Row],[Checklist]],1,4),"C - ","Civil","F - ","Foundation","ST -","Structure","FC -","Façade","PRE ","Pre-Line","POST","Post-Line","H - ","Handover","S - ","Services","CST ","Completion Docs", "I - ", "Inspection")</f>
        <v>Structure</v>
      </c>
      <c r="E11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3" s="24" t="str">
        <f ca="1">IF(OR(Master[[#This Row],[Type]]="checklist", Master[[#This Row],[Type]]="checklist-flat"), Master[[#This Row],[Name]], F1192)</f>
        <v>ST - S - Concrete Pour - Without Reo</v>
      </c>
      <c r="G1193" s="34" t="s">
        <v>49</v>
      </c>
      <c r="H1193" s="34" t="s">
        <v>295</v>
      </c>
      <c r="I1193" s="35"/>
      <c r="J1193" s="21">
        <f ca="1">_xlfn.XLOOKUP(Master[[#This Row],[Checklist]],Ref!A:A,Ref!B:B)*1000</f>
        <v>111000</v>
      </c>
      <c r="K1193" s="21">
        <f ca="1">COUNTIF($J$2:Master[[#This Row],[ChecklistID]],Master[[#This Row],[ChecklistID]])-1</f>
        <v>30</v>
      </c>
      <c r="L1193" s="23" t="s">
        <v>6</v>
      </c>
    </row>
    <row r="1194" spans="1:12" ht="15.75">
      <c r="A1194" s="23">
        <f t="shared" ref="A1194:A1257" si="19">IFERROR(A1193+1,1)</f>
        <v>1193</v>
      </c>
      <c r="B1194" s="21">
        <f ca="1">Master[[#This Row],[ChecklistID]]+Master[[#This Row],[Checklist Order]]</f>
        <v>111031</v>
      </c>
      <c r="C1194" s="22"/>
      <c r="D1194" s="3" t="str" cm="1">
        <f t="array" aca="1" ref="D1194" ca="1">_xlfn.SWITCH(MID(Master[[#This Row],[Checklist]],1,4),"C - ","Civil","F - ","Foundation","ST -","Structure","FC -","Façade","PRE ","Pre-Line","POST","Post-Line","H - ","Handover","S - ","Services","CST ","Completion Docs", "I - ", "Inspection")</f>
        <v>Structure</v>
      </c>
      <c r="E11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4" s="24" t="str">
        <f ca="1">IF(OR(Master[[#This Row],[Type]]="checklist", Master[[#This Row],[Type]]="checklist-flat"), Master[[#This Row],[Name]], F1193)</f>
        <v>ST - S - Concrete Pour - Without Reo</v>
      </c>
      <c r="G1194" s="34" t="s">
        <v>49</v>
      </c>
      <c r="H1194" s="34" t="s">
        <v>296</v>
      </c>
      <c r="I1194" s="35"/>
      <c r="J1194" s="21">
        <f ca="1">_xlfn.XLOOKUP(Master[[#This Row],[Checklist]],Ref!A:A,Ref!B:B)*1000</f>
        <v>111000</v>
      </c>
      <c r="K1194" s="21">
        <f ca="1">COUNTIF($J$2:Master[[#This Row],[ChecklistID]],Master[[#This Row],[ChecklistID]])-1</f>
        <v>31</v>
      </c>
      <c r="L1194" s="23" t="s">
        <v>6</v>
      </c>
    </row>
    <row r="1195" spans="1:12" ht="15.75">
      <c r="A1195" s="23">
        <f t="shared" si="19"/>
        <v>1194</v>
      </c>
      <c r="B1195" s="21">
        <f ca="1">Master[[#This Row],[ChecklistID]]+Master[[#This Row],[Checklist Order]]</f>
        <v>111032</v>
      </c>
      <c r="C1195" s="22"/>
      <c r="D1195" s="3" t="str" cm="1">
        <f t="array" aca="1" ref="D1195" ca="1">_xlfn.SWITCH(MID(Master[[#This Row],[Checklist]],1,4),"C - ","Civil","F - ","Foundation","ST -","Structure","FC -","Façade","PRE ","Pre-Line","POST","Post-Line","H - ","Handover","S - ","Services","CST ","Completion Docs", "I - ", "Inspection")</f>
        <v>Structure</v>
      </c>
      <c r="E11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5" s="24" t="str">
        <f ca="1">IF(OR(Master[[#This Row],[Type]]="checklist", Master[[#This Row],[Type]]="checklist-flat"), Master[[#This Row],[Name]], F1194)</f>
        <v>ST - S - Concrete Pour - Without Reo</v>
      </c>
      <c r="G1195" s="34" t="s">
        <v>120</v>
      </c>
      <c r="H1195" s="34" t="s">
        <v>297</v>
      </c>
      <c r="I1195" s="35"/>
      <c r="J1195" s="21">
        <f ca="1">_xlfn.XLOOKUP(Master[[#This Row],[Checklist]],Ref!A:A,Ref!B:B)*1000</f>
        <v>111000</v>
      </c>
      <c r="K1195" s="21">
        <f ca="1">COUNTIF($J$2:Master[[#This Row],[ChecklistID]],Master[[#This Row],[ChecklistID]])-1</f>
        <v>32</v>
      </c>
      <c r="L1195" s="23" t="s">
        <v>6</v>
      </c>
    </row>
    <row r="1196" spans="1:12" ht="15.75">
      <c r="A1196" s="23">
        <f t="shared" si="19"/>
        <v>1195</v>
      </c>
      <c r="B1196" s="21">
        <f ca="1">Master[[#This Row],[ChecklistID]]+Master[[#This Row],[Checklist Order]]</f>
        <v>111033</v>
      </c>
      <c r="C1196" s="22"/>
      <c r="D1196" s="3" t="str" cm="1">
        <f t="array" aca="1" ref="D1196" ca="1">_xlfn.SWITCH(MID(Master[[#This Row],[Checklist]],1,4),"C - ","Civil","F - ","Foundation","ST -","Structure","FC -","Façade","PRE ","Pre-Line","POST","Post-Line","H - ","Handover","S - ","Services","CST ","Completion Docs", "I - ", "Inspection")</f>
        <v>Structure</v>
      </c>
      <c r="E11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6" s="24" t="str">
        <f ca="1">IF(OR(Master[[#This Row],[Type]]="checklist", Master[[#This Row],[Type]]="checklist-flat"), Master[[#This Row],[Name]], F1195)</f>
        <v>ST - S - Concrete Pour - Without Reo</v>
      </c>
      <c r="G1196" s="34" t="s">
        <v>49</v>
      </c>
      <c r="H1196" s="34" t="s">
        <v>298</v>
      </c>
      <c r="I1196" s="35"/>
      <c r="J1196" s="21">
        <f ca="1">_xlfn.XLOOKUP(Master[[#This Row],[Checklist]],Ref!A:A,Ref!B:B)*1000</f>
        <v>111000</v>
      </c>
      <c r="K1196" s="21">
        <f ca="1">COUNTIF($J$2:Master[[#This Row],[ChecklistID]],Master[[#This Row],[ChecklistID]])-1</f>
        <v>33</v>
      </c>
      <c r="L1196" s="23" t="s">
        <v>6</v>
      </c>
    </row>
    <row r="1197" spans="1:12" ht="15.75">
      <c r="A1197" s="23">
        <f t="shared" si="19"/>
        <v>1196</v>
      </c>
      <c r="B1197" s="21">
        <f ca="1">Master[[#This Row],[ChecklistID]]+Master[[#This Row],[Checklist Order]]</f>
        <v>111034</v>
      </c>
      <c r="C1197" s="22"/>
      <c r="D1197" s="3" t="str" cm="1">
        <f t="array" aca="1" ref="D1197" ca="1">_xlfn.SWITCH(MID(Master[[#This Row],[Checklist]],1,4),"C - ","Civil","F - ","Foundation","ST -","Structure","FC -","Façade","PRE ","Pre-Line","POST","Post-Line","H - ","Handover","S - ","Services","CST ","Completion Docs", "I - ", "Inspection")</f>
        <v>Structure</v>
      </c>
      <c r="E11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7" s="24" t="str">
        <f ca="1">IF(OR(Master[[#This Row],[Type]]="checklist", Master[[#This Row],[Type]]="checklist-flat"), Master[[#This Row],[Name]], F1196)</f>
        <v>ST - S - Concrete Pour - Without Reo</v>
      </c>
      <c r="G1197" s="34" t="s">
        <v>58</v>
      </c>
      <c r="H1197" s="34" t="s">
        <v>299</v>
      </c>
      <c r="I1197" s="35"/>
      <c r="J1197" s="21">
        <f ca="1">_xlfn.XLOOKUP(Master[[#This Row],[Checklist]],Ref!A:A,Ref!B:B)*1000</f>
        <v>111000</v>
      </c>
      <c r="K1197" s="21">
        <f ca="1">COUNTIF($J$2:Master[[#This Row],[ChecklistID]],Master[[#This Row],[ChecklistID]])-1</f>
        <v>34</v>
      </c>
      <c r="L1197" s="23" t="s">
        <v>6</v>
      </c>
    </row>
    <row r="1198" spans="1:12" ht="15.75">
      <c r="A1198" s="23">
        <f t="shared" si="19"/>
        <v>1197</v>
      </c>
      <c r="B1198" s="21">
        <f ca="1">Master[[#This Row],[ChecklistID]]+Master[[#This Row],[Checklist Order]]</f>
        <v>111035</v>
      </c>
      <c r="C1198" s="22"/>
      <c r="D1198" s="3" t="str" cm="1">
        <f t="array" aca="1" ref="D1198" ca="1">_xlfn.SWITCH(MID(Master[[#This Row],[Checklist]],1,4),"C - ","Civil","F - ","Foundation","ST -","Structure","FC -","Façade","PRE ","Pre-Line","POST","Post-Line","H - ","Handover","S - ","Services","CST ","Completion Docs", "I - ", "Inspection")</f>
        <v>Structure</v>
      </c>
      <c r="E11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8" s="24" t="str">
        <f ca="1">IF(OR(Master[[#This Row],[Type]]="checklist", Master[[#This Row],[Type]]="checklist-flat"), Master[[#This Row],[Name]], F1197)</f>
        <v>ST - S - Concrete Pour - Without Reo</v>
      </c>
      <c r="G1198" s="34" t="s">
        <v>49</v>
      </c>
      <c r="H1198" s="34" t="s">
        <v>300</v>
      </c>
      <c r="I1198" s="35"/>
      <c r="J1198" s="21">
        <f ca="1">_xlfn.XLOOKUP(Master[[#This Row],[Checklist]],Ref!A:A,Ref!B:B)*1000</f>
        <v>111000</v>
      </c>
      <c r="K1198" s="21">
        <f ca="1">COUNTIF($J$2:Master[[#This Row],[ChecklistID]],Master[[#This Row],[ChecklistID]])-1</f>
        <v>35</v>
      </c>
      <c r="L1198" s="23" t="s">
        <v>6</v>
      </c>
    </row>
    <row r="1199" spans="1:12" ht="15.75">
      <c r="A1199" s="23">
        <f t="shared" si="19"/>
        <v>1198</v>
      </c>
      <c r="B1199" s="21">
        <f ca="1">Master[[#This Row],[ChecklistID]]+Master[[#This Row],[Checklist Order]]</f>
        <v>111036</v>
      </c>
      <c r="C1199" s="22"/>
      <c r="D1199" s="3" t="str" cm="1">
        <f t="array" aca="1" ref="D1199" ca="1">_xlfn.SWITCH(MID(Master[[#This Row],[Checklist]],1,4),"C - ","Civil","F - ","Foundation","ST -","Structure","FC -","Façade","PRE ","Pre-Line","POST","Post-Line","H - ","Handover","S - ","Services","CST ","Completion Docs", "I - ", "Inspection")</f>
        <v>Structure</v>
      </c>
      <c r="E11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199" s="24" t="str">
        <f ca="1">IF(OR(Master[[#This Row],[Type]]="checklist", Master[[#This Row],[Type]]="checklist-flat"), Master[[#This Row],[Name]], F1198)</f>
        <v>ST - S - Concrete Pour - Without Reo</v>
      </c>
      <c r="G1199" s="34" t="s">
        <v>49</v>
      </c>
      <c r="H1199" s="34" t="s">
        <v>57</v>
      </c>
      <c r="I1199" s="35"/>
      <c r="J1199" s="21">
        <f ca="1">_xlfn.XLOOKUP(Master[[#This Row],[Checklist]],Ref!A:A,Ref!B:B)*1000</f>
        <v>111000</v>
      </c>
      <c r="K1199" s="21">
        <f ca="1">COUNTIF($J$2:Master[[#This Row],[ChecklistID]],Master[[#This Row],[ChecklistID]])-1</f>
        <v>36</v>
      </c>
      <c r="L1199" s="23" t="s">
        <v>6</v>
      </c>
    </row>
    <row r="1200" spans="1:12" ht="15.75">
      <c r="A1200" s="23">
        <f t="shared" si="19"/>
        <v>1199</v>
      </c>
      <c r="B1200" s="21">
        <f ca="1">Master[[#This Row],[ChecklistID]]+Master[[#This Row],[Checklist Order]]</f>
        <v>111037</v>
      </c>
      <c r="C1200" s="22"/>
      <c r="D1200" s="3" t="str" cm="1">
        <f t="array" aca="1" ref="D1200" ca="1">_xlfn.SWITCH(MID(Master[[#This Row],[Checklist]],1,4),"C - ","Civil","F - ","Foundation","ST -","Structure","FC -","Façade","PRE ","Pre-Line","POST","Post-Line","H - ","Handover","S - ","Services","CST ","Completion Docs", "I - ", "Inspection")</f>
        <v>Structure</v>
      </c>
      <c r="E12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0" s="24" t="str">
        <f ca="1">IF(OR(Master[[#This Row],[Type]]="checklist", Master[[#This Row],[Type]]="checklist-flat"), Master[[#This Row],[Name]], F1199)</f>
        <v>ST - S - Concrete Pour - Without Reo</v>
      </c>
      <c r="G1200" s="34" t="s">
        <v>58</v>
      </c>
      <c r="H1200" s="34" t="s">
        <v>59</v>
      </c>
      <c r="I1200" s="35"/>
      <c r="J1200" s="21">
        <f ca="1">_xlfn.XLOOKUP(Master[[#This Row],[Checklist]],Ref!A:A,Ref!B:B)*1000</f>
        <v>111000</v>
      </c>
      <c r="K1200" s="21">
        <f ca="1">COUNTIF($J$2:Master[[#This Row],[ChecklistID]],Master[[#This Row],[ChecklistID]])-1</f>
        <v>37</v>
      </c>
      <c r="L1200" s="23" t="s">
        <v>6</v>
      </c>
    </row>
    <row r="1201" spans="1:12" ht="15.75">
      <c r="A1201" s="23">
        <f t="shared" si="19"/>
        <v>1200</v>
      </c>
      <c r="B1201" s="21">
        <f ca="1">Master[[#This Row],[ChecklistID]]+Master[[#This Row],[Checklist Order]]</f>
        <v>112000</v>
      </c>
      <c r="C1201" s="22"/>
      <c r="D1201" s="3" t="str" cm="1">
        <f t="array" aca="1" ref="D1201" ca="1">_xlfn.SWITCH(MID(Master[[#This Row],[Checklist]],1,4),"C - ","Civil","F - ","Foundation","ST -","Structure","FC -","Façade","PRE ","Pre-Line","POST","Post-Line","H - ","Handover","S - ","Services","CST ","Completion Docs", "I - ", "Inspection")</f>
        <v>Structure</v>
      </c>
      <c r="E12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1" s="24" t="str">
        <f ca="1">IF(OR(Master[[#This Row],[Type]]="checklist", Master[[#This Row],[Type]]="checklist-flat"), Master[[#This Row],[Name]], F1200)</f>
        <v>ST - S -Panel Starter bars Installation</v>
      </c>
      <c r="G1201" s="34" t="s">
        <v>48</v>
      </c>
      <c r="H1201" s="34" t="s">
        <v>444</v>
      </c>
      <c r="I1201" s="35"/>
      <c r="J1201" s="21">
        <f ca="1">_xlfn.XLOOKUP(Master[[#This Row],[Checklist]],Ref!A:A,Ref!B:B)*1000</f>
        <v>112000</v>
      </c>
      <c r="K1201" s="21">
        <f ca="1">COUNTIF($J$2:Master[[#This Row],[ChecklistID]],Master[[#This Row],[ChecklistID]])-1</f>
        <v>0</v>
      </c>
      <c r="L1201" s="23" t="s">
        <v>6</v>
      </c>
    </row>
    <row r="1202" spans="1:12" ht="15.75">
      <c r="A1202" s="23">
        <f t="shared" si="19"/>
        <v>1201</v>
      </c>
      <c r="B1202" s="21">
        <f ca="1">Master[[#This Row],[ChecklistID]]+Master[[#This Row],[Checklist Order]]</f>
        <v>112001</v>
      </c>
      <c r="C1202" s="22"/>
      <c r="D1202" s="3" t="str" cm="1">
        <f t="array" aca="1" ref="D1202" ca="1">_xlfn.SWITCH(MID(Master[[#This Row],[Checklist]],1,4),"C - ","Civil","F - ","Foundation","ST -","Structure","FC -","Façade","PRE ","Pre-Line","POST","Post-Line","H - ","Handover","S - ","Services","CST ","Completion Docs", "I - ", "Inspection")</f>
        <v>Structure</v>
      </c>
      <c r="E12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2" s="24" t="str">
        <f ca="1">IF(OR(Master[[#This Row],[Type]]="checklist", Master[[#This Row],[Type]]="checklist-flat"), Master[[#This Row],[Name]], F1201)</f>
        <v>ST - S -Panel Starter bars Installation</v>
      </c>
      <c r="G1202" s="34" t="s">
        <v>49</v>
      </c>
      <c r="H1202" s="34" t="s">
        <v>445</v>
      </c>
      <c r="I1202" s="35"/>
      <c r="J1202" s="21">
        <f ca="1">_xlfn.XLOOKUP(Master[[#This Row],[Checklist]],Ref!A:A,Ref!B:B)*1000</f>
        <v>112000</v>
      </c>
      <c r="K1202" s="21">
        <f ca="1">COUNTIF($J$2:Master[[#This Row],[ChecklistID]],Master[[#This Row],[ChecklistID]])-1</f>
        <v>1</v>
      </c>
      <c r="L1202" s="23" t="s">
        <v>6</v>
      </c>
    </row>
    <row r="1203" spans="1:12" ht="15.75">
      <c r="A1203" s="23">
        <f t="shared" si="19"/>
        <v>1202</v>
      </c>
      <c r="B1203" s="21">
        <f ca="1">Master[[#This Row],[ChecklistID]]+Master[[#This Row],[Checklist Order]]</f>
        <v>112002</v>
      </c>
      <c r="C1203" s="22"/>
      <c r="D1203" s="3" t="str" cm="1">
        <f t="array" aca="1" ref="D1203" ca="1">_xlfn.SWITCH(MID(Master[[#This Row],[Checklist]],1,4),"C - ","Civil","F - ","Foundation","ST -","Structure","FC -","Façade","PRE ","Pre-Line","POST","Post-Line","H - ","Handover","S - ","Services","CST ","Completion Docs", "I - ", "Inspection")</f>
        <v>Structure</v>
      </c>
      <c r="E12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3" s="24" t="str">
        <f ca="1">IF(OR(Master[[#This Row],[Type]]="checklist", Master[[#This Row],[Type]]="checklist-flat"), Master[[#This Row],[Name]], F1202)</f>
        <v>ST - S -Panel Starter bars Installation</v>
      </c>
      <c r="G1203" s="34" t="s">
        <v>49</v>
      </c>
      <c r="H1203" s="34" t="s">
        <v>260</v>
      </c>
      <c r="I1203" s="35"/>
      <c r="J1203" s="21">
        <f ca="1">_xlfn.XLOOKUP(Master[[#This Row],[Checklist]],Ref!A:A,Ref!B:B)*1000</f>
        <v>112000</v>
      </c>
      <c r="K1203" s="21">
        <f ca="1">COUNTIF($J$2:Master[[#This Row],[ChecklistID]],Master[[#This Row],[ChecklistID]])-1</f>
        <v>2</v>
      </c>
      <c r="L1203" s="23" t="s">
        <v>6</v>
      </c>
    </row>
    <row r="1204" spans="1:12" ht="15.75">
      <c r="A1204" s="23">
        <f t="shared" si="19"/>
        <v>1203</v>
      </c>
      <c r="B1204" s="21">
        <f ca="1">Master[[#This Row],[ChecklistID]]+Master[[#This Row],[Checklist Order]]</f>
        <v>112003</v>
      </c>
      <c r="C1204" s="22"/>
      <c r="D1204" s="3" t="str" cm="1">
        <f t="array" aca="1" ref="D1204" ca="1">_xlfn.SWITCH(MID(Master[[#This Row],[Checklist]],1,4),"C - ","Civil","F - ","Foundation","ST -","Structure","FC -","Façade","PRE ","Pre-Line","POST","Post-Line","H - ","Handover","S - ","Services","CST ","Completion Docs", "I - ", "Inspection")</f>
        <v>Structure</v>
      </c>
      <c r="E12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4" s="24" t="str">
        <f ca="1">IF(OR(Master[[#This Row],[Type]]="checklist", Master[[#This Row],[Type]]="checklist-flat"), Master[[#This Row],[Name]], F1203)</f>
        <v>ST - S -Panel Starter bars Installation</v>
      </c>
      <c r="G1204" s="34" t="s">
        <v>49</v>
      </c>
      <c r="H1204" s="34" t="s">
        <v>261</v>
      </c>
      <c r="I1204" s="35"/>
      <c r="J1204" s="21">
        <f ca="1">_xlfn.XLOOKUP(Master[[#This Row],[Checklist]],Ref!A:A,Ref!B:B)*1000</f>
        <v>112000</v>
      </c>
      <c r="K1204" s="21">
        <f ca="1">COUNTIF($J$2:Master[[#This Row],[ChecklistID]],Master[[#This Row],[ChecklistID]])-1</f>
        <v>3</v>
      </c>
      <c r="L1204" s="23" t="s">
        <v>6</v>
      </c>
    </row>
    <row r="1205" spans="1:12" ht="15.75">
      <c r="A1205" s="23">
        <f t="shared" si="19"/>
        <v>1204</v>
      </c>
      <c r="B1205" s="21">
        <f ca="1">Master[[#This Row],[ChecklistID]]+Master[[#This Row],[Checklist Order]]</f>
        <v>112004</v>
      </c>
      <c r="C1205" s="22"/>
      <c r="D1205" s="3" t="str" cm="1">
        <f t="array" aca="1" ref="D1205" ca="1">_xlfn.SWITCH(MID(Master[[#This Row],[Checklist]],1,4),"C - ","Civil","F - ","Foundation","ST -","Structure","FC -","Façade","PRE ","Pre-Line","POST","Post-Line","H - ","Handover","S - ","Services","CST ","Completion Docs", "I - ", "Inspection")</f>
        <v>Structure</v>
      </c>
      <c r="E12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5" s="24" t="str">
        <f ca="1">IF(OR(Master[[#This Row],[Type]]="checklist", Master[[#This Row],[Type]]="checklist-flat"), Master[[#This Row],[Name]], F1204)</f>
        <v>ST - S -Panel Starter bars Installation</v>
      </c>
      <c r="G1205" s="34" t="s">
        <v>49</v>
      </c>
      <c r="H1205" s="34" t="s">
        <v>446</v>
      </c>
      <c r="I1205" s="35"/>
      <c r="J1205" s="21">
        <f ca="1">_xlfn.XLOOKUP(Master[[#This Row],[Checklist]],Ref!A:A,Ref!B:B)*1000</f>
        <v>112000</v>
      </c>
      <c r="K1205" s="21">
        <f ca="1">COUNTIF($J$2:Master[[#This Row],[ChecklistID]],Master[[#This Row],[ChecklistID]])-1</f>
        <v>4</v>
      </c>
      <c r="L1205" s="23" t="s">
        <v>6</v>
      </c>
    </row>
    <row r="1206" spans="1:12" ht="15.75">
      <c r="A1206" s="23">
        <f t="shared" si="19"/>
        <v>1205</v>
      </c>
      <c r="B1206" s="21">
        <f ca="1">Master[[#This Row],[ChecklistID]]+Master[[#This Row],[Checklist Order]]</f>
        <v>112005</v>
      </c>
      <c r="C1206" s="22"/>
      <c r="D1206" s="3" t="str" cm="1">
        <f t="array" aca="1" ref="D1206" ca="1">_xlfn.SWITCH(MID(Master[[#This Row],[Checklist]],1,4),"C - ","Civil","F - ","Foundation","ST -","Structure","FC -","Façade","PRE ","Pre-Line","POST","Post-Line","H - ","Handover","S - ","Services","CST ","Completion Docs", "I - ", "Inspection")</f>
        <v>Structure</v>
      </c>
      <c r="E12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6" s="24" t="str">
        <f ca="1">IF(OR(Master[[#This Row],[Type]]="checklist", Master[[#This Row],[Type]]="checklist-flat"), Master[[#This Row],[Name]], F1205)</f>
        <v>ST - S -Panel Starter bars Installation</v>
      </c>
      <c r="G1206" s="34" t="s">
        <v>49</v>
      </c>
      <c r="H1206" s="34" t="s">
        <v>447</v>
      </c>
      <c r="I1206" s="35"/>
      <c r="J1206" s="21">
        <f ca="1">_xlfn.XLOOKUP(Master[[#This Row],[Checklist]],Ref!A:A,Ref!B:B)*1000</f>
        <v>112000</v>
      </c>
      <c r="K1206" s="21">
        <f ca="1">COUNTIF($J$2:Master[[#This Row],[ChecklistID]],Master[[#This Row],[ChecklistID]])-1</f>
        <v>5</v>
      </c>
      <c r="L1206" s="23" t="s">
        <v>6</v>
      </c>
    </row>
    <row r="1207" spans="1:12" ht="15.75">
      <c r="A1207" s="23">
        <f t="shared" si="19"/>
        <v>1206</v>
      </c>
      <c r="B1207" s="21">
        <f ca="1">Master[[#This Row],[ChecklistID]]+Master[[#This Row],[Checklist Order]]</f>
        <v>112006</v>
      </c>
      <c r="C1207" s="22"/>
      <c r="D1207" s="3" t="str" cm="1">
        <f t="array" aca="1" ref="D1207" ca="1">_xlfn.SWITCH(MID(Master[[#This Row],[Checklist]],1,4),"C - ","Civil","F - ","Foundation","ST -","Structure","FC -","Façade","PRE ","Pre-Line","POST","Post-Line","H - ","Handover","S - ","Services","CST ","Completion Docs", "I - ", "Inspection")</f>
        <v>Structure</v>
      </c>
      <c r="E12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7" s="24" t="str">
        <f ca="1">IF(OR(Master[[#This Row],[Type]]="checklist", Master[[#This Row],[Type]]="checklist-flat"), Master[[#This Row],[Name]], F1206)</f>
        <v>ST - S -Panel Starter bars Installation</v>
      </c>
      <c r="G1207" s="34" t="s">
        <v>49</v>
      </c>
      <c r="H1207" s="34" t="s">
        <v>1696</v>
      </c>
      <c r="I1207" s="35"/>
      <c r="J1207" s="21">
        <f ca="1">_xlfn.XLOOKUP(Master[[#This Row],[Checklist]],Ref!A:A,Ref!B:B)*1000</f>
        <v>112000</v>
      </c>
      <c r="K1207" s="21">
        <f ca="1">COUNTIF($J$2:Master[[#This Row],[ChecklistID]],Master[[#This Row],[ChecklistID]])-1</f>
        <v>6</v>
      </c>
      <c r="L1207" s="23" t="s">
        <v>6</v>
      </c>
    </row>
    <row r="1208" spans="1:12" ht="15.75">
      <c r="A1208" s="23">
        <f t="shared" si="19"/>
        <v>1207</v>
      </c>
      <c r="B1208" s="21">
        <f ca="1">Master[[#This Row],[ChecklistID]]+Master[[#This Row],[Checklist Order]]</f>
        <v>112007</v>
      </c>
      <c r="C1208" s="22"/>
      <c r="D1208" s="3" t="str" cm="1">
        <f t="array" aca="1" ref="D1208" ca="1">_xlfn.SWITCH(MID(Master[[#This Row],[Checklist]],1,4),"C - ","Civil","F - ","Foundation","ST -","Structure","FC -","Façade","PRE ","Pre-Line","POST","Post-Line","H - ","Handover","S - ","Services","CST ","Completion Docs", "I - ", "Inspection")</f>
        <v>Structure</v>
      </c>
      <c r="E12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8" s="24" t="str">
        <f ca="1">IF(OR(Master[[#This Row],[Type]]="checklist", Master[[#This Row],[Type]]="checklist-flat"), Master[[#This Row],[Name]], F1207)</f>
        <v>ST - S -Panel Starter bars Installation</v>
      </c>
      <c r="G1208" s="34" t="s">
        <v>49</v>
      </c>
      <c r="H1208" s="34" t="s">
        <v>57</v>
      </c>
      <c r="I1208" s="35"/>
      <c r="J1208" s="21">
        <f ca="1">_xlfn.XLOOKUP(Master[[#This Row],[Checklist]],Ref!A:A,Ref!B:B)*1000</f>
        <v>112000</v>
      </c>
      <c r="K1208" s="21">
        <f ca="1">COUNTIF($J$2:Master[[#This Row],[ChecklistID]],Master[[#This Row],[ChecklistID]])-1</f>
        <v>7</v>
      </c>
      <c r="L1208" s="23" t="s">
        <v>6</v>
      </c>
    </row>
    <row r="1209" spans="1:12" ht="15.75">
      <c r="A1209" s="23">
        <f t="shared" si="19"/>
        <v>1208</v>
      </c>
      <c r="B1209" s="21">
        <f ca="1">Master[[#This Row],[ChecklistID]]+Master[[#This Row],[Checklist Order]]</f>
        <v>112008</v>
      </c>
      <c r="C1209" s="22"/>
      <c r="D1209" s="3" t="str" cm="1">
        <f t="array" aca="1" ref="D1209" ca="1">_xlfn.SWITCH(MID(Master[[#This Row],[Checklist]],1,4),"C - ","Civil","F - ","Foundation","ST -","Structure","FC -","Façade","PRE ","Pre-Line","POST","Post-Line","H - ","Handover","S - ","Services","CST ","Completion Docs", "I - ", "Inspection")</f>
        <v>Structure</v>
      </c>
      <c r="E12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09" s="24" t="str">
        <f ca="1">IF(OR(Master[[#This Row],[Type]]="checklist", Master[[#This Row],[Type]]="checklist-flat"), Master[[#This Row],[Name]], F1208)</f>
        <v>ST - S -Panel Starter bars Installation</v>
      </c>
      <c r="G1209" s="34" t="s">
        <v>58</v>
      </c>
      <c r="H1209" s="34" t="s">
        <v>59</v>
      </c>
      <c r="I1209" s="35"/>
      <c r="J1209" s="21">
        <f ca="1">_xlfn.XLOOKUP(Master[[#This Row],[Checklist]],Ref!A:A,Ref!B:B)*1000</f>
        <v>112000</v>
      </c>
      <c r="K1209" s="21">
        <f ca="1">COUNTIF($J$2:Master[[#This Row],[ChecklistID]],Master[[#This Row],[ChecklistID]])-1</f>
        <v>8</v>
      </c>
      <c r="L1209" s="23" t="s">
        <v>6</v>
      </c>
    </row>
    <row r="1210" spans="1:12" ht="15.75">
      <c r="A1210" s="23">
        <f t="shared" si="19"/>
        <v>1209</v>
      </c>
      <c r="B1210" s="21">
        <f ca="1">Master[[#This Row],[ChecklistID]]+Master[[#This Row],[Checklist Order]]</f>
        <v>113000</v>
      </c>
      <c r="C1210" s="22"/>
      <c r="D1210" s="3" t="str" cm="1">
        <f t="array" aca="1" ref="D1210" ca="1">_xlfn.SWITCH(MID(Master[[#This Row],[Checklist]],1,4),"C - ","Civil","F - ","Foundation","ST -","Structure","FC -","Façade","PRE ","Pre-Line","POST","Post-Line","H - ","Handover","S - ","Services","CST ","Completion Docs", "I - ", "Inspection")</f>
        <v>Structure</v>
      </c>
      <c r="E12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0" s="24" t="str">
        <f ca="1">IF(OR(Master[[#This Row],[Type]]="checklist", Master[[#This Row],[Type]]="checklist-flat"), Master[[#This Row],[Name]], F1209)</f>
        <v xml:space="preserve">ST - S - Precast Flat Slab Installation </v>
      </c>
      <c r="G1210" s="34" t="s">
        <v>48</v>
      </c>
      <c r="H1210" s="34" t="s">
        <v>449</v>
      </c>
      <c r="I1210" s="35"/>
      <c r="J1210" s="21">
        <f ca="1">_xlfn.XLOOKUP(Master[[#This Row],[Checklist]],Ref!A:A,Ref!B:B)*1000</f>
        <v>113000</v>
      </c>
      <c r="K1210" s="21">
        <f ca="1">COUNTIF($J$2:Master[[#This Row],[ChecklistID]],Master[[#This Row],[ChecklistID]])-1</f>
        <v>0</v>
      </c>
      <c r="L1210" s="23" t="s">
        <v>6</v>
      </c>
    </row>
    <row r="1211" spans="1:12" ht="15.75">
      <c r="A1211" s="23">
        <f t="shared" si="19"/>
        <v>1210</v>
      </c>
      <c r="B1211" s="21">
        <f ca="1">Master[[#This Row],[ChecklistID]]+Master[[#This Row],[Checklist Order]]</f>
        <v>113001</v>
      </c>
      <c r="C1211" s="22"/>
      <c r="D1211" s="3" t="str" cm="1">
        <f t="array" aca="1" ref="D1211" ca="1">_xlfn.SWITCH(MID(Master[[#This Row],[Checklist]],1,4),"C - ","Civil","F - ","Foundation","ST -","Structure","FC -","Façade","PRE ","Pre-Line","POST","Post-Line","H - ","Handover","S - ","Services","CST ","Completion Docs", "I - ", "Inspection")</f>
        <v>Structure</v>
      </c>
      <c r="E12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1" s="24" t="str">
        <f ca="1">IF(OR(Master[[#This Row],[Type]]="checklist", Master[[#This Row],[Type]]="checklist-flat"), Master[[#This Row],[Name]], F1210)</f>
        <v xml:space="preserve">ST - S - Precast Flat Slab Installation </v>
      </c>
      <c r="G1211" s="34" t="s">
        <v>49</v>
      </c>
      <c r="H1211" s="34" t="s">
        <v>339</v>
      </c>
      <c r="I1211" s="35"/>
      <c r="J1211" s="21">
        <f ca="1">_xlfn.XLOOKUP(Master[[#This Row],[Checklist]],Ref!A:A,Ref!B:B)*1000</f>
        <v>113000</v>
      </c>
      <c r="K1211" s="21">
        <f ca="1">COUNTIF($J$2:Master[[#This Row],[ChecklistID]],Master[[#This Row],[ChecklistID]])-1</f>
        <v>1</v>
      </c>
      <c r="L1211" s="23" t="s">
        <v>6</v>
      </c>
    </row>
    <row r="1212" spans="1:12" ht="15.75">
      <c r="A1212" s="23">
        <f t="shared" si="19"/>
        <v>1211</v>
      </c>
      <c r="B1212" s="21">
        <f ca="1">Master[[#This Row],[ChecklistID]]+Master[[#This Row],[Checklist Order]]</f>
        <v>113002</v>
      </c>
      <c r="C1212" s="22"/>
      <c r="D1212" s="3" t="str" cm="1">
        <f t="array" aca="1" ref="D1212" ca="1">_xlfn.SWITCH(MID(Master[[#This Row],[Checklist]],1,4),"C - ","Civil","F - ","Foundation","ST -","Structure","FC -","Façade","PRE ","Pre-Line","POST","Post-Line","H - ","Handover","S - ","Services","CST ","Completion Docs", "I - ", "Inspection")</f>
        <v>Structure</v>
      </c>
      <c r="E12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2" s="24" t="str">
        <f ca="1">IF(OR(Master[[#This Row],[Type]]="checklist", Master[[#This Row],[Type]]="checklist-flat"), Master[[#This Row],[Name]], F1211)</f>
        <v xml:space="preserve">ST - S - Precast Flat Slab Installation </v>
      </c>
      <c r="G1212" s="34" t="s">
        <v>49</v>
      </c>
      <c r="H1212" s="34" t="s">
        <v>340</v>
      </c>
      <c r="I1212" s="35"/>
      <c r="J1212" s="21">
        <f ca="1">_xlfn.XLOOKUP(Master[[#This Row],[Checklist]],Ref!A:A,Ref!B:B)*1000</f>
        <v>113000</v>
      </c>
      <c r="K1212" s="21">
        <f ca="1">COUNTIF($J$2:Master[[#This Row],[ChecklistID]],Master[[#This Row],[ChecklistID]])-1</f>
        <v>2</v>
      </c>
      <c r="L1212" s="23" t="s">
        <v>6</v>
      </c>
    </row>
    <row r="1213" spans="1:12" ht="15.75">
      <c r="A1213" s="23">
        <f t="shared" si="19"/>
        <v>1212</v>
      </c>
      <c r="B1213" s="21">
        <f ca="1">Master[[#This Row],[ChecklistID]]+Master[[#This Row],[Checklist Order]]</f>
        <v>113003</v>
      </c>
      <c r="C1213" s="22"/>
      <c r="D1213" s="3" t="str" cm="1">
        <f t="array" aca="1" ref="D1213" ca="1">_xlfn.SWITCH(MID(Master[[#This Row],[Checklist]],1,4),"C - ","Civil","F - ","Foundation","ST -","Structure","FC -","Façade","PRE ","Pre-Line","POST","Post-Line","H - ","Handover","S - ","Services","CST ","Completion Docs", "I - ", "Inspection")</f>
        <v>Structure</v>
      </c>
      <c r="E12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3" s="24" t="str">
        <f ca="1">IF(OR(Master[[#This Row],[Type]]="checklist", Master[[#This Row],[Type]]="checklist-flat"), Master[[#This Row],[Name]], F1212)</f>
        <v xml:space="preserve">ST - S - Precast Flat Slab Installation </v>
      </c>
      <c r="G1213" s="34" t="s">
        <v>49</v>
      </c>
      <c r="H1213" s="34" t="s">
        <v>341</v>
      </c>
      <c r="I1213" s="35"/>
      <c r="J1213" s="21">
        <f ca="1">_xlfn.XLOOKUP(Master[[#This Row],[Checklist]],Ref!A:A,Ref!B:B)*1000</f>
        <v>113000</v>
      </c>
      <c r="K1213" s="21">
        <f ca="1">COUNTIF($J$2:Master[[#This Row],[ChecklistID]],Master[[#This Row],[ChecklistID]])-1</f>
        <v>3</v>
      </c>
      <c r="L1213" s="23" t="s">
        <v>6</v>
      </c>
    </row>
    <row r="1214" spans="1:12" ht="15.75">
      <c r="A1214" s="23">
        <f t="shared" si="19"/>
        <v>1213</v>
      </c>
      <c r="B1214" s="21">
        <f ca="1">Master[[#This Row],[ChecklistID]]+Master[[#This Row],[Checklist Order]]</f>
        <v>113004</v>
      </c>
      <c r="C1214" s="22"/>
      <c r="D1214" s="3" t="str" cm="1">
        <f t="array" aca="1" ref="D1214" ca="1">_xlfn.SWITCH(MID(Master[[#This Row],[Checklist]],1,4),"C - ","Civil","F - ","Foundation","ST -","Structure","FC -","Façade","PRE ","Pre-Line","POST","Post-Line","H - ","Handover","S - ","Services","CST ","Completion Docs", "I - ", "Inspection")</f>
        <v>Structure</v>
      </c>
      <c r="E12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4" s="24" t="str">
        <f ca="1">IF(OR(Master[[#This Row],[Type]]="checklist", Master[[#This Row],[Type]]="checklist-flat"), Master[[#This Row],[Name]], F1213)</f>
        <v xml:space="preserve">ST - S - Precast Flat Slab Installation </v>
      </c>
      <c r="G1214" s="34" t="s">
        <v>49</v>
      </c>
      <c r="H1214" s="34" t="s">
        <v>450</v>
      </c>
      <c r="I1214" s="35"/>
      <c r="J1214" s="21">
        <f ca="1">_xlfn.XLOOKUP(Master[[#This Row],[Checklist]],Ref!A:A,Ref!B:B)*1000</f>
        <v>113000</v>
      </c>
      <c r="K1214" s="21">
        <f ca="1">COUNTIF($J$2:Master[[#This Row],[ChecklistID]],Master[[#This Row],[ChecklistID]])-1</f>
        <v>4</v>
      </c>
      <c r="L1214" s="23" t="s">
        <v>6</v>
      </c>
    </row>
    <row r="1215" spans="1:12" ht="15.75">
      <c r="A1215" s="23">
        <f t="shared" si="19"/>
        <v>1214</v>
      </c>
      <c r="B1215" s="21">
        <f ca="1">Master[[#This Row],[ChecklistID]]+Master[[#This Row],[Checklist Order]]</f>
        <v>113005</v>
      </c>
      <c r="C1215" s="22"/>
      <c r="D1215" s="3" t="str" cm="1">
        <f t="array" aca="1" ref="D1215" ca="1">_xlfn.SWITCH(MID(Master[[#This Row],[Checklist]],1,4),"C - ","Civil","F - ","Foundation","ST -","Structure","FC -","Façade","PRE ","Pre-Line","POST","Post-Line","H - ","Handover","S - ","Services","CST ","Completion Docs", "I - ", "Inspection")</f>
        <v>Structure</v>
      </c>
      <c r="E12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5" s="24" t="str">
        <f ca="1">IF(OR(Master[[#This Row],[Type]]="checklist", Master[[#This Row],[Type]]="checklist-flat"), Master[[#This Row],[Name]], F1214)</f>
        <v xml:space="preserve">ST - S - Precast Flat Slab Installation </v>
      </c>
      <c r="G1215" s="34" t="s">
        <v>49</v>
      </c>
      <c r="H1215" s="34" t="s">
        <v>57</v>
      </c>
      <c r="I1215" s="35"/>
      <c r="J1215" s="21">
        <f ca="1">_xlfn.XLOOKUP(Master[[#This Row],[Checklist]],Ref!A:A,Ref!B:B)*1000</f>
        <v>113000</v>
      </c>
      <c r="K1215" s="21">
        <f ca="1">COUNTIF($J$2:Master[[#This Row],[ChecklistID]],Master[[#This Row],[ChecklistID]])-1</f>
        <v>5</v>
      </c>
      <c r="L1215" s="23" t="s">
        <v>6</v>
      </c>
    </row>
    <row r="1216" spans="1:12" ht="15.75">
      <c r="A1216" s="23">
        <f t="shared" si="19"/>
        <v>1215</v>
      </c>
      <c r="B1216" s="21">
        <f ca="1">Master[[#This Row],[ChecklistID]]+Master[[#This Row],[Checklist Order]]</f>
        <v>113006</v>
      </c>
      <c r="C1216" s="22"/>
      <c r="D1216" s="3" t="str" cm="1">
        <f t="array" aca="1" ref="D1216" ca="1">_xlfn.SWITCH(MID(Master[[#This Row],[Checklist]],1,4),"C - ","Civil","F - ","Foundation","ST -","Structure","FC -","Façade","PRE ","Pre-Line","POST","Post-Line","H - ","Handover","S - ","Services","CST ","Completion Docs", "I - ", "Inspection")</f>
        <v>Structure</v>
      </c>
      <c r="E12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6" s="24" t="str">
        <f ca="1">IF(OR(Master[[#This Row],[Type]]="checklist", Master[[#This Row],[Type]]="checklist-flat"), Master[[#This Row],[Name]], F1215)</f>
        <v xml:space="preserve">ST - S - Precast Flat Slab Installation </v>
      </c>
      <c r="G1216" s="34" t="s">
        <v>58</v>
      </c>
      <c r="H1216" s="34" t="s">
        <v>59</v>
      </c>
      <c r="I1216" s="35"/>
      <c r="J1216" s="21">
        <f ca="1">_xlfn.XLOOKUP(Master[[#This Row],[Checklist]],Ref!A:A,Ref!B:B)*1000</f>
        <v>113000</v>
      </c>
      <c r="K1216" s="21">
        <f ca="1">COUNTIF($J$2:Master[[#This Row],[ChecklistID]],Master[[#This Row],[ChecklistID]])-1</f>
        <v>6</v>
      </c>
      <c r="L1216" s="23" t="s">
        <v>6</v>
      </c>
    </row>
    <row r="1217" spans="1:12" ht="15.75">
      <c r="A1217" s="23">
        <f t="shared" si="19"/>
        <v>1216</v>
      </c>
      <c r="B1217" s="21">
        <f ca="1">Master[[#This Row],[ChecklistID]]+Master[[#This Row],[Checklist Order]]</f>
        <v>114000</v>
      </c>
      <c r="C1217" s="22"/>
      <c r="D1217" s="3" t="str" cm="1">
        <f t="array" aca="1" ref="D1217" ca="1">_xlfn.SWITCH(MID(Master[[#This Row],[Checklist]],1,4),"C - ","Civil","F - ","Foundation","ST -","Structure","FC -","Façade","PRE ","Pre-Line","POST","Post-Line","H - ","Handover","S - ","Services","CST ","Completion Docs", "I - ", "Inspection")</f>
        <v>Structure</v>
      </c>
      <c r="E12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7" s="24" t="str">
        <f ca="1">IF(OR(Master[[#This Row],[Type]]="checklist", Master[[#This Row],[Type]]="checklist-flat"), Master[[#This Row],[Name]], F1216)</f>
        <v xml:space="preserve">ST - S - Precast Beam Installation </v>
      </c>
      <c r="G1217" s="34" t="s">
        <v>48</v>
      </c>
      <c r="H1217" s="34" t="s">
        <v>451</v>
      </c>
      <c r="I1217" s="35"/>
      <c r="J1217" s="21">
        <f ca="1">_xlfn.XLOOKUP(Master[[#This Row],[Checklist]],Ref!A:A,Ref!B:B)*1000</f>
        <v>114000</v>
      </c>
      <c r="K1217" s="21">
        <f ca="1">COUNTIF($J$2:Master[[#This Row],[ChecklistID]],Master[[#This Row],[ChecklistID]])-1</f>
        <v>0</v>
      </c>
      <c r="L1217" s="23" t="s">
        <v>6</v>
      </c>
    </row>
    <row r="1218" spans="1:12" ht="15.75">
      <c r="A1218" s="23">
        <f t="shared" si="19"/>
        <v>1217</v>
      </c>
      <c r="B1218" s="21">
        <f ca="1">Master[[#This Row],[ChecklistID]]+Master[[#This Row],[Checklist Order]]</f>
        <v>114001</v>
      </c>
      <c r="C1218" s="22"/>
      <c r="D1218" s="3" t="str" cm="1">
        <f t="array" aca="1" ref="D1218" ca="1">_xlfn.SWITCH(MID(Master[[#This Row],[Checklist]],1,4),"C - ","Civil","F - ","Foundation","ST -","Structure","FC -","Façade","PRE ","Pre-Line","POST","Post-Line","H - ","Handover","S - ","Services","CST ","Completion Docs", "I - ", "Inspection")</f>
        <v>Structure</v>
      </c>
      <c r="E12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8" s="24" t="str">
        <f ca="1">IF(OR(Master[[#This Row],[Type]]="checklist", Master[[#This Row],[Type]]="checklist-flat"), Master[[#This Row],[Name]], F1217)</f>
        <v xml:space="preserve">ST - S - Precast Beam Installation </v>
      </c>
      <c r="G1218" s="34" t="s">
        <v>49</v>
      </c>
      <c r="H1218" s="34" t="s">
        <v>339</v>
      </c>
      <c r="I1218" s="35"/>
      <c r="J1218" s="21">
        <f ca="1">_xlfn.XLOOKUP(Master[[#This Row],[Checklist]],Ref!A:A,Ref!B:B)*1000</f>
        <v>114000</v>
      </c>
      <c r="K1218" s="21">
        <f ca="1">COUNTIF($J$2:Master[[#This Row],[ChecklistID]],Master[[#This Row],[ChecklistID]])-1</f>
        <v>1</v>
      </c>
      <c r="L1218" s="23" t="s">
        <v>6</v>
      </c>
    </row>
    <row r="1219" spans="1:12" ht="15.75">
      <c r="A1219" s="23">
        <f t="shared" si="19"/>
        <v>1218</v>
      </c>
      <c r="B1219" s="21">
        <f ca="1">Master[[#This Row],[ChecklistID]]+Master[[#This Row],[Checklist Order]]</f>
        <v>114002</v>
      </c>
      <c r="C1219" s="22"/>
      <c r="D1219" s="3" t="str" cm="1">
        <f t="array" aca="1" ref="D1219" ca="1">_xlfn.SWITCH(MID(Master[[#This Row],[Checklist]],1,4),"C - ","Civil","F - ","Foundation","ST -","Structure","FC -","Façade","PRE ","Pre-Line","POST","Post-Line","H - ","Handover","S - ","Services","CST ","Completion Docs", "I - ", "Inspection")</f>
        <v>Structure</v>
      </c>
      <c r="E12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19" s="24" t="str">
        <f ca="1">IF(OR(Master[[#This Row],[Type]]="checklist", Master[[#This Row],[Type]]="checklist-flat"), Master[[#This Row],[Name]], F1218)</f>
        <v xml:space="preserve">ST - S - Precast Beam Installation </v>
      </c>
      <c r="G1219" s="34" t="s">
        <v>49</v>
      </c>
      <c r="H1219" s="34" t="s">
        <v>340</v>
      </c>
      <c r="I1219" s="35"/>
      <c r="J1219" s="21">
        <f ca="1">_xlfn.XLOOKUP(Master[[#This Row],[Checklist]],Ref!A:A,Ref!B:B)*1000</f>
        <v>114000</v>
      </c>
      <c r="K1219" s="21">
        <f ca="1">COUNTIF($J$2:Master[[#This Row],[ChecklistID]],Master[[#This Row],[ChecklistID]])-1</f>
        <v>2</v>
      </c>
      <c r="L1219" s="23" t="s">
        <v>6</v>
      </c>
    </row>
    <row r="1220" spans="1:12" ht="15.75">
      <c r="A1220" s="23">
        <f t="shared" si="19"/>
        <v>1219</v>
      </c>
      <c r="B1220" s="21">
        <f ca="1">Master[[#This Row],[ChecklistID]]+Master[[#This Row],[Checklist Order]]</f>
        <v>114003</v>
      </c>
      <c r="C1220" s="22"/>
      <c r="D1220" s="3" t="str" cm="1">
        <f t="array" aca="1" ref="D1220" ca="1">_xlfn.SWITCH(MID(Master[[#This Row],[Checklist]],1,4),"C - ","Civil","F - ","Foundation","ST -","Structure","FC -","Façade","PRE ","Pre-Line","POST","Post-Line","H - ","Handover","S - ","Services","CST ","Completion Docs", "I - ", "Inspection")</f>
        <v>Structure</v>
      </c>
      <c r="E12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0" s="24" t="str">
        <f ca="1">IF(OR(Master[[#This Row],[Type]]="checklist", Master[[#This Row],[Type]]="checklist-flat"), Master[[#This Row],[Name]], F1219)</f>
        <v xml:space="preserve">ST - S - Precast Beam Installation </v>
      </c>
      <c r="G1220" s="34" t="s">
        <v>49</v>
      </c>
      <c r="H1220" s="34" t="s">
        <v>341</v>
      </c>
      <c r="I1220" s="35"/>
      <c r="J1220" s="21">
        <f ca="1">_xlfn.XLOOKUP(Master[[#This Row],[Checklist]],Ref!A:A,Ref!B:B)*1000</f>
        <v>114000</v>
      </c>
      <c r="K1220" s="21">
        <f ca="1">COUNTIF($J$2:Master[[#This Row],[ChecklistID]],Master[[#This Row],[ChecklistID]])-1</f>
        <v>3</v>
      </c>
      <c r="L1220" s="23" t="s">
        <v>6</v>
      </c>
    </row>
    <row r="1221" spans="1:12" ht="15.75">
      <c r="A1221" s="23">
        <f t="shared" si="19"/>
        <v>1220</v>
      </c>
      <c r="B1221" s="21">
        <f ca="1">Master[[#This Row],[ChecklistID]]+Master[[#This Row],[Checklist Order]]</f>
        <v>114004</v>
      </c>
      <c r="C1221" s="22"/>
      <c r="D1221" s="3" t="str" cm="1">
        <f t="array" aca="1" ref="D1221" ca="1">_xlfn.SWITCH(MID(Master[[#This Row],[Checklist]],1,4),"C - ","Civil","F - ","Foundation","ST -","Structure","FC -","Façade","PRE ","Pre-Line","POST","Post-Line","H - ","Handover","S - ","Services","CST ","Completion Docs", "I - ", "Inspection")</f>
        <v>Structure</v>
      </c>
      <c r="E12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1" s="24" t="str">
        <f ca="1">IF(OR(Master[[#This Row],[Type]]="checklist", Master[[#This Row],[Type]]="checklist-flat"), Master[[#This Row],[Name]], F1220)</f>
        <v xml:space="preserve">ST - S - Precast Beam Installation </v>
      </c>
      <c r="G1221" s="34" t="s">
        <v>49</v>
      </c>
      <c r="H1221" s="34" t="s">
        <v>452</v>
      </c>
      <c r="I1221" s="35"/>
      <c r="J1221" s="21">
        <f ca="1">_xlfn.XLOOKUP(Master[[#This Row],[Checklist]],Ref!A:A,Ref!B:B)*1000</f>
        <v>114000</v>
      </c>
      <c r="K1221" s="21">
        <f ca="1">COUNTIF($J$2:Master[[#This Row],[ChecklistID]],Master[[#This Row],[ChecklistID]])-1</f>
        <v>4</v>
      </c>
      <c r="L1221" s="23" t="s">
        <v>6</v>
      </c>
    </row>
    <row r="1222" spans="1:12" ht="15.75">
      <c r="A1222" s="23">
        <f t="shared" si="19"/>
        <v>1221</v>
      </c>
      <c r="B1222" s="21">
        <f ca="1">Master[[#This Row],[ChecklistID]]+Master[[#This Row],[Checklist Order]]</f>
        <v>114005</v>
      </c>
      <c r="C1222" s="22"/>
      <c r="D1222" s="3" t="str" cm="1">
        <f t="array" aca="1" ref="D1222" ca="1">_xlfn.SWITCH(MID(Master[[#This Row],[Checklist]],1,4),"C - ","Civil","F - ","Foundation","ST -","Structure","FC -","Façade","PRE ","Pre-Line","POST","Post-Line","H - ","Handover","S - ","Services","CST ","Completion Docs", "I - ", "Inspection")</f>
        <v>Structure</v>
      </c>
      <c r="E12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2" s="24" t="str">
        <f ca="1">IF(OR(Master[[#This Row],[Type]]="checklist", Master[[#This Row],[Type]]="checklist-flat"), Master[[#This Row],[Name]], F1221)</f>
        <v xml:space="preserve">ST - S - Precast Beam Installation </v>
      </c>
      <c r="G1222" s="34" t="s">
        <v>49</v>
      </c>
      <c r="H1222" s="34" t="s">
        <v>57</v>
      </c>
      <c r="I1222" s="35"/>
      <c r="J1222" s="21">
        <f ca="1">_xlfn.XLOOKUP(Master[[#This Row],[Checklist]],Ref!A:A,Ref!B:B)*1000</f>
        <v>114000</v>
      </c>
      <c r="K1222" s="21">
        <f ca="1">COUNTIF($J$2:Master[[#This Row],[ChecklistID]],Master[[#This Row],[ChecklistID]])-1</f>
        <v>5</v>
      </c>
      <c r="L1222" s="23" t="s">
        <v>6</v>
      </c>
    </row>
    <row r="1223" spans="1:12" ht="15.75">
      <c r="A1223" s="23">
        <f t="shared" si="19"/>
        <v>1222</v>
      </c>
      <c r="B1223" s="21">
        <f ca="1">Master[[#This Row],[ChecklistID]]+Master[[#This Row],[Checklist Order]]</f>
        <v>114006</v>
      </c>
      <c r="C1223" s="22"/>
      <c r="D1223" s="3" t="str" cm="1">
        <f t="array" aca="1" ref="D1223" ca="1">_xlfn.SWITCH(MID(Master[[#This Row],[Checklist]],1,4),"C - ","Civil","F - ","Foundation","ST -","Structure","FC -","Façade","PRE ","Pre-Line","POST","Post-Line","H - ","Handover","S - ","Services","CST ","Completion Docs", "I - ", "Inspection")</f>
        <v>Structure</v>
      </c>
      <c r="E12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3" s="24" t="str">
        <f ca="1">IF(OR(Master[[#This Row],[Type]]="checklist", Master[[#This Row],[Type]]="checklist-flat"), Master[[#This Row],[Name]], F1222)</f>
        <v xml:space="preserve">ST - S - Precast Beam Installation </v>
      </c>
      <c r="G1223" s="34" t="s">
        <v>58</v>
      </c>
      <c r="H1223" s="34" t="s">
        <v>59</v>
      </c>
      <c r="I1223" s="35"/>
      <c r="J1223" s="21">
        <f ca="1">_xlfn.XLOOKUP(Master[[#This Row],[Checklist]],Ref!A:A,Ref!B:B)*1000</f>
        <v>114000</v>
      </c>
      <c r="K1223" s="21">
        <f ca="1">COUNTIF($J$2:Master[[#This Row],[ChecklistID]],Master[[#This Row],[ChecklistID]])-1</f>
        <v>6</v>
      </c>
      <c r="L1223" s="23" t="s">
        <v>6</v>
      </c>
    </row>
    <row r="1224" spans="1:12" ht="15.75">
      <c r="A1224" s="23">
        <f t="shared" si="19"/>
        <v>1223</v>
      </c>
      <c r="B1224" s="21">
        <f ca="1">Master[[#This Row],[ChecklistID]]+Master[[#This Row],[Checklist Order]]</f>
        <v>115000</v>
      </c>
      <c r="C1224" s="22"/>
      <c r="D1224" s="3" t="str" cm="1">
        <f t="array" aca="1" ref="D1224" ca="1">_xlfn.SWITCH(MID(Master[[#This Row],[Checklist]],1,4),"C - ","Civil","F - ","Foundation","ST -","Structure","FC -","Façade","PRE ","Pre-Line","POST","Post-Line","H - ","Handover","S - ","Services","CST ","Completion Docs", "I - ", "Inspection")</f>
        <v>Façade</v>
      </c>
      <c r="E12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4" s="24" t="str">
        <f ca="1">IF(OR(Master[[#This Row],[Type]]="checklist", Master[[#This Row],[Type]]="checklist-flat"), Master[[#This Row],[Name]], F1223)</f>
        <v>FC - S - Anchor Points - Anchor Point Installation</v>
      </c>
      <c r="G1224" s="34" t="s">
        <v>48</v>
      </c>
      <c r="H1224" s="34" t="s">
        <v>453</v>
      </c>
      <c r="I1224" s="35"/>
      <c r="J1224" s="21">
        <f ca="1">_xlfn.XLOOKUP(Master[[#This Row],[Checklist]],Ref!A:A,Ref!B:B)*1000</f>
        <v>115000</v>
      </c>
      <c r="K1224" s="21">
        <f ca="1">COUNTIF($J$2:Master[[#This Row],[ChecklistID]],Master[[#This Row],[ChecklistID]])-1</f>
        <v>0</v>
      </c>
      <c r="L1224" s="23" t="s">
        <v>6</v>
      </c>
    </row>
    <row r="1225" spans="1:12" ht="15.75">
      <c r="A1225" s="23">
        <f t="shared" si="19"/>
        <v>1224</v>
      </c>
      <c r="B1225" s="21">
        <f ca="1">Master[[#This Row],[ChecklistID]]+Master[[#This Row],[Checklist Order]]</f>
        <v>115001</v>
      </c>
      <c r="C1225" s="22"/>
      <c r="D1225" s="3" t="str" cm="1">
        <f t="array" aca="1" ref="D1225" ca="1">_xlfn.SWITCH(MID(Master[[#This Row],[Checklist]],1,4),"C - ","Civil","F - ","Foundation","ST -","Structure","FC -","Façade","PRE ","Pre-Line","POST","Post-Line","H - ","Handover","S - ","Services","CST ","Completion Docs", "I - ", "Inspection")</f>
        <v>Façade</v>
      </c>
      <c r="E12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5" s="24" t="str">
        <f ca="1">IF(OR(Master[[#This Row],[Type]]="checklist", Master[[#This Row],[Type]]="checklist-flat"), Master[[#This Row],[Name]], F1224)</f>
        <v>FC - S - Anchor Points - Anchor Point Installation</v>
      </c>
      <c r="G1225" s="34" t="s">
        <v>49</v>
      </c>
      <c r="H1225" s="34" t="s">
        <v>454</v>
      </c>
      <c r="I1225" s="35"/>
      <c r="J1225" s="21">
        <f ca="1">_xlfn.XLOOKUP(Master[[#This Row],[Checklist]],Ref!A:A,Ref!B:B)*1000</f>
        <v>115000</v>
      </c>
      <c r="K1225" s="21">
        <f ca="1">COUNTIF($J$2:Master[[#This Row],[ChecklistID]],Master[[#This Row],[ChecklistID]])-1</f>
        <v>1</v>
      </c>
      <c r="L1225" s="23" t="s">
        <v>6</v>
      </c>
    </row>
    <row r="1226" spans="1:12" ht="15.75">
      <c r="A1226" s="23">
        <f t="shared" si="19"/>
        <v>1225</v>
      </c>
      <c r="B1226" s="21">
        <f ca="1">Master[[#This Row],[ChecklistID]]+Master[[#This Row],[Checklist Order]]</f>
        <v>115002</v>
      </c>
      <c r="C1226" s="22"/>
      <c r="D1226" s="3" t="str" cm="1">
        <f t="array" aca="1" ref="D1226" ca="1">_xlfn.SWITCH(MID(Master[[#This Row],[Checklist]],1,4),"C - ","Civil","F - ","Foundation","ST -","Structure","FC -","Façade","PRE ","Pre-Line","POST","Post-Line","H - ","Handover","S - ","Services","CST ","Completion Docs", "I - ", "Inspection")</f>
        <v>Façade</v>
      </c>
      <c r="E12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6" s="24" t="str">
        <f ca="1">IF(OR(Master[[#This Row],[Type]]="checklist", Master[[#This Row],[Type]]="checklist-flat"), Master[[#This Row],[Name]], F1225)</f>
        <v>FC - S - Anchor Points - Anchor Point Installation</v>
      </c>
      <c r="G1226" s="34" t="s">
        <v>49</v>
      </c>
      <c r="H1226" s="34" t="s">
        <v>455</v>
      </c>
      <c r="I1226" s="35"/>
      <c r="J1226" s="21">
        <f ca="1">_xlfn.XLOOKUP(Master[[#This Row],[Checklist]],Ref!A:A,Ref!B:B)*1000</f>
        <v>115000</v>
      </c>
      <c r="K1226" s="21">
        <f ca="1">COUNTIF($J$2:Master[[#This Row],[ChecklistID]],Master[[#This Row],[ChecklistID]])-1</f>
        <v>2</v>
      </c>
      <c r="L1226" s="23" t="s">
        <v>6</v>
      </c>
    </row>
    <row r="1227" spans="1:12" ht="15.75">
      <c r="A1227" s="23">
        <f t="shared" si="19"/>
        <v>1226</v>
      </c>
      <c r="B1227" s="21">
        <f ca="1">Master[[#This Row],[ChecklistID]]+Master[[#This Row],[Checklist Order]]</f>
        <v>115003</v>
      </c>
      <c r="C1227" s="22"/>
      <c r="D1227" s="3" t="str" cm="1">
        <f t="array" aca="1" ref="D1227" ca="1">_xlfn.SWITCH(MID(Master[[#This Row],[Checklist]],1,4),"C - ","Civil","F - ","Foundation","ST -","Structure","FC -","Façade","PRE ","Pre-Line","POST","Post-Line","H - ","Handover","S - ","Services","CST ","Completion Docs", "I - ", "Inspection")</f>
        <v>Façade</v>
      </c>
      <c r="E12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7" s="24" t="str">
        <f ca="1">IF(OR(Master[[#This Row],[Type]]="checklist", Master[[#This Row],[Type]]="checklist-flat"), Master[[#This Row],[Name]], F1226)</f>
        <v>FC - S - Anchor Points - Anchor Point Installation</v>
      </c>
      <c r="G1227" s="34" t="s">
        <v>49</v>
      </c>
      <c r="H1227" s="34" t="s">
        <v>1697</v>
      </c>
      <c r="I1227" s="35"/>
      <c r="J1227" s="21">
        <f ca="1">_xlfn.XLOOKUP(Master[[#This Row],[Checklist]],Ref!A:A,Ref!B:B)*1000</f>
        <v>115000</v>
      </c>
      <c r="K1227" s="21">
        <f ca="1">COUNTIF($J$2:Master[[#This Row],[ChecklistID]],Master[[#This Row],[ChecklistID]])-1</f>
        <v>3</v>
      </c>
      <c r="L1227" s="23" t="s">
        <v>6</v>
      </c>
    </row>
    <row r="1228" spans="1:12" ht="15.75">
      <c r="A1228" s="23">
        <f t="shared" si="19"/>
        <v>1227</v>
      </c>
      <c r="B1228" s="21">
        <f ca="1">Master[[#This Row],[ChecklistID]]+Master[[#This Row],[Checklist Order]]</f>
        <v>115004</v>
      </c>
      <c r="C1228" s="22"/>
      <c r="D1228" s="3" t="str" cm="1">
        <f t="array" aca="1" ref="D1228" ca="1">_xlfn.SWITCH(MID(Master[[#This Row],[Checklist]],1,4),"C - ","Civil","F - ","Foundation","ST -","Structure","FC -","Façade","PRE ","Pre-Line","POST","Post-Line","H - ","Handover","S - ","Services","CST ","Completion Docs", "I - ", "Inspection")</f>
        <v>Façade</v>
      </c>
      <c r="E12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8" s="24" t="str">
        <f ca="1">IF(OR(Master[[#This Row],[Type]]="checklist", Master[[#This Row],[Type]]="checklist-flat"), Master[[#This Row],[Name]], F1227)</f>
        <v>FC - S - Anchor Points - Anchor Point Installation</v>
      </c>
      <c r="G1228" s="34" t="s">
        <v>49</v>
      </c>
      <c r="H1228" s="34" t="s">
        <v>457</v>
      </c>
      <c r="I1228" s="35"/>
      <c r="J1228" s="21">
        <f ca="1">_xlfn.XLOOKUP(Master[[#This Row],[Checklist]],Ref!A:A,Ref!B:B)*1000</f>
        <v>115000</v>
      </c>
      <c r="K1228" s="21">
        <f ca="1">COUNTIF($J$2:Master[[#This Row],[ChecklistID]],Master[[#This Row],[ChecklistID]])-1</f>
        <v>4</v>
      </c>
      <c r="L1228" s="23" t="s">
        <v>6</v>
      </c>
    </row>
    <row r="1229" spans="1:12" ht="15.75">
      <c r="A1229" s="23">
        <f t="shared" si="19"/>
        <v>1228</v>
      </c>
      <c r="B1229" s="21">
        <f ca="1">Master[[#This Row],[ChecklistID]]+Master[[#This Row],[Checklist Order]]</f>
        <v>115005</v>
      </c>
      <c r="C1229" s="22"/>
      <c r="D1229" s="3" t="str" cm="1">
        <f t="array" aca="1" ref="D1229" ca="1">_xlfn.SWITCH(MID(Master[[#This Row],[Checklist]],1,4),"C - ","Civil","F - ","Foundation","ST -","Structure","FC -","Façade","PRE ","Pre-Line","POST","Post-Line","H - ","Handover","S - ","Services","CST ","Completion Docs", "I - ", "Inspection")</f>
        <v>Façade</v>
      </c>
      <c r="E12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29" s="24" t="str">
        <f ca="1">IF(OR(Master[[#This Row],[Type]]="checklist", Master[[#This Row],[Type]]="checklist-flat"), Master[[#This Row],[Name]], F1228)</f>
        <v>FC - S - Anchor Points - Anchor Point Installation</v>
      </c>
      <c r="G1229" s="34" t="s">
        <v>49</v>
      </c>
      <c r="H1229" s="34" t="s">
        <v>458</v>
      </c>
      <c r="I1229" s="35"/>
      <c r="J1229" s="21">
        <f ca="1">_xlfn.XLOOKUP(Master[[#This Row],[Checklist]],Ref!A:A,Ref!B:B)*1000</f>
        <v>115000</v>
      </c>
      <c r="K1229" s="21">
        <f ca="1">COUNTIF($J$2:Master[[#This Row],[ChecklistID]],Master[[#This Row],[ChecklistID]])-1</f>
        <v>5</v>
      </c>
      <c r="L1229" s="23" t="s">
        <v>6</v>
      </c>
    </row>
    <row r="1230" spans="1:12" ht="15.75">
      <c r="A1230" s="23">
        <f t="shared" si="19"/>
        <v>1229</v>
      </c>
      <c r="B1230" s="21">
        <f ca="1">Master[[#This Row],[ChecklistID]]+Master[[#This Row],[Checklist Order]]</f>
        <v>115006</v>
      </c>
      <c r="C1230" s="22"/>
      <c r="D1230" s="3" t="str" cm="1">
        <f t="array" aca="1" ref="D1230" ca="1">_xlfn.SWITCH(MID(Master[[#This Row],[Checklist]],1,4),"C - ","Civil","F - ","Foundation","ST -","Structure","FC -","Façade","PRE ","Pre-Line","POST","Post-Line","H - ","Handover","S - ","Services","CST ","Completion Docs", "I - ", "Inspection")</f>
        <v>Façade</v>
      </c>
      <c r="E12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0" s="24" t="str">
        <f ca="1">IF(OR(Master[[#This Row],[Type]]="checklist", Master[[#This Row],[Type]]="checklist-flat"), Master[[#This Row],[Name]], F1229)</f>
        <v>FC - S - Anchor Points - Anchor Point Installation</v>
      </c>
      <c r="G1230" s="34" t="s">
        <v>49</v>
      </c>
      <c r="H1230" s="34" t="s">
        <v>459</v>
      </c>
      <c r="I1230" s="35"/>
      <c r="J1230" s="21">
        <f ca="1">_xlfn.XLOOKUP(Master[[#This Row],[Checklist]],Ref!A:A,Ref!B:B)*1000</f>
        <v>115000</v>
      </c>
      <c r="K1230" s="21">
        <f ca="1">COUNTIF($J$2:Master[[#This Row],[ChecklistID]],Master[[#This Row],[ChecklistID]])-1</f>
        <v>6</v>
      </c>
      <c r="L1230" s="23" t="s">
        <v>6</v>
      </c>
    </row>
    <row r="1231" spans="1:12" ht="15.75">
      <c r="A1231" s="23">
        <f t="shared" si="19"/>
        <v>1230</v>
      </c>
      <c r="B1231" s="21">
        <f ca="1">Master[[#This Row],[ChecklistID]]+Master[[#This Row],[Checklist Order]]</f>
        <v>115007</v>
      </c>
      <c r="C1231" s="22"/>
      <c r="D1231" s="3" t="str" cm="1">
        <f t="array" aca="1" ref="D1231" ca="1">_xlfn.SWITCH(MID(Master[[#This Row],[Checklist]],1,4),"C - ","Civil","F - ","Foundation","ST -","Structure","FC -","Façade","PRE ","Pre-Line","POST","Post-Line","H - ","Handover","S - ","Services","CST ","Completion Docs", "I - ", "Inspection")</f>
        <v>Façade</v>
      </c>
      <c r="E12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1" s="24" t="str">
        <f ca="1">IF(OR(Master[[#This Row],[Type]]="checklist", Master[[#This Row],[Type]]="checklist-flat"), Master[[#This Row],[Name]], F1230)</f>
        <v>FC - S - Anchor Points - Anchor Point Installation</v>
      </c>
      <c r="G1231" s="34" t="s">
        <v>49</v>
      </c>
      <c r="H1231" s="34" t="s">
        <v>460</v>
      </c>
      <c r="I1231" s="35"/>
      <c r="J1231" s="21">
        <f ca="1">_xlfn.XLOOKUP(Master[[#This Row],[Checklist]],Ref!A:A,Ref!B:B)*1000</f>
        <v>115000</v>
      </c>
      <c r="K1231" s="21">
        <f ca="1">COUNTIF($J$2:Master[[#This Row],[ChecklistID]],Master[[#This Row],[ChecklistID]])-1</f>
        <v>7</v>
      </c>
      <c r="L1231" s="23" t="s">
        <v>6</v>
      </c>
    </row>
    <row r="1232" spans="1:12" ht="15.75">
      <c r="A1232" s="23">
        <f t="shared" si="19"/>
        <v>1231</v>
      </c>
      <c r="B1232" s="21">
        <f ca="1">Master[[#This Row],[ChecklistID]]+Master[[#This Row],[Checklist Order]]</f>
        <v>115008</v>
      </c>
      <c r="C1232" s="22"/>
      <c r="D1232" s="3" t="str" cm="1">
        <f t="array" aca="1" ref="D1232" ca="1">_xlfn.SWITCH(MID(Master[[#This Row],[Checklist]],1,4),"C - ","Civil","F - ","Foundation","ST -","Structure","FC -","Façade","PRE ","Pre-Line","POST","Post-Line","H - ","Handover","S - ","Services","CST ","Completion Docs", "I - ", "Inspection")</f>
        <v>Façade</v>
      </c>
      <c r="E12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2" s="24" t="str">
        <f ca="1">IF(OR(Master[[#This Row],[Type]]="checklist", Master[[#This Row],[Type]]="checklist-flat"), Master[[#This Row],[Name]], F1231)</f>
        <v>FC - S - Anchor Points - Anchor Point Installation</v>
      </c>
      <c r="G1232" s="34" t="s">
        <v>49</v>
      </c>
      <c r="H1232" s="34" t="s">
        <v>461</v>
      </c>
      <c r="I1232" s="35"/>
      <c r="J1232" s="21">
        <f ca="1">_xlfn.XLOOKUP(Master[[#This Row],[Checklist]],Ref!A:A,Ref!B:B)*1000</f>
        <v>115000</v>
      </c>
      <c r="K1232" s="21">
        <f ca="1">COUNTIF($J$2:Master[[#This Row],[ChecklistID]],Master[[#This Row],[ChecklistID]])-1</f>
        <v>8</v>
      </c>
      <c r="L1232" s="23" t="s">
        <v>6</v>
      </c>
    </row>
    <row r="1233" spans="1:12" ht="15.75">
      <c r="A1233" s="23">
        <f t="shared" si="19"/>
        <v>1232</v>
      </c>
      <c r="B1233" s="21">
        <f ca="1">Master[[#This Row],[ChecklistID]]+Master[[#This Row],[Checklist Order]]</f>
        <v>115009</v>
      </c>
      <c r="C1233" s="22"/>
      <c r="D1233" s="3" t="str" cm="1">
        <f t="array" aca="1" ref="D1233" ca="1">_xlfn.SWITCH(MID(Master[[#This Row],[Checklist]],1,4),"C - ","Civil","F - ","Foundation","ST -","Structure","FC -","Façade","PRE ","Pre-Line","POST","Post-Line","H - ","Handover","S - ","Services","CST ","Completion Docs", "I - ", "Inspection")</f>
        <v>Façade</v>
      </c>
      <c r="E12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3" s="24" t="str">
        <f ca="1">IF(OR(Master[[#This Row],[Type]]="checklist", Master[[#This Row],[Type]]="checklist-flat"), Master[[#This Row],[Name]], F1232)</f>
        <v>FC - S - Anchor Points - Anchor Point Installation</v>
      </c>
      <c r="G1233" s="34" t="s">
        <v>49</v>
      </c>
      <c r="H1233" s="34" t="s">
        <v>462</v>
      </c>
      <c r="I1233" s="35"/>
      <c r="J1233" s="21">
        <f ca="1">_xlfn.XLOOKUP(Master[[#This Row],[Checklist]],Ref!A:A,Ref!B:B)*1000</f>
        <v>115000</v>
      </c>
      <c r="K1233" s="21">
        <f ca="1">COUNTIF($J$2:Master[[#This Row],[ChecklistID]],Master[[#This Row],[ChecklistID]])-1</f>
        <v>9</v>
      </c>
      <c r="L1233" s="23" t="s">
        <v>6</v>
      </c>
    </row>
    <row r="1234" spans="1:12" ht="15.75">
      <c r="A1234" s="23">
        <f t="shared" si="19"/>
        <v>1233</v>
      </c>
      <c r="B1234" s="21">
        <f ca="1">Master[[#This Row],[ChecklistID]]+Master[[#This Row],[Checklist Order]]</f>
        <v>115010</v>
      </c>
      <c r="C1234" s="22"/>
      <c r="D1234" s="3" t="str" cm="1">
        <f t="array" aca="1" ref="D1234" ca="1">_xlfn.SWITCH(MID(Master[[#This Row],[Checklist]],1,4),"C - ","Civil","F - ","Foundation","ST -","Structure","FC -","Façade","PRE ","Pre-Line","POST","Post-Line","H - ","Handover","S - ","Services","CST ","Completion Docs", "I - ", "Inspection")</f>
        <v>Façade</v>
      </c>
      <c r="E12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4" s="24" t="str">
        <f ca="1">IF(OR(Master[[#This Row],[Type]]="checklist", Master[[#This Row],[Type]]="checklist-flat"), Master[[#This Row],[Name]], F1233)</f>
        <v>FC - S - Anchor Points - Anchor Point Installation</v>
      </c>
      <c r="G1234" s="34" t="s">
        <v>49</v>
      </c>
      <c r="H1234" s="34" t="s">
        <v>57</v>
      </c>
      <c r="I1234" s="35"/>
      <c r="J1234" s="21">
        <f ca="1">_xlfn.XLOOKUP(Master[[#This Row],[Checklist]],Ref!A:A,Ref!B:B)*1000</f>
        <v>115000</v>
      </c>
      <c r="K1234" s="21">
        <f ca="1">COUNTIF($J$2:Master[[#This Row],[ChecklistID]],Master[[#This Row],[ChecklistID]])-1</f>
        <v>10</v>
      </c>
      <c r="L1234" s="23" t="s">
        <v>6</v>
      </c>
    </row>
    <row r="1235" spans="1:12" ht="15.75">
      <c r="A1235" s="23">
        <f t="shared" si="19"/>
        <v>1234</v>
      </c>
      <c r="B1235" s="21">
        <f ca="1">Master[[#This Row],[ChecklistID]]+Master[[#This Row],[Checklist Order]]</f>
        <v>115011</v>
      </c>
      <c r="C1235" s="22"/>
      <c r="D1235" s="3" t="str" cm="1">
        <f t="array" aca="1" ref="D1235" ca="1">_xlfn.SWITCH(MID(Master[[#This Row],[Checklist]],1,4),"C - ","Civil","F - ","Foundation","ST -","Structure","FC -","Façade","PRE ","Pre-Line","POST","Post-Line","H - ","Handover","S - ","Services","CST ","Completion Docs", "I - ", "Inspection")</f>
        <v>Façade</v>
      </c>
      <c r="E12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5" s="24" t="str">
        <f ca="1">IF(OR(Master[[#This Row],[Type]]="checklist", Master[[#This Row],[Type]]="checklist-flat"), Master[[#This Row],[Name]], F1234)</f>
        <v>FC - S - Anchor Points - Anchor Point Installation</v>
      </c>
      <c r="G1235" s="34" t="s">
        <v>58</v>
      </c>
      <c r="H1235" s="34" t="s">
        <v>59</v>
      </c>
      <c r="I1235" s="35"/>
      <c r="J1235" s="21">
        <f ca="1">_xlfn.XLOOKUP(Master[[#This Row],[Checklist]],Ref!A:A,Ref!B:B)*1000</f>
        <v>115000</v>
      </c>
      <c r="K1235" s="21">
        <f ca="1">COUNTIF($J$2:Master[[#This Row],[ChecklistID]],Master[[#This Row],[ChecklistID]])-1</f>
        <v>11</v>
      </c>
      <c r="L1235" s="23" t="s">
        <v>6</v>
      </c>
    </row>
    <row r="1236" spans="1:12" ht="15.75">
      <c r="A1236" s="23">
        <f t="shared" si="19"/>
        <v>1235</v>
      </c>
      <c r="B1236" s="21">
        <f ca="1">Master[[#This Row],[ChecklistID]]+Master[[#This Row],[Checklist Order]]</f>
        <v>116000</v>
      </c>
      <c r="C1236" s="22"/>
      <c r="D1236" s="3" t="str" cm="1">
        <f t="array" aca="1" ref="D1236" ca="1">_xlfn.SWITCH(MID(Master[[#This Row],[Checklist]],1,4),"C - ","Civil","F - ","Foundation","ST -","Structure","FC -","Façade","PRE ","Pre-Line","POST","Post-Line","H - ","Handover","S - ","Services","CST ","Completion Docs", "I - ", "Inspection")</f>
        <v>Façade</v>
      </c>
      <c r="E12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6" s="24" t="str">
        <f ca="1">IF(OR(Master[[#This Row],[Type]]="checklist", Master[[#This Row],[Type]]="checklist-flat"), Master[[#This Row],[Name]], F1235)</f>
        <v>FC - S - Anchor Points - Intermediate, Corner and End Plate Installation</v>
      </c>
      <c r="G1236" s="34" t="s">
        <v>48</v>
      </c>
      <c r="H1236" s="34" t="s">
        <v>463</v>
      </c>
      <c r="I1236" s="35"/>
      <c r="J1236" s="21">
        <f ca="1">_xlfn.XLOOKUP(Master[[#This Row],[Checklist]],Ref!A:A,Ref!B:B)*1000</f>
        <v>116000</v>
      </c>
      <c r="K1236" s="21">
        <f ca="1">COUNTIF($J$2:Master[[#This Row],[ChecklistID]],Master[[#This Row],[ChecklistID]])-1</f>
        <v>0</v>
      </c>
      <c r="L1236" s="23" t="s">
        <v>6</v>
      </c>
    </row>
    <row r="1237" spans="1:12" ht="15.75">
      <c r="A1237" s="23">
        <f t="shared" si="19"/>
        <v>1236</v>
      </c>
      <c r="B1237" s="21">
        <f ca="1">Master[[#This Row],[ChecklistID]]+Master[[#This Row],[Checklist Order]]</f>
        <v>116001</v>
      </c>
      <c r="C1237" s="22"/>
      <c r="D1237" s="3" t="str" cm="1">
        <f t="array" aca="1" ref="D1237" ca="1">_xlfn.SWITCH(MID(Master[[#This Row],[Checklist]],1,4),"C - ","Civil","F - ","Foundation","ST -","Structure","FC -","Façade","PRE ","Pre-Line","POST","Post-Line","H - ","Handover","S - ","Services","CST ","Completion Docs", "I - ", "Inspection")</f>
        <v>Façade</v>
      </c>
      <c r="E12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7" s="24" t="str">
        <f ca="1">IF(OR(Master[[#This Row],[Type]]="checklist", Master[[#This Row],[Type]]="checklist-flat"), Master[[#This Row],[Name]], F1236)</f>
        <v>FC - S - Anchor Points - Intermediate, Corner and End Plate Installation</v>
      </c>
      <c r="G1237" s="34" t="s">
        <v>49</v>
      </c>
      <c r="H1237" s="34" t="s">
        <v>454</v>
      </c>
      <c r="I1237" s="35"/>
      <c r="J1237" s="21">
        <f ca="1">_xlfn.XLOOKUP(Master[[#This Row],[Checklist]],Ref!A:A,Ref!B:B)*1000</f>
        <v>116000</v>
      </c>
      <c r="K1237" s="21">
        <f ca="1">COUNTIF($J$2:Master[[#This Row],[ChecklistID]],Master[[#This Row],[ChecklistID]])-1</f>
        <v>1</v>
      </c>
      <c r="L1237" s="23" t="s">
        <v>6</v>
      </c>
    </row>
    <row r="1238" spans="1:12" ht="15.75">
      <c r="A1238" s="23">
        <f t="shared" si="19"/>
        <v>1237</v>
      </c>
      <c r="B1238" s="21">
        <f ca="1">Master[[#This Row],[ChecklistID]]+Master[[#This Row],[Checklist Order]]</f>
        <v>116002</v>
      </c>
      <c r="C1238" s="22"/>
      <c r="D1238" s="3" t="str" cm="1">
        <f t="array" aca="1" ref="D1238" ca="1">_xlfn.SWITCH(MID(Master[[#This Row],[Checklist]],1,4),"C - ","Civil","F - ","Foundation","ST -","Structure","FC -","Façade","PRE ","Pre-Line","POST","Post-Line","H - ","Handover","S - ","Services","CST ","Completion Docs", "I - ", "Inspection")</f>
        <v>Façade</v>
      </c>
      <c r="E12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8" s="24" t="str">
        <f ca="1">IF(OR(Master[[#This Row],[Type]]="checklist", Master[[#This Row],[Type]]="checklist-flat"), Master[[#This Row],[Name]], F1237)</f>
        <v>FC - S - Anchor Points - Intermediate, Corner and End Plate Installation</v>
      </c>
      <c r="G1238" s="34" t="s">
        <v>49</v>
      </c>
      <c r="H1238" s="34" t="s">
        <v>455</v>
      </c>
      <c r="I1238" s="35"/>
      <c r="J1238" s="21">
        <f ca="1">_xlfn.XLOOKUP(Master[[#This Row],[Checklist]],Ref!A:A,Ref!B:B)*1000</f>
        <v>116000</v>
      </c>
      <c r="K1238" s="21">
        <f ca="1">COUNTIF($J$2:Master[[#This Row],[ChecklistID]],Master[[#This Row],[ChecklistID]])-1</f>
        <v>2</v>
      </c>
      <c r="L1238" s="23" t="s">
        <v>6</v>
      </c>
    </row>
    <row r="1239" spans="1:12" ht="15.75">
      <c r="A1239" s="23">
        <f t="shared" si="19"/>
        <v>1238</v>
      </c>
      <c r="B1239" s="21">
        <f ca="1">Master[[#This Row],[ChecklistID]]+Master[[#This Row],[Checklist Order]]</f>
        <v>116003</v>
      </c>
      <c r="C1239" s="22"/>
      <c r="D1239" s="3" t="str" cm="1">
        <f t="array" aca="1" ref="D1239" ca="1">_xlfn.SWITCH(MID(Master[[#This Row],[Checklist]],1,4),"C - ","Civil","F - ","Foundation","ST -","Structure","FC -","Façade","PRE ","Pre-Line","POST","Post-Line","H - ","Handover","S - ","Services","CST ","Completion Docs", "I - ", "Inspection")</f>
        <v>Façade</v>
      </c>
      <c r="E12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39" s="24" t="str">
        <f ca="1">IF(OR(Master[[#This Row],[Type]]="checklist", Master[[#This Row],[Type]]="checklist-flat"), Master[[#This Row],[Name]], F1238)</f>
        <v>FC - S - Anchor Points - Intermediate, Corner and End Plate Installation</v>
      </c>
      <c r="G1239" s="34" t="s">
        <v>49</v>
      </c>
      <c r="H1239" s="34" t="s">
        <v>1697</v>
      </c>
      <c r="I1239" s="35"/>
      <c r="J1239" s="21">
        <f ca="1">_xlfn.XLOOKUP(Master[[#This Row],[Checklist]],Ref!A:A,Ref!B:B)*1000</f>
        <v>116000</v>
      </c>
      <c r="K1239" s="21">
        <f ca="1">COUNTIF($J$2:Master[[#This Row],[ChecklistID]],Master[[#This Row],[ChecklistID]])-1</f>
        <v>3</v>
      </c>
      <c r="L1239" s="23" t="s">
        <v>6</v>
      </c>
    </row>
    <row r="1240" spans="1:12" ht="15.75">
      <c r="A1240" s="23">
        <f t="shared" si="19"/>
        <v>1239</v>
      </c>
      <c r="B1240" s="21">
        <f ca="1">Master[[#This Row],[ChecklistID]]+Master[[#This Row],[Checklist Order]]</f>
        <v>116004</v>
      </c>
      <c r="C1240" s="22"/>
      <c r="D1240" s="3" t="str" cm="1">
        <f t="array" aca="1" ref="D1240" ca="1">_xlfn.SWITCH(MID(Master[[#This Row],[Checklist]],1,4),"C - ","Civil","F - ","Foundation","ST -","Structure","FC -","Façade","PRE ","Pre-Line","POST","Post-Line","H - ","Handover","S - ","Services","CST ","Completion Docs", "I - ", "Inspection")</f>
        <v>Façade</v>
      </c>
      <c r="E12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0" s="24" t="str">
        <f ca="1">IF(OR(Master[[#This Row],[Type]]="checklist", Master[[#This Row],[Type]]="checklist-flat"), Master[[#This Row],[Name]], F1239)</f>
        <v>FC - S - Anchor Points - Intermediate, Corner and End Plate Installation</v>
      </c>
      <c r="G1240" s="34" t="s">
        <v>49</v>
      </c>
      <c r="H1240" s="34" t="s">
        <v>464</v>
      </c>
      <c r="I1240" s="35"/>
      <c r="J1240" s="21">
        <f ca="1">_xlfn.XLOOKUP(Master[[#This Row],[Checklist]],Ref!A:A,Ref!B:B)*1000</f>
        <v>116000</v>
      </c>
      <c r="K1240" s="21">
        <f ca="1">COUNTIF($J$2:Master[[#This Row],[ChecklistID]],Master[[#This Row],[ChecklistID]])-1</f>
        <v>4</v>
      </c>
      <c r="L1240" s="23" t="s">
        <v>6</v>
      </c>
    </row>
    <row r="1241" spans="1:12" ht="15.75">
      <c r="A1241" s="23">
        <f t="shared" si="19"/>
        <v>1240</v>
      </c>
      <c r="B1241" s="21">
        <f ca="1">Master[[#This Row],[ChecklistID]]+Master[[#This Row],[Checklist Order]]</f>
        <v>116005</v>
      </c>
      <c r="C1241" s="22"/>
      <c r="D1241" s="3" t="str" cm="1">
        <f t="array" aca="1" ref="D1241" ca="1">_xlfn.SWITCH(MID(Master[[#This Row],[Checklist]],1,4),"C - ","Civil","F - ","Foundation","ST -","Structure","FC -","Façade","PRE ","Pre-Line","POST","Post-Line","H - ","Handover","S - ","Services","CST ","Completion Docs", "I - ", "Inspection")</f>
        <v>Façade</v>
      </c>
      <c r="E12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1" s="24" t="str">
        <f ca="1">IF(OR(Master[[#This Row],[Type]]="checklist", Master[[#This Row],[Type]]="checklist-flat"), Master[[#This Row],[Name]], F1240)</f>
        <v>FC - S - Anchor Points - Intermediate, Corner and End Plate Installation</v>
      </c>
      <c r="G1241" s="34" t="s">
        <v>49</v>
      </c>
      <c r="H1241" s="34" t="s">
        <v>458</v>
      </c>
      <c r="I1241" s="35"/>
      <c r="J1241" s="21">
        <f ca="1">_xlfn.XLOOKUP(Master[[#This Row],[Checklist]],Ref!A:A,Ref!B:B)*1000</f>
        <v>116000</v>
      </c>
      <c r="K1241" s="21">
        <f ca="1">COUNTIF($J$2:Master[[#This Row],[ChecklistID]],Master[[#This Row],[ChecklistID]])-1</f>
        <v>5</v>
      </c>
      <c r="L1241" s="23" t="s">
        <v>6</v>
      </c>
    </row>
    <row r="1242" spans="1:12" ht="15.75">
      <c r="A1242" s="23">
        <f t="shared" si="19"/>
        <v>1241</v>
      </c>
      <c r="B1242" s="21">
        <f ca="1">Master[[#This Row],[ChecklistID]]+Master[[#This Row],[Checklist Order]]</f>
        <v>116006</v>
      </c>
      <c r="C1242" s="22"/>
      <c r="D1242" s="3" t="str" cm="1">
        <f t="array" aca="1" ref="D1242" ca="1">_xlfn.SWITCH(MID(Master[[#This Row],[Checklist]],1,4),"C - ","Civil","F - ","Foundation","ST -","Structure","FC -","Façade","PRE ","Pre-Line","POST","Post-Line","H - ","Handover","S - ","Services","CST ","Completion Docs", "I - ", "Inspection")</f>
        <v>Façade</v>
      </c>
      <c r="E12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2" s="24" t="str">
        <f ca="1">IF(OR(Master[[#This Row],[Type]]="checklist", Master[[#This Row],[Type]]="checklist-flat"), Master[[#This Row],[Name]], F1241)</f>
        <v>FC - S - Anchor Points - Intermediate, Corner and End Plate Installation</v>
      </c>
      <c r="G1242" s="34" t="s">
        <v>49</v>
      </c>
      <c r="H1242" s="34" t="s">
        <v>459</v>
      </c>
      <c r="I1242" s="35"/>
      <c r="J1242" s="21">
        <f ca="1">_xlfn.XLOOKUP(Master[[#This Row],[Checklist]],Ref!A:A,Ref!B:B)*1000</f>
        <v>116000</v>
      </c>
      <c r="K1242" s="21">
        <f ca="1">COUNTIF($J$2:Master[[#This Row],[ChecklistID]],Master[[#This Row],[ChecklistID]])-1</f>
        <v>6</v>
      </c>
      <c r="L1242" s="23" t="s">
        <v>6</v>
      </c>
    </row>
    <row r="1243" spans="1:12" ht="15.75">
      <c r="A1243" s="23">
        <f t="shared" si="19"/>
        <v>1242</v>
      </c>
      <c r="B1243" s="21">
        <f ca="1">Master[[#This Row],[ChecklistID]]+Master[[#This Row],[Checklist Order]]</f>
        <v>116007</v>
      </c>
      <c r="C1243" s="22"/>
      <c r="D1243" s="3" t="str" cm="1">
        <f t="array" aca="1" ref="D1243" ca="1">_xlfn.SWITCH(MID(Master[[#This Row],[Checklist]],1,4),"C - ","Civil","F - ","Foundation","ST -","Structure","FC -","Façade","PRE ","Pre-Line","POST","Post-Line","H - ","Handover","S - ","Services","CST ","Completion Docs", "I - ", "Inspection")</f>
        <v>Façade</v>
      </c>
      <c r="E12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3" s="24" t="str">
        <f ca="1">IF(OR(Master[[#This Row],[Type]]="checklist", Master[[#This Row],[Type]]="checklist-flat"), Master[[#This Row],[Name]], F1242)</f>
        <v>FC - S - Anchor Points - Intermediate, Corner and End Plate Installation</v>
      </c>
      <c r="G1243" s="34" t="s">
        <v>49</v>
      </c>
      <c r="H1243" s="34" t="s">
        <v>465</v>
      </c>
      <c r="I1243" s="35"/>
      <c r="J1243" s="21">
        <f ca="1">_xlfn.XLOOKUP(Master[[#This Row],[Checklist]],Ref!A:A,Ref!B:B)*1000</f>
        <v>116000</v>
      </c>
      <c r="K1243" s="21">
        <f ca="1">COUNTIF($J$2:Master[[#This Row],[ChecklistID]],Master[[#This Row],[ChecklistID]])-1</f>
        <v>7</v>
      </c>
      <c r="L1243" s="23" t="s">
        <v>6</v>
      </c>
    </row>
    <row r="1244" spans="1:12" ht="15.75">
      <c r="A1244" s="23">
        <f t="shared" si="19"/>
        <v>1243</v>
      </c>
      <c r="B1244" s="21">
        <f ca="1">Master[[#This Row],[ChecklistID]]+Master[[#This Row],[Checklist Order]]</f>
        <v>116008</v>
      </c>
      <c r="C1244" s="22"/>
      <c r="D1244" s="3" t="str" cm="1">
        <f t="array" aca="1" ref="D1244" ca="1">_xlfn.SWITCH(MID(Master[[#This Row],[Checklist]],1,4),"C - ","Civil","F - ","Foundation","ST -","Structure","FC -","Façade","PRE ","Pre-Line","POST","Post-Line","H - ","Handover","S - ","Services","CST ","Completion Docs", "I - ", "Inspection")</f>
        <v>Façade</v>
      </c>
      <c r="E12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4" s="24" t="str">
        <f ca="1">IF(OR(Master[[#This Row],[Type]]="checklist", Master[[#This Row],[Type]]="checklist-flat"), Master[[#This Row],[Name]], F1243)</f>
        <v>FC - S - Anchor Points - Intermediate, Corner and End Plate Installation</v>
      </c>
      <c r="G1244" s="34" t="s">
        <v>49</v>
      </c>
      <c r="H1244" s="34" t="s">
        <v>466</v>
      </c>
      <c r="I1244" s="35"/>
      <c r="J1244" s="21">
        <f ca="1">_xlfn.XLOOKUP(Master[[#This Row],[Checklist]],Ref!A:A,Ref!B:B)*1000</f>
        <v>116000</v>
      </c>
      <c r="K1244" s="21">
        <f ca="1">COUNTIF($J$2:Master[[#This Row],[ChecklistID]],Master[[#This Row],[ChecklistID]])-1</f>
        <v>8</v>
      </c>
      <c r="L1244" s="23" t="s">
        <v>6</v>
      </c>
    </row>
    <row r="1245" spans="1:12" ht="15.75">
      <c r="A1245" s="23">
        <f t="shared" si="19"/>
        <v>1244</v>
      </c>
      <c r="B1245" s="21">
        <f ca="1">Master[[#This Row],[ChecklistID]]+Master[[#This Row],[Checklist Order]]</f>
        <v>116009</v>
      </c>
      <c r="C1245" s="22"/>
      <c r="D1245" s="3" t="str" cm="1">
        <f t="array" aca="1" ref="D1245" ca="1">_xlfn.SWITCH(MID(Master[[#This Row],[Checklist]],1,4),"C - ","Civil","F - ","Foundation","ST -","Structure","FC -","Façade","PRE ","Pre-Line","POST","Post-Line","H - ","Handover","S - ","Services","CST ","Completion Docs", "I - ", "Inspection")</f>
        <v>Façade</v>
      </c>
      <c r="E12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5" s="24" t="str">
        <f ca="1">IF(OR(Master[[#This Row],[Type]]="checklist", Master[[#This Row],[Type]]="checklist-flat"), Master[[#This Row],[Name]], F1244)</f>
        <v>FC - S - Anchor Points - Intermediate, Corner and End Plate Installation</v>
      </c>
      <c r="G1245" s="34" t="s">
        <v>49</v>
      </c>
      <c r="H1245" s="34" t="s">
        <v>467</v>
      </c>
      <c r="I1245" s="35"/>
      <c r="J1245" s="21">
        <f ca="1">_xlfn.XLOOKUP(Master[[#This Row],[Checklist]],Ref!A:A,Ref!B:B)*1000</f>
        <v>116000</v>
      </c>
      <c r="K1245" s="21">
        <f ca="1">COUNTIF($J$2:Master[[#This Row],[ChecklistID]],Master[[#This Row],[ChecklistID]])-1</f>
        <v>9</v>
      </c>
      <c r="L1245" s="23" t="s">
        <v>6</v>
      </c>
    </row>
    <row r="1246" spans="1:12" ht="15.75">
      <c r="A1246" s="23">
        <f t="shared" si="19"/>
        <v>1245</v>
      </c>
      <c r="B1246" s="21">
        <f ca="1">Master[[#This Row],[ChecklistID]]+Master[[#This Row],[Checklist Order]]</f>
        <v>116010</v>
      </c>
      <c r="C1246" s="22"/>
      <c r="D1246" s="3" t="str" cm="1">
        <f t="array" aca="1" ref="D1246" ca="1">_xlfn.SWITCH(MID(Master[[#This Row],[Checklist]],1,4),"C - ","Civil","F - ","Foundation","ST -","Structure","FC -","Façade","PRE ","Pre-Line","POST","Post-Line","H - ","Handover","S - ","Services","CST ","Completion Docs", "I - ", "Inspection")</f>
        <v>Façade</v>
      </c>
      <c r="E12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6" s="24" t="str">
        <f ca="1">IF(OR(Master[[#This Row],[Type]]="checklist", Master[[#This Row],[Type]]="checklist-flat"), Master[[#This Row],[Name]], F1245)</f>
        <v>FC - S - Anchor Points - Intermediate, Corner and End Plate Installation</v>
      </c>
      <c r="G1246" s="34" t="s">
        <v>49</v>
      </c>
      <c r="H1246" s="34" t="s">
        <v>461</v>
      </c>
      <c r="I1246" s="35"/>
      <c r="J1246" s="21">
        <f ca="1">_xlfn.XLOOKUP(Master[[#This Row],[Checklist]],Ref!A:A,Ref!B:B)*1000</f>
        <v>116000</v>
      </c>
      <c r="K1246" s="21">
        <f ca="1">COUNTIF($J$2:Master[[#This Row],[ChecklistID]],Master[[#This Row],[ChecklistID]])-1</f>
        <v>10</v>
      </c>
      <c r="L1246" s="23" t="s">
        <v>6</v>
      </c>
    </row>
    <row r="1247" spans="1:12" ht="15.75">
      <c r="A1247" s="23">
        <f t="shared" si="19"/>
        <v>1246</v>
      </c>
      <c r="B1247" s="21">
        <f ca="1">Master[[#This Row],[ChecklistID]]+Master[[#This Row],[Checklist Order]]</f>
        <v>116011</v>
      </c>
      <c r="C1247" s="22"/>
      <c r="D1247" s="3" t="str" cm="1">
        <f t="array" aca="1" ref="D1247" ca="1">_xlfn.SWITCH(MID(Master[[#This Row],[Checklist]],1,4),"C - ","Civil","F - ","Foundation","ST -","Structure","FC -","Façade","PRE ","Pre-Line","POST","Post-Line","H - ","Handover","S - ","Services","CST ","Completion Docs", "I - ", "Inspection")</f>
        <v>Façade</v>
      </c>
      <c r="E12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7" s="24" t="str">
        <f ca="1">IF(OR(Master[[#This Row],[Type]]="checklist", Master[[#This Row],[Type]]="checklist-flat"), Master[[#This Row],[Name]], F1246)</f>
        <v>FC - S - Anchor Points - Intermediate, Corner and End Plate Installation</v>
      </c>
      <c r="G1247" s="34" t="s">
        <v>49</v>
      </c>
      <c r="H1247" s="34" t="s">
        <v>468</v>
      </c>
      <c r="I1247" s="35"/>
      <c r="J1247" s="21">
        <f ca="1">_xlfn.XLOOKUP(Master[[#This Row],[Checklist]],Ref!A:A,Ref!B:B)*1000</f>
        <v>116000</v>
      </c>
      <c r="K1247" s="21">
        <f ca="1">COUNTIF($J$2:Master[[#This Row],[ChecklistID]],Master[[#This Row],[ChecklistID]])-1</f>
        <v>11</v>
      </c>
      <c r="L1247" s="23" t="s">
        <v>6</v>
      </c>
    </row>
    <row r="1248" spans="1:12" ht="15.75">
      <c r="A1248" s="23">
        <f t="shared" si="19"/>
        <v>1247</v>
      </c>
      <c r="B1248" s="21">
        <f ca="1">Master[[#This Row],[ChecklistID]]+Master[[#This Row],[Checklist Order]]</f>
        <v>116012</v>
      </c>
      <c r="C1248" s="22"/>
      <c r="D1248" s="3" t="str" cm="1">
        <f t="array" aca="1" ref="D1248" ca="1">_xlfn.SWITCH(MID(Master[[#This Row],[Checklist]],1,4),"C - ","Civil","F - ","Foundation","ST -","Structure","FC -","Façade","PRE ","Pre-Line","POST","Post-Line","H - ","Handover","S - ","Services","CST ","Completion Docs", "I - ", "Inspection")</f>
        <v>Façade</v>
      </c>
      <c r="E12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8" s="24" t="str">
        <f ca="1">IF(OR(Master[[#This Row],[Type]]="checklist", Master[[#This Row],[Type]]="checklist-flat"), Master[[#This Row],[Name]], F1247)</f>
        <v>FC - S - Anchor Points - Intermediate, Corner and End Plate Installation</v>
      </c>
      <c r="G1248" s="34" t="s">
        <v>49</v>
      </c>
      <c r="H1248" s="34" t="s">
        <v>57</v>
      </c>
      <c r="I1248" s="35"/>
      <c r="J1248" s="21">
        <f ca="1">_xlfn.XLOOKUP(Master[[#This Row],[Checklist]],Ref!A:A,Ref!B:B)*1000</f>
        <v>116000</v>
      </c>
      <c r="K1248" s="21">
        <f ca="1">COUNTIF($J$2:Master[[#This Row],[ChecklistID]],Master[[#This Row],[ChecklistID]])-1</f>
        <v>12</v>
      </c>
      <c r="L1248" s="23" t="s">
        <v>6</v>
      </c>
    </row>
    <row r="1249" spans="1:12" ht="15.75">
      <c r="A1249" s="23">
        <f t="shared" si="19"/>
        <v>1248</v>
      </c>
      <c r="B1249" s="21">
        <f ca="1">Master[[#This Row],[ChecklistID]]+Master[[#This Row],[Checklist Order]]</f>
        <v>116013</v>
      </c>
      <c r="C1249" s="22"/>
      <c r="D1249" s="3" t="str" cm="1">
        <f t="array" aca="1" ref="D1249" ca="1">_xlfn.SWITCH(MID(Master[[#This Row],[Checklist]],1,4),"C - ","Civil","F - ","Foundation","ST -","Structure","FC -","Façade","PRE ","Pre-Line","POST","Post-Line","H - ","Handover","S - ","Services","CST ","Completion Docs", "I - ", "Inspection")</f>
        <v>Façade</v>
      </c>
      <c r="E12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49" s="24" t="str">
        <f ca="1">IF(OR(Master[[#This Row],[Type]]="checklist", Master[[#This Row],[Type]]="checklist-flat"), Master[[#This Row],[Name]], F1248)</f>
        <v>FC - S - Anchor Points - Intermediate, Corner and End Plate Installation</v>
      </c>
      <c r="G1249" s="34" t="s">
        <v>58</v>
      </c>
      <c r="H1249" s="34" t="s">
        <v>59</v>
      </c>
      <c r="I1249" s="35"/>
      <c r="J1249" s="21">
        <f ca="1">_xlfn.XLOOKUP(Master[[#This Row],[Checklist]],Ref!A:A,Ref!B:B)*1000</f>
        <v>116000</v>
      </c>
      <c r="K1249" s="21">
        <f ca="1">COUNTIF($J$2:Master[[#This Row],[ChecklistID]],Master[[#This Row],[ChecklistID]])-1</f>
        <v>13</v>
      </c>
      <c r="L1249" s="23" t="s">
        <v>6</v>
      </c>
    </row>
    <row r="1250" spans="1:12" ht="15.75">
      <c r="A1250" s="23">
        <f t="shared" si="19"/>
        <v>1249</v>
      </c>
      <c r="B1250" s="21">
        <f ca="1">Master[[#This Row],[ChecklistID]]+Master[[#This Row],[Checklist Order]]</f>
        <v>117000</v>
      </c>
      <c r="C1250" s="22"/>
      <c r="D1250" s="3" t="str" cm="1">
        <f t="array" aca="1" ref="D1250" ca="1">_xlfn.SWITCH(MID(Master[[#This Row],[Checklist]],1,4),"C - ","Civil","F - ","Foundation","ST -","Structure","FC -","Façade","PRE ","Pre-Line","POST","Post-Line","H - ","Handover","S - ","Services","CST ","Completion Docs", "I - ", "Inspection")</f>
        <v>Façade</v>
      </c>
      <c r="E12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0" s="24" t="str">
        <f ca="1">IF(OR(Master[[#This Row],[Type]]="checklist", Master[[#This Row],[Type]]="checklist-flat"), Master[[#This Row],[Name]], F1249)</f>
        <v>FC - S - Anchor Points - Static line installation</v>
      </c>
      <c r="G1250" s="34" t="s">
        <v>48</v>
      </c>
      <c r="H1250" s="34" t="s">
        <v>469</v>
      </c>
      <c r="I1250" s="35"/>
      <c r="J1250" s="21">
        <f ca="1">_xlfn.XLOOKUP(Master[[#This Row],[Checklist]],Ref!A:A,Ref!B:B)*1000</f>
        <v>117000</v>
      </c>
      <c r="K1250" s="21">
        <f ca="1">COUNTIF($J$2:Master[[#This Row],[ChecklistID]],Master[[#This Row],[ChecklistID]])-1</f>
        <v>0</v>
      </c>
      <c r="L1250" s="23" t="s">
        <v>6</v>
      </c>
    </row>
    <row r="1251" spans="1:12" ht="15.75">
      <c r="A1251" s="23">
        <f t="shared" si="19"/>
        <v>1250</v>
      </c>
      <c r="B1251" s="21">
        <f ca="1">Master[[#This Row],[ChecklistID]]+Master[[#This Row],[Checklist Order]]</f>
        <v>117001</v>
      </c>
      <c r="C1251" s="22"/>
      <c r="D1251" s="3" t="str" cm="1">
        <f t="array" aca="1" ref="D1251" ca="1">_xlfn.SWITCH(MID(Master[[#This Row],[Checklist]],1,4),"C - ","Civil","F - ","Foundation","ST -","Structure","FC -","Façade","PRE ","Pre-Line","POST","Post-Line","H - ","Handover","S - ","Services","CST ","Completion Docs", "I - ", "Inspection")</f>
        <v>Façade</v>
      </c>
      <c r="E12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1" s="24" t="str">
        <f ca="1">IF(OR(Master[[#This Row],[Type]]="checklist", Master[[#This Row],[Type]]="checklist-flat"), Master[[#This Row],[Name]], F1250)</f>
        <v>FC - S - Anchor Points - Static line installation</v>
      </c>
      <c r="G1251" s="34" t="s">
        <v>49</v>
      </c>
      <c r="H1251" s="34" t="s">
        <v>470</v>
      </c>
      <c r="I1251" s="35"/>
      <c r="J1251" s="21">
        <f ca="1">_xlfn.XLOOKUP(Master[[#This Row],[Checklist]],Ref!A:A,Ref!B:B)*1000</f>
        <v>117000</v>
      </c>
      <c r="K1251" s="21">
        <f ca="1">COUNTIF($J$2:Master[[#This Row],[ChecklistID]],Master[[#This Row],[ChecklistID]])-1</f>
        <v>1</v>
      </c>
      <c r="L1251" s="23" t="s">
        <v>6</v>
      </c>
    </row>
    <row r="1252" spans="1:12" ht="15.75">
      <c r="A1252" s="23">
        <f t="shared" si="19"/>
        <v>1251</v>
      </c>
      <c r="B1252" s="21">
        <f ca="1">Master[[#This Row],[ChecklistID]]+Master[[#This Row],[Checklist Order]]</f>
        <v>117002</v>
      </c>
      <c r="C1252" s="22"/>
      <c r="D1252" s="3" t="str" cm="1">
        <f t="array" aca="1" ref="D1252" ca="1">_xlfn.SWITCH(MID(Master[[#This Row],[Checklist]],1,4),"C - ","Civil","F - ","Foundation","ST -","Structure","FC -","Façade","PRE ","Pre-Line","POST","Post-Line","H - ","Handover","S - ","Services","CST ","Completion Docs", "I - ", "Inspection")</f>
        <v>Façade</v>
      </c>
      <c r="E12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2" s="24" t="str">
        <f ca="1">IF(OR(Master[[#This Row],[Type]]="checklist", Master[[#This Row],[Type]]="checklist-flat"), Master[[#This Row],[Name]], F1251)</f>
        <v>FC - S - Anchor Points - Static line installation</v>
      </c>
      <c r="G1252" s="34" t="s">
        <v>49</v>
      </c>
      <c r="H1252" s="34" t="s">
        <v>471</v>
      </c>
      <c r="I1252" s="35"/>
      <c r="J1252" s="21">
        <f ca="1">_xlfn.XLOOKUP(Master[[#This Row],[Checklist]],Ref!A:A,Ref!B:B)*1000</f>
        <v>117000</v>
      </c>
      <c r="K1252" s="21">
        <f ca="1">COUNTIF($J$2:Master[[#This Row],[ChecklistID]],Master[[#This Row],[ChecklistID]])-1</f>
        <v>2</v>
      </c>
      <c r="L1252" s="23" t="s">
        <v>6</v>
      </c>
    </row>
    <row r="1253" spans="1:12" ht="15.75">
      <c r="A1253" s="23">
        <f t="shared" si="19"/>
        <v>1252</v>
      </c>
      <c r="B1253" s="21">
        <f ca="1">Master[[#This Row],[ChecklistID]]+Master[[#This Row],[Checklist Order]]</f>
        <v>117003</v>
      </c>
      <c r="C1253" s="22"/>
      <c r="D1253" s="3" t="str" cm="1">
        <f t="array" aca="1" ref="D1253" ca="1">_xlfn.SWITCH(MID(Master[[#This Row],[Checklist]],1,4),"C - ","Civil","F - ","Foundation","ST -","Structure","FC -","Façade","PRE ","Pre-Line","POST","Post-Line","H - ","Handover","S - ","Services","CST ","Completion Docs", "I - ", "Inspection")</f>
        <v>Façade</v>
      </c>
      <c r="E12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3" s="24" t="str">
        <f ca="1">IF(OR(Master[[#This Row],[Type]]="checklist", Master[[#This Row],[Type]]="checklist-flat"), Master[[#This Row],[Name]], F1252)</f>
        <v>FC - S - Anchor Points - Static line installation</v>
      </c>
      <c r="G1253" s="34" t="s">
        <v>49</v>
      </c>
      <c r="H1253" s="34" t="s">
        <v>472</v>
      </c>
      <c r="I1253" s="35"/>
      <c r="J1253" s="21">
        <f ca="1">_xlfn.XLOOKUP(Master[[#This Row],[Checklist]],Ref!A:A,Ref!B:B)*1000</f>
        <v>117000</v>
      </c>
      <c r="K1253" s="21">
        <f ca="1">COUNTIF($J$2:Master[[#This Row],[ChecklistID]],Master[[#This Row],[ChecklistID]])-1</f>
        <v>3</v>
      </c>
      <c r="L1253" s="23" t="s">
        <v>6</v>
      </c>
    </row>
    <row r="1254" spans="1:12" ht="15.75">
      <c r="A1254" s="23">
        <f t="shared" si="19"/>
        <v>1253</v>
      </c>
      <c r="B1254" s="21">
        <f ca="1">Master[[#This Row],[ChecklistID]]+Master[[#This Row],[Checklist Order]]</f>
        <v>117004</v>
      </c>
      <c r="C1254" s="22"/>
      <c r="D1254" s="3" t="str" cm="1">
        <f t="array" aca="1" ref="D1254" ca="1">_xlfn.SWITCH(MID(Master[[#This Row],[Checklist]],1,4),"C - ","Civil","F - ","Foundation","ST -","Structure","FC -","Façade","PRE ","Pre-Line","POST","Post-Line","H - ","Handover","S - ","Services","CST ","Completion Docs", "I - ", "Inspection")</f>
        <v>Façade</v>
      </c>
      <c r="E12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4" s="24" t="str">
        <f ca="1">IF(OR(Master[[#This Row],[Type]]="checklist", Master[[#This Row],[Type]]="checklist-flat"), Master[[#This Row],[Name]], F1253)</f>
        <v>FC - S - Anchor Points - Static line installation</v>
      </c>
      <c r="G1254" s="34" t="s">
        <v>49</v>
      </c>
      <c r="H1254" s="34" t="s">
        <v>473</v>
      </c>
      <c r="I1254" s="35"/>
      <c r="J1254" s="21">
        <f ca="1">_xlfn.XLOOKUP(Master[[#This Row],[Checklist]],Ref!A:A,Ref!B:B)*1000</f>
        <v>117000</v>
      </c>
      <c r="K1254" s="21">
        <f ca="1">COUNTIF($J$2:Master[[#This Row],[ChecklistID]],Master[[#This Row],[ChecklistID]])-1</f>
        <v>4</v>
      </c>
      <c r="L1254" s="23" t="s">
        <v>6</v>
      </c>
    </row>
    <row r="1255" spans="1:12" ht="15.75">
      <c r="A1255" s="23">
        <f t="shared" si="19"/>
        <v>1254</v>
      </c>
      <c r="B1255" s="21">
        <f ca="1">Master[[#This Row],[ChecklistID]]+Master[[#This Row],[Checklist Order]]</f>
        <v>117005</v>
      </c>
      <c r="C1255" s="22"/>
      <c r="D1255" s="3" t="str" cm="1">
        <f t="array" aca="1" ref="D1255" ca="1">_xlfn.SWITCH(MID(Master[[#This Row],[Checklist]],1,4),"C - ","Civil","F - ","Foundation","ST -","Structure","FC -","Façade","PRE ","Pre-Line","POST","Post-Line","H - ","Handover","S - ","Services","CST ","Completion Docs", "I - ", "Inspection")</f>
        <v>Façade</v>
      </c>
      <c r="E12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5" s="24" t="str">
        <f ca="1">IF(OR(Master[[#This Row],[Type]]="checklist", Master[[#This Row],[Type]]="checklist-flat"), Master[[#This Row],[Name]], F1254)</f>
        <v>FC - S - Anchor Points - Static line installation</v>
      </c>
      <c r="G1255" s="34" t="s">
        <v>49</v>
      </c>
      <c r="H1255" s="34" t="s">
        <v>57</v>
      </c>
      <c r="I1255" s="35"/>
      <c r="J1255" s="21">
        <f ca="1">_xlfn.XLOOKUP(Master[[#This Row],[Checklist]],Ref!A:A,Ref!B:B)*1000</f>
        <v>117000</v>
      </c>
      <c r="K1255" s="21">
        <f ca="1">COUNTIF($J$2:Master[[#This Row],[ChecklistID]],Master[[#This Row],[ChecklistID]])-1</f>
        <v>5</v>
      </c>
      <c r="L1255" s="23" t="s">
        <v>6</v>
      </c>
    </row>
    <row r="1256" spans="1:12" ht="15.75">
      <c r="A1256" s="23">
        <f t="shared" si="19"/>
        <v>1255</v>
      </c>
      <c r="B1256" s="21">
        <f ca="1">Master[[#This Row],[ChecklistID]]+Master[[#This Row],[Checklist Order]]</f>
        <v>117006</v>
      </c>
      <c r="C1256" s="22"/>
      <c r="D1256" s="3" t="str" cm="1">
        <f t="array" aca="1" ref="D1256" ca="1">_xlfn.SWITCH(MID(Master[[#This Row],[Checklist]],1,4),"C - ","Civil","F - ","Foundation","ST -","Structure","FC -","Façade","PRE ","Pre-Line","POST","Post-Line","H - ","Handover","S - ","Services","CST ","Completion Docs", "I - ", "Inspection")</f>
        <v>Façade</v>
      </c>
      <c r="E12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6" s="24" t="str">
        <f ca="1">IF(OR(Master[[#This Row],[Type]]="checklist", Master[[#This Row],[Type]]="checklist-flat"), Master[[#This Row],[Name]], F1255)</f>
        <v>FC - S - Anchor Points - Static line installation</v>
      </c>
      <c r="G1256" s="34" t="s">
        <v>58</v>
      </c>
      <c r="H1256" s="34" t="s">
        <v>59</v>
      </c>
      <c r="I1256" s="35"/>
      <c r="J1256" s="21">
        <f ca="1">_xlfn.XLOOKUP(Master[[#This Row],[Checklist]],Ref!A:A,Ref!B:B)*1000</f>
        <v>117000</v>
      </c>
      <c r="K1256" s="21">
        <f ca="1">COUNTIF($J$2:Master[[#This Row],[ChecklistID]],Master[[#This Row],[ChecklistID]])-1</f>
        <v>6</v>
      </c>
      <c r="L1256" s="23" t="s">
        <v>6</v>
      </c>
    </row>
    <row r="1257" spans="1:12" ht="15.75">
      <c r="A1257" s="23">
        <f t="shared" si="19"/>
        <v>1256</v>
      </c>
      <c r="B1257" s="21">
        <f ca="1">Master[[#This Row],[ChecklistID]]+Master[[#This Row],[Checklist Order]]</f>
        <v>118000</v>
      </c>
      <c r="C1257" s="22"/>
      <c r="D1257" s="3" t="str" cm="1">
        <f t="array" aca="1" ref="D1257" ca="1">_xlfn.SWITCH(MID(Master[[#This Row],[Checklist]],1,4),"C - ","Civil","F - ","Foundation","ST -","Structure","FC -","Façade","PRE ","Pre-Line","POST","Post-Line","H - ","Handover","S - ","Services","CST ","Completion Docs", "I - ", "Inspection")</f>
        <v>Façade</v>
      </c>
      <c r="E12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7" s="24" t="str">
        <f ca="1">IF(OR(Master[[#This Row],[Type]]="checklist", Master[[#This Row],[Type]]="checklist-flat"), Master[[#This Row],[Name]], F1256)</f>
        <v>FC - S - STO Poly Plaster</v>
      </c>
      <c r="G1257" s="34" t="s">
        <v>48</v>
      </c>
      <c r="H1257" s="34" t="s">
        <v>474</v>
      </c>
      <c r="I1257" s="35"/>
      <c r="J1257" s="21">
        <f ca="1">_xlfn.XLOOKUP(Master[[#This Row],[Checklist]],Ref!A:A,Ref!B:B)*1000</f>
        <v>118000</v>
      </c>
      <c r="K1257" s="21">
        <f ca="1">COUNTIF($J$2:Master[[#This Row],[ChecklistID]],Master[[#This Row],[ChecklistID]])-1</f>
        <v>0</v>
      </c>
      <c r="L1257" s="23" t="s">
        <v>6</v>
      </c>
    </row>
    <row r="1258" spans="1:12" ht="15.75">
      <c r="A1258" s="23">
        <f t="shared" ref="A1258:A1321" si="20">IFERROR(A1257+1,1)</f>
        <v>1257</v>
      </c>
      <c r="B1258" s="21">
        <f ca="1">Master[[#This Row],[ChecklistID]]+Master[[#This Row],[Checklist Order]]</f>
        <v>118001</v>
      </c>
      <c r="C1258" s="22"/>
      <c r="D1258" s="3" t="str" cm="1">
        <f t="array" aca="1" ref="D1258" ca="1">_xlfn.SWITCH(MID(Master[[#This Row],[Checklist]],1,4),"C - ","Civil","F - ","Foundation","ST -","Structure","FC -","Façade","PRE ","Pre-Line","POST","Post-Line","H - ","Handover","S - ","Services","CST ","Completion Docs", "I - ", "Inspection")</f>
        <v>Façade</v>
      </c>
      <c r="E12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8" s="24" t="str">
        <f ca="1">IF(OR(Master[[#This Row],[Type]]="checklist", Master[[#This Row],[Type]]="checklist-flat"), Master[[#This Row],[Name]], F1257)</f>
        <v>FC - S - STO Poly Plaster</v>
      </c>
      <c r="G1258" s="34" t="s">
        <v>49</v>
      </c>
      <c r="H1258" s="34" t="s">
        <v>475</v>
      </c>
      <c r="I1258" s="35"/>
      <c r="J1258" s="21">
        <f ca="1">_xlfn.XLOOKUP(Master[[#This Row],[Checklist]],Ref!A:A,Ref!B:B)*1000</f>
        <v>118000</v>
      </c>
      <c r="K1258" s="21">
        <f ca="1">COUNTIF($J$2:Master[[#This Row],[ChecklistID]],Master[[#This Row],[ChecklistID]])-1</f>
        <v>1</v>
      </c>
      <c r="L1258" s="23" t="s">
        <v>6</v>
      </c>
    </row>
    <row r="1259" spans="1:12" ht="15.75">
      <c r="A1259" s="23">
        <f t="shared" si="20"/>
        <v>1258</v>
      </c>
      <c r="B1259" s="21">
        <f ca="1">Master[[#This Row],[ChecklistID]]+Master[[#This Row],[Checklist Order]]</f>
        <v>118002</v>
      </c>
      <c r="C1259" s="22"/>
      <c r="D1259" s="3" t="str" cm="1">
        <f t="array" aca="1" ref="D1259" ca="1">_xlfn.SWITCH(MID(Master[[#This Row],[Checklist]],1,4),"C - ","Civil","F - ","Foundation","ST -","Structure","FC -","Façade","PRE ","Pre-Line","POST","Post-Line","H - ","Handover","S - ","Services","CST ","Completion Docs", "I - ", "Inspection")</f>
        <v>Façade</v>
      </c>
      <c r="E12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59" s="24" t="str">
        <f ca="1">IF(OR(Master[[#This Row],[Type]]="checklist", Master[[#This Row],[Type]]="checklist-flat"), Master[[#This Row],[Name]], F1258)</f>
        <v>FC - S - STO Poly Plaster</v>
      </c>
      <c r="G1259" s="34" t="s">
        <v>49</v>
      </c>
      <c r="H1259" s="34" t="s">
        <v>476</v>
      </c>
      <c r="I1259" s="35"/>
      <c r="J1259" s="21">
        <f ca="1">_xlfn.XLOOKUP(Master[[#This Row],[Checklist]],Ref!A:A,Ref!B:B)*1000</f>
        <v>118000</v>
      </c>
      <c r="K1259" s="21">
        <f ca="1">COUNTIF($J$2:Master[[#This Row],[ChecklistID]],Master[[#This Row],[ChecklistID]])-1</f>
        <v>2</v>
      </c>
      <c r="L1259" s="23" t="s">
        <v>6</v>
      </c>
    </row>
    <row r="1260" spans="1:12" ht="15.75">
      <c r="A1260" s="23">
        <f t="shared" si="20"/>
        <v>1259</v>
      </c>
      <c r="B1260" s="21">
        <f ca="1">Master[[#This Row],[ChecklistID]]+Master[[#This Row],[Checklist Order]]</f>
        <v>118003</v>
      </c>
      <c r="C1260" s="22"/>
      <c r="D1260" s="3" t="str" cm="1">
        <f t="array" aca="1" ref="D1260" ca="1">_xlfn.SWITCH(MID(Master[[#This Row],[Checklist]],1,4),"C - ","Civil","F - ","Foundation","ST -","Structure","FC -","Façade","PRE ","Pre-Line","POST","Post-Line","H - ","Handover","S - ","Services","CST ","Completion Docs", "I - ", "Inspection")</f>
        <v>Façade</v>
      </c>
      <c r="E12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0" s="24" t="str">
        <f ca="1">IF(OR(Master[[#This Row],[Type]]="checklist", Master[[#This Row],[Type]]="checklist-flat"), Master[[#This Row],[Name]], F1259)</f>
        <v>FC - S - STO Poly Plaster</v>
      </c>
      <c r="G1260" s="34" t="s">
        <v>49</v>
      </c>
      <c r="H1260" s="34" t="s">
        <v>477</v>
      </c>
      <c r="I1260" s="35"/>
      <c r="J1260" s="21">
        <f ca="1">_xlfn.XLOOKUP(Master[[#This Row],[Checklist]],Ref!A:A,Ref!B:B)*1000</f>
        <v>118000</v>
      </c>
      <c r="K1260" s="21">
        <f ca="1">COUNTIF($J$2:Master[[#This Row],[ChecklistID]],Master[[#This Row],[ChecklistID]])-1</f>
        <v>3</v>
      </c>
      <c r="L1260" s="23" t="s">
        <v>6</v>
      </c>
    </row>
    <row r="1261" spans="1:12" ht="15.75">
      <c r="A1261" s="23">
        <f t="shared" si="20"/>
        <v>1260</v>
      </c>
      <c r="B1261" s="21">
        <f ca="1">Master[[#This Row],[ChecklistID]]+Master[[#This Row],[Checklist Order]]</f>
        <v>118004</v>
      </c>
      <c r="C1261" s="22"/>
      <c r="D1261" s="3" t="str" cm="1">
        <f t="array" aca="1" ref="D1261" ca="1">_xlfn.SWITCH(MID(Master[[#This Row],[Checklist]],1,4),"C - ","Civil","F - ","Foundation","ST -","Structure","FC -","Façade","PRE ","Pre-Line","POST","Post-Line","H - ","Handover","S - ","Services","CST ","Completion Docs", "I - ", "Inspection")</f>
        <v>Façade</v>
      </c>
      <c r="E12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1" s="24" t="str">
        <f ca="1">IF(OR(Master[[#This Row],[Type]]="checklist", Master[[#This Row],[Type]]="checklist-flat"), Master[[#This Row],[Name]], F1260)</f>
        <v>FC - S - STO Poly Plaster</v>
      </c>
      <c r="G1261" s="34" t="s">
        <v>49</v>
      </c>
      <c r="H1261" s="34" t="s">
        <v>478</v>
      </c>
      <c r="I1261" s="35"/>
      <c r="J1261" s="21">
        <f ca="1">_xlfn.XLOOKUP(Master[[#This Row],[Checklist]],Ref!A:A,Ref!B:B)*1000</f>
        <v>118000</v>
      </c>
      <c r="K1261" s="21">
        <f ca="1">COUNTIF($J$2:Master[[#This Row],[ChecklistID]],Master[[#This Row],[ChecklistID]])-1</f>
        <v>4</v>
      </c>
      <c r="L1261" s="23" t="s">
        <v>6</v>
      </c>
    </row>
    <row r="1262" spans="1:12" ht="15.75">
      <c r="A1262" s="23">
        <f t="shared" si="20"/>
        <v>1261</v>
      </c>
      <c r="B1262" s="21">
        <f ca="1">Master[[#This Row],[ChecklistID]]+Master[[#This Row],[Checklist Order]]</f>
        <v>118005</v>
      </c>
      <c r="C1262" s="22"/>
      <c r="D1262" s="3" t="str" cm="1">
        <f t="array" aca="1" ref="D1262" ca="1">_xlfn.SWITCH(MID(Master[[#This Row],[Checklist]],1,4),"C - ","Civil","F - ","Foundation","ST -","Structure","FC -","Façade","PRE ","Pre-Line","POST","Post-Line","H - ","Handover","S - ","Services","CST ","Completion Docs", "I - ", "Inspection")</f>
        <v>Façade</v>
      </c>
      <c r="E12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2" s="24" t="str">
        <f ca="1">IF(OR(Master[[#This Row],[Type]]="checklist", Master[[#This Row],[Type]]="checklist-flat"), Master[[#This Row],[Name]], F1261)</f>
        <v>FC - S - STO Poly Plaster</v>
      </c>
      <c r="G1262" s="34" t="s">
        <v>49</v>
      </c>
      <c r="H1262" s="34" t="s">
        <v>479</v>
      </c>
      <c r="I1262" s="35"/>
      <c r="J1262" s="21">
        <f ca="1">_xlfn.XLOOKUP(Master[[#This Row],[Checklist]],Ref!A:A,Ref!B:B)*1000</f>
        <v>118000</v>
      </c>
      <c r="K1262" s="21">
        <f ca="1">COUNTIF($J$2:Master[[#This Row],[ChecklistID]],Master[[#This Row],[ChecklistID]])-1</f>
        <v>5</v>
      </c>
      <c r="L1262" s="23" t="s">
        <v>6</v>
      </c>
    </row>
    <row r="1263" spans="1:12" ht="15.75">
      <c r="A1263" s="23">
        <f t="shared" si="20"/>
        <v>1262</v>
      </c>
      <c r="B1263" s="21">
        <f ca="1">Master[[#This Row],[ChecklistID]]+Master[[#This Row],[Checklist Order]]</f>
        <v>118006</v>
      </c>
      <c r="C1263" s="22"/>
      <c r="D1263" s="3" t="str" cm="1">
        <f t="array" aca="1" ref="D1263" ca="1">_xlfn.SWITCH(MID(Master[[#This Row],[Checklist]],1,4),"C - ","Civil","F - ","Foundation","ST -","Structure","FC -","Façade","PRE ","Pre-Line","POST","Post-Line","H - ","Handover","S - ","Services","CST ","Completion Docs", "I - ", "Inspection")</f>
        <v>Façade</v>
      </c>
      <c r="E12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3" s="24" t="str">
        <f ca="1">IF(OR(Master[[#This Row],[Type]]="checklist", Master[[#This Row],[Type]]="checklist-flat"), Master[[#This Row],[Name]], F1262)</f>
        <v>FC - S - STO Poly Plaster</v>
      </c>
      <c r="G1263" s="34" t="s">
        <v>49</v>
      </c>
      <c r="H1263" s="34" t="s">
        <v>480</v>
      </c>
      <c r="I1263" s="35"/>
      <c r="J1263" s="21">
        <f ca="1">_xlfn.XLOOKUP(Master[[#This Row],[Checklist]],Ref!A:A,Ref!B:B)*1000</f>
        <v>118000</v>
      </c>
      <c r="K1263" s="21">
        <f ca="1">COUNTIF($J$2:Master[[#This Row],[ChecklistID]],Master[[#This Row],[ChecklistID]])-1</f>
        <v>6</v>
      </c>
      <c r="L1263" s="23" t="s">
        <v>6</v>
      </c>
    </row>
    <row r="1264" spans="1:12" ht="15.75">
      <c r="A1264" s="23">
        <f t="shared" si="20"/>
        <v>1263</v>
      </c>
      <c r="B1264" s="21">
        <f ca="1">Master[[#This Row],[ChecklistID]]+Master[[#This Row],[Checklist Order]]</f>
        <v>118007</v>
      </c>
      <c r="C1264" s="22"/>
      <c r="D1264" s="3" t="str" cm="1">
        <f t="array" aca="1" ref="D1264" ca="1">_xlfn.SWITCH(MID(Master[[#This Row],[Checklist]],1,4),"C - ","Civil","F - ","Foundation","ST -","Structure","FC -","Façade","PRE ","Pre-Line","POST","Post-Line","H - ","Handover","S - ","Services","CST ","Completion Docs", "I - ", "Inspection")</f>
        <v>Façade</v>
      </c>
      <c r="E12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4" s="24" t="str">
        <f ca="1">IF(OR(Master[[#This Row],[Type]]="checklist", Master[[#This Row],[Type]]="checklist-flat"), Master[[#This Row],[Name]], F1263)</f>
        <v>FC - S - STO Poly Plaster</v>
      </c>
      <c r="G1264" s="34" t="s">
        <v>49</v>
      </c>
      <c r="H1264" s="34" t="s">
        <v>481</v>
      </c>
      <c r="I1264" s="35"/>
      <c r="J1264" s="21">
        <f ca="1">_xlfn.XLOOKUP(Master[[#This Row],[Checklist]],Ref!A:A,Ref!B:B)*1000</f>
        <v>118000</v>
      </c>
      <c r="K1264" s="21">
        <f ca="1">COUNTIF($J$2:Master[[#This Row],[ChecklistID]],Master[[#This Row],[ChecklistID]])-1</f>
        <v>7</v>
      </c>
      <c r="L1264" s="23" t="s">
        <v>6</v>
      </c>
    </row>
    <row r="1265" spans="1:12" ht="15.75">
      <c r="A1265" s="23">
        <f t="shared" si="20"/>
        <v>1264</v>
      </c>
      <c r="B1265" s="21">
        <f ca="1">Master[[#This Row],[ChecklistID]]+Master[[#This Row],[Checklist Order]]</f>
        <v>118008</v>
      </c>
      <c r="C1265" s="22"/>
      <c r="D1265" s="3" t="str" cm="1">
        <f t="array" aca="1" ref="D1265" ca="1">_xlfn.SWITCH(MID(Master[[#This Row],[Checklist]],1,4),"C - ","Civil","F - ","Foundation","ST -","Structure","FC -","Façade","PRE ","Pre-Line","POST","Post-Line","H - ","Handover","S - ","Services","CST ","Completion Docs", "I - ", "Inspection")</f>
        <v>Façade</v>
      </c>
      <c r="E12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5" s="24" t="str">
        <f ca="1">IF(OR(Master[[#This Row],[Type]]="checklist", Master[[#This Row],[Type]]="checklist-flat"), Master[[#This Row],[Name]], F1264)</f>
        <v>FC - S - STO Poly Plaster</v>
      </c>
      <c r="G1265" s="34" t="s">
        <v>49</v>
      </c>
      <c r="H1265" s="34" t="s">
        <v>482</v>
      </c>
      <c r="I1265" s="35"/>
      <c r="J1265" s="21">
        <f ca="1">_xlfn.XLOOKUP(Master[[#This Row],[Checklist]],Ref!A:A,Ref!B:B)*1000</f>
        <v>118000</v>
      </c>
      <c r="K1265" s="21">
        <f ca="1">COUNTIF($J$2:Master[[#This Row],[ChecklistID]],Master[[#This Row],[ChecklistID]])-1</f>
        <v>8</v>
      </c>
      <c r="L1265" s="23" t="s">
        <v>6</v>
      </c>
    </row>
    <row r="1266" spans="1:12" ht="15.75">
      <c r="A1266" s="23">
        <f t="shared" si="20"/>
        <v>1265</v>
      </c>
      <c r="B1266" s="21">
        <f ca="1">Master[[#This Row],[ChecklistID]]+Master[[#This Row],[Checklist Order]]</f>
        <v>118009</v>
      </c>
      <c r="C1266" s="22"/>
      <c r="D1266" s="3" t="str" cm="1">
        <f t="array" aca="1" ref="D1266" ca="1">_xlfn.SWITCH(MID(Master[[#This Row],[Checklist]],1,4),"C - ","Civil","F - ","Foundation","ST -","Structure","FC -","Façade","PRE ","Pre-Line","POST","Post-Line","H - ","Handover","S - ","Services","CST ","Completion Docs", "I - ", "Inspection")</f>
        <v>Façade</v>
      </c>
      <c r="E12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6" s="24" t="str">
        <f ca="1">IF(OR(Master[[#This Row],[Type]]="checklist", Master[[#This Row],[Type]]="checklist-flat"), Master[[#This Row],[Name]], F1265)</f>
        <v>FC - S - STO Poly Plaster</v>
      </c>
      <c r="G1266" s="34" t="s">
        <v>49</v>
      </c>
      <c r="H1266" s="34" t="s">
        <v>483</v>
      </c>
      <c r="I1266" s="35"/>
      <c r="J1266" s="21">
        <f ca="1">_xlfn.XLOOKUP(Master[[#This Row],[Checklist]],Ref!A:A,Ref!B:B)*1000</f>
        <v>118000</v>
      </c>
      <c r="K1266" s="21">
        <f ca="1">COUNTIF($J$2:Master[[#This Row],[ChecklistID]],Master[[#This Row],[ChecklistID]])-1</f>
        <v>9</v>
      </c>
      <c r="L1266" s="23" t="s">
        <v>6</v>
      </c>
    </row>
    <row r="1267" spans="1:12" ht="15.75">
      <c r="A1267" s="23">
        <f t="shared" si="20"/>
        <v>1266</v>
      </c>
      <c r="B1267" s="21">
        <f ca="1">Master[[#This Row],[ChecklistID]]+Master[[#This Row],[Checklist Order]]</f>
        <v>118010</v>
      </c>
      <c r="C1267" s="22"/>
      <c r="D1267" s="3" t="str" cm="1">
        <f t="array" aca="1" ref="D1267" ca="1">_xlfn.SWITCH(MID(Master[[#This Row],[Checklist]],1,4),"C - ","Civil","F - ","Foundation","ST -","Structure","FC -","Façade","PRE ","Pre-Line","POST","Post-Line","H - ","Handover","S - ","Services","CST ","Completion Docs", "I - ", "Inspection")</f>
        <v>Façade</v>
      </c>
      <c r="E12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7" s="24" t="str">
        <f ca="1">IF(OR(Master[[#This Row],[Type]]="checklist", Master[[#This Row],[Type]]="checklist-flat"), Master[[#This Row],[Name]], F1266)</f>
        <v>FC - S - STO Poly Plaster</v>
      </c>
      <c r="G1267" s="34" t="s">
        <v>49</v>
      </c>
      <c r="H1267" s="34" t="s">
        <v>57</v>
      </c>
      <c r="I1267" s="35"/>
      <c r="J1267" s="21">
        <f ca="1">_xlfn.XLOOKUP(Master[[#This Row],[Checklist]],Ref!A:A,Ref!B:B)*1000</f>
        <v>118000</v>
      </c>
      <c r="K1267" s="21">
        <f ca="1">COUNTIF($J$2:Master[[#This Row],[ChecklistID]],Master[[#This Row],[ChecklistID]])-1</f>
        <v>10</v>
      </c>
      <c r="L1267" s="23" t="s">
        <v>6</v>
      </c>
    </row>
    <row r="1268" spans="1:12" ht="15.75">
      <c r="A1268" s="23">
        <f t="shared" si="20"/>
        <v>1267</v>
      </c>
      <c r="B1268" s="21">
        <f ca="1">Master[[#This Row],[ChecklistID]]+Master[[#This Row],[Checklist Order]]</f>
        <v>118011</v>
      </c>
      <c r="C1268" s="22"/>
      <c r="D1268" s="3" t="str" cm="1">
        <f t="array" aca="1" ref="D1268" ca="1">_xlfn.SWITCH(MID(Master[[#This Row],[Checklist]],1,4),"C - ","Civil","F - ","Foundation","ST -","Structure","FC -","Façade","PRE ","Pre-Line","POST","Post-Line","H - ","Handover","S - ","Services","CST ","Completion Docs", "I - ", "Inspection")</f>
        <v>Façade</v>
      </c>
      <c r="E12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8" s="24" t="str">
        <f ca="1">IF(OR(Master[[#This Row],[Type]]="checklist", Master[[#This Row],[Type]]="checklist-flat"), Master[[#This Row],[Name]], F1267)</f>
        <v>FC - S - STO Poly Plaster</v>
      </c>
      <c r="G1268" s="34" t="s">
        <v>58</v>
      </c>
      <c r="H1268" s="34" t="s">
        <v>59</v>
      </c>
      <c r="I1268" s="35"/>
      <c r="J1268" s="21">
        <f ca="1">_xlfn.XLOOKUP(Master[[#This Row],[Checklist]],Ref!A:A,Ref!B:B)*1000</f>
        <v>118000</v>
      </c>
      <c r="K1268" s="21">
        <f ca="1">COUNTIF($J$2:Master[[#This Row],[ChecklistID]],Master[[#This Row],[ChecklistID]])-1</f>
        <v>11</v>
      </c>
      <c r="L1268" s="23" t="s">
        <v>6</v>
      </c>
    </row>
    <row r="1269" spans="1:12" ht="15.75">
      <c r="A1269" s="23">
        <f t="shared" si="20"/>
        <v>1268</v>
      </c>
      <c r="B1269" s="21">
        <f ca="1">Master[[#This Row],[ChecklistID]]+Master[[#This Row],[Checklist Order]]</f>
        <v>119000</v>
      </c>
      <c r="C1269" s="22"/>
      <c r="D1269" s="3" t="str" cm="1">
        <f t="array" aca="1" ref="D1269" ca="1">_xlfn.SWITCH(MID(Master[[#This Row],[Checklist]],1,4),"C - ","Civil","F - ","Foundation","ST -","Structure","FC -","Façade","PRE ","Pre-Line","POST","Post-Line","H - ","Handover","S - ","Services","CST ","Completion Docs", "I - ", "Inspection")</f>
        <v>Façade</v>
      </c>
      <c r="E12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69" s="24" t="str">
        <f ca="1">IF(OR(Master[[#This Row],[Type]]="checklist", Master[[#This Row],[Type]]="checklist-flat"), Master[[#This Row],[Name]], F1268)</f>
        <v>FC - S - External Plaster - Nibs &amp; Beams</v>
      </c>
      <c r="G1269" s="34" t="s">
        <v>48</v>
      </c>
      <c r="H1269" s="34" t="s">
        <v>484</v>
      </c>
      <c r="I1269" s="35"/>
      <c r="J1269" s="21">
        <f ca="1">_xlfn.XLOOKUP(Master[[#This Row],[Checklist]],Ref!A:A,Ref!B:B)*1000</f>
        <v>119000</v>
      </c>
      <c r="K1269" s="21">
        <f ca="1">COUNTIF($J$2:Master[[#This Row],[ChecklistID]],Master[[#This Row],[ChecklistID]])-1</f>
        <v>0</v>
      </c>
      <c r="L1269" s="23" t="s">
        <v>6</v>
      </c>
    </row>
    <row r="1270" spans="1:12" ht="15.75">
      <c r="A1270" s="23">
        <f t="shared" si="20"/>
        <v>1269</v>
      </c>
      <c r="B1270" s="21">
        <f ca="1">Master[[#This Row],[ChecklistID]]+Master[[#This Row],[Checklist Order]]</f>
        <v>119001</v>
      </c>
      <c r="C1270" s="22"/>
      <c r="D1270" s="3" t="str" cm="1">
        <f t="array" aca="1" ref="D1270" ca="1">_xlfn.SWITCH(MID(Master[[#This Row],[Checklist]],1,4),"C - ","Civil","F - ","Foundation","ST -","Structure","FC -","Façade","PRE ","Pre-Line","POST","Post-Line","H - ","Handover","S - ","Services","CST ","Completion Docs", "I - ", "Inspection")</f>
        <v>Façade</v>
      </c>
      <c r="E12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0" s="24" t="str">
        <f ca="1">IF(OR(Master[[#This Row],[Type]]="checklist", Master[[#This Row],[Type]]="checklist-flat"), Master[[#This Row],[Name]], F1269)</f>
        <v>FC - S - External Plaster - Nibs &amp; Beams</v>
      </c>
      <c r="G1270" s="34" t="s">
        <v>49</v>
      </c>
      <c r="H1270" s="34" t="s">
        <v>485</v>
      </c>
      <c r="I1270" s="35"/>
      <c r="J1270" s="21">
        <f ca="1">_xlfn.XLOOKUP(Master[[#This Row],[Checklist]],Ref!A:A,Ref!B:B)*1000</f>
        <v>119000</v>
      </c>
      <c r="K1270" s="21">
        <f ca="1">COUNTIF($J$2:Master[[#This Row],[ChecklistID]],Master[[#This Row],[ChecklistID]])-1</f>
        <v>1</v>
      </c>
      <c r="L1270" s="23" t="s">
        <v>6</v>
      </c>
    </row>
    <row r="1271" spans="1:12" ht="15.75">
      <c r="A1271" s="23">
        <f t="shared" si="20"/>
        <v>1270</v>
      </c>
      <c r="B1271" s="21">
        <f ca="1">Master[[#This Row],[ChecklistID]]+Master[[#This Row],[Checklist Order]]</f>
        <v>119002</v>
      </c>
      <c r="C1271" s="22"/>
      <c r="D1271" s="3" t="str" cm="1">
        <f t="array" aca="1" ref="D1271" ca="1">_xlfn.SWITCH(MID(Master[[#This Row],[Checklist]],1,4),"C - ","Civil","F - ","Foundation","ST -","Structure","FC -","Façade","PRE ","Pre-Line","POST","Post-Line","H - ","Handover","S - ","Services","CST ","Completion Docs", "I - ", "Inspection")</f>
        <v>Façade</v>
      </c>
      <c r="E12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1" s="24" t="str">
        <f ca="1">IF(OR(Master[[#This Row],[Type]]="checklist", Master[[#This Row],[Type]]="checklist-flat"), Master[[#This Row],[Name]], F1270)</f>
        <v>FC - S - External Plaster - Nibs &amp; Beams</v>
      </c>
      <c r="G1271" s="34" t="s">
        <v>49</v>
      </c>
      <c r="H1271" s="34" t="s">
        <v>486</v>
      </c>
      <c r="I1271" s="35"/>
      <c r="J1271" s="21">
        <f ca="1">_xlfn.XLOOKUP(Master[[#This Row],[Checklist]],Ref!A:A,Ref!B:B)*1000</f>
        <v>119000</v>
      </c>
      <c r="K1271" s="21">
        <f ca="1">COUNTIF($J$2:Master[[#This Row],[ChecklistID]],Master[[#This Row],[ChecklistID]])-1</f>
        <v>2</v>
      </c>
      <c r="L1271" s="23" t="s">
        <v>6</v>
      </c>
    </row>
    <row r="1272" spans="1:12" ht="15.75">
      <c r="A1272" s="23">
        <f t="shared" si="20"/>
        <v>1271</v>
      </c>
      <c r="B1272" s="21">
        <f ca="1">Master[[#This Row],[ChecklistID]]+Master[[#This Row],[Checklist Order]]</f>
        <v>119003</v>
      </c>
      <c r="C1272" s="22"/>
      <c r="D1272" s="3" t="str" cm="1">
        <f t="array" aca="1" ref="D1272" ca="1">_xlfn.SWITCH(MID(Master[[#This Row],[Checklist]],1,4),"C - ","Civil","F - ","Foundation","ST -","Structure","FC -","Façade","PRE ","Pre-Line","POST","Post-Line","H - ","Handover","S - ","Services","CST ","Completion Docs", "I - ", "Inspection")</f>
        <v>Façade</v>
      </c>
      <c r="E12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2" s="24" t="str">
        <f ca="1">IF(OR(Master[[#This Row],[Type]]="checklist", Master[[#This Row],[Type]]="checklist-flat"), Master[[#This Row],[Name]], F1271)</f>
        <v>FC - S - External Plaster - Nibs &amp; Beams</v>
      </c>
      <c r="G1272" s="34" t="s">
        <v>49</v>
      </c>
      <c r="H1272" s="34" t="s">
        <v>487</v>
      </c>
      <c r="I1272" s="35"/>
      <c r="J1272" s="21">
        <f ca="1">_xlfn.XLOOKUP(Master[[#This Row],[Checklist]],Ref!A:A,Ref!B:B)*1000</f>
        <v>119000</v>
      </c>
      <c r="K1272" s="21">
        <f ca="1">COUNTIF($J$2:Master[[#This Row],[ChecklistID]],Master[[#This Row],[ChecklistID]])-1</f>
        <v>3</v>
      </c>
      <c r="L1272" s="23" t="s">
        <v>6</v>
      </c>
    </row>
    <row r="1273" spans="1:12" ht="15.75">
      <c r="A1273" s="23">
        <f t="shared" si="20"/>
        <v>1272</v>
      </c>
      <c r="B1273" s="21">
        <f ca="1">Master[[#This Row],[ChecklistID]]+Master[[#This Row],[Checklist Order]]</f>
        <v>119004</v>
      </c>
      <c r="C1273" s="22"/>
      <c r="D1273" s="3" t="str" cm="1">
        <f t="array" aca="1" ref="D1273" ca="1">_xlfn.SWITCH(MID(Master[[#This Row],[Checklist]],1,4),"C - ","Civil","F - ","Foundation","ST -","Structure","FC -","Façade","PRE ","Pre-Line","POST","Post-Line","H - ","Handover","S - ","Services","CST ","Completion Docs", "I - ", "Inspection")</f>
        <v>Façade</v>
      </c>
      <c r="E12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3" s="24" t="str">
        <f ca="1">IF(OR(Master[[#This Row],[Type]]="checklist", Master[[#This Row],[Type]]="checklist-flat"), Master[[#This Row],[Name]], F1272)</f>
        <v>FC - S - External Plaster - Nibs &amp; Beams</v>
      </c>
      <c r="G1273" s="34" t="s">
        <v>49</v>
      </c>
      <c r="H1273" s="34" t="s">
        <v>488</v>
      </c>
      <c r="I1273" s="35"/>
      <c r="J1273" s="21">
        <f ca="1">_xlfn.XLOOKUP(Master[[#This Row],[Checklist]],Ref!A:A,Ref!B:B)*1000</f>
        <v>119000</v>
      </c>
      <c r="K1273" s="21">
        <f ca="1">COUNTIF($J$2:Master[[#This Row],[ChecklistID]],Master[[#This Row],[ChecklistID]])-1</f>
        <v>4</v>
      </c>
      <c r="L1273" s="23" t="s">
        <v>6</v>
      </c>
    </row>
    <row r="1274" spans="1:12" ht="15.75">
      <c r="A1274" s="23">
        <f t="shared" si="20"/>
        <v>1273</v>
      </c>
      <c r="B1274" s="21">
        <f ca="1">Master[[#This Row],[ChecklistID]]+Master[[#This Row],[Checklist Order]]</f>
        <v>119005</v>
      </c>
      <c r="C1274" s="22"/>
      <c r="D1274" s="3" t="str" cm="1">
        <f t="array" aca="1" ref="D1274" ca="1">_xlfn.SWITCH(MID(Master[[#This Row],[Checklist]],1,4),"C - ","Civil","F - ","Foundation","ST -","Structure","FC -","Façade","PRE ","Pre-Line","POST","Post-Line","H - ","Handover","S - ","Services","CST ","Completion Docs", "I - ", "Inspection")</f>
        <v>Façade</v>
      </c>
      <c r="E12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4" s="24" t="str">
        <f ca="1">IF(OR(Master[[#This Row],[Type]]="checklist", Master[[#This Row],[Type]]="checklist-flat"), Master[[#This Row],[Name]], F1273)</f>
        <v>FC - S - External Plaster - Nibs &amp; Beams</v>
      </c>
      <c r="G1274" s="34" t="s">
        <v>49</v>
      </c>
      <c r="H1274" s="34" t="s">
        <v>489</v>
      </c>
      <c r="I1274" s="35"/>
      <c r="J1274" s="21">
        <f ca="1">_xlfn.XLOOKUP(Master[[#This Row],[Checklist]],Ref!A:A,Ref!B:B)*1000</f>
        <v>119000</v>
      </c>
      <c r="K1274" s="21">
        <f ca="1">COUNTIF($J$2:Master[[#This Row],[ChecklistID]],Master[[#This Row],[ChecklistID]])-1</f>
        <v>5</v>
      </c>
      <c r="L1274" s="23" t="s">
        <v>6</v>
      </c>
    </row>
    <row r="1275" spans="1:12" ht="15.75">
      <c r="A1275" s="23">
        <f t="shared" si="20"/>
        <v>1274</v>
      </c>
      <c r="B1275" s="21">
        <f ca="1">Master[[#This Row],[ChecklistID]]+Master[[#This Row],[Checklist Order]]</f>
        <v>119006</v>
      </c>
      <c r="C1275" s="22"/>
      <c r="D1275" s="3" t="str" cm="1">
        <f t="array" aca="1" ref="D1275" ca="1">_xlfn.SWITCH(MID(Master[[#This Row],[Checklist]],1,4),"C - ","Civil","F - ","Foundation","ST -","Structure","FC -","Façade","PRE ","Pre-Line","POST","Post-Line","H - ","Handover","S - ","Services","CST ","Completion Docs", "I - ", "Inspection")</f>
        <v>Façade</v>
      </c>
      <c r="E12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5" s="24" t="str">
        <f ca="1">IF(OR(Master[[#This Row],[Type]]="checklist", Master[[#This Row],[Type]]="checklist-flat"), Master[[#This Row],[Name]], F1274)</f>
        <v>FC - S - External Plaster - Nibs &amp; Beams</v>
      </c>
      <c r="G1275" s="34" t="s">
        <v>49</v>
      </c>
      <c r="H1275" s="34" t="s">
        <v>481</v>
      </c>
      <c r="I1275" s="35"/>
      <c r="J1275" s="21">
        <f ca="1">_xlfn.XLOOKUP(Master[[#This Row],[Checklist]],Ref!A:A,Ref!B:B)*1000</f>
        <v>119000</v>
      </c>
      <c r="K1275" s="21">
        <f ca="1">COUNTIF($J$2:Master[[#This Row],[ChecklistID]],Master[[#This Row],[ChecklistID]])-1</f>
        <v>6</v>
      </c>
      <c r="L1275" s="23" t="s">
        <v>6</v>
      </c>
    </row>
    <row r="1276" spans="1:12" ht="15.75">
      <c r="A1276" s="23">
        <f t="shared" si="20"/>
        <v>1275</v>
      </c>
      <c r="B1276" s="21">
        <f ca="1">Master[[#This Row],[ChecklistID]]+Master[[#This Row],[Checklist Order]]</f>
        <v>119007</v>
      </c>
      <c r="C1276" s="22"/>
      <c r="D1276" s="3" t="str" cm="1">
        <f t="array" aca="1" ref="D1276" ca="1">_xlfn.SWITCH(MID(Master[[#This Row],[Checklist]],1,4),"C - ","Civil","F - ","Foundation","ST -","Structure","FC -","Façade","PRE ","Pre-Line","POST","Post-Line","H - ","Handover","S - ","Services","CST ","Completion Docs", "I - ", "Inspection")</f>
        <v>Façade</v>
      </c>
      <c r="E12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6" s="24" t="str">
        <f ca="1">IF(OR(Master[[#This Row],[Type]]="checklist", Master[[#This Row],[Type]]="checklist-flat"), Master[[#This Row],[Name]], F1275)</f>
        <v>FC - S - External Plaster - Nibs &amp; Beams</v>
      </c>
      <c r="G1276" s="34" t="s">
        <v>49</v>
      </c>
      <c r="H1276" s="34" t="s">
        <v>57</v>
      </c>
      <c r="I1276" s="35"/>
      <c r="J1276" s="21">
        <f ca="1">_xlfn.XLOOKUP(Master[[#This Row],[Checklist]],Ref!A:A,Ref!B:B)*1000</f>
        <v>119000</v>
      </c>
      <c r="K1276" s="21">
        <f ca="1">COUNTIF($J$2:Master[[#This Row],[ChecklistID]],Master[[#This Row],[ChecklistID]])-1</f>
        <v>7</v>
      </c>
      <c r="L1276" s="23" t="s">
        <v>6</v>
      </c>
    </row>
    <row r="1277" spans="1:12" ht="15.75">
      <c r="A1277" s="23">
        <f t="shared" si="20"/>
        <v>1276</v>
      </c>
      <c r="B1277" s="21">
        <f ca="1">Master[[#This Row],[ChecklistID]]+Master[[#This Row],[Checklist Order]]</f>
        <v>119008</v>
      </c>
      <c r="C1277" s="22"/>
      <c r="D1277" s="3" t="str" cm="1">
        <f t="array" aca="1" ref="D1277" ca="1">_xlfn.SWITCH(MID(Master[[#This Row],[Checklist]],1,4),"C - ","Civil","F - ","Foundation","ST -","Structure","FC -","Façade","PRE ","Pre-Line","POST","Post-Line","H - ","Handover","S - ","Services","CST ","Completion Docs", "I - ", "Inspection")</f>
        <v>Façade</v>
      </c>
      <c r="E12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7" s="24" t="str">
        <f ca="1">IF(OR(Master[[#This Row],[Type]]="checklist", Master[[#This Row],[Type]]="checklist-flat"), Master[[#This Row],[Name]], F1276)</f>
        <v>FC - S - External Plaster - Nibs &amp; Beams</v>
      </c>
      <c r="G1277" s="34" t="s">
        <v>58</v>
      </c>
      <c r="H1277" s="34" t="s">
        <v>59</v>
      </c>
      <c r="I1277" s="35"/>
      <c r="J1277" s="21">
        <f ca="1">_xlfn.XLOOKUP(Master[[#This Row],[Checklist]],Ref!A:A,Ref!B:B)*1000</f>
        <v>119000</v>
      </c>
      <c r="K1277" s="21">
        <f ca="1">COUNTIF($J$2:Master[[#This Row],[ChecklistID]],Master[[#This Row],[ChecklistID]])-1</f>
        <v>8</v>
      </c>
      <c r="L1277" s="23" t="s">
        <v>6</v>
      </c>
    </row>
    <row r="1278" spans="1:12" ht="15.75">
      <c r="A1278" s="23">
        <f t="shared" si="20"/>
        <v>1277</v>
      </c>
      <c r="B1278" s="21">
        <f ca="1">Master[[#This Row],[ChecklistID]]+Master[[#This Row],[Checklist Order]]</f>
        <v>120000</v>
      </c>
      <c r="C1278" s="22"/>
      <c r="D1278" s="3" t="str" cm="1">
        <f t="array" aca="1" ref="D1278" ca="1">_xlfn.SWITCH(MID(Master[[#This Row],[Checklist]],1,4),"C - ","Civil","F - ","Foundation","ST -","Structure","FC -","Façade","PRE ","Pre-Line","POST","Post-Line","H - ","Handover","S - ","Services","CST ","Completion Docs", "I - ", "Inspection")</f>
        <v>Façade</v>
      </c>
      <c r="E12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8" s="24" t="str">
        <f ca="1">IF(OR(Master[[#This Row],[Type]]="checklist", Master[[#This Row],[Type]]="checklist-flat"), Master[[#This Row],[Name]], F1277)</f>
        <v xml:space="preserve">FC - S - Soffits </v>
      </c>
      <c r="G1278" s="34" t="s">
        <v>119</v>
      </c>
      <c r="H1278" s="34" t="s">
        <v>490</v>
      </c>
      <c r="I1278" s="35"/>
      <c r="J1278" s="21">
        <f ca="1">_xlfn.XLOOKUP(Master[[#This Row],[Checklist]],Ref!A:A,Ref!B:B)*1000</f>
        <v>120000</v>
      </c>
      <c r="K1278" s="21">
        <f ca="1">COUNTIF($J$2:Master[[#This Row],[ChecklistID]],Master[[#This Row],[ChecklistID]])-1</f>
        <v>0</v>
      </c>
      <c r="L1278" s="23" t="s">
        <v>6</v>
      </c>
    </row>
    <row r="1279" spans="1:12" ht="15.75">
      <c r="A1279" s="23">
        <f t="shared" si="20"/>
        <v>1278</v>
      </c>
      <c r="B1279" s="21">
        <f ca="1">Master[[#This Row],[ChecklistID]]+Master[[#This Row],[Checklist Order]]</f>
        <v>120001</v>
      </c>
      <c r="C1279" s="22"/>
      <c r="D1279" s="3" t="str" cm="1">
        <f t="array" aca="1" ref="D1279" ca="1">_xlfn.SWITCH(MID(Master[[#This Row],[Checklist]],1,4),"C - ","Civil","F - ","Foundation","ST -","Structure","FC -","Façade","PRE ","Pre-Line","POST","Post-Line","H - ","Handover","S - ","Services","CST ","Completion Docs", "I - ", "Inspection")</f>
        <v>Façade</v>
      </c>
      <c r="E12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79" s="24" t="str">
        <f ca="1">IF(OR(Master[[#This Row],[Type]]="checklist", Master[[#This Row],[Type]]="checklist-flat"), Master[[#This Row],[Name]], F1278)</f>
        <v xml:space="preserve">FC - S - Soffits </v>
      </c>
      <c r="G1279" s="34" t="s">
        <v>120</v>
      </c>
      <c r="H1279" s="34" t="s">
        <v>491</v>
      </c>
      <c r="I1279" s="35"/>
      <c r="J1279" s="21">
        <f ca="1">_xlfn.XLOOKUP(Master[[#This Row],[Checklist]],Ref!A:A,Ref!B:B)*1000</f>
        <v>120000</v>
      </c>
      <c r="K1279" s="21">
        <f ca="1">COUNTIF($J$2:Master[[#This Row],[ChecklistID]],Master[[#This Row],[ChecklistID]])-1</f>
        <v>1</v>
      </c>
      <c r="L1279" s="23" t="s">
        <v>6</v>
      </c>
    </row>
    <row r="1280" spans="1:12" ht="15.75">
      <c r="A1280" s="23">
        <f t="shared" si="20"/>
        <v>1279</v>
      </c>
      <c r="B1280" s="21">
        <f ca="1">Master[[#This Row],[ChecklistID]]+Master[[#This Row],[Checklist Order]]</f>
        <v>120002</v>
      </c>
      <c r="C1280" s="22"/>
      <c r="D1280" s="3" t="str" cm="1">
        <f t="array" aca="1" ref="D1280" ca="1">_xlfn.SWITCH(MID(Master[[#This Row],[Checklist]],1,4),"C - ","Civil","F - ","Foundation","ST -","Structure","FC -","Façade","PRE ","Pre-Line","POST","Post-Line","H - ","Handover","S - ","Services","CST ","Completion Docs", "I - ", "Inspection")</f>
        <v>Façade</v>
      </c>
      <c r="E12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0" s="24" t="str">
        <f ca="1">IF(OR(Master[[#This Row],[Type]]="checklist", Master[[#This Row],[Type]]="checklist-flat"), Master[[#This Row],[Name]], F1279)</f>
        <v xml:space="preserve">FC - S - Soffits </v>
      </c>
      <c r="G1280" s="34" t="s">
        <v>49</v>
      </c>
      <c r="H1280" s="34" t="s">
        <v>492</v>
      </c>
      <c r="I1280" s="35"/>
      <c r="J1280" s="21">
        <f ca="1">_xlfn.XLOOKUP(Master[[#This Row],[Checklist]],Ref!A:A,Ref!B:B)*1000</f>
        <v>120000</v>
      </c>
      <c r="K1280" s="21">
        <f ca="1">COUNTIF($J$2:Master[[#This Row],[ChecklistID]],Master[[#This Row],[ChecklistID]])-1</f>
        <v>2</v>
      </c>
      <c r="L1280" s="23" t="s">
        <v>6</v>
      </c>
    </row>
    <row r="1281" spans="1:12" ht="15.75">
      <c r="A1281" s="23">
        <f t="shared" si="20"/>
        <v>1280</v>
      </c>
      <c r="B1281" s="21">
        <f ca="1">Master[[#This Row],[ChecklistID]]+Master[[#This Row],[Checklist Order]]</f>
        <v>120003</v>
      </c>
      <c r="C1281" s="22"/>
      <c r="D1281" s="3" t="str" cm="1">
        <f t="array" aca="1" ref="D1281" ca="1">_xlfn.SWITCH(MID(Master[[#This Row],[Checklist]],1,4),"C - ","Civil","F - ","Foundation","ST -","Structure","FC -","Façade","PRE ","Pre-Line","POST","Post-Line","H - ","Handover","S - ","Services","CST ","Completion Docs", "I - ", "Inspection")</f>
        <v>Façade</v>
      </c>
      <c r="E12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1" s="24" t="str">
        <f ca="1">IF(OR(Master[[#This Row],[Type]]="checklist", Master[[#This Row],[Type]]="checklist-flat"), Master[[#This Row],[Name]], F1280)</f>
        <v xml:space="preserve">FC - S - Soffits </v>
      </c>
      <c r="G1281" s="34" t="s">
        <v>49</v>
      </c>
      <c r="H1281" s="34" t="s">
        <v>493</v>
      </c>
      <c r="I1281" s="35"/>
      <c r="J1281" s="21">
        <f ca="1">_xlfn.XLOOKUP(Master[[#This Row],[Checklist]],Ref!A:A,Ref!B:B)*1000</f>
        <v>120000</v>
      </c>
      <c r="K1281" s="21">
        <f ca="1">COUNTIF($J$2:Master[[#This Row],[ChecklistID]],Master[[#This Row],[ChecklistID]])-1</f>
        <v>3</v>
      </c>
      <c r="L1281" s="23" t="s">
        <v>6</v>
      </c>
    </row>
    <row r="1282" spans="1:12" ht="15.75">
      <c r="A1282" s="23">
        <f t="shared" si="20"/>
        <v>1281</v>
      </c>
      <c r="B1282" s="21">
        <f ca="1">Master[[#This Row],[ChecklistID]]+Master[[#This Row],[Checklist Order]]</f>
        <v>120004</v>
      </c>
      <c r="C1282" s="22"/>
      <c r="D1282" s="3" t="str" cm="1">
        <f t="array" aca="1" ref="D1282" ca="1">_xlfn.SWITCH(MID(Master[[#This Row],[Checklist]],1,4),"C - ","Civil","F - ","Foundation","ST -","Structure","FC -","Façade","PRE ","Pre-Line","POST","Post-Line","H - ","Handover","S - ","Services","CST ","Completion Docs", "I - ", "Inspection")</f>
        <v>Façade</v>
      </c>
      <c r="E12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2" s="24" t="str">
        <f ca="1">IF(OR(Master[[#This Row],[Type]]="checklist", Master[[#This Row],[Type]]="checklist-flat"), Master[[#This Row],[Name]], F1281)</f>
        <v xml:space="preserve">FC - S - Soffits </v>
      </c>
      <c r="G1282" s="34" t="s">
        <v>49</v>
      </c>
      <c r="H1282" s="34" t="s">
        <v>494</v>
      </c>
      <c r="I1282" s="35"/>
      <c r="J1282" s="21">
        <f ca="1">_xlfn.XLOOKUP(Master[[#This Row],[Checklist]],Ref!A:A,Ref!B:B)*1000</f>
        <v>120000</v>
      </c>
      <c r="K1282" s="21">
        <f ca="1">COUNTIF($J$2:Master[[#This Row],[ChecklistID]],Master[[#This Row],[ChecklistID]])-1</f>
        <v>4</v>
      </c>
      <c r="L1282" s="23" t="s">
        <v>6</v>
      </c>
    </row>
    <row r="1283" spans="1:12" ht="15.75">
      <c r="A1283" s="23">
        <f t="shared" si="20"/>
        <v>1282</v>
      </c>
      <c r="B1283" s="21">
        <f ca="1">Master[[#This Row],[ChecklistID]]+Master[[#This Row],[Checklist Order]]</f>
        <v>120005</v>
      </c>
      <c r="C1283" s="22"/>
      <c r="D1283" s="3" t="str" cm="1">
        <f t="array" aca="1" ref="D1283" ca="1">_xlfn.SWITCH(MID(Master[[#This Row],[Checklist]],1,4),"C - ","Civil","F - ","Foundation","ST -","Structure","FC -","Façade","PRE ","Pre-Line","POST","Post-Line","H - ","Handover","S - ","Services","CST ","Completion Docs", "I - ", "Inspection")</f>
        <v>Façade</v>
      </c>
      <c r="E12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3" s="24" t="str">
        <f ca="1">IF(OR(Master[[#This Row],[Type]]="checklist", Master[[#This Row],[Type]]="checklist-flat"), Master[[#This Row],[Name]], F1282)</f>
        <v xml:space="preserve">FC - S - Soffits </v>
      </c>
      <c r="G1283" s="34" t="s">
        <v>120</v>
      </c>
      <c r="H1283" s="34" t="s">
        <v>495</v>
      </c>
      <c r="I1283" s="35"/>
      <c r="J1283" s="21">
        <f ca="1">_xlfn.XLOOKUP(Master[[#This Row],[Checklist]],Ref!A:A,Ref!B:B)*1000</f>
        <v>120000</v>
      </c>
      <c r="K1283" s="21">
        <f ca="1">COUNTIF($J$2:Master[[#This Row],[ChecklistID]],Master[[#This Row],[ChecklistID]])-1</f>
        <v>5</v>
      </c>
      <c r="L1283" s="23" t="s">
        <v>6</v>
      </c>
    </row>
    <row r="1284" spans="1:12" ht="15.75">
      <c r="A1284" s="23">
        <f t="shared" si="20"/>
        <v>1283</v>
      </c>
      <c r="B1284" s="21">
        <f ca="1">Master[[#This Row],[ChecklistID]]+Master[[#This Row],[Checklist Order]]</f>
        <v>120006</v>
      </c>
      <c r="C1284" s="22"/>
      <c r="D1284" s="3" t="str" cm="1">
        <f t="array" aca="1" ref="D1284" ca="1">_xlfn.SWITCH(MID(Master[[#This Row],[Checklist]],1,4),"C - ","Civil","F - ","Foundation","ST -","Structure","FC -","Façade","PRE ","Pre-Line","POST","Post-Line","H - ","Handover","S - ","Services","CST ","Completion Docs", "I - ", "Inspection")</f>
        <v>Façade</v>
      </c>
      <c r="E12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4" s="24" t="str">
        <f ca="1">IF(OR(Master[[#This Row],[Type]]="checklist", Master[[#This Row],[Type]]="checklist-flat"), Master[[#This Row],[Name]], F1283)</f>
        <v xml:space="preserve">FC - S - Soffits </v>
      </c>
      <c r="G1284" s="34" t="s">
        <v>49</v>
      </c>
      <c r="H1284" s="34" t="s">
        <v>496</v>
      </c>
      <c r="I1284" s="35"/>
      <c r="J1284" s="21">
        <f ca="1">_xlfn.XLOOKUP(Master[[#This Row],[Checklist]],Ref!A:A,Ref!B:B)*1000</f>
        <v>120000</v>
      </c>
      <c r="K1284" s="21">
        <f ca="1">COUNTIF($J$2:Master[[#This Row],[ChecklistID]],Master[[#This Row],[ChecklistID]])-1</f>
        <v>6</v>
      </c>
      <c r="L1284" s="23" t="s">
        <v>6</v>
      </c>
    </row>
    <row r="1285" spans="1:12" ht="15.75">
      <c r="A1285" s="23">
        <f t="shared" si="20"/>
        <v>1284</v>
      </c>
      <c r="B1285" s="21">
        <f ca="1">Master[[#This Row],[ChecklistID]]+Master[[#This Row],[Checklist Order]]</f>
        <v>120007</v>
      </c>
      <c r="C1285" s="22"/>
      <c r="D1285" s="3" t="str" cm="1">
        <f t="array" aca="1" ref="D1285" ca="1">_xlfn.SWITCH(MID(Master[[#This Row],[Checklist]],1,4),"C - ","Civil","F - ","Foundation","ST -","Structure","FC -","Façade","PRE ","Pre-Line","POST","Post-Line","H - ","Handover","S - ","Services","CST ","Completion Docs", "I - ", "Inspection")</f>
        <v>Façade</v>
      </c>
      <c r="E12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5" s="24" t="str">
        <f ca="1">IF(OR(Master[[#This Row],[Type]]="checklist", Master[[#This Row],[Type]]="checklist-flat"), Master[[#This Row],[Name]], F1284)</f>
        <v xml:space="preserve">FC - S - Soffits </v>
      </c>
      <c r="G1285" s="34" t="s">
        <v>49</v>
      </c>
      <c r="H1285" s="34" t="s">
        <v>497</v>
      </c>
      <c r="I1285" s="35"/>
      <c r="J1285" s="21">
        <f ca="1">_xlfn.XLOOKUP(Master[[#This Row],[Checklist]],Ref!A:A,Ref!B:B)*1000</f>
        <v>120000</v>
      </c>
      <c r="K1285" s="21">
        <f ca="1">COUNTIF($J$2:Master[[#This Row],[ChecklistID]],Master[[#This Row],[ChecklistID]])-1</f>
        <v>7</v>
      </c>
      <c r="L1285" s="23" t="s">
        <v>6</v>
      </c>
    </row>
    <row r="1286" spans="1:12" ht="15.75">
      <c r="A1286" s="23">
        <f t="shared" si="20"/>
        <v>1285</v>
      </c>
      <c r="B1286" s="21">
        <f ca="1">Master[[#This Row],[ChecklistID]]+Master[[#This Row],[Checklist Order]]</f>
        <v>120008</v>
      </c>
      <c r="C1286" s="22"/>
      <c r="D1286" s="3" t="str" cm="1">
        <f t="array" aca="1" ref="D1286" ca="1">_xlfn.SWITCH(MID(Master[[#This Row],[Checklist]],1,4),"C - ","Civil","F - ","Foundation","ST -","Structure","FC -","Façade","PRE ","Pre-Line","POST","Post-Line","H - ","Handover","S - ","Services","CST ","Completion Docs", "I - ", "Inspection")</f>
        <v>Façade</v>
      </c>
      <c r="E12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6" s="24" t="str">
        <f ca="1">IF(OR(Master[[#This Row],[Type]]="checklist", Master[[#This Row],[Type]]="checklist-flat"), Master[[#This Row],[Name]], F1285)</f>
        <v xml:space="preserve">FC - S - Soffits </v>
      </c>
      <c r="G1286" s="34" t="s">
        <v>49</v>
      </c>
      <c r="H1286" s="34" t="s">
        <v>498</v>
      </c>
      <c r="I1286" s="35"/>
      <c r="J1286" s="21">
        <f ca="1">_xlfn.XLOOKUP(Master[[#This Row],[Checklist]],Ref!A:A,Ref!B:B)*1000</f>
        <v>120000</v>
      </c>
      <c r="K1286" s="21">
        <f ca="1">COUNTIF($J$2:Master[[#This Row],[ChecklistID]],Master[[#This Row],[ChecklistID]])-1</f>
        <v>8</v>
      </c>
      <c r="L1286" s="23" t="s">
        <v>6</v>
      </c>
    </row>
    <row r="1287" spans="1:12" ht="15.75">
      <c r="A1287" s="23">
        <f t="shared" si="20"/>
        <v>1286</v>
      </c>
      <c r="B1287" s="21">
        <f ca="1">Master[[#This Row],[ChecklistID]]+Master[[#This Row],[Checklist Order]]</f>
        <v>120009</v>
      </c>
      <c r="C1287" s="22"/>
      <c r="D1287" s="3" t="str" cm="1">
        <f t="array" aca="1" ref="D1287" ca="1">_xlfn.SWITCH(MID(Master[[#This Row],[Checklist]],1,4),"C - ","Civil","F - ","Foundation","ST -","Structure","FC -","Façade","PRE ","Pre-Line","POST","Post-Line","H - ","Handover","S - ","Services","CST ","Completion Docs", "I - ", "Inspection")</f>
        <v>Façade</v>
      </c>
      <c r="E12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7" s="24" t="str">
        <f ca="1">IF(OR(Master[[#This Row],[Type]]="checklist", Master[[#This Row],[Type]]="checklist-flat"), Master[[#This Row],[Name]], F1286)</f>
        <v xml:space="preserve">FC - S - Soffits </v>
      </c>
      <c r="G1287" s="34" t="s">
        <v>49</v>
      </c>
      <c r="H1287" s="34" t="s">
        <v>499</v>
      </c>
      <c r="I1287" s="35"/>
      <c r="J1287" s="21">
        <f ca="1">_xlfn.XLOOKUP(Master[[#This Row],[Checklist]],Ref!A:A,Ref!B:B)*1000</f>
        <v>120000</v>
      </c>
      <c r="K1287" s="21">
        <f ca="1">COUNTIF($J$2:Master[[#This Row],[ChecklistID]],Master[[#This Row],[ChecklistID]])-1</f>
        <v>9</v>
      </c>
      <c r="L1287" s="23" t="s">
        <v>6</v>
      </c>
    </row>
    <row r="1288" spans="1:12" ht="15.75">
      <c r="A1288" s="23">
        <f t="shared" si="20"/>
        <v>1287</v>
      </c>
      <c r="B1288" s="21">
        <f ca="1">Master[[#This Row],[ChecklistID]]+Master[[#This Row],[Checklist Order]]</f>
        <v>120010</v>
      </c>
      <c r="C1288" s="22"/>
      <c r="D1288" s="3" t="str" cm="1">
        <f t="array" aca="1" ref="D1288" ca="1">_xlfn.SWITCH(MID(Master[[#This Row],[Checklist]],1,4),"C - ","Civil","F - ","Foundation","ST -","Structure","FC -","Façade","PRE ","Pre-Line","POST","Post-Line","H - ","Handover","S - ","Services","CST ","Completion Docs", "I - ", "Inspection")</f>
        <v>Façade</v>
      </c>
      <c r="E12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8" s="24" t="str">
        <f ca="1">IF(OR(Master[[#This Row],[Type]]="checklist", Master[[#This Row],[Type]]="checklist-flat"), Master[[#This Row],[Name]], F1287)</f>
        <v xml:space="preserve">FC - S - Soffits </v>
      </c>
      <c r="G1288" s="34" t="s">
        <v>49</v>
      </c>
      <c r="H1288" s="34" t="s">
        <v>500</v>
      </c>
      <c r="I1288" s="35"/>
      <c r="J1288" s="21">
        <f ca="1">_xlfn.XLOOKUP(Master[[#This Row],[Checklist]],Ref!A:A,Ref!B:B)*1000</f>
        <v>120000</v>
      </c>
      <c r="K1288" s="21">
        <f ca="1">COUNTIF($J$2:Master[[#This Row],[ChecklistID]],Master[[#This Row],[ChecklistID]])-1</f>
        <v>10</v>
      </c>
      <c r="L1288" s="23" t="s">
        <v>6</v>
      </c>
    </row>
    <row r="1289" spans="1:12" ht="15.75">
      <c r="A1289" s="23">
        <f t="shared" si="20"/>
        <v>1288</v>
      </c>
      <c r="B1289" s="21">
        <f ca="1">Master[[#This Row],[ChecklistID]]+Master[[#This Row],[Checklist Order]]</f>
        <v>120011</v>
      </c>
      <c r="C1289" s="22"/>
      <c r="D1289" s="3" t="str" cm="1">
        <f t="array" aca="1" ref="D1289" ca="1">_xlfn.SWITCH(MID(Master[[#This Row],[Checklist]],1,4),"C - ","Civil","F - ","Foundation","ST -","Structure","FC -","Façade","PRE ","Pre-Line","POST","Post-Line","H - ","Handover","S - ","Services","CST ","Completion Docs", "I - ", "Inspection")</f>
        <v>Façade</v>
      </c>
      <c r="E12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89" s="24" t="str">
        <f ca="1">IF(OR(Master[[#This Row],[Type]]="checklist", Master[[#This Row],[Type]]="checklist-flat"), Master[[#This Row],[Name]], F1288)</f>
        <v xml:space="preserve">FC - S - Soffits </v>
      </c>
      <c r="G1289" s="34" t="s">
        <v>49</v>
      </c>
      <c r="H1289" s="34" t="s">
        <v>57</v>
      </c>
      <c r="I1289" s="35"/>
      <c r="J1289" s="21">
        <f ca="1">_xlfn.XLOOKUP(Master[[#This Row],[Checklist]],Ref!A:A,Ref!B:B)*1000</f>
        <v>120000</v>
      </c>
      <c r="K1289" s="21">
        <f ca="1">COUNTIF($J$2:Master[[#This Row],[ChecklistID]],Master[[#This Row],[ChecklistID]])-1</f>
        <v>11</v>
      </c>
      <c r="L1289" s="23" t="s">
        <v>6</v>
      </c>
    </row>
    <row r="1290" spans="1:12" ht="15.75">
      <c r="A1290" s="23">
        <f t="shared" si="20"/>
        <v>1289</v>
      </c>
      <c r="B1290" s="21">
        <f ca="1">Master[[#This Row],[ChecklistID]]+Master[[#This Row],[Checklist Order]]</f>
        <v>120012</v>
      </c>
      <c r="C1290" s="22"/>
      <c r="D1290" s="3" t="str" cm="1">
        <f t="array" aca="1" ref="D1290" ca="1">_xlfn.SWITCH(MID(Master[[#This Row],[Checklist]],1,4),"C - ","Civil","F - ","Foundation","ST -","Structure","FC -","Façade","PRE ","Pre-Line","POST","Post-Line","H - ","Handover","S - ","Services","CST ","Completion Docs", "I - ", "Inspection")</f>
        <v>Façade</v>
      </c>
      <c r="E12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0" s="24" t="str">
        <f ca="1">IF(OR(Master[[#This Row],[Type]]="checklist", Master[[#This Row],[Type]]="checklist-flat"), Master[[#This Row],[Name]], F1289)</f>
        <v xml:space="preserve">FC - S - Soffits </v>
      </c>
      <c r="G1290" s="34" t="s">
        <v>58</v>
      </c>
      <c r="H1290" s="34" t="s">
        <v>59</v>
      </c>
      <c r="I1290" s="35"/>
      <c r="J1290" s="21">
        <f ca="1">_xlfn.XLOOKUP(Master[[#This Row],[Checklist]],Ref!A:A,Ref!B:B)*1000</f>
        <v>120000</v>
      </c>
      <c r="K1290" s="21">
        <f ca="1">COUNTIF($J$2:Master[[#This Row],[ChecklistID]],Master[[#This Row],[ChecklistID]])-1</f>
        <v>12</v>
      </c>
      <c r="L1290" s="23" t="s">
        <v>6</v>
      </c>
    </row>
    <row r="1291" spans="1:12" ht="15.75">
      <c r="A1291" s="23">
        <f t="shared" si="20"/>
        <v>1290</v>
      </c>
      <c r="B1291" s="21">
        <f ca="1">Master[[#This Row],[ChecklistID]]+Master[[#This Row],[Checklist Order]]</f>
        <v>121000</v>
      </c>
      <c r="C1291" s="22"/>
      <c r="D1291" s="3" t="str" cm="1">
        <f t="array" aca="1" ref="D1291" ca="1">_xlfn.SWITCH(MID(Master[[#This Row],[Checklist]],1,4),"C - ","Civil","F - ","Foundation","ST -","Structure","FC -","Façade","PRE ","Pre-Line","POST","Post-Line","H - ","Handover","S - ","Services","CST ","Completion Docs", "I - ", "Inspection")</f>
        <v>Façade</v>
      </c>
      <c r="E12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1" s="24" t="str">
        <f ca="1">IF(OR(Master[[#This Row],[Type]]="checklist", Master[[#This Row],[Type]]="checklist-flat"), Master[[#This Row],[Name]], F1290)</f>
        <v>FC - S - Balustrades Installation</v>
      </c>
      <c r="G1291" s="34" t="s">
        <v>119</v>
      </c>
      <c r="H1291" s="34" t="s">
        <v>501</v>
      </c>
      <c r="I1291" s="35"/>
      <c r="J1291" s="21">
        <f ca="1">_xlfn.XLOOKUP(Master[[#This Row],[Checklist]],Ref!A:A,Ref!B:B)*1000</f>
        <v>121000</v>
      </c>
      <c r="K1291" s="21">
        <f ca="1">COUNTIF($J$2:Master[[#This Row],[ChecklistID]],Master[[#This Row],[ChecklistID]])-1</f>
        <v>0</v>
      </c>
      <c r="L1291" s="23" t="s">
        <v>6</v>
      </c>
    </row>
    <row r="1292" spans="1:12" ht="15.75">
      <c r="A1292" s="23">
        <f t="shared" si="20"/>
        <v>1291</v>
      </c>
      <c r="B1292" s="21">
        <f ca="1">Master[[#This Row],[ChecklistID]]+Master[[#This Row],[Checklist Order]]</f>
        <v>121001</v>
      </c>
      <c r="C1292" s="22"/>
      <c r="D1292" s="3" t="str" cm="1">
        <f t="array" aca="1" ref="D1292" ca="1">_xlfn.SWITCH(MID(Master[[#This Row],[Checklist]],1,4),"C - ","Civil","F - ","Foundation","ST -","Structure","FC -","Façade","PRE ","Pre-Line","POST","Post-Line","H - ","Handover","S - ","Services","CST ","Completion Docs", "I - ", "Inspection")</f>
        <v>Façade</v>
      </c>
      <c r="E12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2" s="24" t="str">
        <f ca="1">IF(OR(Master[[#This Row],[Type]]="checklist", Master[[#This Row],[Type]]="checklist-flat"), Master[[#This Row],[Name]], F1291)</f>
        <v>FC - S - Balustrades Installation</v>
      </c>
      <c r="G1292" s="34" t="s">
        <v>120</v>
      </c>
      <c r="H1292" s="34" t="s">
        <v>491</v>
      </c>
      <c r="I1292" s="35"/>
      <c r="J1292" s="21">
        <f ca="1">_xlfn.XLOOKUP(Master[[#This Row],[Checklist]],Ref!A:A,Ref!B:B)*1000</f>
        <v>121000</v>
      </c>
      <c r="K1292" s="21">
        <f ca="1">COUNTIF($J$2:Master[[#This Row],[ChecklistID]],Master[[#This Row],[ChecklistID]])-1</f>
        <v>1</v>
      </c>
      <c r="L1292" s="23" t="s">
        <v>6</v>
      </c>
    </row>
    <row r="1293" spans="1:12" ht="15.75">
      <c r="A1293" s="23">
        <f t="shared" si="20"/>
        <v>1292</v>
      </c>
      <c r="B1293" s="21">
        <f ca="1">Master[[#This Row],[ChecklistID]]+Master[[#This Row],[Checklist Order]]</f>
        <v>121002</v>
      </c>
      <c r="C1293" s="22"/>
      <c r="D1293" s="3" t="str" cm="1">
        <f t="array" aca="1" ref="D1293" ca="1">_xlfn.SWITCH(MID(Master[[#This Row],[Checklist]],1,4),"C - ","Civil","F - ","Foundation","ST -","Structure","FC -","Façade","PRE ","Pre-Line","POST","Post-Line","H - ","Handover","S - ","Services","CST ","Completion Docs", "I - ", "Inspection")</f>
        <v>Façade</v>
      </c>
      <c r="E12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3" s="24" t="str">
        <f ca="1">IF(OR(Master[[#This Row],[Type]]="checklist", Master[[#This Row],[Type]]="checklist-flat"), Master[[#This Row],[Name]], F1292)</f>
        <v>FC - S - Balustrades Installation</v>
      </c>
      <c r="G1293" s="34" t="s">
        <v>49</v>
      </c>
      <c r="H1293" s="34" t="s">
        <v>502</v>
      </c>
      <c r="I1293" s="35"/>
      <c r="J1293" s="21">
        <f ca="1">_xlfn.XLOOKUP(Master[[#This Row],[Checklist]],Ref!A:A,Ref!B:B)*1000</f>
        <v>121000</v>
      </c>
      <c r="K1293" s="21">
        <f ca="1">COUNTIF($J$2:Master[[#This Row],[ChecklistID]],Master[[#This Row],[ChecklistID]])-1</f>
        <v>2</v>
      </c>
      <c r="L1293" s="23" t="s">
        <v>6</v>
      </c>
    </row>
    <row r="1294" spans="1:12" ht="15.75">
      <c r="A1294" s="23">
        <f t="shared" si="20"/>
        <v>1293</v>
      </c>
      <c r="B1294" s="21">
        <f ca="1">Master[[#This Row],[ChecklistID]]+Master[[#This Row],[Checklist Order]]</f>
        <v>121003</v>
      </c>
      <c r="C1294" s="22"/>
      <c r="D1294" s="3" t="str" cm="1">
        <f t="array" aca="1" ref="D1294" ca="1">_xlfn.SWITCH(MID(Master[[#This Row],[Checklist]],1,4),"C - ","Civil","F - ","Foundation","ST -","Structure","FC -","Façade","PRE ","Pre-Line","POST","Post-Line","H - ","Handover","S - ","Services","CST ","Completion Docs", "I - ", "Inspection")</f>
        <v>Façade</v>
      </c>
      <c r="E12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4" s="24" t="str">
        <f ca="1">IF(OR(Master[[#This Row],[Type]]="checklist", Master[[#This Row],[Type]]="checklist-flat"), Master[[#This Row],[Name]], F1293)</f>
        <v>FC - S - Balustrades Installation</v>
      </c>
      <c r="G1294" s="34" t="s">
        <v>49</v>
      </c>
      <c r="H1294" s="34" t="s">
        <v>503</v>
      </c>
      <c r="I1294" s="35"/>
      <c r="J1294" s="21">
        <f ca="1">_xlfn.XLOOKUP(Master[[#This Row],[Checklist]],Ref!A:A,Ref!B:B)*1000</f>
        <v>121000</v>
      </c>
      <c r="K1294" s="21">
        <f ca="1">COUNTIF($J$2:Master[[#This Row],[ChecklistID]],Master[[#This Row],[ChecklistID]])-1</f>
        <v>3</v>
      </c>
      <c r="L1294" s="23" t="s">
        <v>6</v>
      </c>
    </row>
    <row r="1295" spans="1:12" ht="15.75">
      <c r="A1295" s="23">
        <f t="shared" si="20"/>
        <v>1294</v>
      </c>
      <c r="B1295" s="21">
        <f ca="1">Master[[#This Row],[ChecklistID]]+Master[[#This Row],[Checklist Order]]</f>
        <v>121004</v>
      </c>
      <c r="C1295" s="22"/>
      <c r="D1295" s="3" t="str" cm="1">
        <f t="array" aca="1" ref="D1295" ca="1">_xlfn.SWITCH(MID(Master[[#This Row],[Checklist]],1,4),"C - ","Civil","F - ","Foundation","ST -","Structure","FC -","Façade","PRE ","Pre-Line","POST","Post-Line","H - ","Handover","S - ","Services","CST ","Completion Docs", "I - ", "Inspection")</f>
        <v>Façade</v>
      </c>
      <c r="E12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5" s="24" t="str">
        <f ca="1">IF(OR(Master[[#This Row],[Type]]="checklist", Master[[#This Row],[Type]]="checklist-flat"), Master[[#This Row],[Name]], F1294)</f>
        <v>FC - S - Balustrades Installation</v>
      </c>
      <c r="G1295" s="34" t="s">
        <v>120</v>
      </c>
      <c r="H1295" s="34" t="s">
        <v>504</v>
      </c>
      <c r="I1295" s="35"/>
      <c r="J1295" s="21">
        <f ca="1">_xlfn.XLOOKUP(Master[[#This Row],[Checklist]],Ref!A:A,Ref!B:B)*1000</f>
        <v>121000</v>
      </c>
      <c r="K1295" s="21">
        <f ca="1">COUNTIF($J$2:Master[[#This Row],[ChecklistID]],Master[[#This Row],[ChecklistID]])-1</f>
        <v>4</v>
      </c>
      <c r="L1295" s="23" t="s">
        <v>6</v>
      </c>
    </row>
    <row r="1296" spans="1:12" ht="15.75">
      <c r="A1296" s="23">
        <f t="shared" si="20"/>
        <v>1295</v>
      </c>
      <c r="B1296" s="21">
        <f ca="1">Master[[#This Row],[ChecklistID]]+Master[[#This Row],[Checklist Order]]</f>
        <v>121005</v>
      </c>
      <c r="C1296" s="22"/>
      <c r="D1296" s="3" t="str" cm="1">
        <f t="array" aca="1" ref="D1296" ca="1">_xlfn.SWITCH(MID(Master[[#This Row],[Checklist]],1,4),"C - ","Civil","F - ","Foundation","ST -","Structure","FC -","Façade","PRE ","Pre-Line","POST","Post-Line","H - ","Handover","S - ","Services","CST ","Completion Docs", "I - ", "Inspection")</f>
        <v>Façade</v>
      </c>
      <c r="E12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6" s="24" t="str">
        <f ca="1">IF(OR(Master[[#This Row],[Type]]="checklist", Master[[#This Row],[Type]]="checklist-flat"), Master[[#This Row],[Name]], F1295)</f>
        <v>FC - S - Balustrades Installation</v>
      </c>
      <c r="G1296" s="34" t="s">
        <v>49</v>
      </c>
      <c r="H1296" s="34" t="s">
        <v>505</v>
      </c>
      <c r="I1296" s="35"/>
      <c r="J1296" s="21">
        <f ca="1">_xlfn.XLOOKUP(Master[[#This Row],[Checklist]],Ref!A:A,Ref!B:B)*1000</f>
        <v>121000</v>
      </c>
      <c r="K1296" s="21">
        <f ca="1">COUNTIF($J$2:Master[[#This Row],[ChecklistID]],Master[[#This Row],[ChecklistID]])-1</f>
        <v>5</v>
      </c>
      <c r="L1296" s="23" t="s">
        <v>6</v>
      </c>
    </row>
    <row r="1297" spans="1:12" ht="15.75">
      <c r="A1297" s="23">
        <f t="shared" si="20"/>
        <v>1296</v>
      </c>
      <c r="B1297" s="21">
        <f ca="1">Master[[#This Row],[ChecklistID]]+Master[[#This Row],[Checklist Order]]</f>
        <v>121006</v>
      </c>
      <c r="C1297" s="22"/>
      <c r="D1297" s="3" t="str" cm="1">
        <f t="array" aca="1" ref="D1297" ca="1">_xlfn.SWITCH(MID(Master[[#This Row],[Checklist]],1,4),"C - ","Civil","F - ","Foundation","ST -","Structure","FC -","Façade","PRE ","Pre-Line","POST","Post-Line","H - ","Handover","S - ","Services","CST ","Completion Docs", "I - ", "Inspection")</f>
        <v>Façade</v>
      </c>
      <c r="E12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7" s="24" t="str">
        <f ca="1">IF(OR(Master[[#This Row],[Type]]="checklist", Master[[#This Row],[Type]]="checklist-flat"), Master[[#This Row],[Name]], F1296)</f>
        <v>FC - S - Balustrades Installation</v>
      </c>
      <c r="G1297" s="34" t="s">
        <v>49</v>
      </c>
      <c r="H1297" s="34" t="s">
        <v>506</v>
      </c>
      <c r="I1297" s="35"/>
      <c r="J1297" s="21">
        <f ca="1">_xlfn.XLOOKUP(Master[[#This Row],[Checklist]],Ref!A:A,Ref!B:B)*1000</f>
        <v>121000</v>
      </c>
      <c r="K1297" s="21">
        <f ca="1">COUNTIF($J$2:Master[[#This Row],[ChecklistID]],Master[[#This Row],[ChecklistID]])-1</f>
        <v>6</v>
      </c>
      <c r="L1297" s="23" t="s">
        <v>6</v>
      </c>
    </row>
    <row r="1298" spans="1:12" ht="15.75">
      <c r="A1298" s="23">
        <f t="shared" si="20"/>
        <v>1297</v>
      </c>
      <c r="B1298" s="21">
        <f ca="1">Master[[#This Row],[ChecklistID]]+Master[[#This Row],[Checklist Order]]</f>
        <v>121007</v>
      </c>
      <c r="C1298" s="22"/>
      <c r="D1298" s="3" t="str" cm="1">
        <f t="array" aca="1" ref="D1298" ca="1">_xlfn.SWITCH(MID(Master[[#This Row],[Checklist]],1,4),"C - ","Civil","F - ","Foundation","ST -","Structure","FC -","Façade","PRE ","Pre-Line","POST","Post-Line","H - ","Handover","S - ","Services","CST ","Completion Docs", "I - ", "Inspection")</f>
        <v>Façade</v>
      </c>
      <c r="E12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8" s="24" t="str">
        <f ca="1">IF(OR(Master[[#This Row],[Type]]="checklist", Master[[#This Row],[Type]]="checklist-flat"), Master[[#This Row],[Name]], F1297)</f>
        <v>FC - S - Balustrades Installation</v>
      </c>
      <c r="G1298" s="34" t="s">
        <v>49</v>
      </c>
      <c r="H1298" s="34" t="s">
        <v>507</v>
      </c>
      <c r="I1298" s="35"/>
      <c r="J1298" s="21">
        <f ca="1">_xlfn.XLOOKUP(Master[[#This Row],[Checklist]],Ref!A:A,Ref!B:B)*1000</f>
        <v>121000</v>
      </c>
      <c r="K1298" s="21">
        <f ca="1">COUNTIF($J$2:Master[[#This Row],[ChecklistID]],Master[[#This Row],[ChecklistID]])-1</f>
        <v>7</v>
      </c>
      <c r="L1298" s="23" t="s">
        <v>6</v>
      </c>
    </row>
    <row r="1299" spans="1:12" ht="15.75">
      <c r="A1299" s="23">
        <f t="shared" si="20"/>
        <v>1298</v>
      </c>
      <c r="B1299" s="21">
        <f ca="1">Master[[#This Row],[ChecklistID]]+Master[[#This Row],[Checklist Order]]</f>
        <v>121008</v>
      </c>
      <c r="C1299" s="22"/>
      <c r="D1299" s="3" t="str" cm="1">
        <f t="array" aca="1" ref="D1299" ca="1">_xlfn.SWITCH(MID(Master[[#This Row],[Checklist]],1,4),"C - ","Civil","F - ","Foundation","ST -","Structure","FC -","Façade","PRE ","Pre-Line","POST","Post-Line","H - ","Handover","S - ","Services","CST ","Completion Docs", "I - ", "Inspection")</f>
        <v>Façade</v>
      </c>
      <c r="E12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299" s="24" t="str">
        <f ca="1">IF(OR(Master[[#This Row],[Type]]="checklist", Master[[#This Row],[Type]]="checklist-flat"), Master[[#This Row],[Name]], F1298)</f>
        <v>FC - S - Balustrades Installation</v>
      </c>
      <c r="G1299" s="34" t="s">
        <v>49</v>
      </c>
      <c r="H1299" s="34" t="s">
        <v>508</v>
      </c>
      <c r="I1299" s="35"/>
      <c r="J1299" s="21">
        <f ca="1">_xlfn.XLOOKUP(Master[[#This Row],[Checklist]],Ref!A:A,Ref!B:B)*1000</f>
        <v>121000</v>
      </c>
      <c r="K1299" s="21">
        <f ca="1">COUNTIF($J$2:Master[[#This Row],[ChecklistID]],Master[[#This Row],[ChecklistID]])-1</f>
        <v>8</v>
      </c>
      <c r="L1299" s="23" t="s">
        <v>6</v>
      </c>
    </row>
    <row r="1300" spans="1:12" ht="15.75">
      <c r="A1300" s="23">
        <f t="shared" si="20"/>
        <v>1299</v>
      </c>
      <c r="B1300" s="21">
        <f ca="1">Master[[#This Row],[ChecklistID]]+Master[[#This Row],[Checklist Order]]</f>
        <v>121009</v>
      </c>
      <c r="C1300" s="22"/>
      <c r="D1300" s="3" t="str" cm="1">
        <f t="array" aca="1" ref="D1300" ca="1">_xlfn.SWITCH(MID(Master[[#This Row],[Checklist]],1,4),"C - ","Civil","F - ","Foundation","ST -","Structure","FC -","Façade","PRE ","Pre-Line","POST","Post-Line","H - ","Handover","S - ","Services","CST ","Completion Docs", "I - ", "Inspection")</f>
        <v>Façade</v>
      </c>
      <c r="E13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0" s="24" t="str">
        <f ca="1">IF(OR(Master[[#This Row],[Type]]="checklist", Master[[#This Row],[Type]]="checklist-flat"), Master[[#This Row],[Name]], F1299)</f>
        <v>FC - S - Balustrades Installation</v>
      </c>
      <c r="G1300" s="34" t="s">
        <v>49</v>
      </c>
      <c r="H1300" s="34" t="s">
        <v>509</v>
      </c>
      <c r="I1300" s="35"/>
      <c r="J1300" s="21">
        <f ca="1">_xlfn.XLOOKUP(Master[[#This Row],[Checklist]],Ref!A:A,Ref!B:B)*1000</f>
        <v>121000</v>
      </c>
      <c r="K1300" s="21">
        <f ca="1">COUNTIF($J$2:Master[[#This Row],[ChecklistID]],Master[[#This Row],[ChecklistID]])-1</f>
        <v>9</v>
      </c>
      <c r="L1300" s="23" t="s">
        <v>6</v>
      </c>
    </row>
    <row r="1301" spans="1:12" ht="15.75">
      <c r="A1301" s="23">
        <f t="shared" si="20"/>
        <v>1300</v>
      </c>
      <c r="B1301" s="21">
        <f ca="1">Master[[#This Row],[ChecklistID]]+Master[[#This Row],[Checklist Order]]</f>
        <v>121010</v>
      </c>
      <c r="C1301" s="22"/>
      <c r="D1301" s="3" t="str" cm="1">
        <f t="array" aca="1" ref="D1301" ca="1">_xlfn.SWITCH(MID(Master[[#This Row],[Checklist]],1,4),"C - ","Civil","F - ","Foundation","ST -","Structure","FC -","Façade","PRE ","Pre-Line","POST","Post-Line","H - ","Handover","S - ","Services","CST ","Completion Docs", "I - ", "Inspection")</f>
        <v>Façade</v>
      </c>
      <c r="E13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1" s="24" t="str">
        <f ca="1">IF(OR(Master[[#This Row],[Type]]="checklist", Master[[#This Row],[Type]]="checklist-flat"), Master[[#This Row],[Name]], F1300)</f>
        <v>FC - S - Balustrades Installation</v>
      </c>
      <c r="G1301" s="34" t="s">
        <v>49</v>
      </c>
      <c r="H1301" s="34" t="s">
        <v>510</v>
      </c>
      <c r="I1301" s="35"/>
      <c r="J1301" s="21">
        <f ca="1">_xlfn.XLOOKUP(Master[[#This Row],[Checklist]],Ref!A:A,Ref!B:B)*1000</f>
        <v>121000</v>
      </c>
      <c r="K1301" s="21">
        <f ca="1">COUNTIF($J$2:Master[[#This Row],[ChecklistID]],Master[[#This Row],[ChecklistID]])-1</f>
        <v>10</v>
      </c>
      <c r="L1301" s="23" t="s">
        <v>6</v>
      </c>
    </row>
    <row r="1302" spans="1:12" ht="15.75">
      <c r="A1302" s="23">
        <f t="shared" si="20"/>
        <v>1301</v>
      </c>
      <c r="B1302" s="21">
        <f ca="1">Master[[#This Row],[ChecklistID]]+Master[[#This Row],[Checklist Order]]</f>
        <v>121011</v>
      </c>
      <c r="C1302" s="22"/>
      <c r="D1302" s="3" t="str" cm="1">
        <f t="array" aca="1" ref="D1302" ca="1">_xlfn.SWITCH(MID(Master[[#This Row],[Checklist]],1,4),"C - ","Civil","F - ","Foundation","ST -","Structure","FC -","Façade","PRE ","Pre-Line","POST","Post-Line","H - ","Handover","S - ","Services","CST ","Completion Docs", "I - ", "Inspection")</f>
        <v>Façade</v>
      </c>
      <c r="E13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2" s="24" t="str">
        <f ca="1">IF(OR(Master[[#This Row],[Type]]="checklist", Master[[#This Row],[Type]]="checklist-flat"), Master[[#This Row],[Name]], F1301)</f>
        <v>FC - S - Balustrades Installation</v>
      </c>
      <c r="G1302" s="34" t="s">
        <v>49</v>
      </c>
      <c r="H1302" s="34" t="s">
        <v>57</v>
      </c>
      <c r="I1302" s="35"/>
      <c r="J1302" s="21">
        <f ca="1">_xlfn.XLOOKUP(Master[[#This Row],[Checklist]],Ref!A:A,Ref!B:B)*1000</f>
        <v>121000</v>
      </c>
      <c r="K1302" s="21">
        <f ca="1">COUNTIF($J$2:Master[[#This Row],[ChecklistID]],Master[[#This Row],[ChecklistID]])-1</f>
        <v>11</v>
      </c>
      <c r="L1302" s="23" t="s">
        <v>6</v>
      </c>
    </row>
    <row r="1303" spans="1:12" ht="15.75">
      <c r="A1303" s="23">
        <f t="shared" si="20"/>
        <v>1302</v>
      </c>
      <c r="B1303" s="21">
        <f ca="1">Master[[#This Row],[ChecklistID]]+Master[[#This Row],[Checklist Order]]</f>
        <v>121012</v>
      </c>
      <c r="C1303" s="22"/>
      <c r="D1303" s="3" t="str" cm="1">
        <f t="array" aca="1" ref="D1303" ca="1">_xlfn.SWITCH(MID(Master[[#This Row],[Checklist]],1,4),"C - ","Civil","F - ","Foundation","ST -","Structure","FC -","Façade","PRE ","Pre-Line","POST","Post-Line","H - ","Handover","S - ","Services","CST ","Completion Docs", "I - ", "Inspection")</f>
        <v>Façade</v>
      </c>
      <c r="E13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3" s="24" t="str">
        <f ca="1">IF(OR(Master[[#This Row],[Type]]="checklist", Master[[#This Row],[Type]]="checklist-flat"), Master[[#This Row],[Name]], F1302)</f>
        <v>FC - S - Balustrades Installation</v>
      </c>
      <c r="G1303" s="34" t="s">
        <v>58</v>
      </c>
      <c r="H1303" s="34" t="s">
        <v>59</v>
      </c>
      <c r="I1303" s="35"/>
      <c r="J1303" s="21">
        <f ca="1">_xlfn.XLOOKUP(Master[[#This Row],[Checklist]],Ref!A:A,Ref!B:B)*1000</f>
        <v>121000</v>
      </c>
      <c r="K1303" s="21">
        <f ca="1">COUNTIF($J$2:Master[[#This Row],[ChecklistID]],Master[[#This Row],[ChecklistID]])-1</f>
        <v>12</v>
      </c>
      <c r="L1303" s="23" t="s">
        <v>6</v>
      </c>
    </row>
    <row r="1304" spans="1:12" ht="15.75">
      <c r="A1304" s="23">
        <f t="shared" si="20"/>
        <v>1303</v>
      </c>
      <c r="B1304" s="21">
        <f ca="1">Master[[#This Row],[ChecklistID]]+Master[[#This Row],[Checklist Order]]</f>
        <v>122000</v>
      </c>
      <c r="C1304" s="22"/>
      <c r="D1304" s="3" t="str" cm="1">
        <f t="array" aca="1" ref="D1304" ca="1">_xlfn.SWITCH(MID(Master[[#This Row],[Checklist]],1,4),"C - ","Civil","F - ","Foundation","ST -","Structure","FC -","Façade","PRE ","Pre-Line","POST","Post-Line","H - ","Handover","S - ","Services","CST ","Completion Docs", "I - ", "Inspection")</f>
        <v>Façade</v>
      </c>
      <c r="E13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4" s="24" t="str">
        <f ca="1">IF(OR(Master[[#This Row],[Type]]="checklist", Master[[#This Row],[Type]]="checklist-flat"), Master[[#This Row],[Name]], F1303)</f>
        <v>FC - S - Exterior Tiling</v>
      </c>
      <c r="G1304" s="34" t="s">
        <v>119</v>
      </c>
      <c r="H1304" s="34" t="s">
        <v>511</v>
      </c>
      <c r="I1304" s="35"/>
      <c r="J1304" s="21">
        <f ca="1">_xlfn.XLOOKUP(Master[[#This Row],[Checklist]],Ref!A:A,Ref!B:B)*1000</f>
        <v>122000</v>
      </c>
      <c r="K1304" s="21">
        <f ca="1">COUNTIF($J$2:Master[[#This Row],[ChecklistID]],Master[[#This Row],[ChecklistID]])-1</f>
        <v>0</v>
      </c>
      <c r="L1304" s="23" t="s">
        <v>6</v>
      </c>
    </row>
    <row r="1305" spans="1:12" ht="15.75">
      <c r="A1305" s="23">
        <f t="shared" si="20"/>
        <v>1304</v>
      </c>
      <c r="B1305" s="21">
        <f ca="1">Master[[#This Row],[ChecklistID]]+Master[[#This Row],[Checklist Order]]</f>
        <v>122001</v>
      </c>
      <c r="C1305" s="22"/>
      <c r="D1305" s="3" t="str" cm="1">
        <f t="array" aca="1" ref="D1305" ca="1">_xlfn.SWITCH(MID(Master[[#This Row],[Checklist]],1,4),"C - ","Civil","F - ","Foundation","ST -","Structure","FC -","Façade","PRE ","Pre-Line","POST","Post-Line","H - ","Handover","S - ","Services","CST ","Completion Docs", "I - ", "Inspection")</f>
        <v>Façade</v>
      </c>
      <c r="E13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5" s="24" t="str">
        <f ca="1">IF(OR(Master[[#This Row],[Type]]="checklist", Master[[#This Row],[Type]]="checklist-flat"), Master[[#This Row],[Name]], F1304)</f>
        <v>FC - S - Exterior Tiling</v>
      </c>
      <c r="G1305" s="34" t="s">
        <v>49</v>
      </c>
      <c r="H1305" s="34" t="s">
        <v>1698</v>
      </c>
      <c r="I1305" s="35"/>
      <c r="J1305" s="21">
        <f ca="1">_xlfn.XLOOKUP(Master[[#This Row],[Checklist]],Ref!A:A,Ref!B:B)*1000</f>
        <v>122000</v>
      </c>
      <c r="K1305" s="21">
        <f ca="1">COUNTIF($J$2:Master[[#This Row],[ChecklistID]],Master[[#This Row],[ChecklistID]])-1</f>
        <v>1</v>
      </c>
      <c r="L1305" s="23" t="s">
        <v>6</v>
      </c>
    </row>
    <row r="1306" spans="1:12" ht="15.75">
      <c r="A1306" s="23">
        <f t="shared" si="20"/>
        <v>1305</v>
      </c>
      <c r="B1306" s="21">
        <f ca="1">Master[[#This Row],[ChecklistID]]+Master[[#This Row],[Checklist Order]]</f>
        <v>122002</v>
      </c>
      <c r="C1306" s="22"/>
      <c r="D1306" s="3" t="str" cm="1">
        <f t="array" aca="1" ref="D1306" ca="1">_xlfn.SWITCH(MID(Master[[#This Row],[Checklist]],1,4),"C - ","Civil","F - ","Foundation","ST -","Structure","FC -","Façade","PRE ","Pre-Line","POST","Post-Line","H - ","Handover","S - ","Services","CST ","Completion Docs", "I - ", "Inspection")</f>
        <v>Façade</v>
      </c>
      <c r="E13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6" s="24" t="str">
        <f ca="1">IF(OR(Master[[#This Row],[Type]]="checklist", Master[[#This Row],[Type]]="checklist-flat"), Master[[#This Row],[Name]], F1305)</f>
        <v>FC - S - Exterior Tiling</v>
      </c>
      <c r="G1306" s="34" t="s">
        <v>49</v>
      </c>
      <c r="H1306" s="34" t="s">
        <v>1699</v>
      </c>
      <c r="I1306" s="35"/>
      <c r="J1306" s="21">
        <f ca="1">_xlfn.XLOOKUP(Master[[#This Row],[Checklist]],Ref!A:A,Ref!B:B)*1000</f>
        <v>122000</v>
      </c>
      <c r="K1306" s="21">
        <f ca="1">COUNTIF($J$2:Master[[#This Row],[ChecklistID]],Master[[#This Row],[ChecklistID]])-1</f>
        <v>2</v>
      </c>
      <c r="L1306" s="23" t="s">
        <v>6</v>
      </c>
    </row>
    <row r="1307" spans="1:12" ht="15.75">
      <c r="A1307" s="23">
        <f t="shared" si="20"/>
        <v>1306</v>
      </c>
      <c r="B1307" s="21">
        <f ca="1">Master[[#This Row],[ChecklistID]]+Master[[#This Row],[Checklist Order]]</f>
        <v>122003</v>
      </c>
      <c r="C1307" s="22"/>
      <c r="D1307" s="3" t="str" cm="1">
        <f t="array" aca="1" ref="D1307" ca="1">_xlfn.SWITCH(MID(Master[[#This Row],[Checklist]],1,4),"C - ","Civil","F - ","Foundation","ST -","Structure","FC -","Façade","PRE ","Pre-Line","POST","Post-Line","H - ","Handover","S - ","Services","CST ","Completion Docs", "I - ", "Inspection")</f>
        <v>Façade</v>
      </c>
      <c r="E13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7" s="24" t="str">
        <f ca="1">IF(OR(Master[[#This Row],[Type]]="checklist", Master[[#This Row],[Type]]="checklist-flat"), Master[[#This Row],[Name]], F1306)</f>
        <v>FC - S - Exterior Tiling</v>
      </c>
      <c r="G1307" s="34" t="s">
        <v>49</v>
      </c>
      <c r="H1307" s="34" t="s">
        <v>514</v>
      </c>
      <c r="I1307" s="35"/>
      <c r="J1307" s="21">
        <f ca="1">_xlfn.XLOOKUP(Master[[#This Row],[Checklist]],Ref!A:A,Ref!B:B)*1000</f>
        <v>122000</v>
      </c>
      <c r="K1307" s="21">
        <f ca="1">COUNTIF($J$2:Master[[#This Row],[ChecklistID]],Master[[#This Row],[ChecklistID]])-1</f>
        <v>3</v>
      </c>
      <c r="L1307" s="23" t="s">
        <v>6</v>
      </c>
    </row>
    <row r="1308" spans="1:12" ht="15.75">
      <c r="A1308" s="23">
        <f t="shared" si="20"/>
        <v>1307</v>
      </c>
      <c r="B1308" s="21">
        <f ca="1">Master[[#This Row],[ChecklistID]]+Master[[#This Row],[Checklist Order]]</f>
        <v>122004</v>
      </c>
      <c r="C1308" s="22"/>
      <c r="D1308" s="3" t="str" cm="1">
        <f t="array" aca="1" ref="D1308" ca="1">_xlfn.SWITCH(MID(Master[[#This Row],[Checklist]],1,4),"C - ","Civil","F - ","Foundation","ST -","Structure","FC -","Façade","PRE ","Pre-Line","POST","Post-Line","H - ","Handover","S - ","Services","CST ","Completion Docs", "I - ", "Inspection")</f>
        <v>Façade</v>
      </c>
      <c r="E13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8" s="24" t="str">
        <f ca="1">IF(OR(Master[[#This Row],[Type]]="checklist", Master[[#This Row],[Type]]="checklist-flat"), Master[[#This Row],[Name]], F1307)</f>
        <v>FC - S - Exterior Tiling</v>
      </c>
      <c r="G1308" s="34" t="s">
        <v>49</v>
      </c>
      <c r="H1308" s="34" t="s">
        <v>515</v>
      </c>
      <c r="I1308" s="35"/>
      <c r="J1308" s="21">
        <f ca="1">_xlfn.XLOOKUP(Master[[#This Row],[Checklist]],Ref!A:A,Ref!B:B)*1000</f>
        <v>122000</v>
      </c>
      <c r="K1308" s="21">
        <f ca="1">COUNTIF($J$2:Master[[#This Row],[ChecklistID]],Master[[#This Row],[ChecklistID]])-1</f>
        <v>4</v>
      </c>
      <c r="L1308" s="23" t="s">
        <v>6</v>
      </c>
    </row>
    <row r="1309" spans="1:12" ht="15.75">
      <c r="A1309" s="23">
        <f t="shared" si="20"/>
        <v>1308</v>
      </c>
      <c r="B1309" s="21">
        <f ca="1">Master[[#This Row],[ChecklistID]]+Master[[#This Row],[Checklist Order]]</f>
        <v>122005</v>
      </c>
      <c r="C1309" s="22"/>
      <c r="D1309" s="3" t="str" cm="1">
        <f t="array" aca="1" ref="D1309" ca="1">_xlfn.SWITCH(MID(Master[[#This Row],[Checklist]],1,4),"C - ","Civil","F - ","Foundation","ST -","Structure","FC -","Façade","PRE ","Pre-Line","POST","Post-Line","H - ","Handover","S - ","Services","CST ","Completion Docs", "I - ", "Inspection")</f>
        <v>Façade</v>
      </c>
      <c r="E13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09" s="24" t="str">
        <f ca="1">IF(OR(Master[[#This Row],[Type]]="checklist", Master[[#This Row],[Type]]="checklist-flat"), Master[[#This Row],[Name]], F1308)</f>
        <v>FC - S - Exterior Tiling</v>
      </c>
      <c r="G1309" s="34" t="s">
        <v>49</v>
      </c>
      <c r="H1309" s="34" t="s">
        <v>57</v>
      </c>
      <c r="I1309" s="35"/>
      <c r="J1309" s="21">
        <f ca="1">_xlfn.XLOOKUP(Master[[#This Row],[Checklist]],Ref!A:A,Ref!B:B)*1000</f>
        <v>122000</v>
      </c>
      <c r="K1309" s="21">
        <f ca="1">COUNTIF($J$2:Master[[#This Row],[ChecklistID]],Master[[#This Row],[ChecklistID]])-1</f>
        <v>5</v>
      </c>
      <c r="L1309" s="23" t="s">
        <v>6</v>
      </c>
    </row>
    <row r="1310" spans="1:12" ht="15.75">
      <c r="A1310" s="23">
        <f t="shared" si="20"/>
        <v>1309</v>
      </c>
      <c r="B1310" s="21">
        <f ca="1">Master[[#This Row],[ChecklistID]]+Master[[#This Row],[Checklist Order]]</f>
        <v>122006</v>
      </c>
      <c r="C1310" s="22"/>
      <c r="D1310" s="3" t="str" cm="1">
        <f t="array" aca="1" ref="D1310" ca="1">_xlfn.SWITCH(MID(Master[[#This Row],[Checklist]],1,4),"C - ","Civil","F - ","Foundation","ST -","Structure","FC -","Façade","PRE ","Pre-Line","POST","Post-Line","H - ","Handover","S - ","Services","CST ","Completion Docs", "I - ", "Inspection")</f>
        <v>Façade</v>
      </c>
      <c r="E13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0" s="24" t="str">
        <f ca="1">IF(OR(Master[[#This Row],[Type]]="checklist", Master[[#This Row],[Type]]="checklist-flat"), Master[[#This Row],[Name]], F1309)</f>
        <v>FC - S - Exterior Tiling</v>
      </c>
      <c r="G1310" s="34" t="s">
        <v>58</v>
      </c>
      <c r="H1310" s="34" t="s">
        <v>59</v>
      </c>
      <c r="I1310" s="35"/>
      <c r="J1310" s="21">
        <f ca="1">_xlfn.XLOOKUP(Master[[#This Row],[Checklist]],Ref!A:A,Ref!B:B)*1000</f>
        <v>122000</v>
      </c>
      <c r="K1310" s="21">
        <f ca="1">COUNTIF($J$2:Master[[#This Row],[ChecklistID]],Master[[#This Row],[ChecklistID]])-1</f>
        <v>6</v>
      </c>
      <c r="L1310" s="23" t="s">
        <v>6</v>
      </c>
    </row>
    <row r="1311" spans="1:12" ht="15.75">
      <c r="A1311" s="23">
        <f t="shared" si="20"/>
        <v>1310</v>
      </c>
      <c r="B1311" s="21">
        <f ca="1">Master[[#This Row],[ChecklistID]]+Master[[#This Row],[Checklist Order]]</f>
        <v>123000</v>
      </c>
      <c r="C1311" s="22"/>
      <c r="D1311" s="3" t="str" cm="1">
        <f t="array" aca="1" ref="D1311" ca="1">_xlfn.SWITCH(MID(Master[[#This Row],[Checklist]],1,4),"C - ","Civil","F - ","Foundation","ST -","Structure","FC -","Façade","PRE ","Pre-Line","POST","Post-Line","H - ","Handover","S - ","Services","CST ","Completion Docs", "I - ", "Inspection")</f>
        <v>Façade</v>
      </c>
      <c r="E13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1" s="24" t="str">
        <f ca="1">IF(OR(Master[[#This Row],[Type]]="checklist", Master[[#This Row],[Type]]="checklist-flat"), Master[[#This Row],[Name]], F1310)</f>
        <v xml:space="preserve">FC - S - Flashing installation </v>
      </c>
      <c r="G1311" s="34" t="s">
        <v>119</v>
      </c>
      <c r="H1311" s="34" t="s">
        <v>516</v>
      </c>
      <c r="I1311" s="35"/>
      <c r="J1311" s="21">
        <f ca="1">_xlfn.XLOOKUP(Master[[#This Row],[Checklist]],Ref!A:A,Ref!B:B)*1000</f>
        <v>123000</v>
      </c>
      <c r="K1311" s="21">
        <f ca="1">COUNTIF($J$2:Master[[#This Row],[ChecklistID]],Master[[#This Row],[ChecklistID]])-1</f>
        <v>0</v>
      </c>
      <c r="L1311" s="23" t="s">
        <v>6</v>
      </c>
    </row>
    <row r="1312" spans="1:12" ht="15.75">
      <c r="A1312" s="23">
        <f t="shared" si="20"/>
        <v>1311</v>
      </c>
      <c r="B1312" s="21">
        <f ca="1">Master[[#This Row],[ChecklistID]]+Master[[#This Row],[Checklist Order]]</f>
        <v>123001</v>
      </c>
      <c r="C1312" s="22"/>
      <c r="D1312" s="3" t="str" cm="1">
        <f t="array" aca="1" ref="D1312" ca="1">_xlfn.SWITCH(MID(Master[[#This Row],[Checklist]],1,4),"C - ","Civil","F - ","Foundation","ST -","Structure","FC -","Façade","PRE ","Pre-Line","POST","Post-Line","H - ","Handover","S - ","Services","CST ","Completion Docs", "I - ", "Inspection")</f>
        <v>Façade</v>
      </c>
      <c r="E13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2" s="24" t="str">
        <f ca="1">IF(OR(Master[[#This Row],[Type]]="checklist", Master[[#This Row],[Type]]="checklist-flat"), Master[[#This Row],[Name]], F1311)</f>
        <v xml:space="preserve">FC - S - Flashing installation </v>
      </c>
      <c r="G1312" s="34" t="s">
        <v>49</v>
      </c>
      <c r="H1312" s="34" t="s">
        <v>517</v>
      </c>
      <c r="I1312" s="35"/>
      <c r="J1312" s="21">
        <f ca="1">_xlfn.XLOOKUP(Master[[#This Row],[Checklist]],Ref!A:A,Ref!B:B)*1000</f>
        <v>123000</v>
      </c>
      <c r="K1312" s="21">
        <f ca="1">COUNTIF($J$2:Master[[#This Row],[ChecklistID]],Master[[#This Row],[ChecklistID]])-1</f>
        <v>1</v>
      </c>
      <c r="L1312" s="23" t="s">
        <v>6</v>
      </c>
    </row>
    <row r="1313" spans="1:12" ht="15.75">
      <c r="A1313" s="23">
        <f t="shared" si="20"/>
        <v>1312</v>
      </c>
      <c r="B1313" s="21">
        <f ca="1">Master[[#This Row],[ChecklistID]]+Master[[#This Row],[Checklist Order]]</f>
        <v>123002</v>
      </c>
      <c r="C1313" s="22"/>
      <c r="D1313" s="3" t="str" cm="1">
        <f t="array" aca="1" ref="D1313" ca="1">_xlfn.SWITCH(MID(Master[[#This Row],[Checklist]],1,4),"C - ","Civil","F - ","Foundation","ST -","Structure","FC -","Façade","PRE ","Pre-Line","POST","Post-Line","H - ","Handover","S - ","Services","CST ","Completion Docs", "I - ", "Inspection")</f>
        <v>Façade</v>
      </c>
      <c r="E13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3" s="24" t="str">
        <f ca="1">IF(OR(Master[[#This Row],[Type]]="checklist", Master[[#This Row],[Type]]="checklist-flat"), Master[[#This Row],[Name]], F1312)</f>
        <v xml:space="preserve">FC - S - Flashing installation </v>
      </c>
      <c r="G1313" s="34" t="s">
        <v>49</v>
      </c>
      <c r="H1313" s="34" t="s">
        <v>518</v>
      </c>
      <c r="I1313" s="35"/>
      <c r="J1313" s="21">
        <f ca="1">_xlfn.XLOOKUP(Master[[#This Row],[Checklist]],Ref!A:A,Ref!B:B)*1000</f>
        <v>123000</v>
      </c>
      <c r="K1313" s="21">
        <f ca="1">COUNTIF($J$2:Master[[#This Row],[ChecklistID]],Master[[#This Row],[ChecklistID]])-1</f>
        <v>2</v>
      </c>
      <c r="L1313" s="23" t="s">
        <v>6</v>
      </c>
    </row>
    <row r="1314" spans="1:12" ht="15.75">
      <c r="A1314" s="23">
        <f t="shared" si="20"/>
        <v>1313</v>
      </c>
      <c r="B1314" s="21">
        <f ca="1">Master[[#This Row],[ChecklistID]]+Master[[#This Row],[Checklist Order]]</f>
        <v>123003</v>
      </c>
      <c r="C1314" s="22"/>
      <c r="D1314" s="3" t="str" cm="1">
        <f t="array" aca="1" ref="D1314" ca="1">_xlfn.SWITCH(MID(Master[[#This Row],[Checklist]],1,4),"C - ","Civil","F - ","Foundation","ST -","Structure","FC -","Façade","PRE ","Pre-Line","POST","Post-Line","H - ","Handover","S - ","Services","CST ","Completion Docs", "I - ", "Inspection")</f>
        <v>Façade</v>
      </c>
      <c r="E13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4" s="24" t="str">
        <f ca="1">IF(OR(Master[[#This Row],[Type]]="checklist", Master[[#This Row],[Type]]="checklist-flat"), Master[[#This Row],[Name]], F1313)</f>
        <v xml:space="preserve">FC - S - Flashing installation </v>
      </c>
      <c r="G1314" s="34" t="s">
        <v>49</v>
      </c>
      <c r="H1314" s="34" t="s">
        <v>519</v>
      </c>
      <c r="I1314" s="35"/>
      <c r="J1314" s="21">
        <f ca="1">_xlfn.XLOOKUP(Master[[#This Row],[Checklist]],Ref!A:A,Ref!B:B)*1000</f>
        <v>123000</v>
      </c>
      <c r="K1314" s="21">
        <f ca="1">COUNTIF($J$2:Master[[#This Row],[ChecklistID]],Master[[#This Row],[ChecklistID]])-1</f>
        <v>3</v>
      </c>
      <c r="L1314" s="23" t="s">
        <v>6</v>
      </c>
    </row>
    <row r="1315" spans="1:12" ht="15.75">
      <c r="A1315" s="23">
        <f t="shared" si="20"/>
        <v>1314</v>
      </c>
      <c r="B1315" s="21">
        <f ca="1">Master[[#This Row],[ChecklistID]]+Master[[#This Row],[Checklist Order]]</f>
        <v>123004</v>
      </c>
      <c r="C1315" s="22"/>
      <c r="D1315" s="3" t="str" cm="1">
        <f t="array" aca="1" ref="D1315" ca="1">_xlfn.SWITCH(MID(Master[[#This Row],[Checklist]],1,4),"C - ","Civil","F - ","Foundation","ST -","Structure","FC -","Façade","PRE ","Pre-Line","POST","Post-Line","H - ","Handover","S - ","Services","CST ","Completion Docs", "I - ", "Inspection")</f>
        <v>Façade</v>
      </c>
      <c r="E13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5" s="24" t="str">
        <f ca="1">IF(OR(Master[[#This Row],[Type]]="checklist", Master[[#This Row],[Type]]="checklist-flat"), Master[[#This Row],[Name]], F1314)</f>
        <v xml:space="preserve">FC - S - Flashing installation </v>
      </c>
      <c r="G1315" s="34" t="s">
        <v>49</v>
      </c>
      <c r="H1315" s="34" t="s">
        <v>520</v>
      </c>
      <c r="I1315" s="35"/>
      <c r="J1315" s="21">
        <f ca="1">_xlfn.XLOOKUP(Master[[#This Row],[Checklist]],Ref!A:A,Ref!B:B)*1000</f>
        <v>123000</v>
      </c>
      <c r="K1315" s="21">
        <f ca="1">COUNTIF($J$2:Master[[#This Row],[ChecklistID]],Master[[#This Row],[ChecklistID]])-1</f>
        <v>4</v>
      </c>
      <c r="L1315" s="23" t="s">
        <v>6</v>
      </c>
    </row>
    <row r="1316" spans="1:12" ht="15.75">
      <c r="A1316" s="23">
        <f t="shared" si="20"/>
        <v>1315</v>
      </c>
      <c r="B1316" s="21">
        <f ca="1">Master[[#This Row],[ChecklistID]]+Master[[#This Row],[Checklist Order]]</f>
        <v>123005</v>
      </c>
      <c r="C1316" s="22"/>
      <c r="D1316" s="3" t="str" cm="1">
        <f t="array" aca="1" ref="D1316" ca="1">_xlfn.SWITCH(MID(Master[[#This Row],[Checklist]],1,4),"C - ","Civil","F - ","Foundation","ST -","Structure","FC -","Façade","PRE ","Pre-Line","POST","Post-Line","H - ","Handover","S - ","Services","CST ","Completion Docs", "I - ", "Inspection")</f>
        <v>Façade</v>
      </c>
      <c r="E13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6" s="24" t="str">
        <f ca="1">IF(OR(Master[[#This Row],[Type]]="checklist", Master[[#This Row],[Type]]="checklist-flat"), Master[[#This Row],[Name]], F1315)</f>
        <v xml:space="preserve">FC - S - Flashing installation </v>
      </c>
      <c r="G1316" s="34" t="s">
        <v>49</v>
      </c>
      <c r="H1316" s="34" t="s">
        <v>521</v>
      </c>
      <c r="I1316" s="35"/>
      <c r="J1316" s="21">
        <f ca="1">_xlfn.XLOOKUP(Master[[#This Row],[Checklist]],Ref!A:A,Ref!B:B)*1000</f>
        <v>123000</v>
      </c>
      <c r="K1316" s="21">
        <f ca="1">COUNTIF($J$2:Master[[#This Row],[ChecklistID]],Master[[#This Row],[ChecklistID]])-1</f>
        <v>5</v>
      </c>
      <c r="L1316" s="23" t="s">
        <v>6</v>
      </c>
    </row>
    <row r="1317" spans="1:12" ht="15.75">
      <c r="A1317" s="23">
        <f t="shared" si="20"/>
        <v>1316</v>
      </c>
      <c r="B1317" s="21">
        <f ca="1">Master[[#This Row],[ChecklistID]]+Master[[#This Row],[Checklist Order]]</f>
        <v>123006</v>
      </c>
      <c r="C1317" s="22"/>
      <c r="D1317" s="3" t="str" cm="1">
        <f t="array" aca="1" ref="D1317" ca="1">_xlfn.SWITCH(MID(Master[[#This Row],[Checklist]],1,4),"C - ","Civil","F - ","Foundation","ST -","Structure","FC -","Façade","PRE ","Pre-Line","POST","Post-Line","H - ","Handover","S - ","Services","CST ","Completion Docs", "I - ", "Inspection")</f>
        <v>Façade</v>
      </c>
      <c r="E13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7" s="24" t="str">
        <f ca="1">IF(OR(Master[[#This Row],[Type]]="checklist", Master[[#This Row],[Type]]="checklist-flat"), Master[[#This Row],[Name]], F1316)</f>
        <v xml:space="preserve">FC - S - Flashing installation </v>
      </c>
      <c r="G1317" s="34" t="s">
        <v>49</v>
      </c>
      <c r="H1317" s="34" t="s">
        <v>57</v>
      </c>
      <c r="I1317" s="35"/>
      <c r="J1317" s="21">
        <f ca="1">_xlfn.XLOOKUP(Master[[#This Row],[Checklist]],Ref!A:A,Ref!B:B)*1000</f>
        <v>123000</v>
      </c>
      <c r="K1317" s="21">
        <f ca="1">COUNTIF($J$2:Master[[#This Row],[ChecklistID]],Master[[#This Row],[ChecklistID]])-1</f>
        <v>6</v>
      </c>
      <c r="L1317" s="23" t="s">
        <v>6</v>
      </c>
    </row>
    <row r="1318" spans="1:12" ht="15.75">
      <c r="A1318" s="23">
        <f t="shared" si="20"/>
        <v>1317</v>
      </c>
      <c r="B1318" s="21">
        <f ca="1">Master[[#This Row],[ChecklistID]]+Master[[#This Row],[Checklist Order]]</f>
        <v>123007</v>
      </c>
      <c r="C1318" s="22"/>
      <c r="D1318" s="3" t="str" cm="1">
        <f t="array" aca="1" ref="D1318" ca="1">_xlfn.SWITCH(MID(Master[[#This Row],[Checklist]],1,4),"C - ","Civil","F - ","Foundation","ST -","Structure","FC -","Façade","PRE ","Pre-Line","POST","Post-Line","H - ","Handover","S - ","Services","CST ","Completion Docs", "I - ", "Inspection")</f>
        <v>Façade</v>
      </c>
      <c r="E13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8" s="24" t="str">
        <f ca="1">IF(OR(Master[[#This Row],[Type]]="checklist", Master[[#This Row],[Type]]="checklist-flat"), Master[[#This Row],[Name]], F1317)</f>
        <v xml:space="preserve">FC - S - Flashing installation </v>
      </c>
      <c r="G1318" s="34" t="s">
        <v>58</v>
      </c>
      <c r="H1318" s="34" t="s">
        <v>59</v>
      </c>
      <c r="I1318" s="35"/>
      <c r="J1318" s="21">
        <f ca="1">_xlfn.XLOOKUP(Master[[#This Row],[Checklist]],Ref!A:A,Ref!B:B)*1000</f>
        <v>123000</v>
      </c>
      <c r="K1318" s="21">
        <f ca="1">COUNTIF($J$2:Master[[#This Row],[ChecklistID]],Master[[#This Row],[ChecklistID]])-1</f>
        <v>7</v>
      </c>
      <c r="L1318" s="23" t="s">
        <v>6</v>
      </c>
    </row>
    <row r="1319" spans="1:12" ht="15.75">
      <c r="A1319" s="23">
        <f t="shared" si="20"/>
        <v>1318</v>
      </c>
      <c r="B1319" s="21">
        <f ca="1">Master[[#This Row],[ChecklistID]]+Master[[#This Row],[Checklist Order]]</f>
        <v>124000</v>
      </c>
      <c r="C1319" s="22"/>
      <c r="D1319" s="3" t="str" cm="1">
        <f t="array" aca="1" ref="D1319" ca="1">_xlfn.SWITCH(MID(Master[[#This Row],[Checklist]],1,4),"C - ","Civil","F - ","Foundation","ST -","Structure","FC -","Façade","PRE ","Pre-Line","POST","Post-Line","H - ","Handover","S - ","Services","CST ","Completion Docs", "I - ", "Inspection")</f>
        <v>Façade</v>
      </c>
      <c r="E13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19" s="24" t="str">
        <f ca="1">IF(OR(Master[[#This Row],[Type]]="checklist", Master[[#This Row],[Type]]="checklist-flat"), Master[[#This Row],[Name]], F1318)</f>
        <v>FC - S - Brick Works</v>
      </c>
      <c r="G1319" s="34" t="s">
        <v>119</v>
      </c>
      <c r="H1319" s="34" t="s">
        <v>522</v>
      </c>
      <c r="I1319" s="35"/>
      <c r="J1319" s="21">
        <f ca="1">_xlfn.XLOOKUP(Master[[#This Row],[Checklist]],Ref!A:A,Ref!B:B)*1000</f>
        <v>124000</v>
      </c>
      <c r="K1319" s="21">
        <f ca="1">COUNTIF($J$2:Master[[#This Row],[ChecklistID]],Master[[#This Row],[ChecklistID]])-1</f>
        <v>0</v>
      </c>
      <c r="L1319" s="23" t="s">
        <v>6</v>
      </c>
    </row>
    <row r="1320" spans="1:12" ht="15.75">
      <c r="A1320" s="23">
        <f t="shared" si="20"/>
        <v>1319</v>
      </c>
      <c r="B1320" s="21">
        <f ca="1">Master[[#This Row],[ChecklistID]]+Master[[#This Row],[Checklist Order]]</f>
        <v>124001</v>
      </c>
      <c r="C1320" s="22"/>
      <c r="D1320" s="3" t="str" cm="1">
        <f t="array" aca="1" ref="D1320" ca="1">_xlfn.SWITCH(MID(Master[[#This Row],[Checklist]],1,4),"C - ","Civil","F - ","Foundation","ST -","Structure","FC -","Façade","PRE ","Pre-Line","POST","Post-Line","H - ","Handover","S - ","Services","CST ","Completion Docs", "I - ", "Inspection")</f>
        <v>Façade</v>
      </c>
      <c r="E13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0" s="24" t="str">
        <f ca="1">IF(OR(Master[[#This Row],[Type]]="checklist", Master[[#This Row],[Type]]="checklist-flat"), Master[[#This Row],[Name]], F1319)</f>
        <v>FC - S - Brick Works</v>
      </c>
      <c r="G1320" s="34" t="s">
        <v>523</v>
      </c>
      <c r="H1320" s="34" t="s">
        <v>524</v>
      </c>
      <c r="I1320" s="35"/>
      <c r="J1320" s="21">
        <f ca="1">_xlfn.XLOOKUP(Master[[#This Row],[Checklist]],Ref!A:A,Ref!B:B)*1000</f>
        <v>124000</v>
      </c>
      <c r="K1320" s="21">
        <f ca="1">COUNTIF($J$2:Master[[#This Row],[ChecklistID]],Master[[#This Row],[ChecklistID]])-1</f>
        <v>1</v>
      </c>
      <c r="L1320" s="23" t="s">
        <v>6</v>
      </c>
    </row>
    <row r="1321" spans="1:12" ht="15.75">
      <c r="A1321" s="23">
        <f t="shared" si="20"/>
        <v>1320</v>
      </c>
      <c r="B1321" s="21">
        <f ca="1">Master[[#This Row],[ChecklistID]]+Master[[#This Row],[Checklist Order]]</f>
        <v>124002</v>
      </c>
      <c r="C1321" s="22"/>
      <c r="D1321" s="3" t="str" cm="1">
        <f t="array" aca="1" ref="D1321" ca="1">_xlfn.SWITCH(MID(Master[[#This Row],[Checklist]],1,4),"C - ","Civil","F - ","Foundation","ST -","Structure","FC -","Façade","PRE ","Pre-Line","POST","Post-Line","H - ","Handover","S - ","Services","CST ","Completion Docs", "I - ", "Inspection")</f>
        <v>Façade</v>
      </c>
      <c r="E13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1" s="24" t="str">
        <f ca="1">IF(OR(Master[[#This Row],[Type]]="checklist", Master[[#This Row],[Type]]="checklist-flat"), Master[[#This Row],[Name]], F1320)</f>
        <v>FC - S - Brick Works</v>
      </c>
      <c r="G1321" s="34" t="s">
        <v>49</v>
      </c>
      <c r="H1321" s="34" t="s">
        <v>525</v>
      </c>
      <c r="I1321" s="35"/>
      <c r="J1321" s="21">
        <f ca="1">_xlfn.XLOOKUP(Master[[#This Row],[Checklist]],Ref!A:A,Ref!B:B)*1000</f>
        <v>124000</v>
      </c>
      <c r="K1321" s="21">
        <f ca="1">COUNTIF($J$2:Master[[#This Row],[ChecklistID]],Master[[#This Row],[ChecklistID]])-1</f>
        <v>2</v>
      </c>
      <c r="L1321" s="23" t="s">
        <v>6</v>
      </c>
    </row>
    <row r="1322" spans="1:12" ht="15.75">
      <c r="A1322" s="23">
        <f t="shared" ref="A1322:A1385" si="21">IFERROR(A1321+1,1)</f>
        <v>1321</v>
      </c>
      <c r="B1322" s="21">
        <f ca="1">Master[[#This Row],[ChecklistID]]+Master[[#This Row],[Checklist Order]]</f>
        <v>124003</v>
      </c>
      <c r="C1322" s="22"/>
      <c r="D1322" s="3" t="str" cm="1">
        <f t="array" aca="1" ref="D1322" ca="1">_xlfn.SWITCH(MID(Master[[#This Row],[Checklist]],1,4),"C - ","Civil","F - ","Foundation","ST -","Structure","FC -","Façade","PRE ","Pre-Line","POST","Post-Line","H - ","Handover","S - ","Services","CST ","Completion Docs", "I - ", "Inspection")</f>
        <v>Façade</v>
      </c>
      <c r="E13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2" s="24" t="str">
        <f ca="1">IF(OR(Master[[#This Row],[Type]]="checklist", Master[[#This Row],[Type]]="checklist-flat"), Master[[#This Row],[Name]], F1321)</f>
        <v>FC - S - Brick Works</v>
      </c>
      <c r="G1322" s="34" t="s">
        <v>49</v>
      </c>
      <c r="H1322" s="34" t="s">
        <v>526</v>
      </c>
      <c r="I1322" s="35"/>
      <c r="J1322" s="21">
        <f ca="1">_xlfn.XLOOKUP(Master[[#This Row],[Checklist]],Ref!A:A,Ref!B:B)*1000</f>
        <v>124000</v>
      </c>
      <c r="K1322" s="21">
        <f ca="1">COUNTIF($J$2:Master[[#This Row],[ChecklistID]],Master[[#This Row],[ChecklistID]])-1</f>
        <v>3</v>
      </c>
      <c r="L1322" s="23" t="s">
        <v>6</v>
      </c>
    </row>
    <row r="1323" spans="1:12" ht="15.75">
      <c r="A1323" s="23">
        <f t="shared" si="21"/>
        <v>1322</v>
      </c>
      <c r="B1323" s="21">
        <f ca="1">Master[[#This Row],[ChecklistID]]+Master[[#This Row],[Checklist Order]]</f>
        <v>124004</v>
      </c>
      <c r="C1323" s="22"/>
      <c r="D1323" s="3" t="str" cm="1">
        <f t="array" aca="1" ref="D1323" ca="1">_xlfn.SWITCH(MID(Master[[#This Row],[Checklist]],1,4),"C - ","Civil","F - ","Foundation","ST -","Structure","FC -","Façade","PRE ","Pre-Line","POST","Post-Line","H - ","Handover","S - ","Services","CST ","Completion Docs", "I - ", "Inspection")</f>
        <v>Façade</v>
      </c>
      <c r="E13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3" s="24" t="str">
        <f ca="1">IF(OR(Master[[#This Row],[Type]]="checklist", Master[[#This Row],[Type]]="checklist-flat"), Master[[#This Row],[Name]], F1322)</f>
        <v>FC - S - Brick Works</v>
      </c>
      <c r="G1323" s="34" t="s">
        <v>49</v>
      </c>
      <c r="H1323" s="34" t="s">
        <v>527</v>
      </c>
      <c r="I1323" s="35"/>
      <c r="J1323" s="21">
        <f ca="1">_xlfn.XLOOKUP(Master[[#This Row],[Checklist]],Ref!A:A,Ref!B:B)*1000</f>
        <v>124000</v>
      </c>
      <c r="K1323" s="21">
        <f ca="1">COUNTIF($J$2:Master[[#This Row],[ChecklistID]],Master[[#This Row],[ChecklistID]])-1</f>
        <v>4</v>
      </c>
      <c r="L1323" s="23" t="s">
        <v>6</v>
      </c>
    </row>
    <row r="1324" spans="1:12" ht="15.75">
      <c r="A1324" s="23">
        <f t="shared" si="21"/>
        <v>1323</v>
      </c>
      <c r="B1324" s="21">
        <f ca="1">Master[[#This Row],[ChecklistID]]+Master[[#This Row],[Checklist Order]]</f>
        <v>124005</v>
      </c>
      <c r="C1324" s="22"/>
      <c r="D1324" s="3" t="str" cm="1">
        <f t="array" aca="1" ref="D1324" ca="1">_xlfn.SWITCH(MID(Master[[#This Row],[Checklist]],1,4),"C - ","Civil","F - ","Foundation","ST -","Structure","FC -","Façade","PRE ","Pre-Line","POST","Post-Line","H - ","Handover","S - ","Services","CST ","Completion Docs", "I - ", "Inspection")</f>
        <v>Façade</v>
      </c>
      <c r="E13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4" s="24" t="str">
        <f ca="1">IF(OR(Master[[#This Row],[Type]]="checklist", Master[[#This Row],[Type]]="checklist-flat"), Master[[#This Row],[Name]], F1323)</f>
        <v>FC - S - Brick Works</v>
      </c>
      <c r="G1324" s="34" t="s">
        <v>523</v>
      </c>
      <c r="H1324" s="34" t="s">
        <v>528</v>
      </c>
      <c r="I1324" s="35"/>
      <c r="J1324" s="21">
        <f ca="1">_xlfn.XLOOKUP(Master[[#This Row],[Checklist]],Ref!A:A,Ref!B:B)*1000</f>
        <v>124000</v>
      </c>
      <c r="K1324" s="21">
        <f ca="1">COUNTIF($J$2:Master[[#This Row],[ChecklistID]],Master[[#This Row],[ChecklistID]])-1</f>
        <v>5</v>
      </c>
      <c r="L1324" s="23" t="s">
        <v>6</v>
      </c>
    </row>
    <row r="1325" spans="1:12" ht="15.75">
      <c r="A1325" s="23">
        <f t="shared" si="21"/>
        <v>1324</v>
      </c>
      <c r="B1325" s="21">
        <f ca="1">Master[[#This Row],[ChecklistID]]+Master[[#This Row],[Checklist Order]]</f>
        <v>124006</v>
      </c>
      <c r="C1325" s="22"/>
      <c r="D1325" s="3" t="str" cm="1">
        <f t="array" aca="1" ref="D1325" ca="1">_xlfn.SWITCH(MID(Master[[#This Row],[Checklist]],1,4),"C - ","Civil","F - ","Foundation","ST -","Structure","FC -","Façade","PRE ","Pre-Line","POST","Post-Line","H - ","Handover","S - ","Services","CST ","Completion Docs", "I - ", "Inspection")</f>
        <v>Façade</v>
      </c>
      <c r="E13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5" s="24" t="str">
        <f ca="1">IF(OR(Master[[#This Row],[Type]]="checklist", Master[[#This Row],[Type]]="checklist-flat"), Master[[#This Row],[Name]], F1324)</f>
        <v>FC - S - Brick Works</v>
      </c>
      <c r="G1325" s="34" t="s">
        <v>49</v>
      </c>
      <c r="H1325" s="34" t="s">
        <v>529</v>
      </c>
      <c r="I1325" s="35"/>
      <c r="J1325" s="21">
        <f ca="1">_xlfn.XLOOKUP(Master[[#This Row],[Checklist]],Ref!A:A,Ref!B:B)*1000</f>
        <v>124000</v>
      </c>
      <c r="K1325" s="21">
        <f ca="1">COUNTIF($J$2:Master[[#This Row],[ChecklistID]],Master[[#This Row],[ChecklistID]])-1</f>
        <v>6</v>
      </c>
      <c r="L1325" s="23" t="s">
        <v>6</v>
      </c>
    </row>
    <row r="1326" spans="1:12" ht="15.75">
      <c r="A1326" s="23">
        <f t="shared" si="21"/>
        <v>1325</v>
      </c>
      <c r="B1326" s="21">
        <f ca="1">Master[[#This Row],[ChecklistID]]+Master[[#This Row],[Checklist Order]]</f>
        <v>124007</v>
      </c>
      <c r="C1326" s="22"/>
      <c r="D1326" s="3" t="str" cm="1">
        <f t="array" aca="1" ref="D1326" ca="1">_xlfn.SWITCH(MID(Master[[#This Row],[Checklist]],1,4),"C - ","Civil","F - ","Foundation","ST -","Structure","FC -","Façade","PRE ","Pre-Line","POST","Post-Line","H - ","Handover","S - ","Services","CST ","Completion Docs", "I - ", "Inspection")</f>
        <v>Façade</v>
      </c>
      <c r="E13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6" s="24" t="str">
        <f ca="1">IF(OR(Master[[#This Row],[Type]]="checklist", Master[[#This Row],[Type]]="checklist-flat"), Master[[#This Row],[Name]], F1325)</f>
        <v>FC - S - Brick Works</v>
      </c>
      <c r="G1326" s="34" t="s">
        <v>49</v>
      </c>
      <c r="H1326" s="34" t="s">
        <v>530</v>
      </c>
      <c r="I1326" s="35"/>
      <c r="J1326" s="21">
        <f ca="1">_xlfn.XLOOKUP(Master[[#This Row],[Checklist]],Ref!A:A,Ref!B:B)*1000</f>
        <v>124000</v>
      </c>
      <c r="K1326" s="21">
        <f ca="1">COUNTIF($J$2:Master[[#This Row],[ChecklistID]],Master[[#This Row],[ChecklistID]])-1</f>
        <v>7</v>
      </c>
      <c r="L1326" s="23" t="s">
        <v>6</v>
      </c>
    </row>
    <row r="1327" spans="1:12" ht="15.75">
      <c r="A1327" s="23">
        <f t="shared" si="21"/>
        <v>1326</v>
      </c>
      <c r="B1327" s="21">
        <f ca="1">Master[[#This Row],[ChecklistID]]+Master[[#This Row],[Checklist Order]]</f>
        <v>124008</v>
      </c>
      <c r="C1327" s="22"/>
      <c r="D1327" s="3" t="str" cm="1">
        <f t="array" aca="1" ref="D1327" ca="1">_xlfn.SWITCH(MID(Master[[#This Row],[Checklist]],1,4),"C - ","Civil","F - ","Foundation","ST -","Structure","FC -","Façade","PRE ","Pre-Line","POST","Post-Line","H - ","Handover","S - ","Services","CST ","Completion Docs", "I - ", "Inspection")</f>
        <v>Façade</v>
      </c>
      <c r="E13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7" s="24" t="str">
        <f ca="1">IF(OR(Master[[#This Row],[Type]]="checklist", Master[[#This Row],[Type]]="checklist-flat"), Master[[#This Row],[Name]], F1326)</f>
        <v>FC - S - Brick Works</v>
      </c>
      <c r="G1327" s="34" t="s">
        <v>49</v>
      </c>
      <c r="H1327" s="34" t="s">
        <v>531</v>
      </c>
      <c r="I1327" s="35"/>
      <c r="J1327" s="21">
        <f ca="1">_xlfn.XLOOKUP(Master[[#This Row],[Checklist]],Ref!A:A,Ref!B:B)*1000</f>
        <v>124000</v>
      </c>
      <c r="K1327" s="21">
        <f ca="1">COUNTIF($J$2:Master[[#This Row],[ChecklistID]],Master[[#This Row],[ChecklistID]])-1</f>
        <v>8</v>
      </c>
      <c r="L1327" s="23" t="s">
        <v>6</v>
      </c>
    </row>
    <row r="1328" spans="1:12" ht="15.75">
      <c r="A1328" s="23">
        <f t="shared" si="21"/>
        <v>1327</v>
      </c>
      <c r="B1328" s="21">
        <f ca="1">Master[[#This Row],[ChecklistID]]+Master[[#This Row],[Checklist Order]]</f>
        <v>124009</v>
      </c>
      <c r="C1328" s="22"/>
      <c r="D1328" s="3" t="str" cm="1">
        <f t="array" aca="1" ref="D1328" ca="1">_xlfn.SWITCH(MID(Master[[#This Row],[Checklist]],1,4),"C - ","Civil","F - ","Foundation","ST -","Structure","FC -","Façade","PRE ","Pre-Line","POST","Post-Line","H - ","Handover","S - ","Services","CST ","Completion Docs", "I - ", "Inspection")</f>
        <v>Façade</v>
      </c>
      <c r="E13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8" s="24" t="str">
        <f ca="1">IF(OR(Master[[#This Row],[Type]]="checklist", Master[[#This Row],[Type]]="checklist-flat"), Master[[#This Row],[Name]], F1327)</f>
        <v>FC - S - Brick Works</v>
      </c>
      <c r="G1328" s="34" t="s">
        <v>49</v>
      </c>
      <c r="H1328" s="34" t="s">
        <v>532</v>
      </c>
      <c r="I1328" s="35"/>
      <c r="J1328" s="21">
        <f ca="1">_xlfn.XLOOKUP(Master[[#This Row],[Checklist]],Ref!A:A,Ref!B:B)*1000</f>
        <v>124000</v>
      </c>
      <c r="K1328" s="21">
        <f ca="1">COUNTIF($J$2:Master[[#This Row],[ChecklistID]],Master[[#This Row],[ChecklistID]])-1</f>
        <v>9</v>
      </c>
      <c r="L1328" s="23" t="s">
        <v>6</v>
      </c>
    </row>
    <row r="1329" spans="1:12" ht="15.75">
      <c r="A1329" s="23">
        <f t="shared" si="21"/>
        <v>1328</v>
      </c>
      <c r="B1329" s="21">
        <f ca="1">Master[[#This Row],[ChecklistID]]+Master[[#This Row],[Checklist Order]]</f>
        <v>124010</v>
      </c>
      <c r="C1329" s="22"/>
      <c r="D1329" s="3" t="str" cm="1">
        <f t="array" aca="1" ref="D1329" ca="1">_xlfn.SWITCH(MID(Master[[#This Row],[Checklist]],1,4),"C - ","Civil","F - ","Foundation","ST -","Structure","FC -","Façade","PRE ","Pre-Line","POST","Post-Line","H - ","Handover","S - ","Services","CST ","Completion Docs", "I - ", "Inspection")</f>
        <v>Façade</v>
      </c>
      <c r="E13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29" s="24" t="str">
        <f ca="1">IF(OR(Master[[#This Row],[Type]]="checklist", Master[[#This Row],[Type]]="checklist-flat"), Master[[#This Row],[Name]], F1328)</f>
        <v>FC - S - Brick Works</v>
      </c>
      <c r="G1329" s="34" t="s">
        <v>49</v>
      </c>
      <c r="H1329" s="34" t="s">
        <v>533</v>
      </c>
      <c r="I1329" s="35"/>
      <c r="J1329" s="21">
        <f ca="1">_xlfn.XLOOKUP(Master[[#This Row],[Checklist]],Ref!A:A,Ref!B:B)*1000</f>
        <v>124000</v>
      </c>
      <c r="K1329" s="21">
        <f ca="1">COUNTIF($J$2:Master[[#This Row],[ChecklistID]],Master[[#This Row],[ChecklistID]])-1</f>
        <v>10</v>
      </c>
      <c r="L1329" s="23" t="s">
        <v>6</v>
      </c>
    </row>
    <row r="1330" spans="1:12" ht="15.75">
      <c r="A1330" s="23">
        <f t="shared" si="21"/>
        <v>1329</v>
      </c>
      <c r="B1330" s="21">
        <f ca="1">Master[[#This Row],[ChecklistID]]+Master[[#This Row],[Checklist Order]]</f>
        <v>124011</v>
      </c>
      <c r="C1330" s="22"/>
      <c r="D1330" s="3" t="str" cm="1">
        <f t="array" aca="1" ref="D1330" ca="1">_xlfn.SWITCH(MID(Master[[#This Row],[Checklist]],1,4),"C - ","Civil","F - ","Foundation","ST -","Structure","FC -","Façade","PRE ","Pre-Line","POST","Post-Line","H - ","Handover","S - ","Services","CST ","Completion Docs", "I - ", "Inspection")</f>
        <v>Façade</v>
      </c>
      <c r="E13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0" s="24" t="str">
        <f ca="1">IF(OR(Master[[#This Row],[Type]]="checklist", Master[[#This Row],[Type]]="checklist-flat"), Master[[#This Row],[Name]], F1329)</f>
        <v>FC - S - Brick Works</v>
      </c>
      <c r="G1330" s="34" t="s">
        <v>49</v>
      </c>
      <c r="H1330" s="34" t="s">
        <v>534</v>
      </c>
      <c r="I1330" s="35"/>
      <c r="J1330" s="21">
        <f ca="1">_xlfn.XLOOKUP(Master[[#This Row],[Checklist]],Ref!A:A,Ref!B:B)*1000</f>
        <v>124000</v>
      </c>
      <c r="K1330" s="21">
        <f ca="1">COUNTIF($J$2:Master[[#This Row],[ChecklistID]],Master[[#This Row],[ChecklistID]])-1</f>
        <v>11</v>
      </c>
      <c r="L1330" s="23" t="s">
        <v>6</v>
      </c>
    </row>
    <row r="1331" spans="1:12" ht="15.75">
      <c r="A1331" s="23">
        <f t="shared" si="21"/>
        <v>1330</v>
      </c>
      <c r="B1331" s="21">
        <f ca="1">Master[[#This Row],[ChecklistID]]+Master[[#This Row],[Checklist Order]]</f>
        <v>124012</v>
      </c>
      <c r="C1331" s="22"/>
      <c r="D1331" s="3" t="str" cm="1">
        <f t="array" aca="1" ref="D1331" ca="1">_xlfn.SWITCH(MID(Master[[#This Row],[Checklist]],1,4),"C - ","Civil","F - ","Foundation","ST -","Structure","FC -","Façade","PRE ","Pre-Line","POST","Post-Line","H - ","Handover","S - ","Services","CST ","Completion Docs", "I - ", "Inspection")</f>
        <v>Façade</v>
      </c>
      <c r="E13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1" s="24" t="str">
        <f ca="1">IF(OR(Master[[#This Row],[Type]]="checklist", Master[[#This Row],[Type]]="checklist-flat"), Master[[#This Row],[Name]], F1330)</f>
        <v>FC - S - Brick Works</v>
      </c>
      <c r="G1331" s="34" t="s">
        <v>49</v>
      </c>
      <c r="H1331" s="34" t="s">
        <v>535</v>
      </c>
      <c r="I1331" s="35"/>
      <c r="J1331" s="21">
        <f ca="1">_xlfn.XLOOKUP(Master[[#This Row],[Checklist]],Ref!A:A,Ref!B:B)*1000</f>
        <v>124000</v>
      </c>
      <c r="K1331" s="21">
        <f ca="1">COUNTIF($J$2:Master[[#This Row],[ChecklistID]],Master[[#This Row],[ChecklistID]])-1</f>
        <v>12</v>
      </c>
      <c r="L1331" s="23" t="s">
        <v>6</v>
      </c>
    </row>
    <row r="1332" spans="1:12" ht="15.75">
      <c r="A1332" s="23">
        <f t="shared" si="21"/>
        <v>1331</v>
      </c>
      <c r="B1332" s="21">
        <f ca="1">Master[[#This Row],[ChecklistID]]+Master[[#This Row],[Checklist Order]]</f>
        <v>124013</v>
      </c>
      <c r="C1332" s="22"/>
      <c r="D1332" s="3" t="str" cm="1">
        <f t="array" aca="1" ref="D1332" ca="1">_xlfn.SWITCH(MID(Master[[#This Row],[Checklist]],1,4),"C - ","Civil","F - ","Foundation","ST -","Structure","FC -","Façade","PRE ","Pre-Line","POST","Post-Line","H - ","Handover","S - ","Services","CST ","Completion Docs", "I - ", "Inspection")</f>
        <v>Façade</v>
      </c>
      <c r="E13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2" s="24" t="str">
        <f ca="1">IF(OR(Master[[#This Row],[Type]]="checklist", Master[[#This Row],[Type]]="checklist-flat"), Master[[#This Row],[Name]], F1331)</f>
        <v>FC - S - Brick Works</v>
      </c>
      <c r="G1332" s="34" t="s">
        <v>49</v>
      </c>
      <c r="H1332" s="34" t="s">
        <v>536</v>
      </c>
      <c r="I1332" s="35"/>
      <c r="J1332" s="21">
        <f ca="1">_xlfn.XLOOKUP(Master[[#This Row],[Checklist]],Ref!A:A,Ref!B:B)*1000</f>
        <v>124000</v>
      </c>
      <c r="K1332" s="21">
        <f ca="1">COUNTIF($J$2:Master[[#This Row],[ChecklistID]],Master[[#This Row],[ChecklistID]])-1</f>
        <v>13</v>
      </c>
      <c r="L1332" s="23" t="s">
        <v>6</v>
      </c>
    </row>
    <row r="1333" spans="1:12" ht="15.75">
      <c r="A1333" s="23">
        <f t="shared" si="21"/>
        <v>1332</v>
      </c>
      <c r="B1333" s="21">
        <f ca="1">Master[[#This Row],[ChecklistID]]+Master[[#This Row],[Checklist Order]]</f>
        <v>124014</v>
      </c>
      <c r="C1333" s="22"/>
      <c r="D1333" s="3" t="str" cm="1">
        <f t="array" aca="1" ref="D1333" ca="1">_xlfn.SWITCH(MID(Master[[#This Row],[Checklist]],1,4),"C - ","Civil","F - ","Foundation","ST -","Structure","FC -","Façade","PRE ","Pre-Line","POST","Post-Line","H - ","Handover","S - ","Services","CST ","Completion Docs", "I - ", "Inspection")</f>
        <v>Façade</v>
      </c>
      <c r="E13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3" s="24" t="str">
        <f ca="1">IF(OR(Master[[#This Row],[Type]]="checklist", Master[[#This Row],[Type]]="checklist-flat"), Master[[#This Row],[Name]], F1332)</f>
        <v>FC - S - Brick Works</v>
      </c>
      <c r="G1333" s="34" t="s">
        <v>49</v>
      </c>
      <c r="H1333" s="34" t="s">
        <v>537</v>
      </c>
      <c r="I1333" s="35"/>
      <c r="J1333" s="21">
        <f ca="1">_xlfn.XLOOKUP(Master[[#This Row],[Checklist]],Ref!A:A,Ref!B:B)*1000</f>
        <v>124000</v>
      </c>
      <c r="K1333" s="21">
        <f ca="1">COUNTIF($J$2:Master[[#This Row],[ChecklistID]],Master[[#This Row],[ChecklistID]])-1</f>
        <v>14</v>
      </c>
      <c r="L1333" s="23" t="s">
        <v>6</v>
      </c>
    </row>
    <row r="1334" spans="1:12" ht="15.75">
      <c r="A1334" s="23">
        <f t="shared" si="21"/>
        <v>1333</v>
      </c>
      <c r="B1334" s="21">
        <f ca="1">Master[[#This Row],[ChecklistID]]+Master[[#This Row],[Checklist Order]]</f>
        <v>124015</v>
      </c>
      <c r="C1334" s="22"/>
      <c r="D1334" s="3" t="str" cm="1">
        <f t="array" aca="1" ref="D1334" ca="1">_xlfn.SWITCH(MID(Master[[#This Row],[Checklist]],1,4),"C - ","Civil","F - ","Foundation","ST -","Structure","FC -","Façade","PRE ","Pre-Line","POST","Post-Line","H - ","Handover","S - ","Services","CST ","Completion Docs", "I - ", "Inspection")</f>
        <v>Façade</v>
      </c>
      <c r="E13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4" s="24" t="str">
        <f ca="1">IF(OR(Master[[#This Row],[Type]]="checklist", Master[[#This Row],[Type]]="checklist-flat"), Master[[#This Row],[Name]], F1333)</f>
        <v>FC - S - Brick Works</v>
      </c>
      <c r="G1334" s="34" t="s">
        <v>49</v>
      </c>
      <c r="H1334" s="34" t="s">
        <v>538</v>
      </c>
      <c r="I1334" s="35"/>
      <c r="J1334" s="21">
        <f ca="1">_xlfn.XLOOKUP(Master[[#This Row],[Checklist]],Ref!A:A,Ref!B:B)*1000</f>
        <v>124000</v>
      </c>
      <c r="K1334" s="21">
        <f ca="1">COUNTIF($J$2:Master[[#This Row],[ChecklistID]],Master[[#This Row],[ChecklistID]])-1</f>
        <v>15</v>
      </c>
      <c r="L1334" s="23" t="s">
        <v>6</v>
      </c>
    </row>
    <row r="1335" spans="1:12" ht="15.75">
      <c r="A1335" s="23">
        <f t="shared" si="21"/>
        <v>1334</v>
      </c>
      <c r="B1335" s="21">
        <f ca="1">Master[[#This Row],[ChecklistID]]+Master[[#This Row],[Checklist Order]]</f>
        <v>124016</v>
      </c>
      <c r="C1335" s="22"/>
      <c r="D1335" s="3" t="str" cm="1">
        <f t="array" aca="1" ref="D1335" ca="1">_xlfn.SWITCH(MID(Master[[#This Row],[Checklist]],1,4),"C - ","Civil","F - ","Foundation","ST -","Structure","FC -","Façade","PRE ","Pre-Line","POST","Post-Line","H - ","Handover","S - ","Services","CST ","Completion Docs", "I - ", "Inspection")</f>
        <v>Façade</v>
      </c>
      <c r="E13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5" s="24" t="str">
        <f ca="1">IF(OR(Master[[#This Row],[Type]]="checklist", Master[[#This Row],[Type]]="checklist-flat"), Master[[#This Row],[Name]], F1334)</f>
        <v>FC - S - Brick Works</v>
      </c>
      <c r="G1335" s="34" t="s">
        <v>49</v>
      </c>
      <c r="H1335" s="34" t="s">
        <v>57</v>
      </c>
      <c r="I1335" s="35"/>
      <c r="J1335" s="21">
        <f ca="1">_xlfn.XLOOKUP(Master[[#This Row],[Checklist]],Ref!A:A,Ref!B:B)*1000</f>
        <v>124000</v>
      </c>
      <c r="K1335" s="21">
        <f ca="1">COUNTIF($J$2:Master[[#This Row],[ChecklistID]],Master[[#This Row],[ChecklistID]])-1</f>
        <v>16</v>
      </c>
      <c r="L1335" s="23" t="s">
        <v>6</v>
      </c>
    </row>
    <row r="1336" spans="1:12" ht="15.75">
      <c r="A1336" s="23">
        <f t="shared" si="21"/>
        <v>1335</v>
      </c>
      <c r="B1336" s="21">
        <f ca="1">Master[[#This Row],[ChecklistID]]+Master[[#This Row],[Checklist Order]]</f>
        <v>124017</v>
      </c>
      <c r="C1336" s="22"/>
      <c r="D1336" s="3" t="str" cm="1">
        <f t="array" aca="1" ref="D1336" ca="1">_xlfn.SWITCH(MID(Master[[#This Row],[Checklist]],1,4),"C - ","Civil","F - ","Foundation","ST -","Structure","FC -","Façade","PRE ","Pre-Line","POST","Post-Line","H - ","Handover","S - ","Services","CST ","Completion Docs", "I - ", "Inspection")</f>
        <v>Façade</v>
      </c>
      <c r="E13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6" s="24" t="str">
        <f ca="1">IF(OR(Master[[#This Row],[Type]]="checklist", Master[[#This Row],[Type]]="checklist-flat"), Master[[#This Row],[Name]], F1335)</f>
        <v>FC - S - Brick Works</v>
      </c>
      <c r="G1336" s="34" t="s">
        <v>58</v>
      </c>
      <c r="H1336" s="34" t="s">
        <v>59</v>
      </c>
      <c r="I1336" s="35"/>
      <c r="J1336" s="21">
        <f ca="1">_xlfn.XLOOKUP(Master[[#This Row],[Checklist]],Ref!A:A,Ref!B:B)*1000</f>
        <v>124000</v>
      </c>
      <c r="K1336" s="21">
        <f ca="1">COUNTIF($J$2:Master[[#This Row],[ChecklistID]],Master[[#This Row],[ChecklistID]])-1</f>
        <v>17</v>
      </c>
      <c r="L1336" s="23" t="s">
        <v>6</v>
      </c>
    </row>
    <row r="1337" spans="1:12" ht="15.75">
      <c r="A1337" s="23">
        <f t="shared" si="21"/>
        <v>1336</v>
      </c>
      <c r="B1337" s="21">
        <f ca="1">Master[[#This Row],[ChecklistID]]+Master[[#This Row],[Checklist Order]]</f>
        <v>125000</v>
      </c>
      <c r="C1337" s="22"/>
      <c r="D1337" s="3" t="str" cm="1">
        <f t="array" aca="1" ref="D1337" ca="1">_xlfn.SWITCH(MID(Master[[#This Row],[Checklist]],1,4),"C - ","Civil","F - ","Foundation","ST -","Structure","FC -","Façade","PRE ","Pre-Line","POST","Post-Line","H - ","Handover","S - ","Services","CST ","Completion Docs", "I - ", "Inspection")</f>
        <v>Façade</v>
      </c>
      <c r="E13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7" s="24" t="str">
        <f ca="1">IF(OR(Master[[#This Row],[Type]]="checklist", Master[[#This Row],[Type]]="checklist-flat"), Master[[#This Row],[Name]], F1336)</f>
        <v>FC - S - Exterior Timber Framing</v>
      </c>
      <c r="G1337" s="34" t="s">
        <v>48</v>
      </c>
      <c r="H1337" s="34" t="s">
        <v>539</v>
      </c>
      <c r="I1337" s="35"/>
      <c r="J1337" s="21">
        <f ca="1">_xlfn.XLOOKUP(Master[[#This Row],[Checklist]],Ref!A:A,Ref!B:B)*1000</f>
        <v>125000</v>
      </c>
      <c r="K1337" s="21">
        <f ca="1">COUNTIF($J$2:Master[[#This Row],[ChecklistID]],Master[[#This Row],[ChecklistID]])-1</f>
        <v>0</v>
      </c>
      <c r="L1337" s="23" t="s">
        <v>6</v>
      </c>
    </row>
    <row r="1338" spans="1:12" ht="15.75">
      <c r="A1338" s="23">
        <f t="shared" si="21"/>
        <v>1337</v>
      </c>
      <c r="B1338" s="21">
        <f ca="1">Master[[#This Row],[ChecklistID]]+Master[[#This Row],[Checklist Order]]</f>
        <v>125001</v>
      </c>
      <c r="C1338" s="22"/>
      <c r="D1338" s="3" t="str" cm="1">
        <f t="array" aca="1" ref="D1338" ca="1">_xlfn.SWITCH(MID(Master[[#This Row],[Checklist]],1,4),"C - ","Civil","F - ","Foundation","ST -","Structure","FC -","Façade","PRE ","Pre-Line","POST","Post-Line","H - ","Handover","S - ","Services","CST ","Completion Docs", "I - ", "Inspection")</f>
        <v>Façade</v>
      </c>
      <c r="E13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8" s="24" t="str">
        <f ca="1">IF(OR(Master[[#This Row],[Type]]="checklist", Master[[#This Row],[Type]]="checklist-flat"), Master[[#This Row],[Name]], F1337)</f>
        <v>FC - S - Exterior Timber Framing</v>
      </c>
      <c r="G1338" s="34" t="s">
        <v>49</v>
      </c>
      <c r="H1338" s="34" t="s">
        <v>540</v>
      </c>
      <c r="I1338" s="35"/>
      <c r="J1338" s="21">
        <f ca="1">_xlfn.XLOOKUP(Master[[#This Row],[Checklist]],Ref!A:A,Ref!B:B)*1000</f>
        <v>125000</v>
      </c>
      <c r="K1338" s="21">
        <f ca="1">COUNTIF($J$2:Master[[#This Row],[ChecklistID]],Master[[#This Row],[ChecklistID]])-1</f>
        <v>1</v>
      </c>
      <c r="L1338" s="23" t="s">
        <v>6</v>
      </c>
    </row>
    <row r="1339" spans="1:12" ht="15.75">
      <c r="A1339" s="23">
        <f t="shared" si="21"/>
        <v>1338</v>
      </c>
      <c r="B1339" s="21">
        <f ca="1">Master[[#This Row],[ChecklistID]]+Master[[#This Row],[Checklist Order]]</f>
        <v>125002</v>
      </c>
      <c r="C1339" s="22"/>
      <c r="D1339" s="3" t="str" cm="1">
        <f t="array" aca="1" ref="D1339" ca="1">_xlfn.SWITCH(MID(Master[[#This Row],[Checklist]],1,4),"C - ","Civil","F - ","Foundation","ST -","Structure","FC -","Façade","PRE ","Pre-Line","POST","Post-Line","H - ","Handover","S - ","Services","CST ","Completion Docs", "I - ", "Inspection")</f>
        <v>Façade</v>
      </c>
      <c r="E13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39" s="24" t="str">
        <f ca="1">IF(OR(Master[[#This Row],[Type]]="checklist", Master[[#This Row],[Type]]="checklist-flat"), Master[[#This Row],[Name]], F1338)</f>
        <v>FC - S - Exterior Timber Framing</v>
      </c>
      <c r="G1339" s="34" t="s">
        <v>49</v>
      </c>
      <c r="H1339" s="34" t="s">
        <v>541</v>
      </c>
      <c r="I1339" s="35"/>
      <c r="J1339" s="21">
        <f ca="1">_xlfn.XLOOKUP(Master[[#This Row],[Checklist]],Ref!A:A,Ref!B:B)*1000</f>
        <v>125000</v>
      </c>
      <c r="K1339" s="21">
        <f ca="1">COUNTIF($J$2:Master[[#This Row],[ChecklistID]],Master[[#This Row],[ChecklistID]])-1</f>
        <v>2</v>
      </c>
      <c r="L1339" s="23" t="s">
        <v>6</v>
      </c>
    </row>
    <row r="1340" spans="1:12" ht="15.75">
      <c r="A1340" s="23">
        <f t="shared" si="21"/>
        <v>1339</v>
      </c>
      <c r="B1340" s="21">
        <f ca="1">Master[[#This Row],[ChecklistID]]+Master[[#This Row],[Checklist Order]]</f>
        <v>125003</v>
      </c>
      <c r="C1340" s="22"/>
      <c r="D1340" s="3" t="str" cm="1">
        <f t="array" aca="1" ref="D1340" ca="1">_xlfn.SWITCH(MID(Master[[#This Row],[Checklist]],1,4),"C - ","Civil","F - ","Foundation","ST -","Structure","FC -","Façade","PRE ","Pre-Line","POST","Post-Line","H - ","Handover","S - ","Services","CST ","Completion Docs", "I - ", "Inspection")</f>
        <v>Façade</v>
      </c>
      <c r="E13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0" s="24" t="str">
        <f ca="1">IF(OR(Master[[#This Row],[Type]]="checklist", Master[[#This Row],[Type]]="checklist-flat"), Master[[#This Row],[Name]], F1339)</f>
        <v>FC - S - Exterior Timber Framing</v>
      </c>
      <c r="G1340" s="34" t="s">
        <v>49</v>
      </c>
      <c r="H1340" s="34" t="s">
        <v>542</v>
      </c>
      <c r="I1340" s="35"/>
      <c r="J1340" s="21">
        <f ca="1">_xlfn.XLOOKUP(Master[[#This Row],[Checklist]],Ref!A:A,Ref!B:B)*1000</f>
        <v>125000</v>
      </c>
      <c r="K1340" s="21">
        <f ca="1">COUNTIF($J$2:Master[[#This Row],[ChecklistID]],Master[[#This Row],[ChecklistID]])-1</f>
        <v>3</v>
      </c>
      <c r="L1340" s="23" t="s">
        <v>6</v>
      </c>
    </row>
    <row r="1341" spans="1:12" ht="15.75">
      <c r="A1341" s="23">
        <f t="shared" si="21"/>
        <v>1340</v>
      </c>
      <c r="B1341" s="21">
        <f ca="1">Master[[#This Row],[ChecklistID]]+Master[[#This Row],[Checklist Order]]</f>
        <v>125004</v>
      </c>
      <c r="C1341" s="22"/>
      <c r="D1341" s="3" t="str" cm="1">
        <f t="array" aca="1" ref="D1341" ca="1">_xlfn.SWITCH(MID(Master[[#This Row],[Checklist]],1,4),"C - ","Civil","F - ","Foundation","ST -","Structure","FC -","Façade","PRE ","Pre-Line","POST","Post-Line","H - ","Handover","S - ","Services","CST ","Completion Docs", "I - ", "Inspection")</f>
        <v>Façade</v>
      </c>
      <c r="E13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1" s="24" t="str">
        <f ca="1">IF(OR(Master[[#This Row],[Type]]="checklist", Master[[#This Row],[Type]]="checklist-flat"), Master[[#This Row],[Name]], F1340)</f>
        <v>FC - S - Exterior Timber Framing</v>
      </c>
      <c r="G1341" s="34" t="s">
        <v>49</v>
      </c>
      <c r="H1341" s="34" t="s">
        <v>543</v>
      </c>
      <c r="I1341" s="35"/>
      <c r="J1341" s="21">
        <f ca="1">_xlfn.XLOOKUP(Master[[#This Row],[Checklist]],Ref!A:A,Ref!B:B)*1000</f>
        <v>125000</v>
      </c>
      <c r="K1341" s="21">
        <f ca="1">COUNTIF($J$2:Master[[#This Row],[ChecklistID]],Master[[#This Row],[ChecklistID]])-1</f>
        <v>4</v>
      </c>
      <c r="L1341" s="23" t="s">
        <v>6</v>
      </c>
    </row>
    <row r="1342" spans="1:12" ht="15.75">
      <c r="A1342" s="23">
        <f t="shared" si="21"/>
        <v>1341</v>
      </c>
      <c r="B1342" s="21">
        <f ca="1">Master[[#This Row],[ChecklistID]]+Master[[#This Row],[Checklist Order]]</f>
        <v>125005</v>
      </c>
      <c r="C1342" s="22"/>
      <c r="D1342" s="3" t="str" cm="1">
        <f t="array" aca="1" ref="D1342" ca="1">_xlfn.SWITCH(MID(Master[[#This Row],[Checklist]],1,4),"C - ","Civil","F - ","Foundation","ST -","Structure","FC -","Façade","PRE ","Pre-Line","POST","Post-Line","H - ","Handover","S - ","Services","CST ","Completion Docs", "I - ", "Inspection")</f>
        <v>Façade</v>
      </c>
      <c r="E13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2" s="24" t="str">
        <f ca="1">IF(OR(Master[[#This Row],[Type]]="checklist", Master[[#This Row],[Type]]="checklist-flat"), Master[[#This Row],[Name]], F1341)</f>
        <v>FC - S - Exterior Timber Framing</v>
      </c>
      <c r="G1342" s="34" t="s">
        <v>49</v>
      </c>
      <c r="H1342" s="34" t="s">
        <v>544</v>
      </c>
      <c r="I1342" s="35"/>
      <c r="J1342" s="21">
        <f ca="1">_xlfn.XLOOKUP(Master[[#This Row],[Checklist]],Ref!A:A,Ref!B:B)*1000</f>
        <v>125000</v>
      </c>
      <c r="K1342" s="21">
        <f ca="1">COUNTIF($J$2:Master[[#This Row],[ChecklistID]],Master[[#This Row],[ChecklistID]])-1</f>
        <v>5</v>
      </c>
      <c r="L1342" s="23" t="s">
        <v>6</v>
      </c>
    </row>
    <row r="1343" spans="1:12" ht="15.75">
      <c r="A1343" s="23">
        <f t="shared" si="21"/>
        <v>1342</v>
      </c>
      <c r="B1343" s="21">
        <f ca="1">Master[[#This Row],[ChecklistID]]+Master[[#This Row],[Checklist Order]]</f>
        <v>125006</v>
      </c>
      <c r="C1343" s="22"/>
      <c r="D1343" s="3" t="str" cm="1">
        <f t="array" aca="1" ref="D1343" ca="1">_xlfn.SWITCH(MID(Master[[#This Row],[Checklist]],1,4),"C - ","Civil","F - ","Foundation","ST -","Structure","FC -","Façade","PRE ","Pre-Line","POST","Post-Line","H - ","Handover","S - ","Services","CST ","Completion Docs", "I - ", "Inspection")</f>
        <v>Façade</v>
      </c>
      <c r="E13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3" s="24" t="str">
        <f ca="1">IF(OR(Master[[#This Row],[Type]]="checklist", Master[[#This Row],[Type]]="checklist-flat"), Master[[#This Row],[Name]], F1342)</f>
        <v>FC - S - Exterior Timber Framing</v>
      </c>
      <c r="G1343" s="34" t="s">
        <v>49</v>
      </c>
      <c r="H1343" s="34" t="s">
        <v>545</v>
      </c>
      <c r="I1343" s="35"/>
      <c r="J1343" s="21">
        <f ca="1">_xlfn.XLOOKUP(Master[[#This Row],[Checklist]],Ref!A:A,Ref!B:B)*1000</f>
        <v>125000</v>
      </c>
      <c r="K1343" s="21">
        <f ca="1">COUNTIF($J$2:Master[[#This Row],[ChecklistID]],Master[[#This Row],[ChecklistID]])-1</f>
        <v>6</v>
      </c>
      <c r="L1343" s="23" t="s">
        <v>6</v>
      </c>
    </row>
    <row r="1344" spans="1:12" ht="15.75">
      <c r="A1344" s="23">
        <f t="shared" si="21"/>
        <v>1343</v>
      </c>
      <c r="B1344" s="21">
        <f ca="1">Master[[#This Row],[ChecklistID]]+Master[[#This Row],[Checklist Order]]</f>
        <v>125007</v>
      </c>
      <c r="C1344" s="22"/>
      <c r="D1344" s="3" t="str" cm="1">
        <f t="array" aca="1" ref="D1344" ca="1">_xlfn.SWITCH(MID(Master[[#This Row],[Checklist]],1,4),"C - ","Civil","F - ","Foundation","ST -","Structure","FC -","Façade","PRE ","Pre-Line","POST","Post-Line","H - ","Handover","S - ","Services","CST ","Completion Docs", "I - ", "Inspection")</f>
        <v>Façade</v>
      </c>
      <c r="E13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4" s="24" t="str">
        <f ca="1">IF(OR(Master[[#This Row],[Type]]="checklist", Master[[#This Row],[Type]]="checklist-flat"), Master[[#This Row],[Name]], F1343)</f>
        <v>FC - S - Exterior Timber Framing</v>
      </c>
      <c r="G1344" s="34" t="s">
        <v>49</v>
      </c>
      <c r="H1344" s="34" t="s">
        <v>546</v>
      </c>
      <c r="I1344" s="35"/>
      <c r="J1344" s="21">
        <f ca="1">_xlfn.XLOOKUP(Master[[#This Row],[Checklist]],Ref!A:A,Ref!B:B)*1000</f>
        <v>125000</v>
      </c>
      <c r="K1344" s="21">
        <f ca="1">COUNTIF($J$2:Master[[#This Row],[ChecklistID]],Master[[#This Row],[ChecklistID]])-1</f>
        <v>7</v>
      </c>
      <c r="L1344" s="23" t="s">
        <v>6</v>
      </c>
    </row>
    <row r="1345" spans="1:12" ht="15.75">
      <c r="A1345" s="23">
        <f t="shared" si="21"/>
        <v>1344</v>
      </c>
      <c r="B1345" s="21">
        <f ca="1">Master[[#This Row],[ChecklistID]]+Master[[#This Row],[Checklist Order]]</f>
        <v>125008</v>
      </c>
      <c r="C1345" s="22"/>
      <c r="D1345" s="3" t="str" cm="1">
        <f t="array" aca="1" ref="D1345" ca="1">_xlfn.SWITCH(MID(Master[[#This Row],[Checklist]],1,4),"C - ","Civil","F - ","Foundation","ST -","Structure","FC -","Façade","PRE ","Pre-Line","POST","Post-Line","H - ","Handover","S - ","Services","CST ","Completion Docs", "I - ", "Inspection")</f>
        <v>Façade</v>
      </c>
      <c r="E13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5" s="24" t="str">
        <f ca="1">IF(OR(Master[[#This Row],[Type]]="checklist", Master[[#This Row],[Type]]="checklist-flat"), Master[[#This Row],[Name]], F1344)</f>
        <v>FC - S - Exterior Timber Framing</v>
      </c>
      <c r="G1345" s="34" t="s">
        <v>49</v>
      </c>
      <c r="H1345" s="34" t="s">
        <v>57</v>
      </c>
      <c r="I1345" s="35"/>
      <c r="J1345" s="21">
        <f ca="1">_xlfn.XLOOKUP(Master[[#This Row],[Checklist]],Ref!A:A,Ref!B:B)*1000</f>
        <v>125000</v>
      </c>
      <c r="K1345" s="21">
        <f ca="1">COUNTIF($J$2:Master[[#This Row],[ChecklistID]],Master[[#This Row],[ChecklistID]])-1</f>
        <v>8</v>
      </c>
      <c r="L1345" s="23" t="s">
        <v>6</v>
      </c>
    </row>
    <row r="1346" spans="1:12" ht="15.75">
      <c r="A1346" s="23">
        <f t="shared" si="21"/>
        <v>1345</v>
      </c>
      <c r="B1346" s="21">
        <f ca="1">Master[[#This Row],[ChecklistID]]+Master[[#This Row],[Checklist Order]]</f>
        <v>125009</v>
      </c>
      <c r="C1346" s="22"/>
      <c r="D1346" s="3" t="str" cm="1">
        <f t="array" aca="1" ref="D1346" ca="1">_xlfn.SWITCH(MID(Master[[#This Row],[Checklist]],1,4),"C - ","Civil","F - ","Foundation","ST -","Structure","FC -","Façade","PRE ","Pre-Line","POST","Post-Line","H - ","Handover","S - ","Services","CST ","Completion Docs", "I - ", "Inspection")</f>
        <v>Façade</v>
      </c>
      <c r="E13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6" s="24" t="str">
        <f ca="1">IF(OR(Master[[#This Row],[Type]]="checklist", Master[[#This Row],[Type]]="checklist-flat"), Master[[#This Row],[Name]], F1345)</f>
        <v>FC - S - Exterior Timber Framing</v>
      </c>
      <c r="G1346" s="34" t="s">
        <v>58</v>
      </c>
      <c r="H1346" s="34" t="s">
        <v>59</v>
      </c>
      <c r="I1346" s="35"/>
      <c r="J1346" s="21">
        <f ca="1">_xlfn.XLOOKUP(Master[[#This Row],[Checklist]],Ref!A:A,Ref!B:B)*1000</f>
        <v>125000</v>
      </c>
      <c r="K1346" s="21">
        <f ca="1">COUNTIF($J$2:Master[[#This Row],[ChecklistID]],Master[[#This Row],[ChecklistID]])-1</f>
        <v>9</v>
      </c>
      <c r="L1346" s="23" t="s">
        <v>6</v>
      </c>
    </row>
    <row r="1347" spans="1:12" ht="15.75">
      <c r="A1347" s="23">
        <f t="shared" si="21"/>
        <v>1346</v>
      </c>
      <c r="B1347" s="21">
        <f ca="1">Master[[#This Row],[ChecklistID]]+Master[[#This Row],[Checklist Order]]</f>
        <v>126000</v>
      </c>
      <c r="C1347" s="22"/>
      <c r="D1347" s="3" t="str" cm="1">
        <f t="array" aca="1" ref="D1347" ca="1">_xlfn.SWITCH(MID(Master[[#This Row],[Checklist]],1,4),"C - ","Civil","F - ","Foundation","ST -","Structure","FC -","Façade","PRE ","Pre-Line","POST","Post-Line","H - ","Handover","S - ","Services","CST ","Completion Docs", "I - ", "Inspection")</f>
        <v>Façade</v>
      </c>
      <c r="E13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7" s="24" t="str">
        <f ca="1">IF(OR(Master[[#This Row],[Type]]="checklist", Master[[#This Row],[Type]]="checklist-flat"), Master[[#This Row],[Name]], F1346)</f>
        <v>FC - S - RAB</v>
      </c>
      <c r="G1347" s="34" t="s">
        <v>48</v>
      </c>
      <c r="H1347" s="34" t="s">
        <v>547</v>
      </c>
      <c r="I1347" s="35"/>
      <c r="J1347" s="21">
        <f ca="1">_xlfn.XLOOKUP(Master[[#This Row],[Checklist]],Ref!A:A,Ref!B:B)*1000</f>
        <v>126000</v>
      </c>
      <c r="K1347" s="21">
        <f ca="1">COUNTIF($J$2:Master[[#This Row],[ChecklistID]],Master[[#This Row],[ChecklistID]])-1</f>
        <v>0</v>
      </c>
      <c r="L1347" s="23" t="s">
        <v>6</v>
      </c>
    </row>
    <row r="1348" spans="1:12" ht="15.75">
      <c r="A1348" s="23">
        <f t="shared" si="21"/>
        <v>1347</v>
      </c>
      <c r="B1348" s="21">
        <f ca="1">Master[[#This Row],[ChecklistID]]+Master[[#This Row],[Checklist Order]]</f>
        <v>126001</v>
      </c>
      <c r="C1348" s="22"/>
      <c r="D1348" s="3" t="str" cm="1">
        <f t="array" aca="1" ref="D1348" ca="1">_xlfn.SWITCH(MID(Master[[#This Row],[Checklist]],1,4),"C - ","Civil","F - ","Foundation","ST -","Structure","FC -","Façade","PRE ","Pre-Line","POST","Post-Line","H - ","Handover","S - ","Services","CST ","Completion Docs", "I - ", "Inspection")</f>
        <v>Façade</v>
      </c>
      <c r="E13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8" s="24" t="str">
        <f ca="1">IF(OR(Master[[#This Row],[Type]]="checklist", Master[[#This Row],[Type]]="checklist-flat"), Master[[#This Row],[Name]], F1347)</f>
        <v>FC - S - RAB</v>
      </c>
      <c r="G1348" s="34" t="s">
        <v>49</v>
      </c>
      <c r="H1348" s="34" t="s">
        <v>548</v>
      </c>
      <c r="I1348" s="35"/>
      <c r="J1348" s="21">
        <f ca="1">_xlfn.XLOOKUP(Master[[#This Row],[Checklist]],Ref!A:A,Ref!B:B)*1000</f>
        <v>126000</v>
      </c>
      <c r="K1348" s="21">
        <f ca="1">COUNTIF($J$2:Master[[#This Row],[ChecklistID]],Master[[#This Row],[ChecklistID]])-1</f>
        <v>1</v>
      </c>
      <c r="L1348" s="23" t="s">
        <v>6</v>
      </c>
    </row>
    <row r="1349" spans="1:12" ht="15.75">
      <c r="A1349" s="23">
        <f t="shared" si="21"/>
        <v>1348</v>
      </c>
      <c r="B1349" s="21">
        <f ca="1">Master[[#This Row],[ChecklistID]]+Master[[#This Row],[Checklist Order]]</f>
        <v>126002</v>
      </c>
      <c r="C1349" s="22"/>
      <c r="D1349" s="3" t="str" cm="1">
        <f t="array" aca="1" ref="D1349" ca="1">_xlfn.SWITCH(MID(Master[[#This Row],[Checklist]],1,4),"C - ","Civil","F - ","Foundation","ST -","Structure","FC -","Façade","PRE ","Pre-Line","POST","Post-Line","H - ","Handover","S - ","Services","CST ","Completion Docs", "I - ", "Inspection")</f>
        <v>Façade</v>
      </c>
      <c r="E13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49" s="24" t="str">
        <f ca="1">IF(OR(Master[[#This Row],[Type]]="checklist", Master[[#This Row],[Type]]="checklist-flat"), Master[[#This Row],[Name]], F1348)</f>
        <v>FC - S - RAB</v>
      </c>
      <c r="G1349" s="34" t="s">
        <v>49</v>
      </c>
      <c r="H1349" s="34" t="s">
        <v>549</v>
      </c>
      <c r="I1349" s="35"/>
      <c r="J1349" s="21">
        <f ca="1">_xlfn.XLOOKUP(Master[[#This Row],[Checklist]],Ref!A:A,Ref!B:B)*1000</f>
        <v>126000</v>
      </c>
      <c r="K1349" s="21">
        <f ca="1">COUNTIF($J$2:Master[[#This Row],[ChecklistID]],Master[[#This Row],[ChecklistID]])-1</f>
        <v>2</v>
      </c>
      <c r="L1349" s="23" t="s">
        <v>6</v>
      </c>
    </row>
    <row r="1350" spans="1:12" ht="15.75">
      <c r="A1350" s="23">
        <f t="shared" si="21"/>
        <v>1349</v>
      </c>
      <c r="B1350" s="21">
        <f ca="1">Master[[#This Row],[ChecklistID]]+Master[[#This Row],[Checklist Order]]</f>
        <v>126003</v>
      </c>
      <c r="C1350" s="22"/>
      <c r="D1350" s="3" t="str" cm="1">
        <f t="array" aca="1" ref="D1350" ca="1">_xlfn.SWITCH(MID(Master[[#This Row],[Checklist]],1,4),"C - ","Civil","F - ","Foundation","ST -","Structure","FC -","Façade","PRE ","Pre-Line","POST","Post-Line","H - ","Handover","S - ","Services","CST ","Completion Docs", "I - ", "Inspection")</f>
        <v>Façade</v>
      </c>
      <c r="E13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0" s="24" t="str">
        <f ca="1">IF(OR(Master[[#This Row],[Type]]="checklist", Master[[#This Row],[Type]]="checklist-flat"), Master[[#This Row],[Name]], F1349)</f>
        <v>FC - S - RAB</v>
      </c>
      <c r="G1350" s="34" t="s">
        <v>49</v>
      </c>
      <c r="H1350" s="34" t="s">
        <v>550</v>
      </c>
      <c r="I1350" s="35"/>
      <c r="J1350" s="21">
        <f ca="1">_xlfn.XLOOKUP(Master[[#This Row],[Checklist]],Ref!A:A,Ref!B:B)*1000</f>
        <v>126000</v>
      </c>
      <c r="K1350" s="21">
        <f ca="1">COUNTIF($J$2:Master[[#This Row],[ChecklistID]],Master[[#This Row],[ChecklistID]])-1</f>
        <v>3</v>
      </c>
      <c r="L1350" s="23" t="s">
        <v>6</v>
      </c>
    </row>
    <row r="1351" spans="1:12" ht="15.75">
      <c r="A1351" s="23">
        <f t="shared" si="21"/>
        <v>1350</v>
      </c>
      <c r="B1351" s="21">
        <f ca="1">Master[[#This Row],[ChecklistID]]+Master[[#This Row],[Checklist Order]]</f>
        <v>126004</v>
      </c>
      <c r="C1351" s="22"/>
      <c r="D1351" s="3" t="str" cm="1">
        <f t="array" aca="1" ref="D1351" ca="1">_xlfn.SWITCH(MID(Master[[#This Row],[Checklist]],1,4),"C - ","Civil","F - ","Foundation","ST -","Structure","FC -","Façade","PRE ","Pre-Line","POST","Post-Line","H - ","Handover","S - ","Services","CST ","Completion Docs", "I - ", "Inspection")</f>
        <v>Façade</v>
      </c>
      <c r="E13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1" s="24" t="str">
        <f ca="1">IF(OR(Master[[#This Row],[Type]]="checklist", Master[[#This Row],[Type]]="checklist-flat"), Master[[#This Row],[Name]], F1350)</f>
        <v>FC - S - RAB</v>
      </c>
      <c r="G1351" s="34" t="s">
        <v>49</v>
      </c>
      <c r="H1351" s="34" t="s">
        <v>551</v>
      </c>
      <c r="I1351" s="35"/>
      <c r="J1351" s="21">
        <f ca="1">_xlfn.XLOOKUP(Master[[#This Row],[Checklist]],Ref!A:A,Ref!B:B)*1000</f>
        <v>126000</v>
      </c>
      <c r="K1351" s="21">
        <f ca="1">COUNTIF($J$2:Master[[#This Row],[ChecklistID]],Master[[#This Row],[ChecklistID]])-1</f>
        <v>4</v>
      </c>
      <c r="L1351" s="23" t="s">
        <v>6</v>
      </c>
    </row>
    <row r="1352" spans="1:12" ht="15.75">
      <c r="A1352" s="23">
        <f t="shared" si="21"/>
        <v>1351</v>
      </c>
      <c r="B1352" s="21">
        <f ca="1">Master[[#This Row],[ChecklistID]]+Master[[#This Row],[Checklist Order]]</f>
        <v>126005</v>
      </c>
      <c r="C1352" s="22"/>
      <c r="D1352" s="3" t="str" cm="1">
        <f t="array" aca="1" ref="D1352" ca="1">_xlfn.SWITCH(MID(Master[[#This Row],[Checklist]],1,4),"C - ","Civil","F - ","Foundation","ST -","Structure","FC -","Façade","PRE ","Pre-Line","POST","Post-Line","H - ","Handover","S - ","Services","CST ","Completion Docs", "I - ", "Inspection")</f>
        <v>Façade</v>
      </c>
      <c r="E13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2" s="24" t="str">
        <f ca="1">IF(OR(Master[[#This Row],[Type]]="checklist", Master[[#This Row],[Type]]="checklist-flat"), Master[[#This Row],[Name]], F1351)</f>
        <v>FC - S - RAB</v>
      </c>
      <c r="G1352" s="34" t="s">
        <v>49</v>
      </c>
      <c r="H1352" s="34" t="s">
        <v>552</v>
      </c>
      <c r="I1352" s="35"/>
      <c r="J1352" s="21">
        <f ca="1">_xlfn.XLOOKUP(Master[[#This Row],[Checklist]],Ref!A:A,Ref!B:B)*1000</f>
        <v>126000</v>
      </c>
      <c r="K1352" s="21">
        <f ca="1">COUNTIF($J$2:Master[[#This Row],[ChecklistID]],Master[[#This Row],[ChecklistID]])-1</f>
        <v>5</v>
      </c>
      <c r="L1352" s="23" t="s">
        <v>6</v>
      </c>
    </row>
    <row r="1353" spans="1:12" ht="15.75">
      <c r="A1353" s="23">
        <f t="shared" si="21"/>
        <v>1352</v>
      </c>
      <c r="B1353" s="21">
        <f ca="1">Master[[#This Row],[ChecklistID]]+Master[[#This Row],[Checklist Order]]</f>
        <v>126006</v>
      </c>
      <c r="C1353" s="22"/>
      <c r="D1353" s="3" t="str" cm="1">
        <f t="array" aca="1" ref="D1353" ca="1">_xlfn.SWITCH(MID(Master[[#This Row],[Checklist]],1,4),"C - ","Civil","F - ","Foundation","ST -","Structure","FC -","Façade","PRE ","Pre-Line","POST","Post-Line","H - ","Handover","S - ","Services","CST ","Completion Docs", "I - ", "Inspection")</f>
        <v>Façade</v>
      </c>
      <c r="E13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3" s="24" t="str">
        <f ca="1">IF(OR(Master[[#This Row],[Type]]="checklist", Master[[#This Row],[Type]]="checklist-flat"), Master[[#This Row],[Name]], F1352)</f>
        <v>FC - S - RAB</v>
      </c>
      <c r="G1353" s="34" t="s">
        <v>49</v>
      </c>
      <c r="H1353" s="34" t="s">
        <v>553</v>
      </c>
      <c r="I1353" s="35"/>
      <c r="J1353" s="21">
        <f ca="1">_xlfn.XLOOKUP(Master[[#This Row],[Checklist]],Ref!A:A,Ref!B:B)*1000</f>
        <v>126000</v>
      </c>
      <c r="K1353" s="21">
        <f ca="1">COUNTIF($J$2:Master[[#This Row],[ChecklistID]],Master[[#This Row],[ChecklistID]])-1</f>
        <v>6</v>
      </c>
      <c r="L1353" s="23" t="s">
        <v>6</v>
      </c>
    </row>
    <row r="1354" spans="1:12" ht="15.75">
      <c r="A1354" s="23">
        <f t="shared" si="21"/>
        <v>1353</v>
      </c>
      <c r="B1354" s="21">
        <f ca="1">Master[[#This Row],[ChecklistID]]+Master[[#This Row],[Checklist Order]]</f>
        <v>126007</v>
      </c>
      <c r="C1354" s="22"/>
      <c r="D1354" s="3" t="str" cm="1">
        <f t="array" aca="1" ref="D1354" ca="1">_xlfn.SWITCH(MID(Master[[#This Row],[Checklist]],1,4),"C - ","Civil","F - ","Foundation","ST -","Structure","FC -","Façade","PRE ","Pre-Line","POST","Post-Line","H - ","Handover","S - ","Services","CST ","Completion Docs", "I - ", "Inspection")</f>
        <v>Façade</v>
      </c>
      <c r="E13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4" s="24" t="str">
        <f ca="1">IF(OR(Master[[#This Row],[Type]]="checklist", Master[[#This Row],[Type]]="checklist-flat"), Master[[#This Row],[Name]], F1353)</f>
        <v>FC - S - RAB</v>
      </c>
      <c r="G1354" s="34" t="s">
        <v>49</v>
      </c>
      <c r="H1354" s="34" t="s">
        <v>554</v>
      </c>
      <c r="I1354" s="35"/>
      <c r="J1354" s="21">
        <f ca="1">_xlfn.XLOOKUP(Master[[#This Row],[Checklist]],Ref!A:A,Ref!B:B)*1000</f>
        <v>126000</v>
      </c>
      <c r="K1354" s="21">
        <f ca="1">COUNTIF($J$2:Master[[#This Row],[ChecklistID]],Master[[#This Row],[ChecklistID]])-1</f>
        <v>7</v>
      </c>
      <c r="L1354" s="23" t="s">
        <v>6</v>
      </c>
    </row>
    <row r="1355" spans="1:12" ht="28.15">
      <c r="A1355" s="23">
        <f t="shared" si="21"/>
        <v>1354</v>
      </c>
      <c r="B1355" s="21">
        <f ca="1">Master[[#This Row],[ChecklistID]]+Master[[#This Row],[Checklist Order]]</f>
        <v>126008</v>
      </c>
      <c r="C1355" s="22"/>
      <c r="D1355" s="3" t="str" cm="1">
        <f t="array" aca="1" ref="D1355" ca="1">_xlfn.SWITCH(MID(Master[[#This Row],[Checklist]],1,4),"C - ","Civil","F - ","Foundation","ST -","Structure","FC -","Façade","PRE ","Pre-Line","POST","Post-Line","H - ","Handover","S - ","Services","CST ","Completion Docs", "I - ", "Inspection")</f>
        <v>Façade</v>
      </c>
      <c r="E13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5" s="24" t="str">
        <f ca="1">IF(OR(Master[[#This Row],[Type]]="checklist", Master[[#This Row],[Type]]="checklist-flat"), Master[[#This Row],[Name]], F1354)</f>
        <v>FC - S - RAB</v>
      </c>
      <c r="G1355" s="34" t="s">
        <v>49</v>
      </c>
      <c r="H1355" s="72" t="s">
        <v>1700</v>
      </c>
      <c r="I1355" s="35"/>
      <c r="J1355" s="21">
        <f ca="1">_xlfn.XLOOKUP(Master[[#This Row],[Checklist]],Ref!A:A,Ref!B:B)*1000</f>
        <v>126000</v>
      </c>
      <c r="K1355" s="21">
        <f ca="1">COUNTIF($J$2:Master[[#This Row],[ChecklistID]],Master[[#This Row],[ChecklistID]])-1</f>
        <v>8</v>
      </c>
      <c r="L1355" s="23" t="s">
        <v>6</v>
      </c>
    </row>
    <row r="1356" spans="1:12" ht="15.75">
      <c r="A1356" s="23">
        <f t="shared" si="21"/>
        <v>1355</v>
      </c>
      <c r="B1356" s="21">
        <f ca="1">Master[[#This Row],[ChecklistID]]+Master[[#This Row],[Checklist Order]]</f>
        <v>126009</v>
      </c>
      <c r="C1356" s="22"/>
      <c r="D1356" s="3" t="str" cm="1">
        <f t="array" aca="1" ref="D1356" ca="1">_xlfn.SWITCH(MID(Master[[#This Row],[Checklist]],1,4),"C - ","Civil","F - ","Foundation","ST -","Structure","FC -","Façade","PRE ","Pre-Line","POST","Post-Line","H - ","Handover","S - ","Services","CST ","Completion Docs", "I - ", "Inspection")</f>
        <v>Façade</v>
      </c>
      <c r="E13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6" s="24" t="str">
        <f ca="1">IF(OR(Master[[#This Row],[Type]]="checklist", Master[[#This Row],[Type]]="checklist-flat"), Master[[#This Row],[Name]], F1355)</f>
        <v>FC - S - RAB</v>
      </c>
      <c r="G1356" s="34" t="s">
        <v>49</v>
      </c>
      <c r="H1356" s="34" t="s">
        <v>556</v>
      </c>
      <c r="I1356" s="35"/>
      <c r="J1356" s="21">
        <f ca="1">_xlfn.XLOOKUP(Master[[#This Row],[Checklist]],Ref!A:A,Ref!B:B)*1000</f>
        <v>126000</v>
      </c>
      <c r="K1356" s="21">
        <f ca="1">COUNTIF($J$2:Master[[#This Row],[ChecklistID]],Master[[#This Row],[ChecklistID]])-1</f>
        <v>9</v>
      </c>
      <c r="L1356" s="23" t="s">
        <v>6</v>
      </c>
    </row>
    <row r="1357" spans="1:12" ht="15.75">
      <c r="A1357" s="23">
        <f t="shared" si="21"/>
        <v>1356</v>
      </c>
      <c r="B1357" s="21">
        <f ca="1">Master[[#This Row],[ChecklistID]]+Master[[#This Row],[Checklist Order]]</f>
        <v>126010</v>
      </c>
      <c r="C1357" s="22"/>
      <c r="D1357" s="3" t="str" cm="1">
        <f t="array" aca="1" ref="D1357" ca="1">_xlfn.SWITCH(MID(Master[[#This Row],[Checklist]],1,4),"C - ","Civil","F - ","Foundation","ST -","Structure","FC -","Façade","PRE ","Pre-Line","POST","Post-Line","H - ","Handover","S - ","Services","CST ","Completion Docs", "I - ", "Inspection")</f>
        <v>Façade</v>
      </c>
      <c r="E13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7" s="24" t="str">
        <f ca="1">IF(OR(Master[[#This Row],[Type]]="checklist", Master[[#This Row],[Type]]="checklist-flat"), Master[[#This Row],[Name]], F1356)</f>
        <v>FC - S - RAB</v>
      </c>
      <c r="G1357" s="34" t="s">
        <v>49</v>
      </c>
      <c r="H1357" s="34" t="s">
        <v>57</v>
      </c>
      <c r="I1357" s="35"/>
      <c r="J1357" s="21">
        <f ca="1">_xlfn.XLOOKUP(Master[[#This Row],[Checklist]],Ref!A:A,Ref!B:B)*1000</f>
        <v>126000</v>
      </c>
      <c r="K1357" s="21">
        <f ca="1">COUNTIF($J$2:Master[[#This Row],[ChecklistID]],Master[[#This Row],[ChecklistID]])-1</f>
        <v>10</v>
      </c>
      <c r="L1357" s="23" t="s">
        <v>6</v>
      </c>
    </row>
    <row r="1358" spans="1:12" ht="15.75">
      <c r="A1358" s="23">
        <f t="shared" si="21"/>
        <v>1357</v>
      </c>
      <c r="B1358" s="21">
        <f ca="1">Master[[#This Row],[ChecklistID]]+Master[[#This Row],[Checklist Order]]</f>
        <v>126011</v>
      </c>
      <c r="C1358" s="22"/>
      <c r="D1358" s="3" t="str" cm="1">
        <f t="array" aca="1" ref="D1358" ca="1">_xlfn.SWITCH(MID(Master[[#This Row],[Checklist]],1,4),"C - ","Civil","F - ","Foundation","ST -","Structure","FC -","Façade","PRE ","Pre-Line","POST","Post-Line","H - ","Handover","S - ","Services","CST ","Completion Docs", "I - ", "Inspection")</f>
        <v>Façade</v>
      </c>
      <c r="E13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8" s="24" t="str">
        <f ca="1">IF(OR(Master[[#This Row],[Type]]="checklist", Master[[#This Row],[Type]]="checklist-flat"), Master[[#This Row],[Name]], F1357)</f>
        <v>FC - S - RAB</v>
      </c>
      <c r="G1358" s="34" t="s">
        <v>58</v>
      </c>
      <c r="H1358" s="34" t="s">
        <v>59</v>
      </c>
      <c r="I1358" s="35"/>
      <c r="J1358" s="21">
        <f ca="1">_xlfn.XLOOKUP(Master[[#This Row],[Checklist]],Ref!A:A,Ref!B:B)*1000</f>
        <v>126000</v>
      </c>
      <c r="K1358" s="21">
        <f ca="1">COUNTIF($J$2:Master[[#This Row],[ChecklistID]],Master[[#This Row],[ChecklistID]])-1</f>
        <v>11</v>
      </c>
      <c r="L1358" s="23" t="s">
        <v>6</v>
      </c>
    </row>
    <row r="1359" spans="1:12" ht="15.75">
      <c r="A1359" s="23">
        <f t="shared" si="21"/>
        <v>1358</v>
      </c>
      <c r="B1359" s="21">
        <f ca="1">Master[[#This Row],[ChecklistID]]+Master[[#This Row],[Checklist Order]]</f>
        <v>127000</v>
      </c>
      <c r="C1359" s="22"/>
      <c r="D1359" s="3" t="str" cm="1">
        <f t="array" aca="1" ref="D1359" ca="1">_xlfn.SWITCH(MID(Master[[#This Row],[Checklist]],1,4),"C - ","Civil","F - ","Foundation","ST -","Structure","FC -","Façade","PRE ","Pre-Line","POST","Post-Line","H - ","Handover","S - ","Services","CST ","Completion Docs", "I - ", "Inspection")</f>
        <v>Façade</v>
      </c>
      <c r="E13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59" s="24" t="str">
        <f ca="1">IF(OR(Master[[#This Row],[Type]]="checklist", Master[[#This Row],[Type]]="checklist-flat"), Master[[#This Row],[Name]], F1358)</f>
        <v>FC - S - Windows, Sliders and Sealants</v>
      </c>
      <c r="G1359" s="34" t="s">
        <v>48</v>
      </c>
      <c r="H1359" s="34" t="s">
        <v>557</v>
      </c>
      <c r="I1359" s="35"/>
      <c r="J1359" s="21">
        <f ca="1">_xlfn.XLOOKUP(Master[[#This Row],[Checklist]],Ref!A:A,Ref!B:B)*1000</f>
        <v>127000</v>
      </c>
      <c r="K1359" s="21">
        <f ca="1">COUNTIF($J$2:Master[[#This Row],[ChecklistID]],Master[[#This Row],[ChecklistID]])-1</f>
        <v>0</v>
      </c>
      <c r="L1359" s="23" t="s">
        <v>6</v>
      </c>
    </row>
    <row r="1360" spans="1:12" ht="15.75">
      <c r="A1360" s="23">
        <f t="shared" si="21"/>
        <v>1359</v>
      </c>
      <c r="B1360" s="21">
        <f ca="1">Master[[#This Row],[ChecklistID]]+Master[[#This Row],[Checklist Order]]</f>
        <v>127001</v>
      </c>
      <c r="C1360" s="22"/>
      <c r="D1360" s="3" t="str" cm="1">
        <f t="array" aca="1" ref="D1360" ca="1">_xlfn.SWITCH(MID(Master[[#This Row],[Checklist]],1,4),"C - ","Civil","F - ","Foundation","ST -","Structure","FC -","Façade","PRE ","Pre-Line","POST","Post-Line","H - ","Handover","S - ","Services","CST ","Completion Docs", "I - ", "Inspection")</f>
        <v>Façade</v>
      </c>
      <c r="E13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0" s="24" t="str">
        <f ca="1">IF(OR(Master[[#This Row],[Type]]="checklist", Master[[#This Row],[Type]]="checklist-flat"), Master[[#This Row],[Name]], F1359)</f>
        <v>FC - S - Windows, Sliders and Sealants</v>
      </c>
      <c r="G1360" s="34" t="s">
        <v>49</v>
      </c>
      <c r="H1360" s="34" t="s">
        <v>558</v>
      </c>
      <c r="I1360" s="35"/>
      <c r="J1360" s="21">
        <f ca="1">_xlfn.XLOOKUP(Master[[#This Row],[Checklist]],Ref!A:A,Ref!B:B)*1000</f>
        <v>127000</v>
      </c>
      <c r="K1360" s="21">
        <f ca="1">COUNTIF($J$2:Master[[#This Row],[ChecklistID]],Master[[#This Row],[ChecklistID]])-1</f>
        <v>1</v>
      </c>
      <c r="L1360" s="23" t="s">
        <v>6</v>
      </c>
    </row>
    <row r="1361" spans="1:12" ht="15.75">
      <c r="A1361" s="23">
        <f t="shared" si="21"/>
        <v>1360</v>
      </c>
      <c r="B1361" s="21">
        <f ca="1">Master[[#This Row],[ChecklistID]]+Master[[#This Row],[Checklist Order]]</f>
        <v>127002</v>
      </c>
      <c r="C1361" s="22"/>
      <c r="D1361" s="3" t="str" cm="1">
        <f t="array" aca="1" ref="D1361" ca="1">_xlfn.SWITCH(MID(Master[[#This Row],[Checklist]],1,4),"C - ","Civil","F - ","Foundation","ST -","Structure","FC -","Façade","PRE ","Pre-Line","POST","Post-Line","H - ","Handover","S - ","Services","CST ","Completion Docs", "I - ", "Inspection")</f>
        <v>Façade</v>
      </c>
      <c r="E13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1" s="24" t="str">
        <f ca="1">IF(OR(Master[[#This Row],[Type]]="checklist", Master[[#This Row],[Type]]="checklist-flat"), Master[[#This Row],[Name]], F1360)</f>
        <v>FC - S - Windows, Sliders and Sealants</v>
      </c>
      <c r="G1361" s="34" t="s">
        <v>49</v>
      </c>
      <c r="H1361" s="34" t="s">
        <v>559</v>
      </c>
      <c r="I1361" s="35"/>
      <c r="J1361" s="21">
        <f ca="1">_xlfn.XLOOKUP(Master[[#This Row],[Checklist]],Ref!A:A,Ref!B:B)*1000</f>
        <v>127000</v>
      </c>
      <c r="K1361" s="21">
        <f ca="1">COUNTIF($J$2:Master[[#This Row],[ChecklistID]],Master[[#This Row],[ChecklistID]])-1</f>
        <v>2</v>
      </c>
      <c r="L1361" s="23" t="s">
        <v>6</v>
      </c>
    </row>
    <row r="1362" spans="1:12" ht="15.75">
      <c r="A1362" s="23">
        <f t="shared" si="21"/>
        <v>1361</v>
      </c>
      <c r="B1362" s="21">
        <f ca="1">Master[[#This Row],[ChecklistID]]+Master[[#This Row],[Checklist Order]]</f>
        <v>127003</v>
      </c>
      <c r="C1362" s="22"/>
      <c r="D1362" s="3" t="str" cm="1">
        <f t="array" aca="1" ref="D1362" ca="1">_xlfn.SWITCH(MID(Master[[#This Row],[Checklist]],1,4),"C - ","Civil","F - ","Foundation","ST -","Structure","FC -","Façade","PRE ","Pre-Line","POST","Post-Line","H - ","Handover","S - ","Services","CST ","Completion Docs", "I - ", "Inspection")</f>
        <v>Façade</v>
      </c>
      <c r="E13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2" s="24" t="str">
        <f ca="1">IF(OR(Master[[#This Row],[Type]]="checklist", Master[[#This Row],[Type]]="checklist-flat"), Master[[#This Row],[Name]], F1361)</f>
        <v>FC - S - Windows, Sliders and Sealants</v>
      </c>
      <c r="G1362" s="34" t="s">
        <v>49</v>
      </c>
      <c r="H1362" s="34" t="s">
        <v>560</v>
      </c>
      <c r="I1362" s="35"/>
      <c r="J1362" s="21">
        <f ca="1">_xlfn.XLOOKUP(Master[[#This Row],[Checklist]],Ref!A:A,Ref!B:B)*1000</f>
        <v>127000</v>
      </c>
      <c r="K1362" s="21">
        <f ca="1">COUNTIF($J$2:Master[[#This Row],[ChecklistID]],Master[[#This Row],[ChecklistID]])-1</f>
        <v>3</v>
      </c>
      <c r="L1362" s="23" t="s">
        <v>6</v>
      </c>
    </row>
    <row r="1363" spans="1:12" ht="15.75">
      <c r="A1363" s="23">
        <f t="shared" si="21"/>
        <v>1362</v>
      </c>
      <c r="B1363" s="21">
        <f ca="1">Master[[#This Row],[ChecklistID]]+Master[[#This Row],[Checklist Order]]</f>
        <v>127004</v>
      </c>
      <c r="C1363" s="22"/>
      <c r="D1363" s="3" t="str" cm="1">
        <f t="array" aca="1" ref="D1363" ca="1">_xlfn.SWITCH(MID(Master[[#This Row],[Checklist]],1,4),"C - ","Civil","F - ","Foundation","ST -","Structure","FC -","Façade","PRE ","Pre-Line","POST","Post-Line","H - ","Handover","S - ","Services","CST ","Completion Docs", "I - ", "Inspection")</f>
        <v>Façade</v>
      </c>
      <c r="E13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3" s="24" t="str">
        <f ca="1">IF(OR(Master[[#This Row],[Type]]="checklist", Master[[#This Row],[Type]]="checklist-flat"), Master[[#This Row],[Name]], F1362)</f>
        <v>FC - S - Windows, Sliders and Sealants</v>
      </c>
      <c r="G1363" s="34" t="s">
        <v>49</v>
      </c>
      <c r="H1363" s="34" t="s">
        <v>561</v>
      </c>
      <c r="I1363" s="35"/>
      <c r="J1363" s="21">
        <f ca="1">_xlfn.XLOOKUP(Master[[#This Row],[Checklist]],Ref!A:A,Ref!B:B)*1000</f>
        <v>127000</v>
      </c>
      <c r="K1363" s="21">
        <f ca="1">COUNTIF($J$2:Master[[#This Row],[ChecklistID]],Master[[#This Row],[ChecklistID]])-1</f>
        <v>4</v>
      </c>
      <c r="L1363" s="23" t="s">
        <v>6</v>
      </c>
    </row>
    <row r="1364" spans="1:12" ht="15.75">
      <c r="A1364" s="23">
        <f t="shared" si="21"/>
        <v>1363</v>
      </c>
      <c r="B1364" s="21">
        <f ca="1">Master[[#This Row],[ChecklistID]]+Master[[#This Row],[Checklist Order]]</f>
        <v>127005</v>
      </c>
      <c r="C1364" s="22"/>
      <c r="D1364" s="3" t="str" cm="1">
        <f t="array" aca="1" ref="D1364" ca="1">_xlfn.SWITCH(MID(Master[[#This Row],[Checklist]],1,4),"C - ","Civil","F - ","Foundation","ST -","Structure","FC -","Façade","PRE ","Pre-Line","POST","Post-Line","H - ","Handover","S - ","Services","CST ","Completion Docs", "I - ", "Inspection")</f>
        <v>Façade</v>
      </c>
      <c r="E13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4" s="24" t="str">
        <f ca="1">IF(OR(Master[[#This Row],[Type]]="checklist", Master[[#This Row],[Type]]="checklist-flat"), Master[[#This Row],[Name]], F1363)</f>
        <v>FC - S - Windows, Sliders and Sealants</v>
      </c>
      <c r="G1364" s="34" t="s">
        <v>49</v>
      </c>
      <c r="H1364" s="34" t="s">
        <v>562</v>
      </c>
      <c r="I1364" s="35"/>
      <c r="J1364" s="21">
        <f ca="1">_xlfn.XLOOKUP(Master[[#This Row],[Checklist]],Ref!A:A,Ref!B:B)*1000</f>
        <v>127000</v>
      </c>
      <c r="K1364" s="21">
        <f ca="1">COUNTIF($J$2:Master[[#This Row],[ChecklistID]],Master[[#This Row],[ChecklistID]])-1</f>
        <v>5</v>
      </c>
      <c r="L1364" s="23" t="s">
        <v>6</v>
      </c>
    </row>
    <row r="1365" spans="1:12" ht="15.75">
      <c r="A1365" s="23">
        <f t="shared" si="21"/>
        <v>1364</v>
      </c>
      <c r="B1365" s="21">
        <f ca="1">Master[[#This Row],[ChecklistID]]+Master[[#This Row],[Checklist Order]]</f>
        <v>127006</v>
      </c>
      <c r="C1365" s="22"/>
      <c r="D1365" s="3" t="str" cm="1">
        <f t="array" aca="1" ref="D1365" ca="1">_xlfn.SWITCH(MID(Master[[#This Row],[Checklist]],1,4),"C - ","Civil","F - ","Foundation","ST -","Structure","FC -","Façade","PRE ","Pre-Line","POST","Post-Line","H - ","Handover","S - ","Services","CST ","Completion Docs", "I - ", "Inspection")</f>
        <v>Façade</v>
      </c>
      <c r="E13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5" s="24" t="str">
        <f ca="1">IF(OR(Master[[#This Row],[Type]]="checklist", Master[[#This Row],[Type]]="checklist-flat"), Master[[#This Row],[Name]], F1364)</f>
        <v>FC - S - Windows, Sliders and Sealants</v>
      </c>
      <c r="G1365" s="34" t="s">
        <v>49</v>
      </c>
      <c r="H1365" s="34" t="s">
        <v>563</v>
      </c>
      <c r="I1365" s="35"/>
      <c r="J1365" s="21">
        <f ca="1">_xlfn.XLOOKUP(Master[[#This Row],[Checklist]],Ref!A:A,Ref!B:B)*1000</f>
        <v>127000</v>
      </c>
      <c r="K1365" s="21">
        <f ca="1">COUNTIF($J$2:Master[[#This Row],[ChecklistID]],Master[[#This Row],[ChecklistID]])-1</f>
        <v>6</v>
      </c>
      <c r="L1365" s="23" t="s">
        <v>6</v>
      </c>
    </row>
    <row r="1366" spans="1:12" ht="15.75">
      <c r="A1366" s="23">
        <f t="shared" si="21"/>
        <v>1365</v>
      </c>
      <c r="B1366" s="21">
        <f ca="1">Master[[#This Row],[ChecklistID]]+Master[[#This Row],[Checklist Order]]</f>
        <v>127007</v>
      </c>
      <c r="C1366" s="22"/>
      <c r="D1366" s="3" t="str" cm="1">
        <f t="array" aca="1" ref="D1366" ca="1">_xlfn.SWITCH(MID(Master[[#This Row],[Checklist]],1,4),"C - ","Civil","F - ","Foundation","ST -","Structure","FC -","Façade","PRE ","Pre-Line","POST","Post-Line","H - ","Handover","S - ","Services","CST ","Completion Docs", "I - ", "Inspection")</f>
        <v>Façade</v>
      </c>
      <c r="E13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6" s="24" t="str">
        <f ca="1">IF(OR(Master[[#This Row],[Type]]="checklist", Master[[#This Row],[Type]]="checklist-flat"), Master[[#This Row],[Name]], F1365)</f>
        <v>FC - S - Windows, Sliders and Sealants</v>
      </c>
      <c r="G1366" s="34" t="s">
        <v>49</v>
      </c>
      <c r="H1366" s="34" t="s">
        <v>564</v>
      </c>
      <c r="I1366" s="35"/>
      <c r="J1366" s="21">
        <f ca="1">_xlfn.XLOOKUP(Master[[#This Row],[Checklist]],Ref!A:A,Ref!B:B)*1000</f>
        <v>127000</v>
      </c>
      <c r="K1366" s="21">
        <f ca="1">COUNTIF($J$2:Master[[#This Row],[ChecklistID]],Master[[#This Row],[ChecklistID]])-1</f>
        <v>7</v>
      </c>
      <c r="L1366" s="23" t="s">
        <v>6</v>
      </c>
    </row>
    <row r="1367" spans="1:12" ht="15.75">
      <c r="A1367" s="23">
        <f t="shared" si="21"/>
        <v>1366</v>
      </c>
      <c r="B1367" s="21">
        <f ca="1">Master[[#This Row],[ChecklistID]]+Master[[#This Row],[Checklist Order]]</f>
        <v>127008</v>
      </c>
      <c r="C1367" s="22"/>
      <c r="D1367" s="3" t="str" cm="1">
        <f t="array" aca="1" ref="D1367" ca="1">_xlfn.SWITCH(MID(Master[[#This Row],[Checklist]],1,4),"C - ","Civil","F - ","Foundation","ST -","Structure","FC -","Façade","PRE ","Pre-Line","POST","Post-Line","H - ","Handover","S - ","Services","CST ","Completion Docs", "I - ", "Inspection")</f>
        <v>Façade</v>
      </c>
      <c r="E13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7" s="24" t="str">
        <f ca="1">IF(OR(Master[[#This Row],[Type]]="checklist", Master[[#This Row],[Type]]="checklist-flat"), Master[[#This Row],[Name]], F1366)</f>
        <v>FC - S - Windows, Sliders and Sealants</v>
      </c>
      <c r="G1367" s="34" t="s">
        <v>49</v>
      </c>
      <c r="H1367" s="34" t="s">
        <v>416</v>
      </c>
      <c r="I1367" s="35"/>
      <c r="J1367" s="21">
        <f ca="1">_xlfn.XLOOKUP(Master[[#This Row],[Checklist]],Ref!A:A,Ref!B:B)*1000</f>
        <v>127000</v>
      </c>
      <c r="K1367" s="21">
        <f ca="1">COUNTIF($J$2:Master[[#This Row],[ChecklistID]],Master[[#This Row],[ChecklistID]])-1</f>
        <v>8</v>
      </c>
      <c r="L1367" s="23" t="s">
        <v>6</v>
      </c>
    </row>
    <row r="1368" spans="1:12" ht="15.75">
      <c r="A1368" s="23">
        <f t="shared" si="21"/>
        <v>1367</v>
      </c>
      <c r="B1368" s="21">
        <f ca="1">Master[[#This Row],[ChecklistID]]+Master[[#This Row],[Checklist Order]]</f>
        <v>127009</v>
      </c>
      <c r="C1368" s="22"/>
      <c r="D1368" s="3" t="str" cm="1">
        <f t="array" aca="1" ref="D1368" ca="1">_xlfn.SWITCH(MID(Master[[#This Row],[Checklist]],1,4),"C - ","Civil","F - ","Foundation","ST -","Structure","FC -","Façade","PRE ","Pre-Line","POST","Post-Line","H - ","Handover","S - ","Services","CST ","Completion Docs", "I - ", "Inspection")</f>
        <v>Façade</v>
      </c>
      <c r="E13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8" s="24" t="str">
        <f ca="1">IF(OR(Master[[#This Row],[Type]]="checklist", Master[[#This Row],[Type]]="checklist-flat"), Master[[#This Row],[Name]], F1367)</f>
        <v>FC - S - Windows, Sliders and Sealants</v>
      </c>
      <c r="G1368" s="34" t="s">
        <v>49</v>
      </c>
      <c r="H1368" s="34" t="s">
        <v>565</v>
      </c>
      <c r="I1368" s="35"/>
      <c r="J1368" s="21">
        <f ca="1">_xlfn.XLOOKUP(Master[[#This Row],[Checklist]],Ref!A:A,Ref!B:B)*1000</f>
        <v>127000</v>
      </c>
      <c r="K1368" s="21">
        <f ca="1">COUNTIF($J$2:Master[[#This Row],[ChecklistID]],Master[[#This Row],[ChecklistID]])-1</f>
        <v>9</v>
      </c>
      <c r="L1368" s="23" t="s">
        <v>6</v>
      </c>
    </row>
    <row r="1369" spans="1:12" ht="15.75">
      <c r="A1369" s="23">
        <f t="shared" si="21"/>
        <v>1368</v>
      </c>
      <c r="B1369" s="21">
        <f ca="1">Master[[#This Row],[ChecklistID]]+Master[[#This Row],[Checklist Order]]</f>
        <v>127010</v>
      </c>
      <c r="C1369" s="22"/>
      <c r="D1369" s="3" t="str" cm="1">
        <f t="array" aca="1" ref="D1369" ca="1">_xlfn.SWITCH(MID(Master[[#This Row],[Checklist]],1,4),"C - ","Civil","F - ","Foundation","ST -","Structure","FC -","Façade","PRE ","Pre-Line","POST","Post-Line","H - ","Handover","S - ","Services","CST ","Completion Docs", "I - ", "Inspection")</f>
        <v>Façade</v>
      </c>
      <c r="E13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69" s="24" t="str">
        <f ca="1">IF(OR(Master[[#This Row],[Type]]="checklist", Master[[#This Row],[Type]]="checklist-flat"), Master[[#This Row],[Name]], F1368)</f>
        <v>FC - S - Windows, Sliders and Sealants</v>
      </c>
      <c r="G1369" s="34" t="s">
        <v>49</v>
      </c>
      <c r="H1369" s="34" t="s">
        <v>566</v>
      </c>
      <c r="I1369" s="35"/>
      <c r="J1369" s="21">
        <f ca="1">_xlfn.XLOOKUP(Master[[#This Row],[Checklist]],Ref!A:A,Ref!B:B)*1000</f>
        <v>127000</v>
      </c>
      <c r="K1369" s="21">
        <f ca="1">COUNTIF($J$2:Master[[#This Row],[ChecklistID]],Master[[#This Row],[ChecklistID]])-1</f>
        <v>10</v>
      </c>
      <c r="L1369" s="23" t="s">
        <v>6</v>
      </c>
    </row>
    <row r="1370" spans="1:12" ht="15.75">
      <c r="A1370" s="23">
        <f t="shared" si="21"/>
        <v>1369</v>
      </c>
      <c r="B1370" s="21">
        <f ca="1">Master[[#This Row],[ChecklistID]]+Master[[#This Row],[Checklist Order]]</f>
        <v>127011</v>
      </c>
      <c r="C1370" s="22"/>
      <c r="D1370" s="3" t="str" cm="1">
        <f t="array" aca="1" ref="D1370" ca="1">_xlfn.SWITCH(MID(Master[[#This Row],[Checklist]],1,4),"C - ","Civil","F - ","Foundation","ST -","Structure","FC -","Façade","PRE ","Pre-Line","POST","Post-Line","H - ","Handover","S - ","Services","CST ","Completion Docs", "I - ", "Inspection")</f>
        <v>Façade</v>
      </c>
      <c r="E13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0" s="24" t="str">
        <f ca="1">IF(OR(Master[[#This Row],[Type]]="checklist", Master[[#This Row],[Type]]="checklist-flat"), Master[[#This Row],[Name]], F1369)</f>
        <v>FC - S - Windows, Sliders and Sealants</v>
      </c>
      <c r="G1370" s="34" t="s">
        <v>49</v>
      </c>
      <c r="H1370" s="34" t="s">
        <v>57</v>
      </c>
      <c r="I1370" s="35"/>
      <c r="J1370" s="21">
        <f ca="1">_xlfn.XLOOKUP(Master[[#This Row],[Checklist]],Ref!A:A,Ref!B:B)*1000</f>
        <v>127000</v>
      </c>
      <c r="K1370" s="21">
        <f ca="1">COUNTIF($J$2:Master[[#This Row],[ChecklistID]],Master[[#This Row],[ChecklistID]])-1</f>
        <v>11</v>
      </c>
      <c r="L1370" s="23" t="s">
        <v>6</v>
      </c>
    </row>
    <row r="1371" spans="1:12" ht="15.75">
      <c r="A1371" s="23">
        <f t="shared" si="21"/>
        <v>1370</v>
      </c>
      <c r="B1371" s="21">
        <f ca="1">Master[[#This Row],[ChecklistID]]+Master[[#This Row],[Checklist Order]]</f>
        <v>127012</v>
      </c>
      <c r="C1371" s="22"/>
      <c r="D1371" s="3" t="str" cm="1">
        <f t="array" aca="1" ref="D1371" ca="1">_xlfn.SWITCH(MID(Master[[#This Row],[Checklist]],1,4),"C - ","Civil","F - ","Foundation","ST -","Structure","FC -","Façade","PRE ","Pre-Line","POST","Post-Line","H - ","Handover","S - ","Services","CST ","Completion Docs", "I - ", "Inspection")</f>
        <v>Façade</v>
      </c>
      <c r="E13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1" s="24" t="str">
        <f ca="1">IF(OR(Master[[#This Row],[Type]]="checklist", Master[[#This Row],[Type]]="checklist-flat"), Master[[#This Row],[Name]], F1370)</f>
        <v>FC - S - Windows, Sliders and Sealants</v>
      </c>
      <c r="G1371" s="34" t="s">
        <v>58</v>
      </c>
      <c r="H1371" s="34" t="s">
        <v>59</v>
      </c>
      <c r="I1371" s="35"/>
      <c r="J1371" s="21">
        <f ca="1">_xlfn.XLOOKUP(Master[[#This Row],[Checklist]],Ref!A:A,Ref!B:B)*1000</f>
        <v>127000</v>
      </c>
      <c r="K1371" s="21">
        <f ca="1">COUNTIF($J$2:Master[[#This Row],[ChecklistID]],Master[[#This Row],[ChecklistID]])-1</f>
        <v>12</v>
      </c>
      <c r="L1371" s="23" t="s">
        <v>6</v>
      </c>
    </row>
    <row r="1372" spans="1:12" ht="15.75">
      <c r="A1372" s="23">
        <f t="shared" si="21"/>
        <v>1371</v>
      </c>
      <c r="B1372" s="21">
        <f ca="1">Master[[#This Row],[ChecklistID]]+Master[[#This Row],[Checklist Order]]</f>
        <v>128000</v>
      </c>
      <c r="C1372" s="22"/>
      <c r="D1372" s="3" t="str" cm="1">
        <f t="array" aca="1" ref="D1372" ca="1">_xlfn.SWITCH(MID(Master[[#This Row],[Checklist]],1,4),"C - ","Civil","F - ","Foundation","ST -","Structure","FC -","Façade","PRE ","Pre-Line","POST","Post-Line","H - ","Handover","S - ","Services","CST ","Completion Docs", "I - ", "Inspection")</f>
        <v>Pre-Line</v>
      </c>
      <c r="E13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2" s="24" t="str">
        <f ca="1">IF(OR(Master[[#This Row],[Type]]="checklist", Master[[#This Row],[Type]]="checklist-flat"), Master[[#This Row],[Name]], F1371)</f>
        <v>PRE - S - Timber Framing</v>
      </c>
      <c r="G1372" s="34" t="s">
        <v>48</v>
      </c>
      <c r="H1372" s="34" t="s">
        <v>568</v>
      </c>
      <c r="I1372" s="35"/>
      <c r="J1372" s="21">
        <f ca="1">_xlfn.XLOOKUP(Master[[#This Row],[Checklist]],Ref!A:A,Ref!B:B)*1000</f>
        <v>128000</v>
      </c>
      <c r="K1372" s="21">
        <f ca="1">COUNTIF($J$2:Master[[#This Row],[ChecklistID]],Master[[#This Row],[ChecklistID]])-1</f>
        <v>0</v>
      </c>
      <c r="L1372" s="23" t="s">
        <v>6</v>
      </c>
    </row>
    <row r="1373" spans="1:12" ht="15.75">
      <c r="A1373" s="23">
        <f t="shared" si="21"/>
        <v>1372</v>
      </c>
      <c r="B1373" s="21">
        <f ca="1">Master[[#This Row],[ChecklistID]]+Master[[#This Row],[Checklist Order]]</f>
        <v>128001</v>
      </c>
      <c r="C1373" s="22"/>
      <c r="D1373" s="3" t="str" cm="1">
        <f t="array" aca="1" ref="D1373" ca="1">_xlfn.SWITCH(MID(Master[[#This Row],[Checklist]],1,4),"C - ","Civil","F - ","Foundation","ST -","Structure","FC -","Façade","PRE ","Pre-Line","POST","Post-Line","H - ","Handover","S - ","Services","CST ","Completion Docs", "I - ", "Inspection")</f>
        <v>Pre-Line</v>
      </c>
      <c r="E13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3" s="24" t="str">
        <f ca="1">IF(OR(Master[[#This Row],[Type]]="checklist", Master[[#This Row],[Type]]="checklist-flat"), Master[[#This Row],[Name]], F1372)</f>
        <v>PRE - S - Timber Framing</v>
      </c>
      <c r="G1373" s="34" t="s">
        <v>49</v>
      </c>
      <c r="H1373" s="34" t="s">
        <v>569</v>
      </c>
      <c r="I1373" s="35"/>
      <c r="J1373" s="21">
        <f ca="1">_xlfn.XLOOKUP(Master[[#This Row],[Checklist]],Ref!A:A,Ref!B:B)*1000</f>
        <v>128000</v>
      </c>
      <c r="K1373" s="21">
        <f ca="1">COUNTIF($J$2:Master[[#This Row],[ChecklistID]],Master[[#This Row],[ChecklistID]])-1</f>
        <v>1</v>
      </c>
      <c r="L1373" s="23" t="s">
        <v>6</v>
      </c>
    </row>
    <row r="1374" spans="1:12" ht="15.75">
      <c r="A1374" s="23">
        <f t="shared" si="21"/>
        <v>1373</v>
      </c>
      <c r="B1374" s="21">
        <f ca="1">Master[[#This Row],[ChecklistID]]+Master[[#This Row],[Checklist Order]]</f>
        <v>128002</v>
      </c>
      <c r="C1374" s="22"/>
      <c r="D1374" s="3" t="str" cm="1">
        <f t="array" aca="1" ref="D1374" ca="1">_xlfn.SWITCH(MID(Master[[#This Row],[Checklist]],1,4),"C - ","Civil","F - ","Foundation","ST -","Structure","FC -","Façade","PRE ","Pre-Line","POST","Post-Line","H - ","Handover","S - ","Services","CST ","Completion Docs", "I - ", "Inspection")</f>
        <v>Pre-Line</v>
      </c>
      <c r="E13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4" s="24" t="str">
        <f ca="1">IF(OR(Master[[#This Row],[Type]]="checklist", Master[[#This Row],[Type]]="checklist-flat"), Master[[#This Row],[Name]], F1373)</f>
        <v>PRE - S - Timber Framing</v>
      </c>
      <c r="G1374" s="34" t="s">
        <v>49</v>
      </c>
      <c r="H1374" s="34" t="s">
        <v>570</v>
      </c>
      <c r="I1374" s="35"/>
      <c r="J1374" s="21">
        <f ca="1">_xlfn.XLOOKUP(Master[[#This Row],[Checklist]],Ref!A:A,Ref!B:B)*1000</f>
        <v>128000</v>
      </c>
      <c r="K1374" s="21">
        <f ca="1">COUNTIF($J$2:Master[[#This Row],[ChecklistID]],Master[[#This Row],[ChecklistID]])-1</f>
        <v>2</v>
      </c>
      <c r="L1374" s="23" t="s">
        <v>6</v>
      </c>
    </row>
    <row r="1375" spans="1:12" ht="15.75">
      <c r="A1375" s="23">
        <f t="shared" si="21"/>
        <v>1374</v>
      </c>
      <c r="B1375" s="21">
        <f ca="1">Master[[#This Row],[ChecklistID]]+Master[[#This Row],[Checklist Order]]</f>
        <v>128003</v>
      </c>
      <c r="C1375" s="22"/>
      <c r="D1375" s="3" t="str" cm="1">
        <f t="array" aca="1" ref="D1375" ca="1">_xlfn.SWITCH(MID(Master[[#This Row],[Checklist]],1,4),"C - ","Civil","F - ","Foundation","ST -","Structure","FC -","Façade","PRE ","Pre-Line","POST","Post-Line","H - ","Handover","S - ","Services","CST ","Completion Docs", "I - ", "Inspection")</f>
        <v>Pre-Line</v>
      </c>
      <c r="E13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5" s="24" t="str">
        <f ca="1">IF(OR(Master[[#This Row],[Type]]="checklist", Master[[#This Row],[Type]]="checklist-flat"), Master[[#This Row],[Name]], F1374)</f>
        <v>PRE - S - Timber Framing</v>
      </c>
      <c r="G1375" s="34" t="s">
        <v>49</v>
      </c>
      <c r="H1375" s="34" t="s">
        <v>571</v>
      </c>
      <c r="I1375" s="35"/>
      <c r="J1375" s="21">
        <f ca="1">_xlfn.XLOOKUP(Master[[#This Row],[Checklist]],Ref!A:A,Ref!B:B)*1000</f>
        <v>128000</v>
      </c>
      <c r="K1375" s="21">
        <f ca="1">COUNTIF($J$2:Master[[#This Row],[ChecklistID]],Master[[#This Row],[ChecklistID]])-1</f>
        <v>3</v>
      </c>
      <c r="L1375" s="23" t="s">
        <v>6</v>
      </c>
    </row>
    <row r="1376" spans="1:12" ht="15.75">
      <c r="A1376" s="23">
        <f t="shared" si="21"/>
        <v>1375</v>
      </c>
      <c r="B1376" s="21">
        <f ca="1">Master[[#This Row],[ChecklistID]]+Master[[#This Row],[Checklist Order]]</f>
        <v>128004</v>
      </c>
      <c r="C1376" s="22"/>
      <c r="D1376" s="3" t="str" cm="1">
        <f t="array" aca="1" ref="D1376" ca="1">_xlfn.SWITCH(MID(Master[[#This Row],[Checklist]],1,4),"C - ","Civil","F - ","Foundation","ST -","Structure","FC -","Façade","PRE ","Pre-Line","POST","Post-Line","H - ","Handover","S - ","Services","CST ","Completion Docs", "I - ", "Inspection")</f>
        <v>Pre-Line</v>
      </c>
      <c r="E13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6" s="24" t="str">
        <f ca="1">IF(OR(Master[[#This Row],[Type]]="checklist", Master[[#This Row],[Type]]="checklist-flat"), Master[[#This Row],[Name]], F1375)</f>
        <v>PRE - S - Timber Framing</v>
      </c>
      <c r="G1376" s="34" t="s">
        <v>49</v>
      </c>
      <c r="H1376" s="34" t="s">
        <v>572</v>
      </c>
      <c r="I1376" s="35"/>
      <c r="J1376" s="21">
        <f ca="1">_xlfn.XLOOKUP(Master[[#This Row],[Checklist]],Ref!A:A,Ref!B:B)*1000</f>
        <v>128000</v>
      </c>
      <c r="K1376" s="21">
        <f ca="1">COUNTIF($J$2:Master[[#This Row],[ChecklistID]],Master[[#This Row],[ChecklistID]])-1</f>
        <v>4</v>
      </c>
      <c r="L1376" s="23" t="s">
        <v>6</v>
      </c>
    </row>
    <row r="1377" spans="1:12" ht="15.75">
      <c r="A1377" s="23">
        <f t="shared" si="21"/>
        <v>1376</v>
      </c>
      <c r="B1377" s="21">
        <f ca="1">Master[[#This Row],[ChecklistID]]+Master[[#This Row],[Checklist Order]]</f>
        <v>128005</v>
      </c>
      <c r="C1377" s="22"/>
      <c r="D1377" s="3" t="str" cm="1">
        <f t="array" aca="1" ref="D1377" ca="1">_xlfn.SWITCH(MID(Master[[#This Row],[Checklist]],1,4),"C - ","Civil","F - ","Foundation","ST -","Structure","FC -","Façade","PRE ","Pre-Line","POST","Post-Line","H - ","Handover","S - ","Services","CST ","Completion Docs", "I - ", "Inspection")</f>
        <v>Pre-Line</v>
      </c>
      <c r="E13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7" s="24" t="str">
        <f ca="1">IF(OR(Master[[#This Row],[Type]]="checklist", Master[[#This Row],[Type]]="checklist-flat"), Master[[#This Row],[Name]], F1376)</f>
        <v>PRE - S - Timber Framing</v>
      </c>
      <c r="G1377" s="34" t="s">
        <v>49</v>
      </c>
      <c r="H1377" s="34" t="s">
        <v>573</v>
      </c>
      <c r="I1377" s="35"/>
      <c r="J1377" s="21">
        <f ca="1">_xlfn.XLOOKUP(Master[[#This Row],[Checklist]],Ref!A:A,Ref!B:B)*1000</f>
        <v>128000</v>
      </c>
      <c r="K1377" s="21">
        <f ca="1">COUNTIF($J$2:Master[[#This Row],[ChecklistID]],Master[[#This Row],[ChecklistID]])-1</f>
        <v>5</v>
      </c>
      <c r="L1377" s="23" t="s">
        <v>6</v>
      </c>
    </row>
    <row r="1378" spans="1:12" ht="15.75">
      <c r="A1378" s="23">
        <f t="shared" si="21"/>
        <v>1377</v>
      </c>
      <c r="B1378" s="21">
        <f ca="1">Master[[#This Row],[ChecklistID]]+Master[[#This Row],[Checklist Order]]</f>
        <v>128006</v>
      </c>
      <c r="C1378" s="22"/>
      <c r="D1378" s="3" t="str" cm="1">
        <f t="array" aca="1" ref="D1378" ca="1">_xlfn.SWITCH(MID(Master[[#This Row],[Checklist]],1,4),"C - ","Civil","F - ","Foundation","ST -","Structure","FC -","Façade","PRE ","Pre-Line","POST","Post-Line","H - ","Handover","S - ","Services","CST ","Completion Docs", "I - ", "Inspection")</f>
        <v>Pre-Line</v>
      </c>
      <c r="E13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8" s="24" t="str">
        <f ca="1">IF(OR(Master[[#This Row],[Type]]="checklist", Master[[#This Row],[Type]]="checklist-flat"), Master[[#This Row],[Name]], F1377)</f>
        <v>PRE - S - Timber Framing</v>
      </c>
      <c r="G1378" s="34" t="s">
        <v>49</v>
      </c>
      <c r="H1378" s="34" t="s">
        <v>574</v>
      </c>
      <c r="I1378" s="35"/>
      <c r="J1378" s="21">
        <f ca="1">_xlfn.XLOOKUP(Master[[#This Row],[Checklist]],Ref!A:A,Ref!B:B)*1000</f>
        <v>128000</v>
      </c>
      <c r="K1378" s="21">
        <f ca="1">COUNTIF($J$2:Master[[#This Row],[ChecklistID]],Master[[#This Row],[ChecklistID]])-1</f>
        <v>6</v>
      </c>
      <c r="L1378" s="23" t="s">
        <v>6</v>
      </c>
    </row>
    <row r="1379" spans="1:12" ht="15.75">
      <c r="A1379" s="23">
        <f t="shared" si="21"/>
        <v>1378</v>
      </c>
      <c r="B1379" s="21">
        <f ca="1">Master[[#This Row],[ChecklistID]]+Master[[#This Row],[Checklist Order]]</f>
        <v>128007</v>
      </c>
      <c r="C1379" s="22"/>
      <c r="D1379" s="3" t="str" cm="1">
        <f t="array" aca="1" ref="D1379" ca="1">_xlfn.SWITCH(MID(Master[[#This Row],[Checklist]],1,4),"C - ","Civil","F - ","Foundation","ST -","Structure","FC -","Façade","PRE ","Pre-Line","POST","Post-Line","H - ","Handover","S - ","Services","CST ","Completion Docs", "I - ", "Inspection")</f>
        <v>Pre-Line</v>
      </c>
      <c r="E13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79" s="24" t="str">
        <f ca="1">IF(OR(Master[[#This Row],[Type]]="checklist", Master[[#This Row],[Type]]="checklist-flat"), Master[[#This Row],[Name]], F1378)</f>
        <v>PRE - S - Timber Framing</v>
      </c>
      <c r="G1379" s="34" t="s">
        <v>49</v>
      </c>
      <c r="H1379" s="34" t="s">
        <v>575</v>
      </c>
      <c r="I1379" s="35"/>
      <c r="J1379" s="21">
        <f ca="1">_xlfn.XLOOKUP(Master[[#This Row],[Checklist]],Ref!A:A,Ref!B:B)*1000</f>
        <v>128000</v>
      </c>
      <c r="K1379" s="21">
        <f ca="1">COUNTIF($J$2:Master[[#This Row],[ChecklistID]],Master[[#This Row],[ChecklistID]])-1</f>
        <v>7</v>
      </c>
      <c r="L1379" s="23" t="s">
        <v>6</v>
      </c>
    </row>
    <row r="1380" spans="1:12" ht="15.75">
      <c r="A1380" s="23">
        <f t="shared" si="21"/>
        <v>1379</v>
      </c>
      <c r="B1380" s="21">
        <f ca="1">Master[[#This Row],[ChecklistID]]+Master[[#This Row],[Checklist Order]]</f>
        <v>128008</v>
      </c>
      <c r="C1380" s="22"/>
      <c r="D1380" s="3" t="str" cm="1">
        <f t="array" aca="1" ref="D1380" ca="1">_xlfn.SWITCH(MID(Master[[#This Row],[Checklist]],1,4),"C - ","Civil","F - ","Foundation","ST -","Structure","FC -","Façade","PRE ","Pre-Line","POST","Post-Line","H - ","Handover","S - ","Services","CST ","Completion Docs", "I - ", "Inspection")</f>
        <v>Pre-Line</v>
      </c>
      <c r="E13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0" s="24" t="str">
        <f ca="1">IF(OR(Master[[#This Row],[Type]]="checklist", Master[[#This Row],[Type]]="checklist-flat"), Master[[#This Row],[Name]], F1379)</f>
        <v>PRE - S - Timber Framing</v>
      </c>
      <c r="G1380" s="34" t="s">
        <v>49</v>
      </c>
      <c r="H1380" s="34" t="s">
        <v>576</v>
      </c>
      <c r="I1380" s="35"/>
      <c r="J1380" s="21">
        <f ca="1">_xlfn.XLOOKUP(Master[[#This Row],[Checklist]],Ref!A:A,Ref!B:B)*1000</f>
        <v>128000</v>
      </c>
      <c r="K1380" s="21">
        <f ca="1">COUNTIF($J$2:Master[[#This Row],[ChecklistID]],Master[[#This Row],[ChecklistID]])-1</f>
        <v>8</v>
      </c>
      <c r="L1380" s="23" t="s">
        <v>6</v>
      </c>
    </row>
    <row r="1381" spans="1:12" ht="15.75">
      <c r="A1381" s="23">
        <f t="shared" si="21"/>
        <v>1380</v>
      </c>
      <c r="B1381" s="21">
        <f ca="1">Master[[#This Row],[ChecklistID]]+Master[[#This Row],[Checklist Order]]</f>
        <v>128009</v>
      </c>
      <c r="C1381" s="22"/>
      <c r="D1381" s="3" t="str" cm="1">
        <f t="array" aca="1" ref="D1381" ca="1">_xlfn.SWITCH(MID(Master[[#This Row],[Checklist]],1,4),"C - ","Civil","F - ","Foundation","ST -","Structure","FC -","Façade","PRE ","Pre-Line","POST","Post-Line","H - ","Handover","S - ","Services","CST ","Completion Docs", "I - ", "Inspection")</f>
        <v>Pre-Line</v>
      </c>
      <c r="E13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1" s="24" t="str">
        <f ca="1">IF(OR(Master[[#This Row],[Type]]="checklist", Master[[#This Row],[Type]]="checklist-flat"), Master[[#This Row],[Name]], F1380)</f>
        <v>PRE - S - Timber Framing</v>
      </c>
      <c r="G1381" s="34" t="s">
        <v>49</v>
      </c>
      <c r="H1381" s="34" t="s">
        <v>57</v>
      </c>
      <c r="I1381" s="35"/>
      <c r="J1381" s="21">
        <f ca="1">_xlfn.XLOOKUP(Master[[#This Row],[Checklist]],Ref!A:A,Ref!B:B)*1000</f>
        <v>128000</v>
      </c>
      <c r="K1381" s="21">
        <f ca="1">COUNTIF($J$2:Master[[#This Row],[ChecklistID]],Master[[#This Row],[ChecklistID]])-1</f>
        <v>9</v>
      </c>
      <c r="L1381" s="23" t="s">
        <v>6</v>
      </c>
    </row>
    <row r="1382" spans="1:12" ht="15.75">
      <c r="A1382" s="23">
        <f t="shared" si="21"/>
        <v>1381</v>
      </c>
      <c r="B1382" s="21">
        <f ca="1">Master[[#This Row],[ChecklistID]]+Master[[#This Row],[Checklist Order]]</f>
        <v>128010</v>
      </c>
      <c r="C1382" s="22"/>
      <c r="D1382" s="3" t="str" cm="1">
        <f t="array" aca="1" ref="D1382" ca="1">_xlfn.SWITCH(MID(Master[[#This Row],[Checklist]],1,4),"C - ","Civil","F - ","Foundation","ST -","Structure","FC -","Façade","PRE ","Pre-Line","POST","Post-Line","H - ","Handover","S - ","Services","CST ","Completion Docs", "I - ", "Inspection")</f>
        <v>Pre-Line</v>
      </c>
      <c r="E13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2" s="24" t="str">
        <f ca="1">IF(OR(Master[[#This Row],[Type]]="checklist", Master[[#This Row],[Type]]="checklist-flat"), Master[[#This Row],[Name]], F1381)</f>
        <v>PRE - S - Timber Framing</v>
      </c>
      <c r="G1382" s="34" t="s">
        <v>58</v>
      </c>
      <c r="H1382" s="34" t="s">
        <v>59</v>
      </c>
      <c r="I1382" s="35"/>
      <c r="J1382" s="21">
        <f ca="1">_xlfn.XLOOKUP(Master[[#This Row],[Checklist]],Ref!A:A,Ref!B:B)*1000</f>
        <v>128000</v>
      </c>
      <c r="K1382" s="21">
        <f ca="1">COUNTIF($J$2:Master[[#This Row],[ChecklistID]],Master[[#This Row],[ChecklistID]])-1</f>
        <v>10</v>
      </c>
      <c r="L1382" s="23" t="s">
        <v>6</v>
      </c>
    </row>
    <row r="1383" spans="1:12" ht="15.75">
      <c r="A1383" s="23">
        <f t="shared" si="21"/>
        <v>1382</v>
      </c>
      <c r="B1383" s="21">
        <f ca="1">Master[[#This Row],[ChecklistID]]+Master[[#This Row],[Checklist Order]]</f>
        <v>129000</v>
      </c>
      <c r="C1383" s="22"/>
      <c r="D1383" s="3" t="str" cm="1">
        <f t="array" aca="1" ref="D1383" ca="1">_xlfn.SWITCH(MID(Master[[#This Row],[Checklist]],1,4),"C - ","Civil","F - ","Foundation","ST -","Structure","FC -","Façade","PRE ","Pre-Line","POST","Post-Line","H - ","Handover","S - ","Services","CST ","Completion Docs", "I - ", "Inspection")</f>
        <v>Pre-Line</v>
      </c>
      <c r="E13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3" s="24" t="str">
        <f ca="1">IF(OR(Master[[#This Row],[Type]]="checklist", Master[[#This Row],[Type]]="checklist-flat"), Master[[#This Row],[Name]], F1382)</f>
        <v>PRE - S - Steel Stud Framing</v>
      </c>
      <c r="G1383" s="34" t="s">
        <v>48</v>
      </c>
      <c r="H1383" s="34" t="s">
        <v>577</v>
      </c>
      <c r="I1383" s="35"/>
      <c r="J1383" s="21">
        <f ca="1">_xlfn.XLOOKUP(Master[[#This Row],[Checklist]],Ref!A:A,Ref!B:B)*1000</f>
        <v>129000</v>
      </c>
      <c r="K1383" s="21">
        <f ca="1">COUNTIF($J$2:Master[[#This Row],[ChecklistID]],Master[[#This Row],[ChecklistID]])-1</f>
        <v>0</v>
      </c>
      <c r="L1383" s="23" t="s">
        <v>6</v>
      </c>
    </row>
    <row r="1384" spans="1:12" ht="15.75">
      <c r="A1384" s="23">
        <f t="shared" si="21"/>
        <v>1383</v>
      </c>
      <c r="B1384" s="21">
        <f ca="1">Master[[#This Row],[ChecklistID]]+Master[[#This Row],[Checklist Order]]</f>
        <v>129001</v>
      </c>
      <c r="C1384" s="22"/>
      <c r="D1384" s="3" t="str" cm="1">
        <f t="array" aca="1" ref="D1384" ca="1">_xlfn.SWITCH(MID(Master[[#This Row],[Checklist]],1,4),"C - ","Civil","F - ","Foundation","ST -","Structure","FC -","Façade","PRE ","Pre-Line","POST","Post-Line","H - ","Handover","S - ","Services","CST ","Completion Docs", "I - ", "Inspection")</f>
        <v>Pre-Line</v>
      </c>
      <c r="E13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4" s="24" t="str">
        <f ca="1">IF(OR(Master[[#This Row],[Type]]="checklist", Master[[#This Row],[Type]]="checklist-flat"), Master[[#This Row],[Name]], F1383)</f>
        <v>PRE - S - Steel Stud Framing</v>
      </c>
      <c r="G1384" s="34" t="s">
        <v>49</v>
      </c>
      <c r="H1384" s="34" t="s">
        <v>578</v>
      </c>
      <c r="I1384" s="35"/>
      <c r="J1384" s="21">
        <f ca="1">_xlfn.XLOOKUP(Master[[#This Row],[Checklist]],Ref!A:A,Ref!B:B)*1000</f>
        <v>129000</v>
      </c>
      <c r="K1384" s="21">
        <f ca="1">COUNTIF($J$2:Master[[#This Row],[ChecklistID]],Master[[#This Row],[ChecklistID]])-1</f>
        <v>1</v>
      </c>
      <c r="L1384" s="23" t="s">
        <v>6</v>
      </c>
    </row>
    <row r="1385" spans="1:12" ht="15.75">
      <c r="A1385" s="23">
        <f t="shared" si="21"/>
        <v>1384</v>
      </c>
      <c r="B1385" s="21">
        <f ca="1">Master[[#This Row],[ChecklistID]]+Master[[#This Row],[Checklist Order]]</f>
        <v>129002</v>
      </c>
      <c r="C1385" s="22"/>
      <c r="D1385" s="3" t="str" cm="1">
        <f t="array" aca="1" ref="D1385" ca="1">_xlfn.SWITCH(MID(Master[[#This Row],[Checklist]],1,4),"C - ","Civil","F - ","Foundation","ST -","Structure","FC -","Façade","PRE ","Pre-Line","POST","Post-Line","H - ","Handover","S - ","Services","CST ","Completion Docs", "I - ", "Inspection")</f>
        <v>Pre-Line</v>
      </c>
      <c r="E13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5" s="24" t="str">
        <f ca="1">IF(OR(Master[[#This Row],[Type]]="checklist", Master[[#This Row],[Type]]="checklist-flat"), Master[[#This Row],[Name]], F1384)</f>
        <v>PRE - S - Steel Stud Framing</v>
      </c>
      <c r="G1385" s="34" t="s">
        <v>49</v>
      </c>
      <c r="H1385" s="34" t="s">
        <v>579</v>
      </c>
      <c r="I1385" s="35"/>
      <c r="J1385" s="21">
        <f ca="1">_xlfn.XLOOKUP(Master[[#This Row],[Checklist]],Ref!A:A,Ref!B:B)*1000</f>
        <v>129000</v>
      </c>
      <c r="K1385" s="21">
        <f ca="1">COUNTIF($J$2:Master[[#This Row],[ChecklistID]],Master[[#This Row],[ChecklistID]])-1</f>
        <v>2</v>
      </c>
      <c r="L1385" s="23" t="s">
        <v>6</v>
      </c>
    </row>
    <row r="1386" spans="1:12" ht="15.75">
      <c r="A1386" s="23">
        <f t="shared" ref="A1386:A1449" si="22">IFERROR(A1385+1,1)</f>
        <v>1385</v>
      </c>
      <c r="B1386" s="21">
        <f ca="1">Master[[#This Row],[ChecklistID]]+Master[[#This Row],[Checklist Order]]</f>
        <v>129003</v>
      </c>
      <c r="C1386" s="22"/>
      <c r="D1386" s="3" t="str" cm="1">
        <f t="array" aca="1" ref="D1386" ca="1">_xlfn.SWITCH(MID(Master[[#This Row],[Checklist]],1,4),"C - ","Civil","F - ","Foundation","ST -","Structure","FC -","Façade","PRE ","Pre-Line","POST","Post-Line","H - ","Handover","S - ","Services","CST ","Completion Docs", "I - ", "Inspection")</f>
        <v>Pre-Line</v>
      </c>
      <c r="E13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6" s="24" t="str">
        <f ca="1">IF(OR(Master[[#This Row],[Type]]="checklist", Master[[#This Row],[Type]]="checklist-flat"), Master[[#This Row],[Name]], F1385)</f>
        <v>PRE - S - Steel Stud Framing</v>
      </c>
      <c r="G1386" s="34" t="s">
        <v>49</v>
      </c>
      <c r="H1386" s="34" t="s">
        <v>580</v>
      </c>
      <c r="I1386" s="35"/>
      <c r="J1386" s="21">
        <f ca="1">_xlfn.XLOOKUP(Master[[#This Row],[Checklist]],Ref!A:A,Ref!B:B)*1000</f>
        <v>129000</v>
      </c>
      <c r="K1386" s="21">
        <f ca="1">COUNTIF($J$2:Master[[#This Row],[ChecklistID]],Master[[#This Row],[ChecklistID]])-1</f>
        <v>3</v>
      </c>
      <c r="L1386" s="23" t="s">
        <v>6</v>
      </c>
    </row>
    <row r="1387" spans="1:12" ht="15.75">
      <c r="A1387" s="23">
        <f t="shared" si="22"/>
        <v>1386</v>
      </c>
      <c r="B1387" s="21">
        <f ca="1">Master[[#This Row],[ChecklistID]]+Master[[#This Row],[Checklist Order]]</f>
        <v>129004</v>
      </c>
      <c r="C1387" s="22"/>
      <c r="D1387" s="3" t="str" cm="1">
        <f t="array" aca="1" ref="D1387" ca="1">_xlfn.SWITCH(MID(Master[[#This Row],[Checklist]],1,4),"C - ","Civil","F - ","Foundation","ST -","Structure","FC -","Façade","PRE ","Pre-Line","POST","Post-Line","H - ","Handover","S - ","Services","CST ","Completion Docs", "I - ", "Inspection")</f>
        <v>Pre-Line</v>
      </c>
      <c r="E13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7" s="24" t="str">
        <f ca="1">IF(OR(Master[[#This Row],[Type]]="checklist", Master[[#This Row],[Type]]="checklist-flat"), Master[[#This Row],[Name]], F1386)</f>
        <v>PRE - S - Steel Stud Framing</v>
      </c>
      <c r="G1387" s="34" t="s">
        <v>49</v>
      </c>
      <c r="H1387" s="34" t="s">
        <v>545</v>
      </c>
      <c r="I1387" s="35"/>
      <c r="J1387" s="21">
        <f ca="1">_xlfn.XLOOKUP(Master[[#This Row],[Checklist]],Ref!A:A,Ref!B:B)*1000</f>
        <v>129000</v>
      </c>
      <c r="K1387" s="21">
        <f ca="1">COUNTIF($J$2:Master[[#This Row],[ChecklistID]],Master[[#This Row],[ChecklistID]])-1</f>
        <v>4</v>
      </c>
      <c r="L1387" s="23" t="s">
        <v>6</v>
      </c>
    </row>
    <row r="1388" spans="1:12" ht="15.75">
      <c r="A1388" s="23">
        <f t="shared" si="22"/>
        <v>1387</v>
      </c>
      <c r="B1388" s="21">
        <f ca="1">Master[[#This Row],[ChecklistID]]+Master[[#This Row],[Checklist Order]]</f>
        <v>129005</v>
      </c>
      <c r="C1388" s="22"/>
      <c r="D1388" s="3" t="str" cm="1">
        <f t="array" aca="1" ref="D1388" ca="1">_xlfn.SWITCH(MID(Master[[#This Row],[Checklist]],1,4),"C - ","Civil","F - ","Foundation","ST -","Structure","FC -","Façade","PRE ","Pre-Line","POST","Post-Line","H - ","Handover","S - ","Services","CST ","Completion Docs", "I - ", "Inspection")</f>
        <v>Pre-Line</v>
      </c>
      <c r="E13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8" s="24" t="str">
        <f ca="1">IF(OR(Master[[#This Row],[Type]]="checklist", Master[[#This Row],[Type]]="checklist-flat"), Master[[#This Row],[Name]], F1387)</f>
        <v>PRE - S - Steel Stud Framing</v>
      </c>
      <c r="G1388" s="34" t="s">
        <v>49</v>
      </c>
      <c r="H1388" s="34" t="s">
        <v>581</v>
      </c>
      <c r="I1388" s="35"/>
      <c r="J1388" s="21">
        <f ca="1">_xlfn.XLOOKUP(Master[[#This Row],[Checklist]],Ref!A:A,Ref!B:B)*1000</f>
        <v>129000</v>
      </c>
      <c r="K1388" s="21">
        <f ca="1">COUNTIF($J$2:Master[[#This Row],[ChecklistID]],Master[[#This Row],[ChecklistID]])-1</f>
        <v>5</v>
      </c>
      <c r="L1388" s="23" t="s">
        <v>6</v>
      </c>
    </row>
    <row r="1389" spans="1:12" ht="15.75">
      <c r="A1389" s="23">
        <f t="shared" si="22"/>
        <v>1388</v>
      </c>
      <c r="B1389" s="21">
        <f ca="1">Master[[#This Row],[ChecklistID]]+Master[[#This Row],[Checklist Order]]</f>
        <v>129006</v>
      </c>
      <c r="C1389" s="22"/>
      <c r="D1389" s="3" t="str" cm="1">
        <f t="array" aca="1" ref="D1389" ca="1">_xlfn.SWITCH(MID(Master[[#This Row],[Checklist]],1,4),"C - ","Civil","F - ","Foundation","ST -","Structure","FC -","Façade","PRE ","Pre-Line","POST","Post-Line","H - ","Handover","S - ","Services","CST ","Completion Docs", "I - ", "Inspection")</f>
        <v>Pre-Line</v>
      </c>
      <c r="E13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89" s="24" t="str">
        <f ca="1">IF(OR(Master[[#This Row],[Type]]="checklist", Master[[#This Row],[Type]]="checklist-flat"), Master[[#This Row],[Name]], F1388)</f>
        <v>PRE - S - Steel Stud Framing</v>
      </c>
      <c r="G1389" s="34" t="s">
        <v>49</v>
      </c>
      <c r="H1389" s="34" t="s">
        <v>57</v>
      </c>
      <c r="I1389" s="35"/>
      <c r="J1389" s="21">
        <f ca="1">_xlfn.XLOOKUP(Master[[#This Row],[Checklist]],Ref!A:A,Ref!B:B)*1000</f>
        <v>129000</v>
      </c>
      <c r="K1389" s="21">
        <f ca="1">COUNTIF($J$2:Master[[#This Row],[ChecklistID]],Master[[#This Row],[ChecklistID]])-1</f>
        <v>6</v>
      </c>
      <c r="L1389" s="23" t="s">
        <v>6</v>
      </c>
    </row>
    <row r="1390" spans="1:12" ht="15.75">
      <c r="A1390" s="23">
        <f t="shared" si="22"/>
        <v>1389</v>
      </c>
      <c r="B1390" s="21">
        <f ca="1">Master[[#This Row],[ChecklistID]]+Master[[#This Row],[Checklist Order]]</f>
        <v>129007</v>
      </c>
      <c r="C1390" s="22"/>
      <c r="D1390" s="3" t="str" cm="1">
        <f t="array" aca="1" ref="D1390" ca="1">_xlfn.SWITCH(MID(Master[[#This Row],[Checklist]],1,4),"C - ","Civil","F - ","Foundation","ST -","Structure","FC -","Façade","PRE ","Pre-Line","POST","Post-Line","H - ","Handover","S - ","Services","CST ","Completion Docs", "I - ", "Inspection")</f>
        <v>Pre-Line</v>
      </c>
      <c r="E13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0" s="24" t="str">
        <f ca="1">IF(OR(Master[[#This Row],[Type]]="checklist", Master[[#This Row],[Type]]="checklist-flat"), Master[[#This Row],[Name]], F1389)</f>
        <v>PRE - S - Steel Stud Framing</v>
      </c>
      <c r="G1390" s="34" t="s">
        <v>58</v>
      </c>
      <c r="H1390" s="34" t="s">
        <v>59</v>
      </c>
      <c r="I1390" s="35"/>
      <c r="J1390" s="21">
        <f ca="1">_xlfn.XLOOKUP(Master[[#This Row],[Checklist]],Ref!A:A,Ref!B:B)*1000</f>
        <v>129000</v>
      </c>
      <c r="K1390" s="21">
        <f ca="1">COUNTIF($J$2:Master[[#This Row],[ChecklistID]],Master[[#This Row],[ChecklistID]])-1</f>
        <v>7</v>
      </c>
      <c r="L1390" s="23" t="s">
        <v>6</v>
      </c>
    </row>
    <row r="1391" spans="1:12" ht="15.75">
      <c r="A1391" s="23">
        <f t="shared" si="22"/>
        <v>1390</v>
      </c>
      <c r="B1391" s="21">
        <f ca="1">Master[[#This Row],[ChecklistID]]+Master[[#This Row],[Checklist Order]]</f>
        <v>130000</v>
      </c>
      <c r="C1391" s="22"/>
      <c r="D1391" s="3" t="str" cm="1">
        <f t="array" aca="1" ref="D1391" ca="1">_xlfn.SWITCH(MID(Master[[#This Row],[Checklist]],1,4),"C - ","Civil","F - ","Foundation","ST -","Structure","FC -","Façade","PRE ","Pre-Line","POST","Post-Line","H - ","Handover","S - ","Services","CST ","Completion Docs", "I - ", "Inspection")</f>
        <v>Pre-Line</v>
      </c>
      <c r="E13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1" s="24" t="str">
        <f ca="1">IF(OR(Master[[#This Row],[Type]]="checklist", Master[[#This Row],[Type]]="checklist-flat"), Master[[#This Row],[Name]], F1390)</f>
        <v xml:space="preserve">PRE - S - Insulation </v>
      </c>
      <c r="G1391" s="34" t="s">
        <v>48</v>
      </c>
      <c r="H1391" s="34" t="s">
        <v>582</v>
      </c>
      <c r="I1391" s="35"/>
      <c r="J1391" s="21">
        <f ca="1">_xlfn.XLOOKUP(Master[[#This Row],[Checklist]],Ref!A:A,Ref!B:B)*1000</f>
        <v>130000</v>
      </c>
      <c r="K1391" s="21">
        <f ca="1">COUNTIF($J$2:Master[[#This Row],[ChecklistID]],Master[[#This Row],[ChecklistID]])-1</f>
        <v>0</v>
      </c>
      <c r="L1391" s="23" t="s">
        <v>6</v>
      </c>
    </row>
    <row r="1392" spans="1:12" ht="15.75">
      <c r="A1392" s="23">
        <f t="shared" si="22"/>
        <v>1391</v>
      </c>
      <c r="B1392" s="21">
        <f ca="1">Master[[#This Row],[ChecklistID]]+Master[[#This Row],[Checklist Order]]</f>
        <v>130001</v>
      </c>
      <c r="C1392" s="22"/>
      <c r="D1392" s="3" t="str" cm="1">
        <f t="array" aca="1" ref="D1392" ca="1">_xlfn.SWITCH(MID(Master[[#This Row],[Checklist]],1,4),"C - ","Civil","F - ","Foundation","ST -","Structure","FC -","Façade","PRE ","Pre-Line","POST","Post-Line","H - ","Handover","S - ","Services","CST ","Completion Docs", "I - ", "Inspection")</f>
        <v>Pre-Line</v>
      </c>
      <c r="E13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2" s="24" t="str">
        <f ca="1">IF(OR(Master[[#This Row],[Type]]="checklist", Master[[#This Row],[Type]]="checklist-flat"), Master[[#This Row],[Name]], F1391)</f>
        <v xml:space="preserve">PRE - S - Insulation </v>
      </c>
      <c r="G1392" s="34" t="s">
        <v>49</v>
      </c>
      <c r="H1392" s="34" t="s">
        <v>583</v>
      </c>
      <c r="I1392" s="35"/>
      <c r="J1392" s="21">
        <f ca="1">_xlfn.XLOOKUP(Master[[#This Row],[Checklist]],Ref!A:A,Ref!B:B)*1000</f>
        <v>130000</v>
      </c>
      <c r="K1392" s="21">
        <f ca="1">COUNTIF($J$2:Master[[#This Row],[ChecklistID]],Master[[#This Row],[ChecklistID]])-1</f>
        <v>1</v>
      </c>
      <c r="L1392" s="23" t="s">
        <v>6</v>
      </c>
    </row>
    <row r="1393" spans="1:12" ht="15.75">
      <c r="A1393" s="23">
        <f t="shared" si="22"/>
        <v>1392</v>
      </c>
      <c r="B1393" s="21">
        <f ca="1">Master[[#This Row],[ChecklistID]]+Master[[#This Row],[Checklist Order]]</f>
        <v>130002</v>
      </c>
      <c r="C1393" s="22"/>
      <c r="D1393" s="3" t="str" cm="1">
        <f t="array" aca="1" ref="D1393" ca="1">_xlfn.SWITCH(MID(Master[[#This Row],[Checklist]],1,4),"C - ","Civil","F - ","Foundation","ST -","Structure","FC -","Façade","PRE ","Pre-Line","POST","Post-Line","H - ","Handover","S - ","Services","CST ","Completion Docs", "I - ", "Inspection")</f>
        <v>Pre-Line</v>
      </c>
      <c r="E13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3" s="24" t="str">
        <f ca="1">IF(OR(Master[[#This Row],[Type]]="checklist", Master[[#This Row],[Type]]="checklist-flat"), Master[[#This Row],[Name]], F1392)</f>
        <v xml:space="preserve">PRE - S - Insulation </v>
      </c>
      <c r="G1393" s="34" t="s">
        <v>49</v>
      </c>
      <c r="H1393" s="34" t="s">
        <v>584</v>
      </c>
      <c r="I1393" s="35"/>
      <c r="J1393" s="21">
        <f ca="1">_xlfn.XLOOKUP(Master[[#This Row],[Checklist]],Ref!A:A,Ref!B:B)*1000</f>
        <v>130000</v>
      </c>
      <c r="K1393" s="21">
        <f ca="1">COUNTIF($J$2:Master[[#This Row],[ChecklistID]],Master[[#This Row],[ChecklistID]])-1</f>
        <v>2</v>
      </c>
      <c r="L1393" s="23" t="s">
        <v>6</v>
      </c>
    </row>
    <row r="1394" spans="1:12" ht="15.75">
      <c r="A1394" s="23">
        <f t="shared" si="22"/>
        <v>1393</v>
      </c>
      <c r="B1394" s="21">
        <f ca="1">Master[[#This Row],[ChecklistID]]+Master[[#This Row],[Checklist Order]]</f>
        <v>130003</v>
      </c>
      <c r="C1394" s="22"/>
      <c r="D1394" s="3" t="str" cm="1">
        <f t="array" aca="1" ref="D1394" ca="1">_xlfn.SWITCH(MID(Master[[#This Row],[Checklist]],1,4),"C - ","Civil","F - ","Foundation","ST -","Structure","FC -","Façade","PRE ","Pre-Line","POST","Post-Line","H - ","Handover","S - ","Services","CST ","Completion Docs", "I - ", "Inspection")</f>
        <v>Pre-Line</v>
      </c>
      <c r="E13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4" s="24" t="str">
        <f ca="1">IF(OR(Master[[#This Row],[Type]]="checklist", Master[[#This Row],[Type]]="checklist-flat"), Master[[#This Row],[Name]], F1393)</f>
        <v xml:space="preserve">PRE - S - Insulation </v>
      </c>
      <c r="G1394" s="34" t="s">
        <v>49</v>
      </c>
      <c r="H1394" s="34" t="s">
        <v>585</v>
      </c>
      <c r="I1394" s="35"/>
      <c r="J1394" s="21">
        <f ca="1">_xlfn.XLOOKUP(Master[[#This Row],[Checklist]],Ref!A:A,Ref!B:B)*1000</f>
        <v>130000</v>
      </c>
      <c r="K1394" s="21">
        <f ca="1">COUNTIF($J$2:Master[[#This Row],[ChecklistID]],Master[[#This Row],[ChecklistID]])-1</f>
        <v>3</v>
      </c>
      <c r="L1394" s="23" t="s">
        <v>6</v>
      </c>
    </row>
    <row r="1395" spans="1:12" ht="15.75">
      <c r="A1395" s="23">
        <f t="shared" si="22"/>
        <v>1394</v>
      </c>
      <c r="B1395" s="21">
        <f ca="1">Master[[#This Row],[ChecklistID]]+Master[[#This Row],[Checklist Order]]</f>
        <v>130004</v>
      </c>
      <c r="C1395" s="22"/>
      <c r="D1395" s="3" t="str" cm="1">
        <f t="array" aca="1" ref="D1395" ca="1">_xlfn.SWITCH(MID(Master[[#This Row],[Checklist]],1,4),"C - ","Civil","F - ","Foundation","ST -","Structure","FC -","Façade","PRE ","Pre-Line","POST","Post-Line","H - ","Handover","S - ","Services","CST ","Completion Docs", "I - ", "Inspection")</f>
        <v>Pre-Line</v>
      </c>
      <c r="E13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5" s="24" t="str">
        <f ca="1">IF(OR(Master[[#This Row],[Type]]="checklist", Master[[#This Row],[Type]]="checklist-flat"), Master[[#This Row],[Name]], F1394)</f>
        <v xml:space="preserve">PRE - S - Insulation </v>
      </c>
      <c r="G1395" s="34" t="s">
        <v>49</v>
      </c>
      <c r="H1395" s="34" t="s">
        <v>57</v>
      </c>
      <c r="I1395" s="35"/>
      <c r="J1395" s="21">
        <f ca="1">_xlfn.XLOOKUP(Master[[#This Row],[Checklist]],Ref!A:A,Ref!B:B)*1000</f>
        <v>130000</v>
      </c>
      <c r="K1395" s="21">
        <f ca="1">COUNTIF($J$2:Master[[#This Row],[ChecklistID]],Master[[#This Row],[ChecklistID]])-1</f>
        <v>4</v>
      </c>
      <c r="L1395" s="23" t="s">
        <v>6</v>
      </c>
    </row>
    <row r="1396" spans="1:12" ht="15.75">
      <c r="A1396" s="23">
        <f t="shared" si="22"/>
        <v>1395</v>
      </c>
      <c r="B1396" s="21">
        <f ca="1">Master[[#This Row],[ChecklistID]]+Master[[#This Row],[Checklist Order]]</f>
        <v>130005</v>
      </c>
      <c r="C1396" s="22"/>
      <c r="D1396" s="3" t="str" cm="1">
        <f t="array" aca="1" ref="D1396" ca="1">_xlfn.SWITCH(MID(Master[[#This Row],[Checklist]],1,4),"C - ","Civil","F - ","Foundation","ST -","Structure","FC -","Façade","PRE ","Pre-Line","POST","Post-Line","H - ","Handover","S - ","Services","CST ","Completion Docs", "I - ", "Inspection")</f>
        <v>Pre-Line</v>
      </c>
      <c r="E13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6" s="24" t="str">
        <f ca="1">IF(OR(Master[[#This Row],[Type]]="checklist", Master[[#This Row],[Type]]="checklist-flat"), Master[[#This Row],[Name]], F1395)</f>
        <v xml:space="preserve">PRE - S - Insulation </v>
      </c>
      <c r="G1396" s="34" t="s">
        <v>58</v>
      </c>
      <c r="H1396" s="34" t="s">
        <v>59</v>
      </c>
      <c r="I1396" s="35"/>
      <c r="J1396" s="21">
        <f ca="1">_xlfn.XLOOKUP(Master[[#This Row],[Checklist]],Ref!A:A,Ref!B:B)*1000</f>
        <v>130000</v>
      </c>
      <c r="K1396" s="21">
        <f ca="1">COUNTIF($J$2:Master[[#This Row],[ChecklistID]],Master[[#This Row],[ChecklistID]])-1</f>
        <v>5</v>
      </c>
      <c r="L1396" s="23" t="s">
        <v>6</v>
      </c>
    </row>
    <row r="1397" spans="1:12" ht="15.75">
      <c r="A1397" s="23">
        <f t="shared" si="22"/>
        <v>1396</v>
      </c>
      <c r="B1397" s="21">
        <f ca="1">Master[[#This Row],[ChecklistID]]+Master[[#This Row],[Checklist Order]]</f>
        <v>131000</v>
      </c>
      <c r="C1397" s="22"/>
      <c r="D1397" s="3" t="str" cm="1">
        <f t="array" aca="1" ref="D1397" ca="1">_xlfn.SWITCH(MID(Master[[#This Row],[Checklist]],1,4),"C - ","Civil","F - ","Foundation","ST -","Structure","FC -","Façade","PRE ","Pre-Line","POST","Post-Line","H - ","Handover","S - ","Services","CST ","Completion Docs", "I - ", "Inspection")</f>
        <v>Pre-Line</v>
      </c>
      <c r="E13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7" s="24" t="str">
        <f ca="1">IF(OR(Master[[#This Row],[Type]]="checklist", Master[[#This Row],[Type]]="checklist-flat"), Master[[#This Row],[Name]], F1396)</f>
        <v xml:space="preserve">PRE - S - Suspended ceiling grids </v>
      </c>
      <c r="G1397" s="34" t="s">
        <v>48</v>
      </c>
      <c r="H1397" s="34" t="s">
        <v>586</v>
      </c>
      <c r="I1397" s="35"/>
      <c r="J1397" s="21">
        <f ca="1">_xlfn.XLOOKUP(Master[[#This Row],[Checklist]],Ref!A:A,Ref!B:B)*1000</f>
        <v>131000</v>
      </c>
      <c r="K1397" s="21">
        <f ca="1">COUNTIF($J$2:Master[[#This Row],[ChecklistID]],Master[[#This Row],[ChecklistID]])-1</f>
        <v>0</v>
      </c>
      <c r="L1397" s="23" t="s">
        <v>6</v>
      </c>
    </row>
    <row r="1398" spans="1:12" ht="15.75">
      <c r="A1398" s="23">
        <f t="shared" si="22"/>
        <v>1397</v>
      </c>
      <c r="B1398" s="21">
        <f ca="1">Master[[#This Row],[ChecklistID]]+Master[[#This Row],[Checklist Order]]</f>
        <v>131001</v>
      </c>
      <c r="C1398" s="22"/>
      <c r="D1398" s="3" t="str" cm="1">
        <f t="array" aca="1" ref="D1398" ca="1">_xlfn.SWITCH(MID(Master[[#This Row],[Checklist]],1,4),"C - ","Civil","F - ","Foundation","ST -","Structure","FC -","Façade","PRE ","Pre-Line","POST","Post-Line","H - ","Handover","S - ","Services","CST ","Completion Docs", "I - ", "Inspection")</f>
        <v>Pre-Line</v>
      </c>
      <c r="E13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8" s="24" t="str">
        <f ca="1">IF(OR(Master[[#This Row],[Type]]="checklist", Master[[#This Row],[Type]]="checklist-flat"), Master[[#This Row],[Name]], F1397)</f>
        <v xml:space="preserve">PRE - S - Suspended ceiling grids </v>
      </c>
      <c r="G1398" s="34" t="s">
        <v>49</v>
      </c>
      <c r="H1398" s="34" t="s">
        <v>587</v>
      </c>
      <c r="I1398" s="35"/>
      <c r="J1398" s="21">
        <f ca="1">_xlfn.XLOOKUP(Master[[#This Row],[Checklist]],Ref!A:A,Ref!B:B)*1000</f>
        <v>131000</v>
      </c>
      <c r="K1398" s="21">
        <f ca="1">COUNTIF($J$2:Master[[#This Row],[ChecklistID]],Master[[#This Row],[ChecklistID]])-1</f>
        <v>1</v>
      </c>
      <c r="L1398" s="23" t="s">
        <v>6</v>
      </c>
    </row>
    <row r="1399" spans="1:12" ht="15.75">
      <c r="A1399" s="23">
        <f t="shared" si="22"/>
        <v>1398</v>
      </c>
      <c r="B1399" s="21">
        <f ca="1">Master[[#This Row],[ChecklistID]]+Master[[#This Row],[Checklist Order]]</f>
        <v>131002</v>
      </c>
      <c r="C1399" s="22"/>
      <c r="D1399" s="3" t="str" cm="1">
        <f t="array" aca="1" ref="D1399" ca="1">_xlfn.SWITCH(MID(Master[[#This Row],[Checklist]],1,4),"C - ","Civil","F - ","Foundation","ST -","Structure","FC -","Façade","PRE ","Pre-Line","POST","Post-Line","H - ","Handover","S - ","Services","CST ","Completion Docs", "I - ", "Inspection")</f>
        <v>Pre-Line</v>
      </c>
      <c r="E13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399" s="24" t="str">
        <f ca="1">IF(OR(Master[[#This Row],[Type]]="checklist", Master[[#This Row],[Type]]="checklist-flat"), Master[[#This Row],[Name]], F1398)</f>
        <v xml:space="preserve">PRE - S - Suspended ceiling grids </v>
      </c>
      <c r="G1399" s="34" t="s">
        <v>49</v>
      </c>
      <c r="H1399" s="34" t="s">
        <v>588</v>
      </c>
      <c r="I1399" s="35"/>
      <c r="J1399" s="21">
        <f ca="1">_xlfn.XLOOKUP(Master[[#This Row],[Checklist]],Ref!A:A,Ref!B:B)*1000</f>
        <v>131000</v>
      </c>
      <c r="K1399" s="21">
        <f ca="1">COUNTIF($J$2:Master[[#This Row],[ChecklistID]],Master[[#This Row],[ChecklistID]])-1</f>
        <v>2</v>
      </c>
      <c r="L1399" s="23" t="s">
        <v>6</v>
      </c>
    </row>
    <row r="1400" spans="1:12" ht="15.75">
      <c r="A1400" s="23">
        <f t="shared" si="22"/>
        <v>1399</v>
      </c>
      <c r="B1400" s="21">
        <f ca="1">Master[[#This Row],[ChecklistID]]+Master[[#This Row],[Checklist Order]]</f>
        <v>131003</v>
      </c>
      <c r="C1400" s="22"/>
      <c r="D1400" s="3" t="str" cm="1">
        <f t="array" aca="1" ref="D1400" ca="1">_xlfn.SWITCH(MID(Master[[#This Row],[Checklist]],1,4),"C - ","Civil","F - ","Foundation","ST -","Structure","FC -","Façade","PRE ","Pre-Line","POST","Post-Line","H - ","Handover","S - ","Services","CST ","Completion Docs", "I - ", "Inspection")</f>
        <v>Pre-Line</v>
      </c>
      <c r="E14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0" s="24" t="str">
        <f ca="1">IF(OR(Master[[#This Row],[Type]]="checklist", Master[[#This Row],[Type]]="checklist-flat"), Master[[#This Row],[Name]], F1399)</f>
        <v xml:space="preserve">PRE - S - Suspended ceiling grids </v>
      </c>
      <c r="G1400" s="34" t="s">
        <v>49</v>
      </c>
      <c r="H1400" s="34" t="s">
        <v>589</v>
      </c>
      <c r="I1400" s="35"/>
      <c r="J1400" s="21">
        <f ca="1">_xlfn.XLOOKUP(Master[[#This Row],[Checklist]],Ref!A:A,Ref!B:B)*1000</f>
        <v>131000</v>
      </c>
      <c r="K1400" s="21">
        <f ca="1">COUNTIF($J$2:Master[[#This Row],[ChecklistID]],Master[[#This Row],[ChecklistID]])-1</f>
        <v>3</v>
      </c>
      <c r="L1400" s="23" t="s">
        <v>6</v>
      </c>
    </row>
    <row r="1401" spans="1:12" ht="15.75">
      <c r="A1401" s="23">
        <f t="shared" si="22"/>
        <v>1400</v>
      </c>
      <c r="B1401" s="21">
        <f ca="1">Master[[#This Row],[ChecklistID]]+Master[[#This Row],[Checklist Order]]</f>
        <v>131004</v>
      </c>
      <c r="C1401" s="22"/>
      <c r="D1401" s="3" t="str" cm="1">
        <f t="array" aca="1" ref="D1401" ca="1">_xlfn.SWITCH(MID(Master[[#This Row],[Checklist]],1,4),"C - ","Civil","F - ","Foundation","ST -","Structure","FC -","Façade","PRE ","Pre-Line","POST","Post-Line","H - ","Handover","S - ","Services","CST ","Completion Docs", "I - ", "Inspection")</f>
        <v>Pre-Line</v>
      </c>
      <c r="E14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1" s="24" t="str">
        <f ca="1">IF(OR(Master[[#This Row],[Type]]="checklist", Master[[#This Row],[Type]]="checklist-flat"), Master[[#This Row],[Name]], F1400)</f>
        <v xml:space="preserve">PRE - S - Suspended ceiling grids </v>
      </c>
      <c r="G1401" s="34" t="s">
        <v>49</v>
      </c>
      <c r="H1401" s="34" t="s">
        <v>590</v>
      </c>
      <c r="I1401" s="35"/>
      <c r="J1401" s="21">
        <f ca="1">_xlfn.XLOOKUP(Master[[#This Row],[Checklist]],Ref!A:A,Ref!B:B)*1000</f>
        <v>131000</v>
      </c>
      <c r="K1401" s="21">
        <f ca="1">COUNTIF($J$2:Master[[#This Row],[ChecklistID]],Master[[#This Row],[ChecklistID]])-1</f>
        <v>4</v>
      </c>
      <c r="L1401" s="23" t="s">
        <v>6</v>
      </c>
    </row>
    <row r="1402" spans="1:12" ht="15.75">
      <c r="A1402" s="23">
        <f t="shared" si="22"/>
        <v>1401</v>
      </c>
      <c r="B1402" s="21">
        <f ca="1">Master[[#This Row],[ChecklistID]]+Master[[#This Row],[Checklist Order]]</f>
        <v>131005</v>
      </c>
      <c r="C1402" s="22"/>
      <c r="D1402" s="3" t="str" cm="1">
        <f t="array" aca="1" ref="D1402" ca="1">_xlfn.SWITCH(MID(Master[[#This Row],[Checklist]],1,4),"C - ","Civil","F - ","Foundation","ST -","Structure","FC -","Façade","PRE ","Pre-Line","POST","Post-Line","H - ","Handover","S - ","Services","CST ","Completion Docs", "I - ", "Inspection")</f>
        <v>Pre-Line</v>
      </c>
      <c r="E14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2" s="24" t="str">
        <f ca="1">IF(OR(Master[[#This Row],[Type]]="checklist", Master[[#This Row],[Type]]="checklist-flat"), Master[[#This Row],[Name]], F1401)</f>
        <v xml:space="preserve">PRE - S - Suspended ceiling grids </v>
      </c>
      <c r="G1402" s="34" t="s">
        <v>49</v>
      </c>
      <c r="H1402" s="34" t="s">
        <v>591</v>
      </c>
      <c r="I1402" s="35"/>
      <c r="J1402" s="21">
        <f ca="1">_xlfn.XLOOKUP(Master[[#This Row],[Checklist]],Ref!A:A,Ref!B:B)*1000</f>
        <v>131000</v>
      </c>
      <c r="K1402" s="21">
        <f ca="1">COUNTIF($J$2:Master[[#This Row],[ChecklistID]],Master[[#This Row],[ChecklistID]])-1</f>
        <v>5</v>
      </c>
      <c r="L1402" s="23" t="s">
        <v>6</v>
      </c>
    </row>
    <row r="1403" spans="1:12" ht="15.75">
      <c r="A1403" s="23">
        <f t="shared" si="22"/>
        <v>1402</v>
      </c>
      <c r="B1403" s="21">
        <f ca="1">Master[[#This Row],[ChecklistID]]+Master[[#This Row],[Checklist Order]]</f>
        <v>131006</v>
      </c>
      <c r="C1403" s="22"/>
      <c r="D1403" s="3" t="str" cm="1">
        <f t="array" aca="1" ref="D1403" ca="1">_xlfn.SWITCH(MID(Master[[#This Row],[Checklist]],1,4),"C - ","Civil","F - ","Foundation","ST -","Structure","FC -","Façade","PRE ","Pre-Line","POST","Post-Line","H - ","Handover","S - ","Services","CST ","Completion Docs", "I - ", "Inspection")</f>
        <v>Pre-Line</v>
      </c>
      <c r="E14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3" s="24" t="str">
        <f ca="1">IF(OR(Master[[#This Row],[Type]]="checklist", Master[[#This Row],[Type]]="checklist-flat"), Master[[#This Row],[Name]], F1402)</f>
        <v xml:space="preserve">PRE - S - Suspended ceiling grids </v>
      </c>
      <c r="G1403" s="34" t="s">
        <v>49</v>
      </c>
      <c r="H1403" s="34" t="s">
        <v>592</v>
      </c>
      <c r="I1403" s="35"/>
      <c r="J1403" s="21">
        <f ca="1">_xlfn.XLOOKUP(Master[[#This Row],[Checklist]],Ref!A:A,Ref!B:B)*1000</f>
        <v>131000</v>
      </c>
      <c r="K1403" s="21">
        <f ca="1">COUNTIF($J$2:Master[[#This Row],[ChecklistID]],Master[[#This Row],[ChecklistID]])-1</f>
        <v>6</v>
      </c>
      <c r="L1403" s="23" t="s">
        <v>6</v>
      </c>
    </row>
    <row r="1404" spans="1:12" ht="15.75">
      <c r="A1404" s="23">
        <f t="shared" si="22"/>
        <v>1403</v>
      </c>
      <c r="B1404" s="21">
        <f ca="1">Master[[#This Row],[ChecklistID]]+Master[[#This Row],[Checklist Order]]</f>
        <v>131007</v>
      </c>
      <c r="C1404" s="22"/>
      <c r="D1404" s="3" t="str" cm="1">
        <f t="array" aca="1" ref="D1404" ca="1">_xlfn.SWITCH(MID(Master[[#This Row],[Checklist]],1,4),"C - ","Civil","F - ","Foundation","ST -","Structure","FC -","Façade","PRE ","Pre-Line","POST","Post-Line","H - ","Handover","S - ","Services","CST ","Completion Docs", "I - ", "Inspection")</f>
        <v>Pre-Line</v>
      </c>
      <c r="E14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4" s="24" t="str">
        <f ca="1">IF(OR(Master[[#This Row],[Type]]="checklist", Master[[#This Row],[Type]]="checklist-flat"), Master[[#This Row],[Name]], F1403)</f>
        <v xml:space="preserve">PRE - S - Suspended ceiling grids </v>
      </c>
      <c r="G1404" s="34" t="s">
        <v>49</v>
      </c>
      <c r="H1404" s="34" t="s">
        <v>593</v>
      </c>
      <c r="I1404" s="35"/>
      <c r="J1404" s="21">
        <f ca="1">_xlfn.XLOOKUP(Master[[#This Row],[Checklist]],Ref!A:A,Ref!B:B)*1000</f>
        <v>131000</v>
      </c>
      <c r="K1404" s="21">
        <f ca="1">COUNTIF($J$2:Master[[#This Row],[ChecklistID]],Master[[#This Row],[ChecklistID]])-1</f>
        <v>7</v>
      </c>
      <c r="L1404" s="23" t="s">
        <v>6</v>
      </c>
    </row>
    <row r="1405" spans="1:12" ht="15.75">
      <c r="A1405" s="23">
        <f t="shared" si="22"/>
        <v>1404</v>
      </c>
      <c r="B1405" s="21">
        <f ca="1">Master[[#This Row],[ChecklistID]]+Master[[#This Row],[Checklist Order]]</f>
        <v>131008</v>
      </c>
      <c r="C1405" s="22"/>
      <c r="D1405" s="3" t="str" cm="1">
        <f t="array" aca="1" ref="D1405" ca="1">_xlfn.SWITCH(MID(Master[[#This Row],[Checklist]],1,4),"C - ","Civil","F - ","Foundation","ST -","Structure","FC -","Façade","PRE ","Pre-Line","POST","Post-Line","H - ","Handover","S - ","Services","CST ","Completion Docs", "I - ", "Inspection")</f>
        <v>Pre-Line</v>
      </c>
      <c r="E14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5" s="24" t="str">
        <f ca="1">IF(OR(Master[[#This Row],[Type]]="checklist", Master[[#This Row],[Type]]="checklist-flat"), Master[[#This Row],[Name]], F1404)</f>
        <v xml:space="preserve">PRE - S - Suspended ceiling grids </v>
      </c>
      <c r="G1405" s="34" t="s">
        <v>49</v>
      </c>
      <c r="H1405" s="34" t="s">
        <v>594</v>
      </c>
      <c r="I1405" s="35"/>
      <c r="J1405" s="21">
        <f ca="1">_xlfn.XLOOKUP(Master[[#This Row],[Checklist]],Ref!A:A,Ref!B:B)*1000</f>
        <v>131000</v>
      </c>
      <c r="K1405" s="21">
        <f ca="1">COUNTIF($J$2:Master[[#This Row],[ChecklistID]],Master[[#This Row],[ChecklistID]])-1</f>
        <v>8</v>
      </c>
      <c r="L1405" s="23" t="s">
        <v>6</v>
      </c>
    </row>
    <row r="1406" spans="1:12" ht="15.75">
      <c r="A1406" s="23">
        <f t="shared" si="22"/>
        <v>1405</v>
      </c>
      <c r="B1406" s="21">
        <f ca="1">Master[[#This Row],[ChecklistID]]+Master[[#This Row],[Checklist Order]]</f>
        <v>131009</v>
      </c>
      <c r="C1406" s="22"/>
      <c r="D1406" s="3" t="str" cm="1">
        <f t="array" aca="1" ref="D1406" ca="1">_xlfn.SWITCH(MID(Master[[#This Row],[Checklist]],1,4),"C - ","Civil","F - ","Foundation","ST -","Structure","FC -","Façade","PRE ","Pre-Line","POST","Post-Line","H - ","Handover","S - ","Services","CST ","Completion Docs", "I - ", "Inspection")</f>
        <v>Pre-Line</v>
      </c>
      <c r="E14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6" s="24" t="str">
        <f ca="1">IF(OR(Master[[#This Row],[Type]]="checklist", Master[[#This Row],[Type]]="checklist-flat"), Master[[#This Row],[Name]], F1405)</f>
        <v xml:space="preserve">PRE - S - Suspended ceiling grids </v>
      </c>
      <c r="G1406" s="34" t="s">
        <v>49</v>
      </c>
      <c r="H1406" s="34" t="s">
        <v>595</v>
      </c>
      <c r="I1406" s="35"/>
      <c r="J1406" s="21">
        <f ca="1">_xlfn.XLOOKUP(Master[[#This Row],[Checklist]],Ref!A:A,Ref!B:B)*1000</f>
        <v>131000</v>
      </c>
      <c r="K1406" s="21">
        <f ca="1">COUNTIF($J$2:Master[[#This Row],[ChecklistID]],Master[[#This Row],[ChecklistID]])-1</f>
        <v>9</v>
      </c>
      <c r="L1406" s="23" t="s">
        <v>6</v>
      </c>
    </row>
    <row r="1407" spans="1:12" ht="15.75">
      <c r="A1407" s="23">
        <f t="shared" si="22"/>
        <v>1406</v>
      </c>
      <c r="B1407" s="21">
        <f ca="1">Master[[#This Row],[ChecklistID]]+Master[[#This Row],[Checklist Order]]</f>
        <v>131010</v>
      </c>
      <c r="C1407" s="22"/>
      <c r="D1407" s="3" t="str" cm="1">
        <f t="array" aca="1" ref="D1407" ca="1">_xlfn.SWITCH(MID(Master[[#This Row],[Checklist]],1,4),"C - ","Civil","F - ","Foundation","ST -","Structure","FC -","Façade","PRE ","Pre-Line","POST","Post-Line","H - ","Handover","S - ","Services","CST ","Completion Docs", "I - ", "Inspection")</f>
        <v>Pre-Line</v>
      </c>
      <c r="E14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7" s="24" t="str">
        <f ca="1">IF(OR(Master[[#This Row],[Type]]="checklist", Master[[#This Row],[Type]]="checklist-flat"), Master[[#This Row],[Name]], F1406)</f>
        <v xml:space="preserve">PRE - S - Suspended ceiling grids </v>
      </c>
      <c r="G1407" s="34" t="s">
        <v>49</v>
      </c>
      <c r="H1407" s="34" t="s">
        <v>596</v>
      </c>
      <c r="I1407" s="35"/>
      <c r="J1407" s="21">
        <f ca="1">_xlfn.XLOOKUP(Master[[#This Row],[Checklist]],Ref!A:A,Ref!B:B)*1000</f>
        <v>131000</v>
      </c>
      <c r="K1407" s="21">
        <f ca="1">COUNTIF($J$2:Master[[#This Row],[ChecklistID]],Master[[#This Row],[ChecklistID]])-1</f>
        <v>10</v>
      </c>
      <c r="L1407" s="23" t="s">
        <v>6</v>
      </c>
    </row>
    <row r="1408" spans="1:12" ht="15.75">
      <c r="A1408" s="23">
        <f t="shared" si="22"/>
        <v>1407</v>
      </c>
      <c r="B1408" s="21">
        <f ca="1">Master[[#This Row],[ChecklistID]]+Master[[#This Row],[Checklist Order]]</f>
        <v>131011</v>
      </c>
      <c r="C1408" s="22"/>
      <c r="D1408" s="3" t="str" cm="1">
        <f t="array" aca="1" ref="D1408" ca="1">_xlfn.SWITCH(MID(Master[[#This Row],[Checklist]],1,4),"C - ","Civil","F - ","Foundation","ST -","Structure","FC -","Façade","PRE ","Pre-Line","POST","Post-Line","H - ","Handover","S - ","Services","CST ","Completion Docs", "I - ", "Inspection")</f>
        <v>Pre-Line</v>
      </c>
      <c r="E14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8" s="24" t="str">
        <f ca="1">IF(OR(Master[[#This Row],[Type]]="checklist", Master[[#This Row],[Type]]="checklist-flat"), Master[[#This Row],[Name]], F1407)</f>
        <v xml:space="preserve">PRE - S - Suspended ceiling grids </v>
      </c>
      <c r="G1408" s="34" t="s">
        <v>49</v>
      </c>
      <c r="H1408" s="34" t="s">
        <v>597</v>
      </c>
      <c r="I1408" s="35"/>
      <c r="J1408" s="21">
        <f ca="1">_xlfn.XLOOKUP(Master[[#This Row],[Checklist]],Ref!A:A,Ref!B:B)*1000</f>
        <v>131000</v>
      </c>
      <c r="K1408" s="21">
        <f ca="1">COUNTIF($J$2:Master[[#This Row],[ChecklistID]],Master[[#This Row],[ChecklistID]])-1</f>
        <v>11</v>
      </c>
      <c r="L1408" s="23" t="s">
        <v>6</v>
      </c>
    </row>
    <row r="1409" spans="1:12" ht="15.75">
      <c r="A1409" s="23">
        <f t="shared" si="22"/>
        <v>1408</v>
      </c>
      <c r="B1409" s="21">
        <f ca="1">Master[[#This Row],[ChecklistID]]+Master[[#This Row],[Checklist Order]]</f>
        <v>131012</v>
      </c>
      <c r="C1409" s="22"/>
      <c r="D1409" s="3" t="str" cm="1">
        <f t="array" aca="1" ref="D1409" ca="1">_xlfn.SWITCH(MID(Master[[#This Row],[Checklist]],1,4),"C - ","Civil","F - ","Foundation","ST -","Structure","FC -","Façade","PRE ","Pre-Line","POST","Post-Line","H - ","Handover","S - ","Services","CST ","Completion Docs", "I - ", "Inspection")</f>
        <v>Pre-Line</v>
      </c>
      <c r="E14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09" s="24" t="str">
        <f ca="1">IF(OR(Master[[#This Row],[Type]]="checklist", Master[[#This Row],[Type]]="checklist-flat"), Master[[#This Row],[Name]], F1408)</f>
        <v xml:space="preserve">PRE - S - Suspended ceiling grids </v>
      </c>
      <c r="G1409" s="34" t="s">
        <v>49</v>
      </c>
      <c r="H1409" s="34" t="s">
        <v>57</v>
      </c>
      <c r="I1409" s="35"/>
      <c r="J1409" s="21">
        <f ca="1">_xlfn.XLOOKUP(Master[[#This Row],[Checklist]],Ref!A:A,Ref!B:B)*1000</f>
        <v>131000</v>
      </c>
      <c r="K1409" s="21">
        <f ca="1">COUNTIF($J$2:Master[[#This Row],[ChecklistID]],Master[[#This Row],[ChecklistID]])-1</f>
        <v>12</v>
      </c>
      <c r="L1409" s="23" t="s">
        <v>6</v>
      </c>
    </row>
    <row r="1410" spans="1:12" ht="15.75">
      <c r="A1410" s="23">
        <f t="shared" si="22"/>
        <v>1409</v>
      </c>
      <c r="B1410" s="21">
        <f ca="1">Master[[#This Row],[ChecklistID]]+Master[[#This Row],[Checklist Order]]</f>
        <v>131013</v>
      </c>
      <c r="C1410" s="22"/>
      <c r="D1410" s="3" t="str" cm="1">
        <f t="array" aca="1" ref="D1410" ca="1">_xlfn.SWITCH(MID(Master[[#This Row],[Checklist]],1,4),"C - ","Civil","F - ","Foundation","ST -","Structure","FC -","Façade","PRE ","Pre-Line","POST","Post-Line","H - ","Handover","S - ","Services","CST ","Completion Docs", "I - ", "Inspection")</f>
        <v>Pre-Line</v>
      </c>
      <c r="E14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0" s="24" t="str">
        <f ca="1">IF(OR(Master[[#This Row],[Type]]="checklist", Master[[#This Row],[Type]]="checklist-flat"), Master[[#This Row],[Name]], F1409)</f>
        <v xml:space="preserve">PRE - S - Suspended ceiling grids </v>
      </c>
      <c r="G1410" s="34" t="s">
        <v>58</v>
      </c>
      <c r="H1410" s="34" t="s">
        <v>59</v>
      </c>
      <c r="I1410" s="35"/>
      <c r="J1410" s="21">
        <f ca="1">_xlfn.XLOOKUP(Master[[#This Row],[Checklist]],Ref!A:A,Ref!B:B)*1000</f>
        <v>131000</v>
      </c>
      <c r="K1410" s="21">
        <f ca="1">COUNTIF($J$2:Master[[#This Row],[ChecklistID]],Master[[#This Row],[ChecklistID]])-1</f>
        <v>13</v>
      </c>
      <c r="L1410" s="23" t="s">
        <v>6</v>
      </c>
    </row>
    <row r="1411" spans="1:12" ht="15.75">
      <c r="A1411" s="23">
        <f t="shared" si="22"/>
        <v>1410</v>
      </c>
      <c r="B1411" s="21">
        <f ca="1">Master[[#This Row],[ChecklistID]]+Master[[#This Row],[Checklist Order]]</f>
        <v>132000</v>
      </c>
      <c r="C1411" s="22"/>
      <c r="D1411" s="3" t="str" cm="1">
        <f t="array" aca="1" ref="D1411" ca="1">_xlfn.SWITCH(MID(Master[[#This Row],[Checklist]],1,4),"C - ","Civil","F - ","Foundation","ST -","Structure","FC -","Façade","PRE ","Pre-Line","POST","Post-Line","H - ","Handover","S - ","Services","CST ","Completion Docs", "I - ", "Inspection")</f>
        <v>Post-Line</v>
      </c>
      <c r="E14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1" s="24" t="str">
        <f ca="1">IF(OR(Master[[#This Row],[Type]]="checklist", Master[[#This Row],[Type]]="checklist-flat"), Master[[#This Row],[Name]], F1410)</f>
        <v xml:space="preserve">POST - S - Skirting/ Architraves &amp; Trims </v>
      </c>
      <c r="G1411" s="34" t="s">
        <v>48</v>
      </c>
      <c r="H1411" s="34" t="s">
        <v>599</v>
      </c>
      <c r="I1411" s="35"/>
      <c r="J1411" s="21">
        <f ca="1">_xlfn.XLOOKUP(Master[[#This Row],[Checklist]],Ref!A:A,Ref!B:B)*1000</f>
        <v>132000</v>
      </c>
      <c r="K1411" s="21">
        <f ca="1">COUNTIF($J$2:Master[[#This Row],[ChecklistID]],Master[[#This Row],[ChecklistID]])-1</f>
        <v>0</v>
      </c>
      <c r="L1411" s="23" t="s">
        <v>6</v>
      </c>
    </row>
    <row r="1412" spans="1:12" ht="15.75">
      <c r="A1412" s="23">
        <f t="shared" si="22"/>
        <v>1411</v>
      </c>
      <c r="B1412" s="21">
        <f ca="1">Master[[#This Row],[ChecklistID]]+Master[[#This Row],[Checklist Order]]</f>
        <v>132001</v>
      </c>
      <c r="C1412" s="22"/>
      <c r="D1412" s="3" t="str" cm="1">
        <f t="array" aca="1" ref="D1412" ca="1">_xlfn.SWITCH(MID(Master[[#This Row],[Checklist]],1,4),"C - ","Civil","F - ","Foundation","ST -","Structure","FC -","Façade","PRE ","Pre-Line","POST","Post-Line","H - ","Handover","S - ","Services","CST ","Completion Docs", "I - ", "Inspection")</f>
        <v>Post-Line</v>
      </c>
      <c r="E14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2" s="24" t="str">
        <f ca="1">IF(OR(Master[[#This Row],[Type]]="checklist", Master[[#This Row],[Type]]="checklist-flat"), Master[[#This Row],[Name]], F1411)</f>
        <v xml:space="preserve">POST - S - Skirting/ Architraves &amp; Trims </v>
      </c>
      <c r="G1412" s="34" t="s">
        <v>49</v>
      </c>
      <c r="H1412" s="34" t="s">
        <v>600</v>
      </c>
      <c r="I1412" s="35"/>
      <c r="J1412" s="21">
        <f ca="1">_xlfn.XLOOKUP(Master[[#This Row],[Checklist]],Ref!A:A,Ref!B:B)*1000</f>
        <v>132000</v>
      </c>
      <c r="K1412" s="21">
        <f ca="1">COUNTIF($J$2:Master[[#This Row],[ChecklistID]],Master[[#This Row],[ChecklistID]])-1</f>
        <v>1</v>
      </c>
      <c r="L1412" s="23" t="s">
        <v>6</v>
      </c>
    </row>
    <row r="1413" spans="1:12" ht="15.75">
      <c r="A1413" s="23">
        <f t="shared" si="22"/>
        <v>1412</v>
      </c>
      <c r="B1413" s="21">
        <f ca="1">Master[[#This Row],[ChecklistID]]+Master[[#This Row],[Checklist Order]]</f>
        <v>132002</v>
      </c>
      <c r="C1413" s="22"/>
      <c r="D1413" s="3" t="str" cm="1">
        <f t="array" aca="1" ref="D1413" ca="1">_xlfn.SWITCH(MID(Master[[#This Row],[Checklist]],1,4),"C - ","Civil","F - ","Foundation","ST -","Structure","FC -","Façade","PRE ","Pre-Line","POST","Post-Line","H - ","Handover","S - ","Services","CST ","Completion Docs", "I - ", "Inspection")</f>
        <v>Post-Line</v>
      </c>
      <c r="E14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3" s="24" t="str">
        <f ca="1">IF(OR(Master[[#This Row],[Type]]="checklist", Master[[#This Row],[Type]]="checklist-flat"), Master[[#This Row],[Name]], F1412)</f>
        <v xml:space="preserve">POST - S - Skirting/ Architraves &amp; Trims </v>
      </c>
      <c r="G1413" s="34" t="s">
        <v>49</v>
      </c>
      <c r="H1413" s="34" t="s">
        <v>601</v>
      </c>
      <c r="I1413" s="35"/>
      <c r="J1413" s="21">
        <f ca="1">_xlfn.XLOOKUP(Master[[#This Row],[Checklist]],Ref!A:A,Ref!B:B)*1000</f>
        <v>132000</v>
      </c>
      <c r="K1413" s="21">
        <f ca="1">COUNTIF($J$2:Master[[#This Row],[ChecklistID]],Master[[#This Row],[ChecklistID]])-1</f>
        <v>2</v>
      </c>
      <c r="L1413" s="23" t="s">
        <v>6</v>
      </c>
    </row>
    <row r="1414" spans="1:12" ht="15.75">
      <c r="A1414" s="23">
        <f t="shared" si="22"/>
        <v>1413</v>
      </c>
      <c r="B1414" s="21">
        <f ca="1">Master[[#This Row],[ChecklistID]]+Master[[#This Row],[Checklist Order]]</f>
        <v>132003</v>
      </c>
      <c r="C1414" s="22"/>
      <c r="D1414" s="3" t="str" cm="1">
        <f t="array" aca="1" ref="D1414" ca="1">_xlfn.SWITCH(MID(Master[[#This Row],[Checklist]],1,4),"C - ","Civil","F - ","Foundation","ST -","Structure","FC -","Façade","PRE ","Pre-Line","POST","Post-Line","H - ","Handover","S - ","Services","CST ","Completion Docs", "I - ", "Inspection")</f>
        <v>Post-Line</v>
      </c>
      <c r="E14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4" s="24" t="str">
        <f ca="1">IF(OR(Master[[#This Row],[Type]]="checklist", Master[[#This Row],[Type]]="checklist-flat"), Master[[#This Row],[Name]], F1413)</f>
        <v xml:space="preserve">POST - S - Skirting/ Architraves &amp; Trims </v>
      </c>
      <c r="G1414" s="34" t="s">
        <v>49</v>
      </c>
      <c r="H1414" s="34" t="s">
        <v>602</v>
      </c>
      <c r="I1414" s="35"/>
      <c r="J1414" s="21">
        <f ca="1">_xlfn.XLOOKUP(Master[[#This Row],[Checklist]],Ref!A:A,Ref!B:B)*1000</f>
        <v>132000</v>
      </c>
      <c r="K1414" s="21">
        <f ca="1">COUNTIF($J$2:Master[[#This Row],[ChecklistID]],Master[[#This Row],[ChecklistID]])-1</f>
        <v>3</v>
      </c>
      <c r="L1414" s="23" t="s">
        <v>6</v>
      </c>
    </row>
    <row r="1415" spans="1:12" ht="15.75">
      <c r="A1415" s="23">
        <f t="shared" si="22"/>
        <v>1414</v>
      </c>
      <c r="B1415" s="21">
        <f ca="1">Master[[#This Row],[ChecklistID]]+Master[[#This Row],[Checklist Order]]</f>
        <v>132004</v>
      </c>
      <c r="C1415" s="22"/>
      <c r="D1415" s="3" t="str" cm="1">
        <f t="array" aca="1" ref="D1415" ca="1">_xlfn.SWITCH(MID(Master[[#This Row],[Checklist]],1,4),"C - ","Civil","F - ","Foundation","ST -","Structure","FC -","Façade","PRE ","Pre-Line","POST","Post-Line","H - ","Handover","S - ","Services","CST ","Completion Docs", "I - ", "Inspection")</f>
        <v>Post-Line</v>
      </c>
      <c r="E14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5" s="24" t="str">
        <f ca="1">IF(OR(Master[[#This Row],[Type]]="checklist", Master[[#This Row],[Type]]="checklist-flat"), Master[[#This Row],[Name]], F1414)</f>
        <v xml:space="preserve">POST - S - Skirting/ Architraves &amp; Trims </v>
      </c>
      <c r="G1415" s="34" t="s">
        <v>49</v>
      </c>
      <c r="H1415" s="34" t="s">
        <v>603</v>
      </c>
      <c r="I1415" s="35"/>
      <c r="J1415" s="21">
        <f ca="1">_xlfn.XLOOKUP(Master[[#This Row],[Checklist]],Ref!A:A,Ref!B:B)*1000</f>
        <v>132000</v>
      </c>
      <c r="K1415" s="21">
        <f ca="1">COUNTIF($J$2:Master[[#This Row],[ChecklistID]],Master[[#This Row],[ChecklistID]])-1</f>
        <v>4</v>
      </c>
      <c r="L1415" s="23" t="s">
        <v>6</v>
      </c>
    </row>
    <row r="1416" spans="1:12" ht="15.75">
      <c r="A1416" s="23">
        <f t="shared" si="22"/>
        <v>1415</v>
      </c>
      <c r="B1416" s="21">
        <f ca="1">Master[[#This Row],[ChecklistID]]+Master[[#This Row],[Checklist Order]]</f>
        <v>132005</v>
      </c>
      <c r="C1416" s="22"/>
      <c r="D1416" s="3" t="str" cm="1">
        <f t="array" aca="1" ref="D1416" ca="1">_xlfn.SWITCH(MID(Master[[#This Row],[Checklist]],1,4),"C - ","Civil","F - ","Foundation","ST -","Structure","FC -","Façade","PRE ","Pre-Line","POST","Post-Line","H - ","Handover","S - ","Services","CST ","Completion Docs", "I - ", "Inspection")</f>
        <v>Post-Line</v>
      </c>
      <c r="E14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6" s="24" t="str">
        <f ca="1">IF(OR(Master[[#This Row],[Type]]="checklist", Master[[#This Row],[Type]]="checklist-flat"), Master[[#This Row],[Name]], F1415)</f>
        <v xml:space="preserve">POST - S - Skirting/ Architraves &amp; Trims </v>
      </c>
      <c r="G1416" s="34" t="s">
        <v>49</v>
      </c>
      <c r="H1416" s="34" t="s">
        <v>57</v>
      </c>
      <c r="I1416" s="35"/>
      <c r="J1416" s="21">
        <f ca="1">_xlfn.XLOOKUP(Master[[#This Row],[Checklist]],Ref!A:A,Ref!B:B)*1000</f>
        <v>132000</v>
      </c>
      <c r="K1416" s="21">
        <f ca="1">COUNTIF($J$2:Master[[#This Row],[ChecklistID]],Master[[#This Row],[ChecklistID]])-1</f>
        <v>5</v>
      </c>
      <c r="L1416" s="23" t="s">
        <v>6</v>
      </c>
    </row>
    <row r="1417" spans="1:12" ht="15.75">
      <c r="A1417" s="23">
        <f t="shared" si="22"/>
        <v>1416</v>
      </c>
      <c r="B1417" s="21">
        <f ca="1">Master[[#This Row],[ChecklistID]]+Master[[#This Row],[Checklist Order]]</f>
        <v>132006</v>
      </c>
      <c r="C1417" s="22"/>
      <c r="D1417" s="3" t="str" cm="1">
        <f t="array" aca="1" ref="D1417" ca="1">_xlfn.SWITCH(MID(Master[[#This Row],[Checklist]],1,4),"C - ","Civil","F - ","Foundation","ST -","Structure","FC -","Façade","PRE ","Pre-Line","POST","Post-Line","H - ","Handover","S - ","Services","CST ","Completion Docs", "I - ", "Inspection")</f>
        <v>Post-Line</v>
      </c>
      <c r="E14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7" s="24" t="str">
        <f ca="1">IF(OR(Master[[#This Row],[Type]]="checklist", Master[[#This Row],[Type]]="checklist-flat"), Master[[#This Row],[Name]], F1416)</f>
        <v xml:space="preserve">POST - S - Skirting/ Architraves &amp; Trims </v>
      </c>
      <c r="G1417" s="34" t="s">
        <v>58</v>
      </c>
      <c r="H1417" s="34" t="s">
        <v>59</v>
      </c>
      <c r="I1417" s="35"/>
      <c r="J1417" s="21">
        <f ca="1">_xlfn.XLOOKUP(Master[[#This Row],[Checklist]],Ref!A:A,Ref!B:B)*1000</f>
        <v>132000</v>
      </c>
      <c r="K1417" s="21">
        <f ca="1">COUNTIF($J$2:Master[[#This Row],[ChecklistID]],Master[[#This Row],[ChecklistID]])-1</f>
        <v>6</v>
      </c>
      <c r="L1417" s="23" t="s">
        <v>6</v>
      </c>
    </row>
    <row r="1418" spans="1:12" ht="15.75">
      <c r="A1418" s="23">
        <f t="shared" si="22"/>
        <v>1417</v>
      </c>
      <c r="B1418" s="21">
        <f ca="1">Master[[#This Row],[ChecklistID]]+Master[[#This Row],[Checklist Order]]</f>
        <v>133000</v>
      </c>
      <c r="C1418" s="22"/>
      <c r="D1418" s="3" t="str" cm="1">
        <f t="array" aca="1" ref="D1418" ca="1">_xlfn.SWITCH(MID(Master[[#This Row],[Checklist]],1,4),"C - ","Civil","F - ","Foundation","ST -","Structure","FC -","Façade","PRE ","Pre-Line","POST","Post-Line","H - ","Handover","S - ","Services","CST ","Completion Docs", "I - ", "Inspection")</f>
        <v>Post-Line</v>
      </c>
      <c r="E14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8" s="24" t="str">
        <f ca="1">IF(OR(Master[[#This Row],[Type]]="checklist", Master[[#This Row],[Type]]="checklist-flat"), Master[[#This Row],[Name]], F1417)</f>
        <v>POST - S - Joinery and Cabinets Installation - Kitchen, Ensuite, Bathroom and Wardrobes</v>
      </c>
      <c r="G1418" s="34" t="s">
        <v>48</v>
      </c>
      <c r="H1418" s="34" t="s">
        <v>604</v>
      </c>
      <c r="I1418" s="35"/>
      <c r="J1418" s="21">
        <f ca="1">_xlfn.XLOOKUP(Master[[#This Row],[Checklist]],Ref!A:A,Ref!B:B)*1000</f>
        <v>133000</v>
      </c>
      <c r="K1418" s="21">
        <f ca="1">COUNTIF($J$2:Master[[#This Row],[ChecklistID]],Master[[#This Row],[ChecklistID]])-1</f>
        <v>0</v>
      </c>
      <c r="L1418" s="23" t="s">
        <v>6</v>
      </c>
    </row>
    <row r="1419" spans="1:12" ht="15.75">
      <c r="A1419" s="23">
        <f t="shared" si="22"/>
        <v>1418</v>
      </c>
      <c r="B1419" s="21">
        <f ca="1">Master[[#This Row],[ChecklistID]]+Master[[#This Row],[Checklist Order]]</f>
        <v>133001</v>
      </c>
      <c r="C1419" s="22"/>
      <c r="D1419" s="3" t="str" cm="1">
        <f t="array" aca="1" ref="D1419" ca="1">_xlfn.SWITCH(MID(Master[[#This Row],[Checklist]],1,4),"C - ","Civil","F - ","Foundation","ST -","Structure","FC -","Façade","PRE ","Pre-Line","POST","Post-Line","H - ","Handover","S - ","Services","CST ","Completion Docs", "I - ", "Inspection")</f>
        <v>Post-Line</v>
      </c>
      <c r="E14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19" s="24" t="str">
        <f ca="1">IF(OR(Master[[#This Row],[Type]]="checklist", Master[[#This Row],[Type]]="checklist-flat"), Master[[#This Row],[Name]], F1418)</f>
        <v>POST - S - Joinery and Cabinets Installation - Kitchen, Ensuite, Bathroom and Wardrobes</v>
      </c>
      <c r="G1419" s="34" t="s">
        <v>49</v>
      </c>
      <c r="H1419" s="34" t="s">
        <v>605</v>
      </c>
      <c r="I1419" s="35"/>
      <c r="J1419" s="21">
        <f ca="1">_xlfn.XLOOKUP(Master[[#This Row],[Checklist]],Ref!A:A,Ref!B:B)*1000</f>
        <v>133000</v>
      </c>
      <c r="K1419" s="21">
        <f ca="1">COUNTIF($J$2:Master[[#This Row],[ChecklistID]],Master[[#This Row],[ChecklistID]])-1</f>
        <v>1</v>
      </c>
      <c r="L1419" s="23" t="s">
        <v>6</v>
      </c>
    </row>
    <row r="1420" spans="1:12" ht="15.75">
      <c r="A1420" s="23">
        <f t="shared" si="22"/>
        <v>1419</v>
      </c>
      <c r="B1420" s="21">
        <f ca="1">Master[[#This Row],[ChecklistID]]+Master[[#This Row],[Checklist Order]]</f>
        <v>133002</v>
      </c>
      <c r="C1420" s="22"/>
      <c r="D1420" s="3" t="str" cm="1">
        <f t="array" aca="1" ref="D1420" ca="1">_xlfn.SWITCH(MID(Master[[#This Row],[Checklist]],1,4),"C - ","Civil","F - ","Foundation","ST -","Structure","FC -","Façade","PRE ","Pre-Line","POST","Post-Line","H - ","Handover","S - ","Services","CST ","Completion Docs", "I - ", "Inspection")</f>
        <v>Post-Line</v>
      </c>
      <c r="E14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0" s="24" t="str">
        <f ca="1">IF(OR(Master[[#This Row],[Type]]="checklist", Master[[#This Row],[Type]]="checklist-flat"), Master[[#This Row],[Name]], F1419)</f>
        <v>POST - S - Joinery and Cabinets Installation - Kitchen, Ensuite, Bathroom and Wardrobes</v>
      </c>
      <c r="G1420" s="34" t="s">
        <v>49</v>
      </c>
      <c r="H1420" s="34" t="s">
        <v>606</v>
      </c>
      <c r="I1420" s="35"/>
      <c r="J1420" s="21">
        <f ca="1">_xlfn.XLOOKUP(Master[[#This Row],[Checklist]],Ref!A:A,Ref!B:B)*1000</f>
        <v>133000</v>
      </c>
      <c r="K1420" s="21">
        <f ca="1">COUNTIF($J$2:Master[[#This Row],[ChecklistID]],Master[[#This Row],[ChecklistID]])-1</f>
        <v>2</v>
      </c>
      <c r="L1420" s="23" t="s">
        <v>6</v>
      </c>
    </row>
    <row r="1421" spans="1:12" ht="15.75">
      <c r="A1421" s="23">
        <f t="shared" si="22"/>
        <v>1420</v>
      </c>
      <c r="B1421" s="21">
        <f ca="1">Master[[#This Row],[ChecklistID]]+Master[[#This Row],[Checklist Order]]</f>
        <v>133003</v>
      </c>
      <c r="C1421" s="22"/>
      <c r="D1421" s="3" t="str" cm="1">
        <f t="array" aca="1" ref="D1421" ca="1">_xlfn.SWITCH(MID(Master[[#This Row],[Checklist]],1,4),"C - ","Civil","F - ","Foundation","ST -","Structure","FC -","Façade","PRE ","Pre-Line","POST","Post-Line","H - ","Handover","S - ","Services","CST ","Completion Docs", "I - ", "Inspection")</f>
        <v>Post-Line</v>
      </c>
      <c r="E14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1" s="24" t="str">
        <f ca="1">IF(OR(Master[[#This Row],[Type]]="checklist", Master[[#This Row],[Type]]="checklist-flat"), Master[[#This Row],[Name]], F1420)</f>
        <v>POST - S - Joinery and Cabinets Installation - Kitchen, Ensuite, Bathroom and Wardrobes</v>
      </c>
      <c r="G1421" s="34" t="s">
        <v>49</v>
      </c>
      <c r="H1421" s="34" t="s">
        <v>607</v>
      </c>
      <c r="I1421" s="35"/>
      <c r="J1421" s="21">
        <f ca="1">_xlfn.XLOOKUP(Master[[#This Row],[Checklist]],Ref!A:A,Ref!B:B)*1000</f>
        <v>133000</v>
      </c>
      <c r="K1421" s="21">
        <f ca="1">COUNTIF($J$2:Master[[#This Row],[ChecklistID]],Master[[#This Row],[ChecklistID]])-1</f>
        <v>3</v>
      </c>
      <c r="L1421" s="23" t="s">
        <v>6</v>
      </c>
    </row>
    <row r="1422" spans="1:12" ht="15.75">
      <c r="A1422" s="23">
        <f t="shared" si="22"/>
        <v>1421</v>
      </c>
      <c r="B1422" s="21">
        <f ca="1">Master[[#This Row],[ChecklistID]]+Master[[#This Row],[Checklist Order]]</f>
        <v>133004</v>
      </c>
      <c r="C1422" s="22"/>
      <c r="D1422" s="3" t="str" cm="1">
        <f t="array" aca="1" ref="D1422" ca="1">_xlfn.SWITCH(MID(Master[[#This Row],[Checklist]],1,4),"C - ","Civil","F - ","Foundation","ST -","Structure","FC -","Façade","PRE ","Pre-Line","POST","Post-Line","H - ","Handover","S - ","Services","CST ","Completion Docs", "I - ", "Inspection")</f>
        <v>Post-Line</v>
      </c>
      <c r="E14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2" s="24" t="str">
        <f ca="1">IF(OR(Master[[#This Row],[Type]]="checklist", Master[[#This Row],[Type]]="checklist-flat"), Master[[#This Row],[Name]], F1421)</f>
        <v>POST - S - Joinery and Cabinets Installation - Kitchen, Ensuite, Bathroom and Wardrobes</v>
      </c>
      <c r="G1422" s="34" t="s">
        <v>49</v>
      </c>
      <c r="H1422" s="34" t="s">
        <v>608</v>
      </c>
      <c r="I1422" s="35"/>
      <c r="J1422" s="21">
        <f ca="1">_xlfn.XLOOKUP(Master[[#This Row],[Checklist]],Ref!A:A,Ref!B:B)*1000</f>
        <v>133000</v>
      </c>
      <c r="K1422" s="21">
        <f ca="1">COUNTIF($J$2:Master[[#This Row],[ChecklistID]],Master[[#This Row],[ChecklistID]])-1</f>
        <v>4</v>
      </c>
      <c r="L1422" s="23" t="s">
        <v>6</v>
      </c>
    </row>
    <row r="1423" spans="1:12" ht="15.75">
      <c r="A1423" s="23">
        <f t="shared" si="22"/>
        <v>1422</v>
      </c>
      <c r="B1423" s="21">
        <f ca="1">Master[[#This Row],[ChecklistID]]+Master[[#This Row],[Checklist Order]]</f>
        <v>133005</v>
      </c>
      <c r="C1423" s="22"/>
      <c r="D1423" s="3" t="str" cm="1">
        <f t="array" aca="1" ref="D1423" ca="1">_xlfn.SWITCH(MID(Master[[#This Row],[Checklist]],1,4),"C - ","Civil","F - ","Foundation","ST -","Structure","FC -","Façade","PRE ","Pre-Line","POST","Post-Line","H - ","Handover","S - ","Services","CST ","Completion Docs", "I - ", "Inspection")</f>
        <v>Post-Line</v>
      </c>
      <c r="E14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3" s="24" t="str">
        <f ca="1">IF(OR(Master[[#This Row],[Type]]="checklist", Master[[#This Row],[Type]]="checklist-flat"), Master[[#This Row],[Name]], F1422)</f>
        <v>POST - S - Joinery and Cabinets Installation - Kitchen, Ensuite, Bathroom and Wardrobes</v>
      </c>
      <c r="G1423" s="34" t="s">
        <v>49</v>
      </c>
      <c r="H1423" s="34" t="s">
        <v>609</v>
      </c>
      <c r="I1423" s="35"/>
      <c r="J1423" s="21">
        <f ca="1">_xlfn.XLOOKUP(Master[[#This Row],[Checklist]],Ref!A:A,Ref!B:B)*1000</f>
        <v>133000</v>
      </c>
      <c r="K1423" s="21">
        <f ca="1">COUNTIF($J$2:Master[[#This Row],[ChecklistID]],Master[[#This Row],[ChecklistID]])-1</f>
        <v>5</v>
      </c>
      <c r="L1423" s="23" t="s">
        <v>6</v>
      </c>
    </row>
    <row r="1424" spans="1:12" ht="15.75">
      <c r="A1424" s="23">
        <f t="shared" si="22"/>
        <v>1423</v>
      </c>
      <c r="B1424" s="21">
        <f ca="1">Master[[#This Row],[ChecklistID]]+Master[[#This Row],[Checklist Order]]</f>
        <v>133006</v>
      </c>
      <c r="C1424" s="22"/>
      <c r="D1424" s="3" t="str" cm="1">
        <f t="array" aca="1" ref="D1424" ca="1">_xlfn.SWITCH(MID(Master[[#This Row],[Checklist]],1,4),"C - ","Civil","F - ","Foundation","ST -","Structure","FC -","Façade","PRE ","Pre-Line","POST","Post-Line","H - ","Handover","S - ","Services","CST ","Completion Docs", "I - ", "Inspection")</f>
        <v>Post-Line</v>
      </c>
      <c r="E14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4" s="24" t="str">
        <f ca="1">IF(OR(Master[[#This Row],[Type]]="checklist", Master[[#This Row],[Type]]="checklist-flat"), Master[[#This Row],[Name]], F1423)</f>
        <v>POST - S - Joinery and Cabinets Installation - Kitchen, Ensuite, Bathroom and Wardrobes</v>
      </c>
      <c r="G1424" s="34" t="s">
        <v>49</v>
      </c>
      <c r="H1424" s="34" t="s">
        <v>57</v>
      </c>
      <c r="I1424" s="35"/>
      <c r="J1424" s="21">
        <f ca="1">_xlfn.XLOOKUP(Master[[#This Row],[Checklist]],Ref!A:A,Ref!B:B)*1000</f>
        <v>133000</v>
      </c>
      <c r="K1424" s="21">
        <f ca="1">COUNTIF($J$2:Master[[#This Row],[ChecklistID]],Master[[#This Row],[ChecklistID]])-1</f>
        <v>6</v>
      </c>
      <c r="L1424" s="23" t="s">
        <v>6</v>
      </c>
    </row>
    <row r="1425" spans="1:12" ht="15.75">
      <c r="A1425" s="23">
        <f t="shared" si="22"/>
        <v>1424</v>
      </c>
      <c r="B1425" s="21">
        <f ca="1">Master[[#This Row],[ChecklistID]]+Master[[#This Row],[Checklist Order]]</f>
        <v>133007</v>
      </c>
      <c r="C1425" s="22"/>
      <c r="D1425" s="3" t="str" cm="1">
        <f t="array" aca="1" ref="D1425" ca="1">_xlfn.SWITCH(MID(Master[[#This Row],[Checklist]],1,4),"C - ","Civil","F - ","Foundation","ST -","Structure","FC -","Façade","PRE ","Pre-Line","POST","Post-Line","H - ","Handover","S - ","Services","CST ","Completion Docs", "I - ", "Inspection")</f>
        <v>Post-Line</v>
      </c>
      <c r="E14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5" s="24" t="str">
        <f ca="1">IF(OR(Master[[#This Row],[Type]]="checklist", Master[[#This Row],[Type]]="checklist-flat"), Master[[#This Row],[Name]], F1424)</f>
        <v>POST - S - Joinery and Cabinets Installation - Kitchen, Ensuite, Bathroom and Wardrobes</v>
      </c>
      <c r="G1425" s="34" t="s">
        <v>58</v>
      </c>
      <c r="H1425" s="34" t="s">
        <v>59</v>
      </c>
      <c r="I1425" s="35"/>
      <c r="J1425" s="21">
        <f ca="1">_xlfn.XLOOKUP(Master[[#This Row],[Checklist]],Ref!A:A,Ref!B:B)*1000</f>
        <v>133000</v>
      </c>
      <c r="K1425" s="21">
        <f ca="1">COUNTIF($J$2:Master[[#This Row],[ChecklistID]],Master[[#This Row],[ChecklistID]])-1</f>
        <v>7</v>
      </c>
      <c r="L1425" s="23" t="s">
        <v>6</v>
      </c>
    </row>
    <row r="1426" spans="1:12" ht="15.75">
      <c r="A1426" s="23">
        <f t="shared" si="22"/>
        <v>1425</v>
      </c>
      <c r="B1426" s="21">
        <f ca="1">Master[[#This Row],[ChecklistID]]+Master[[#This Row],[Checklist Order]]</f>
        <v>134000</v>
      </c>
      <c r="C1426" s="22"/>
      <c r="D1426" s="3" t="str" cm="1">
        <f t="array" aca="1" ref="D1426" ca="1">_xlfn.SWITCH(MID(Master[[#This Row],[Checklist]],1,4),"C - ","Civil","F - ","Foundation","ST -","Structure","FC -","Façade","PRE ","Pre-Line","POST","Post-Line","H - ","Handover","S - ","Services","CST ","Completion Docs", "I - ", "Inspection")</f>
        <v>Post-Line</v>
      </c>
      <c r="E14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6" s="24" t="str">
        <f ca="1">IF(OR(Master[[#This Row],[Type]]="checklist", Master[[#This Row],[Type]]="checklist-flat"), Master[[#This Row],[Name]], F1425)</f>
        <v xml:space="preserve">POST - S - Painting </v>
      </c>
      <c r="G1426" s="34" t="s">
        <v>48</v>
      </c>
      <c r="H1426" s="34" t="s">
        <v>610</v>
      </c>
      <c r="I1426" s="35"/>
      <c r="J1426" s="21">
        <f ca="1">_xlfn.XLOOKUP(Master[[#This Row],[Checklist]],Ref!A:A,Ref!B:B)*1000</f>
        <v>134000</v>
      </c>
      <c r="K1426" s="21">
        <f ca="1">COUNTIF($J$2:Master[[#This Row],[ChecklistID]],Master[[#This Row],[ChecklistID]])-1</f>
        <v>0</v>
      </c>
      <c r="L1426" s="23" t="s">
        <v>6</v>
      </c>
    </row>
    <row r="1427" spans="1:12" ht="15.75">
      <c r="A1427" s="23">
        <f t="shared" si="22"/>
        <v>1426</v>
      </c>
      <c r="B1427" s="21">
        <f ca="1">Master[[#This Row],[ChecklistID]]+Master[[#This Row],[Checklist Order]]</f>
        <v>134001</v>
      </c>
      <c r="C1427" s="22"/>
      <c r="D1427" s="3" t="str" cm="1">
        <f t="array" aca="1" ref="D1427" ca="1">_xlfn.SWITCH(MID(Master[[#This Row],[Checklist]],1,4),"C - ","Civil","F - ","Foundation","ST -","Structure","FC -","Façade","PRE ","Pre-Line","POST","Post-Line","H - ","Handover","S - ","Services","CST ","Completion Docs", "I - ", "Inspection")</f>
        <v>Post-Line</v>
      </c>
      <c r="E14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7" s="24" t="str">
        <f ca="1">IF(OR(Master[[#This Row],[Type]]="checklist", Master[[#This Row],[Type]]="checklist-flat"), Master[[#This Row],[Name]], F1426)</f>
        <v xml:space="preserve">POST - S - Painting </v>
      </c>
      <c r="G1427" s="34" t="s">
        <v>49</v>
      </c>
      <c r="H1427" s="34" t="s">
        <v>611</v>
      </c>
      <c r="I1427" s="35"/>
      <c r="J1427" s="21">
        <f ca="1">_xlfn.XLOOKUP(Master[[#This Row],[Checklist]],Ref!A:A,Ref!B:B)*1000</f>
        <v>134000</v>
      </c>
      <c r="K1427" s="21">
        <f ca="1">COUNTIF($J$2:Master[[#This Row],[ChecklistID]],Master[[#This Row],[ChecklistID]])-1</f>
        <v>1</v>
      </c>
      <c r="L1427" s="23" t="s">
        <v>6</v>
      </c>
    </row>
    <row r="1428" spans="1:12" ht="15.75">
      <c r="A1428" s="23">
        <f t="shared" si="22"/>
        <v>1427</v>
      </c>
      <c r="B1428" s="21">
        <f ca="1">Master[[#This Row],[ChecklistID]]+Master[[#This Row],[Checklist Order]]</f>
        <v>134002</v>
      </c>
      <c r="C1428" s="22"/>
      <c r="D1428" s="3" t="str" cm="1">
        <f t="array" aca="1" ref="D1428" ca="1">_xlfn.SWITCH(MID(Master[[#This Row],[Checklist]],1,4),"C - ","Civil","F - ","Foundation","ST -","Structure","FC -","Façade","PRE ","Pre-Line","POST","Post-Line","H - ","Handover","S - ","Services","CST ","Completion Docs", "I - ", "Inspection")</f>
        <v>Post-Line</v>
      </c>
      <c r="E14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8" s="24" t="str">
        <f ca="1">IF(OR(Master[[#This Row],[Type]]="checklist", Master[[#This Row],[Type]]="checklist-flat"), Master[[#This Row],[Name]], F1427)</f>
        <v xml:space="preserve">POST - S - Painting </v>
      </c>
      <c r="G1428" s="34" t="s">
        <v>49</v>
      </c>
      <c r="H1428" s="34" t="s">
        <v>612</v>
      </c>
      <c r="I1428" s="35"/>
      <c r="J1428" s="21">
        <f ca="1">_xlfn.XLOOKUP(Master[[#This Row],[Checklist]],Ref!A:A,Ref!B:B)*1000</f>
        <v>134000</v>
      </c>
      <c r="K1428" s="21">
        <f ca="1">COUNTIF($J$2:Master[[#This Row],[ChecklistID]],Master[[#This Row],[ChecklistID]])-1</f>
        <v>2</v>
      </c>
      <c r="L1428" s="23" t="s">
        <v>6</v>
      </c>
    </row>
    <row r="1429" spans="1:12" ht="15.75">
      <c r="A1429" s="23">
        <f t="shared" si="22"/>
        <v>1428</v>
      </c>
      <c r="B1429" s="21">
        <f ca="1">Master[[#This Row],[ChecklistID]]+Master[[#This Row],[Checklist Order]]</f>
        <v>134003</v>
      </c>
      <c r="C1429" s="22"/>
      <c r="D1429" s="3" t="str" cm="1">
        <f t="array" aca="1" ref="D1429" ca="1">_xlfn.SWITCH(MID(Master[[#This Row],[Checklist]],1,4),"C - ","Civil","F - ","Foundation","ST -","Structure","FC -","Façade","PRE ","Pre-Line","POST","Post-Line","H - ","Handover","S - ","Services","CST ","Completion Docs", "I - ", "Inspection")</f>
        <v>Post-Line</v>
      </c>
      <c r="E14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29" s="24" t="str">
        <f ca="1">IF(OR(Master[[#This Row],[Type]]="checklist", Master[[#This Row],[Type]]="checklist-flat"), Master[[#This Row],[Name]], F1428)</f>
        <v xml:space="preserve">POST - S - Painting </v>
      </c>
      <c r="G1429" s="34" t="s">
        <v>49</v>
      </c>
      <c r="H1429" s="34" t="s">
        <v>613</v>
      </c>
      <c r="I1429" s="35"/>
      <c r="J1429" s="21">
        <f ca="1">_xlfn.XLOOKUP(Master[[#This Row],[Checklist]],Ref!A:A,Ref!B:B)*1000</f>
        <v>134000</v>
      </c>
      <c r="K1429" s="21">
        <f ca="1">COUNTIF($J$2:Master[[#This Row],[ChecklistID]],Master[[#This Row],[ChecklistID]])-1</f>
        <v>3</v>
      </c>
      <c r="L1429" s="23" t="s">
        <v>6</v>
      </c>
    </row>
    <row r="1430" spans="1:12" ht="15.75">
      <c r="A1430" s="23">
        <f t="shared" si="22"/>
        <v>1429</v>
      </c>
      <c r="B1430" s="21">
        <f ca="1">Master[[#This Row],[ChecklistID]]+Master[[#This Row],[Checklist Order]]</f>
        <v>134004</v>
      </c>
      <c r="C1430" s="22"/>
      <c r="D1430" s="3" t="str" cm="1">
        <f t="array" aca="1" ref="D1430" ca="1">_xlfn.SWITCH(MID(Master[[#This Row],[Checklist]],1,4),"C - ","Civil","F - ","Foundation","ST -","Structure","FC -","Façade","PRE ","Pre-Line","POST","Post-Line","H - ","Handover","S - ","Services","CST ","Completion Docs", "I - ", "Inspection")</f>
        <v>Post-Line</v>
      </c>
      <c r="E14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0" s="24" t="str">
        <f ca="1">IF(OR(Master[[#This Row],[Type]]="checklist", Master[[#This Row],[Type]]="checklist-flat"), Master[[#This Row],[Name]], F1429)</f>
        <v xml:space="preserve">POST - S - Painting </v>
      </c>
      <c r="G1430" s="34" t="s">
        <v>49</v>
      </c>
      <c r="H1430" s="34" t="s">
        <v>614</v>
      </c>
      <c r="I1430" s="35"/>
      <c r="J1430" s="21">
        <f ca="1">_xlfn.XLOOKUP(Master[[#This Row],[Checklist]],Ref!A:A,Ref!B:B)*1000</f>
        <v>134000</v>
      </c>
      <c r="K1430" s="21">
        <f ca="1">COUNTIF($J$2:Master[[#This Row],[ChecklistID]],Master[[#This Row],[ChecklistID]])-1</f>
        <v>4</v>
      </c>
      <c r="L1430" s="23" t="s">
        <v>6</v>
      </c>
    </row>
    <row r="1431" spans="1:12" ht="15.75">
      <c r="A1431" s="23">
        <f t="shared" si="22"/>
        <v>1430</v>
      </c>
      <c r="B1431" s="21">
        <f ca="1">Master[[#This Row],[ChecklistID]]+Master[[#This Row],[Checklist Order]]</f>
        <v>134005</v>
      </c>
      <c r="C1431" s="22"/>
      <c r="D1431" s="3" t="str" cm="1">
        <f t="array" aca="1" ref="D1431" ca="1">_xlfn.SWITCH(MID(Master[[#This Row],[Checklist]],1,4),"C - ","Civil","F - ","Foundation","ST -","Structure","FC -","Façade","PRE ","Pre-Line","POST","Post-Line","H - ","Handover","S - ","Services","CST ","Completion Docs", "I - ", "Inspection")</f>
        <v>Post-Line</v>
      </c>
      <c r="E14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1" s="24" t="str">
        <f ca="1">IF(OR(Master[[#This Row],[Type]]="checklist", Master[[#This Row],[Type]]="checklist-flat"), Master[[#This Row],[Name]], F1430)</f>
        <v xml:space="preserve">POST - S - Painting </v>
      </c>
      <c r="G1431" s="34" t="s">
        <v>49</v>
      </c>
      <c r="H1431" s="34" t="s">
        <v>615</v>
      </c>
      <c r="I1431" s="35"/>
      <c r="J1431" s="21">
        <f ca="1">_xlfn.XLOOKUP(Master[[#This Row],[Checklist]],Ref!A:A,Ref!B:B)*1000</f>
        <v>134000</v>
      </c>
      <c r="K1431" s="21">
        <f ca="1">COUNTIF($J$2:Master[[#This Row],[ChecklistID]],Master[[#This Row],[ChecklistID]])-1</f>
        <v>5</v>
      </c>
      <c r="L1431" s="23" t="s">
        <v>6</v>
      </c>
    </row>
    <row r="1432" spans="1:12" ht="15.75">
      <c r="A1432" s="23">
        <f t="shared" si="22"/>
        <v>1431</v>
      </c>
      <c r="B1432" s="21">
        <f ca="1">Master[[#This Row],[ChecklistID]]+Master[[#This Row],[Checklist Order]]</f>
        <v>134006</v>
      </c>
      <c r="C1432" s="22"/>
      <c r="D1432" s="3" t="str" cm="1">
        <f t="array" aca="1" ref="D1432" ca="1">_xlfn.SWITCH(MID(Master[[#This Row],[Checklist]],1,4),"C - ","Civil","F - ","Foundation","ST -","Structure","FC -","Façade","PRE ","Pre-Line","POST","Post-Line","H - ","Handover","S - ","Services","CST ","Completion Docs", "I - ", "Inspection")</f>
        <v>Post-Line</v>
      </c>
      <c r="E14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2" s="24" t="str">
        <f ca="1">IF(OR(Master[[#This Row],[Type]]="checklist", Master[[#This Row],[Type]]="checklist-flat"), Master[[#This Row],[Name]], F1431)</f>
        <v xml:space="preserve">POST - S - Painting </v>
      </c>
      <c r="G1432" s="34" t="s">
        <v>49</v>
      </c>
      <c r="H1432" s="34" t="s">
        <v>616</v>
      </c>
      <c r="I1432" s="35"/>
      <c r="J1432" s="21">
        <f ca="1">_xlfn.XLOOKUP(Master[[#This Row],[Checklist]],Ref!A:A,Ref!B:B)*1000</f>
        <v>134000</v>
      </c>
      <c r="K1432" s="21">
        <f ca="1">COUNTIF($J$2:Master[[#This Row],[ChecklistID]],Master[[#This Row],[ChecklistID]])-1</f>
        <v>6</v>
      </c>
      <c r="L1432" s="23" t="s">
        <v>6</v>
      </c>
    </row>
    <row r="1433" spans="1:12" ht="15.75">
      <c r="A1433" s="23">
        <f t="shared" si="22"/>
        <v>1432</v>
      </c>
      <c r="B1433" s="21">
        <f ca="1">Master[[#This Row],[ChecklistID]]+Master[[#This Row],[Checklist Order]]</f>
        <v>134007</v>
      </c>
      <c r="C1433" s="22"/>
      <c r="D1433" s="3" t="str" cm="1">
        <f t="array" aca="1" ref="D1433" ca="1">_xlfn.SWITCH(MID(Master[[#This Row],[Checklist]],1,4),"C - ","Civil","F - ","Foundation","ST -","Structure","FC -","Façade","PRE ","Pre-Line","POST","Post-Line","H - ","Handover","S - ","Services","CST ","Completion Docs", "I - ", "Inspection")</f>
        <v>Post-Line</v>
      </c>
      <c r="E14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3" s="24" t="str">
        <f ca="1">IF(OR(Master[[#This Row],[Type]]="checklist", Master[[#This Row],[Type]]="checklist-flat"), Master[[#This Row],[Name]], F1432)</f>
        <v xml:space="preserve">POST - S - Painting </v>
      </c>
      <c r="G1433" s="34" t="s">
        <v>49</v>
      </c>
      <c r="H1433" s="34" t="s">
        <v>617</v>
      </c>
      <c r="I1433" s="35"/>
      <c r="J1433" s="21">
        <f ca="1">_xlfn.XLOOKUP(Master[[#This Row],[Checklist]],Ref!A:A,Ref!B:B)*1000</f>
        <v>134000</v>
      </c>
      <c r="K1433" s="21">
        <f ca="1">COUNTIF($J$2:Master[[#This Row],[ChecklistID]],Master[[#This Row],[ChecklistID]])-1</f>
        <v>7</v>
      </c>
      <c r="L1433" s="23" t="s">
        <v>6</v>
      </c>
    </row>
    <row r="1434" spans="1:12" ht="15.75">
      <c r="A1434" s="23">
        <f t="shared" si="22"/>
        <v>1433</v>
      </c>
      <c r="B1434" s="21">
        <f ca="1">Master[[#This Row],[ChecklistID]]+Master[[#This Row],[Checklist Order]]</f>
        <v>134008</v>
      </c>
      <c r="C1434" s="22"/>
      <c r="D1434" s="3" t="str" cm="1">
        <f t="array" aca="1" ref="D1434" ca="1">_xlfn.SWITCH(MID(Master[[#This Row],[Checklist]],1,4),"C - ","Civil","F - ","Foundation","ST -","Structure","FC -","Façade","PRE ","Pre-Line","POST","Post-Line","H - ","Handover","S - ","Services","CST ","Completion Docs", "I - ", "Inspection")</f>
        <v>Post-Line</v>
      </c>
      <c r="E14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4" s="24" t="str">
        <f ca="1">IF(OR(Master[[#This Row],[Type]]="checklist", Master[[#This Row],[Type]]="checklist-flat"), Master[[#This Row],[Name]], F1433)</f>
        <v xml:space="preserve">POST - S - Painting </v>
      </c>
      <c r="G1434" s="34" t="s">
        <v>49</v>
      </c>
      <c r="H1434" s="34" t="s">
        <v>57</v>
      </c>
      <c r="I1434" s="35"/>
      <c r="J1434" s="21">
        <f ca="1">_xlfn.XLOOKUP(Master[[#This Row],[Checklist]],Ref!A:A,Ref!B:B)*1000</f>
        <v>134000</v>
      </c>
      <c r="K1434" s="21">
        <f ca="1">COUNTIF($J$2:Master[[#This Row],[ChecklistID]],Master[[#This Row],[ChecklistID]])-1</f>
        <v>8</v>
      </c>
      <c r="L1434" s="23" t="s">
        <v>6</v>
      </c>
    </row>
    <row r="1435" spans="1:12" ht="15.75">
      <c r="A1435" s="23">
        <f t="shared" si="22"/>
        <v>1434</v>
      </c>
      <c r="B1435" s="21">
        <f ca="1">Master[[#This Row],[ChecklistID]]+Master[[#This Row],[Checklist Order]]</f>
        <v>134009</v>
      </c>
      <c r="C1435" s="22"/>
      <c r="D1435" s="3" t="str" cm="1">
        <f t="array" aca="1" ref="D1435" ca="1">_xlfn.SWITCH(MID(Master[[#This Row],[Checklist]],1,4),"C - ","Civil","F - ","Foundation","ST -","Structure","FC -","Façade","PRE ","Pre-Line","POST","Post-Line","H - ","Handover","S - ","Services","CST ","Completion Docs", "I - ", "Inspection")</f>
        <v>Post-Line</v>
      </c>
      <c r="E14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5" s="24" t="str">
        <f ca="1">IF(OR(Master[[#This Row],[Type]]="checklist", Master[[#This Row],[Type]]="checklist-flat"), Master[[#This Row],[Name]], F1434)</f>
        <v xml:space="preserve">POST - S - Painting </v>
      </c>
      <c r="G1435" s="34" t="s">
        <v>58</v>
      </c>
      <c r="H1435" s="34" t="s">
        <v>59</v>
      </c>
      <c r="I1435" s="35"/>
      <c r="J1435" s="21">
        <f ca="1">_xlfn.XLOOKUP(Master[[#This Row],[Checklist]],Ref!A:A,Ref!B:B)*1000</f>
        <v>134000</v>
      </c>
      <c r="K1435" s="21">
        <f ca="1">COUNTIF($J$2:Master[[#This Row],[ChecklistID]],Master[[#This Row],[ChecklistID]])-1</f>
        <v>9</v>
      </c>
      <c r="L1435" s="23" t="s">
        <v>6</v>
      </c>
    </row>
    <row r="1436" spans="1:12" ht="15.75">
      <c r="A1436" s="23">
        <f t="shared" si="22"/>
        <v>1435</v>
      </c>
      <c r="B1436" s="21">
        <f ca="1">Master[[#This Row],[ChecklistID]]+Master[[#This Row],[Checklist Order]]</f>
        <v>135000</v>
      </c>
      <c r="C1436" s="22"/>
      <c r="D1436" s="3" t="str" cm="1">
        <f t="array" aca="1" ref="D1436" ca="1">_xlfn.SWITCH(MID(Master[[#This Row],[Checklist]],1,4),"C - ","Civil","F - ","Foundation","ST -","Structure","FC -","Façade","PRE ","Pre-Line","POST","Post-Line","H - ","Handover","S - ","Services","CST ","Completion Docs", "I - ", "Inspection")</f>
        <v>Post-Line</v>
      </c>
      <c r="E14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6" s="24" t="str">
        <f ca="1">IF(OR(Master[[#This Row],[Type]]="checklist", Master[[#This Row],[Type]]="checklist-flat"), Master[[#This Row],[Name]], F1435)</f>
        <v>POST - S - Internal Waterproofing &amp; Tiling - Bathrooms &amp; WC</v>
      </c>
      <c r="G1436" s="34" t="s">
        <v>48</v>
      </c>
      <c r="H1436" s="34" t="s">
        <v>618</v>
      </c>
      <c r="I1436" s="35"/>
      <c r="J1436" s="21">
        <f ca="1">_xlfn.XLOOKUP(Master[[#This Row],[Checklist]],Ref!A:A,Ref!B:B)*1000</f>
        <v>135000</v>
      </c>
      <c r="K1436" s="21">
        <f ca="1">COUNTIF($J$2:Master[[#This Row],[ChecklistID]],Master[[#This Row],[ChecklistID]])-1</f>
        <v>0</v>
      </c>
      <c r="L1436" s="23" t="s">
        <v>6</v>
      </c>
    </row>
    <row r="1437" spans="1:12" ht="15.75">
      <c r="A1437" s="23">
        <f t="shared" si="22"/>
        <v>1436</v>
      </c>
      <c r="B1437" s="21">
        <f ca="1">Master[[#This Row],[ChecklistID]]+Master[[#This Row],[Checklist Order]]</f>
        <v>135001</v>
      </c>
      <c r="C1437" s="22"/>
      <c r="D1437" s="3" t="str" cm="1">
        <f t="array" aca="1" ref="D1437" ca="1">_xlfn.SWITCH(MID(Master[[#This Row],[Checklist]],1,4),"C - ","Civil","F - ","Foundation","ST -","Structure","FC -","Façade","PRE ","Pre-Line","POST","Post-Line","H - ","Handover","S - ","Services","CST ","Completion Docs", "I - ", "Inspection")</f>
        <v>Post-Line</v>
      </c>
      <c r="E14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7" s="24" t="str">
        <f ca="1">IF(OR(Master[[#This Row],[Type]]="checklist", Master[[#This Row],[Type]]="checklist-flat"), Master[[#This Row],[Name]], F1436)</f>
        <v>POST - S - Internal Waterproofing &amp; Tiling - Bathrooms &amp; WC</v>
      </c>
      <c r="G1437" s="34" t="s">
        <v>49</v>
      </c>
      <c r="H1437" s="34" t="s">
        <v>619</v>
      </c>
      <c r="I1437" s="35"/>
      <c r="J1437" s="21">
        <f ca="1">_xlfn.XLOOKUP(Master[[#This Row],[Checklist]],Ref!A:A,Ref!B:B)*1000</f>
        <v>135000</v>
      </c>
      <c r="K1437" s="21">
        <f ca="1">COUNTIF($J$2:Master[[#This Row],[ChecklistID]],Master[[#This Row],[ChecklistID]])-1</f>
        <v>1</v>
      </c>
      <c r="L1437" s="23" t="s">
        <v>6</v>
      </c>
    </row>
    <row r="1438" spans="1:12" ht="15.75">
      <c r="A1438" s="23">
        <f t="shared" si="22"/>
        <v>1437</v>
      </c>
      <c r="B1438" s="21">
        <f ca="1">Master[[#This Row],[ChecklistID]]+Master[[#This Row],[Checklist Order]]</f>
        <v>135002</v>
      </c>
      <c r="C1438" s="22"/>
      <c r="D1438" s="3" t="str" cm="1">
        <f t="array" aca="1" ref="D1438" ca="1">_xlfn.SWITCH(MID(Master[[#This Row],[Checklist]],1,4),"C - ","Civil","F - ","Foundation","ST -","Structure","FC -","Façade","PRE ","Pre-Line","POST","Post-Line","H - ","Handover","S - ","Services","CST ","Completion Docs", "I - ", "Inspection")</f>
        <v>Post-Line</v>
      </c>
      <c r="E14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8" s="24" t="str">
        <f ca="1">IF(OR(Master[[#This Row],[Type]]="checklist", Master[[#This Row],[Type]]="checklist-flat"), Master[[#This Row],[Name]], F1437)</f>
        <v>POST - S - Internal Waterproofing &amp; Tiling - Bathrooms &amp; WC</v>
      </c>
      <c r="G1438" s="34" t="s">
        <v>49</v>
      </c>
      <c r="H1438" s="34" t="s">
        <v>620</v>
      </c>
      <c r="I1438" s="35"/>
      <c r="J1438" s="21">
        <f ca="1">_xlfn.XLOOKUP(Master[[#This Row],[Checklist]],Ref!A:A,Ref!B:B)*1000</f>
        <v>135000</v>
      </c>
      <c r="K1438" s="21">
        <f ca="1">COUNTIF($J$2:Master[[#This Row],[ChecklistID]],Master[[#This Row],[ChecklistID]])-1</f>
        <v>2</v>
      </c>
      <c r="L1438" s="23" t="s">
        <v>6</v>
      </c>
    </row>
    <row r="1439" spans="1:12" ht="15.75">
      <c r="A1439" s="23">
        <f t="shared" si="22"/>
        <v>1438</v>
      </c>
      <c r="B1439" s="21">
        <f ca="1">Master[[#This Row],[ChecklistID]]+Master[[#This Row],[Checklist Order]]</f>
        <v>135003</v>
      </c>
      <c r="C1439" s="22"/>
      <c r="D1439" s="3" t="str" cm="1">
        <f t="array" aca="1" ref="D1439" ca="1">_xlfn.SWITCH(MID(Master[[#This Row],[Checklist]],1,4),"C - ","Civil","F - ","Foundation","ST -","Structure","FC -","Façade","PRE ","Pre-Line","POST","Post-Line","H - ","Handover","S - ","Services","CST ","Completion Docs", "I - ", "Inspection")</f>
        <v>Post-Line</v>
      </c>
      <c r="E14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39" s="24" t="str">
        <f ca="1">IF(OR(Master[[#This Row],[Type]]="checklist", Master[[#This Row],[Type]]="checklist-flat"), Master[[#This Row],[Name]], F1438)</f>
        <v>POST - S - Internal Waterproofing &amp; Tiling - Bathrooms &amp; WC</v>
      </c>
      <c r="G1439" s="34" t="s">
        <v>49</v>
      </c>
      <c r="H1439" s="34" t="s">
        <v>621</v>
      </c>
      <c r="I1439" s="35"/>
      <c r="J1439" s="21">
        <f ca="1">_xlfn.XLOOKUP(Master[[#This Row],[Checklist]],Ref!A:A,Ref!B:B)*1000</f>
        <v>135000</v>
      </c>
      <c r="K1439" s="21">
        <f ca="1">COUNTIF($J$2:Master[[#This Row],[ChecklistID]],Master[[#This Row],[ChecklistID]])-1</f>
        <v>3</v>
      </c>
      <c r="L1439" s="23" t="s">
        <v>6</v>
      </c>
    </row>
    <row r="1440" spans="1:12" ht="15.75">
      <c r="A1440" s="23">
        <f t="shared" si="22"/>
        <v>1439</v>
      </c>
      <c r="B1440" s="21">
        <f ca="1">Master[[#This Row],[ChecklistID]]+Master[[#This Row],[Checklist Order]]</f>
        <v>135004</v>
      </c>
      <c r="C1440" s="22"/>
      <c r="D1440" s="3" t="str" cm="1">
        <f t="array" aca="1" ref="D1440" ca="1">_xlfn.SWITCH(MID(Master[[#This Row],[Checklist]],1,4),"C - ","Civil","F - ","Foundation","ST -","Structure","FC -","Façade","PRE ","Pre-Line","POST","Post-Line","H - ","Handover","S - ","Services","CST ","Completion Docs", "I - ", "Inspection")</f>
        <v>Post-Line</v>
      </c>
      <c r="E14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0" s="24" t="str">
        <f ca="1">IF(OR(Master[[#This Row],[Type]]="checklist", Master[[#This Row],[Type]]="checklist-flat"), Master[[#This Row],[Name]], F1439)</f>
        <v>POST - S - Internal Waterproofing &amp; Tiling - Bathrooms &amp; WC</v>
      </c>
      <c r="G1440" s="34" t="s">
        <v>49</v>
      </c>
      <c r="H1440" s="34" t="s">
        <v>622</v>
      </c>
      <c r="I1440" s="35"/>
      <c r="J1440" s="21">
        <f ca="1">_xlfn.XLOOKUP(Master[[#This Row],[Checklist]],Ref!A:A,Ref!B:B)*1000</f>
        <v>135000</v>
      </c>
      <c r="K1440" s="21">
        <f ca="1">COUNTIF($J$2:Master[[#This Row],[ChecklistID]],Master[[#This Row],[ChecklistID]])-1</f>
        <v>4</v>
      </c>
      <c r="L1440" s="23" t="s">
        <v>6</v>
      </c>
    </row>
    <row r="1441" spans="1:12" ht="15.75">
      <c r="A1441" s="23">
        <f t="shared" si="22"/>
        <v>1440</v>
      </c>
      <c r="B1441" s="21">
        <f ca="1">Master[[#This Row],[ChecklistID]]+Master[[#This Row],[Checklist Order]]</f>
        <v>135005</v>
      </c>
      <c r="C1441" s="22"/>
      <c r="D1441" s="3" t="str" cm="1">
        <f t="array" aca="1" ref="D1441" ca="1">_xlfn.SWITCH(MID(Master[[#This Row],[Checklist]],1,4),"C - ","Civil","F - ","Foundation","ST -","Structure","FC -","Façade","PRE ","Pre-Line","POST","Post-Line","H - ","Handover","S - ","Services","CST ","Completion Docs", "I - ", "Inspection")</f>
        <v>Post-Line</v>
      </c>
      <c r="E14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1" s="24" t="str">
        <f ca="1">IF(OR(Master[[#This Row],[Type]]="checklist", Master[[#This Row],[Type]]="checklist-flat"), Master[[#This Row],[Name]], F1440)</f>
        <v>POST - S - Internal Waterproofing &amp; Tiling - Bathrooms &amp; WC</v>
      </c>
      <c r="G1441" s="34" t="s">
        <v>49</v>
      </c>
      <c r="H1441" s="34" t="s">
        <v>623</v>
      </c>
      <c r="I1441" s="35"/>
      <c r="J1441" s="21">
        <f ca="1">_xlfn.XLOOKUP(Master[[#This Row],[Checklist]],Ref!A:A,Ref!B:B)*1000</f>
        <v>135000</v>
      </c>
      <c r="K1441" s="21">
        <f ca="1">COUNTIF($J$2:Master[[#This Row],[ChecklistID]],Master[[#This Row],[ChecklistID]])-1</f>
        <v>5</v>
      </c>
      <c r="L1441" s="23" t="s">
        <v>6</v>
      </c>
    </row>
    <row r="1442" spans="1:12" ht="15.75">
      <c r="A1442" s="23">
        <f t="shared" si="22"/>
        <v>1441</v>
      </c>
      <c r="B1442" s="21">
        <f ca="1">Master[[#This Row],[ChecklistID]]+Master[[#This Row],[Checklist Order]]</f>
        <v>135006</v>
      </c>
      <c r="C1442" s="22"/>
      <c r="D1442" s="3" t="str" cm="1">
        <f t="array" aca="1" ref="D1442" ca="1">_xlfn.SWITCH(MID(Master[[#This Row],[Checklist]],1,4),"C - ","Civil","F - ","Foundation","ST -","Structure","FC -","Façade","PRE ","Pre-Line","POST","Post-Line","H - ","Handover","S - ","Services","CST ","Completion Docs", "I - ", "Inspection")</f>
        <v>Post-Line</v>
      </c>
      <c r="E14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2" s="24" t="str">
        <f ca="1">IF(OR(Master[[#This Row],[Type]]="checklist", Master[[#This Row],[Type]]="checklist-flat"), Master[[#This Row],[Name]], F1441)</f>
        <v>POST - S - Internal Waterproofing &amp; Tiling - Bathrooms &amp; WC</v>
      </c>
      <c r="G1442" s="34" t="s">
        <v>49</v>
      </c>
      <c r="H1442" s="34" t="s">
        <v>624</v>
      </c>
      <c r="I1442" s="35"/>
      <c r="J1442" s="21">
        <f ca="1">_xlfn.XLOOKUP(Master[[#This Row],[Checklist]],Ref!A:A,Ref!B:B)*1000</f>
        <v>135000</v>
      </c>
      <c r="K1442" s="21">
        <f ca="1">COUNTIF($J$2:Master[[#This Row],[ChecklistID]],Master[[#This Row],[ChecklistID]])-1</f>
        <v>6</v>
      </c>
      <c r="L1442" s="23" t="s">
        <v>6</v>
      </c>
    </row>
    <row r="1443" spans="1:12" ht="15.75">
      <c r="A1443" s="23">
        <f t="shared" si="22"/>
        <v>1442</v>
      </c>
      <c r="B1443" s="21">
        <f ca="1">Master[[#This Row],[ChecklistID]]+Master[[#This Row],[Checklist Order]]</f>
        <v>135007</v>
      </c>
      <c r="C1443" s="22"/>
      <c r="D1443" s="3" t="str" cm="1">
        <f t="array" aca="1" ref="D1443" ca="1">_xlfn.SWITCH(MID(Master[[#This Row],[Checklist]],1,4),"C - ","Civil","F - ","Foundation","ST -","Structure","FC -","Façade","PRE ","Pre-Line","POST","Post-Line","H - ","Handover","S - ","Services","CST ","Completion Docs", "I - ", "Inspection")</f>
        <v>Post-Line</v>
      </c>
      <c r="E14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3" s="24" t="str">
        <f ca="1">IF(OR(Master[[#This Row],[Type]]="checklist", Master[[#This Row],[Type]]="checklist-flat"), Master[[#This Row],[Name]], F1442)</f>
        <v>POST - S - Internal Waterproofing &amp; Tiling - Bathrooms &amp; WC</v>
      </c>
      <c r="G1443" s="34" t="s">
        <v>49</v>
      </c>
      <c r="H1443" s="34" t="s">
        <v>625</v>
      </c>
      <c r="I1443" s="35"/>
      <c r="J1443" s="21">
        <f ca="1">_xlfn.XLOOKUP(Master[[#This Row],[Checklist]],Ref!A:A,Ref!B:B)*1000</f>
        <v>135000</v>
      </c>
      <c r="K1443" s="21">
        <f ca="1">COUNTIF($J$2:Master[[#This Row],[ChecklistID]],Master[[#This Row],[ChecklistID]])-1</f>
        <v>7</v>
      </c>
      <c r="L1443" s="23" t="s">
        <v>6</v>
      </c>
    </row>
    <row r="1444" spans="1:12" ht="15.75">
      <c r="A1444" s="23">
        <f t="shared" si="22"/>
        <v>1443</v>
      </c>
      <c r="B1444" s="21">
        <f ca="1">Master[[#This Row],[ChecklistID]]+Master[[#This Row],[Checklist Order]]</f>
        <v>135008</v>
      </c>
      <c r="C1444" s="22"/>
      <c r="D1444" s="3" t="str" cm="1">
        <f t="array" aca="1" ref="D1444" ca="1">_xlfn.SWITCH(MID(Master[[#This Row],[Checklist]],1,4),"C - ","Civil","F - ","Foundation","ST -","Structure","FC -","Façade","PRE ","Pre-Line","POST","Post-Line","H - ","Handover","S - ","Services","CST ","Completion Docs", "I - ", "Inspection")</f>
        <v>Post-Line</v>
      </c>
      <c r="E14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4" s="24" t="str">
        <f ca="1">IF(OR(Master[[#This Row],[Type]]="checklist", Master[[#This Row],[Type]]="checklist-flat"), Master[[#This Row],[Name]], F1443)</f>
        <v>POST - S - Internal Waterproofing &amp; Tiling - Bathrooms &amp; WC</v>
      </c>
      <c r="G1444" s="34" t="s">
        <v>49</v>
      </c>
      <c r="H1444" s="34" t="s">
        <v>626</v>
      </c>
      <c r="I1444" s="35"/>
      <c r="J1444" s="21">
        <f ca="1">_xlfn.XLOOKUP(Master[[#This Row],[Checklist]],Ref!A:A,Ref!B:B)*1000</f>
        <v>135000</v>
      </c>
      <c r="K1444" s="21">
        <f ca="1">COUNTIF($J$2:Master[[#This Row],[ChecklistID]],Master[[#This Row],[ChecklistID]])-1</f>
        <v>8</v>
      </c>
      <c r="L1444" s="23" t="s">
        <v>6</v>
      </c>
    </row>
    <row r="1445" spans="1:12" ht="15.75">
      <c r="A1445" s="23">
        <f t="shared" si="22"/>
        <v>1444</v>
      </c>
      <c r="B1445" s="21">
        <f ca="1">Master[[#This Row],[ChecklistID]]+Master[[#This Row],[Checklist Order]]</f>
        <v>135009</v>
      </c>
      <c r="C1445" s="22"/>
      <c r="D1445" s="3" t="str" cm="1">
        <f t="array" aca="1" ref="D1445" ca="1">_xlfn.SWITCH(MID(Master[[#This Row],[Checklist]],1,4),"C - ","Civil","F - ","Foundation","ST -","Structure","FC -","Façade","PRE ","Pre-Line","POST","Post-Line","H - ","Handover","S - ","Services","CST ","Completion Docs", "I - ", "Inspection")</f>
        <v>Post-Line</v>
      </c>
      <c r="E14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5" s="24" t="str">
        <f ca="1">IF(OR(Master[[#This Row],[Type]]="checklist", Master[[#This Row],[Type]]="checklist-flat"), Master[[#This Row],[Name]], F1444)</f>
        <v>POST - S - Internal Waterproofing &amp; Tiling - Bathrooms &amp; WC</v>
      </c>
      <c r="G1445" s="34" t="s">
        <v>49</v>
      </c>
      <c r="H1445" s="34" t="s">
        <v>57</v>
      </c>
      <c r="I1445" s="35"/>
      <c r="J1445" s="21">
        <f ca="1">_xlfn.XLOOKUP(Master[[#This Row],[Checklist]],Ref!A:A,Ref!B:B)*1000</f>
        <v>135000</v>
      </c>
      <c r="K1445" s="21">
        <f ca="1">COUNTIF($J$2:Master[[#This Row],[ChecklistID]],Master[[#This Row],[ChecklistID]])-1</f>
        <v>9</v>
      </c>
      <c r="L1445" s="23" t="s">
        <v>6</v>
      </c>
    </row>
    <row r="1446" spans="1:12" ht="15.75">
      <c r="A1446" s="23">
        <f t="shared" si="22"/>
        <v>1445</v>
      </c>
      <c r="B1446" s="21">
        <f ca="1">Master[[#This Row],[ChecklistID]]+Master[[#This Row],[Checklist Order]]</f>
        <v>135010</v>
      </c>
      <c r="C1446" s="22"/>
      <c r="D1446" s="3" t="str" cm="1">
        <f t="array" aca="1" ref="D1446" ca="1">_xlfn.SWITCH(MID(Master[[#This Row],[Checklist]],1,4),"C - ","Civil","F - ","Foundation","ST -","Structure","FC -","Façade","PRE ","Pre-Line","POST","Post-Line","H - ","Handover","S - ","Services","CST ","Completion Docs", "I - ", "Inspection")</f>
        <v>Post-Line</v>
      </c>
      <c r="E14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6" s="24" t="str">
        <f ca="1">IF(OR(Master[[#This Row],[Type]]="checklist", Master[[#This Row],[Type]]="checklist-flat"), Master[[#This Row],[Name]], F1445)</f>
        <v>POST - S - Internal Waterproofing &amp; Tiling - Bathrooms &amp; WC</v>
      </c>
      <c r="G1446" s="34" t="s">
        <v>58</v>
      </c>
      <c r="H1446" s="34" t="s">
        <v>59</v>
      </c>
      <c r="I1446" s="35"/>
      <c r="J1446" s="21">
        <f ca="1">_xlfn.XLOOKUP(Master[[#This Row],[Checklist]],Ref!A:A,Ref!B:B)*1000</f>
        <v>135000</v>
      </c>
      <c r="K1446" s="21">
        <f ca="1">COUNTIF($J$2:Master[[#This Row],[ChecklistID]],Master[[#This Row],[ChecklistID]])-1</f>
        <v>10</v>
      </c>
      <c r="L1446" s="23" t="s">
        <v>6</v>
      </c>
    </row>
    <row r="1447" spans="1:12" ht="15.75">
      <c r="A1447" s="23">
        <f t="shared" si="22"/>
        <v>1446</v>
      </c>
      <c r="B1447" s="21">
        <f ca="1">Master[[#This Row],[ChecklistID]]+Master[[#This Row],[Checklist Order]]</f>
        <v>136000</v>
      </c>
      <c r="C1447" s="22"/>
      <c r="D1447" s="3" t="str" cm="1">
        <f t="array" aca="1" ref="D1447" ca="1">_xlfn.SWITCH(MID(Master[[#This Row],[Checklist]],1,4),"C - ","Civil","F - ","Foundation","ST -","Structure","FC -","Façade","PRE ","Pre-Line","POST","Post-Line","H - ","Handover","S - ","Services","CST ","Completion Docs", "I - ", "Inspection")</f>
        <v>Post-Line</v>
      </c>
      <c r="E14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7" s="24" t="str">
        <f ca="1">IF(OR(Master[[#This Row],[Type]]="checklist", Master[[#This Row],[Type]]="checklist-flat"), Master[[#This Row],[Name]], F1446)</f>
        <v>POST - S - Underfloor heating</v>
      </c>
      <c r="G1447" s="34" t="s">
        <v>48</v>
      </c>
      <c r="H1447" s="34" t="s">
        <v>627</v>
      </c>
      <c r="I1447" s="35"/>
      <c r="J1447" s="21">
        <f ca="1">_xlfn.XLOOKUP(Master[[#This Row],[Checklist]],Ref!A:A,Ref!B:B)*1000</f>
        <v>136000</v>
      </c>
      <c r="K1447" s="21">
        <f ca="1">COUNTIF($J$2:Master[[#This Row],[ChecklistID]],Master[[#This Row],[ChecklistID]])-1</f>
        <v>0</v>
      </c>
      <c r="L1447" s="23" t="s">
        <v>6</v>
      </c>
    </row>
    <row r="1448" spans="1:12" ht="15.75">
      <c r="A1448" s="23">
        <f t="shared" si="22"/>
        <v>1447</v>
      </c>
      <c r="B1448" s="21">
        <f ca="1">Master[[#This Row],[ChecklistID]]+Master[[#This Row],[Checklist Order]]</f>
        <v>136001</v>
      </c>
      <c r="C1448" s="22"/>
      <c r="D1448" s="3" t="str" cm="1">
        <f t="array" aca="1" ref="D1448" ca="1">_xlfn.SWITCH(MID(Master[[#This Row],[Checklist]],1,4),"C - ","Civil","F - ","Foundation","ST -","Structure","FC -","Façade","PRE ","Pre-Line","POST","Post-Line","H - ","Handover","S - ","Services","CST ","Completion Docs", "I - ", "Inspection")</f>
        <v>Post-Line</v>
      </c>
      <c r="E14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8" s="24" t="str">
        <f ca="1">IF(OR(Master[[#This Row],[Type]]="checklist", Master[[#This Row],[Type]]="checklist-flat"), Master[[#This Row],[Name]], F1447)</f>
        <v>POST - S - Underfloor heating</v>
      </c>
      <c r="G1448" s="34" t="s">
        <v>49</v>
      </c>
      <c r="H1448" s="34" t="s">
        <v>628</v>
      </c>
      <c r="I1448" s="35"/>
      <c r="J1448" s="21">
        <f ca="1">_xlfn.XLOOKUP(Master[[#This Row],[Checklist]],Ref!A:A,Ref!B:B)*1000</f>
        <v>136000</v>
      </c>
      <c r="K1448" s="21">
        <f ca="1">COUNTIF($J$2:Master[[#This Row],[ChecklistID]],Master[[#This Row],[ChecklistID]])-1</f>
        <v>1</v>
      </c>
      <c r="L1448" s="23" t="s">
        <v>6</v>
      </c>
    </row>
    <row r="1449" spans="1:12" ht="15.75">
      <c r="A1449" s="23">
        <f t="shared" si="22"/>
        <v>1448</v>
      </c>
      <c r="B1449" s="21">
        <f ca="1">Master[[#This Row],[ChecklistID]]+Master[[#This Row],[Checklist Order]]</f>
        <v>136002</v>
      </c>
      <c r="C1449" s="22"/>
      <c r="D1449" s="3" t="str" cm="1">
        <f t="array" aca="1" ref="D1449" ca="1">_xlfn.SWITCH(MID(Master[[#This Row],[Checklist]],1,4),"C - ","Civil","F - ","Foundation","ST -","Structure","FC -","Façade","PRE ","Pre-Line","POST","Post-Line","H - ","Handover","S - ","Services","CST ","Completion Docs", "I - ", "Inspection")</f>
        <v>Post-Line</v>
      </c>
      <c r="E14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49" s="24" t="str">
        <f ca="1">IF(OR(Master[[#This Row],[Type]]="checklist", Master[[#This Row],[Type]]="checklist-flat"), Master[[#This Row],[Name]], F1448)</f>
        <v>POST - S - Underfloor heating</v>
      </c>
      <c r="G1449" s="34" t="s">
        <v>49</v>
      </c>
      <c r="H1449" s="34" t="s">
        <v>1701</v>
      </c>
      <c r="I1449" s="35"/>
      <c r="J1449" s="21">
        <f ca="1">_xlfn.XLOOKUP(Master[[#This Row],[Checklist]],Ref!A:A,Ref!B:B)*1000</f>
        <v>136000</v>
      </c>
      <c r="K1449" s="21">
        <f ca="1">COUNTIF($J$2:Master[[#This Row],[ChecklistID]],Master[[#This Row],[ChecklistID]])-1</f>
        <v>2</v>
      </c>
      <c r="L1449" s="23" t="s">
        <v>6</v>
      </c>
    </row>
    <row r="1450" spans="1:12" ht="15.75">
      <c r="A1450" s="23">
        <f t="shared" ref="A1450:A1513" si="23">IFERROR(A1449+1,1)</f>
        <v>1449</v>
      </c>
      <c r="B1450" s="21">
        <f ca="1">Master[[#This Row],[ChecklistID]]+Master[[#This Row],[Checklist Order]]</f>
        <v>136003</v>
      </c>
      <c r="C1450" s="22"/>
      <c r="D1450" s="3" t="str" cm="1">
        <f t="array" aca="1" ref="D1450" ca="1">_xlfn.SWITCH(MID(Master[[#This Row],[Checklist]],1,4),"C - ","Civil","F - ","Foundation","ST -","Structure","FC -","Façade","PRE ","Pre-Line","POST","Post-Line","H - ","Handover","S - ","Services","CST ","Completion Docs", "I - ", "Inspection")</f>
        <v>Post-Line</v>
      </c>
      <c r="E14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0" s="24" t="str">
        <f ca="1">IF(OR(Master[[#This Row],[Type]]="checklist", Master[[#This Row],[Type]]="checklist-flat"), Master[[#This Row],[Name]], F1449)</f>
        <v>POST - S - Underfloor heating</v>
      </c>
      <c r="G1450" s="34" t="s">
        <v>49</v>
      </c>
      <c r="H1450" s="34" t="s">
        <v>630</v>
      </c>
      <c r="I1450" s="35"/>
      <c r="J1450" s="21">
        <f ca="1">_xlfn.XLOOKUP(Master[[#This Row],[Checklist]],Ref!A:A,Ref!B:B)*1000</f>
        <v>136000</v>
      </c>
      <c r="K1450" s="21">
        <f ca="1">COUNTIF($J$2:Master[[#This Row],[ChecklistID]],Master[[#This Row],[ChecklistID]])-1</f>
        <v>3</v>
      </c>
      <c r="L1450" s="23" t="s">
        <v>6</v>
      </c>
    </row>
    <row r="1451" spans="1:12" ht="15.75">
      <c r="A1451" s="23">
        <f t="shared" si="23"/>
        <v>1450</v>
      </c>
      <c r="B1451" s="21">
        <f ca="1">Master[[#This Row],[ChecklistID]]+Master[[#This Row],[Checklist Order]]</f>
        <v>136004</v>
      </c>
      <c r="C1451" s="22"/>
      <c r="D1451" s="3" t="str" cm="1">
        <f t="array" aca="1" ref="D1451" ca="1">_xlfn.SWITCH(MID(Master[[#This Row],[Checklist]],1,4),"C - ","Civil","F - ","Foundation","ST -","Structure","FC -","Façade","PRE ","Pre-Line","POST","Post-Line","H - ","Handover","S - ","Services","CST ","Completion Docs", "I - ", "Inspection")</f>
        <v>Post-Line</v>
      </c>
      <c r="E14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1" s="24" t="str">
        <f ca="1">IF(OR(Master[[#This Row],[Type]]="checklist", Master[[#This Row],[Type]]="checklist-flat"), Master[[#This Row],[Name]], F1450)</f>
        <v>POST - S - Underfloor heating</v>
      </c>
      <c r="G1451" s="34" t="s">
        <v>49</v>
      </c>
      <c r="H1451" s="34" t="s">
        <v>57</v>
      </c>
      <c r="I1451" s="35"/>
      <c r="J1451" s="21">
        <f ca="1">_xlfn.XLOOKUP(Master[[#This Row],[Checklist]],Ref!A:A,Ref!B:B)*1000</f>
        <v>136000</v>
      </c>
      <c r="K1451" s="21">
        <f ca="1">COUNTIF($J$2:Master[[#This Row],[ChecklistID]],Master[[#This Row],[ChecklistID]])-1</f>
        <v>4</v>
      </c>
      <c r="L1451" s="23" t="s">
        <v>6</v>
      </c>
    </row>
    <row r="1452" spans="1:12" ht="15.75">
      <c r="A1452" s="23">
        <f t="shared" si="23"/>
        <v>1451</v>
      </c>
      <c r="B1452" s="21">
        <f ca="1">Master[[#This Row],[ChecklistID]]+Master[[#This Row],[Checklist Order]]</f>
        <v>136005</v>
      </c>
      <c r="C1452" s="22"/>
      <c r="D1452" s="23" t="str" cm="1">
        <f t="array" aca="1" ref="D1452" ca="1">_xlfn.SWITCH(MID(Master[[#This Row],[Checklist]],1,4),"C - ","Civil","F - ","Foundation","ST -","Structure","FC -","Façade","PRE ","Pre-Line","POST","Post-Line","H - ","Handover","S - ","Services","CST ","Completion Docs", "I - ", "Inspection")</f>
        <v>Post-Line</v>
      </c>
      <c r="E14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2" s="24" t="str">
        <f ca="1">IF(OR(Master[[#This Row],[Type]]="checklist", Master[[#This Row],[Type]]="checklist-flat"), Master[[#This Row],[Name]], F1451)</f>
        <v>POST - S - Underfloor heating</v>
      </c>
      <c r="G1452" s="34" t="s">
        <v>58</v>
      </c>
      <c r="H1452" s="34" t="s">
        <v>59</v>
      </c>
      <c r="I1452" s="35"/>
      <c r="J1452" s="21">
        <f ca="1">_xlfn.XLOOKUP(Master[[#This Row],[Checklist]],Ref!A:A,Ref!B:B)*1000</f>
        <v>136000</v>
      </c>
      <c r="K1452" s="21">
        <f ca="1">COUNTIF($J$2:Master[[#This Row],[ChecklistID]],Master[[#This Row],[ChecklistID]])-1</f>
        <v>5</v>
      </c>
      <c r="L1452" s="23" t="s">
        <v>6</v>
      </c>
    </row>
    <row r="1453" spans="1:12" ht="15.75">
      <c r="A1453" s="23">
        <f t="shared" si="23"/>
        <v>1452</v>
      </c>
      <c r="B1453" s="21">
        <f ca="1">Master[[#This Row],[ChecklistID]]+Master[[#This Row],[Checklist Order]]</f>
        <v>137000</v>
      </c>
      <c r="C1453" s="22"/>
      <c r="D1453" s="3" t="str" cm="1">
        <f t="array" aca="1" ref="D1453" ca="1">_xlfn.SWITCH(MID(Master[[#This Row],[Checklist]],1,4),"C - ","Civil","F - ","Foundation","ST -","Structure","FC -","Façade","PRE ","Pre-Line","POST","Post-Line","H - ","Handover","S - ","Services","CST ","Completion Docs", "I - ", "Inspection")</f>
        <v>Post-Line</v>
      </c>
      <c r="E14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3" s="24" t="str">
        <f ca="1">IF(OR(Master[[#This Row],[Type]]="checklist", Master[[#This Row],[Type]]="checklist-flat"), Master[[#This Row],[Name]], F1452)</f>
        <v>POST - S - Tiling</v>
      </c>
      <c r="G1453" s="34" t="s">
        <v>48</v>
      </c>
      <c r="H1453" s="34" t="s">
        <v>631</v>
      </c>
      <c r="I1453" s="35"/>
      <c r="J1453" s="21">
        <f ca="1">_xlfn.XLOOKUP(Master[[#This Row],[Checklist]],Ref!A:A,Ref!B:B)*1000</f>
        <v>137000</v>
      </c>
      <c r="K1453" s="21">
        <f ca="1">COUNTIF($J$2:Master[[#This Row],[ChecklistID]],Master[[#This Row],[ChecklistID]])-1</f>
        <v>0</v>
      </c>
      <c r="L1453" s="23" t="s">
        <v>6</v>
      </c>
    </row>
    <row r="1454" spans="1:12" ht="15.75">
      <c r="A1454" s="23">
        <f t="shared" si="23"/>
        <v>1453</v>
      </c>
      <c r="B1454" s="21">
        <f ca="1">Master[[#This Row],[ChecklistID]]+Master[[#This Row],[Checklist Order]]</f>
        <v>137001</v>
      </c>
      <c r="C1454" s="22"/>
      <c r="D1454" s="3" t="str" cm="1">
        <f t="array" aca="1" ref="D1454" ca="1">_xlfn.SWITCH(MID(Master[[#This Row],[Checklist]],1,4),"C - ","Civil","F - ","Foundation","ST -","Structure","FC -","Façade","PRE ","Pre-Line","POST","Post-Line","H - ","Handover","S - ","Services","CST ","Completion Docs", "I - ", "Inspection")</f>
        <v>Post-Line</v>
      </c>
      <c r="E14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4" s="24" t="str">
        <f ca="1">IF(OR(Master[[#This Row],[Type]]="checklist", Master[[#This Row],[Type]]="checklist-flat"), Master[[#This Row],[Name]], F1453)</f>
        <v>POST - S - Tiling</v>
      </c>
      <c r="G1454" s="34" t="s">
        <v>49</v>
      </c>
      <c r="H1454" s="34" t="s">
        <v>632</v>
      </c>
      <c r="I1454" s="35"/>
      <c r="J1454" s="21">
        <f ca="1">_xlfn.XLOOKUP(Master[[#This Row],[Checklist]],Ref!A:A,Ref!B:B)*1000</f>
        <v>137000</v>
      </c>
      <c r="K1454" s="21">
        <f ca="1">COUNTIF($J$2:Master[[#This Row],[ChecklistID]],Master[[#This Row],[ChecklistID]])-1</f>
        <v>1</v>
      </c>
      <c r="L1454" s="23" t="s">
        <v>6</v>
      </c>
    </row>
    <row r="1455" spans="1:12" ht="15.75">
      <c r="A1455" s="23">
        <f t="shared" si="23"/>
        <v>1454</v>
      </c>
      <c r="B1455" s="21">
        <f ca="1">Master[[#This Row],[ChecklistID]]+Master[[#This Row],[Checklist Order]]</f>
        <v>137002</v>
      </c>
      <c r="C1455" s="22"/>
      <c r="D1455" s="3" t="str" cm="1">
        <f t="array" aca="1" ref="D1455" ca="1">_xlfn.SWITCH(MID(Master[[#This Row],[Checklist]],1,4),"C - ","Civil","F - ","Foundation","ST -","Structure","FC -","Façade","PRE ","Pre-Line","POST","Post-Line","H - ","Handover","S - ","Services","CST ","Completion Docs", "I - ", "Inspection")</f>
        <v>Post-Line</v>
      </c>
      <c r="E14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5" s="24" t="str">
        <f ca="1">IF(OR(Master[[#This Row],[Type]]="checklist", Master[[#This Row],[Type]]="checklist-flat"), Master[[#This Row],[Name]], F1454)</f>
        <v>POST - S - Tiling</v>
      </c>
      <c r="G1455" s="34" t="s">
        <v>49</v>
      </c>
      <c r="H1455" s="34" t="s">
        <v>633</v>
      </c>
      <c r="I1455" s="35"/>
      <c r="J1455" s="21">
        <f ca="1">_xlfn.XLOOKUP(Master[[#This Row],[Checklist]],Ref!A:A,Ref!B:B)*1000</f>
        <v>137000</v>
      </c>
      <c r="K1455" s="21">
        <f ca="1">COUNTIF($J$2:Master[[#This Row],[ChecklistID]],Master[[#This Row],[ChecklistID]])-1</f>
        <v>2</v>
      </c>
      <c r="L1455" s="23" t="s">
        <v>6</v>
      </c>
    </row>
    <row r="1456" spans="1:12" ht="15.75">
      <c r="A1456" s="23">
        <f t="shared" si="23"/>
        <v>1455</v>
      </c>
      <c r="B1456" s="21">
        <f ca="1">Master[[#This Row],[ChecklistID]]+Master[[#This Row],[Checklist Order]]</f>
        <v>137003</v>
      </c>
      <c r="C1456" s="22"/>
      <c r="D1456" s="3" t="str" cm="1">
        <f t="array" aca="1" ref="D1456" ca="1">_xlfn.SWITCH(MID(Master[[#This Row],[Checklist]],1,4),"C - ","Civil","F - ","Foundation","ST -","Structure","FC -","Façade","PRE ","Pre-Line","POST","Post-Line","H - ","Handover","S - ","Services","CST ","Completion Docs", "I - ", "Inspection")</f>
        <v>Post-Line</v>
      </c>
      <c r="E14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6" s="24" t="str">
        <f ca="1">IF(OR(Master[[#This Row],[Type]]="checklist", Master[[#This Row],[Type]]="checklist-flat"), Master[[#This Row],[Name]], F1455)</f>
        <v>POST - S - Tiling</v>
      </c>
      <c r="G1456" s="34" t="s">
        <v>49</v>
      </c>
      <c r="H1456" s="34" t="s">
        <v>634</v>
      </c>
      <c r="I1456" s="35"/>
      <c r="J1456" s="21">
        <f ca="1">_xlfn.XLOOKUP(Master[[#This Row],[Checklist]],Ref!A:A,Ref!B:B)*1000</f>
        <v>137000</v>
      </c>
      <c r="K1456" s="21">
        <f ca="1">COUNTIF($J$2:Master[[#This Row],[ChecklistID]],Master[[#This Row],[ChecklistID]])-1</f>
        <v>3</v>
      </c>
      <c r="L1456" s="23" t="s">
        <v>6</v>
      </c>
    </row>
    <row r="1457" spans="1:12" ht="15.75">
      <c r="A1457" s="23">
        <f t="shared" si="23"/>
        <v>1456</v>
      </c>
      <c r="B1457" s="21">
        <f ca="1">Master[[#This Row],[ChecklistID]]+Master[[#This Row],[Checklist Order]]</f>
        <v>137004</v>
      </c>
      <c r="C1457" s="22"/>
      <c r="D1457" s="3" t="str" cm="1">
        <f t="array" aca="1" ref="D1457" ca="1">_xlfn.SWITCH(MID(Master[[#This Row],[Checklist]],1,4),"C - ","Civil","F - ","Foundation","ST -","Structure","FC -","Façade","PRE ","Pre-Line","POST","Post-Line","H - ","Handover","S - ","Services","CST ","Completion Docs", "I - ", "Inspection")</f>
        <v>Post-Line</v>
      </c>
      <c r="E14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7" s="24" t="str">
        <f ca="1">IF(OR(Master[[#This Row],[Type]]="checklist", Master[[#This Row],[Type]]="checklist-flat"), Master[[#This Row],[Name]], F1456)</f>
        <v>POST - S - Tiling</v>
      </c>
      <c r="G1457" s="34" t="s">
        <v>49</v>
      </c>
      <c r="H1457" s="34" t="s">
        <v>635</v>
      </c>
      <c r="I1457" s="35"/>
      <c r="J1457" s="21">
        <f ca="1">_xlfn.XLOOKUP(Master[[#This Row],[Checklist]],Ref!A:A,Ref!B:B)*1000</f>
        <v>137000</v>
      </c>
      <c r="K1457" s="21">
        <f ca="1">COUNTIF($J$2:Master[[#This Row],[ChecklistID]],Master[[#This Row],[ChecklistID]])-1</f>
        <v>4</v>
      </c>
      <c r="L1457" s="23" t="s">
        <v>6</v>
      </c>
    </row>
    <row r="1458" spans="1:12" ht="15.75">
      <c r="A1458" s="23">
        <f t="shared" si="23"/>
        <v>1457</v>
      </c>
      <c r="B1458" s="21">
        <f ca="1">Master[[#This Row],[ChecklistID]]+Master[[#This Row],[Checklist Order]]</f>
        <v>137005</v>
      </c>
      <c r="C1458" s="22"/>
      <c r="D1458" s="3" t="str" cm="1">
        <f t="array" aca="1" ref="D1458" ca="1">_xlfn.SWITCH(MID(Master[[#This Row],[Checklist]],1,4),"C - ","Civil","F - ","Foundation","ST -","Structure","FC -","Façade","PRE ","Pre-Line","POST","Post-Line","H - ","Handover","S - ","Services","CST ","Completion Docs", "I - ", "Inspection")</f>
        <v>Post-Line</v>
      </c>
      <c r="E14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8" s="24" t="str">
        <f ca="1">IF(OR(Master[[#This Row],[Type]]="checklist", Master[[#This Row],[Type]]="checklist-flat"), Master[[#This Row],[Name]], F1457)</f>
        <v>POST - S - Tiling</v>
      </c>
      <c r="G1458" s="34" t="s">
        <v>49</v>
      </c>
      <c r="H1458" s="34" t="s">
        <v>636</v>
      </c>
      <c r="I1458" s="35"/>
      <c r="J1458" s="21">
        <f ca="1">_xlfn.XLOOKUP(Master[[#This Row],[Checklist]],Ref!A:A,Ref!B:B)*1000</f>
        <v>137000</v>
      </c>
      <c r="K1458" s="21">
        <f ca="1">COUNTIF($J$2:Master[[#This Row],[ChecklistID]],Master[[#This Row],[ChecklistID]])-1</f>
        <v>5</v>
      </c>
      <c r="L1458" s="23" t="s">
        <v>6</v>
      </c>
    </row>
    <row r="1459" spans="1:12" ht="15.75">
      <c r="A1459" s="23">
        <f t="shared" si="23"/>
        <v>1458</v>
      </c>
      <c r="B1459" s="21">
        <f ca="1">Master[[#This Row],[ChecklistID]]+Master[[#This Row],[Checklist Order]]</f>
        <v>137006</v>
      </c>
      <c r="C1459" s="22"/>
      <c r="D1459" s="3" t="str" cm="1">
        <f t="array" aca="1" ref="D1459" ca="1">_xlfn.SWITCH(MID(Master[[#This Row],[Checklist]],1,4),"C - ","Civil","F - ","Foundation","ST -","Structure","FC -","Façade","PRE ","Pre-Line","POST","Post-Line","H - ","Handover","S - ","Services","CST ","Completion Docs", "I - ", "Inspection")</f>
        <v>Post-Line</v>
      </c>
      <c r="E14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59" s="24" t="str">
        <f ca="1">IF(OR(Master[[#This Row],[Type]]="checklist", Master[[#This Row],[Type]]="checklist-flat"), Master[[#This Row],[Name]], F1458)</f>
        <v>POST - S - Tiling</v>
      </c>
      <c r="G1459" s="34" t="s">
        <v>49</v>
      </c>
      <c r="H1459" s="34" t="s">
        <v>637</v>
      </c>
      <c r="I1459" s="35"/>
      <c r="J1459" s="21">
        <f ca="1">_xlfn.XLOOKUP(Master[[#This Row],[Checklist]],Ref!A:A,Ref!B:B)*1000</f>
        <v>137000</v>
      </c>
      <c r="K1459" s="21">
        <f ca="1">COUNTIF($J$2:Master[[#This Row],[ChecklistID]],Master[[#This Row],[ChecklistID]])-1</f>
        <v>6</v>
      </c>
      <c r="L1459" s="23" t="s">
        <v>6</v>
      </c>
    </row>
    <row r="1460" spans="1:12" ht="15.75">
      <c r="A1460" s="23">
        <f t="shared" si="23"/>
        <v>1459</v>
      </c>
      <c r="B1460" s="21">
        <f ca="1">Master[[#This Row],[ChecklistID]]+Master[[#This Row],[Checklist Order]]</f>
        <v>137007</v>
      </c>
      <c r="C1460" s="22"/>
      <c r="D1460" s="3" t="str" cm="1">
        <f t="array" aca="1" ref="D1460" ca="1">_xlfn.SWITCH(MID(Master[[#This Row],[Checklist]],1,4),"C - ","Civil","F - ","Foundation","ST -","Structure","FC -","Façade","PRE ","Pre-Line","POST","Post-Line","H - ","Handover","S - ","Services","CST ","Completion Docs", "I - ", "Inspection")</f>
        <v>Post-Line</v>
      </c>
      <c r="E14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0" s="24" t="str">
        <f ca="1">IF(OR(Master[[#This Row],[Type]]="checklist", Master[[#This Row],[Type]]="checklist-flat"), Master[[#This Row],[Name]], F1459)</f>
        <v>POST - S - Tiling</v>
      </c>
      <c r="G1460" s="34" t="s">
        <v>49</v>
      </c>
      <c r="H1460" s="34" t="s">
        <v>638</v>
      </c>
      <c r="I1460" s="35"/>
      <c r="J1460" s="21">
        <f ca="1">_xlfn.XLOOKUP(Master[[#This Row],[Checklist]],Ref!A:A,Ref!B:B)*1000</f>
        <v>137000</v>
      </c>
      <c r="K1460" s="21">
        <f ca="1">COUNTIF($J$2:Master[[#This Row],[ChecklistID]],Master[[#This Row],[ChecklistID]])-1</f>
        <v>7</v>
      </c>
      <c r="L1460" s="23" t="s">
        <v>6</v>
      </c>
    </row>
    <row r="1461" spans="1:12" ht="15.75">
      <c r="A1461" s="23">
        <f t="shared" si="23"/>
        <v>1460</v>
      </c>
      <c r="B1461" s="21">
        <f ca="1">Master[[#This Row],[ChecklistID]]+Master[[#This Row],[Checklist Order]]</f>
        <v>137008</v>
      </c>
      <c r="C1461" s="22"/>
      <c r="D1461" s="23" t="str" cm="1">
        <f t="array" aca="1" ref="D1461" ca="1">_xlfn.SWITCH(MID(Master[[#This Row],[Checklist]],1,4),"C - ","Civil","F - ","Foundation","ST -","Structure","FC -","Façade","PRE ","Pre-Line","POST","Post-Line","H - ","Handover","S - ","Services","CST ","Completion Docs", "I - ", "Inspection")</f>
        <v>Post-Line</v>
      </c>
      <c r="E14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1" s="24" t="str">
        <f ca="1">IF(OR(Master[[#This Row],[Type]]="checklist", Master[[#This Row],[Type]]="checklist-flat"), Master[[#This Row],[Name]], F1460)</f>
        <v>POST - S - Tiling</v>
      </c>
      <c r="G1461" s="34" t="s">
        <v>49</v>
      </c>
      <c r="H1461" s="34" t="s">
        <v>57</v>
      </c>
      <c r="I1461" s="35"/>
      <c r="J1461" s="21">
        <f ca="1">_xlfn.XLOOKUP(Master[[#This Row],[Checklist]],Ref!A:A,Ref!B:B)*1000</f>
        <v>137000</v>
      </c>
      <c r="K1461" s="21">
        <f ca="1">COUNTIF($J$2:Master[[#This Row],[ChecklistID]],Master[[#This Row],[ChecklistID]])-1</f>
        <v>8</v>
      </c>
      <c r="L1461" s="23" t="s">
        <v>6</v>
      </c>
    </row>
    <row r="1462" spans="1:12" ht="15.75">
      <c r="A1462" s="23">
        <f t="shared" si="23"/>
        <v>1461</v>
      </c>
      <c r="B1462" s="21">
        <f ca="1">Master[[#This Row],[ChecklistID]]+Master[[#This Row],[Checklist Order]]</f>
        <v>137009</v>
      </c>
      <c r="C1462" s="22"/>
      <c r="D1462" s="3" t="str" cm="1">
        <f t="array" aca="1" ref="D1462" ca="1">_xlfn.SWITCH(MID(Master[[#This Row],[Checklist]],1,4),"C - ","Civil","F - ","Foundation","ST -","Structure","FC -","Façade","PRE ","Pre-Line","POST","Post-Line","H - ","Handover","S - ","Services","CST ","Completion Docs", "I - ", "Inspection")</f>
        <v>Post-Line</v>
      </c>
      <c r="E14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2" s="24" t="str">
        <f ca="1">IF(OR(Master[[#This Row],[Type]]="checklist", Master[[#This Row],[Type]]="checklist-flat"), Master[[#This Row],[Name]], F1461)</f>
        <v>POST - S - Tiling</v>
      </c>
      <c r="G1462" s="34" t="s">
        <v>58</v>
      </c>
      <c r="H1462" s="34" t="s">
        <v>59</v>
      </c>
      <c r="I1462" s="35"/>
      <c r="J1462" s="21">
        <f ca="1">_xlfn.XLOOKUP(Master[[#This Row],[Checklist]],Ref!A:A,Ref!B:B)*1000</f>
        <v>137000</v>
      </c>
      <c r="K1462" s="21">
        <f ca="1">COUNTIF($J$2:Master[[#This Row],[ChecklistID]],Master[[#This Row],[ChecklistID]])-1</f>
        <v>9</v>
      </c>
      <c r="L1462" s="23" t="s">
        <v>6</v>
      </c>
    </row>
    <row r="1463" spans="1:12" ht="15.75">
      <c r="A1463" s="23">
        <f t="shared" si="23"/>
        <v>1462</v>
      </c>
      <c r="B1463" s="21">
        <f ca="1">Master[[#This Row],[ChecklistID]]+Master[[#This Row],[Checklist Order]]</f>
        <v>138000</v>
      </c>
      <c r="C1463" s="22"/>
      <c r="D1463" s="3" t="str" cm="1">
        <f t="array" aca="1" ref="D1463" ca="1">_xlfn.SWITCH(MID(Master[[#This Row],[Checklist]],1,4),"C - ","Civil","F - ","Foundation","ST -","Structure","FC -","Façade","PRE ","Pre-Line","POST","Post-Line","H - ","Handover","S - ","Services","CST ","Completion Docs", "I - ", "Inspection")</f>
        <v>Post-Line</v>
      </c>
      <c r="E14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3" s="24" t="str">
        <f ca="1">IF(OR(Master[[#This Row],[Type]]="checklist", Master[[#This Row],[Type]]="checklist-flat"), Master[[#This Row],[Name]], F1462)</f>
        <v>POST - S - Carpet Installation</v>
      </c>
      <c r="G1463" s="34" t="s">
        <v>48</v>
      </c>
      <c r="H1463" s="34" t="s">
        <v>639</v>
      </c>
      <c r="I1463" s="35"/>
      <c r="J1463" s="21">
        <f ca="1">_xlfn.XLOOKUP(Master[[#This Row],[Checklist]],Ref!A:A,Ref!B:B)*1000</f>
        <v>138000</v>
      </c>
      <c r="K1463" s="21">
        <f ca="1">COUNTIF($J$2:Master[[#This Row],[ChecklistID]],Master[[#This Row],[ChecklistID]])-1</f>
        <v>0</v>
      </c>
      <c r="L1463" s="23" t="s">
        <v>6</v>
      </c>
    </row>
    <row r="1464" spans="1:12" ht="15.75">
      <c r="A1464" s="23">
        <f t="shared" si="23"/>
        <v>1463</v>
      </c>
      <c r="B1464" s="21">
        <f ca="1">Master[[#This Row],[ChecklistID]]+Master[[#This Row],[Checklist Order]]</f>
        <v>138001</v>
      </c>
      <c r="C1464" s="22"/>
      <c r="D1464" s="3" t="str" cm="1">
        <f t="array" aca="1" ref="D1464" ca="1">_xlfn.SWITCH(MID(Master[[#This Row],[Checklist]],1,4),"C - ","Civil","F - ","Foundation","ST -","Structure","FC -","Façade","PRE ","Pre-Line","POST","Post-Line","H - ","Handover","S - ","Services","CST ","Completion Docs", "I - ", "Inspection")</f>
        <v>Post-Line</v>
      </c>
      <c r="E14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4" s="24" t="str">
        <f ca="1">IF(OR(Master[[#This Row],[Type]]="checklist", Master[[#This Row],[Type]]="checklist-flat"), Master[[#This Row],[Name]], F1463)</f>
        <v>POST - S - Carpet Installation</v>
      </c>
      <c r="G1464" s="34" t="s">
        <v>49</v>
      </c>
      <c r="H1464" s="34" t="s">
        <v>640</v>
      </c>
      <c r="I1464" s="35"/>
      <c r="J1464" s="21">
        <f ca="1">_xlfn.XLOOKUP(Master[[#This Row],[Checklist]],Ref!A:A,Ref!B:B)*1000</f>
        <v>138000</v>
      </c>
      <c r="K1464" s="21">
        <f ca="1">COUNTIF($J$2:Master[[#This Row],[ChecklistID]],Master[[#This Row],[ChecklistID]])-1</f>
        <v>1</v>
      </c>
      <c r="L1464" s="23" t="s">
        <v>6</v>
      </c>
    </row>
    <row r="1465" spans="1:12" ht="15.75">
      <c r="A1465" s="23">
        <f t="shared" si="23"/>
        <v>1464</v>
      </c>
      <c r="B1465" s="21">
        <f ca="1">Master[[#This Row],[ChecklistID]]+Master[[#This Row],[Checklist Order]]</f>
        <v>138002</v>
      </c>
      <c r="C1465" s="22"/>
      <c r="D1465" s="3" t="str" cm="1">
        <f t="array" aca="1" ref="D1465" ca="1">_xlfn.SWITCH(MID(Master[[#This Row],[Checklist]],1,4),"C - ","Civil","F - ","Foundation","ST -","Structure","FC -","Façade","PRE ","Pre-Line","POST","Post-Line","H - ","Handover","S - ","Services","CST ","Completion Docs", "I - ", "Inspection")</f>
        <v>Post-Line</v>
      </c>
      <c r="E14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5" s="24" t="str">
        <f ca="1">IF(OR(Master[[#This Row],[Type]]="checklist", Master[[#This Row],[Type]]="checklist-flat"), Master[[#This Row],[Name]], F1464)</f>
        <v>POST - S - Carpet Installation</v>
      </c>
      <c r="G1465" s="34" t="s">
        <v>49</v>
      </c>
      <c r="H1465" s="34" t="s">
        <v>641</v>
      </c>
      <c r="I1465" s="35"/>
      <c r="J1465" s="21">
        <f ca="1">_xlfn.XLOOKUP(Master[[#This Row],[Checklist]],Ref!A:A,Ref!B:B)*1000</f>
        <v>138000</v>
      </c>
      <c r="K1465" s="21">
        <f ca="1">COUNTIF($J$2:Master[[#This Row],[ChecklistID]],Master[[#This Row],[ChecklistID]])-1</f>
        <v>2</v>
      </c>
      <c r="L1465" s="23" t="s">
        <v>6</v>
      </c>
    </row>
    <row r="1466" spans="1:12" ht="15.75">
      <c r="A1466" s="23">
        <f t="shared" si="23"/>
        <v>1465</v>
      </c>
      <c r="B1466" s="21">
        <f ca="1">Master[[#This Row],[ChecklistID]]+Master[[#This Row],[Checklist Order]]</f>
        <v>138003</v>
      </c>
      <c r="C1466" s="22"/>
      <c r="D1466" s="3" t="str" cm="1">
        <f t="array" aca="1" ref="D1466" ca="1">_xlfn.SWITCH(MID(Master[[#This Row],[Checklist]],1,4),"C - ","Civil","F - ","Foundation","ST -","Structure","FC -","Façade","PRE ","Pre-Line","POST","Post-Line","H - ","Handover","S - ","Services","CST ","Completion Docs", "I - ", "Inspection")</f>
        <v>Post-Line</v>
      </c>
      <c r="E14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6" s="24" t="str">
        <f ca="1">IF(OR(Master[[#This Row],[Type]]="checklist", Master[[#This Row],[Type]]="checklist-flat"), Master[[#This Row],[Name]], F1465)</f>
        <v>POST - S - Carpet Installation</v>
      </c>
      <c r="G1466" s="34" t="s">
        <v>49</v>
      </c>
      <c r="H1466" s="34" t="s">
        <v>642</v>
      </c>
      <c r="I1466" s="35"/>
      <c r="J1466" s="21">
        <f ca="1">_xlfn.XLOOKUP(Master[[#This Row],[Checklist]],Ref!A:A,Ref!B:B)*1000</f>
        <v>138000</v>
      </c>
      <c r="K1466" s="21">
        <f ca="1">COUNTIF($J$2:Master[[#This Row],[ChecklistID]],Master[[#This Row],[ChecklistID]])-1</f>
        <v>3</v>
      </c>
      <c r="L1466" s="23" t="s">
        <v>6</v>
      </c>
    </row>
    <row r="1467" spans="1:12" ht="15.75">
      <c r="A1467" s="23">
        <f t="shared" si="23"/>
        <v>1466</v>
      </c>
      <c r="B1467" s="21">
        <f ca="1">Master[[#This Row],[ChecklistID]]+Master[[#This Row],[Checklist Order]]</f>
        <v>138004</v>
      </c>
      <c r="C1467" s="22"/>
      <c r="D1467" s="3" t="str" cm="1">
        <f t="array" aca="1" ref="D1467" ca="1">_xlfn.SWITCH(MID(Master[[#This Row],[Checklist]],1,4),"C - ","Civil","F - ","Foundation","ST -","Structure","FC -","Façade","PRE ","Pre-Line","POST","Post-Line","H - ","Handover","S - ","Services","CST ","Completion Docs", "I - ", "Inspection")</f>
        <v>Post-Line</v>
      </c>
      <c r="E14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7" s="24" t="str">
        <f ca="1">IF(OR(Master[[#This Row],[Type]]="checklist", Master[[#This Row],[Type]]="checklist-flat"), Master[[#This Row],[Name]], F1466)</f>
        <v>POST - S - Carpet Installation</v>
      </c>
      <c r="G1467" s="34" t="s">
        <v>49</v>
      </c>
      <c r="H1467" s="34" t="s">
        <v>643</v>
      </c>
      <c r="I1467" s="35"/>
      <c r="J1467" s="21">
        <f ca="1">_xlfn.XLOOKUP(Master[[#This Row],[Checklist]],Ref!A:A,Ref!B:B)*1000</f>
        <v>138000</v>
      </c>
      <c r="K1467" s="21">
        <f ca="1">COUNTIF($J$2:Master[[#This Row],[ChecklistID]],Master[[#This Row],[ChecklistID]])-1</f>
        <v>4</v>
      </c>
      <c r="L1467" s="23" t="s">
        <v>6</v>
      </c>
    </row>
    <row r="1468" spans="1:12" ht="15.75">
      <c r="A1468" s="23">
        <f t="shared" si="23"/>
        <v>1467</v>
      </c>
      <c r="B1468" s="21">
        <f ca="1">Master[[#This Row],[ChecklistID]]+Master[[#This Row],[Checklist Order]]</f>
        <v>138005</v>
      </c>
      <c r="C1468" s="22"/>
      <c r="D1468" s="3" t="str" cm="1">
        <f t="array" aca="1" ref="D1468" ca="1">_xlfn.SWITCH(MID(Master[[#This Row],[Checklist]],1,4),"C - ","Civil","F - ","Foundation","ST -","Structure","FC -","Façade","PRE ","Pre-Line","POST","Post-Line","H - ","Handover","S - ","Services","CST ","Completion Docs", "I - ", "Inspection")</f>
        <v>Post-Line</v>
      </c>
      <c r="E14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8" s="24" t="str">
        <f ca="1">IF(OR(Master[[#This Row],[Type]]="checklist", Master[[#This Row],[Type]]="checklist-flat"), Master[[#This Row],[Name]], F1467)</f>
        <v>POST - S - Carpet Installation</v>
      </c>
      <c r="G1468" s="34" t="s">
        <v>49</v>
      </c>
      <c r="H1468" s="34" t="s">
        <v>57</v>
      </c>
      <c r="I1468" s="35"/>
      <c r="J1468" s="21">
        <f ca="1">_xlfn.XLOOKUP(Master[[#This Row],[Checklist]],Ref!A:A,Ref!B:B)*1000</f>
        <v>138000</v>
      </c>
      <c r="K1468" s="21">
        <f ca="1">COUNTIF($J$2:Master[[#This Row],[ChecklistID]],Master[[#This Row],[ChecklistID]])-1</f>
        <v>5</v>
      </c>
      <c r="L1468" s="23" t="s">
        <v>6</v>
      </c>
    </row>
    <row r="1469" spans="1:12" ht="15.75">
      <c r="A1469" s="23">
        <f t="shared" si="23"/>
        <v>1468</v>
      </c>
      <c r="B1469" s="21">
        <f ca="1">Master[[#This Row],[ChecklistID]]+Master[[#This Row],[Checklist Order]]</f>
        <v>138006</v>
      </c>
      <c r="C1469" s="22"/>
      <c r="D1469" s="3" t="str" cm="1">
        <f t="array" aca="1" ref="D1469" ca="1">_xlfn.SWITCH(MID(Master[[#This Row],[Checklist]],1,4),"C - ","Civil","F - ","Foundation","ST -","Structure","FC -","Façade","PRE ","Pre-Line","POST","Post-Line","H - ","Handover","S - ","Services","CST ","Completion Docs", "I - ", "Inspection")</f>
        <v>Post-Line</v>
      </c>
      <c r="E14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69" s="24" t="str">
        <f ca="1">IF(OR(Master[[#This Row],[Type]]="checklist", Master[[#This Row],[Type]]="checklist-flat"), Master[[#This Row],[Name]], F1468)</f>
        <v>POST - S - Carpet Installation</v>
      </c>
      <c r="G1469" s="34" t="s">
        <v>58</v>
      </c>
      <c r="H1469" s="34" t="s">
        <v>59</v>
      </c>
      <c r="I1469" s="35"/>
      <c r="J1469" s="21">
        <f ca="1">_xlfn.XLOOKUP(Master[[#This Row],[Checklist]],Ref!A:A,Ref!B:B)*1000</f>
        <v>138000</v>
      </c>
      <c r="K1469" s="21">
        <f ca="1">COUNTIF($J$2:Master[[#This Row],[ChecklistID]],Master[[#This Row],[ChecklistID]])-1</f>
        <v>6</v>
      </c>
      <c r="L1469" s="23" t="s">
        <v>6</v>
      </c>
    </row>
    <row r="1470" spans="1:12" ht="15.75">
      <c r="A1470" s="23">
        <f t="shared" si="23"/>
        <v>1469</v>
      </c>
      <c r="B1470" s="21">
        <f ca="1">Master[[#This Row],[ChecklistID]]+Master[[#This Row],[Checklist Order]]</f>
        <v>139000</v>
      </c>
      <c r="C1470" s="22"/>
      <c r="D1470" s="3" t="str" cm="1">
        <f t="array" aca="1" ref="D1470" ca="1">_xlfn.SWITCH(MID(Master[[#This Row],[Checklist]],1,4),"C - ","Civil","F - ","Foundation","ST -","Structure","FC -","Façade","PRE ","Pre-Line","POST","Post-Line","H - ","Handover","S - ","Services","CST ","Completion Docs", "I - ", "Inspection")</f>
        <v>Post-Line</v>
      </c>
      <c r="E14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0" s="24" t="str">
        <f ca="1">IF(OR(Master[[#This Row],[Type]]="checklist", Master[[#This Row],[Type]]="checklist-flat"), Master[[#This Row],[Name]], F1469)</f>
        <v xml:space="preserve">POST - S - Internal door installation </v>
      </c>
      <c r="G1470" s="34" t="s">
        <v>48</v>
      </c>
      <c r="H1470" s="34" t="s">
        <v>644</v>
      </c>
      <c r="I1470" s="35"/>
      <c r="J1470" s="21">
        <f ca="1">_xlfn.XLOOKUP(Master[[#This Row],[Checklist]],Ref!A:A,Ref!B:B)*1000</f>
        <v>139000</v>
      </c>
      <c r="K1470" s="21">
        <f ca="1">COUNTIF($J$2:Master[[#This Row],[ChecklistID]],Master[[#This Row],[ChecklistID]])-1</f>
        <v>0</v>
      </c>
      <c r="L1470" s="23" t="s">
        <v>6</v>
      </c>
    </row>
    <row r="1471" spans="1:12" ht="15.75">
      <c r="A1471" s="23">
        <f t="shared" si="23"/>
        <v>1470</v>
      </c>
      <c r="B1471" s="21">
        <f ca="1">Master[[#This Row],[ChecklistID]]+Master[[#This Row],[Checklist Order]]</f>
        <v>139001</v>
      </c>
      <c r="C1471" s="22"/>
      <c r="D1471" s="3" t="str" cm="1">
        <f t="array" aca="1" ref="D1471" ca="1">_xlfn.SWITCH(MID(Master[[#This Row],[Checklist]],1,4),"C - ","Civil","F - ","Foundation","ST -","Structure","FC -","Façade","PRE ","Pre-Line","POST","Post-Line","H - ","Handover","S - ","Services","CST ","Completion Docs", "I - ", "Inspection")</f>
        <v>Post-Line</v>
      </c>
      <c r="E14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1" s="24" t="str">
        <f ca="1">IF(OR(Master[[#This Row],[Type]]="checklist", Master[[#This Row],[Type]]="checklist-flat"), Master[[#This Row],[Name]], F1470)</f>
        <v xml:space="preserve">POST - S - Internal door installation </v>
      </c>
      <c r="G1471" s="34" t="s">
        <v>49</v>
      </c>
      <c r="H1471" s="34" t="s">
        <v>645</v>
      </c>
      <c r="I1471" s="35"/>
      <c r="J1471" s="21">
        <f ca="1">_xlfn.XLOOKUP(Master[[#This Row],[Checklist]],Ref!A:A,Ref!B:B)*1000</f>
        <v>139000</v>
      </c>
      <c r="K1471" s="21">
        <f ca="1">COUNTIF($J$2:Master[[#This Row],[ChecklistID]],Master[[#This Row],[ChecklistID]])-1</f>
        <v>1</v>
      </c>
      <c r="L1471" s="23" t="s">
        <v>6</v>
      </c>
    </row>
    <row r="1472" spans="1:12" ht="15.75">
      <c r="A1472" s="23">
        <f t="shared" si="23"/>
        <v>1471</v>
      </c>
      <c r="B1472" s="21">
        <f ca="1">Master[[#This Row],[ChecklistID]]+Master[[#This Row],[Checklist Order]]</f>
        <v>139002</v>
      </c>
      <c r="C1472" s="22"/>
      <c r="D1472" s="3" t="str" cm="1">
        <f t="array" aca="1" ref="D1472" ca="1">_xlfn.SWITCH(MID(Master[[#This Row],[Checklist]],1,4),"C - ","Civil","F - ","Foundation","ST -","Structure","FC -","Façade","PRE ","Pre-Line","POST","Post-Line","H - ","Handover","S - ","Services","CST ","Completion Docs", "I - ", "Inspection")</f>
        <v>Post-Line</v>
      </c>
      <c r="E14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2" s="24" t="str">
        <f ca="1">IF(OR(Master[[#This Row],[Type]]="checklist", Master[[#This Row],[Type]]="checklist-flat"), Master[[#This Row],[Name]], F1471)</f>
        <v xml:space="preserve">POST - S - Internal door installation </v>
      </c>
      <c r="G1472" s="34" t="s">
        <v>49</v>
      </c>
      <c r="H1472" s="34" t="s">
        <v>646</v>
      </c>
      <c r="I1472" s="35"/>
      <c r="J1472" s="21">
        <f ca="1">_xlfn.XLOOKUP(Master[[#This Row],[Checklist]],Ref!A:A,Ref!B:B)*1000</f>
        <v>139000</v>
      </c>
      <c r="K1472" s="21">
        <f ca="1">COUNTIF($J$2:Master[[#This Row],[ChecklistID]],Master[[#This Row],[ChecklistID]])-1</f>
        <v>2</v>
      </c>
      <c r="L1472" s="23" t="s">
        <v>6</v>
      </c>
    </row>
    <row r="1473" spans="1:12" ht="15.75">
      <c r="A1473" s="23">
        <f t="shared" si="23"/>
        <v>1472</v>
      </c>
      <c r="B1473" s="21">
        <f ca="1">Master[[#This Row],[ChecklistID]]+Master[[#This Row],[Checklist Order]]</f>
        <v>139003</v>
      </c>
      <c r="C1473" s="22"/>
      <c r="D1473" s="3" t="str" cm="1">
        <f t="array" aca="1" ref="D1473" ca="1">_xlfn.SWITCH(MID(Master[[#This Row],[Checklist]],1,4),"C - ","Civil","F - ","Foundation","ST -","Structure","FC -","Façade","PRE ","Pre-Line","POST","Post-Line","H - ","Handover","S - ","Services","CST ","Completion Docs", "I - ", "Inspection")</f>
        <v>Post-Line</v>
      </c>
      <c r="E14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3" s="24" t="str">
        <f ca="1">IF(OR(Master[[#This Row],[Type]]="checklist", Master[[#This Row],[Type]]="checklist-flat"), Master[[#This Row],[Name]], F1472)</f>
        <v xml:space="preserve">POST - S - Internal door installation </v>
      </c>
      <c r="G1473" s="34" t="s">
        <v>49</v>
      </c>
      <c r="H1473" s="34" t="s">
        <v>647</v>
      </c>
      <c r="I1473" s="35"/>
      <c r="J1473" s="21">
        <f ca="1">_xlfn.XLOOKUP(Master[[#This Row],[Checklist]],Ref!A:A,Ref!B:B)*1000</f>
        <v>139000</v>
      </c>
      <c r="K1473" s="21">
        <f ca="1">COUNTIF($J$2:Master[[#This Row],[ChecklistID]],Master[[#This Row],[ChecklistID]])-1</f>
        <v>3</v>
      </c>
      <c r="L1473" s="23" t="s">
        <v>6</v>
      </c>
    </row>
    <row r="1474" spans="1:12" ht="15.75">
      <c r="A1474" s="23">
        <f t="shared" si="23"/>
        <v>1473</v>
      </c>
      <c r="B1474" s="21">
        <f ca="1">Master[[#This Row],[ChecklistID]]+Master[[#This Row],[Checklist Order]]</f>
        <v>139004</v>
      </c>
      <c r="C1474" s="22"/>
      <c r="D1474" s="3" t="str" cm="1">
        <f t="array" aca="1" ref="D1474" ca="1">_xlfn.SWITCH(MID(Master[[#This Row],[Checklist]],1,4),"C - ","Civil","F - ","Foundation","ST -","Structure","FC -","Façade","PRE ","Pre-Line","POST","Post-Line","H - ","Handover","S - ","Services","CST ","Completion Docs", "I - ", "Inspection")</f>
        <v>Post-Line</v>
      </c>
      <c r="E14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4" s="24" t="str">
        <f ca="1">IF(OR(Master[[#This Row],[Type]]="checklist", Master[[#This Row],[Type]]="checklist-flat"), Master[[#This Row],[Name]], F1473)</f>
        <v xml:space="preserve">POST - S - Internal door installation </v>
      </c>
      <c r="G1474" s="34" t="s">
        <v>49</v>
      </c>
      <c r="H1474" s="34" t="s">
        <v>648</v>
      </c>
      <c r="I1474" s="35"/>
      <c r="J1474" s="21">
        <f ca="1">_xlfn.XLOOKUP(Master[[#This Row],[Checklist]],Ref!A:A,Ref!B:B)*1000</f>
        <v>139000</v>
      </c>
      <c r="K1474" s="21">
        <f ca="1">COUNTIF($J$2:Master[[#This Row],[ChecklistID]],Master[[#This Row],[ChecklistID]])-1</f>
        <v>4</v>
      </c>
      <c r="L1474" s="23" t="s">
        <v>6</v>
      </c>
    </row>
    <row r="1475" spans="1:12" ht="15.75">
      <c r="A1475" s="23">
        <f t="shared" si="23"/>
        <v>1474</v>
      </c>
      <c r="B1475" s="21">
        <f ca="1">Master[[#This Row],[ChecklistID]]+Master[[#This Row],[Checklist Order]]</f>
        <v>139005</v>
      </c>
      <c r="C1475" s="22"/>
      <c r="D1475" s="3" t="str" cm="1">
        <f t="array" aca="1" ref="D1475" ca="1">_xlfn.SWITCH(MID(Master[[#This Row],[Checklist]],1,4),"C - ","Civil","F - ","Foundation","ST -","Structure","FC -","Façade","PRE ","Pre-Line","POST","Post-Line","H - ","Handover","S - ","Services","CST ","Completion Docs", "I - ", "Inspection")</f>
        <v>Post-Line</v>
      </c>
      <c r="E14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5" s="24" t="str">
        <f ca="1">IF(OR(Master[[#This Row],[Type]]="checklist", Master[[#This Row],[Type]]="checklist-flat"), Master[[#This Row],[Name]], F1474)</f>
        <v xml:space="preserve">POST - S - Internal door installation </v>
      </c>
      <c r="G1475" s="34" t="s">
        <v>49</v>
      </c>
      <c r="H1475" s="34" t="s">
        <v>649</v>
      </c>
      <c r="I1475" s="35"/>
      <c r="J1475" s="21">
        <f ca="1">_xlfn.XLOOKUP(Master[[#This Row],[Checklist]],Ref!A:A,Ref!B:B)*1000</f>
        <v>139000</v>
      </c>
      <c r="K1475" s="21">
        <f ca="1">COUNTIF($J$2:Master[[#This Row],[ChecklistID]],Master[[#This Row],[ChecklistID]])-1</f>
        <v>5</v>
      </c>
      <c r="L1475" s="23" t="s">
        <v>6</v>
      </c>
    </row>
    <row r="1476" spans="1:12" ht="15.75">
      <c r="A1476" s="23">
        <f t="shared" si="23"/>
        <v>1475</v>
      </c>
      <c r="B1476" s="21">
        <f ca="1">Master[[#This Row],[ChecklistID]]+Master[[#This Row],[Checklist Order]]</f>
        <v>139006</v>
      </c>
      <c r="C1476" s="22"/>
      <c r="D1476" s="3" t="str" cm="1">
        <f t="array" aca="1" ref="D1476" ca="1">_xlfn.SWITCH(MID(Master[[#This Row],[Checklist]],1,4),"C - ","Civil","F - ","Foundation","ST -","Structure","FC -","Façade","PRE ","Pre-Line","POST","Post-Line","H - ","Handover","S - ","Services","CST ","Completion Docs", "I - ", "Inspection")</f>
        <v>Post-Line</v>
      </c>
      <c r="E14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6" s="24" t="str">
        <f ca="1">IF(OR(Master[[#This Row],[Type]]="checklist", Master[[#This Row],[Type]]="checklist-flat"), Master[[#This Row],[Name]], F1475)</f>
        <v xml:space="preserve">POST - S - Internal door installation </v>
      </c>
      <c r="G1476" s="34" t="s">
        <v>49</v>
      </c>
      <c r="H1476" s="34" t="s">
        <v>650</v>
      </c>
      <c r="I1476" s="35"/>
      <c r="J1476" s="21">
        <f ca="1">_xlfn.XLOOKUP(Master[[#This Row],[Checklist]],Ref!A:A,Ref!B:B)*1000</f>
        <v>139000</v>
      </c>
      <c r="K1476" s="21">
        <f ca="1">COUNTIF($J$2:Master[[#This Row],[ChecklistID]],Master[[#This Row],[ChecklistID]])-1</f>
        <v>6</v>
      </c>
      <c r="L1476" s="23" t="s">
        <v>6</v>
      </c>
    </row>
    <row r="1477" spans="1:12" ht="15.75">
      <c r="A1477" s="23">
        <f t="shared" si="23"/>
        <v>1476</v>
      </c>
      <c r="B1477" s="21">
        <f ca="1">Master[[#This Row],[ChecklistID]]+Master[[#This Row],[Checklist Order]]</f>
        <v>139007</v>
      </c>
      <c r="C1477" s="22"/>
      <c r="D1477" s="3" t="str" cm="1">
        <f t="array" aca="1" ref="D1477" ca="1">_xlfn.SWITCH(MID(Master[[#This Row],[Checklist]],1,4),"C - ","Civil","F - ","Foundation","ST -","Structure","FC -","Façade","PRE ","Pre-Line","POST","Post-Line","H - ","Handover","S - ","Services","CST ","Completion Docs", "I - ", "Inspection")</f>
        <v>Post-Line</v>
      </c>
      <c r="E14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7" s="24" t="str">
        <f ca="1">IF(OR(Master[[#This Row],[Type]]="checklist", Master[[#This Row],[Type]]="checklist-flat"), Master[[#This Row],[Name]], F1476)</f>
        <v xml:space="preserve">POST - S - Internal door installation </v>
      </c>
      <c r="G1477" s="34" t="s">
        <v>49</v>
      </c>
      <c r="H1477" s="34" t="s">
        <v>57</v>
      </c>
      <c r="I1477" s="35"/>
      <c r="J1477" s="21">
        <f ca="1">_xlfn.XLOOKUP(Master[[#This Row],[Checklist]],Ref!A:A,Ref!B:B)*1000</f>
        <v>139000</v>
      </c>
      <c r="K1477" s="21">
        <f ca="1">COUNTIF($J$2:Master[[#This Row],[ChecklistID]],Master[[#This Row],[ChecklistID]])-1</f>
        <v>7</v>
      </c>
      <c r="L1477" s="23" t="s">
        <v>6</v>
      </c>
    </row>
    <row r="1478" spans="1:12" ht="15.75">
      <c r="A1478" s="23">
        <f t="shared" si="23"/>
        <v>1477</v>
      </c>
      <c r="B1478" s="21">
        <f ca="1">Master[[#This Row],[ChecklistID]]+Master[[#This Row],[Checklist Order]]</f>
        <v>139008</v>
      </c>
      <c r="C1478" s="22"/>
      <c r="D1478" s="3" t="str" cm="1">
        <f t="array" aca="1" ref="D1478" ca="1">_xlfn.SWITCH(MID(Master[[#This Row],[Checklist]],1,4),"C - ","Civil","F - ","Foundation","ST -","Structure","FC -","Façade","PRE ","Pre-Line","POST","Post-Line","H - ","Handover","S - ","Services","CST ","Completion Docs", "I - ", "Inspection")</f>
        <v>Post-Line</v>
      </c>
      <c r="E14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8" s="24" t="str">
        <f ca="1">IF(OR(Master[[#This Row],[Type]]="checklist", Master[[#This Row],[Type]]="checklist-flat"), Master[[#This Row],[Name]], F1477)</f>
        <v xml:space="preserve">POST - S - Internal door installation </v>
      </c>
      <c r="G1478" s="34" t="s">
        <v>58</v>
      </c>
      <c r="H1478" s="34" t="s">
        <v>59</v>
      </c>
      <c r="I1478" s="35"/>
      <c r="J1478" s="21">
        <f ca="1">_xlfn.XLOOKUP(Master[[#This Row],[Checklist]],Ref!A:A,Ref!B:B)*1000</f>
        <v>139000</v>
      </c>
      <c r="K1478" s="21">
        <f ca="1">COUNTIF($J$2:Master[[#This Row],[ChecklistID]],Master[[#This Row],[ChecklistID]])-1</f>
        <v>8</v>
      </c>
      <c r="L1478" s="23" t="s">
        <v>6</v>
      </c>
    </row>
    <row r="1479" spans="1:12" ht="15.75">
      <c r="A1479" s="23">
        <f t="shared" si="23"/>
        <v>1478</v>
      </c>
      <c r="B1479" s="21">
        <f ca="1">Master[[#This Row],[ChecklistID]]+Master[[#This Row],[Checklist Order]]</f>
        <v>140000</v>
      </c>
      <c r="C1479" s="22"/>
      <c r="D1479" s="3" t="str" cm="1">
        <f t="array" aca="1" ref="D1479" ca="1">_xlfn.SWITCH(MID(Master[[#This Row],[Checklist]],1,4),"C - ","Civil","F - ","Foundation","ST -","Structure","FC -","Façade","PRE ","Pre-Line","POST","Post-Line","H - ","Handover","S - ","Services","CST ","Completion Docs", "I - ", "Inspection")</f>
        <v>Post-Line</v>
      </c>
      <c r="E14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79" s="24" t="str">
        <f ca="1">IF(OR(Master[[#This Row],[Type]]="checklist", Master[[#This Row],[Type]]="checklist-flat"), Master[[#This Row],[Name]], F1478)</f>
        <v>POST - S - Cork/ Soundproofing</v>
      </c>
      <c r="G1479" s="34" t="s">
        <v>48</v>
      </c>
      <c r="H1479" s="34" t="s">
        <v>651</v>
      </c>
      <c r="I1479" s="35"/>
      <c r="J1479" s="21">
        <f ca="1">_xlfn.XLOOKUP(Master[[#This Row],[Checklist]],Ref!A:A,Ref!B:B)*1000</f>
        <v>140000</v>
      </c>
      <c r="K1479" s="21">
        <f ca="1">COUNTIF($J$2:Master[[#This Row],[ChecklistID]],Master[[#This Row],[ChecklistID]])-1</f>
        <v>0</v>
      </c>
      <c r="L1479" s="23" t="s">
        <v>6</v>
      </c>
    </row>
    <row r="1480" spans="1:12" ht="15.75">
      <c r="A1480" s="23">
        <f t="shared" si="23"/>
        <v>1479</v>
      </c>
      <c r="B1480" s="21">
        <f ca="1">Master[[#This Row],[ChecklistID]]+Master[[#This Row],[Checklist Order]]</f>
        <v>140001</v>
      </c>
      <c r="C1480" s="22"/>
      <c r="D1480" s="3" t="str" cm="1">
        <f t="array" aca="1" ref="D1480" ca="1">_xlfn.SWITCH(MID(Master[[#This Row],[Checklist]],1,4),"C - ","Civil","F - ","Foundation","ST -","Structure","FC -","Façade","PRE ","Pre-Line","POST","Post-Line","H - ","Handover","S - ","Services","CST ","Completion Docs", "I - ", "Inspection")</f>
        <v>Post-Line</v>
      </c>
      <c r="E14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0" s="24" t="str">
        <f ca="1">IF(OR(Master[[#This Row],[Type]]="checklist", Master[[#This Row],[Type]]="checklist-flat"), Master[[#This Row],[Name]], F1479)</f>
        <v>POST - S - Cork/ Soundproofing</v>
      </c>
      <c r="G1480" s="34" t="s">
        <v>49</v>
      </c>
      <c r="H1480" s="34" t="s">
        <v>652</v>
      </c>
      <c r="I1480" s="35"/>
      <c r="J1480" s="21">
        <f ca="1">_xlfn.XLOOKUP(Master[[#This Row],[Checklist]],Ref!A:A,Ref!B:B)*1000</f>
        <v>140000</v>
      </c>
      <c r="K1480" s="21">
        <f ca="1">COUNTIF($J$2:Master[[#This Row],[ChecklistID]],Master[[#This Row],[ChecklistID]])-1</f>
        <v>1</v>
      </c>
      <c r="L1480" s="23" t="s">
        <v>6</v>
      </c>
    </row>
    <row r="1481" spans="1:12" ht="15.75">
      <c r="A1481" s="23">
        <f t="shared" si="23"/>
        <v>1480</v>
      </c>
      <c r="B1481" s="21">
        <f ca="1">Master[[#This Row],[ChecklistID]]+Master[[#This Row],[Checklist Order]]</f>
        <v>140002</v>
      </c>
      <c r="C1481" s="22"/>
      <c r="D1481" s="3" t="str" cm="1">
        <f t="array" aca="1" ref="D1481" ca="1">_xlfn.SWITCH(MID(Master[[#This Row],[Checklist]],1,4),"C - ","Civil","F - ","Foundation","ST -","Structure","FC -","Façade","PRE ","Pre-Line","POST","Post-Line","H - ","Handover","S - ","Services","CST ","Completion Docs", "I - ", "Inspection")</f>
        <v>Post-Line</v>
      </c>
      <c r="E14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1" s="24" t="str">
        <f ca="1">IF(OR(Master[[#This Row],[Type]]="checklist", Master[[#This Row],[Type]]="checklist-flat"), Master[[#This Row],[Name]], F1480)</f>
        <v>POST - S - Cork/ Soundproofing</v>
      </c>
      <c r="G1481" s="34" t="s">
        <v>49</v>
      </c>
      <c r="H1481" s="34" t="s">
        <v>653</v>
      </c>
      <c r="I1481" s="35"/>
      <c r="J1481" s="21">
        <f ca="1">_xlfn.XLOOKUP(Master[[#This Row],[Checklist]],Ref!A:A,Ref!B:B)*1000</f>
        <v>140000</v>
      </c>
      <c r="K1481" s="21">
        <f ca="1">COUNTIF($J$2:Master[[#This Row],[ChecklistID]],Master[[#This Row],[ChecklistID]])-1</f>
        <v>2</v>
      </c>
      <c r="L1481" s="23" t="s">
        <v>6</v>
      </c>
    </row>
    <row r="1482" spans="1:12" ht="15.75">
      <c r="A1482" s="23">
        <f t="shared" si="23"/>
        <v>1481</v>
      </c>
      <c r="B1482" s="21">
        <f ca="1">Master[[#This Row],[ChecklistID]]+Master[[#This Row],[Checklist Order]]</f>
        <v>140003</v>
      </c>
      <c r="C1482" s="22"/>
      <c r="D1482" s="3" t="str" cm="1">
        <f t="array" aca="1" ref="D1482" ca="1">_xlfn.SWITCH(MID(Master[[#This Row],[Checklist]],1,4),"C - ","Civil","F - ","Foundation","ST -","Structure","FC -","Façade","PRE ","Pre-Line","POST","Post-Line","H - ","Handover","S - ","Services","CST ","Completion Docs", "I - ", "Inspection")</f>
        <v>Post-Line</v>
      </c>
      <c r="E14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2" s="24" t="str">
        <f ca="1">IF(OR(Master[[#This Row],[Type]]="checklist", Master[[#This Row],[Type]]="checklist-flat"), Master[[#This Row],[Name]], F1481)</f>
        <v>POST - S - Cork/ Soundproofing</v>
      </c>
      <c r="G1482" s="34" t="s">
        <v>49</v>
      </c>
      <c r="H1482" s="34" t="s">
        <v>654</v>
      </c>
      <c r="I1482" s="35"/>
      <c r="J1482" s="21">
        <f ca="1">_xlfn.XLOOKUP(Master[[#This Row],[Checklist]],Ref!A:A,Ref!B:B)*1000</f>
        <v>140000</v>
      </c>
      <c r="K1482" s="21">
        <f ca="1">COUNTIF($J$2:Master[[#This Row],[ChecklistID]],Master[[#This Row],[ChecklistID]])-1</f>
        <v>3</v>
      </c>
      <c r="L1482" s="23" t="s">
        <v>6</v>
      </c>
    </row>
    <row r="1483" spans="1:12" ht="15.75">
      <c r="A1483" s="23">
        <f t="shared" si="23"/>
        <v>1482</v>
      </c>
      <c r="B1483" s="21">
        <f ca="1">Master[[#This Row],[ChecklistID]]+Master[[#This Row],[Checklist Order]]</f>
        <v>140004</v>
      </c>
      <c r="C1483" s="22"/>
      <c r="D1483" s="3" t="str" cm="1">
        <f t="array" aca="1" ref="D1483" ca="1">_xlfn.SWITCH(MID(Master[[#This Row],[Checklist]],1,4),"C - ","Civil","F - ","Foundation","ST -","Structure","FC -","Façade","PRE ","Pre-Line","POST","Post-Line","H - ","Handover","S - ","Services","CST ","Completion Docs", "I - ", "Inspection")</f>
        <v>Post-Line</v>
      </c>
      <c r="E14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3" s="24" t="str">
        <f ca="1">IF(OR(Master[[#This Row],[Type]]="checklist", Master[[#This Row],[Type]]="checklist-flat"), Master[[#This Row],[Name]], F1482)</f>
        <v>POST - S - Cork/ Soundproofing</v>
      </c>
      <c r="G1483" s="34" t="s">
        <v>49</v>
      </c>
      <c r="H1483" s="34" t="s">
        <v>57</v>
      </c>
      <c r="I1483" s="35"/>
      <c r="J1483" s="21">
        <f ca="1">_xlfn.XLOOKUP(Master[[#This Row],[Checklist]],Ref!A:A,Ref!B:B)*1000</f>
        <v>140000</v>
      </c>
      <c r="K1483" s="21">
        <f ca="1">COUNTIF($J$2:Master[[#This Row],[ChecklistID]],Master[[#This Row],[ChecklistID]])-1</f>
        <v>4</v>
      </c>
      <c r="L1483" s="23" t="s">
        <v>6</v>
      </c>
    </row>
    <row r="1484" spans="1:12" ht="15.75">
      <c r="A1484" s="23">
        <f t="shared" si="23"/>
        <v>1483</v>
      </c>
      <c r="B1484" s="21">
        <f ca="1">Master[[#This Row],[ChecklistID]]+Master[[#This Row],[Checklist Order]]</f>
        <v>140005</v>
      </c>
      <c r="C1484" s="22"/>
      <c r="D1484" s="3" t="str" cm="1">
        <f t="array" aca="1" ref="D1484" ca="1">_xlfn.SWITCH(MID(Master[[#This Row],[Checklist]],1,4),"C - ","Civil","F - ","Foundation","ST -","Structure","FC -","Façade","PRE ","Pre-Line","POST","Post-Line","H - ","Handover","S - ","Services","CST ","Completion Docs", "I - ", "Inspection")</f>
        <v>Post-Line</v>
      </c>
      <c r="E14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4" s="24" t="str">
        <f ca="1">IF(OR(Master[[#This Row],[Type]]="checklist", Master[[#This Row],[Type]]="checklist-flat"), Master[[#This Row],[Name]], F1483)</f>
        <v>POST - S - Cork/ Soundproofing</v>
      </c>
      <c r="G1484" s="34" t="s">
        <v>58</v>
      </c>
      <c r="H1484" s="34" t="s">
        <v>59</v>
      </c>
      <c r="I1484" s="35"/>
      <c r="J1484" s="21">
        <f ca="1">_xlfn.XLOOKUP(Master[[#This Row],[Checklist]],Ref!A:A,Ref!B:B)*1000</f>
        <v>140000</v>
      </c>
      <c r="K1484" s="21">
        <f ca="1">COUNTIF($J$2:Master[[#This Row],[ChecklistID]],Master[[#This Row],[ChecklistID]])-1</f>
        <v>5</v>
      </c>
      <c r="L1484" s="23" t="s">
        <v>6</v>
      </c>
    </row>
    <row r="1485" spans="1:12" ht="15.75">
      <c r="A1485" s="23">
        <f t="shared" si="23"/>
        <v>1484</v>
      </c>
      <c r="B1485" s="21">
        <f ca="1">Master[[#This Row],[ChecklistID]]+Master[[#This Row],[Checklist Order]]</f>
        <v>141000</v>
      </c>
      <c r="C1485" s="22"/>
      <c r="D1485" s="3" t="str" cm="1">
        <f t="array" aca="1" ref="D1485" ca="1">_xlfn.SWITCH(MID(Master[[#This Row],[Checklist]],1,4),"C - ","Civil","F - ","Foundation","ST -","Structure","FC -","Façade","PRE ","Pre-Line","POST","Post-Line","H - ","Handover","S - ","Services","CST ","Completion Docs", "I - ", "Inspection")</f>
        <v>Post-Line</v>
      </c>
      <c r="E14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5" s="24" t="str">
        <f ca="1">IF(OR(Master[[#This Row],[Type]]="checklist", Master[[#This Row],[Type]]="checklist-flat"), Master[[#This Row],[Name]], F1484)</f>
        <v xml:space="preserve">POST - S - Stopping </v>
      </c>
      <c r="G1485" s="34" t="s">
        <v>48</v>
      </c>
      <c r="H1485" s="34" t="s">
        <v>655</v>
      </c>
      <c r="I1485" s="35"/>
      <c r="J1485" s="21">
        <f ca="1">_xlfn.XLOOKUP(Master[[#This Row],[Checklist]],Ref!A:A,Ref!B:B)*1000</f>
        <v>141000</v>
      </c>
      <c r="K1485" s="21">
        <f ca="1">COUNTIF($J$2:Master[[#This Row],[ChecklistID]],Master[[#This Row],[ChecklistID]])-1</f>
        <v>0</v>
      </c>
      <c r="L1485" s="23" t="s">
        <v>6</v>
      </c>
    </row>
    <row r="1486" spans="1:12" ht="15.75">
      <c r="A1486" s="23">
        <f t="shared" si="23"/>
        <v>1485</v>
      </c>
      <c r="B1486" s="21">
        <f ca="1">Master[[#This Row],[ChecklistID]]+Master[[#This Row],[Checklist Order]]</f>
        <v>141001</v>
      </c>
      <c r="C1486" s="22"/>
      <c r="D1486" s="3" t="str" cm="1">
        <f t="array" aca="1" ref="D1486" ca="1">_xlfn.SWITCH(MID(Master[[#This Row],[Checklist]],1,4),"C - ","Civil","F - ","Foundation","ST -","Structure","FC -","Façade","PRE ","Pre-Line","POST","Post-Line","H - ","Handover","S - ","Services","CST ","Completion Docs", "I - ", "Inspection")</f>
        <v>Post-Line</v>
      </c>
      <c r="E14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6" s="24" t="str">
        <f ca="1">IF(OR(Master[[#This Row],[Type]]="checklist", Master[[#This Row],[Type]]="checklist-flat"), Master[[#This Row],[Name]], F1485)</f>
        <v xml:space="preserve">POST - S - Stopping </v>
      </c>
      <c r="G1486" s="34" t="s">
        <v>49</v>
      </c>
      <c r="H1486" s="34" t="s">
        <v>656</v>
      </c>
      <c r="I1486" s="35"/>
      <c r="J1486" s="21">
        <f ca="1">_xlfn.XLOOKUP(Master[[#This Row],[Checklist]],Ref!A:A,Ref!B:B)*1000</f>
        <v>141000</v>
      </c>
      <c r="K1486" s="21">
        <f ca="1">COUNTIF($J$2:Master[[#This Row],[ChecklistID]],Master[[#This Row],[ChecklistID]])-1</f>
        <v>1</v>
      </c>
      <c r="L1486" s="23" t="s">
        <v>6</v>
      </c>
    </row>
    <row r="1487" spans="1:12" ht="15.75">
      <c r="A1487" s="23">
        <f t="shared" si="23"/>
        <v>1486</v>
      </c>
      <c r="B1487" s="21">
        <f ca="1">Master[[#This Row],[ChecklistID]]+Master[[#This Row],[Checklist Order]]</f>
        <v>141002</v>
      </c>
      <c r="C1487" s="22"/>
      <c r="D1487" s="3" t="str" cm="1">
        <f t="array" aca="1" ref="D1487" ca="1">_xlfn.SWITCH(MID(Master[[#This Row],[Checklist]],1,4),"C - ","Civil","F - ","Foundation","ST -","Structure","FC -","Façade","PRE ","Pre-Line","POST","Post-Line","H - ","Handover","S - ","Services","CST ","Completion Docs", "I - ", "Inspection")</f>
        <v>Post-Line</v>
      </c>
      <c r="E14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7" s="24" t="str">
        <f ca="1">IF(OR(Master[[#This Row],[Type]]="checklist", Master[[#This Row],[Type]]="checklist-flat"), Master[[#This Row],[Name]], F1486)</f>
        <v xml:space="preserve">POST - S - Stopping </v>
      </c>
      <c r="G1487" s="34" t="s">
        <v>49</v>
      </c>
      <c r="H1487" s="34" t="s">
        <v>657</v>
      </c>
      <c r="I1487" s="35"/>
      <c r="J1487" s="21">
        <f ca="1">_xlfn.XLOOKUP(Master[[#This Row],[Checklist]],Ref!A:A,Ref!B:B)*1000</f>
        <v>141000</v>
      </c>
      <c r="K1487" s="21">
        <f ca="1">COUNTIF($J$2:Master[[#This Row],[ChecklistID]],Master[[#This Row],[ChecklistID]])-1</f>
        <v>2</v>
      </c>
      <c r="L1487" s="23" t="s">
        <v>6</v>
      </c>
    </row>
    <row r="1488" spans="1:12" ht="15.75">
      <c r="A1488" s="23">
        <f t="shared" si="23"/>
        <v>1487</v>
      </c>
      <c r="B1488" s="21">
        <f ca="1">Master[[#This Row],[ChecklistID]]+Master[[#This Row],[Checklist Order]]</f>
        <v>141003</v>
      </c>
      <c r="C1488" s="22"/>
      <c r="D1488" s="3" t="str" cm="1">
        <f t="array" aca="1" ref="D1488" ca="1">_xlfn.SWITCH(MID(Master[[#This Row],[Checklist]],1,4),"C - ","Civil","F - ","Foundation","ST -","Structure","FC -","Façade","PRE ","Pre-Line","POST","Post-Line","H - ","Handover","S - ","Services","CST ","Completion Docs", "I - ", "Inspection")</f>
        <v>Post-Line</v>
      </c>
      <c r="E14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8" s="24" t="str">
        <f ca="1">IF(OR(Master[[#This Row],[Type]]="checklist", Master[[#This Row],[Type]]="checklist-flat"), Master[[#This Row],[Name]], F1487)</f>
        <v xml:space="preserve">POST - S - Stopping </v>
      </c>
      <c r="G1488" s="34" t="s">
        <v>49</v>
      </c>
      <c r="H1488" s="34" t="s">
        <v>658</v>
      </c>
      <c r="I1488" s="35"/>
      <c r="J1488" s="21">
        <f ca="1">_xlfn.XLOOKUP(Master[[#This Row],[Checklist]],Ref!A:A,Ref!B:B)*1000</f>
        <v>141000</v>
      </c>
      <c r="K1488" s="21">
        <f ca="1">COUNTIF($J$2:Master[[#This Row],[ChecklistID]],Master[[#This Row],[ChecklistID]])-1</f>
        <v>3</v>
      </c>
      <c r="L1488" s="23" t="s">
        <v>6</v>
      </c>
    </row>
    <row r="1489" spans="1:12" ht="15.75">
      <c r="A1489" s="23">
        <f t="shared" si="23"/>
        <v>1488</v>
      </c>
      <c r="B1489" s="21">
        <f ca="1">Master[[#This Row],[ChecklistID]]+Master[[#This Row],[Checklist Order]]</f>
        <v>141004</v>
      </c>
      <c r="C1489" s="22"/>
      <c r="D1489" s="3" t="str" cm="1">
        <f t="array" aca="1" ref="D1489" ca="1">_xlfn.SWITCH(MID(Master[[#This Row],[Checklist]],1,4),"C - ","Civil","F - ","Foundation","ST -","Structure","FC -","Façade","PRE ","Pre-Line","POST","Post-Line","H - ","Handover","S - ","Services","CST ","Completion Docs", "I - ", "Inspection")</f>
        <v>Post-Line</v>
      </c>
      <c r="E14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89" s="24" t="str">
        <f ca="1">IF(OR(Master[[#This Row],[Type]]="checklist", Master[[#This Row],[Type]]="checklist-flat"), Master[[#This Row],[Name]], F1488)</f>
        <v xml:space="preserve">POST - S - Stopping </v>
      </c>
      <c r="G1489" s="34" t="s">
        <v>49</v>
      </c>
      <c r="H1489" s="34" t="s">
        <v>659</v>
      </c>
      <c r="I1489" s="35"/>
      <c r="J1489" s="21">
        <f ca="1">_xlfn.XLOOKUP(Master[[#This Row],[Checklist]],Ref!A:A,Ref!B:B)*1000</f>
        <v>141000</v>
      </c>
      <c r="K1489" s="21">
        <f ca="1">COUNTIF($J$2:Master[[#This Row],[ChecklistID]],Master[[#This Row],[ChecklistID]])-1</f>
        <v>4</v>
      </c>
      <c r="L1489" s="23" t="s">
        <v>6</v>
      </c>
    </row>
    <row r="1490" spans="1:12" ht="15.75">
      <c r="A1490" s="23">
        <f t="shared" si="23"/>
        <v>1489</v>
      </c>
      <c r="B1490" s="21">
        <f ca="1">Master[[#This Row],[ChecklistID]]+Master[[#This Row],[Checklist Order]]</f>
        <v>141005</v>
      </c>
      <c r="C1490" s="22"/>
      <c r="D1490" s="3" t="str" cm="1">
        <f t="array" aca="1" ref="D1490" ca="1">_xlfn.SWITCH(MID(Master[[#This Row],[Checklist]],1,4),"C - ","Civil","F - ","Foundation","ST -","Structure","FC -","Façade","PRE ","Pre-Line","POST","Post-Line","H - ","Handover","S - ","Services","CST ","Completion Docs", "I - ", "Inspection")</f>
        <v>Post-Line</v>
      </c>
      <c r="E14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0" s="24" t="str">
        <f ca="1">IF(OR(Master[[#This Row],[Type]]="checklist", Master[[#This Row],[Type]]="checklist-flat"), Master[[#This Row],[Name]], F1489)</f>
        <v xml:space="preserve">POST - S - Stopping </v>
      </c>
      <c r="G1490" s="34" t="s">
        <v>49</v>
      </c>
      <c r="H1490" s="34" t="s">
        <v>660</v>
      </c>
      <c r="I1490" s="35"/>
      <c r="J1490" s="21">
        <f ca="1">_xlfn.XLOOKUP(Master[[#This Row],[Checklist]],Ref!A:A,Ref!B:B)*1000</f>
        <v>141000</v>
      </c>
      <c r="K1490" s="21">
        <f ca="1">COUNTIF($J$2:Master[[#This Row],[ChecklistID]],Master[[#This Row],[ChecklistID]])-1</f>
        <v>5</v>
      </c>
      <c r="L1490" s="23" t="s">
        <v>6</v>
      </c>
    </row>
    <row r="1491" spans="1:12" ht="15.75">
      <c r="A1491" s="23">
        <f t="shared" si="23"/>
        <v>1490</v>
      </c>
      <c r="B1491" s="21">
        <f ca="1">Master[[#This Row],[ChecklistID]]+Master[[#This Row],[Checklist Order]]</f>
        <v>141006</v>
      </c>
      <c r="C1491" s="22"/>
      <c r="D1491" s="3" t="str" cm="1">
        <f t="array" aca="1" ref="D1491" ca="1">_xlfn.SWITCH(MID(Master[[#This Row],[Checklist]],1,4),"C - ","Civil","F - ","Foundation","ST -","Structure","FC -","Façade","PRE ","Pre-Line","POST","Post-Line","H - ","Handover","S - ","Services","CST ","Completion Docs", "I - ", "Inspection")</f>
        <v>Post-Line</v>
      </c>
      <c r="E14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1" s="24" t="str">
        <f ca="1">IF(OR(Master[[#This Row],[Type]]="checklist", Master[[#This Row],[Type]]="checklist-flat"), Master[[#This Row],[Name]], F1490)</f>
        <v xml:space="preserve">POST - S - Stopping </v>
      </c>
      <c r="G1491" s="34" t="s">
        <v>49</v>
      </c>
      <c r="H1491" s="34" t="s">
        <v>661</v>
      </c>
      <c r="I1491" s="35"/>
      <c r="J1491" s="21">
        <f ca="1">_xlfn.XLOOKUP(Master[[#This Row],[Checklist]],Ref!A:A,Ref!B:B)*1000</f>
        <v>141000</v>
      </c>
      <c r="K1491" s="21">
        <f ca="1">COUNTIF($J$2:Master[[#This Row],[ChecklistID]],Master[[#This Row],[ChecklistID]])-1</f>
        <v>6</v>
      </c>
      <c r="L1491" s="23" t="s">
        <v>6</v>
      </c>
    </row>
    <row r="1492" spans="1:12" ht="15.75">
      <c r="A1492" s="23">
        <f t="shared" si="23"/>
        <v>1491</v>
      </c>
      <c r="B1492" s="21">
        <f ca="1">Master[[#This Row],[ChecklistID]]+Master[[#This Row],[Checklist Order]]</f>
        <v>141007</v>
      </c>
      <c r="C1492" s="22"/>
      <c r="D1492" s="3" t="str" cm="1">
        <f t="array" aca="1" ref="D1492" ca="1">_xlfn.SWITCH(MID(Master[[#This Row],[Checklist]],1,4),"C - ","Civil","F - ","Foundation","ST -","Structure","FC -","Façade","PRE ","Pre-Line","POST","Post-Line","H - ","Handover","S - ","Services","CST ","Completion Docs", "I - ", "Inspection")</f>
        <v>Post-Line</v>
      </c>
      <c r="E14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2" s="24" t="str">
        <f ca="1">IF(OR(Master[[#This Row],[Type]]="checklist", Master[[#This Row],[Type]]="checklist-flat"), Master[[#This Row],[Name]], F1491)</f>
        <v xml:space="preserve">POST - S - Stopping </v>
      </c>
      <c r="G1492" s="34" t="s">
        <v>49</v>
      </c>
      <c r="H1492" s="34" t="s">
        <v>662</v>
      </c>
      <c r="I1492" s="35"/>
      <c r="J1492" s="21">
        <f ca="1">_xlfn.XLOOKUP(Master[[#This Row],[Checklist]],Ref!A:A,Ref!B:B)*1000</f>
        <v>141000</v>
      </c>
      <c r="K1492" s="21">
        <f ca="1">COUNTIF($J$2:Master[[#This Row],[ChecklistID]],Master[[#This Row],[ChecklistID]])-1</f>
        <v>7</v>
      </c>
      <c r="L1492" s="23" t="s">
        <v>6</v>
      </c>
    </row>
    <row r="1493" spans="1:12" ht="15.75">
      <c r="A1493" s="23">
        <f t="shared" si="23"/>
        <v>1492</v>
      </c>
      <c r="B1493" s="21">
        <f ca="1">Master[[#This Row],[ChecklistID]]+Master[[#This Row],[Checklist Order]]</f>
        <v>141008</v>
      </c>
      <c r="C1493" s="22"/>
      <c r="D1493" s="3" t="str" cm="1">
        <f t="array" aca="1" ref="D1493" ca="1">_xlfn.SWITCH(MID(Master[[#This Row],[Checklist]],1,4),"C - ","Civil","F - ","Foundation","ST -","Structure","FC -","Façade","PRE ","Pre-Line","POST","Post-Line","H - ","Handover","S - ","Services","CST ","Completion Docs", "I - ", "Inspection")</f>
        <v>Post-Line</v>
      </c>
      <c r="E14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3" s="24" t="str">
        <f ca="1">IF(OR(Master[[#This Row],[Type]]="checklist", Master[[#This Row],[Type]]="checklist-flat"), Master[[#This Row],[Name]], F1492)</f>
        <v xml:space="preserve">POST - S - Stopping </v>
      </c>
      <c r="G1493" s="34" t="s">
        <v>49</v>
      </c>
      <c r="H1493" s="34" t="s">
        <v>57</v>
      </c>
      <c r="I1493" s="35"/>
      <c r="J1493" s="21">
        <f ca="1">_xlfn.XLOOKUP(Master[[#This Row],[Checklist]],Ref!A:A,Ref!B:B)*1000</f>
        <v>141000</v>
      </c>
      <c r="K1493" s="21">
        <f ca="1">COUNTIF($J$2:Master[[#This Row],[ChecklistID]],Master[[#This Row],[ChecklistID]])-1</f>
        <v>8</v>
      </c>
      <c r="L1493" s="23" t="s">
        <v>6</v>
      </c>
    </row>
    <row r="1494" spans="1:12" ht="15.75">
      <c r="A1494" s="23">
        <f t="shared" si="23"/>
        <v>1493</v>
      </c>
      <c r="B1494" s="21">
        <f ca="1">Master[[#This Row],[ChecklistID]]+Master[[#This Row],[Checklist Order]]</f>
        <v>141009</v>
      </c>
      <c r="C1494" s="22"/>
      <c r="D1494" s="3" t="str" cm="1">
        <f t="array" aca="1" ref="D1494" ca="1">_xlfn.SWITCH(MID(Master[[#This Row],[Checklist]],1,4),"C - ","Civil","F - ","Foundation","ST -","Structure","FC -","Façade","PRE ","Pre-Line","POST","Post-Line","H - ","Handover","S - ","Services","CST ","Completion Docs", "I - ", "Inspection")</f>
        <v>Post-Line</v>
      </c>
      <c r="E14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4" s="24" t="str">
        <f ca="1">IF(OR(Master[[#This Row],[Type]]="checklist", Master[[#This Row],[Type]]="checklist-flat"), Master[[#This Row],[Name]], F1493)</f>
        <v xml:space="preserve">POST - S - Stopping </v>
      </c>
      <c r="G1494" s="34" t="s">
        <v>58</v>
      </c>
      <c r="H1494" s="34" t="s">
        <v>59</v>
      </c>
      <c r="I1494" s="35"/>
      <c r="J1494" s="21">
        <f ca="1">_xlfn.XLOOKUP(Master[[#This Row],[Checklist]],Ref!A:A,Ref!B:B)*1000</f>
        <v>141000</v>
      </c>
      <c r="K1494" s="21">
        <f ca="1">COUNTIF($J$2:Master[[#This Row],[ChecklistID]],Master[[#This Row],[ChecklistID]])-1</f>
        <v>9</v>
      </c>
      <c r="L1494" s="23" t="s">
        <v>6</v>
      </c>
    </row>
    <row r="1495" spans="1:12" ht="15.75">
      <c r="A1495" s="23">
        <f t="shared" si="23"/>
        <v>1494</v>
      </c>
      <c r="B1495" s="21">
        <f ca="1">Master[[#This Row],[ChecklistID]]+Master[[#This Row],[Checklist Order]]</f>
        <v>142000</v>
      </c>
      <c r="C1495" s="22"/>
      <c r="D1495" s="3" t="str" cm="1">
        <f t="array" aca="1" ref="D1495" ca="1">_xlfn.SWITCH(MID(Master[[#This Row],[Checklist]],1,4),"C - ","Civil","F - ","Foundation","ST -","Structure","FC -","Façade","PRE ","Pre-Line","POST","Post-Line","H - ","Handover","S - ","Services","CST ","Completion Docs", "I - ", "Inspection")</f>
        <v>Post-Line</v>
      </c>
      <c r="E14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5" s="24" t="str">
        <f ca="1">IF(OR(Master[[#This Row],[Type]]="checklist", Master[[#This Row],[Type]]="checklist-flat"), Master[[#This Row],[Name]], F1494)</f>
        <v>POST - S - Waterproofing</v>
      </c>
      <c r="G1495" s="34" t="s">
        <v>48</v>
      </c>
      <c r="H1495" s="34" t="s">
        <v>663</v>
      </c>
      <c r="I1495" s="35"/>
      <c r="J1495" s="21">
        <f ca="1">_xlfn.XLOOKUP(Master[[#This Row],[Checklist]],Ref!A:A,Ref!B:B)*1000</f>
        <v>142000</v>
      </c>
      <c r="K1495" s="21">
        <f ca="1">COUNTIF($J$2:Master[[#This Row],[ChecklistID]],Master[[#This Row],[ChecklistID]])-1</f>
        <v>0</v>
      </c>
      <c r="L1495" s="23" t="s">
        <v>6</v>
      </c>
    </row>
    <row r="1496" spans="1:12" ht="15.75">
      <c r="A1496" s="23">
        <f t="shared" si="23"/>
        <v>1495</v>
      </c>
      <c r="B1496" s="21">
        <f ca="1">Master[[#This Row],[ChecklistID]]+Master[[#This Row],[Checklist Order]]</f>
        <v>142001</v>
      </c>
      <c r="C1496" s="22"/>
      <c r="D1496" s="3" t="str" cm="1">
        <f t="array" aca="1" ref="D1496" ca="1">_xlfn.SWITCH(MID(Master[[#This Row],[Checklist]],1,4),"C - ","Civil","F - ","Foundation","ST -","Structure","FC -","Façade","PRE ","Pre-Line","POST","Post-Line","H - ","Handover","S - ","Services","CST ","Completion Docs", "I - ", "Inspection")</f>
        <v>Post-Line</v>
      </c>
      <c r="E14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6" s="24" t="str">
        <f ca="1">IF(OR(Master[[#This Row],[Type]]="checklist", Master[[#This Row],[Type]]="checklist-flat"), Master[[#This Row],[Name]], F1495)</f>
        <v>POST - S - Waterproofing</v>
      </c>
      <c r="G1496" s="34" t="s">
        <v>49</v>
      </c>
      <c r="H1496" s="34" t="s">
        <v>664</v>
      </c>
      <c r="I1496" s="35"/>
      <c r="J1496" s="21">
        <f ca="1">_xlfn.XLOOKUP(Master[[#This Row],[Checklist]],Ref!A:A,Ref!B:B)*1000</f>
        <v>142000</v>
      </c>
      <c r="K1496" s="21">
        <f ca="1">COUNTIF($J$2:Master[[#This Row],[ChecklistID]],Master[[#This Row],[ChecklistID]])-1</f>
        <v>1</v>
      </c>
      <c r="L1496" s="23" t="s">
        <v>6</v>
      </c>
    </row>
    <row r="1497" spans="1:12" ht="15.75">
      <c r="A1497" s="23">
        <f t="shared" si="23"/>
        <v>1496</v>
      </c>
      <c r="B1497" s="21">
        <f ca="1">Master[[#This Row],[ChecklistID]]+Master[[#This Row],[Checklist Order]]</f>
        <v>142002</v>
      </c>
      <c r="C1497" s="22"/>
      <c r="D1497" s="3" t="str" cm="1">
        <f t="array" aca="1" ref="D1497" ca="1">_xlfn.SWITCH(MID(Master[[#This Row],[Checklist]],1,4),"C - ","Civil","F - ","Foundation","ST -","Structure","FC -","Façade","PRE ","Pre-Line","POST","Post-Line","H - ","Handover","S - ","Services","CST ","Completion Docs", "I - ", "Inspection")</f>
        <v>Post-Line</v>
      </c>
      <c r="E14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7" s="24" t="str">
        <f ca="1">IF(OR(Master[[#This Row],[Type]]="checklist", Master[[#This Row],[Type]]="checklist-flat"), Master[[#This Row],[Name]], F1496)</f>
        <v>POST - S - Waterproofing</v>
      </c>
      <c r="G1497" s="34" t="s">
        <v>49</v>
      </c>
      <c r="H1497" s="34" t="s">
        <v>665</v>
      </c>
      <c r="I1497" s="35"/>
      <c r="J1497" s="21">
        <f ca="1">_xlfn.XLOOKUP(Master[[#This Row],[Checklist]],Ref!A:A,Ref!B:B)*1000</f>
        <v>142000</v>
      </c>
      <c r="K1497" s="21">
        <f ca="1">COUNTIF($J$2:Master[[#This Row],[ChecklistID]],Master[[#This Row],[ChecklistID]])-1</f>
        <v>2</v>
      </c>
      <c r="L1497" s="23" t="s">
        <v>6</v>
      </c>
    </row>
    <row r="1498" spans="1:12" ht="15.75">
      <c r="A1498" s="23">
        <f t="shared" si="23"/>
        <v>1497</v>
      </c>
      <c r="B1498" s="21">
        <f ca="1">Master[[#This Row],[ChecklistID]]+Master[[#This Row],[Checklist Order]]</f>
        <v>142003</v>
      </c>
      <c r="C1498" s="22"/>
      <c r="D1498" s="3" t="str" cm="1">
        <f t="array" aca="1" ref="D1498" ca="1">_xlfn.SWITCH(MID(Master[[#This Row],[Checklist]],1,4),"C - ","Civil","F - ","Foundation","ST -","Structure","FC -","Façade","PRE ","Pre-Line","POST","Post-Line","H - ","Handover","S - ","Services","CST ","Completion Docs", "I - ", "Inspection")</f>
        <v>Post-Line</v>
      </c>
      <c r="E14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8" s="24" t="str">
        <f ca="1">IF(OR(Master[[#This Row],[Type]]="checklist", Master[[#This Row],[Type]]="checklist-flat"), Master[[#This Row],[Name]], F1497)</f>
        <v>POST - S - Waterproofing</v>
      </c>
      <c r="G1498" s="34" t="s">
        <v>49</v>
      </c>
      <c r="H1498" s="34" t="s">
        <v>666</v>
      </c>
      <c r="I1498" s="35"/>
      <c r="J1498" s="21">
        <f ca="1">_xlfn.XLOOKUP(Master[[#This Row],[Checklist]],Ref!A:A,Ref!B:B)*1000</f>
        <v>142000</v>
      </c>
      <c r="K1498" s="21">
        <f ca="1">COUNTIF($J$2:Master[[#This Row],[ChecklistID]],Master[[#This Row],[ChecklistID]])-1</f>
        <v>3</v>
      </c>
      <c r="L1498" s="23" t="s">
        <v>6</v>
      </c>
    </row>
    <row r="1499" spans="1:12" ht="15.75">
      <c r="A1499" s="23">
        <f t="shared" si="23"/>
        <v>1498</v>
      </c>
      <c r="B1499" s="21">
        <f ca="1">Master[[#This Row],[ChecklistID]]+Master[[#This Row],[Checklist Order]]</f>
        <v>142004</v>
      </c>
      <c r="C1499" s="22"/>
      <c r="D1499" s="3" t="str" cm="1">
        <f t="array" aca="1" ref="D1499" ca="1">_xlfn.SWITCH(MID(Master[[#This Row],[Checklist]],1,4),"C - ","Civil","F - ","Foundation","ST -","Structure","FC -","Façade","PRE ","Pre-Line","POST","Post-Line","H - ","Handover","S - ","Services","CST ","Completion Docs", "I - ", "Inspection")</f>
        <v>Post-Line</v>
      </c>
      <c r="E14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499" s="24" t="str">
        <f ca="1">IF(OR(Master[[#This Row],[Type]]="checklist", Master[[#This Row],[Type]]="checklist-flat"), Master[[#This Row],[Name]], F1498)</f>
        <v>POST - S - Waterproofing</v>
      </c>
      <c r="G1499" s="34" t="s">
        <v>49</v>
      </c>
      <c r="H1499" s="34" t="s">
        <v>667</v>
      </c>
      <c r="I1499" s="35"/>
      <c r="J1499" s="21">
        <f ca="1">_xlfn.XLOOKUP(Master[[#This Row],[Checklist]],Ref!A:A,Ref!B:B)*1000</f>
        <v>142000</v>
      </c>
      <c r="K1499" s="21">
        <f ca="1">COUNTIF($J$2:Master[[#This Row],[ChecklistID]],Master[[#This Row],[ChecklistID]])-1</f>
        <v>4</v>
      </c>
      <c r="L1499" s="23" t="s">
        <v>6</v>
      </c>
    </row>
    <row r="1500" spans="1:12" ht="15.75">
      <c r="A1500" s="23">
        <f t="shared" si="23"/>
        <v>1499</v>
      </c>
      <c r="B1500" s="21">
        <f ca="1">Master[[#This Row],[ChecklistID]]+Master[[#This Row],[Checklist Order]]</f>
        <v>142005</v>
      </c>
      <c r="C1500" s="22"/>
      <c r="D1500" s="3" t="str" cm="1">
        <f t="array" aca="1" ref="D1500" ca="1">_xlfn.SWITCH(MID(Master[[#This Row],[Checklist]],1,4),"C - ","Civil","F - ","Foundation","ST -","Structure","FC -","Façade","PRE ","Pre-Line","POST","Post-Line","H - ","Handover","S - ","Services","CST ","Completion Docs", "I - ", "Inspection")</f>
        <v>Post-Line</v>
      </c>
      <c r="E15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0" s="24" t="str">
        <f ca="1">IF(OR(Master[[#This Row],[Type]]="checklist", Master[[#This Row],[Type]]="checklist-flat"), Master[[#This Row],[Name]], F1499)</f>
        <v>POST - S - Waterproofing</v>
      </c>
      <c r="G1500" s="34" t="s">
        <v>49</v>
      </c>
      <c r="H1500" s="34" t="s">
        <v>623</v>
      </c>
      <c r="I1500" s="35"/>
      <c r="J1500" s="21">
        <f ca="1">_xlfn.XLOOKUP(Master[[#This Row],[Checklist]],Ref!A:A,Ref!B:B)*1000</f>
        <v>142000</v>
      </c>
      <c r="K1500" s="21">
        <f ca="1">COUNTIF($J$2:Master[[#This Row],[ChecklistID]],Master[[#This Row],[ChecklistID]])-1</f>
        <v>5</v>
      </c>
      <c r="L1500" s="23" t="s">
        <v>6</v>
      </c>
    </row>
    <row r="1501" spans="1:12" ht="15.75">
      <c r="A1501" s="23">
        <f t="shared" si="23"/>
        <v>1500</v>
      </c>
      <c r="B1501" s="21">
        <f ca="1">Master[[#This Row],[ChecklistID]]+Master[[#This Row],[Checklist Order]]</f>
        <v>142006</v>
      </c>
      <c r="C1501" s="22"/>
      <c r="D1501" s="3" t="str" cm="1">
        <f t="array" aca="1" ref="D1501" ca="1">_xlfn.SWITCH(MID(Master[[#This Row],[Checklist]],1,4),"C - ","Civil","F - ","Foundation","ST -","Structure","FC -","Façade","PRE ","Pre-Line","POST","Post-Line","H - ","Handover","S - ","Services","CST ","Completion Docs", "I - ", "Inspection")</f>
        <v>Post-Line</v>
      </c>
      <c r="E15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1" s="24" t="str">
        <f ca="1">IF(OR(Master[[#This Row],[Type]]="checklist", Master[[#This Row],[Type]]="checklist-flat"), Master[[#This Row],[Name]], F1500)</f>
        <v>POST - S - Waterproofing</v>
      </c>
      <c r="G1501" s="34" t="s">
        <v>49</v>
      </c>
      <c r="H1501" s="34" t="s">
        <v>668</v>
      </c>
      <c r="I1501" s="35"/>
      <c r="J1501" s="21">
        <f ca="1">_xlfn.XLOOKUP(Master[[#This Row],[Checklist]],Ref!A:A,Ref!B:B)*1000</f>
        <v>142000</v>
      </c>
      <c r="K1501" s="21">
        <f ca="1">COUNTIF($J$2:Master[[#This Row],[ChecklistID]],Master[[#This Row],[ChecklistID]])-1</f>
        <v>6</v>
      </c>
      <c r="L1501" s="23" t="s">
        <v>6</v>
      </c>
    </row>
    <row r="1502" spans="1:12" ht="15.75">
      <c r="A1502" s="23">
        <f t="shared" si="23"/>
        <v>1501</v>
      </c>
      <c r="B1502" s="21">
        <f ca="1">Master[[#This Row],[ChecklistID]]+Master[[#This Row],[Checklist Order]]</f>
        <v>142007</v>
      </c>
      <c r="C1502" s="22"/>
      <c r="D1502" s="3" t="str" cm="1">
        <f t="array" aca="1" ref="D1502" ca="1">_xlfn.SWITCH(MID(Master[[#This Row],[Checklist]],1,4),"C - ","Civil","F - ","Foundation","ST -","Structure","FC -","Façade","PRE ","Pre-Line","POST","Post-Line","H - ","Handover","S - ","Services","CST ","Completion Docs", "I - ", "Inspection")</f>
        <v>Post-Line</v>
      </c>
      <c r="E15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2" s="24" t="str">
        <f ca="1">IF(OR(Master[[#This Row],[Type]]="checklist", Master[[#This Row],[Type]]="checklist-flat"), Master[[#This Row],[Name]], F1501)</f>
        <v>POST - S - Waterproofing</v>
      </c>
      <c r="G1502" s="34" t="s">
        <v>49</v>
      </c>
      <c r="H1502" s="34" t="s">
        <v>57</v>
      </c>
      <c r="I1502" s="35"/>
      <c r="J1502" s="21">
        <f ca="1">_xlfn.XLOOKUP(Master[[#This Row],[Checklist]],Ref!A:A,Ref!B:B)*1000</f>
        <v>142000</v>
      </c>
      <c r="K1502" s="21">
        <f ca="1">COUNTIF($J$2:Master[[#This Row],[ChecklistID]],Master[[#This Row],[ChecklistID]])-1</f>
        <v>7</v>
      </c>
      <c r="L1502" s="23" t="s">
        <v>6</v>
      </c>
    </row>
    <row r="1503" spans="1:12" ht="15.75">
      <c r="A1503" s="23">
        <f t="shared" si="23"/>
        <v>1502</v>
      </c>
      <c r="B1503" s="21">
        <f ca="1">Master[[#This Row],[ChecklistID]]+Master[[#This Row],[Checklist Order]]</f>
        <v>142008</v>
      </c>
      <c r="C1503" s="22"/>
      <c r="D1503" s="3" t="str" cm="1">
        <f t="array" aca="1" ref="D1503" ca="1">_xlfn.SWITCH(MID(Master[[#This Row],[Checklist]],1,4),"C - ","Civil","F - ","Foundation","ST -","Structure","FC -","Façade","PRE ","Pre-Line","POST","Post-Line","H - ","Handover","S - ","Services","CST ","Completion Docs", "I - ", "Inspection")</f>
        <v>Post-Line</v>
      </c>
      <c r="E15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3" s="24" t="str">
        <f ca="1">IF(OR(Master[[#This Row],[Type]]="checklist", Master[[#This Row],[Type]]="checklist-flat"), Master[[#This Row],[Name]], F1502)</f>
        <v>POST - S - Waterproofing</v>
      </c>
      <c r="G1503" s="34" t="s">
        <v>58</v>
      </c>
      <c r="H1503" s="34" t="s">
        <v>59</v>
      </c>
      <c r="I1503" s="35"/>
      <c r="J1503" s="21">
        <f ca="1">_xlfn.XLOOKUP(Master[[#This Row],[Checklist]],Ref!A:A,Ref!B:B)*1000</f>
        <v>142000</v>
      </c>
      <c r="K1503" s="21">
        <f ca="1">COUNTIF($J$2:Master[[#This Row],[ChecklistID]],Master[[#This Row],[ChecklistID]])-1</f>
        <v>8</v>
      </c>
      <c r="L1503" s="23" t="s">
        <v>6</v>
      </c>
    </row>
    <row r="1504" spans="1:12" ht="15.75">
      <c r="A1504" s="23">
        <f t="shared" si="23"/>
        <v>1503</v>
      </c>
      <c r="B1504" s="21">
        <f ca="1">Master[[#This Row],[ChecklistID]]+Master[[#This Row],[Checklist Order]]</f>
        <v>143000</v>
      </c>
      <c r="C1504" s="22"/>
      <c r="D1504" s="3" t="str" cm="1">
        <f t="array" aca="1" ref="D1504" ca="1">_xlfn.SWITCH(MID(Master[[#This Row],[Checklist]],1,4),"C - ","Civil","F - ","Foundation","ST -","Structure","FC -","Façade","PRE ","Pre-Line","POST","Post-Line","H - ","Handover","S - ","Services","CST ","Completion Docs", "I - ", "Inspection")</f>
        <v>Post-Line</v>
      </c>
      <c r="E15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4" s="24" t="str">
        <f ca="1">IF(OR(Master[[#This Row],[Type]]="checklist", Master[[#This Row],[Type]]="checklist-flat"), Master[[#This Row],[Name]], F1503)</f>
        <v xml:space="preserve">POST - S - Fire door installation </v>
      </c>
      <c r="G1504" s="34" t="s">
        <v>48</v>
      </c>
      <c r="H1504" s="34" t="s">
        <v>669</v>
      </c>
      <c r="I1504" s="35"/>
      <c r="J1504" s="21">
        <f ca="1">_xlfn.XLOOKUP(Master[[#This Row],[Checklist]],Ref!A:A,Ref!B:B)*1000</f>
        <v>143000</v>
      </c>
      <c r="K1504" s="21">
        <f ca="1">COUNTIF($J$2:Master[[#This Row],[ChecklistID]],Master[[#This Row],[ChecklistID]])-1</f>
        <v>0</v>
      </c>
      <c r="L1504" s="23" t="s">
        <v>6</v>
      </c>
    </row>
    <row r="1505" spans="1:12" ht="15.75">
      <c r="A1505" s="23">
        <f t="shared" si="23"/>
        <v>1504</v>
      </c>
      <c r="B1505" s="21">
        <f ca="1">Master[[#This Row],[ChecklistID]]+Master[[#This Row],[Checklist Order]]</f>
        <v>143001</v>
      </c>
      <c r="C1505" s="22"/>
      <c r="D1505" s="3" t="str" cm="1">
        <f t="array" aca="1" ref="D1505" ca="1">_xlfn.SWITCH(MID(Master[[#This Row],[Checklist]],1,4),"C - ","Civil","F - ","Foundation","ST -","Structure","FC -","Façade","PRE ","Pre-Line","POST","Post-Line","H - ","Handover","S - ","Services","CST ","Completion Docs", "I - ", "Inspection")</f>
        <v>Post-Line</v>
      </c>
      <c r="E15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5" s="24" t="str">
        <f ca="1">IF(OR(Master[[#This Row],[Type]]="checklist", Master[[#This Row],[Type]]="checklist-flat"), Master[[#This Row],[Name]], F1504)</f>
        <v xml:space="preserve">POST - S - Fire door installation </v>
      </c>
      <c r="G1505" s="34" t="s">
        <v>49</v>
      </c>
      <c r="H1505" s="34" t="s">
        <v>645</v>
      </c>
      <c r="I1505" s="35"/>
      <c r="J1505" s="21">
        <f ca="1">_xlfn.XLOOKUP(Master[[#This Row],[Checklist]],Ref!A:A,Ref!B:B)*1000</f>
        <v>143000</v>
      </c>
      <c r="K1505" s="21">
        <f ca="1">COUNTIF($J$2:Master[[#This Row],[ChecklistID]],Master[[#This Row],[ChecklistID]])-1</f>
        <v>1</v>
      </c>
      <c r="L1505" s="23" t="s">
        <v>6</v>
      </c>
    </row>
    <row r="1506" spans="1:12" ht="15.75">
      <c r="A1506" s="23">
        <f t="shared" si="23"/>
        <v>1505</v>
      </c>
      <c r="B1506" s="21">
        <f ca="1">Master[[#This Row],[ChecklistID]]+Master[[#This Row],[Checklist Order]]</f>
        <v>143002</v>
      </c>
      <c r="C1506" s="22"/>
      <c r="D1506" s="3" t="str" cm="1">
        <f t="array" aca="1" ref="D1506" ca="1">_xlfn.SWITCH(MID(Master[[#This Row],[Checklist]],1,4),"C - ","Civil","F - ","Foundation","ST -","Structure","FC -","Façade","PRE ","Pre-Line","POST","Post-Line","H - ","Handover","S - ","Services","CST ","Completion Docs", "I - ", "Inspection")</f>
        <v>Post-Line</v>
      </c>
      <c r="E15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6" s="24" t="str">
        <f ca="1">IF(OR(Master[[#This Row],[Type]]="checklist", Master[[#This Row],[Type]]="checklist-flat"), Master[[#This Row],[Name]], F1505)</f>
        <v xml:space="preserve">POST - S - Fire door installation </v>
      </c>
      <c r="G1506" s="34" t="s">
        <v>49</v>
      </c>
      <c r="H1506" s="34" t="s">
        <v>646</v>
      </c>
      <c r="I1506" s="35"/>
      <c r="J1506" s="21">
        <f ca="1">_xlfn.XLOOKUP(Master[[#This Row],[Checklist]],Ref!A:A,Ref!B:B)*1000</f>
        <v>143000</v>
      </c>
      <c r="K1506" s="21">
        <f ca="1">COUNTIF($J$2:Master[[#This Row],[ChecklistID]],Master[[#This Row],[ChecklistID]])-1</f>
        <v>2</v>
      </c>
      <c r="L1506" s="23" t="s">
        <v>6</v>
      </c>
    </row>
    <row r="1507" spans="1:12" ht="15.75">
      <c r="A1507" s="23">
        <f t="shared" si="23"/>
        <v>1506</v>
      </c>
      <c r="B1507" s="21">
        <f ca="1">Master[[#This Row],[ChecklistID]]+Master[[#This Row],[Checklist Order]]</f>
        <v>143003</v>
      </c>
      <c r="C1507" s="22"/>
      <c r="D1507" s="3" t="str" cm="1">
        <f t="array" aca="1" ref="D1507" ca="1">_xlfn.SWITCH(MID(Master[[#This Row],[Checklist]],1,4),"C - ","Civil","F - ","Foundation","ST -","Structure","FC -","Façade","PRE ","Pre-Line","POST","Post-Line","H - ","Handover","S - ","Services","CST ","Completion Docs", "I - ", "Inspection")</f>
        <v>Post-Line</v>
      </c>
      <c r="E15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7" s="24" t="str">
        <f ca="1">IF(OR(Master[[#This Row],[Type]]="checklist", Master[[#This Row],[Type]]="checklist-flat"), Master[[#This Row],[Name]], F1506)</f>
        <v xml:space="preserve">POST - S - Fire door installation </v>
      </c>
      <c r="G1507" s="34" t="s">
        <v>49</v>
      </c>
      <c r="H1507" s="34" t="s">
        <v>670</v>
      </c>
      <c r="I1507" s="35"/>
      <c r="J1507" s="21">
        <f ca="1">_xlfn.XLOOKUP(Master[[#This Row],[Checklist]],Ref!A:A,Ref!B:B)*1000</f>
        <v>143000</v>
      </c>
      <c r="K1507" s="21">
        <f ca="1">COUNTIF($J$2:Master[[#This Row],[ChecklistID]],Master[[#This Row],[ChecklistID]])-1</f>
        <v>3</v>
      </c>
      <c r="L1507" s="23" t="s">
        <v>6</v>
      </c>
    </row>
    <row r="1508" spans="1:12" ht="15.75">
      <c r="A1508" s="23">
        <f t="shared" si="23"/>
        <v>1507</v>
      </c>
      <c r="B1508" s="21">
        <f ca="1">Master[[#This Row],[ChecklistID]]+Master[[#This Row],[Checklist Order]]</f>
        <v>143004</v>
      </c>
      <c r="C1508" s="22"/>
      <c r="D1508" s="3" t="str" cm="1">
        <f t="array" aca="1" ref="D1508" ca="1">_xlfn.SWITCH(MID(Master[[#This Row],[Checklist]],1,4),"C - ","Civil","F - ","Foundation","ST -","Structure","FC -","Façade","PRE ","Pre-Line","POST","Post-Line","H - ","Handover","S - ","Services","CST ","Completion Docs", "I - ", "Inspection")</f>
        <v>Post-Line</v>
      </c>
      <c r="E15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8" s="24" t="str">
        <f ca="1">IF(OR(Master[[#This Row],[Type]]="checklist", Master[[#This Row],[Type]]="checklist-flat"), Master[[#This Row],[Name]], F1507)</f>
        <v xml:space="preserve">POST - S - Fire door installation </v>
      </c>
      <c r="G1508" s="34" t="s">
        <v>49</v>
      </c>
      <c r="H1508" s="34" t="s">
        <v>671</v>
      </c>
      <c r="I1508" s="35"/>
      <c r="J1508" s="21">
        <f ca="1">_xlfn.XLOOKUP(Master[[#This Row],[Checklist]],Ref!A:A,Ref!B:B)*1000</f>
        <v>143000</v>
      </c>
      <c r="K1508" s="21">
        <f ca="1">COUNTIF($J$2:Master[[#This Row],[ChecklistID]],Master[[#This Row],[ChecklistID]])-1</f>
        <v>4</v>
      </c>
      <c r="L1508" s="23" t="s">
        <v>6</v>
      </c>
    </row>
    <row r="1509" spans="1:12" ht="15.75">
      <c r="A1509" s="23">
        <f t="shared" si="23"/>
        <v>1508</v>
      </c>
      <c r="B1509" s="21">
        <f ca="1">Master[[#This Row],[ChecklistID]]+Master[[#This Row],[Checklist Order]]</f>
        <v>143005</v>
      </c>
      <c r="C1509" s="22"/>
      <c r="D1509" s="3" t="str" cm="1">
        <f t="array" aca="1" ref="D1509" ca="1">_xlfn.SWITCH(MID(Master[[#This Row],[Checklist]],1,4),"C - ","Civil","F - ","Foundation","ST -","Structure","FC -","Façade","PRE ","Pre-Line","POST","Post-Line","H - ","Handover","S - ","Services","CST ","Completion Docs", "I - ", "Inspection")</f>
        <v>Post-Line</v>
      </c>
      <c r="E15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09" s="24" t="str">
        <f ca="1">IF(OR(Master[[#This Row],[Type]]="checklist", Master[[#This Row],[Type]]="checklist-flat"), Master[[#This Row],[Name]], F1508)</f>
        <v xml:space="preserve">POST - S - Fire door installation </v>
      </c>
      <c r="G1509" s="34" t="s">
        <v>49</v>
      </c>
      <c r="H1509" s="34" t="s">
        <v>648</v>
      </c>
      <c r="I1509" s="35"/>
      <c r="J1509" s="21">
        <f ca="1">_xlfn.XLOOKUP(Master[[#This Row],[Checklist]],Ref!A:A,Ref!B:B)*1000</f>
        <v>143000</v>
      </c>
      <c r="K1509" s="21">
        <f ca="1">COUNTIF($J$2:Master[[#This Row],[ChecklistID]],Master[[#This Row],[ChecklistID]])-1</f>
        <v>5</v>
      </c>
      <c r="L1509" s="23" t="s">
        <v>6</v>
      </c>
    </row>
    <row r="1510" spans="1:12" ht="15.75">
      <c r="A1510" s="23">
        <f t="shared" si="23"/>
        <v>1509</v>
      </c>
      <c r="B1510" s="21">
        <f ca="1">Master[[#This Row],[ChecklistID]]+Master[[#This Row],[Checklist Order]]</f>
        <v>143006</v>
      </c>
      <c r="C1510" s="22"/>
      <c r="D1510" s="3" t="str" cm="1">
        <f t="array" aca="1" ref="D1510" ca="1">_xlfn.SWITCH(MID(Master[[#This Row],[Checklist]],1,4),"C - ","Civil","F - ","Foundation","ST -","Structure","FC -","Façade","PRE ","Pre-Line","POST","Post-Line","H - ","Handover","S - ","Services","CST ","Completion Docs", "I - ", "Inspection")</f>
        <v>Post-Line</v>
      </c>
      <c r="E15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0" s="24" t="str">
        <f ca="1">IF(OR(Master[[#This Row],[Type]]="checklist", Master[[#This Row],[Type]]="checklist-flat"), Master[[#This Row],[Name]], F1509)</f>
        <v xml:space="preserve">POST - S - Fire door installation </v>
      </c>
      <c r="G1510" s="34" t="s">
        <v>49</v>
      </c>
      <c r="H1510" s="34" t="s">
        <v>649</v>
      </c>
      <c r="I1510" s="35"/>
      <c r="J1510" s="21">
        <f ca="1">_xlfn.XLOOKUP(Master[[#This Row],[Checklist]],Ref!A:A,Ref!B:B)*1000</f>
        <v>143000</v>
      </c>
      <c r="K1510" s="21">
        <f ca="1">COUNTIF($J$2:Master[[#This Row],[ChecklistID]],Master[[#This Row],[ChecklistID]])-1</f>
        <v>6</v>
      </c>
      <c r="L1510" s="23" t="s">
        <v>6</v>
      </c>
    </row>
    <row r="1511" spans="1:12" ht="15.75">
      <c r="A1511" s="23">
        <f t="shared" si="23"/>
        <v>1510</v>
      </c>
      <c r="B1511" s="21">
        <f ca="1">Master[[#This Row],[ChecklistID]]+Master[[#This Row],[Checklist Order]]</f>
        <v>143007</v>
      </c>
      <c r="C1511" s="22"/>
      <c r="D1511" s="3" t="str" cm="1">
        <f t="array" aca="1" ref="D1511" ca="1">_xlfn.SWITCH(MID(Master[[#This Row],[Checklist]],1,4),"C - ","Civil","F - ","Foundation","ST -","Structure","FC -","Façade","PRE ","Pre-Line","POST","Post-Line","H - ","Handover","S - ","Services","CST ","Completion Docs", "I - ", "Inspection")</f>
        <v>Post-Line</v>
      </c>
      <c r="E15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1" s="24" t="str">
        <f ca="1">IF(OR(Master[[#This Row],[Type]]="checklist", Master[[#This Row],[Type]]="checklist-flat"), Master[[#This Row],[Name]], F1510)</f>
        <v xml:space="preserve">POST - S - Fire door installation </v>
      </c>
      <c r="G1511" s="34" t="s">
        <v>49</v>
      </c>
      <c r="H1511" s="34" t="s">
        <v>672</v>
      </c>
      <c r="I1511" s="35"/>
      <c r="J1511" s="21">
        <f ca="1">_xlfn.XLOOKUP(Master[[#This Row],[Checklist]],Ref!A:A,Ref!B:B)*1000</f>
        <v>143000</v>
      </c>
      <c r="K1511" s="21">
        <f ca="1">COUNTIF($J$2:Master[[#This Row],[ChecklistID]],Master[[#This Row],[ChecklistID]])-1</f>
        <v>7</v>
      </c>
      <c r="L1511" s="23" t="s">
        <v>6</v>
      </c>
    </row>
    <row r="1512" spans="1:12" ht="15.75">
      <c r="A1512" s="23">
        <f t="shared" si="23"/>
        <v>1511</v>
      </c>
      <c r="B1512" s="21">
        <f ca="1">Master[[#This Row],[ChecklistID]]+Master[[#This Row],[Checklist Order]]</f>
        <v>143008</v>
      </c>
      <c r="C1512" s="22"/>
      <c r="D1512" s="3" t="str" cm="1">
        <f t="array" aca="1" ref="D1512" ca="1">_xlfn.SWITCH(MID(Master[[#This Row],[Checklist]],1,4),"C - ","Civil","F - ","Foundation","ST -","Structure","FC -","Façade","PRE ","Pre-Line","POST","Post-Line","H - ","Handover","S - ","Services","CST ","Completion Docs", "I - ", "Inspection")</f>
        <v>Post-Line</v>
      </c>
      <c r="E15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2" s="24" t="str">
        <f ca="1">IF(OR(Master[[#This Row],[Type]]="checklist", Master[[#This Row],[Type]]="checklist-flat"), Master[[#This Row],[Name]], F1511)</f>
        <v xml:space="preserve">POST - S - Fire door installation </v>
      </c>
      <c r="G1512" s="34" t="s">
        <v>49</v>
      </c>
      <c r="H1512" s="34" t="s">
        <v>650</v>
      </c>
      <c r="I1512" s="35"/>
      <c r="J1512" s="21">
        <f ca="1">_xlfn.XLOOKUP(Master[[#This Row],[Checklist]],Ref!A:A,Ref!B:B)*1000</f>
        <v>143000</v>
      </c>
      <c r="K1512" s="21">
        <f ca="1">COUNTIF($J$2:Master[[#This Row],[ChecklistID]],Master[[#This Row],[ChecklistID]])-1</f>
        <v>8</v>
      </c>
      <c r="L1512" s="23" t="s">
        <v>6</v>
      </c>
    </row>
    <row r="1513" spans="1:12" ht="15.75">
      <c r="A1513" s="23">
        <f t="shared" si="23"/>
        <v>1512</v>
      </c>
      <c r="B1513" s="21">
        <f ca="1">Master[[#This Row],[ChecklistID]]+Master[[#This Row],[Checklist Order]]</f>
        <v>143009</v>
      </c>
      <c r="C1513" s="22"/>
      <c r="D1513" s="3" t="str" cm="1">
        <f t="array" aca="1" ref="D1513" ca="1">_xlfn.SWITCH(MID(Master[[#This Row],[Checklist]],1,4),"C - ","Civil","F - ","Foundation","ST -","Structure","FC -","Façade","PRE ","Pre-Line","POST","Post-Line","H - ","Handover","S - ","Services","CST ","Completion Docs", "I - ", "Inspection")</f>
        <v>Post-Line</v>
      </c>
      <c r="E15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3" s="24" t="str">
        <f ca="1">IF(OR(Master[[#This Row],[Type]]="checklist", Master[[#This Row],[Type]]="checklist-flat"), Master[[#This Row],[Name]], F1512)</f>
        <v xml:space="preserve">POST - S - Fire door installation </v>
      </c>
      <c r="G1513" s="34" t="s">
        <v>49</v>
      </c>
      <c r="H1513" s="34" t="s">
        <v>57</v>
      </c>
      <c r="I1513" s="35"/>
      <c r="J1513" s="21">
        <f ca="1">_xlfn.XLOOKUP(Master[[#This Row],[Checklist]],Ref!A:A,Ref!B:B)*1000</f>
        <v>143000</v>
      </c>
      <c r="K1513" s="21">
        <f ca="1">COUNTIF($J$2:Master[[#This Row],[ChecklistID]],Master[[#This Row],[ChecklistID]])-1</f>
        <v>9</v>
      </c>
      <c r="L1513" s="23" t="s">
        <v>6</v>
      </c>
    </row>
    <row r="1514" spans="1:12" ht="15.75">
      <c r="A1514" s="23">
        <f t="shared" ref="A1514:A1575" si="24">IFERROR(A1513+1,1)</f>
        <v>1513</v>
      </c>
      <c r="B1514" s="21">
        <f ca="1">Master[[#This Row],[ChecklistID]]+Master[[#This Row],[Checklist Order]]</f>
        <v>143010</v>
      </c>
      <c r="C1514" s="22"/>
      <c r="D1514" s="3" t="str" cm="1">
        <f t="array" aca="1" ref="D1514" ca="1">_xlfn.SWITCH(MID(Master[[#This Row],[Checklist]],1,4),"C - ","Civil","F - ","Foundation","ST -","Structure","FC -","Façade","PRE ","Pre-Line","POST","Post-Line","H - ","Handover","S - ","Services","CST ","Completion Docs", "I - ", "Inspection")</f>
        <v>Post-Line</v>
      </c>
      <c r="E15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4" s="24" t="str">
        <f ca="1">IF(OR(Master[[#This Row],[Type]]="checklist", Master[[#This Row],[Type]]="checklist-flat"), Master[[#This Row],[Name]], F1513)</f>
        <v xml:space="preserve">POST - S - Fire door installation </v>
      </c>
      <c r="G1514" s="34" t="s">
        <v>58</v>
      </c>
      <c r="H1514" s="34" t="s">
        <v>59</v>
      </c>
      <c r="I1514" s="35"/>
      <c r="J1514" s="21">
        <f ca="1">_xlfn.XLOOKUP(Master[[#This Row],[Checklist]],Ref!A:A,Ref!B:B)*1000</f>
        <v>143000</v>
      </c>
      <c r="K1514" s="21">
        <f ca="1">COUNTIF($J$2:Master[[#This Row],[ChecklistID]],Master[[#This Row],[ChecklistID]])-1</f>
        <v>10</v>
      </c>
      <c r="L1514" s="23" t="s">
        <v>6</v>
      </c>
    </row>
    <row r="1515" spans="1:12" ht="15.75">
      <c r="A1515" s="23">
        <f t="shared" si="24"/>
        <v>1514</v>
      </c>
      <c r="B1515" s="21">
        <f ca="1">Master[[#This Row],[ChecklistID]]+Master[[#This Row],[Checklist Order]]</f>
        <v>144000</v>
      </c>
      <c r="C1515" s="22"/>
      <c r="D1515" s="3" t="str" cm="1">
        <f t="array" aca="1" ref="D1515" ca="1">_xlfn.SWITCH(MID(Master[[#This Row],[Checklist]],1,4),"C - ","Civil","F - ","Foundation","ST -","Structure","FC -","Façade","PRE ","Pre-Line","POST","Post-Line","H - ","Handover","S - ","Services","CST ","Completion Docs", "I - ", "Inspection")</f>
        <v>Post-Line</v>
      </c>
      <c r="E15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5" s="24" t="str">
        <f ca="1">IF(OR(Master[[#This Row],[Type]]="checklist", Master[[#This Row],[Type]]="checklist-flat"), Master[[#This Row],[Name]], F1514)</f>
        <v>POST - S - Internal Lining - Walls</v>
      </c>
      <c r="G1515" s="34" t="s">
        <v>48</v>
      </c>
      <c r="H1515" s="34" t="s">
        <v>673</v>
      </c>
      <c r="I1515" s="35"/>
      <c r="J1515" s="21">
        <f ca="1">_xlfn.XLOOKUP(Master[[#This Row],[Checklist]],Ref!A:A,Ref!B:B)*1000</f>
        <v>144000</v>
      </c>
      <c r="K1515" s="21">
        <f ca="1">COUNTIF($J$2:Master[[#This Row],[ChecklistID]],Master[[#This Row],[ChecklistID]])-1</f>
        <v>0</v>
      </c>
      <c r="L1515" s="23" t="s">
        <v>6</v>
      </c>
    </row>
    <row r="1516" spans="1:12" ht="15.75">
      <c r="A1516" s="23">
        <f t="shared" si="24"/>
        <v>1515</v>
      </c>
      <c r="B1516" s="21">
        <f ca="1">Master[[#This Row],[ChecklistID]]+Master[[#This Row],[Checklist Order]]</f>
        <v>144001</v>
      </c>
      <c r="C1516" s="22"/>
      <c r="D1516" s="3" t="str" cm="1">
        <f t="array" aca="1" ref="D1516" ca="1">_xlfn.SWITCH(MID(Master[[#This Row],[Checklist]],1,4),"C - ","Civil","F - ","Foundation","ST -","Structure","FC -","Façade","PRE ","Pre-Line","POST","Post-Line","H - ","Handover","S - ","Services","CST ","Completion Docs", "I - ", "Inspection")</f>
        <v>Post-Line</v>
      </c>
      <c r="E15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6" s="24" t="str">
        <f ca="1">IF(OR(Master[[#This Row],[Type]]="checklist", Master[[#This Row],[Type]]="checklist-flat"), Master[[#This Row],[Name]], F1515)</f>
        <v>POST - S - Internal Lining - Walls</v>
      </c>
      <c r="G1516" s="34" t="s">
        <v>49</v>
      </c>
      <c r="H1516" s="34" t="s">
        <v>674</v>
      </c>
      <c r="I1516" s="35"/>
      <c r="J1516" s="21">
        <f ca="1">_xlfn.XLOOKUP(Master[[#This Row],[Checklist]],Ref!A:A,Ref!B:B)*1000</f>
        <v>144000</v>
      </c>
      <c r="K1516" s="21">
        <f ca="1">COUNTIF($J$2:Master[[#This Row],[ChecklistID]],Master[[#This Row],[ChecklistID]])-1</f>
        <v>1</v>
      </c>
      <c r="L1516" s="23" t="s">
        <v>6</v>
      </c>
    </row>
    <row r="1517" spans="1:12" ht="15.75">
      <c r="A1517" s="23">
        <f t="shared" si="24"/>
        <v>1516</v>
      </c>
      <c r="B1517" s="21">
        <f ca="1">Master[[#This Row],[ChecklistID]]+Master[[#This Row],[Checklist Order]]</f>
        <v>144002</v>
      </c>
      <c r="C1517" s="22"/>
      <c r="D1517" s="3" t="str" cm="1">
        <f t="array" aca="1" ref="D1517" ca="1">_xlfn.SWITCH(MID(Master[[#This Row],[Checklist]],1,4),"C - ","Civil","F - ","Foundation","ST -","Structure","FC -","Façade","PRE ","Pre-Line","POST","Post-Line","H - ","Handover","S - ","Services","CST ","Completion Docs", "I - ", "Inspection")</f>
        <v>Post-Line</v>
      </c>
      <c r="E15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7" s="24" t="str">
        <f ca="1">IF(OR(Master[[#This Row],[Type]]="checklist", Master[[#This Row],[Type]]="checklist-flat"), Master[[#This Row],[Name]], F1516)</f>
        <v>POST - S - Internal Lining - Walls</v>
      </c>
      <c r="G1517" s="34" t="s">
        <v>49</v>
      </c>
      <c r="H1517" s="34" t="s">
        <v>675</v>
      </c>
      <c r="I1517" s="35"/>
      <c r="J1517" s="21">
        <f ca="1">_xlfn.XLOOKUP(Master[[#This Row],[Checklist]],Ref!A:A,Ref!B:B)*1000</f>
        <v>144000</v>
      </c>
      <c r="K1517" s="21">
        <f ca="1">COUNTIF($J$2:Master[[#This Row],[ChecklistID]],Master[[#This Row],[ChecklistID]])-1</f>
        <v>2</v>
      </c>
      <c r="L1517" s="23" t="s">
        <v>6</v>
      </c>
    </row>
    <row r="1518" spans="1:12" ht="15.75">
      <c r="A1518" s="23">
        <f t="shared" si="24"/>
        <v>1517</v>
      </c>
      <c r="B1518" s="21">
        <f ca="1">Master[[#This Row],[ChecklistID]]+Master[[#This Row],[Checklist Order]]</f>
        <v>144003</v>
      </c>
      <c r="C1518" s="22"/>
      <c r="D1518" s="3" t="str" cm="1">
        <f t="array" aca="1" ref="D1518" ca="1">_xlfn.SWITCH(MID(Master[[#This Row],[Checklist]],1,4),"C - ","Civil","F - ","Foundation","ST -","Structure","FC -","Façade","PRE ","Pre-Line","POST","Post-Line","H - ","Handover","S - ","Services","CST ","Completion Docs", "I - ", "Inspection")</f>
        <v>Post-Line</v>
      </c>
      <c r="E15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8" s="24" t="str">
        <f ca="1">IF(OR(Master[[#This Row],[Type]]="checklist", Master[[#This Row],[Type]]="checklist-flat"), Master[[#This Row],[Name]], F1517)</f>
        <v>POST - S - Internal Lining - Walls</v>
      </c>
      <c r="G1518" s="34" t="s">
        <v>124</v>
      </c>
      <c r="H1518" s="34" t="s">
        <v>676</v>
      </c>
      <c r="I1518" s="35"/>
      <c r="J1518" s="21">
        <f ca="1">_xlfn.XLOOKUP(Master[[#This Row],[Checklist]],Ref!A:A,Ref!B:B)*1000</f>
        <v>144000</v>
      </c>
      <c r="K1518" s="21">
        <f ca="1">COUNTIF($J$2:Master[[#This Row],[ChecklistID]],Master[[#This Row],[ChecklistID]])-1</f>
        <v>3</v>
      </c>
      <c r="L1518" s="23" t="s">
        <v>6</v>
      </c>
    </row>
    <row r="1519" spans="1:12" ht="15.75">
      <c r="A1519" s="23">
        <f t="shared" si="24"/>
        <v>1518</v>
      </c>
      <c r="B1519" s="21">
        <f ca="1">Master[[#This Row],[ChecklistID]]+Master[[#This Row],[Checklist Order]]</f>
        <v>144004</v>
      </c>
      <c r="C1519" s="22"/>
      <c r="D1519" s="3" t="str" cm="1">
        <f t="array" aca="1" ref="D1519" ca="1">_xlfn.SWITCH(MID(Master[[#This Row],[Checklist]],1,4),"C - ","Civil","F - ","Foundation","ST -","Structure","FC -","Façade","PRE ","Pre-Line","POST","Post-Line","H - ","Handover","S - ","Services","CST ","Completion Docs", "I - ", "Inspection")</f>
        <v>Post-Line</v>
      </c>
      <c r="E15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19" s="24" t="str">
        <f ca="1">IF(OR(Master[[#This Row],[Type]]="checklist", Master[[#This Row],[Type]]="checklist-flat"), Master[[#This Row],[Name]], F1518)</f>
        <v>POST - S - Internal Lining - Walls</v>
      </c>
      <c r="G1519" s="34" t="s">
        <v>49</v>
      </c>
      <c r="H1519" s="34" t="s">
        <v>677</v>
      </c>
      <c r="I1519" s="35"/>
      <c r="J1519" s="21">
        <f ca="1">_xlfn.XLOOKUP(Master[[#This Row],[Checklist]],Ref!A:A,Ref!B:B)*1000</f>
        <v>144000</v>
      </c>
      <c r="K1519" s="21">
        <f ca="1">COUNTIF($J$2:Master[[#This Row],[ChecklistID]],Master[[#This Row],[ChecklistID]])-1</f>
        <v>4</v>
      </c>
      <c r="L1519" s="23" t="s">
        <v>6</v>
      </c>
    </row>
    <row r="1520" spans="1:12" ht="15.75">
      <c r="A1520" s="23">
        <f t="shared" si="24"/>
        <v>1519</v>
      </c>
      <c r="B1520" s="21">
        <f ca="1">Master[[#This Row],[ChecklistID]]+Master[[#This Row],[Checklist Order]]</f>
        <v>144005</v>
      </c>
      <c r="C1520" s="22"/>
      <c r="D1520" s="3" t="str" cm="1">
        <f t="array" aca="1" ref="D1520" ca="1">_xlfn.SWITCH(MID(Master[[#This Row],[Checklist]],1,4),"C - ","Civil","F - ","Foundation","ST -","Structure","FC -","Façade","PRE ","Pre-Line","POST","Post-Line","H - ","Handover","S - ","Services","CST ","Completion Docs", "I - ", "Inspection")</f>
        <v>Post-Line</v>
      </c>
      <c r="E15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0" s="24" t="str">
        <f ca="1">IF(OR(Master[[#This Row],[Type]]="checklist", Master[[#This Row],[Type]]="checklist-flat"), Master[[#This Row],[Name]], F1519)</f>
        <v>POST - S - Internal Lining - Walls</v>
      </c>
      <c r="G1520" s="34" t="s">
        <v>49</v>
      </c>
      <c r="H1520" s="34" t="s">
        <v>678</v>
      </c>
      <c r="I1520" s="35"/>
      <c r="J1520" s="21">
        <f ca="1">_xlfn.XLOOKUP(Master[[#This Row],[Checklist]],Ref!A:A,Ref!B:B)*1000</f>
        <v>144000</v>
      </c>
      <c r="K1520" s="21">
        <f ca="1">COUNTIF($J$2:Master[[#This Row],[ChecklistID]],Master[[#This Row],[ChecklistID]])-1</f>
        <v>5</v>
      </c>
      <c r="L1520" s="23" t="s">
        <v>6</v>
      </c>
    </row>
    <row r="1521" spans="1:12" ht="15.75">
      <c r="A1521" s="23">
        <f t="shared" si="24"/>
        <v>1520</v>
      </c>
      <c r="B1521" s="21">
        <f ca="1">Master[[#This Row],[ChecklistID]]+Master[[#This Row],[Checklist Order]]</f>
        <v>144006</v>
      </c>
      <c r="C1521" s="22"/>
      <c r="D1521" s="3" t="str" cm="1">
        <f t="array" aca="1" ref="D1521" ca="1">_xlfn.SWITCH(MID(Master[[#This Row],[Checklist]],1,4),"C - ","Civil","F - ","Foundation","ST -","Structure","FC -","Façade","PRE ","Pre-Line","POST","Post-Line","H - ","Handover","S - ","Services","CST ","Completion Docs", "I - ", "Inspection")</f>
        <v>Post-Line</v>
      </c>
      <c r="E15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1" s="24" t="str">
        <f ca="1">IF(OR(Master[[#This Row],[Type]]="checklist", Master[[#This Row],[Type]]="checklist-flat"), Master[[#This Row],[Name]], F1520)</f>
        <v>POST - S - Internal Lining - Walls</v>
      </c>
      <c r="G1521" s="34" t="s">
        <v>49</v>
      </c>
      <c r="H1521" s="34" t="s">
        <v>679</v>
      </c>
      <c r="I1521" s="35"/>
      <c r="J1521" s="21">
        <f ca="1">_xlfn.XLOOKUP(Master[[#This Row],[Checklist]],Ref!A:A,Ref!B:B)*1000</f>
        <v>144000</v>
      </c>
      <c r="K1521" s="21">
        <f ca="1">COUNTIF($J$2:Master[[#This Row],[ChecklistID]],Master[[#This Row],[ChecklistID]])-1</f>
        <v>6</v>
      </c>
      <c r="L1521" s="23" t="s">
        <v>6</v>
      </c>
    </row>
    <row r="1522" spans="1:12" ht="15.75">
      <c r="A1522" s="23">
        <f t="shared" si="24"/>
        <v>1521</v>
      </c>
      <c r="B1522" s="21">
        <f ca="1">Master[[#This Row],[ChecklistID]]+Master[[#This Row],[Checklist Order]]</f>
        <v>144007</v>
      </c>
      <c r="C1522" s="22"/>
      <c r="D1522" s="3" t="str" cm="1">
        <f t="array" aca="1" ref="D1522" ca="1">_xlfn.SWITCH(MID(Master[[#This Row],[Checklist]],1,4),"C - ","Civil","F - ","Foundation","ST -","Structure","FC -","Façade","PRE ","Pre-Line","POST","Post-Line","H - ","Handover","S - ","Services","CST ","Completion Docs", "I - ", "Inspection")</f>
        <v>Post-Line</v>
      </c>
      <c r="E15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2" s="24" t="str">
        <f ca="1">IF(OR(Master[[#This Row],[Type]]="checklist", Master[[#This Row],[Type]]="checklist-flat"), Master[[#This Row],[Name]], F1521)</f>
        <v>POST - S - Internal Lining - Walls</v>
      </c>
      <c r="G1522" s="34" t="s">
        <v>49</v>
      </c>
      <c r="H1522" s="34" t="s">
        <v>680</v>
      </c>
      <c r="I1522" s="35"/>
      <c r="J1522" s="21">
        <f ca="1">_xlfn.XLOOKUP(Master[[#This Row],[Checklist]],Ref!A:A,Ref!B:B)*1000</f>
        <v>144000</v>
      </c>
      <c r="K1522" s="21">
        <f ca="1">COUNTIF($J$2:Master[[#This Row],[ChecklistID]],Master[[#This Row],[ChecklistID]])-1</f>
        <v>7</v>
      </c>
      <c r="L1522" s="23" t="s">
        <v>6</v>
      </c>
    </row>
    <row r="1523" spans="1:12" ht="15.75">
      <c r="A1523" s="23">
        <f t="shared" si="24"/>
        <v>1522</v>
      </c>
      <c r="B1523" s="21">
        <f ca="1">Master[[#This Row],[ChecklistID]]+Master[[#This Row],[Checklist Order]]</f>
        <v>144008</v>
      </c>
      <c r="C1523" s="22"/>
      <c r="D1523" s="3" t="str" cm="1">
        <f t="array" aca="1" ref="D1523" ca="1">_xlfn.SWITCH(MID(Master[[#This Row],[Checklist]],1,4),"C - ","Civil","F - ","Foundation","ST -","Structure","FC -","Façade","PRE ","Pre-Line","POST","Post-Line","H - ","Handover","S - ","Services","CST ","Completion Docs", "I - ", "Inspection")</f>
        <v>Post-Line</v>
      </c>
      <c r="E15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3" s="24" t="str">
        <f ca="1">IF(OR(Master[[#This Row],[Type]]="checklist", Master[[#This Row],[Type]]="checklist-flat"), Master[[#This Row],[Name]], F1522)</f>
        <v>POST - S - Internal Lining - Walls</v>
      </c>
      <c r="G1523" s="34" t="s">
        <v>49</v>
      </c>
      <c r="H1523" s="34" t="s">
        <v>57</v>
      </c>
      <c r="I1523" s="35"/>
      <c r="J1523" s="21">
        <f ca="1">_xlfn.XLOOKUP(Master[[#This Row],[Checklist]],Ref!A:A,Ref!B:B)*1000</f>
        <v>144000</v>
      </c>
      <c r="K1523" s="21">
        <f ca="1">COUNTIF($J$2:Master[[#This Row],[ChecklistID]],Master[[#This Row],[ChecklistID]])-1</f>
        <v>8</v>
      </c>
      <c r="L1523" s="23" t="s">
        <v>6</v>
      </c>
    </row>
    <row r="1524" spans="1:12" ht="15.75">
      <c r="A1524" s="23">
        <f t="shared" si="24"/>
        <v>1523</v>
      </c>
      <c r="B1524" s="21">
        <f ca="1">Master[[#This Row],[ChecklistID]]+Master[[#This Row],[Checklist Order]]</f>
        <v>144009</v>
      </c>
      <c r="C1524" s="22"/>
      <c r="D1524" s="3" t="str" cm="1">
        <f t="array" aca="1" ref="D1524" ca="1">_xlfn.SWITCH(MID(Master[[#This Row],[Checklist]],1,4),"C - ","Civil","F - ","Foundation","ST -","Structure","FC -","Façade","PRE ","Pre-Line","POST","Post-Line","H - ","Handover","S - ","Services","CST ","Completion Docs", "I - ", "Inspection")</f>
        <v>Post-Line</v>
      </c>
      <c r="E15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4" s="24" t="str">
        <f ca="1">IF(OR(Master[[#This Row],[Type]]="checklist", Master[[#This Row],[Type]]="checklist-flat"), Master[[#This Row],[Name]], F1523)</f>
        <v>POST - S - Internal Lining - Walls</v>
      </c>
      <c r="G1524" s="34" t="s">
        <v>58</v>
      </c>
      <c r="H1524" s="34" t="s">
        <v>59</v>
      </c>
      <c r="I1524" s="35"/>
      <c r="J1524" s="21">
        <f ca="1">_xlfn.XLOOKUP(Master[[#This Row],[Checklist]],Ref!A:A,Ref!B:B)*1000</f>
        <v>144000</v>
      </c>
      <c r="K1524" s="21">
        <f ca="1">COUNTIF($J$2:Master[[#This Row],[ChecklistID]],Master[[#This Row],[ChecklistID]])-1</f>
        <v>9</v>
      </c>
      <c r="L1524" s="23" t="s">
        <v>6</v>
      </c>
    </row>
    <row r="1525" spans="1:12" ht="15.75">
      <c r="A1525" s="23">
        <f t="shared" si="24"/>
        <v>1524</v>
      </c>
      <c r="B1525" s="21">
        <f ca="1">Master[[#This Row],[ChecklistID]]+Master[[#This Row],[Checklist Order]]</f>
        <v>145000</v>
      </c>
      <c r="C1525" s="22"/>
      <c r="D1525" s="3" t="str" cm="1">
        <f t="array" aca="1" ref="D1525" ca="1">_xlfn.SWITCH(MID(Master[[#This Row],[Checklist]],1,4),"C - ","Civil","F - ","Foundation","ST -","Structure","FC -","Façade","PRE ","Pre-Line","POST","Post-Line","H - ","Handover","S - ","Services","CST ","Completion Docs", "I - ", "Inspection")</f>
        <v>Post-Line</v>
      </c>
      <c r="E15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5" s="24" t="str">
        <f ca="1">IF(OR(Master[[#This Row],[Type]]="checklist", Master[[#This Row],[Type]]="checklist-flat"), Master[[#This Row],[Name]], F1524)</f>
        <v>POST - S - Internal Lining - Ceilings</v>
      </c>
      <c r="G1525" s="34" t="s">
        <v>48</v>
      </c>
      <c r="H1525" s="34" t="s">
        <v>681</v>
      </c>
      <c r="I1525" s="35"/>
      <c r="J1525" s="21">
        <f ca="1">_xlfn.XLOOKUP(Master[[#This Row],[Checklist]],Ref!A:A,Ref!B:B)*1000</f>
        <v>145000</v>
      </c>
      <c r="K1525" s="21">
        <f ca="1">COUNTIF($J$2:Master[[#This Row],[ChecklistID]],Master[[#This Row],[ChecklistID]])-1</f>
        <v>0</v>
      </c>
      <c r="L1525" s="23" t="s">
        <v>6</v>
      </c>
    </row>
    <row r="1526" spans="1:12" ht="15.75">
      <c r="A1526" s="23">
        <f t="shared" si="24"/>
        <v>1525</v>
      </c>
      <c r="B1526" s="21">
        <f ca="1">Master[[#This Row],[ChecklistID]]+Master[[#This Row],[Checklist Order]]</f>
        <v>145001</v>
      </c>
      <c r="C1526" s="22"/>
      <c r="D1526" s="3" t="str" cm="1">
        <f t="array" aca="1" ref="D1526" ca="1">_xlfn.SWITCH(MID(Master[[#This Row],[Checklist]],1,4),"C - ","Civil","F - ","Foundation","ST -","Structure","FC -","Façade","PRE ","Pre-Line","POST","Post-Line","H - ","Handover","S - ","Services","CST ","Completion Docs", "I - ", "Inspection")</f>
        <v>Post-Line</v>
      </c>
      <c r="E15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6" s="24" t="str">
        <f ca="1">IF(OR(Master[[#This Row],[Type]]="checklist", Master[[#This Row],[Type]]="checklist-flat"), Master[[#This Row],[Name]], F1525)</f>
        <v>POST - S - Internal Lining - Ceilings</v>
      </c>
      <c r="G1526" s="34" t="s">
        <v>49</v>
      </c>
      <c r="H1526" s="34" t="s">
        <v>674</v>
      </c>
      <c r="I1526" s="35"/>
      <c r="J1526" s="21">
        <f ca="1">_xlfn.XLOOKUP(Master[[#This Row],[Checklist]],Ref!A:A,Ref!B:B)*1000</f>
        <v>145000</v>
      </c>
      <c r="K1526" s="21">
        <f ca="1">COUNTIF($J$2:Master[[#This Row],[ChecklistID]],Master[[#This Row],[ChecklistID]])-1</f>
        <v>1</v>
      </c>
      <c r="L1526" s="23" t="s">
        <v>6</v>
      </c>
    </row>
    <row r="1527" spans="1:12" ht="15.75">
      <c r="A1527" s="23">
        <f t="shared" si="24"/>
        <v>1526</v>
      </c>
      <c r="B1527" s="21">
        <f ca="1">Master[[#This Row],[ChecklistID]]+Master[[#This Row],[Checklist Order]]</f>
        <v>145002</v>
      </c>
      <c r="C1527" s="22"/>
      <c r="D1527" s="3" t="str" cm="1">
        <f t="array" aca="1" ref="D1527" ca="1">_xlfn.SWITCH(MID(Master[[#This Row],[Checklist]],1,4),"C - ","Civil","F - ","Foundation","ST -","Structure","FC -","Façade","PRE ","Pre-Line","POST","Post-Line","H - ","Handover","S - ","Services","CST ","Completion Docs", "I - ", "Inspection")</f>
        <v>Post-Line</v>
      </c>
      <c r="E15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7" s="24" t="str">
        <f ca="1">IF(OR(Master[[#This Row],[Type]]="checklist", Master[[#This Row],[Type]]="checklist-flat"), Master[[#This Row],[Name]], F1526)</f>
        <v>POST - S - Internal Lining - Ceilings</v>
      </c>
      <c r="G1527" s="34" t="s">
        <v>49</v>
      </c>
      <c r="H1527" s="34" t="s">
        <v>675</v>
      </c>
      <c r="I1527" s="35"/>
      <c r="J1527" s="21">
        <f ca="1">_xlfn.XLOOKUP(Master[[#This Row],[Checklist]],Ref!A:A,Ref!B:B)*1000</f>
        <v>145000</v>
      </c>
      <c r="K1527" s="21">
        <f ca="1">COUNTIF($J$2:Master[[#This Row],[ChecklistID]],Master[[#This Row],[ChecklistID]])-1</f>
        <v>2</v>
      </c>
      <c r="L1527" s="23" t="s">
        <v>6</v>
      </c>
    </row>
    <row r="1528" spans="1:12" ht="15.75">
      <c r="A1528" s="23">
        <f t="shared" si="24"/>
        <v>1527</v>
      </c>
      <c r="B1528" s="21">
        <f ca="1">Master[[#This Row],[ChecklistID]]+Master[[#This Row],[Checklist Order]]</f>
        <v>145003</v>
      </c>
      <c r="C1528" s="22"/>
      <c r="D1528" s="3" t="str" cm="1">
        <f t="array" aca="1" ref="D1528" ca="1">_xlfn.SWITCH(MID(Master[[#This Row],[Checklist]],1,4),"C - ","Civil","F - ","Foundation","ST -","Structure","FC -","Façade","PRE ","Pre-Line","POST","Post-Line","H - ","Handover","S - ","Services","CST ","Completion Docs", "I - ", "Inspection")</f>
        <v>Post-Line</v>
      </c>
      <c r="E15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8" s="24" t="str">
        <f ca="1">IF(OR(Master[[#This Row],[Type]]="checklist", Master[[#This Row],[Type]]="checklist-flat"), Master[[#This Row],[Name]], F1527)</f>
        <v>POST - S - Internal Lining - Ceilings</v>
      </c>
      <c r="G1528" s="34" t="s">
        <v>49</v>
      </c>
      <c r="H1528" s="34" t="s">
        <v>682</v>
      </c>
      <c r="I1528" s="35"/>
      <c r="J1528" s="21">
        <f ca="1">_xlfn.XLOOKUP(Master[[#This Row],[Checklist]],Ref!A:A,Ref!B:B)*1000</f>
        <v>145000</v>
      </c>
      <c r="K1528" s="21">
        <f ca="1">COUNTIF($J$2:Master[[#This Row],[ChecklistID]],Master[[#This Row],[ChecklistID]])-1</f>
        <v>3</v>
      </c>
      <c r="L1528" s="23" t="s">
        <v>6</v>
      </c>
    </row>
    <row r="1529" spans="1:12" ht="15.75">
      <c r="A1529" s="23">
        <f t="shared" si="24"/>
        <v>1528</v>
      </c>
      <c r="B1529" s="21">
        <f ca="1">Master[[#This Row],[ChecklistID]]+Master[[#This Row],[Checklist Order]]</f>
        <v>145004</v>
      </c>
      <c r="C1529" s="22"/>
      <c r="D1529" s="3" t="str" cm="1">
        <f t="array" aca="1" ref="D1529" ca="1">_xlfn.SWITCH(MID(Master[[#This Row],[Checklist]],1,4),"C - ","Civil","F - ","Foundation","ST -","Structure","FC -","Façade","PRE ","Pre-Line","POST","Post-Line","H - ","Handover","S - ","Services","CST ","Completion Docs", "I - ", "Inspection")</f>
        <v>Post-Line</v>
      </c>
      <c r="E15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29" s="24" t="str">
        <f ca="1">IF(OR(Master[[#This Row],[Type]]="checklist", Master[[#This Row],[Type]]="checklist-flat"), Master[[#This Row],[Name]], F1528)</f>
        <v>POST - S - Internal Lining - Ceilings</v>
      </c>
      <c r="G1529" s="34" t="s">
        <v>49</v>
      </c>
      <c r="H1529" s="34" t="s">
        <v>678</v>
      </c>
      <c r="I1529" s="35"/>
      <c r="J1529" s="21">
        <f ca="1">_xlfn.XLOOKUP(Master[[#This Row],[Checklist]],Ref!A:A,Ref!B:B)*1000</f>
        <v>145000</v>
      </c>
      <c r="K1529" s="21">
        <f ca="1">COUNTIF($J$2:Master[[#This Row],[ChecklistID]],Master[[#This Row],[ChecklistID]])-1</f>
        <v>4</v>
      </c>
      <c r="L1529" s="23" t="s">
        <v>6</v>
      </c>
    </row>
    <row r="1530" spans="1:12" ht="15.75">
      <c r="A1530" s="23">
        <f t="shared" si="24"/>
        <v>1529</v>
      </c>
      <c r="B1530" s="21">
        <f ca="1">Master[[#This Row],[ChecklistID]]+Master[[#This Row],[Checklist Order]]</f>
        <v>145005</v>
      </c>
      <c r="C1530" s="22"/>
      <c r="D1530" s="3" t="str" cm="1">
        <f t="array" aca="1" ref="D1530" ca="1">_xlfn.SWITCH(MID(Master[[#This Row],[Checklist]],1,4),"C - ","Civil","F - ","Foundation","ST -","Structure","FC -","Façade","PRE ","Pre-Line","POST","Post-Line","H - ","Handover","S - ","Services","CST ","Completion Docs", "I - ", "Inspection")</f>
        <v>Post-Line</v>
      </c>
      <c r="E15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0" s="24" t="str">
        <f ca="1">IF(OR(Master[[#This Row],[Type]]="checklist", Master[[#This Row],[Type]]="checklist-flat"), Master[[#This Row],[Name]], F1529)</f>
        <v>POST - S - Internal Lining - Ceilings</v>
      </c>
      <c r="G1530" s="34" t="s">
        <v>49</v>
      </c>
      <c r="H1530" s="34" t="s">
        <v>679</v>
      </c>
      <c r="I1530" s="35"/>
      <c r="J1530" s="21">
        <f ca="1">_xlfn.XLOOKUP(Master[[#This Row],[Checklist]],Ref!A:A,Ref!B:B)*1000</f>
        <v>145000</v>
      </c>
      <c r="K1530" s="21">
        <f ca="1">COUNTIF($J$2:Master[[#This Row],[ChecklistID]],Master[[#This Row],[ChecklistID]])-1</f>
        <v>5</v>
      </c>
      <c r="L1530" s="23" t="s">
        <v>6</v>
      </c>
    </row>
    <row r="1531" spans="1:12" ht="15.75">
      <c r="A1531" s="23">
        <f t="shared" si="24"/>
        <v>1530</v>
      </c>
      <c r="B1531" s="21">
        <f ca="1">Master[[#This Row],[ChecklistID]]+Master[[#This Row],[Checklist Order]]</f>
        <v>145006</v>
      </c>
      <c r="C1531" s="22"/>
      <c r="D1531" s="3" t="str" cm="1">
        <f t="array" aca="1" ref="D1531" ca="1">_xlfn.SWITCH(MID(Master[[#This Row],[Checklist]],1,4),"C - ","Civil","F - ","Foundation","ST -","Structure","FC -","Façade","PRE ","Pre-Line","POST","Post-Line","H - ","Handover","S - ","Services","CST ","Completion Docs", "I - ", "Inspection")</f>
        <v>Post-Line</v>
      </c>
      <c r="E15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1" s="24" t="str">
        <f ca="1">IF(OR(Master[[#This Row],[Type]]="checklist", Master[[#This Row],[Type]]="checklist-flat"), Master[[#This Row],[Name]], F1530)</f>
        <v>POST - S - Internal Lining - Ceilings</v>
      </c>
      <c r="G1531" s="34" t="s">
        <v>49</v>
      </c>
      <c r="H1531" s="34" t="s">
        <v>683</v>
      </c>
      <c r="I1531" s="35"/>
      <c r="J1531" s="21">
        <f ca="1">_xlfn.XLOOKUP(Master[[#This Row],[Checklist]],Ref!A:A,Ref!B:B)*1000</f>
        <v>145000</v>
      </c>
      <c r="K1531" s="21">
        <f ca="1">COUNTIF($J$2:Master[[#This Row],[ChecklistID]],Master[[#This Row],[ChecklistID]])-1</f>
        <v>6</v>
      </c>
      <c r="L1531" s="23" t="s">
        <v>6</v>
      </c>
    </row>
    <row r="1532" spans="1:12" ht="15.75">
      <c r="A1532" s="23">
        <f t="shared" si="24"/>
        <v>1531</v>
      </c>
      <c r="B1532" s="21">
        <f ca="1">Master[[#This Row],[ChecklistID]]+Master[[#This Row],[Checklist Order]]</f>
        <v>145007</v>
      </c>
      <c r="C1532" s="22"/>
      <c r="D1532" s="3" t="str" cm="1">
        <f t="array" aca="1" ref="D1532" ca="1">_xlfn.SWITCH(MID(Master[[#This Row],[Checklist]],1,4),"C - ","Civil","F - ","Foundation","ST -","Structure","FC -","Façade","PRE ","Pre-Line","POST","Post-Line","H - ","Handover","S - ","Services","CST ","Completion Docs", "I - ", "Inspection")</f>
        <v>Post-Line</v>
      </c>
      <c r="E15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2" s="24" t="str">
        <f ca="1">IF(OR(Master[[#This Row],[Type]]="checklist", Master[[#This Row],[Type]]="checklist-flat"), Master[[#This Row],[Name]], F1531)</f>
        <v>POST - S - Internal Lining - Ceilings</v>
      </c>
      <c r="G1532" s="34" t="s">
        <v>49</v>
      </c>
      <c r="H1532" s="34" t="s">
        <v>57</v>
      </c>
      <c r="I1532" s="35"/>
      <c r="J1532" s="21">
        <f ca="1">_xlfn.XLOOKUP(Master[[#This Row],[Checklist]],Ref!A:A,Ref!B:B)*1000</f>
        <v>145000</v>
      </c>
      <c r="K1532" s="21">
        <f ca="1">COUNTIF($J$2:Master[[#This Row],[ChecklistID]],Master[[#This Row],[ChecklistID]])-1</f>
        <v>7</v>
      </c>
      <c r="L1532" s="23" t="s">
        <v>6</v>
      </c>
    </row>
    <row r="1533" spans="1:12" ht="15.75">
      <c r="A1533" s="23">
        <f t="shared" si="24"/>
        <v>1532</v>
      </c>
      <c r="B1533" s="21">
        <f ca="1">Master[[#This Row],[ChecklistID]]+Master[[#This Row],[Checklist Order]]</f>
        <v>145008</v>
      </c>
      <c r="C1533" s="22"/>
      <c r="D1533" s="3" t="str" cm="1">
        <f t="array" aca="1" ref="D1533" ca="1">_xlfn.SWITCH(MID(Master[[#This Row],[Checklist]],1,4),"C - ","Civil","F - ","Foundation","ST -","Structure","FC -","Façade","PRE ","Pre-Line","POST","Post-Line","H - ","Handover","S - ","Services","CST ","Completion Docs", "I - ", "Inspection")</f>
        <v>Post-Line</v>
      </c>
      <c r="E15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3" s="24" t="str">
        <f ca="1">IF(OR(Master[[#This Row],[Type]]="checklist", Master[[#This Row],[Type]]="checklist-flat"), Master[[#This Row],[Name]], F1532)</f>
        <v>POST - S - Internal Lining - Ceilings</v>
      </c>
      <c r="G1533" s="34" t="s">
        <v>58</v>
      </c>
      <c r="H1533" s="34" t="s">
        <v>59</v>
      </c>
      <c r="I1533" s="35"/>
      <c r="J1533" s="21">
        <f ca="1">_xlfn.XLOOKUP(Master[[#This Row],[Checklist]],Ref!A:A,Ref!B:B)*1000</f>
        <v>145000</v>
      </c>
      <c r="K1533" s="21">
        <f ca="1">COUNTIF($J$2:Master[[#This Row],[ChecklistID]],Master[[#This Row],[ChecklistID]])-1</f>
        <v>8</v>
      </c>
      <c r="L1533" s="23" t="s">
        <v>6</v>
      </c>
    </row>
    <row r="1534" spans="1:12" ht="15.75">
      <c r="A1534" s="23">
        <f t="shared" si="24"/>
        <v>1533</v>
      </c>
      <c r="B1534" s="21">
        <f ca="1">Master[[#This Row],[ChecklistID]]+Master[[#This Row],[Checklist Order]]</f>
        <v>146000</v>
      </c>
      <c r="C1534" s="22"/>
      <c r="D1534" s="3" t="str" cm="1">
        <f t="array" aca="1" ref="D1534" ca="1">_xlfn.SWITCH(MID(Master[[#This Row],[Checklist]],1,4),"C - ","Civil","F - ","Foundation","ST -","Structure","FC -","Façade","PRE ","Pre-Line","POST","Post-Line","H - ","Handover","S - ","Services","CST ","Completion Docs", "I - ", "Inspection")</f>
        <v>Services</v>
      </c>
      <c r="E15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4" s="24" t="str">
        <f ca="1">IF(OR(Master[[#This Row],[Type]]="checklist", Master[[#This Row],[Type]]="checklist-flat"), Master[[#This Row],[Name]], F1533)</f>
        <v>S - S - Air conditioning</v>
      </c>
      <c r="G1534" s="34" t="s">
        <v>119</v>
      </c>
      <c r="H1534" s="34" t="s">
        <v>684</v>
      </c>
      <c r="I1534" s="35"/>
      <c r="J1534" s="21">
        <f ca="1">_xlfn.XLOOKUP(Master[[#This Row],[Checklist]],Ref!A:A,Ref!B:B)*1000</f>
        <v>146000</v>
      </c>
      <c r="K1534" s="21">
        <f ca="1">COUNTIF($J$2:Master[[#This Row],[ChecklistID]],Master[[#This Row],[ChecklistID]])-1</f>
        <v>0</v>
      </c>
      <c r="L1534" s="23" t="s">
        <v>6</v>
      </c>
    </row>
    <row r="1535" spans="1:12" ht="15.75">
      <c r="A1535" s="23">
        <f t="shared" si="24"/>
        <v>1534</v>
      </c>
      <c r="B1535" s="21">
        <f ca="1">Master[[#This Row],[ChecklistID]]+Master[[#This Row],[Checklist Order]]</f>
        <v>146001</v>
      </c>
      <c r="C1535" s="22"/>
      <c r="D1535" s="3" t="str" cm="1">
        <f t="array" aca="1" ref="D1535" ca="1">_xlfn.SWITCH(MID(Master[[#This Row],[Checklist]],1,4),"C - ","Civil","F - ","Foundation","ST -","Structure","FC -","Façade","PRE ","Pre-Line","POST","Post-Line","H - ","Handover","S - ","Services","CST ","Completion Docs", "I - ", "Inspection")</f>
        <v>Services</v>
      </c>
      <c r="E15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5" s="24" t="str">
        <f ca="1">IF(OR(Master[[#This Row],[Type]]="checklist", Master[[#This Row],[Type]]="checklist-flat"), Master[[#This Row],[Name]], F1534)</f>
        <v>S - S - Air conditioning</v>
      </c>
      <c r="G1535" s="34" t="s">
        <v>120</v>
      </c>
      <c r="H1535" s="34" t="s">
        <v>685</v>
      </c>
      <c r="I1535" s="35"/>
      <c r="J1535" s="21">
        <f ca="1">_xlfn.XLOOKUP(Master[[#This Row],[Checklist]],Ref!A:A,Ref!B:B)*1000</f>
        <v>146000</v>
      </c>
      <c r="K1535" s="21">
        <f ca="1">COUNTIF($J$2:Master[[#This Row],[ChecklistID]],Master[[#This Row],[ChecklistID]])-1</f>
        <v>1</v>
      </c>
      <c r="L1535" s="23" t="s">
        <v>6</v>
      </c>
    </row>
    <row r="1536" spans="1:12" ht="15.75">
      <c r="A1536" s="23">
        <f t="shared" si="24"/>
        <v>1535</v>
      </c>
      <c r="B1536" s="21">
        <f ca="1">Master[[#This Row],[ChecklistID]]+Master[[#This Row],[Checklist Order]]</f>
        <v>146002</v>
      </c>
      <c r="C1536" s="22"/>
      <c r="D1536" s="3" t="str" cm="1">
        <f t="array" aca="1" ref="D1536" ca="1">_xlfn.SWITCH(MID(Master[[#This Row],[Checklist]],1,4),"C - ","Civil","F - ","Foundation","ST -","Structure","FC -","Façade","PRE ","Pre-Line","POST","Post-Line","H - ","Handover","S - ","Services","CST ","Completion Docs", "I - ", "Inspection")</f>
        <v>Services</v>
      </c>
      <c r="E15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6" s="24" t="str">
        <f ca="1">IF(OR(Master[[#This Row],[Type]]="checklist", Master[[#This Row],[Type]]="checklist-flat"), Master[[#This Row],[Name]], F1535)</f>
        <v>S - S - Air conditioning</v>
      </c>
      <c r="G1536" s="34" t="s">
        <v>49</v>
      </c>
      <c r="H1536" s="34" t="s">
        <v>686</v>
      </c>
      <c r="I1536" s="35"/>
      <c r="J1536" s="21">
        <f ca="1">_xlfn.XLOOKUP(Master[[#This Row],[Checklist]],Ref!A:A,Ref!B:B)*1000</f>
        <v>146000</v>
      </c>
      <c r="K1536" s="21">
        <f ca="1">COUNTIF($J$2:Master[[#This Row],[ChecklistID]],Master[[#This Row],[ChecklistID]])-1</f>
        <v>2</v>
      </c>
      <c r="L1536" s="23" t="s">
        <v>6</v>
      </c>
    </row>
    <row r="1537" spans="1:12" ht="15.75">
      <c r="A1537" s="23">
        <f t="shared" si="24"/>
        <v>1536</v>
      </c>
      <c r="B1537" s="21">
        <f ca="1">Master[[#This Row],[ChecklistID]]+Master[[#This Row],[Checklist Order]]</f>
        <v>146003</v>
      </c>
      <c r="C1537" s="22"/>
      <c r="D1537" s="3" t="str" cm="1">
        <f t="array" aca="1" ref="D1537" ca="1">_xlfn.SWITCH(MID(Master[[#This Row],[Checklist]],1,4),"C - ","Civil","F - ","Foundation","ST -","Structure","FC -","Façade","PRE ","Pre-Line","POST","Post-Line","H - ","Handover","S - ","Services","CST ","Completion Docs", "I - ", "Inspection")</f>
        <v>Services</v>
      </c>
      <c r="E15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7" s="24" t="str">
        <f ca="1">IF(OR(Master[[#This Row],[Type]]="checklist", Master[[#This Row],[Type]]="checklist-flat"), Master[[#This Row],[Name]], F1536)</f>
        <v>S - S - Air conditioning</v>
      </c>
      <c r="G1537" s="34" t="s">
        <v>49</v>
      </c>
      <c r="H1537" s="34" t="s">
        <v>687</v>
      </c>
      <c r="I1537" s="35"/>
      <c r="J1537" s="21">
        <f ca="1">_xlfn.XLOOKUP(Master[[#This Row],[Checklist]],Ref!A:A,Ref!B:B)*1000</f>
        <v>146000</v>
      </c>
      <c r="K1537" s="21">
        <f ca="1">COUNTIF($J$2:Master[[#This Row],[ChecklistID]],Master[[#This Row],[ChecklistID]])-1</f>
        <v>3</v>
      </c>
      <c r="L1537" s="23" t="s">
        <v>6</v>
      </c>
    </row>
    <row r="1538" spans="1:12" ht="15.75">
      <c r="A1538" s="23">
        <f t="shared" si="24"/>
        <v>1537</v>
      </c>
      <c r="B1538" s="21">
        <f ca="1">Master[[#This Row],[ChecklistID]]+Master[[#This Row],[Checklist Order]]</f>
        <v>146004</v>
      </c>
      <c r="C1538" s="22"/>
      <c r="D1538" s="3" t="str" cm="1">
        <f t="array" aca="1" ref="D1538" ca="1">_xlfn.SWITCH(MID(Master[[#This Row],[Checklist]],1,4),"C - ","Civil","F - ","Foundation","ST -","Structure","FC -","Façade","PRE ","Pre-Line","POST","Post-Line","H - ","Handover","S - ","Services","CST ","Completion Docs", "I - ", "Inspection")</f>
        <v>Services</v>
      </c>
      <c r="E15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8" s="24" t="str">
        <f ca="1">IF(OR(Master[[#This Row],[Type]]="checklist", Master[[#This Row],[Type]]="checklist-flat"), Master[[#This Row],[Name]], F1537)</f>
        <v>S - S - Air conditioning</v>
      </c>
      <c r="G1538" s="34" t="s">
        <v>49</v>
      </c>
      <c r="H1538" s="34" t="s">
        <v>688</v>
      </c>
      <c r="I1538" s="35"/>
      <c r="J1538" s="21">
        <f ca="1">_xlfn.XLOOKUP(Master[[#This Row],[Checklist]],Ref!A:A,Ref!B:B)*1000</f>
        <v>146000</v>
      </c>
      <c r="K1538" s="21">
        <f ca="1">COUNTIF($J$2:Master[[#This Row],[ChecklistID]],Master[[#This Row],[ChecklistID]])-1</f>
        <v>4</v>
      </c>
      <c r="L1538" s="23" t="s">
        <v>6</v>
      </c>
    </row>
    <row r="1539" spans="1:12" ht="15.75">
      <c r="A1539" s="23">
        <f t="shared" si="24"/>
        <v>1538</v>
      </c>
      <c r="B1539" s="21">
        <f ca="1">Master[[#This Row],[ChecklistID]]+Master[[#This Row],[Checklist Order]]</f>
        <v>146005</v>
      </c>
      <c r="C1539" s="22"/>
      <c r="D1539" s="3" t="str" cm="1">
        <f t="array" aca="1" ref="D1539" ca="1">_xlfn.SWITCH(MID(Master[[#This Row],[Checklist]],1,4),"C - ","Civil","F - ","Foundation","ST -","Structure","FC -","Façade","PRE ","Pre-Line","POST","Post-Line","H - ","Handover","S - ","Services","CST ","Completion Docs", "I - ", "Inspection")</f>
        <v>Services</v>
      </c>
      <c r="E15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39" s="24" t="str">
        <f ca="1">IF(OR(Master[[#This Row],[Type]]="checklist", Master[[#This Row],[Type]]="checklist-flat"), Master[[#This Row],[Name]], F1538)</f>
        <v>S - S - Air conditioning</v>
      </c>
      <c r="G1539" s="34" t="s">
        <v>49</v>
      </c>
      <c r="H1539" s="34" t="s">
        <v>689</v>
      </c>
      <c r="I1539" s="35"/>
      <c r="J1539" s="21">
        <f ca="1">_xlfn.XLOOKUP(Master[[#This Row],[Checklist]],Ref!A:A,Ref!B:B)*1000</f>
        <v>146000</v>
      </c>
      <c r="K1539" s="21">
        <f ca="1">COUNTIF($J$2:Master[[#This Row],[ChecklistID]],Master[[#This Row],[ChecklistID]])-1</f>
        <v>5</v>
      </c>
      <c r="L1539" s="23" t="s">
        <v>6</v>
      </c>
    </row>
    <row r="1540" spans="1:12" ht="15.75">
      <c r="A1540" s="23">
        <f t="shared" si="24"/>
        <v>1539</v>
      </c>
      <c r="B1540" s="21">
        <f ca="1">Master[[#This Row],[ChecklistID]]+Master[[#This Row],[Checklist Order]]</f>
        <v>146006</v>
      </c>
      <c r="C1540" s="22"/>
      <c r="D1540" s="3" t="str" cm="1">
        <f t="array" aca="1" ref="D1540" ca="1">_xlfn.SWITCH(MID(Master[[#This Row],[Checklist]],1,4),"C - ","Civil","F - ","Foundation","ST -","Structure","FC -","Façade","PRE ","Pre-Line","POST","Post-Line","H - ","Handover","S - ","Services","CST ","Completion Docs", "I - ", "Inspection")</f>
        <v>Services</v>
      </c>
      <c r="E15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0" s="24" t="str">
        <f ca="1">IF(OR(Master[[#This Row],[Type]]="checklist", Master[[#This Row],[Type]]="checklist-flat"), Master[[#This Row],[Name]], F1539)</f>
        <v>S - S - Air conditioning</v>
      </c>
      <c r="G1540" s="34" t="s">
        <v>120</v>
      </c>
      <c r="H1540" s="34" t="s">
        <v>690</v>
      </c>
      <c r="I1540" s="35"/>
      <c r="J1540" s="21">
        <f ca="1">_xlfn.XLOOKUP(Master[[#This Row],[Checklist]],Ref!A:A,Ref!B:B)*1000</f>
        <v>146000</v>
      </c>
      <c r="K1540" s="21">
        <f ca="1">COUNTIF($J$2:Master[[#This Row],[ChecklistID]],Master[[#This Row],[ChecklistID]])-1</f>
        <v>6</v>
      </c>
      <c r="L1540" s="23" t="s">
        <v>6</v>
      </c>
    </row>
    <row r="1541" spans="1:12" ht="15.75">
      <c r="A1541" s="23">
        <f t="shared" si="24"/>
        <v>1540</v>
      </c>
      <c r="B1541" s="21">
        <f ca="1">Master[[#This Row],[ChecklistID]]+Master[[#This Row],[Checklist Order]]</f>
        <v>146007</v>
      </c>
      <c r="C1541" s="22"/>
      <c r="D1541" s="3" t="str" cm="1">
        <f t="array" aca="1" ref="D1541" ca="1">_xlfn.SWITCH(MID(Master[[#This Row],[Checklist]],1,4),"C - ","Civil","F - ","Foundation","ST -","Structure","FC -","Façade","PRE ","Pre-Line","POST","Post-Line","H - ","Handover","S - ","Services","CST ","Completion Docs", "I - ", "Inspection")</f>
        <v>Services</v>
      </c>
      <c r="E15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1" s="24" t="str">
        <f ca="1">IF(OR(Master[[#This Row],[Type]]="checklist", Master[[#This Row],[Type]]="checklist-flat"), Master[[#This Row],[Name]], F1540)</f>
        <v>S - S - Air conditioning</v>
      </c>
      <c r="G1541" s="34" t="s">
        <v>49</v>
      </c>
      <c r="H1541" s="34" t="s">
        <v>691</v>
      </c>
      <c r="I1541" s="35"/>
      <c r="J1541" s="21">
        <f ca="1">_xlfn.XLOOKUP(Master[[#This Row],[Checklist]],Ref!A:A,Ref!B:B)*1000</f>
        <v>146000</v>
      </c>
      <c r="K1541" s="21">
        <f ca="1">COUNTIF($J$2:Master[[#This Row],[ChecklistID]],Master[[#This Row],[ChecklistID]])-1</f>
        <v>7</v>
      </c>
      <c r="L1541" s="23" t="s">
        <v>6</v>
      </c>
    </row>
    <row r="1542" spans="1:12" ht="15.75">
      <c r="A1542" s="23">
        <f t="shared" si="24"/>
        <v>1541</v>
      </c>
      <c r="B1542" s="21">
        <f ca="1">Master[[#This Row],[ChecklistID]]+Master[[#This Row],[Checklist Order]]</f>
        <v>146008</v>
      </c>
      <c r="C1542" s="22"/>
      <c r="D1542" s="3" t="str" cm="1">
        <f t="array" aca="1" ref="D1542" ca="1">_xlfn.SWITCH(MID(Master[[#This Row],[Checklist]],1,4),"C - ","Civil","F - ","Foundation","ST -","Structure","FC -","Façade","PRE ","Pre-Line","POST","Post-Line","H - ","Handover","S - ","Services","CST ","Completion Docs", "I - ", "Inspection")</f>
        <v>Services</v>
      </c>
      <c r="E15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2" s="24" t="str">
        <f ca="1">IF(OR(Master[[#This Row],[Type]]="checklist", Master[[#This Row],[Type]]="checklist-flat"), Master[[#This Row],[Name]], F1541)</f>
        <v>S - S - Air conditioning</v>
      </c>
      <c r="G1542" s="34" t="s">
        <v>49</v>
      </c>
      <c r="H1542" s="34" t="s">
        <v>692</v>
      </c>
      <c r="I1542" s="35"/>
      <c r="J1542" s="21">
        <f ca="1">_xlfn.XLOOKUP(Master[[#This Row],[Checklist]],Ref!A:A,Ref!B:B)*1000</f>
        <v>146000</v>
      </c>
      <c r="K1542" s="21">
        <f ca="1">COUNTIF($J$2:Master[[#This Row],[ChecklistID]],Master[[#This Row],[ChecklistID]])-1</f>
        <v>8</v>
      </c>
      <c r="L1542" s="23" t="s">
        <v>6</v>
      </c>
    </row>
    <row r="1543" spans="1:12" ht="15.75">
      <c r="A1543" s="23">
        <f t="shared" si="24"/>
        <v>1542</v>
      </c>
      <c r="B1543" s="21">
        <f ca="1">Master[[#This Row],[ChecklistID]]+Master[[#This Row],[Checklist Order]]</f>
        <v>146009</v>
      </c>
      <c r="C1543" s="22"/>
      <c r="D1543" s="3" t="str" cm="1">
        <f t="array" aca="1" ref="D1543" ca="1">_xlfn.SWITCH(MID(Master[[#This Row],[Checklist]],1,4),"C - ","Civil","F - ","Foundation","ST -","Structure","FC -","Façade","PRE ","Pre-Line","POST","Post-Line","H - ","Handover","S - ","Services","CST ","Completion Docs", "I - ", "Inspection")</f>
        <v>Services</v>
      </c>
      <c r="E15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3" s="24" t="str">
        <f ca="1">IF(OR(Master[[#This Row],[Type]]="checklist", Master[[#This Row],[Type]]="checklist-flat"), Master[[#This Row],[Name]], F1542)</f>
        <v>S - S - Air conditioning</v>
      </c>
      <c r="G1543" s="34" t="s">
        <v>49</v>
      </c>
      <c r="H1543" s="34" t="s">
        <v>693</v>
      </c>
      <c r="I1543" s="35"/>
      <c r="J1543" s="21">
        <f ca="1">_xlfn.XLOOKUP(Master[[#This Row],[Checklist]],Ref!A:A,Ref!B:B)*1000</f>
        <v>146000</v>
      </c>
      <c r="K1543" s="21">
        <f ca="1">COUNTIF($J$2:Master[[#This Row],[ChecklistID]],Master[[#This Row],[ChecklistID]])-1</f>
        <v>9</v>
      </c>
      <c r="L1543" s="23" t="s">
        <v>6</v>
      </c>
    </row>
    <row r="1544" spans="1:12" ht="15.75">
      <c r="A1544" s="23">
        <f t="shared" si="24"/>
        <v>1543</v>
      </c>
      <c r="B1544" s="21">
        <f ca="1">Master[[#This Row],[ChecklistID]]+Master[[#This Row],[Checklist Order]]</f>
        <v>146010</v>
      </c>
      <c r="C1544" s="22"/>
      <c r="D1544" s="3" t="str" cm="1">
        <f t="array" aca="1" ref="D1544" ca="1">_xlfn.SWITCH(MID(Master[[#This Row],[Checklist]],1,4),"C - ","Civil","F - ","Foundation","ST -","Structure","FC -","Façade","PRE ","Pre-Line","POST","Post-Line","H - ","Handover","S - ","Services","CST ","Completion Docs", "I - ", "Inspection")</f>
        <v>Services</v>
      </c>
      <c r="E15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4" s="24" t="str">
        <f ca="1">IF(OR(Master[[#This Row],[Type]]="checklist", Master[[#This Row],[Type]]="checklist-flat"), Master[[#This Row],[Name]], F1543)</f>
        <v>S - S - Air conditioning</v>
      </c>
      <c r="G1544" s="34" t="s">
        <v>49</v>
      </c>
      <c r="H1544" s="34" t="s">
        <v>694</v>
      </c>
      <c r="I1544" s="35"/>
      <c r="J1544" s="21">
        <f ca="1">_xlfn.XLOOKUP(Master[[#This Row],[Checklist]],Ref!A:A,Ref!B:B)*1000</f>
        <v>146000</v>
      </c>
      <c r="K1544" s="21">
        <f ca="1">COUNTIF($J$2:Master[[#This Row],[ChecklistID]],Master[[#This Row],[ChecklistID]])-1</f>
        <v>10</v>
      </c>
      <c r="L1544" s="23" t="s">
        <v>6</v>
      </c>
    </row>
    <row r="1545" spans="1:12" ht="15.75">
      <c r="A1545" s="23">
        <f t="shared" si="24"/>
        <v>1544</v>
      </c>
      <c r="B1545" s="21">
        <f ca="1">Master[[#This Row],[ChecklistID]]+Master[[#This Row],[Checklist Order]]</f>
        <v>146011</v>
      </c>
      <c r="C1545" s="22"/>
      <c r="D1545" s="3" t="str" cm="1">
        <f t="array" aca="1" ref="D1545" ca="1">_xlfn.SWITCH(MID(Master[[#This Row],[Checklist]],1,4),"C - ","Civil","F - ","Foundation","ST -","Structure","FC -","Façade","PRE ","Pre-Line","POST","Post-Line","H - ","Handover","S - ","Services","CST ","Completion Docs", "I - ", "Inspection")</f>
        <v>Services</v>
      </c>
      <c r="E15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5" s="24" t="str">
        <f ca="1">IF(OR(Master[[#This Row],[Type]]="checklist", Master[[#This Row],[Type]]="checklist-flat"), Master[[#This Row],[Name]], F1544)</f>
        <v>S - S - Air conditioning</v>
      </c>
      <c r="G1545" s="34" t="s">
        <v>49</v>
      </c>
      <c r="H1545" s="34" t="s">
        <v>695</v>
      </c>
      <c r="I1545" s="35"/>
      <c r="J1545" s="21">
        <f ca="1">_xlfn.XLOOKUP(Master[[#This Row],[Checklist]],Ref!A:A,Ref!B:B)*1000</f>
        <v>146000</v>
      </c>
      <c r="K1545" s="21">
        <f ca="1">COUNTIF($J$2:Master[[#This Row],[ChecklistID]],Master[[#This Row],[ChecklistID]])-1</f>
        <v>11</v>
      </c>
      <c r="L1545" s="23" t="s">
        <v>6</v>
      </c>
    </row>
    <row r="1546" spans="1:12" ht="15.75">
      <c r="A1546" s="23">
        <f t="shared" si="24"/>
        <v>1545</v>
      </c>
      <c r="B1546" s="21">
        <f ca="1">Master[[#This Row],[ChecklistID]]+Master[[#This Row],[Checklist Order]]</f>
        <v>146012</v>
      </c>
      <c r="C1546" s="22"/>
      <c r="D1546" s="3" t="str" cm="1">
        <f t="array" aca="1" ref="D1546" ca="1">_xlfn.SWITCH(MID(Master[[#This Row],[Checklist]],1,4),"C - ","Civil","F - ","Foundation","ST -","Structure","FC -","Façade","PRE ","Pre-Line","POST","Post-Line","H - ","Handover","S - ","Services","CST ","Completion Docs", "I - ", "Inspection")</f>
        <v>Services</v>
      </c>
      <c r="E15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6" s="24" t="str">
        <f ca="1">IF(OR(Master[[#This Row],[Type]]="checklist", Master[[#This Row],[Type]]="checklist-flat"), Master[[#This Row],[Name]], F1545)</f>
        <v>S - S - Air conditioning</v>
      </c>
      <c r="G1546" s="34" t="s">
        <v>49</v>
      </c>
      <c r="H1546" s="34" t="s">
        <v>696</v>
      </c>
      <c r="I1546" s="35"/>
      <c r="J1546" s="21">
        <f ca="1">_xlfn.XLOOKUP(Master[[#This Row],[Checklist]],Ref!A:A,Ref!B:B)*1000</f>
        <v>146000</v>
      </c>
      <c r="K1546" s="21">
        <f ca="1">COUNTIF($J$2:Master[[#This Row],[ChecklistID]],Master[[#This Row],[ChecklistID]])-1</f>
        <v>12</v>
      </c>
      <c r="L1546" s="23" t="s">
        <v>6</v>
      </c>
    </row>
    <row r="1547" spans="1:12" ht="15.75">
      <c r="A1547" s="23">
        <f t="shared" si="24"/>
        <v>1546</v>
      </c>
      <c r="B1547" s="21">
        <f ca="1">Master[[#This Row],[ChecklistID]]+Master[[#This Row],[Checklist Order]]</f>
        <v>146013</v>
      </c>
      <c r="C1547" s="22"/>
      <c r="D1547" s="3" t="str" cm="1">
        <f t="array" aca="1" ref="D1547" ca="1">_xlfn.SWITCH(MID(Master[[#This Row],[Checklist]],1,4),"C - ","Civil","F - ","Foundation","ST -","Structure","FC -","Façade","PRE ","Pre-Line","POST","Post-Line","H - ","Handover","S - ","Services","CST ","Completion Docs", "I - ", "Inspection")</f>
        <v>Services</v>
      </c>
      <c r="E15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7" s="24" t="str">
        <f ca="1">IF(OR(Master[[#This Row],[Type]]="checklist", Master[[#This Row],[Type]]="checklist-flat"), Master[[#This Row],[Name]], F1546)</f>
        <v>S - S - Air conditioning</v>
      </c>
      <c r="G1547" s="34" t="s">
        <v>120</v>
      </c>
      <c r="H1547" s="34" t="s">
        <v>697</v>
      </c>
      <c r="I1547" s="35"/>
      <c r="J1547" s="21">
        <f ca="1">_xlfn.XLOOKUP(Master[[#This Row],[Checklist]],Ref!A:A,Ref!B:B)*1000</f>
        <v>146000</v>
      </c>
      <c r="K1547" s="21">
        <f ca="1">COUNTIF($J$2:Master[[#This Row],[ChecklistID]],Master[[#This Row],[ChecklistID]])-1</f>
        <v>13</v>
      </c>
      <c r="L1547" s="23" t="s">
        <v>6</v>
      </c>
    </row>
    <row r="1548" spans="1:12" ht="15.75">
      <c r="A1548" s="23">
        <f t="shared" si="24"/>
        <v>1547</v>
      </c>
      <c r="B1548" s="21">
        <f ca="1">Master[[#This Row],[ChecklistID]]+Master[[#This Row],[Checklist Order]]</f>
        <v>146014</v>
      </c>
      <c r="C1548" s="22"/>
      <c r="D1548" s="3" t="str" cm="1">
        <f t="array" aca="1" ref="D1548" ca="1">_xlfn.SWITCH(MID(Master[[#This Row],[Checklist]],1,4),"C - ","Civil","F - ","Foundation","ST -","Structure","FC -","Façade","PRE ","Pre-Line","POST","Post-Line","H - ","Handover","S - ","Services","CST ","Completion Docs", "I - ", "Inspection")</f>
        <v>Services</v>
      </c>
      <c r="E15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8" s="24" t="str">
        <f ca="1">IF(OR(Master[[#This Row],[Type]]="checklist", Master[[#This Row],[Type]]="checklist-flat"), Master[[#This Row],[Name]], F1547)</f>
        <v>S - S - Air conditioning</v>
      </c>
      <c r="G1548" s="34" t="s">
        <v>49</v>
      </c>
      <c r="H1548" s="34" t="s">
        <v>698</v>
      </c>
      <c r="I1548" s="35"/>
      <c r="J1548" s="21">
        <f ca="1">_xlfn.XLOOKUP(Master[[#This Row],[Checklist]],Ref!A:A,Ref!B:B)*1000</f>
        <v>146000</v>
      </c>
      <c r="K1548" s="21">
        <f ca="1">COUNTIF($J$2:Master[[#This Row],[ChecklistID]],Master[[#This Row],[ChecklistID]])-1</f>
        <v>14</v>
      </c>
      <c r="L1548" s="23" t="s">
        <v>6</v>
      </c>
    </row>
    <row r="1549" spans="1:12" ht="15.75">
      <c r="A1549" s="23">
        <f t="shared" si="24"/>
        <v>1548</v>
      </c>
      <c r="B1549" s="21">
        <f ca="1">Master[[#This Row],[ChecklistID]]+Master[[#This Row],[Checklist Order]]</f>
        <v>146015</v>
      </c>
      <c r="C1549" s="22"/>
      <c r="D1549" s="3" t="str" cm="1">
        <f t="array" aca="1" ref="D1549" ca="1">_xlfn.SWITCH(MID(Master[[#This Row],[Checklist]],1,4),"C - ","Civil","F - ","Foundation","ST -","Structure","FC -","Façade","PRE ","Pre-Line","POST","Post-Line","H - ","Handover","S - ","Services","CST ","Completion Docs", "I - ", "Inspection")</f>
        <v>Services</v>
      </c>
      <c r="E15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49" s="24" t="str">
        <f ca="1">IF(OR(Master[[#This Row],[Type]]="checklist", Master[[#This Row],[Type]]="checklist-flat"), Master[[#This Row],[Name]], F1548)</f>
        <v>S - S - Air conditioning</v>
      </c>
      <c r="G1549" s="34" t="s">
        <v>49</v>
      </c>
      <c r="H1549" s="34" t="s">
        <v>699</v>
      </c>
      <c r="I1549" s="35"/>
      <c r="J1549" s="21">
        <f ca="1">_xlfn.XLOOKUP(Master[[#This Row],[Checklist]],Ref!A:A,Ref!B:B)*1000</f>
        <v>146000</v>
      </c>
      <c r="K1549" s="21">
        <f ca="1">COUNTIF($J$2:Master[[#This Row],[ChecklistID]],Master[[#This Row],[ChecklistID]])-1</f>
        <v>15</v>
      </c>
      <c r="L1549" s="23" t="s">
        <v>6</v>
      </c>
    </row>
    <row r="1550" spans="1:12" ht="15.75">
      <c r="A1550" s="23">
        <f t="shared" si="24"/>
        <v>1549</v>
      </c>
      <c r="B1550" s="21">
        <f ca="1">Master[[#This Row],[ChecklistID]]+Master[[#This Row],[Checklist Order]]</f>
        <v>146016</v>
      </c>
      <c r="C1550" s="22"/>
      <c r="D1550" s="3" t="str" cm="1">
        <f t="array" aca="1" ref="D1550" ca="1">_xlfn.SWITCH(MID(Master[[#This Row],[Checklist]],1,4),"C - ","Civil","F - ","Foundation","ST -","Structure","FC -","Façade","PRE ","Pre-Line","POST","Post-Line","H - ","Handover","S - ","Services","CST ","Completion Docs", "I - ", "Inspection")</f>
        <v>Services</v>
      </c>
      <c r="E15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0" s="24" t="str">
        <f ca="1">IF(OR(Master[[#This Row],[Type]]="checklist", Master[[#This Row],[Type]]="checklist-flat"), Master[[#This Row],[Name]], F1549)</f>
        <v>S - S - Air conditioning</v>
      </c>
      <c r="G1550" s="34" t="s">
        <v>49</v>
      </c>
      <c r="H1550" s="34" t="s">
        <v>700</v>
      </c>
      <c r="I1550" s="35"/>
      <c r="J1550" s="21">
        <f ca="1">_xlfn.XLOOKUP(Master[[#This Row],[Checklist]],Ref!A:A,Ref!B:B)*1000</f>
        <v>146000</v>
      </c>
      <c r="K1550" s="21">
        <f ca="1">COUNTIF($J$2:Master[[#This Row],[ChecklistID]],Master[[#This Row],[ChecklistID]])-1</f>
        <v>16</v>
      </c>
      <c r="L1550" s="23" t="s">
        <v>6</v>
      </c>
    </row>
    <row r="1551" spans="1:12" ht="15.75">
      <c r="A1551" s="23">
        <f t="shared" si="24"/>
        <v>1550</v>
      </c>
      <c r="B1551" s="21">
        <f ca="1">Master[[#This Row],[ChecklistID]]+Master[[#This Row],[Checklist Order]]</f>
        <v>146017</v>
      </c>
      <c r="C1551" s="22"/>
      <c r="D1551" s="3" t="str" cm="1">
        <f t="array" aca="1" ref="D1551" ca="1">_xlfn.SWITCH(MID(Master[[#This Row],[Checklist]],1,4),"C - ","Civil","F - ","Foundation","ST -","Structure","FC -","Façade","PRE ","Pre-Line","POST","Post-Line","H - ","Handover","S - ","Services","CST ","Completion Docs", "I - ", "Inspection")</f>
        <v>Services</v>
      </c>
      <c r="E15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1" s="24" t="str">
        <f ca="1">IF(OR(Master[[#This Row],[Type]]="checklist", Master[[#This Row],[Type]]="checklist-flat"), Master[[#This Row],[Name]], F1550)</f>
        <v>S - S - Air conditioning</v>
      </c>
      <c r="G1551" s="34" t="s">
        <v>49</v>
      </c>
      <c r="H1551" s="34" t="s">
        <v>701</v>
      </c>
      <c r="I1551" s="35"/>
      <c r="J1551" s="21">
        <f ca="1">_xlfn.XLOOKUP(Master[[#This Row],[Checklist]],Ref!A:A,Ref!B:B)*1000</f>
        <v>146000</v>
      </c>
      <c r="K1551" s="21">
        <f ca="1">COUNTIF($J$2:Master[[#This Row],[ChecklistID]],Master[[#This Row],[ChecklistID]])-1</f>
        <v>17</v>
      </c>
      <c r="L1551" s="23" t="s">
        <v>6</v>
      </c>
    </row>
    <row r="1552" spans="1:12" ht="15.75">
      <c r="A1552" s="23">
        <f t="shared" si="24"/>
        <v>1551</v>
      </c>
      <c r="B1552" s="21">
        <f ca="1">Master[[#This Row],[ChecklistID]]+Master[[#This Row],[Checklist Order]]</f>
        <v>146018</v>
      </c>
      <c r="C1552" s="22"/>
      <c r="D1552" s="3" t="str" cm="1">
        <f t="array" aca="1" ref="D1552" ca="1">_xlfn.SWITCH(MID(Master[[#This Row],[Checklist]],1,4),"C - ","Civil","F - ","Foundation","ST -","Structure","FC -","Façade","PRE ","Pre-Line","POST","Post-Line","H - ","Handover","S - ","Services","CST ","Completion Docs", "I - ", "Inspection")</f>
        <v>Services</v>
      </c>
      <c r="E15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2" s="24" t="str">
        <f ca="1">IF(OR(Master[[#This Row],[Type]]="checklist", Master[[#This Row],[Type]]="checklist-flat"), Master[[#This Row],[Name]], F1551)</f>
        <v>S - S - Air conditioning</v>
      </c>
      <c r="G1552" s="34" t="s">
        <v>49</v>
      </c>
      <c r="H1552" s="34" t="s">
        <v>702</v>
      </c>
      <c r="I1552" s="35"/>
      <c r="J1552" s="21">
        <f ca="1">_xlfn.XLOOKUP(Master[[#This Row],[Checklist]],Ref!A:A,Ref!B:B)*1000</f>
        <v>146000</v>
      </c>
      <c r="K1552" s="21">
        <f ca="1">COUNTIF($J$2:Master[[#This Row],[ChecklistID]],Master[[#This Row],[ChecklistID]])-1</f>
        <v>18</v>
      </c>
      <c r="L1552" s="23" t="s">
        <v>6</v>
      </c>
    </row>
    <row r="1553" spans="1:12" ht="15.75">
      <c r="A1553" s="23">
        <f t="shared" si="24"/>
        <v>1552</v>
      </c>
      <c r="B1553" s="21">
        <f ca="1">Master[[#This Row],[ChecklistID]]+Master[[#This Row],[Checklist Order]]</f>
        <v>146019</v>
      </c>
      <c r="C1553" s="22"/>
      <c r="D1553" s="3" t="str" cm="1">
        <f t="array" aca="1" ref="D1553" ca="1">_xlfn.SWITCH(MID(Master[[#This Row],[Checklist]],1,4),"C - ","Civil","F - ","Foundation","ST -","Structure","FC -","Façade","PRE ","Pre-Line","POST","Post-Line","H - ","Handover","S - ","Services","CST ","Completion Docs", "I - ", "Inspection")</f>
        <v>Services</v>
      </c>
      <c r="E15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3" s="24" t="str">
        <f ca="1">IF(OR(Master[[#This Row],[Type]]="checklist", Master[[#This Row],[Type]]="checklist-flat"), Master[[#This Row],[Name]], F1552)</f>
        <v>S - S - Air conditioning</v>
      </c>
      <c r="G1553" s="34" t="s">
        <v>49</v>
      </c>
      <c r="H1553" s="34" t="s">
        <v>703</v>
      </c>
      <c r="I1553" s="35"/>
      <c r="J1553" s="21">
        <f ca="1">_xlfn.XLOOKUP(Master[[#This Row],[Checklist]],Ref!A:A,Ref!B:B)*1000</f>
        <v>146000</v>
      </c>
      <c r="K1553" s="21">
        <f ca="1">COUNTIF($J$2:Master[[#This Row],[ChecklistID]],Master[[#This Row],[ChecklistID]])-1</f>
        <v>19</v>
      </c>
      <c r="L1553" s="23" t="s">
        <v>6</v>
      </c>
    </row>
    <row r="1554" spans="1:12" ht="15.75">
      <c r="A1554" s="23">
        <f t="shared" si="24"/>
        <v>1553</v>
      </c>
      <c r="B1554" s="21">
        <f ca="1">Master[[#This Row],[ChecklistID]]+Master[[#This Row],[Checklist Order]]</f>
        <v>146020</v>
      </c>
      <c r="C1554" s="22"/>
      <c r="D1554" s="3" t="str" cm="1">
        <f t="array" aca="1" ref="D1554" ca="1">_xlfn.SWITCH(MID(Master[[#This Row],[Checklist]],1,4),"C - ","Civil","F - ","Foundation","ST -","Structure","FC -","Façade","PRE ","Pre-Line","POST","Post-Line","H - ","Handover","S - ","Services","CST ","Completion Docs", "I - ", "Inspection")</f>
        <v>Services</v>
      </c>
      <c r="E15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4" s="24" t="str">
        <f ca="1">IF(OR(Master[[#This Row],[Type]]="checklist", Master[[#This Row],[Type]]="checklist-flat"), Master[[#This Row],[Name]], F1553)</f>
        <v>S - S - Air conditioning</v>
      </c>
      <c r="G1554" s="34" t="s">
        <v>49</v>
      </c>
      <c r="H1554" s="34" t="s">
        <v>704</v>
      </c>
      <c r="I1554" s="35"/>
      <c r="J1554" s="21">
        <f ca="1">_xlfn.XLOOKUP(Master[[#This Row],[Checklist]],Ref!A:A,Ref!B:B)*1000</f>
        <v>146000</v>
      </c>
      <c r="K1554" s="21">
        <f ca="1">COUNTIF($J$2:Master[[#This Row],[ChecklistID]],Master[[#This Row],[ChecklistID]])-1</f>
        <v>20</v>
      </c>
      <c r="L1554" s="23" t="s">
        <v>6</v>
      </c>
    </row>
    <row r="1555" spans="1:12" ht="15.75">
      <c r="A1555" s="23">
        <f t="shared" si="24"/>
        <v>1554</v>
      </c>
      <c r="B1555" s="21">
        <f ca="1">Master[[#This Row],[ChecklistID]]+Master[[#This Row],[Checklist Order]]</f>
        <v>146021</v>
      </c>
      <c r="C1555" s="22"/>
      <c r="D1555" s="3" t="str" cm="1">
        <f t="array" aca="1" ref="D1555" ca="1">_xlfn.SWITCH(MID(Master[[#This Row],[Checklist]],1,4),"C - ","Civil","F - ","Foundation","ST -","Structure","FC -","Façade","PRE ","Pre-Line","POST","Post-Line","H - ","Handover","S - ","Services","CST ","Completion Docs", "I - ", "Inspection")</f>
        <v>Services</v>
      </c>
      <c r="E15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5" s="24" t="str">
        <f ca="1">IF(OR(Master[[#This Row],[Type]]="checklist", Master[[#This Row],[Type]]="checklist-flat"), Master[[#This Row],[Name]], F1554)</f>
        <v>S - S - Air conditioning</v>
      </c>
      <c r="G1555" s="34" t="s">
        <v>120</v>
      </c>
      <c r="H1555" s="34" t="s">
        <v>705</v>
      </c>
      <c r="I1555" s="35"/>
      <c r="J1555" s="21">
        <f ca="1">_xlfn.XLOOKUP(Master[[#This Row],[Checklist]],Ref!A:A,Ref!B:B)*1000</f>
        <v>146000</v>
      </c>
      <c r="K1555" s="21">
        <f ca="1">COUNTIF($J$2:Master[[#This Row],[ChecklistID]],Master[[#This Row],[ChecklistID]])-1</f>
        <v>21</v>
      </c>
      <c r="L1555" s="23" t="s">
        <v>6</v>
      </c>
    </row>
    <row r="1556" spans="1:12" ht="15.75">
      <c r="A1556" s="23">
        <f t="shared" si="24"/>
        <v>1555</v>
      </c>
      <c r="B1556" s="21">
        <f ca="1">Master[[#This Row],[ChecklistID]]+Master[[#This Row],[Checklist Order]]</f>
        <v>146022</v>
      </c>
      <c r="C1556" s="22"/>
      <c r="D1556" s="3" t="str" cm="1">
        <f t="array" aca="1" ref="D1556" ca="1">_xlfn.SWITCH(MID(Master[[#This Row],[Checklist]],1,4),"C - ","Civil","F - ","Foundation","ST -","Structure","FC -","Façade","PRE ","Pre-Line","POST","Post-Line","H - ","Handover","S - ","Services","CST ","Completion Docs", "I - ", "Inspection")</f>
        <v>Services</v>
      </c>
      <c r="E15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6" s="24" t="str">
        <f ca="1">IF(OR(Master[[#This Row],[Type]]="checklist", Master[[#This Row],[Type]]="checklist-flat"), Master[[#This Row],[Name]], F1555)</f>
        <v>S - S - Air conditioning</v>
      </c>
      <c r="G1556" s="34" t="s">
        <v>49</v>
      </c>
      <c r="H1556" s="34" t="s">
        <v>706</v>
      </c>
      <c r="I1556" s="35"/>
      <c r="J1556" s="21">
        <f ca="1">_xlfn.XLOOKUP(Master[[#This Row],[Checklist]],Ref!A:A,Ref!B:B)*1000</f>
        <v>146000</v>
      </c>
      <c r="K1556" s="21">
        <f ca="1">COUNTIF($J$2:Master[[#This Row],[ChecklistID]],Master[[#This Row],[ChecklistID]])-1</f>
        <v>22</v>
      </c>
      <c r="L1556" s="23" t="s">
        <v>6</v>
      </c>
    </row>
    <row r="1557" spans="1:12" ht="15.75">
      <c r="A1557" s="23">
        <f t="shared" si="24"/>
        <v>1556</v>
      </c>
      <c r="B1557" s="21">
        <f ca="1">Master[[#This Row],[ChecklistID]]+Master[[#This Row],[Checklist Order]]</f>
        <v>146023</v>
      </c>
      <c r="C1557" s="22"/>
      <c r="D1557" s="3" t="str" cm="1">
        <f t="array" aca="1" ref="D1557" ca="1">_xlfn.SWITCH(MID(Master[[#This Row],[Checklist]],1,4),"C - ","Civil","F - ","Foundation","ST -","Structure","FC -","Façade","PRE ","Pre-Line","POST","Post-Line","H - ","Handover","S - ","Services","CST ","Completion Docs", "I - ", "Inspection")</f>
        <v>Services</v>
      </c>
      <c r="E15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7" s="24" t="str">
        <f ca="1">IF(OR(Master[[#This Row],[Type]]="checklist", Master[[#This Row],[Type]]="checklist-flat"), Master[[#This Row],[Name]], F1556)</f>
        <v>S - S - Air conditioning</v>
      </c>
      <c r="G1557" s="34" t="s">
        <v>49</v>
      </c>
      <c r="H1557" s="34" t="s">
        <v>707</v>
      </c>
      <c r="I1557" s="35"/>
      <c r="J1557" s="21">
        <f ca="1">_xlfn.XLOOKUP(Master[[#This Row],[Checklist]],Ref!A:A,Ref!B:B)*1000</f>
        <v>146000</v>
      </c>
      <c r="K1557" s="21">
        <f ca="1">COUNTIF($J$2:Master[[#This Row],[ChecklistID]],Master[[#This Row],[ChecklistID]])-1</f>
        <v>23</v>
      </c>
      <c r="L1557" s="23" t="s">
        <v>6</v>
      </c>
    </row>
    <row r="1558" spans="1:12" ht="15.75">
      <c r="A1558" s="23">
        <f t="shared" si="24"/>
        <v>1557</v>
      </c>
      <c r="B1558" s="21">
        <f ca="1">Master[[#This Row],[ChecklistID]]+Master[[#This Row],[Checklist Order]]</f>
        <v>146024</v>
      </c>
      <c r="C1558" s="22"/>
      <c r="D1558" s="3" t="str" cm="1">
        <f t="array" aca="1" ref="D1558" ca="1">_xlfn.SWITCH(MID(Master[[#This Row],[Checklist]],1,4),"C - ","Civil","F - ","Foundation","ST -","Structure","FC -","Façade","PRE ","Pre-Line","POST","Post-Line","H - ","Handover","S - ","Services","CST ","Completion Docs", "I - ", "Inspection")</f>
        <v>Services</v>
      </c>
      <c r="E15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8" s="24" t="str">
        <f ca="1">IF(OR(Master[[#This Row],[Type]]="checklist", Master[[#This Row],[Type]]="checklist-flat"), Master[[#This Row],[Name]], F1557)</f>
        <v>S - S - Air conditioning</v>
      </c>
      <c r="G1558" s="34" t="s">
        <v>49</v>
      </c>
      <c r="H1558" s="34" t="s">
        <v>708</v>
      </c>
      <c r="I1558" s="35"/>
      <c r="J1558" s="21">
        <f ca="1">_xlfn.XLOOKUP(Master[[#This Row],[Checklist]],Ref!A:A,Ref!B:B)*1000</f>
        <v>146000</v>
      </c>
      <c r="K1558" s="21">
        <f ca="1">COUNTIF($J$2:Master[[#This Row],[ChecklistID]],Master[[#This Row],[ChecklistID]])-1</f>
        <v>24</v>
      </c>
      <c r="L1558" s="23" t="s">
        <v>6</v>
      </c>
    </row>
    <row r="1559" spans="1:12" ht="15.75">
      <c r="A1559" s="23">
        <f t="shared" si="24"/>
        <v>1558</v>
      </c>
      <c r="B1559" s="21">
        <f ca="1">Master[[#This Row],[ChecklistID]]+Master[[#This Row],[Checklist Order]]</f>
        <v>146025</v>
      </c>
      <c r="C1559" s="22"/>
      <c r="D1559" s="3" t="str" cm="1">
        <f t="array" aca="1" ref="D1559" ca="1">_xlfn.SWITCH(MID(Master[[#This Row],[Checklist]],1,4),"C - ","Civil","F - ","Foundation","ST -","Structure","FC -","Façade","PRE ","Pre-Line","POST","Post-Line","H - ","Handover","S - ","Services","CST ","Completion Docs", "I - ", "Inspection")</f>
        <v>Services</v>
      </c>
      <c r="E15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59" s="24" t="str">
        <f ca="1">IF(OR(Master[[#This Row],[Type]]="checklist", Master[[#This Row],[Type]]="checklist-flat"), Master[[#This Row],[Name]], F1558)</f>
        <v>S - S - Air conditioning</v>
      </c>
      <c r="G1559" s="34" t="s">
        <v>49</v>
      </c>
      <c r="H1559" s="34" t="s">
        <v>709</v>
      </c>
      <c r="I1559" s="35"/>
      <c r="J1559" s="21">
        <f ca="1">_xlfn.XLOOKUP(Master[[#This Row],[Checklist]],Ref!A:A,Ref!B:B)*1000</f>
        <v>146000</v>
      </c>
      <c r="K1559" s="21">
        <f ca="1">COUNTIF($J$2:Master[[#This Row],[ChecklistID]],Master[[#This Row],[ChecklistID]])-1</f>
        <v>25</v>
      </c>
      <c r="L1559" s="23" t="s">
        <v>6</v>
      </c>
    </row>
    <row r="1560" spans="1:12" ht="15.75">
      <c r="A1560" s="23">
        <f t="shared" si="24"/>
        <v>1559</v>
      </c>
      <c r="B1560" s="21">
        <f ca="1">Master[[#This Row],[ChecklistID]]+Master[[#This Row],[Checklist Order]]</f>
        <v>146026</v>
      </c>
      <c r="C1560" s="22"/>
      <c r="D1560" s="3" t="str" cm="1">
        <f t="array" aca="1" ref="D1560" ca="1">_xlfn.SWITCH(MID(Master[[#This Row],[Checklist]],1,4),"C - ","Civil","F - ","Foundation","ST -","Structure","FC -","Façade","PRE ","Pre-Line","POST","Post-Line","H - ","Handover","S - ","Services","CST ","Completion Docs", "I - ", "Inspection")</f>
        <v>Services</v>
      </c>
      <c r="E15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0" s="24" t="str">
        <f ca="1">IF(OR(Master[[#This Row],[Type]]="checklist", Master[[#This Row],[Type]]="checklist-flat"), Master[[#This Row],[Name]], F1559)</f>
        <v>S - S - Air conditioning</v>
      </c>
      <c r="G1560" s="34" t="s">
        <v>49</v>
      </c>
      <c r="H1560" s="34" t="s">
        <v>57</v>
      </c>
      <c r="I1560" s="35"/>
      <c r="J1560" s="21">
        <f ca="1">_xlfn.XLOOKUP(Master[[#This Row],[Checklist]],Ref!A:A,Ref!B:B)*1000</f>
        <v>146000</v>
      </c>
      <c r="K1560" s="21">
        <f ca="1">COUNTIF($J$2:Master[[#This Row],[ChecklistID]],Master[[#This Row],[ChecklistID]])-1</f>
        <v>26</v>
      </c>
      <c r="L1560" s="23" t="s">
        <v>6</v>
      </c>
    </row>
    <row r="1561" spans="1:12" ht="15.75">
      <c r="A1561" s="23">
        <f t="shared" si="24"/>
        <v>1560</v>
      </c>
      <c r="B1561" s="21">
        <f ca="1">Master[[#This Row],[ChecklistID]]+Master[[#This Row],[Checklist Order]]</f>
        <v>146027</v>
      </c>
      <c r="C1561" s="22"/>
      <c r="D1561" s="3" t="str" cm="1">
        <f t="array" aca="1" ref="D1561" ca="1">_xlfn.SWITCH(MID(Master[[#This Row],[Checklist]],1,4),"C - ","Civil","F - ","Foundation","ST -","Structure","FC -","Façade","PRE ","Pre-Line","POST","Post-Line","H - ","Handover","S - ","Services","CST ","Completion Docs", "I - ", "Inspection")</f>
        <v>Services</v>
      </c>
      <c r="E15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1" s="24" t="str">
        <f ca="1">IF(OR(Master[[#This Row],[Type]]="checklist", Master[[#This Row],[Type]]="checklist-flat"), Master[[#This Row],[Name]], F1560)</f>
        <v>S - S - Air conditioning</v>
      </c>
      <c r="G1561" s="34" t="s">
        <v>58</v>
      </c>
      <c r="H1561" s="34" t="s">
        <v>59</v>
      </c>
      <c r="I1561" s="35"/>
      <c r="J1561" s="21">
        <f ca="1">_xlfn.XLOOKUP(Master[[#This Row],[Checklist]],Ref!A:A,Ref!B:B)*1000</f>
        <v>146000</v>
      </c>
      <c r="K1561" s="21">
        <f ca="1">COUNTIF($J$2:Master[[#This Row],[ChecklistID]],Master[[#This Row],[ChecklistID]])-1</f>
        <v>27</v>
      </c>
      <c r="L1561" s="23" t="s">
        <v>6</v>
      </c>
    </row>
    <row r="1562" spans="1:12" ht="15.75">
      <c r="A1562" s="23">
        <f t="shared" si="24"/>
        <v>1561</v>
      </c>
      <c r="B1562" s="21">
        <f ca="1">Master[[#This Row],[ChecklistID]]+Master[[#This Row],[Checklist Order]]</f>
        <v>147000</v>
      </c>
      <c r="C1562" s="22"/>
      <c r="D1562" s="3" t="str" cm="1">
        <f t="array" aca="1" ref="D1562" ca="1">_xlfn.SWITCH(MID(Master[[#This Row],[Checklist]],1,4),"C - ","Civil","F - ","Foundation","ST -","Structure","FC -","Façade","PRE ","Pre-Line","POST","Post-Line","H - ","Handover","S - ","Services","CST ","Completion Docs", "I - ", "Inspection")</f>
        <v>Services</v>
      </c>
      <c r="E15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2" s="24" t="str">
        <f ca="1">IF(OR(Master[[#This Row],[Type]]="checklist", Master[[#This Row],[Type]]="checklist-flat"), Master[[#This Row],[Name]], F1561)</f>
        <v>S - S - Ventilation - Apartment Ventilation</v>
      </c>
      <c r="G1562" s="34" t="s">
        <v>119</v>
      </c>
      <c r="H1562" s="34" t="s">
        <v>710</v>
      </c>
      <c r="I1562" s="35"/>
      <c r="J1562" s="21">
        <f ca="1">_xlfn.XLOOKUP(Master[[#This Row],[Checklist]],Ref!A:A,Ref!B:B)*1000</f>
        <v>147000</v>
      </c>
      <c r="K1562" s="21">
        <f ca="1">COUNTIF($J$2:Master[[#This Row],[ChecklistID]],Master[[#This Row],[ChecklistID]])-1</f>
        <v>0</v>
      </c>
      <c r="L1562" s="23" t="s">
        <v>6</v>
      </c>
    </row>
    <row r="1563" spans="1:12" ht="15.75">
      <c r="A1563" s="23">
        <f t="shared" si="24"/>
        <v>1562</v>
      </c>
      <c r="B1563" s="21">
        <f ca="1">Master[[#This Row],[ChecklistID]]+Master[[#This Row],[Checklist Order]]</f>
        <v>147001</v>
      </c>
      <c r="C1563" s="22"/>
      <c r="D1563" s="3" t="str" cm="1">
        <f t="array" aca="1" ref="D1563" ca="1">_xlfn.SWITCH(MID(Master[[#This Row],[Checklist]],1,4),"C - ","Civil","F - ","Foundation","ST -","Structure","FC -","Façade","PRE ","Pre-Line","POST","Post-Line","H - ","Handover","S - ","Services","CST ","Completion Docs", "I - ", "Inspection")</f>
        <v>Services</v>
      </c>
      <c r="E15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3" s="24" t="str">
        <f ca="1">IF(OR(Master[[#This Row],[Type]]="checklist", Master[[#This Row],[Type]]="checklist-flat"), Master[[#This Row],[Name]], F1562)</f>
        <v>S - S - Ventilation - Apartment Ventilation</v>
      </c>
      <c r="G1563" s="34" t="s">
        <v>120</v>
      </c>
      <c r="H1563" s="34" t="s">
        <v>685</v>
      </c>
      <c r="I1563" s="35"/>
      <c r="J1563" s="21">
        <f ca="1">_xlfn.XLOOKUP(Master[[#This Row],[Checklist]],Ref!A:A,Ref!B:B)*1000</f>
        <v>147000</v>
      </c>
      <c r="K1563" s="21">
        <f ca="1">COUNTIF($J$2:Master[[#This Row],[ChecklistID]],Master[[#This Row],[ChecklistID]])-1</f>
        <v>1</v>
      </c>
      <c r="L1563" s="23" t="s">
        <v>6</v>
      </c>
    </row>
    <row r="1564" spans="1:12" ht="15.75">
      <c r="A1564" s="23">
        <f t="shared" si="24"/>
        <v>1563</v>
      </c>
      <c r="B1564" s="21">
        <f ca="1">Master[[#This Row],[ChecklistID]]+Master[[#This Row],[Checklist Order]]</f>
        <v>147002</v>
      </c>
      <c r="C1564" s="22"/>
      <c r="D1564" s="3" t="str" cm="1">
        <f t="array" aca="1" ref="D1564" ca="1">_xlfn.SWITCH(MID(Master[[#This Row],[Checklist]],1,4),"C - ","Civil","F - ","Foundation","ST -","Structure","FC -","Façade","PRE ","Pre-Line","POST","Post-Line","H - ","Handover","S - ","Services","CST ","Completion Docs", "I - ", "Inspection")</f>
        <v>Services</v>
      </c>
      <c r="E15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4" s="24" t="str">
        <f ca="1">IF(OR(Master[[#This Row],[Type]]="checklist", Master[[#This Row],[Type]]="checklist-flat"), Master[[#This Row],[Name]], F1563)</f>
        <v>S - S - Ventilation - Apartment Ventilation</v>
      </c>
      <c r="G1564" s="34" t="s">
        <v>49</v>
      </c>
      <c r="H1564" s="34" t="s">
        <v>711</v>
      </c>
      <c r="I1564" s="35"/>
      <c r="J1564" s="21">
        <f ca="1">_xlfn.XLOOKUP(Master[[#This Row],[Checklist]],Ref!A:A,Ref!B:B)*1000</f>
        <v>147000</v>
      </c>
      <c r="K1564" s="21">
        <f ca="1">COUNTIF($J$2:Master[[#This Row],[ChecklistID]],Master[[#This Row],[ChecklistID]])-1</f>
        <v>2</v>
      </c>
      <c r="L1564" s="23" t="s">
        <v>6</v>
      </c>
    </row>
    <row r="1565" spans="1:12" ht="15.75">
      <c r="A1565" s="23">
        <f t="shared" si="24"/>
        <v>1564</v>
      </c>
      <c r="B1565" s="21">
        <f ca="1">Master[[#This Row],[ChecklistID]]+Master[[#This Row],[Checklist Order]]</f>
        <v>147003</v>
      </c>
      <c r="C1565" s="22"/>
      <c r="D1565" s="3" t="str" cm="1">
        <f t="array" aca="1" ref="D1565" ca="1">_xlfn.SWITCH(MID(Master[[#This Row],[Checklist]],1,4),"C - ","Civil","F - ","Foundation","ST -","Structure","FC -","Façade","PRE ","Pre-Line","POST","Post-Line","H - ","Handover","S - ","Services","CST ","Completion Docs", "I - ", "Inspection")</f>
        <v>Services</v>
      </c>
      <c r="E15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5" s="24" t="str">
        <f ca="1">IF(OR(Master[[#This Row],[Type]]="checklist", Master[[#This Row],[Type]]="checklist-flat"), Master[[#This Row],[Name]], F1564)</f>
        <v>S - S - Ventilation - Apartment Ventilation</v>
      </c>
      <c r="G1565" s="34" t="s">
        <v>49</v>
      </c>
      <c r="H1565" s="34" t="s">
        <v>712</v>
      </c>
      <c r="I1565" s="35"/>
      <c r="J1565" s="21">
        <f ca="1">_xlfn.XLOOKUP(Master[[#This Row],[Checklist]],Ref!A:A,Ref!B:B)*1000</f>
        <v>147000</v>
      </c>
      <c r="K1565" s="21">
        <f ca="1">COUNTIF($J$2:Master[[#This Row],[ChecklistID]],Master[[#This Row],[ChecklistID]])-1</f>
        <v>3</v>
      </c>
      <c r="L1565" s="23" t="s">
        <v>6</v>
      </c>
    </row>
    <row r="1566" spans="1:12" ht="15.75">
      <c r="A1566" s="23">
        <f t="shared" si="24"/>
        <v>1565</v>
      </c>
      <c r="B1566" s="21">
        <f ca="1">Master[[#This Row],[ChecklistID]]+Master[[#This Row],[Checklist Order]]</f>
        <v>147004</v>
      </c>
      <c r="C1566" s="22"/>
      <c r="D1566" s="3" t="str" cm="1">
        <f t="array" aca="1" ref="D1566" ca="1">_xlfn.SWITCH(MID(Master[[#This Row],[Checklist]],1,4),"C - ","Civil","F - ","Foundation","ST -","Structure","FC -","Façade","PRE ","Pre-Line","POST","Post-Line","H - ","Handover","S - ","Services","CST ","Completion Docs", "I - ", "Inspection")</f>
        <v>Services</v>
      </c>
      <c r="E15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6" s="24" t="str">
        <f ca="1">IF(OR(Master[[#This Row],[Type]]="checklist", Master[[#This Row],[Type]]="checklist-flat"), Master[[#This Row],[Name]], F1565)</f>
        <v>S - S - Ventilation - Apartment Ventilation</v>
      </c>
      <c r="G1566" s="34" t="s">
        <v>49</v>
      </c>
      <c r="H1566" s="34" t="s">
        <v>713</v>
      </c>
      <c r="I1566" s="35"/>
      <c r="J1566" s="21">
        <f ca="1">_xlfn.XLOOKUP(Master[[#This Row],[Checklist]],Ref!A:A,Ref!B:B)*1000</f>
        <v>147000</v>
      </c>
      <c r="K1566" s="21">
        <f ca="1">COUNTIF($J$2:Master[[#This Row],[ChecklistID]],Master[[#This Row],[ChecklistID]])-1</f>
        <v>4</v>
      </c>
      <c r="L1566" s="23" t="s">
        <v>6</v>
      </c>
    </row>
    <row r="1567" spans="1:12" ht="15.75">
      <c r="A1567" s="23">
        <f t="shared" si="24"/>
        <v>1566</v>
      </c>
      <c r="B1567" s="21">
        <f ca="1">Master[[#This Row],[ChecklistID]]+Master[[#This Row],[Checklist Order]]</f>
        <v>147005</v>
      </c>
      <c r="C1567" s="22"/>
      <c r="D1567" s="3" t="str" cm="1">
        <f t="array" aca="1" ref="D1567" ca="1">_xlfn.SWITCH(MID(Master[[#This Row],[Checklist]],1,4),"C - ","Civil","F - ","Foundation","ST -","Structure","FC -","Façade","PRE ","Pre-Line","POST","Post-Line","H - ","Handover","S - ","Services","CST ","Completion Docs", "I - ", "Inspection")</f>
        <v>Services</v>
      </c>
      <c r="E15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7" s="24" t="str">
        <f ca="1">IF(OR(Master[[#This Row],[Type]]="checklist", Master[[#This Row],[Type]]="checklist-flat"), Master[[#This Row],[Name]], F1566)</f>
        <v>S - S - Ventilation - Apartment Ventilation</v>
      </c>
      <c r="G1567" s="34" t="s">
        <v>49</v>
      </c>
      <c r="H1567" s="34" t="s">
        <v>714</v>
      </c>
      <c r="I1567" s="35"/>
      <c r="J1567" s="21">
        <f ca="1">_xlfn.XLOOKUP(Master[[#This Row],[Checklist]],Ref!A:A,Ref!B:B)*1000</f>
        <v>147000</v>
      </c>
      <c r="K1567" s="21">
        <f ca="1">COUNTIF($J$2:Master[[#This Row],[ChecklistID]],Master[[#This Row],[ChecklistID]])-1</f>
        <v>5</v>
      </c>
      <c r="L1567" s="23" t="s">
        <v>6</v>
      </c>
    </row>
    <row r="1568" spans="1:12" ht="15.75">
      <c r="A1568" s="23">
        <f t="shared" si="24"/>
        <v>1567</v>
      </c>
      <c r="B1568" s="21">
        <f ca="1">Master[[#This Row],[ChecklistID]]+Master[[#This Row],[Checklist Order]]</f>
        <v>147006</v>
      </c>
      <c r="C1568" s="22"/>
      <c r="D1568" s="3" t="str" cm="1">
        <f t="array" aca="1" ref="D1568" ca="1">_xlfn.SWITCH(MID(Master[[#This Row],[Checklist]],1,4),"C - ","Civil","F - ","Foundation","ST -","Structure","FC -","Façade","PRE ","Pre-Line","POST","Post-Line","H - ","Handover","S - ","Services","CST ","Completion Docs", "I - ", "Inspection")</f>
        <v>Services</v>
      </c>
      <c r="E15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8" s="24" t="str">
        <f ca="1">IF(OR(Master[[#This Row],[Type]]="checklist", Master[[#This Row],[Type]]="checklist-flat"), Master[[#This Row],[Name]], F1567)</f>
        <v>S - S - Ventilation - Apartment Ventilation</v>
      </c>
      <c r="G1568" s="34" t="s">
        <v>120</v>
      </c>
      <c r="H1568" s="34" t="s">
        <v>690</v>
      </c>
      <c r="I1568" s="35"/>
      <c r="J1568" s="21">
        <f ca="1">_xlfn.XLOOKUP(Master[[#This Row],[Checklist]],Ref!A:A,Ref!B:B)*1000</f>
        <v>147000</v>
      </c>
      <c r="K1568" s="21">
        <f ca="1">COUNTIF($J$2:Master[[#This Row],[ChecklistID]],Master[[#This Row],[ChecklistID]])-1</f>
        <v>6</v>
      </c>
      <c r="L1568" s="23" t="s">
        <v>6</v>
      </c>
    </row>
    <row r="1569" spans="1:12" ht="15.75">
      <c r="A1569" s="23">
        <f t="shared" si="24"/>
        <v>1568</v>
      </c>
      <c r="B1569" s="21">
        <f ca="1">Master[[#This Row],[ChecklistID]]+Master[[#This Row],[Checklist Order]]</f>
        <v>147007</v>
      </c>
      <c r="C1569" s="22"/>
      <c r="D1569" s="3" t="str" cm="1">
        <f t="array" aca="1" ref="D1569" ca="1">_xlfn.SWITCH(MID(Master[[#This Row],[Checklist]],1,4),"C - ","Civil","F - ","Foundation","ST -","Structure","FC -","Façade","PRE ","Pre-Line","POST","Post-Line","H - ","Handover","S - ","Services","CST ","Completion Docs", "I - ", "Inspection")</f>
        <v>Services</v>
      </c>
      <c r="E15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69" s="24" t="str">
        <f ca="1">IF(OR(Master[[#This Row],[Type]]="checklist", Master[[#This Row],[Type]]="checklist-flat"), Master[[#This Row],[Name]], F1568)</f>
        <v>S - S - Ventilation - Apartment Ventilation</v>
      </c>
      <c r="G1569" s="34" t="s">
        <v>49</v>
      </c>
      <c r="H1569" s="34" t="s">
        <v>715</v>
      </c>
      <c r="I1569" s="35"/>
      <c r="J1569" s="21">
        <f ca="1">_xlfn.XLOOKUP(Master[[#This Row],[Checklist]],Ref!A:A,Ref!B:B)*1000</f>
        <v>147000</v>
      </c>
      <c r="K1569" s="21">
        <f ca="1">COUNTIF($J$2:Master[[#This Row],[ChecklistID]],Master[[#This Row],[ChecklistID]])-1</f>
        <v>7</v>
      </c>
      <c r="L1569" s="23" t="s">
        <v>6</v>
      </c>
    </row>
    <row r="1570" spans="1:12" ht="15.75">
      <c r="A1570" s="23">
        <f t="shared" si="24"/>
        <v>1569</v>
      </c>
      <c r="B1570" s="21">
        <f ca="1">Master[[#This Row],[ChecklistID]]+Master[[#This Row],[Checklist Order]]</f>
        <v>147008</v>
      </c>
      <c r="C1570" s="22"/>
      <c r="D1570" s="3" t="str" cm="1">
        <f t="array" aca="1" ref="D1570" ca="1">_xlfn.SWITCH(MID(Master[[#This Row],[Checklist]],1,4),"C - ","Civil","F - ","Foundation","ST -","Structure","FC -","Façade","PRE ","Pre-Line","POST","Post-Line","H - ","Handover","S - ","Services","CST ","Completion Docs", "I - ", "Inspection")</f>
        <v>Services</v>
      </c>
      <c r="E15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0" s="24" t="str">
        <f ca="1">IF(OR(Master[[#This Row],[Type]]="checklist", Master[[#This Row],[Type]]="checklist-flat"), Master[[#This Row],[Name]], F1569)</f>
        <v>S - S - Ventilation - Apartment Ventilation</v>
      </c>
      <c r="G1570" s="34" t="s">
        <v>49</v>
      </c>
      <c r="H1570" s="34" t="s">
        <v>716</v>
      </c>
      <c r="I1570" s="35"/>
      <c r="J1570" s="21">
        <f ca="1">_xlfn.XLOOKUP(Master[[#This Row],[Checklist]],Ref!A:A,Ref!B:B)*1000</f>
        <v>147000</v>
      </c>
      <c r="K1570" s="21">
        <f ca="1">COUNTIF($J$2:Master[[#This Row],[ChecklistID]],Master[[#This Row],[ChecklistID]])-1</f>
        <v>8</v>
      </c>
      <c r="L1570" s="23" t="s">
        <v>6</v>
      </c>
    </row>
    <row r="1571" spans="1:12" ht="15.75">
      <c r="A1571" s="23">
        <f t="shared" si="24"/>
        <v>1570</v>
      </c>
      <c r="B1571" s="21">
        <f ca="1">Master[[#This Row],[ChecklistID]]+Master[[#This Row],[Checklist Order]]</f>
        <v>147009</v>
      </c>
      <c r="C1571" s="22"/>
      <c r="D1571" s="3" t="str" cm="1">
        <f t="array" aca="1" ref="D1571" ca="1">_xlfn.SWITCH(MID(Master[[#This Row],[Checklist]],1,4),"C - ","Civil","F - ","Foundation","ST -","Structure","FC -","Façade","PRE ","Pre-Line","POST","Post-Line","H - ","Handover","S - ","Services","CST ","Completion Docs", "I - ", "Inspection")</f>
        <v>Services</v>
      </c>
      <c r="E15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1" s="24" t="str">
        <f ca="1">IF(OR(Master[[#This Row],[Type]]="checklist", Master[[#This Row],[Type]]="checklist-flat"), Master[[#This Row],[Name]], F1570)</f>
        <v>S - S - Ventilation - Apartment Ventilation</v>
      </c>
      <c r="G1571" s="34" t="s">
        <v>49</v>
      </c>
      <c r="H1571" s="34" t="s">
        <v>717</v>
      </c>
      <c r="I1571" s="35"/>
      <c r="J1571" s="21">
        <f ca="1">_xlfn.XLOOKUP(Master[[#This Row],[Checklist]],Ref!A:A,Ref!B:B)*1000</f>
        <v>147000</v>
      </c>
      <c r="K1571" s="21">
        <f ca="1">COUNTIF($J$2:Master[[#This Row],[ChecklistID]],Master[[#This Row],[ChecklistID]])-1</f>
        <v>9</v>
      </c>
      <c r="L1571" s="23" t="s">
        <v>6</v>
      </c>
    </row>
    <row r="1572" spans="1:12" ht="15.75">
      <c r="A1572" s="23">
        <f t="shared" si="24"/>
        <v>1571</v>
      </c>
      <c r="B1572" s="21">
        <f ca="1">Master[[#This Row],[ChecklistID]]+Master[[#This Row],[Checklist Order]]</f>
        <v>147010</v>
      </c>
      <c r="C1572" s="22"/>
      <c r="D1572" s="3" t="str" cm="1">
        <f t="array" aca="1" ref="D1572" ca="1">_xlfn.SWITCH(MID(Master[[#This Row],[Checklist]],1,4),"C - ","Civil","F - ","Foundation","ST -","Structure","FC -","Façade","PRE ","Pre-Line","POST","Post-Line","H - ","Handover","S - ","Services","CST ","Completion Docs", "I - ", "Inspection")</f>
        <v>Services</v>
      </c>
      <c r="E15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2" s="24" t="str">
        <f ca="1">IF(OR(Master[[#This Row],[Type]]="checklist", Master[[#This Row],[Type]]="checklist-flat"), Master[[#This Row],[Name]], F1571)</f>
        <v>S - S - Ventilation - Apartment Ventilation</v>
      </c>
      <c r="G1572" s="34" t="s">
        <v>49</v>
      </c>
      <c r="H1572" s="34" t="s">
        <v>718</v>
      </c>
      <c r="I1572" s="35"/>
      <c r="J1572" s="21">
        <f ca="1">_xlfn.XLOOKUP(Master[[#This Row],[Checklist]],Ref!A:A,Ref!B:B)*1000</f>
        <v>147000</v>
      </c>
      <c r="K1572" s="21">
        <f ca="1">COUNTIF($J$2:Master[[#This Row],[ChecklistID]],Master[[#This Row],[ChecklistID]])-1</f>
        <v>10</v>
      </c>
      <c r="L1572" s="23" t="s">
        <v>6</v>
      </c>
    </row>
    <row r="1573" spans="1:12" ht="15.75">
      <c r="A1573" s="23">
        <f t="shared" si="24"/>
        <v>1572</v>
      </c>
      <c r="B1573" s="21">
        <f ca="1">Master[[#This Row],[ChecklistID]]+Master[[#This Row],[Checklist Order]]</f>
        <v>147011</v>
      </c>
      <c r="C1573" s="22"/>
      <c r="D1573" s="3" t="str" cm="1">
        <f t="array" aca="1" ref="D1573" ca="1">_xlfn.SWITCH(MID(Master[[#This Row],[Checklist]],1,4),"C - ","Civil","F - ","Foundation","ST -","Structure","FC -","Façade","PRE ","Pre-Line","POST","Post-Line","H - ","Handover","S - ","Services","CST ","Completion Docs", "I - ", "Inspection")</f>
        <v>Services</v>
      </c>
      <c r="E15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3" s="24" t="str">
        <f ca="1">IF(OR(Master[[#This Row],[Type]]="checklist", Master[[#This Row],[Type]]="checklist-flat"), Master[[#This Row],[Name]], F1572)</f>
        <v>S - S - Ventilation - Apartment Ventilation</v>
      </c>
      <c r="G1573" s="34" t="s">
        <v>49</v>
      </c>
      <c r="H1573" s="34" t="s">
        <v>719</v>
      </c>
      <c r="I1573" s="35"/>
      <c r="J1573" s="21">
        <f ca="1">_xlfn.XLOOKUP(Master[[#This Row],[Checklist]],Ref!A:A,Ref!B:B)*1000</f>
        <v>147000</v>
      </c>
      <c r="K1573" s="21">
        <f ca="1">COUNTIF($J$2:Master[[#This Row],[ChecklistID]],Master[[#This Row],[ChecklistID]])-1</f>
        <v>11</v>
      </c>
      <c r="L1573" s="23" t="s">
        <v>6</v>
      </c>
    </row>
    <row r="1574" spans="1:12" ht="15.75">
      <c r="A1574" s="23">
        <f t="shared" si="24"/>
        <v>1573</v>
      </c>
      <c r="B1574" s="21">
        <f ca="1">Master[[#This Row],[ChecklistID]]+Master[[#This Row],[Checklist Order]]</f>
        <v>147012</v>
      </c>
      <c r="C1574" s="22"/>
      <c r="D1574" s="3" t="str" cm="1">
        <f t="array" aca="1" ref="D1574" ca="1">_xlfn.SWITCH(MID(Master[[#This Row],[Checklist]],1,4),"C - ","Civil","F - ","Foundation","ST -","Structure","FC -","Façade","PRE ","Pre-Line","POST","Post-Line","H - ","Handover","S - ","Services","CST ","Completion Docs", "I - ", "Inspection")</f>
        <v>Services</v>
      </c>
      <c r="E15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4" s="24" t="str">
        <f ca="1">IF(OR(Master[[#This Row],[Type]]="checklist", Master[[#This Row],[Type]]="checklist-flat"), Master[[#This Row],[Name]], F1573)</f>
        <v>S - S - Ventilation - Apartment Ventilation</v>
      </c>
      <c r="G1574" s="34" t="s">
        <v>49</v>
      </c>
      <c r="H1574" s="34" t="s">
        <v>720</v>
      </c>
      <c r="I1574" s="35"/>
      <c r="J1574" s="21">
        <f ca="1">_xlfn.XLOOKUP(Master[[#This Row],[Checklist]],Ref!A:A,Ref!B:B)*1000</f>
        <v>147000</v>
      </c>
      <c r="K1574" s="21">
        <f ca="1">COUNTIF($J$2:Master[[#This Row],[ChecklistID]],Master[[#This Row],[ChecklistID]])-1</f>
        <v>12</v>
      </c>
      <c r="L1574" s="23" t="s">
        <v>6</v>
      </c>
    </row>
    <row r="1575" spans="1:12" ht="15.75">
      <c r="A1575" s="23">
        <f t="shared" si="24"/>
        <v>1574</v>
      </c>
      <c r="B1575" s="21">
        <f ca="1">Master[[#This Row],[ChecklistID]]+Master[[#This Row],[Checklist Order]]</f>
        <v>147013</v>
      </c>
      <c r="C1575" s="22"/>
      <c r="D1575" s="23" t="str" cm="1">
        <f t="array" aca="1" ref="D1575" ca="1">_xlfn.SWITCH(MID(Master[[#This Row],[Checklist]],1,4),"C - ","Civil","F - ","Foundation","ST -","Structure","FC -","Façade","PRE ","Pre-Line","POST","Post-Line","H - ","Handover","S - ","Services","CST ","Completion Docs", "I - ", "Inspection")</f>
        <v>Services</v>
      </c>
      <c r="E15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5" s="24" t="str">
        <f ca="1">IF(OR(Master[[#This Row],[Type]]="checklist", Master[[#This Row],[Type]]="checklist-flat"), Master[[#This Row],[Name]], F1574)</f>
        <v>S - S - Ventilation - Apartment Ventilation</v>
      </c>
      <c r="G1575" s="34" t="s">
        <v>49</v>
      </c>
      <c r="H1575" s="34" t="s">
        <v>721</v>
      </c>
      <c r="I1575" s="35"/>
      <c r="J1575" s="21">
        <f ca="1">_xlfn.XLOOKUP(Master[[#This Row],[Checklist]],Ref!A:A,Ref!B:B)*1000</f>
        <v>147000</v>
      </c>
      <c r="K1575" s="21">
        <f ca="1">COUNTIF($J$2:Master[[#This Row],[ChecklistID]],Master[[#This Row],[ChecklistID]])-1</f>
        <v>13</v>
      </c>
      <c r="L1575" s="23" t="s">
        <v>6</v>
      </c>
    </row>
    <row r="1576" spans="1:12" ht="15.75">
      <c r="A1576" s="23">
        <f>IFERROR(A1574+1,1)</f>
        <v>1574</v>
      </c>
      <c r="B1576" s="21">
        <f ca="1">Master[[#This Row],[ChecklistID]]+Master[[#This Row],[Checklist Order]]</f>
        <v>147014</v>
      </c>
      <c r="C1576" s="22"/>
      <c r="D1576" s="23" t="str" cm="1">
        <f t="array" aca="1" ref="D1576" ca="1">_xlfn.SWITCH(MID(Master[[#This Row],[Checklist]],1,4),"C - ","Civil","F - ","Foundation","ST -","Structure","FC -","Façade","PRE ","Pre-Line","POST","Post-Line","H - ","Handover","S - ","Services","CST ","Completion Docs", "I - ", "Inspection")</f>
        <v>Services</v>
      </c>
      <c r="E15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6" s="24" t="str">
        <f ca="1">IF(OR(Master[[#This Row],[Type]]="checklist", Master[[#This Row],[Type]]="checklist-flat"), Master[[#This Row],[Name]], F1575)</f>
        <v>S - S - Ventilation - Apartment Ventilation</v>
      </c>
      <c r="G1576" s="34" t="s">
        <v>49</v>
      </c>
      <c r="H1576" s="34" t="s">
        <v>722</v>
      </c>
      <c r="I1576" s="35"/>
      <c r="J1576" s="21">
        <f ca="1">_xlfn.XLOOKUP(Master[[#This Row],[Checklist]],Ref!A:A,Ref!B:B)*1000</f>
        <v>147000</v>
      </c>
      <c r="K1576" s="21">
        <f ca="1">COUNTIF($J$2:Master[[#This Row],[ChecklistID]],Master[[#This Row],[ChecklistID]])-1</f>
        <v>14</v>
      </c>
      <c r="L1576" s="23" t="s">
        <v>6</v>
      </c>
    </row>
    <row r="1577" spans="1:12" ht="15.75">
      <c r="A1577" s="23">
        <f>IFERROR(A1574+1,1)</f>
        <v>1574</v>
      </c>
      <c r="B1577" s="21">
        <f ca="1">Master[[#This Row],[ChecklistID]]+Master[[#This Row],[Checklist Order]]</f>
        <v>147015</v>
      </c>
      <c r="C1577" s="22"/>
      <c r="D1577" s="23" t="str" cm="1">
        <f t="array" aca="1" ref="D1577" ca="1">_xlfn.SWITCH(MID(Master[[#This Row],[Checklist]],1,4),"C - ","Civil","F - ","Foundation","ST -","Structure","FC -","Façade","PRE ","Pre-Line","POST","Post-Line","H - ","Handover","S - ","Services","CST ","Completion Docs", "I - ", "Inspection")</f>
        <v>Services</v>
      </c>
      <c r="E15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7" s="24" t="str">
        <f ca="1">IF(OR(Master[[#This Row],[Type]]="checklist", Master[[#This Row],[Type]]="checklist-flat"), Master[[#This Row],[Name]], F1576)</f>
        <v>S - S - Ventilation - Apartment Ventilation</v>
      </c>
      <c r="G1577" s="34" t="s">
        <v>120</v>
      </c>
      <c r="H1577" s="34" t="s">
        <v>697</v>
      </c>
      <c r="I1577" s="35"/>
      <c r="J1577" s="21">
        <f ca="1">_xlfn.XLOOKUP(Master[[#This Row],[Checklist]],Ref!A:A,Ref!B:B)*1000</f>
        <v>147000</v>
      </c>
      <c r="K1577" s="21">
        <f ca="1">COUNTIF($J$2:Master[[#This Row],[ChecklistID]],Master[[#This Row],[ChecklistID]])-1</f>
        <v>15</v>
      </c>
      <c r="L1577" s="23" t="s">
        <v>6</v>
      </c>
    </row>
    <row r="1578" spans="1:12" ht="15.75">
      <c r="A1578" s="23">
        <f>IFERROR(A1577+1,1)</f>
        <v>1575</v>
      </c>
      <c r="B1578" s="21">
        <f ca="1">Master[[#This Row],[ChecklistID]]+Master[[#This Row],[Checklist Order]]</f>
        <v>147016</v>
      </c>
      <c r="C1578" s="22"/>
      <c r="D1578" s="23" t="str" cm="1">
        <f t="array" aca="1" ref="D1578" ca="1">_xlfn.SWITCH(MID(Master[[#This Row],[Checklist]],1,4),"C - ","Civil","F - ","Foundation","ST -","Structure","FC -","Façade","PRE ","Pre-Line","POST","Post-Line","H - ","Handover","S - ","Services","CST ","Completion Docs", "I - ", "Inspection")</f>
        <v>Services</v>
      </c>
      <c r="E15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8" s="24" t="str">
        <f ca="1">IF(OR(Master[[#This Row],[Type]]="checklist", Master[[#This Row],[Type]]="checklist-flat"), Master[[#This Row],[Name]], F1577)</f>
        <v>S - S - Ventilation - Apartment Ventilation</v>
      </c>
      <c r="G1578" s="34" t="s">
        <v>49</v>
      </c>
      <c r="H1578" s="34" t="s">
        <v>723</v>
      </c>
      <c r="I1578" s="35"/>
      <c r="J1578" s="21">
        <f ca="1">_xlfn.XLOOKUP(Master[[#This Row],[Checklist]],Ref!A:A,Ref!B:B)*1000</f>
        <v>147000</v>
      </c>
      <c r="K1578" s="21">
        <f ca="1">COUNTIF($J$2:Master[[#This Row],[ChecklistID]],Master[[#This Row],[ChecklistID]])-1</f>
        <v>16</v>
      </c>
      <c r="L1578" s="23" t="s">
        <v>6</v>
      </c>
    </row>
    <row r="1579" spans="1:12" ht="15.75">
      <c r="A1579" s="23">
        <f>IFERROR(A1577+1,1)</f>
        <v>1575</v>
      </c>
      <c r="B1579" s="21">
        <f ca="1">Master[[#This Row],[ChecklistID]]+Master[[#This Row],[Checklist Order]]</f>
        <v>147017</v>
      </c>
      <c r="C1579" s="22"/>
      <c r="D1579" s="23" t="str" cm="1">
        <f t="array" aca="1" ref="D1579" ca="1">_xlfn.SWITCH(MID(Master[[#This Row],[Checklist]],1,4),"C - ","Civil","F - ","Foundation","ST -","Structure","FC -","Façade","PRE ","Pre-Line","POST","Post-Line","H - ","Handover","S - ","Services","CST ","Completion Docs", "I - ", "Inspection")</f>
        <v>Services</v>
      </c>
      <c r="E15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79" s="24" t="str">
        <f ca="1">IF(OR(Master[[#This Row],[Type]]="checklist", Master[[#This Row],[Type]]="checklist-flat"), Master[[#This Row],[Name]], F1578)</f>
        <v>S - S - Ventilation - Apartment Ventilation</v>
      </c>
      <c r="G1579" s="34" t="s">
        <v>49</v>
      </c>
      <c r="H1579" s="34" t="s">
        <v>724</v>
      </c>
      <c r="I1579" s="35"/>
      <c r="J1579" s="21">
        <f ca="1">_xlfn.XLOOKUP(Master[[#This Row],[Checklist]],Ref!A:A,Ref!B:B)*1000</f>
        <v>147000</v>
      </c>
      <c r="K1579" s="21">
        <f ca="1">COUNTIF($J$2:Master[[#This Row],[ChecklistID]],Master[[#This Row],[ChecklistID]])-1</f>
        <v>17</v>
      </c>
      <c r="L1579" s="23" t="s">
        <v>6</v>
      </c>
    </row>
    <row r="1580" spans="1:12" ht="15.75">
      <c r="A1580" s="23">
        <f>IFERROR(A1577+1,1)</f>
        <v>1575</v>
      </c>
      <c r="B1580" s="21">
        <f ca="1">Master[[#This Row],[ChecklistID]]+Master[[#This Row],[Checklist Order]]</f>
        <v>147018</v>
      </c>
      <c r="C1580" s="22"/>
      <c r="D1580" s="23" t="str" cm="1">
        <f t="array" aca="1" ref="D1580" ca="1">_xlfn.SWITCH(MID(Master[[#This Row],[Checklist]],1,4),"C - ","Civil","F - ","Foundation","ST -","Structure","FC -","Façade","PRE ","Pre-Line","POST","Post-Line","H - ","Handover","S - ","Services","CST ","Completion Docs", "I - ", "Inspection")</f>
        <v>Services</v>
      </c>
      <c r="E15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0" s="24" t="str">
        <f ca="1">IF(OR(Master[[#This Row],[Type]]="checklist", Master[[#This Row],[Type]]="checklist-flat"), Master[[#This Row],[Name]], F1579)</f>
        <v>S - S - Ventilation - Apartment Ventilation</v>
      </c>
      <c r="G1580" s="34" t="s">
        <v>49</v>
      </c>
      <c r="H1580" s="34" t="s">
        <v>725</v>
      </c>
      <c r="I1580" s="35"/>
      <c r="J1580" s="21">
        <f ca="1">_xlfn.XLOOKUP(Master[[#This Row],[Checklist]],Ref!A:A,Ref!B:B)*1000</f>
        <v>147000</v>
      </c>
      <c r="K1580" s="21">
        <f ca="1">COUNTIF($J$2:Master[[#This Row],[ChecklistID]],Master[[#This Row],[ChecklistID]])-1</f>
        <v>18</v>
      </c>
      <c r="L1580" s="23" t="s">
        <v>6</v>
      </c>
    </row>
    <row r="1581" spans="1:12" ht="15.75">
      <c r="A1581" s="23">
        <f>IFERROR(A1577+1,1)</f>
        <v>1575</v>
      </c>
      <c r="B1581" s="21">
        <f ca="1">Master[[#This Row],[ChecklistID]]+Master[[#This Row],[Checklist Order]]</f>
        <v>147019</v>
      </c>
      <c r="C1581" s="22"/>
      <c r="D1581" s="23" t="str" cm="1">
        <f t="array" aca="1" ref="D1581" ca="1">_xlfn.SWITCH(MID(Master[[#This Row],[Checklist]],1,4),"C - ","Civil","F - ","Foundation","ST -","Structure","FC -","Façade","PRE ","Pre-Line","POST","Post-Line","H - ","Handover","S - ","Services","CST ","Completion Docs", "I - ", "Inspection")</f>
        <v>Services</v>
      </c>
      <c r="E15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1" s="24" t="str">
        <f ca="1">IF(OR(Master[[#This Row],[Type]]="checklist", Master[[#This Row],[Type]]="checklist-flat"), Master[[#This Row],[Name]], F1580)</f>
        <v>S - S - Ventilation - Apartment Ventilation</v>
      </c>
      <c r="G1581" s="34" t="s">
        <v>49</v>
      </c>
      <c r="H1581" s="34" t="s">
        <v>726</v>
      </c>
      <c r="I1581" s="35"/>
      <c r="J1581" s="21">
        <f ca="1">_xlfn.XLOOKUP(Master[[#This Row],[Checklist]],Ref!A:A,Ref!B:B)*1000</f>
        <v>147000</v>
      </c>
      <c r="K1581" s="21">
        <f ca="1">COUNTIF($J$2:Master[[#This Row],[ChecklistID]],Master[[#This Row],[ChecklistID]])-1</f>
        <v>19</v>
      </c>
      <c r="L1581" s="23" t="s">
        <v>6</v>
      </c>
    </row>
    <row r="1582" spans="1:12" ht="15.75">
      <c r="A1582" s="23">
        <f>IFERROR(A1577+1,1)</f>
        <v>1575</v>
      </c>
      <c r="B1582" s="21">
        <f ca="1">Master[[#This Row],[ChecklistID]]+Master[[#This Row],[Checklist Order]]</f>
        <v>147020</v>
      </c>
      <c r="C1582" s="22"/>
      <c r="D1582" s="23" t="str" cm="1">
        <f t="array" aca="1" ref="D1582" ca="1">_xlfn.SWITCH(MID(Master[[#This Row],[Checklist]],1,4),"C - ","Civil","F - ","Foundation","ST -","Structure","FC -","Façade","PRE ","Pre-Line","POST","Post-Line","H - ","Handover","S - ","Services","CST ","Completion Docs", "I - ", "Inspection")</f>
        <v>Services</v>
      </c>
      <c r="E15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2" s="24" t="str">
        <f ca="1">IF(OR(Master[[#This Row],[Type]]="checklist", Master[[#This Row],[Type]]="checklist-flat"), Master[[#This Row],[Name]], F1581)</f>
        <v>S - S - Ventilation - Apartment Ventilation</v>
      </c>
      <c r="G1582" s="34" t="s">
        <v>49</v>
      </c>
      <c r="H1582" s="34" t="s">
        <v>727</v>
      </c>
      <c r="I1582" s="35"/>
      <c r="J1582" s="21">
        <f ca="1">_xlfn.XLOOKUP(Master[[#This Row],[Checklist]],Ref!A:A,Ref!B:B)*1000</f>
        <v>147000</v>
      </c>
      <c r="K1582" s="21">
        <f ca="1">COUNTIF($J$2:Master[[#This Row],[ChecklistID]],Master[[#This Row],[ChecklistID]])-1</f>
        <v>20</v>
      </c>
      <c r="L1582" s="23" t="s">
        <v>6</v>
      </c>
    </row>
    <row r="1583" spans="1:12" ht="15.75">
      <c r="A1583" s="23">
        <f>IFERROR(A1574+1,1)</f>
        <v>1574</v>
      </c>
      <c r="B1583" s="21">
        <f ca="1">Master[[#This Row],[ChecklistID]]+Master[[#This Row],[Checklist Order]]</f>
        <v>147021</v>
      </c>
      <c r="C1583" s="22"/>
      <c r="D1583" s="23" t="str" cm="1">
        <f t="array" aca="1" ref="D1583" ca="1">_xlfn.SWITCH(MID(Master[[#This Row],[Checklist]],1,4),"C - ","Civil","F - ","Foundation","ST -","Structure","FC -","Façade","PRE ","Pre-Line","POST","Post-Line","H - ","Handover","S - ","Services","CST ","Completion Docs", "I - ", "Inspection")</f>
        <v>Services</v>
      </c>
      <c r="E15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3" s="24" t="str">
        <f ca="1">IF(OR(Master[[#This Row],[Type]]="checklist", Master[[#This Row],[Type]]="checklist-flat"), Master[[#This Row],[Name]], F1582)</f>
        <v>S - S - Ventilation - Apartment Ventilation</v>
      </c>
      <c r="G1583" s="34" t="s">
        <v>49</v>
      </c>
      <c r="H1583" s="34" t="s">
        <v>728</v>
      </c>
      <c r="I1583" s="35"/>
      <c r="J1583" s="21">
        <f ca="1">_xlfn.XLOOKUP(Master[[#This Row],[Checklist]],Ref!A:A,Ref!B:B)*1000</f>
        <v>147000</v>
      </c>
      <c r="K1583" s="21">
        <f ca="1">COUNTIF($J$2:Master[[#This Row],[ChecklistID]],Master[[#This Row],[ChecklistID]])-1</f>
        <v>21</v>
      </c>
      <c r="L1583" s="23" t="s">
        <v>6</v>
      </c>
    </row>
    <row r="1584" spans="1:12" ht="15.75">
      <c r="A1584" s="23">
        <f>IFERROR(A1574+1,1)</f>
        <v>1574</v>
      </c>
      <c r="B1584" s="21">
        <f ca="1">Master[[#This Row],[ChecklistID]]+Master[[#This Row],[Checklist Order]]</f>
        <v>147022</v>
      </c>
      <c r="C1584" s="22"/>
      <c r="D1584" s="23" t="str" cm="1">
        <f t="array" aca="1" ref="D1584" ca="1">_xlfn.SWITCH(MID(Master[[#This Row],[Checklist]],1,4),"C - ","Civil","F - ","Foundation","ST -","Structure","FC -","Façade","PRE ","Pre-Line","POST","Post-Line","H - ","Handover","S - ","Services","CST ","Completion Docs", "I - ", "Inspection")</f>
        <v>Services</v>
      </c>
      <c r="E15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4" s="24" t="str">
        <f ca="1">IF(OR(Master[[#This Row],[Type]]="checklist", Master[[#This Row],[Type]]="checklist-flat"), Master[[#This Row],[Name]], F1583)</f>
        <v>S - S - Ventilation - Apartment Ventilation</v>
      </c>
      <c r="G1584" s="34" t="s">
        <v>49</v>
      </c>
      <c r="H1584" s="34" t="s">
        <v>729</v>
      </c>
      <c r="I1584" s="35"/>
      <c r="J1584" s="21">
        <f ca="1">_xlfn.XLOOKUP(Master[[#This Row],[Checklist]],Ref!A:A,Ref!B:B)*1000</f>
        <v>147000</v>
      </c>
      <c r="K1584" s="21">
        <f ca="1">COUNTIF($J$2:Master[[#This Row],[ChecklistID]],Master[[#This Row],[ChecklistID]])-1</f>
        <v>22</v>
      </c>
      <c r="L1584" s="23" t="s">
        <v>6</v>
      </c>
    </row>
    <row r="1585" spans="1:12" ht="15.75">
      <c r="A1585" s="23">
        <f>IFERROR(A1574+1,1)</f>
        <v>1574</v>
      </c>
      <c r="B1585" s="21">
        <f ca="1">Master[[#This Row],[ChecklistID]]+Master[[#This Row],[Checklist Order]]</f>
        <v>147023</v>
      </c>
      <c r="C1585" s="22"/>
      <c r="D1585" s="23" t="str" cm="1">
        <f t="array" aca="1" ref="D1585" ca="1">_xlfn.SWITCH(MID(Master[[#This Row],[Checklist]],1,4),"C - ","Civil","F - ","Foundation","ST -","Structure","FC -","Façade","PRE ","Pre-Line","POST","Post-Line","H - ","Handover","S - ","Services","CST ","Completion Docs", "I - ", "Inspection")</f>
        <v>Services</v>
      </c>
      <c r="E15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5" s="24" t="str">
        <f ca="1">IF(OR(Master[[#This Row],[Type]]="checklist", Master[[#This Row],[Type]]="checklist-flat"), Master[[#This Row],[Name]], F1584)</f>
        <v>S - S - Ventilation - Apartment Ventilation</v>
      </c>
      <c r="G1585" s="34" t="s">
        <v>120</v>
      </c>
      <c r="H1585" s="34" t="s">
        <v>705</v>
      </c>
      <c r="I1585" s="35"/>
      <c r="J1585" s="21">
        <f ca="1">_xlfn.XLOOKUP(Master[[#This Row],[Checklist]],Ref!A:A,Ref!B:B)*1000</f>
        <v>147000</v>
      </c>
      <c r="K1585" s="21">
        <f ca="1">COUNTIF($J$2:Master[[#This Row],[ChecklistID]],Master[[#This Row],[ChecklistID]])-1</f>
        <v>23</v>
      </c>
      <c r="L1585" s="23" t="s">
        <v>6</v>
      </c>
    </row>
    <row r="1586" spans="1:12" ht="15.75">
      <c r="A1586" s="23">
        <f>IFERROR(A1574+1,1)</f>
        <v>1574</v>
      </c>
      <c r="B1586" s="21">
        <f ca="1">Master[[#This Row],[ChecklistID]]+Master[[#This Row],[Checklist Order]]</f>
        <v>147024</v>
      </c>
      <c r="C1586" s="22"/>
      <c r="D1586" s="23" t="str" cm="1">
        <f t="array" aca="1" ref="D1586" ca="1">_xlfn.SWITCH(MID(Master[[#This Row],[Checklist]],1,4),"C - ","Civil","F - ","Foundation","ST -","Structure","FC -","Façade","PRE ","Pre-Line","POST","Post-Line","H - ","Handover","S - ","Services","CST ","Completion Docs", "I - ", "Inspection")</f>
        <v>Services</v>
      </c>
      <c r="E15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6" s="24" t="str">
        <f ca="1">IF(OR(Master[[#This Row],[Type]]="checklist", Master[[#This Row],[Type]]="checklist-flat"), Master[[#This Row],[Name]], F1585)</f>
        <v>S - S - Ventilation - Apartment Ventilation</v>
      </c>
      <c r="G1586" s="34" t="s">
        <v>49</v>
      </c>
      <c r="H1586" s="34" t="s">
        <v>730</v>
      </c>
      <c r="I1586" s="35"/>
      <c r="J1586" s="21">
        <f ca="1">_xlfn.XLOOKUP(Master[[#This Row],[Checklist]],Ref!A:A,Ref!B:B)*1000</f>
        <v>147000</v>
      </c>
      <c r="K1586" s="21">
        <f ca="1">COUNTIF($J$2:Master[[#This Row],[ChecklistID]],Master[[#This Row],[ChecklistID]])-1</f>
        <v>24</v>
      </c>
      <c r="L1586" s="23" t="s">
        <v>6</v>
      </c>
    </row>
    <row r="1587" spans="1:12" ht="15.75">
      <c r="A1587" s="23">
        <f>IFERROR(A1574+1,1)</f>
        <v>1574</v>
      </c>
      <c r="B1587" s="21">
        <f ca="1">Master[[#This Row],[ChecklistID]]+Master[[#This Row],[Checklist Order]]</f>
        <v>147025</v>
      </c>
      <c r="C1587" s="22"/>
      <c r="D1587" s="3" t="str" cm="1">
        <f t="array" aca="1" ref="D1587" ca="1">_xlfn.SWITCH(MID(Master[[#This Row],[Checklist]],1,4),"C - ","Civil","F - ","Foundation","ST -","Structure","FC -","Façade","PRE ","Pre-Line","POST","Post-Line","H - ","Handover","S - ","Services","CST ","Completion Docs", "I - ", "Inspection")</f>
        <v>Services</v>
      </c>
      <c r="E15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7" s="24" t="str">
        <f ca="1">IF(OR(Master[[#This Row],[Type]]="checklist", Master[[#This Row],[Type]]="checklist-flat"), Master[[#This Row],[Name]], F1586)</f>
        <v>S - S - Ventilation - Apartment Ventilation</v>
      </c>
      <c r="G1587" s="34" t="s">
        <v>49</v>
      </c>
      <c r="H1587" s="34" t="s">
        <v>731</v>
      </c>
      <c r="I1587" s="35"/>
      <c r="J1587" s="21">
        <f ca="1">_xlfn.XLOOKUP(Master[[#This Row],[Checklist]],Ref!A:A,Ref!B:B)*1000</f>
        <v>147000</v>
      </c>
      <c r="K1587" s="21">
        <f ca="1">COUNTIF($J$2:Master[[#This Row],[ChecklistID]],Master[[#This Row],[ChecklistID]])-1</f>
        <v>25</v>
      </c>
      <c r="L1587" s="23" t="s">
        <v>6</v>
      </c>
    </row>
    <row r="1588" spans="1:12" ht="15.75">
      <c r="A1588" s="23">
        <f t="shared" ref="A1588:A1651" si="25">IFERROR(A1587+1,1)</f>
        <v>1575</v>
      </c>
      <c r="B1588" s="21">
        <f ca="1">Master[[#This Row],[ChecklistID]]+Master[[#This Row],[Checklist Order]]</f>
        <v>147026</v>
      </c>
      <c r="C1588" s="22"/>
      <c r="D1588" s="3" t="str" cm="1">
        <f t="array" aca="1" ref="D1588" ca="1">_xlfn.SWITCH(MID(Master[[#This Row],[Checklist]],1,4),"C - ","Civil","F - ","Foundation","ST -","Structure","FC -","Façade","PRE ","Pre-Line","POST","Post-Line","H - ","Handover","S - ","Services","CST ","Completion Docs", "I - ", "Inspection")</f>
        <v>Services</v>
      </c>
      <c r="E15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8" s="24" t="str">
        <f ca="1">IF(OR(Master[[#This Row],[Type]]="checklist", Master[[#This Row],[Type]]="checklist-flat"), Master[[#This Row],[Name]], F1587)</f>
        <v>S - S - Ventilation - Apartment Ventilation</v>
      </c>
      <c r="G1588" s="34" t="s">
        <v>49</v>
      </c>
      <c r="H1588" s="34" t="s">
        <v>732</v>
      </c>
      <c r="I1588" s="35"/>
      <c r="J1588" s="21">
        <f ca="1">_xlfn.XLOOKUP(Master[[#This Row],[Checklist]],Ref!A:A,Ref!B:B)*1000</f>
        <v>147000</v>
      </c>
      <c r="K1588" s="21">
        <f ca="1">COUNTIF($J$2:Master[[#This Row],[ChecklistID]],Master[[#This Row],[ChecklistID]])-1</f>
        <v>26</v>
      </c>
      <c r="L1588" s="23" t="s">
        <v>6</v>
      </c>
    </row>
    <row r="1589" spans="1:12" ht="15.75">
      <c r="A1589" s="23">
        <f t="shared" si="25"/>
        <v>1576</v>
      </c>
      <c r="B1589" s="21">
        <f ca="1">Master[[#This Row],[ChecklistID]]+Master[[#This Row],[Checklist Order]]</f>
        <v>147027</v>
      </c>
      <c r="C1589" s="22"/>
      <c r="D1589" s="3" t="str" cm="1">
        <f t="array" aca="1" ref="D1589" ca="1">_xlfn.SWITCH(MID(Master[[#This Row],[Checklist]],1,4),"C - ","Civil","F - ","Foundation","ST -","Structure","FC -","Façade","PRE ","Pre-Line","POST","Post-Line","H - ","Handover","S - ","Services","CST ","Completion Docs", "I - ", "Inspection")</f>
        <v>Services</v>
      </c>
      <c r="E15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89" s="24" t="str">
        <f ca="1">IF(OR(Master[[#This Row],[Type]]="checklist", Master[[#This Row],[Type]]="checklist-flat"), Master[[#This Row],[Name]], F1588)</f>
        <v>S - S - Ventilation - Apartment Ventilation</v>
      </c>
      <c r="G1589" s="34" t="s">
        <v>49</v>
      </c>
      <c r="H1589" s="34" t="s">
        <v>57</v>
      </c>
      <c r="I1589" s="35"/>
      <c r="J1589" s="21">
        <f ca="1">_xlfn.XLOOKUP(Master[[#This Row],[Checklist]],Ref!A:A,Ref!B:B)*1000</f>
        <v>147000</v>
      </c>
      <c r="K1589" s="21">
        <f ca="1">COUNTIF($J$2:Master[[#This Row],[ChecklistID]],Master[[#This Row],[ChecklistID]])-1</f>
        <v>27</v>
      </c>
      <c r="L1589" s="23" t="s">
        <v>6</v>
      </c>
    </row>
    <row r="1590" spans="1:12" ht="15.75">
      <c r="A1590" s="23">
        <f t="shared" si="25"/>
        <v>1577</v>
      </c>
      <c r="B1590" s="21">
        <f ca="1">Master[[#This Row],[ChecklistID]]+Master[[#This Row],[Checklist Order]]</f>
        <v>147028</v>
      </c>
      <c r="C1590" s="22"/>
      <c r="D1590" s="3" t="str" cm="1">
        <f t="array" aca="1" ref="D1590" ca="1">_xlfn.SWITCH(MID(Master[[#This Row],[Checklist]],1,4),"C - ","Civil","F - ","Foundation","ST -","Structure","FC -","Façade","PRE ","Pre-Line","POST","Post-Line","H - ","Handover","S - ","Services","CST ","Completion Docs", "I - ", "Inspection")</f>
        <v>Services</v>
      </c>
      <c r="E15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0" s="24" t="str">
        <f ca="1">IF(OR(Master[[#This Row],[Type]]="checklist", Master[[#This Row],[Type]]="checklist-flat"), Master[[#This Row],[Name]], F1589)</f>
        <v>S - S - Ventilation - Apartment Ventilation</v>
      </c>
      <c r="G1590" s="34" t="s">
        <v>58</v>
      </c>
      <c r="H1590" s="34" t="s">
        <v>59</v>
      </c>
      <c r="I1590" s="35"/>
      <c r="J1590" s="21">
        <f ca="1">_xlfn.XLOOKUP(Master[[#This Row],[Checklist]],Ref!A:A,Ref!B:B)*1000</f>
        <v>147000</v>
      </c>
      <c r="K1590" s="21">
        <f ca="1">COUNTIF($J$2:Master[[#This Row],[ChecklistID]],Master[[#This Row],[ChecklistID]])-1</f>
        <v>28</v>
      </c>
      <c r="L1590" s="23" t="s">
        <v>6</v>
      </c>
    </row>
    <row r="1591" spans="1:12" ht="15.75">
      <c r="A1591" s="23">
        <f t="shared" si="25"/>
        <v>1578</v>
      </c>
      <c r="B1591" s="21">
        <f ca="1">Master[[#This Row],[ChecklistID]]+Master[[#This Row],[Checklist Order]]</f>
        <v>148000</v>
      </c>
      <c r="C1591" s="22"/>
      <c r="D1591" s="3" t="str" cm="1">
        <f t="array" aca="1" ref="D1591" ca="1">_xlfn.SWITCH(MID(Master[[#This Row],[Checklist]],1,4),"C - ","Civil","F - ","Foundation","ST -","Structure","FC -","Façade","PRE ","Pre-Line","POST","Post-Line","H - ","Handover","S - ","Services","CST ","Completion Docs", "I - ", "Inspection")</f>
        <v>Services</v>
      </c>
      <c r="E15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1" s="24" t="str">
        <f ca="1">IF(OR(Master[[#This Row],[Type]]="checklist", Master[[#This Row],[Type]]="checklist-flat"), Master[[#This Row],[Name]], F1590)</f>
        <v>S - S - Ventilation - Corridors Ventilation</v>
      </c>
      <c r="G1591" s="34" t="s">
        <v>119</v>
      </c>
      <c r="H1591" s="34" t="s">
        <v>733</v>
      </c>
      <c r="I1591" s="35"/>
      <c r="J1591" s="21">
        <f ca="1">_xlfn.XLOOKUP(Master[[#This Row],[Checklist]],Ref!A:A,Ref!B:B)*1000</f>
        <v>148000</v>
      </c>
      <c r="K1591" s="21">
        <f ca="1">COUNTIF($J$2:Master[[#This Row],[ChecklistID]],Master[[#This Row],[ChecklistID]])-1</f>
        <v>0</v>
      </c>
      <c r="L1591" s="23" t="s">
        <v>6</v>
      </c>
    </row>
    <row r="1592" spans="1:12" ht="15.75">
      <c r="A1592" s="23">
        <f t="shared" si="25"/>
        <v>1579</v>
      </c>
      <c r="B1592" s="21">
        <f ca="1">Master[[#This Row],[ChecklistID]]+Master[[#This Row],[Checklist Order]]</f>
        <v>148001</v>
      </c>
      <c r="C1592" s="22"/>
      <c r="D1592" s="3" t="str" cm="1">
        <f t="array" aca="1" ref="D1592" ca="1">_xlfn.SWITCH(MID(Master[[#This Row],[Checklist]],1,4),"C - ","Civil","F - ","Foundation","ST -","Structure","FC -","Façade","PRE ","Pre-Line","POST","Post-Line","H - ","Handover","S - ","Services","CST ","Completion Docs", "I - ", "Inspection")</f>
        <v>Services</v>
      </c>
      <c r="E15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2" s="24" t="str">
        <f ca="1">IF(OR(Master[[#This Row],[Type]]="checklist", Master[[#This Row],[Type]]="checklist-flat"), Master[[#This Row],[Name]], F1591)</f>
        <v>S - S - Ventilation - Corridors Ventilation</v>
      </c>
      <c r="G1592" s="34" t="s">
        <v>120</v>
      </c>
      <c r="H1592" s="34" t="s">
        <v>685</v>
      </c>
      <c r="I1592" s="35"/>
      <c r="J1592" s="21">
        <f ca="1">_xlfn.XLOOKUP(Master[[#This Row],[Checklist]],Ref!A:A,Ref!B:B)*1000</f>
        <v>148000</v>
      </c>
      <c r="K1592" s="21">
        <f ca="1">COUNTIF($J$2:Master[[#This Row],[ChecklistID]],Master[[#This Row],[ChecklistID]])-1</f>
        <v>1</v>
      </c>
      <c r="L1592" s="23" t="s">
        <v>6</v>
      </c>
    </row>
    <row r="1593" spans="1:12" ht="15.75">
      <c r="A1593" s="23">
        <f t="shared" si="25"/>
        <v>1580</v>
      </c>
      <c r="B1593" s="21">
        <f ca="1">Master[[#This Row],[ChecklistID]]+Master[[#This Row],[Checklist Order]]</f>
        <v>148002</v>
      </c>
      <c r="C1593" s="22"/>
      <c r="D1593" s="3" t="str" cm="1">
        <f t="array" aca="1" ref="D1593" ca="1">_xlfn.SWITCH(MID(Master[[#This Row],[Checklist]],1,4),"C - ","Civil","F - ","Foundation","ST -","Structure","FC -","Façade","PRE ","Pre-Line","POST","Post-Line","H - ","Handover","S - ","Services","CST ","Completion Docs", "I - ", "Inspection")</f>
        <v>Services</v>
      </c>
      <c r="E15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3" s="24" t="str">
        <f ca="1">IF(OR(Master[[#This Row],[Type]]="checklist", Master[[#This Row],[Type]]="checklist-flat"), Master[[#This Row],[Name]], F1592)</f>
        <v>S - S - Ventilation - Corridors Ventilation</v>
      </c>
      <c r="G1593" s="34" t="s">
        <v>49</v>
      </c>
      <c r="H1593" s="34" t="s">
        <v>734</v>
      </c>
      <c r="I1593" s="35"/>
      <c r="J1593" s="21">
        <f ca="1">_xlfn.XLOOKUP(Master[[#This Row],[Checklist]],Ref!A:A,Ref!B:B)*1000</f>
        <v>148000</v>
      </c>
      <c r="K1593" s="21">
        <f ca="1">COUNTIF($J$2:Master[[#This Row],[ChecklistID]],Master[[#This Row],[ChecklistID]])-1</f>
        <v>2</v>
      </c>
      <c r="L1593" s="23" t="s">
        <v>6</v>
      </c>
    </row>
    <row r="1594" spans="1:12" ht="15.75">
      <c r="A1594" s="23">
        <f t="shared" si="25"/>
        <v>1581</v>
      </c>
      <c r="B1594" s="21">
        <f ca="1">Master[[#This Row],[ChecklistID]]+Master[[#This Row],[Checklist Order]]</f>
        <v>148003</v>
      </c>
      <c r="C1594" s="22"/>
      <c r="D1594" s="3" t="str" cm="1">
        <f t="array" aca="1" ref="D1594" ca="1">_xlfn.SWITCH(MID(Master[[#This Row],[Checklist]],1,4),"C - ","Civil","F - ","Foundation","ST -","Structure","FC -","Façade","PRE ","Pre-Line","POST","Post-Line","H - ","Handover","S - ","Services","CST ","Completion Docs", "I - ", "Inspection")</f>
        <v>Services</v>
      </c>
      <c r="E15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4" s="24" t="str">
        <f ca="1">IF(OR(Master[[#This Row],[Type]]="checklist", Master[[#This Row],[Type]]="checklist-flat"), Master[[#This Row],[Name]], F1593)</f>
        <v>S - S - Ventilation - Corridors Ventilation</v>
      </c>
      <c r="G1594" s="34" t="s">
        <v>49</v>
      </c>
      <c r="H1594" s="34" t="s">
        <v>735</v>
      </c>
      <c r="I1594" s="35"/>
      <c r="J1594" s="21">
        <f ca="1">_xlfn.XLOOKUP(Master[[#This Row],[Checklist]],Ref!A:A,Ref!B:B)*1000</f>
        <v>148000</v>
      </c>
      <c r="K1594" s="21">
        <f ca="1">COUNTIF($J$2:Master[[#This Row],[ChecklistID]],Master[[#This Row],[ChecklistID]])-1</f>
        <v>3</v>
      </c>
      <c r="L1594" s="23" t="s">
        <v>6</v>
      </c>
    </row>
    <row r="1595" spans="1:12" ht="15.75">
      <c r="A1595" s="23">
        <f t="shared" si="25"/>
        <v>1582</v>
      </c>
      <c r="B1595" s="21">
        <f ca="1">Master[[#This Row],[ChecklistID]]+Master[[#This Row],[Checklist Order]]</f>
        <v>148004</v>
      </c>
      <c r="C1595" s="22"/>
      <c r="D1595" s="3" t="str" cm="1">
        <f t="array" aca="1" ref="D1595" ca="1">_xlfn.SWITCH(MID(Master[[#This Row],[Checklist]],1,4),"C - ","Civil","F - ","Foundation","ST -","Structure","FC -","Façade","PRE ","Pre-Line","POST","Post-Line","H - ","Handover","S - ","Services","CST ","Completion Docs", "I - ", "Inspection")</f>
        <v>Services</v>
      </c>
      <c r="E15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5" s="24" t="str">
        <f ca="1">IF(OR(Master[[#This Row],[Type]]="checklist", Master[[#This Row],[Type]]="checklist-flat"), Master[[#This Row],[Name]], F1594)</f>
        <v>S - S - Ventilation - Corridors Ventilation</v>
      </c>
      <c r="G1595" s="34" t="s">
        <v>49</v>
      </c>
      <c r="H1595" s="34" t="s">
        <v>736</v>
      </c>
      <c r="I1595" s="35"/>
      <c r="J1595" s="21">
        <f ca="1">_xlfn.XLOOKUP(Master[[#This Row],[Checklist]],Ref!A:A,Ref!B:B)*1000</f>
        <v>148000</v>
      </c>
      <c r="K1595" s="21">
        <f ca="1">COUNTIF($J$2:Master[[#This Row],[ChecklistID]],Master[[#This Row],[ChecklistID]])-1</f>
        <v>4</v>
      </c>
      <c r="L1595" s="23" t="s">
        <v>6</v>
      </c>
    </row>
    <row r="1596" spans="1:12" ht="15.75">
      <c r="A1596" s="23">
        <f t="shared" si="25"/>
        <v>1583</v>
      </c>
      <c r="B1596" s="21">
        <f ca="1">Master[[#This Row],[ChecklistID]]+Master[[#This Row],[Checklist Order]]</f>
        <v>148005</v>
      </c>
      <c r="C1596" s="22"/>
      <c r="D1596" s="3" t="str" cm="1">
        <f t="array" aca="1" ref="D1596" ca="1">_xlfn.SWITCH(MID(Master[[#This Row],[Checklist]],1,4),"C - ","Civil","F - ","Foundation","ST -","Structure","FC -","Façade","PRE ","Pre-Line","POST","Post-Line","H - ","Handover","S - ","Services","CST ","Completion Docs", "I - ", "Inspection")</f>
        <v>Services</v>
      </c>
      <c r="E15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6" s="24" t="str">
        <f ca="1">IF(OR(Master[[#This Row],[Type]]="checklist", Master[[#This Row],[Type]]="checklist-flat"), Master[[#This Row],[Name]], F1595)</f>
        <v>S - S - Ventilation - Corridors Ventilation</v>
      </c>
      <c r="G1596" s="34" t="s">
        <v>120</v>
      </c>
      <c r="H1596" s="34" t="s">
        <v>690</v>
      </c>
      <c r="I1596" s="35"/>
      <c r="J1596" s="21">
        <f ca="1">_xlfn.XLOOKUP(Master[[#This Row],[Checklist]],Ref!A:A,Ref!B:B)*1000</f>
        <v>148000</v>
      </c>
      <c r="K1596" s="21">
        <f ca="1">COUNTIF($J$2:Master[[#This Row],[ChecklistID]],Master[[#This Row],[ChecklistID]])-1</f>
        <v>5</v>
      </c>
      <c r="L1596" s="23" t="s">
        <v>6</v>
      </c>
    </row>
    <row r="1597" spans="1:12" ht="15.75">
      <c r="A1597" s="23">
        <f t="shared" si="25"/>
        <v>1584</v>
      </c>
      <c r="B1597" s="21">
        <f ca="1">Master[[#This Row],[ChecklistID]]+Master[[#This Row],[Checklist Order]]</f>
        <v>148006</v>
      </c>
      <c r="C1597" s="22"/>
      <c r="D1597" s="3" t="str" cm="1">
        <f t="array" aca="1" ref="D1597" ca="1">_xlfn.SWITCH(MID(Master[[#This Row],[Checklist]],1,4),"C - ","Civil","F - ","Foundation","ST -","Structure","FC -","Façade","PRE ","Pre-Line","POST","Post-Line","H - ","Handover","S - ","Services","CST ","Completion Docs", "I - ", "Inspection")</f>
        <v>Services</v>
      </c>
      <c r="E15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7" s="24" t="str">
        <f ca="1">IF(OR(Master[[#This Row],[Type]]="checklist", Master[[#This Row],[Type]]="checklist-flat"), Master[[#This Row],[Name]], F1596)</f>
        <v>S - S - Ventilation - Corridors Ventilation</v>
      </c>
      <c r="G1597" s="34" t="s">
        <v>49</v>
      </c>
      <c r="H1597" s="34" t="s">
        <v>737</v>
      </c>
      <c r="I1597" s="35"/>
      <c r="J1597" s="21">
        <f ca="1">_xlfn.XLOOKUP(Master[[#This Row],[Checklist]],Ref!A:A,Ref!B:B)*1000</f>
        <v>148000</v>
      </c>
      <c r="K1597" s="21">
        <f ca="1">COUNTIF($J$2:Master[[#This Row],[ChecklistID]],Master[[#This Row],[ChecklistID]])-1</f>
        <v>6</v>
      </c>
      <c r="L1597" s="23" t="s">
        <v>6</v>
      </c>
    </row>
    <row r="1598" spans="1:12" ht="15.75">
      <c r="A1598" s="23">
        <f t="shared" si="25"/>
        <v>1585</v>
      </c>
      <c r="B1598" s="21">
        <f ca="1">Master[[#This Row],[ChecklistID]]+Master[[#This Row],[Checklist Order]]</f>
        <v>148007</v>
      </c>
      <c r="C1598" s="22"/>
      <c r="D1598" s="3" t="str" cm="1">
        <f t="array" aca="1" ref="D1598" ca="1">_xlfn.SWITCH(MID(Master[[#This Row],[Checklist]],1,4),"C - ","Civil","F - ","Foundation","ST -","Structure","FC -","Façade","PRE ","Pre-Line","POST","Post-Line","H - ","Handover","S - ","Services","CST ","Completion Docs", "I - ", "Inspection")</f>
        <v>Services</v>
      </c>
      <c r="E15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8" s="24" t="str">
        <f ca="1">IF(OR(Master[[#This Row],[Type]]="checklist", Master[[#This Row],[Type]]="checklist-flat"), Master[[#This Row],[Name]], F1597)</f>
        <v>S - S - Ventilation - Corridors Ventilation</v>
      </c>
      <c r="G1598" s="34" t="s">
        <v>49</v>
      </c>
      <c r="H1598" s="34" t="s">
        <v>1702</v>
      </c>
      <c r="I1598" s="35"/>
      <c r="J1598" s="21">
        <f ca="1">_xlfn.XLOOKUP(Master[[#This Row],[Checklist]],Ref!A:A,Ref!B:B)*1000</f>
        <v>148000</v>
      </c>
      <c r="K1598" s="21">
        <f ca="1">COUNTIF($J$2:Master[[#This Row],[ChecklistID]],Master[[#This Row],[ChecklistID]])-1</f>
        <v>7</v>
      </c>
      <c r="L1598" s="23" t="s">
        <v>6</v>
      </c>
    </row>
    <row r="1599" spans="1:12" ht="15.75">
      <c r="A1599" s="23">
        <f t="shared" si="25"/>
        <v>1586</v>
      </c>
      <c r="B1599" s="21">
        <f ca="1">Master[[#This Row],[ChecklistID]]+Master[[#This Row],[Checklist Order]]</f>
        <v>148008</v>
      </c>
      <c r="C1599" s="22"/>
      <c r="D1599" s="3" t="str" cm="1">
        <f t="array" aca="1" ref="D1599" ca="1">_xlfn.SWITCH(MID(Master[[#This Row],[Checklist]],1,4),"C - ","Civil","F - ","Foundation","ST -","Structure","FC -","Façade","PRE ","Pre-Line","POST","Post-Line","H - ","Handover","S - ","Services","CST ","Completion Docs", "I - ", "Inspection")</f>
        <v>Services</v>
      </c>
      <c r="E15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599" s="24" t="str">
        <f ca="1">IF(OR(Master[[#This Row],[Type]]="checklist", Master[[#This Row],[Type]]="checklist-flat"), Master[[#This Row],[Name]], F1598)</f>
        <v>S - S - Ventilation - Corridors Ventilation</v>
      </c>
      <c r="G1599" s="34" t="s">
        <v>49</v>
      </c>
      <c r="H1599" s="34" t="s">
        <v>722</v>
      </c>
      <c r="I1599" s="35"/>
      <c r="J1599" s="21">
        <f ca="1">_xlfn.XLOOKUP(Master[[#This Row],[Checklist]],Ref!A:A,Ref!B:B)*1000</f>
        <v>148000</v>
      </c>
      <c r="K1599" s="21">
        <f ca="1">COUNTIF($J$2:Master[[#This Row],[ChecklistID]],Master[[#This Row],[ChecklistID]])-1</f>
        <v>8</v>
      </c>
      <c r="L1599" s="23" t="s">
        <v>6</v>
      </c>
    </row>
    <row r="1600" spans="1:12" ht="15.75">
      <c r="A1600" s="23">
        <f t="shared" si="25"/>
        <v>1587</v>
      </c>
      <c r="B1600" s="21">
        <f ca="1">Master[[#This Row],[ChecklistID]]+Master[[#This Row],[Checklist Order]]</f>
        <v>148009</v>
      </c>
      <c r="C1600" s="22"/>
      <c r="D1600" s="3" t="str" cm="1">
        <f t="array" aca="1" ref="D1600" ca="1">_xlfn.SWITCH(MID(Master[[#This Row],[Checklist]],1,4),"C - ","Civil","F - ","Foundation","ST -","Structure","FC -","Façade","PRE ","Pre-Line","POST","Post-Line","H - ","Handover","S - ","Services","CST ","Completion Docs", "I - ", "Inspection")</f>
        <v>Services</v>
      </c>
      <c r="E16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0" s="24" t="str">
        <f ca="1">IF(OR(Master[[#This Row],[Type]]="checklist", Master[[#This Row],[Type]]="checklist-flat"), Master[[#This Row],[Name]], F1599)</f>
        <v>S - S - Ventilation - Corridors Ventilation</v>
      </c>
      <c r="G1600" s="34" t="s">
        <v>120</v>
      </c>
      <c r="H1600" s="34" t="s">
        <v>697</v>
      </c>
      <c r="I1600" s="35"/>
      <c r="J1600" s="21">
        <f ca="1">_xlfn.XLOOKUP(Master[[#This Row],[Checklist]],Ref!A:A,Ref!B:B)*1000</f>
        <v>148000</v>
      </c>
      <c r="K1600" s="21">
        <f ca="1">COUNTIF($J$2:Master[[#This Row],[ChecklistID]],Master[[#This Row],[ChecklistID]])-1</f>
        <v>9</v>
      </c>
      <c r="L1600" s="23" t="s">
        <v>6</v>
      </c>
    </row>
    <row r="1601" spans="1:12" ht="15.75">
      <c r="A1601" s="23">
        <f t="shared" si="25"/>
        <v>1588</v>
      </c>
      <c r="B1601" s="21">
        <f ca="1">Master[[#This Row],[ChecklistID]]+Master[[#This Row],[Checklist Order]]</f>
        <v>148010</v>
      </c>
      <c r="C1601" s="22"/>
      <c r="D1601" s="3" t="str" cm="1">
        <f t="array" aca="1" ref="D1601" ca="1">_xlfn.SWITCH(MID(Master[[#This Row],[Checklist]],1,4),"C - ","Civil","F - ","Foundation","ST -","Structure","FC -","Façade","PRE ","Pre-Line","POST","Post-Line","H - ","Handover","S - ","Services","CST ","Completion Docs", "I - ", "Inspection")</f>
        <v>Services</v>
      </c>
      <c r="E16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1" s="24" t="str">
        <f ca="1">IF(OR(Master[[#This Row],[Type]]="checklist", Master[[#This Row],[Type]]="checklist-flat"), Master[[#This Row],[Name]], F1600)</f>
        <v>S - S - Ventilation - Corridors Ventilation</v>
      </c>
      <c r="G1601" s="34" t="s">
        <v>49</v>
      </c>
      <c r="H1601" s="34" t="s">
        <v>1703</v>
      </c>
      <c r="I1601" s="35"/>
      <c r="J1601" s="21">
        <f ca="1">_xlfn.XLOOKUP(Master[[#This Row],[Checklist]],Ref!A:A,Ref!B:B)*1000</f>
        <v>148000</v>
      </c>
      <c r="K1601" s="21">
        <f ca="1">COUNTIF($J$2:Master[[#This Row],[ChecklistID]],Master[[#This Row],[ChecklistID]])-1</f>
        <v>10</v>
      </c>
      <c r="L1601" s="23" t="s">
        <v>6</v>
      </c>
    </row>
    <row r="1602" spans="1:12" ht="15.75">
      <c r="A1602" s="23">
        <f t="shared" si="25"/>
        <v>1589</v>
      </c>
      <c r="B1602" s="21">
        <f ca="1">Master[[#This Row],[ChecklistID]]+Master[[#This Row],[Checklist Order]]</f>
        <v>148011</v>
      </c>
      <c r="C1602" s="22"/>
      <c r="D1602" s="3" t="str" cm="1">
        <f t="array" aca="1" ref="D1602" ca="1">_xlfn.SWITCH(MID(Master[[#This Row],[Checklist]],1,4),"C - ","Civil","F - ","Foundation","ST -","Structure","FC -","Façade","PRE ","Pre-Line","POST","Post-Line","H - ","Handover","S - ","Services","CST ","Completion Docs", "I - ", "Inspection")</f>
        <v>Services</v>
      </c>
      <c r="E16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2" s="24" t="str">
        <f ca="1">IF(OR(Master[[#This Row],[Type]]="checklist", Master[[#This Row],[Type]]="checklist-flat"), Master[[#This Row],[Name]], F1601)</f>
        <v>S - S - Ventilation - Corridors Ventilation</v>
      </c>
      <c r="G1602" s="34" t="s">
        <v>49</v>
      </c>
      <c r="H1602" s="34" t="s">
        <v>729</v>
      </c>
      <c r="I1602" s="35"/>
      <c r="J1602" s="21">
        <f ca="1">_xlfn.XLOOKUP(Master[[#This Row],[Checklist]],Ref!A:A,Ref!B:B)*1000</f>
        <v>148000</v>
      </c>
      <c r="K1602" s="21">
        <f ca="1">COUNTIF($J$2:Master[[#This Row],[ChecklistID]],Master[[#This Row],[ChecklistID]])-1</f>
        <v>11</v>
      </c>
      <c r="L1602" s="23" t="s">
        <v>6</v>
      </c>
    </row>
    <row r="1603" spans="1:12" ht="15.75">
      <c r="A1603" s="23">
        <f t="shared" si="25"/>
        <v>1590</v>
      </c>
      <c r="B1603" s="21">
        <f ca="1">Master[[#This Row],[ChecklistID]]+Master[[#This Row],[Checklist Order]]</f>
        <v>148012</v>
      </c>
      <c r="C1603" s="22"/>
      <c r="D1603" s="3" t="str" cm="1">
        <f t="array" aca="1" ref="D1603" ca="1">_xlfn.SWITCH(MID(Master[[#This Row],[Checklist]],1,4),"C - ","Civil","F - ","Foundation","ST -","Structure","FC -","Façade","PRE ","Pre-Line","POST","Post-Line","H - ","Handover","S - ","Services","CST ","Completion Docs", "I - ", "Inspection")</f>
        <v>Services</v>
      </c>
      <c r="E16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3" s="24" t="str">
        <f ca="1">IF(OR(Master[[#This Row],[Type]]="checklist", Master[[#This Row],[Type]]="checklist-flat"), Master[[#This Row],[Name]], F1602)</f>
        <v>S - S - Ventilation - Corridors Ventilation</v>
      </c>
      <c r="G1603" s="34" t="s">
        <v>120</v>
      </c>
      <c r="H1603" s="34" t="s">
        <v>705</v>
      </c>
      <c r="I1603" s="35"/>
      <c r="J1603" s="21">
        <f ca="1">_xlfn.XLOOKUP(Master[[#This Row],[Checklist]],Ref!A:A,Ref!B:B)*1000</f>
        <v>148000</v>
      </c>
      <c r="K1603" s="21">
        <f ca="1">COUNTIF($J$2:Master[[#This Row],[ChecklistID]],Master[[#This Row],[ChecklistID]])-1</f>
        <v>12</v>
      </c>
      <c r="L1603" s="23" t="s">
        <v>6</v>
      </c>
    </row>
    <row r="1604" spans="1:12" ht="15.75">
      <c r="A1604" s="23">
        <f t="shared" si="25"/>
        <v>1591</v>
      </c>
      <c r="B1604" s="21">
        <f ca="1">Master[[#This Row],[ChecklistID]]+Master[[#This Row],[Checklist Order]]</f>
        <v>148013</v>
      </c>
      <c r="C1604" s="22"/>
      <c r="D1604" s="3" t="str" cm="1">
        <f t="array" aca="1" ref="D1604" ca="1">_xlfn.SWITCH(MID(Master[[#This Row],[Checklist]],1,4),"C - ","Civil","F - ","Foundation","ST -","Structure","FC -","Façade","PRE ","Pre-Line","POST","Post-Line","H - ","Handover","S - ","Services","CST ","Completion Docs", "I - ", "Inspection")</f>
        <v>Services</v>
      </c>
      <c r="E16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4" s="24" t="str">
        <f ca="1">IF(OR(Master[[#This Row],[Type]]="checklist", Master[[#This Row],[Type]]="checklist-flat"), Master[[#This Row],[Name]], F1603)</f>
        <v>S - S - Ventilation - Corridors Ventilation</v>
      </c>
      <c r="G1604" s="34" t="s">
        <v>49</v>
      </c>
      <c r="H1604" s="34" t="s">
        <v>732</v>
      </c>
      <c r="I1604" s="35"/>
      <c r="J1604" s="21">
        <f ca="1">_xlfn.XLOOKUP(Master[[#This Row],[Checklist]],Ref!A:A,Ref!B:B)*1000</f>
        <v>148000</v>
      </c>
      <c r="K1604" s="21">
        <f ca="1">COUNTIF($J$2:Master[[#This Row],[ChecklistID]],Master[[#This Row],[ChecklistID]])-1</f>
        <v>13</v>
      </c>
      <c r="L1604" s="23" t="s">
        <v>6</v>
      </c>
    </row>
    <row r="1605" spans="1:12" ht="15.75">
      <c r="A1605" s="23">
        <f t="shared" si="25"/>
        <v>1592</v>
      </c>
      <c r="B1605" s="21">
        <f ca="1">Master[[#This Row],[ChecklistID]]+Master[[#This Row],[Checklist Order]]</f>
        <v>148014</v>
      </c>
      <c r="C1605" s="22"/>
      <c r="D1605" s="3" t="str" cm="1">
        <f t="array" aca="1" ref="D1605" ca="1">_xlfn.SWITCH(MID(Master[[#This Row],[Checklist]],1,4),"C - ","Civil","F - ","Foundation","ST -","Structure","FC -","Façade","PRE ","Pre-Line","POST","Post-Line","H - ","Handover","S - ","Services","CST ","Completion Docs", "I - ", "Inspection")</f>
        <v>Services</v>
      </c>
      <c r="E16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5" s="24" t="str">
        <f ca="1">IF(OR(Master[[#This Row],[Type]]="checklist", Master[[#This Row],[Type]]="checklist-flat"), Master[[#This Row],[Name]], F1604)</f>
        <v>S - S - Ventilation - Corridors Ventilation</v>
      </c>
      <c r="G1605" s="34" t="s">
        <v>49</v>
      </c>
      <c r="H1605" s="34" t="s">
        <v>57</v>
      </c>
      <c r="I1605" s="35"/>
      <c r="J1605" s="21">
        <f ca="1">_xlfn.XLOOKUP(Master[[#This Row],[Checklist]],Ref!A:A,Ref!B:B)*1000</f>
        <v>148000</v>
      </c>
      <c r="K1605" s="21">
        <f ca="1">COUNTIF($J$2:Master[[#This Row],[ChecklistID]],Master[[#This Row],[ChecklistID]])-1</f>
        <v>14</v>
      </c>
      <c r="L1605" s="23" t="s">
        <v>6</v>
      </c>
    </row>
    <row r="1606" spans="1:12" ht="15.75">
      <c r="A1606" s="23">
        <f t="shared" si="25"/>
        <v>1593</v>
      </c>
      <c r="B1606" s="21">
        <f ca="1">Master[[#This Row],[ChecklistID]]+Master[[#This Row],[Checklist Order]]</f>
        <v>148015</v>
      </c>
      <c r="C1606" s="22"/>
      <c r="D1606" s="3" t="str" cm="1">
        <f t="array" aca="1" ref="D1606" ca="1">_xlfn.SWITCH(MID(Master[[#This Row],[Checklist]],1,4),"C - ","Civil","F - ","Foundation","ST -","Structure","FC -","Façade","PRE ","Pre-Line","POST","Post-Line","H - ","Handover","S - ","Services","CST ","Completion Docs", "I - ", "Inspection")</f>
        <v>Services</v>
      </c>
      <c r="E16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6" s="24" t="str">
        <f ca="1">IF(OR(Master[[#This Row],[Type]]="checklist", Master[[#This Row],[Type]]="checklist-flat"), Master[[#This Row],[Name]], F1605)</f>
        <v>S - S - Ventilation - Corridors Ventilation</v>
      </c>
      <c r="G1606" s="34" t="s">
        <v>58</v>
      </c>
      <c r="H1606" s="34" t="s">
        <v>59</v>
      </c>
      <c r="I1606" s="35"/>
      <c r="J1606" s="21">
        <f ca="1">_xlfn.XLOOKUP(Master[[#This Row],[Checklist]],Ref!A:A,Ref!B:B)*1000</f>
        <v>148000</v>
      </c>
      <c r="K1606" s="21">
        <f ca="1">COUNTIF($J$2:Master[[#This Row],[ChecklistID]],Master[[#This Row],[ChecklistID]])-1</f>
        <v>15</v>
      </c>
      <c r="L1606" s="23" t="s">
        <v>6</v>
      </c>
    </row>
    <row r="1607" spans="1:12" ht="15.75">
      <c r="A1607" s="23">
        <f t="shared" si="25"/>
        <v>1594</v>
      </c>
      <c r="B1607" s="21">
        <f ca="1">Master[[#This Row],[ChecklistID]]+Master[[#This Row],[Checklist Order]]</f>
        <v>149000</v>
      </c>
      <c r="C1607" s="22"/>
      <c r="D1607" s="3" t="str" cm="1">
        <f t="array" aca="1" ref="D1607" ca="1">_xlfn.SWITCH(MID(Master[[#This Row],[Checklist]],1,4),"C - ","Civil","F - ","Foundation","ST -","Structure","FC -","Façade","PRE ","Pre-Line","POST","Post-Line","H - ","Handover","S - ","Services","CST ","Completion Docs", "I - ", "Inspection")</f>
        <v>Services</v>
      </c>
      <c r="E16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7" s="24" t="str">
        <f ca="1">IF(OR(Master[[#This Row],[Type]]="checklist", Master[[#This Row],[Type]]="checklist-flat"), Master[[#This Row],[Name]], F1606)</f>
        <v>S - S - Kitch Extraction</v>
      </c>
      <c r="G1607" s="34" t="s">
        <v>119</v>
      </c>
      <c r="H1607" s="34" t="s">
        <v>740</v>
      </c>
      <c r="I1607" s="35"/>
      <c r="J1607" s="21">
        <f ca="1">_xlfn.XLOOKUP(Master[[#This Row],[Checklist]],Ref!A:A,Ref!B:B)*1000</f>
        <v>149000</v>
      </c>
      <c r="K1607" s="21">
        <f ca="1">COUNTIF($J$2:Master[[#This Row],[ChecklistID]],Master[[#This Row],[ChecklistID]])-1</f>
        <v>0</v>
      </c>
      <c r="L1607" s="23" t="s">
        <v>6</v>
      </c>
    </row>
    <row r="1608" spans="1:12" ht="15.75">
      <c r="A1608" s="23">
        <f t="shared" si="25"/>
        <v>1595</v>
      </c>
      <c r="B1608" s="21">
        <f ca="1">Master[[#This Row],[ChecklistID]]+Master[[#This Row],[Checklist Order]]</f>
        <v>149001</v>
      </c>
      <c r="C1608" s="22"/>
      <c r="D1608" s="3" t="str" cm="1">
        <f t="array" aca="1" ref="D1608" ca="1">_xlfn.SWITCH(MID(Master[[#This Row],[Checklist]],1,4),"C - ","Civil","F - ","Foundation","ST -","Structure","FC -","Façade","PRE ","Pre-Line","POST","Post-Line","H - ","Handover","S - ","Services","CST ","Completion Docs", "I - ", "Inspection")</f>
        <v>Services</v>
      </c>
      <c r="E16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8" s="24" t="str">
        <f ca="1">IF(OR(Master[[#This Row],[Type]]="checklist", Master[[#This Row],[Type]]="checklist-flat"), Master[[#This Row],[Name]], F1607)</f>
        <v>S - S - Kitch Extraction</v>
      </c>
      <c r="G1608" s="34" t="s">
        <v>120</v>
      </c>
      <c r="H1608" s="34" t="s">
        <v>685</v>
      </c>
      <c r="I1608" s="35"/>
      <c r="J1608" s="21">
        <f ca="1">_xlfn.XLOOKUP(Master[[#This Row],[Checklist]],Ref!A:A,Ref!B:B)*1000</f>
        <v>149000</v>
      </c>
      <c r="K1608" s="21">
        <f ca="1">COUNTIF($J$2:Master[[#This Row],[ChecklistID]],Master[[#This Row],[ChecklistID]])-1</f>
        <v>1</v>
      </c>
      <c r="L1608" s="23" t="s">
        <v>6</v>
      </c>
    </row>
    <row r="1609" spans="1:12" ht="15.75">
      <c r="A1609" s="23">
        <f t="shared" si="25"/>
        <v>1596</v>
      </c>
      <c r="B1609" s="21">
        <f ca="1">Master[[#This Row],[ChecklistID]]+Master[[#This Row],[Checklist Order]]</f>
        <v>149002</v>
      </c>
      <c r="C1609" s="22"/>
      <c r="D1609" s="3" t="str" cm="1">
        <f t="array" aca="1" ref="D1609" ca="1">_xlfn.SWITCH(MID(Master[[#This Row],[Checklist]],1,4),"C - ","Civil","F - ","Foundation","ST -","Structure","FC -","Façade","PRE ","Pre-Line","POST","Post-Line","H - ","Handover","S - ","Services","CST ","Completion Docs", "I - ", "Inspection")</f>
        <v>Services</v>
      </c>
      <c r="E16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09" s="24" t="str">
        <f ca="1">IF(OR(Master[[#This Row],[Type]]="checklist", Master[[#This Row],[Type]]="checklist-flat"), Master[[#This Row],[Name]], F1608)</f>
        <v>S - S - Kitch Extraction</v>
      </c>
      <c r="G1609" s="34" t="s">
        <v>49</v>
      </c>
      <c r="H1609" s="34" t="s">
        <v>734</v>
      </c>
      <c r="I1609" s="35"/>
      <c r="J1609" s="21">
        <f ca="1">_xlfn.XLOOKUP(Master[[#This Row],[Checklist]],Ref!A:A,Ref!B:B)*1000</f>
        <v>149000</v>
      </c>
      <c r="K1609" s="21">
        <f ca="1">COUNTIF($J$2:Master[[#This Row],[ChecklistID]],Master[[#This Row],[ChecklistID]])-1</f>
        <v>2</v>
      </c>
      <c r="L1609" s="23" t="s">
        <v>6</v>
      </c>
    </row>
    <row r="1610" spans="1:12" ht="15.75">
      <c r="A1610" s="23">
        <f t="shared" si="25"/>
        <v>1597</v>
      </c>
      <c r="B1610" s="21">
        <f ca="1">Master[[#This Row],[ChecklistID]]+Master[[#This Row],[Checklist Order]]</f>
        <v>149003</v>
      </c>
      <c r="C1610" s="22"/>
      <c r="D1610" s="3" t="str" cm="1">
        <f t="array" aca="1" ref="D1610" ca="1">_xlfn.SWITCH(MID(Master[[#This Row],[Checklist]],1,4),"C - ","Civil","F - ","Foundation","ST -","Structure","FC -","Façade","PRE ","Pre-Line","POST","Post-Line","H - ","Handover","S - ","Services","CST ","Completion Docs", "I - ", "Inspection")</f>
        <v>Services</v>
      </c>
      <c r="E16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0" s="24" t="str">
        <f ca="1">IF(OR(Master[[#This Row],[Type]]="checklist", Master[[#This Row],[Type]]="checklist-flat"), Master[[#This Row],[Name]], F1609)</f>
        <v>S - S - Kitch Extraction</v>
      </c>
      <c r="G1610" s="34" t="s">
        <v>49</v>
      </c>
      <c r="H1610" s="34" t="s">
        <v>741</v>
      </c>
      <c r="I1610" s="35"/>
      <c r="J1610" s="21">
        <f ca="1">_xlfn.XLOOKUP(Master[[#This Row],[Checklist]],Ref!A:A,Ref!B:B)*1000</f>
        <v>149000</v>
      </c>
      <c r="K1610" s="21">
        <f ca="1">COUNTIF($J$2:Master[[#This Row],[ChecklistID]],Master[[#This Row],[ChecklistID]])-1</f>
        <v>3</v>
      </c>
      <c r="L1610" s="23" t="s">
        <v>6</v>
      </c>
    </row>
    <row r="1611" spans="1:12" ht="15.75">
      <c r="A1611" s="23">
        <f t="shared" si="25"/>
        <v>1598</v>
      </c>
      <c r="B1611" s="21">
        <f ca="1">Master[[#This Row],[ChecklistID]]+Master[[#This Row],[Checklist Order]]</f>
        <v>149004</v>
      </c>
      <c r="C1611" s="22"/>
      <c r="D1611" s="3" t="str" cm="1">
        <f t="array" aca="1" ref="D1611" ca="1">_xlfn.SWITCH(MID(Master[[#This Row],[Checklist]],1,4),"C - ","Civil","F - ","Foundation","ST -","Structure","FC -","Façade","PRE ","Pre-Line","POST","Post-Line","H - ","Handover","S - ","Services","CST ","Completion Docs", "I - ", "Inspection")</f>
        <v>Services</v>
      </c>
      <c r="E16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1" s="24" t="str">
        <f ca="1">IF(OR(Master[[#This Row],[Type]]="checklist", Master[[#This Row],[Type]]="checklist-flat"), Master[[#This Row],[Name]], F1610)</f>
        <v>S - S - Kitch Extraction</v>
      </c>
      <c r="G1611" s="34" t="s">
        <v>49</v>
      </c>
      <c r="H1611" s="34" t="s">
        <v>736</v>
      </c>
      <c r="I1611" s="35"/>
      <c r="J1611" s="21">
        <f ca="1">_xlfn.XLOOKUP(Master[[#This Row],[Checklist]],Ref!A:A,Ref!B:B)*1000</f>
        <v>149000</v>
      </c>
      <c r="K1611" s="21">
        <f ca="1">COUNTIF($J$2:Master[[#This Row],[ChecklistID]],Master[[#This Row],[ChecklistID]])-1</f>
        <v>4</v>
      </c>
      <c r="L1611" s="23" t="s">
        <v>6</v>
      </c>
    </row>
    <row r="1612" spans="1:12" ht="15.75">
      <c r="A1612" s="23">
        <f t="shared" si="25"/>
        <v>1599</v>
      </c>
      <c r="B1612" s="21">
        <f ca="1">Master[[#This Row],[ChecklistID]]+Master[[#This Row],[Checklist Order]]</f>
        <v>149005</v>
      </c>
      <c r="C1612" s="22"/>
      <c r="D1612" s="3" t="str" cm="1">
        <f t="array" aca="1" ref="D1612" ca="1">_xlfn.SWITCH(MID(Master[[#This Row],[Checklist]],1,4),"C - ","Civil","F - ","Foundation","ST -","Structure","FC -","Façade","PRE ","Pre-Line","POST","Post-Line","H - ","Handover","S - ","Services","CST ","Completion Docs", "I - ", "Inspection")</f>
        <v>Services</v>
      </c>
      <c r="E16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2" s="24" t="str">
        <f ca="1">IF(OR(Master[[#This Row],[Type]]="checklist", Master[[#This Row],[Type]]="checklist-flat"), Master[[#This Row],[Name]], F1611)</f>
        <v>S - S - Kitch Extraction</v>
      </c>
      <c r="G1612" s="34" t="s">
        <v>120</v>
      </c>
      <c r="H1612" s="34" t="s">
        <v>690</v>
      </c>
      <c r="I1612" s="35"/>
      <c r="J1612" s="21">
        <f ca="1">_xlfn.XLOOKUP(Master[[#This Row],[Checklist]],Ref!A:A,Ref!B:B)*1000</f>
        <v>149000</v>
      </c>
      <c r="K1612" s="21">
        <f ca="1">COUNTIF($J$2:Master[[#This Row],[ChecklistID]],Master[[#This Row],[ChecklistID]])-1</f>
        <v>5</v>
      </c>
      <c r="L1612" s="23" t="s">
        <v>6</v>
      </c>
    </row>
    <row r="1613" spans="1:12" ht="15.75">
      <c r="A1613" s="23">
        <f t="shared" si="25"/>
        <v>1600</v>
      </c>
      <c r="B1613" s="21">
        <f ca="1">Master[[#This Row],[ChecklistID]]+Master[[#This Row],[Checklist Order]]</f>
        <v>149006</v>
      </c>
      <c r="C1613" s="22"/>
      <c r="D1613" s="3" t="str" cm="1">
        <f t="array" aca="1" ref="D1613" ca="1">_xlfn.SWITCH(MID(Master[[#This Row],[Checklist]],1,4),"C - ","Civil","F - ","Foundation","ST -","Structure","FC -","Façade","PRE ","Pre-Line","POST","Post-Line","H - ","Handover","S - ","Services","CST ","Completion Docs", "I - ", "Inspection")</f>
        <v>Services</v>
      </c>
      <c r="E16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3" s="24" t="str">
        <f ca="1">IF(OR(Master[[#This Row],[Type]]="checklist", Master[[#This Row],[Type]]="checklist-flat"), Master[[#This Row],[Name]], F1612)</f>
        <v>S - S - Kitch Extraction</v>
      </c>
      <c r="G1613" s="34" t="s">
        <v>49</v>
      </c>
      <c r="H1613" s="34" t="s">
        <v>742</v>
      </c>
      <c r="I1613" s="35"/>
      <c r="J1613" s="21">
        <f ca="1">_xlfn.XLOOKUP(Master[[#This Row],[Checklist]],Ref!A:A,Ref!B:B)*1000</f>
        <v>149000</v>
      </c>
      <c r="K1613" s="21">
        <f ca="1">COUNTIF($J$2:Master[[#This Row],[ChecklistID]],Master[[#This Row],[ChecklistID]])-1</f>
        <v>6</v>
      </c>
      <c r="L1613" s="23" t="s">
        <v>6</v>
      </c>
    </row>
    <row r="1614" spans="1:12" ht="15.75">
      <c r="A1614" s="23">
        <f t="shared" si="25"/>
        <v>1601</v>
      </c>
      <c r="B1614" s="21">
        <f ca="1">Master[[#This Row],[ChecklistID]]+Master[[#This Row],[Checklist Order]]</f>
        <v>149007</v>
      </c>
      <c r="C1614" s="22"/>
      <c r="D1614" s="3" t="str" cm="1">
        <f t="array" aca="1" ref="D1614" ca="1">_xlfn.SWITCH(MID(Master[[#This Row],[Checklist]],1,4),"C - ","Civil","F - ","Foundation","ST -","Structure","FC -","Façade","PRE ","Pre-Line","POST","Post-Line","H - ","Handover","S - ","Services","CST ","Completion Docs", "I - ", "Inspection")</f>
        <v>Services</v>
      </c>
      <c r="E16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4" s="24" t="str">
        <f ca="1">IF(OR(Master[[#This Row],[Type]]="checklist", Master[[#This Row],[Type]]="checklist-flat"), Master[[#This Row],[Name]], F1613)</f>
        <v>S - S - Kitch Extraction</v>
      </c>
      <c r="G1614" s="34" t="s">
        <v>49</v>
      </c>
      <c r="H1614" s="34" t="s">
        <v>743</v>
      </c>
      <c r="I1614" s="35"/>
      <c r="J1614" s="21">
        <f ca="1">_xlfn.XLOOKUP(Master[[#This Row],[Checklist]],Ref!A:A,Ref!B:B)*1000</f>
        <v>149000</v>
      </c>
      <c r="K1614" s="21">
        <f ca="1">COUNTIF($J$2:Master[[#This Row],[ChecklistID]],Master[[#This Row],[ChecklistID]])-1</f>
        <v>7</v>
      </c>
      <c r="L1614" s="23" t="s">
        <v>6</v>
      </c>
    </row>
    <row r="1615" spans="1:12" ht="15.75">
      <c r="A1615" s="23">
        <f t="shared" si="25"/>
        <v>1602</v>
      </c>
      <c r="B1615" s="21">
        <f ca="1">Master[[#This Row],[ChecklistID]]+Master[[#This Row],[Checklist Order]]</f>
        <v>149008</v>
      </c>
      <c r="C1615" s="22"/>
      <c r="D1615" s="3" t="str" cm="1">
        <f t="array" aca="1" ref="D1615" ca="1">_xlfn.SWITCH(MID(Master[[#This Row],[Checklist]],1,4),"C - ","Civil","F - ","Foundation","ST -","Structure","FC -","Façade","PRE ","Pre-Line","POST","Post-Line","H - ","Handover","S - ","Services","CST ","Completion Docs", "I - ", "Inspection")</f>
        <v>Services</v>
      </c>
      <c r="E16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5" s="24" t="str">
        <f ca="1">IF(OR(Master[[#This Row],[Type]]="checklist", Master[[#This Row],[Type]]="checklist-flat"), Master[[#This Row],[Name]], F1614)</f>
        <v>S - S - Kitch Extraction</v>
      </c>
      <c r="G1615" s="34" t="s">
        <v>49</v>
      </c>
      <c r="H1615" s="34" t="s">
        <v>744</v>
      </c>
      <c r="I1615" s="35"/>
      <c r="J1615" s="21">
        <f ca="1">_xlfn.XLOOKUP(Master[[#This Row],[Checklist]],Ref!A:A,Ref!B:B)*1000</f>
        <v>149000</v>
      </c>
      <c r="K1615" s="21">
        <f ca="1">COUNTIF($J$2:Master[[#This Row],[ChecklistID]],Master[[#This Row],[ChecklistID]])-1</f>
        <v>8</v>
      </c>
      <c r="L1615" s="23" t="s">
        <v>6</v>
      </c>
    </row>
    <row r="1616" spans="1:12" ht="15.75">
      <c r="A1616" s="23">
        <f t="shared" si="25"/>
        <v>1603</v>
      </c>
      <c r="B1616" s="21">
        <f ca="1">Master[[#This Row],[ChecklistID]]+Master[[#This Row],[Checklist Order]]</f>
        <v>149009</v>
      </c>
      <c r="C1616" s="22"/>
      <c r="D1616" s="3" t="str" cm="1">
        <f t="array" aca="1" ref="D1616" ca="1">_xlfn.SWITCH(MID(Master[[#This Row],[Checklist]],1,4),"C - ","Civil","F - ","Foundation","ST -","Structure","FC -","Façade","PRE ","Pre-Line","POST","Post-Line","H - ","Handover","S - ","Services","CST ","Completion Docs", "I - ", "Inspection")</f>
        <v>Services</v>
      </c>
      <c r="E16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6" s="24" t="str">
        <f ca="1">IF(OR(Master[[#This Row],[Type]]="checklist", Master[[#This Row],[Type]]="checklist-flat"), Master[[#This Row],[Name]], F1615)</f>
        <v>S - S - Kitch Extraction</v>
      </c>
      <c r="G1616" s="34" t="s">
        <v>49</v>
      </c>
      <c r="H1616" s="34" t="s">
        <v>57</v>
      </c>
      <c r="I1616" s="35"/>
      <c r="J1616" s="21">
        <f ca="1">_xlfn.XLOOKUP(Master[[#This Row],[Checklist]],Ref!A:A,Ref!B:B)*1000</f>
        <v>149000</v>
      </c>
      <c r="K1616" s="21">
        <f ca="1">COUNTIF($J$2:Master[[#This Row],[ChecklistID]],Master[[#This Row],[ChecklistID]])-1</f>
        <v>9</v>
      </c>
      <c r="L1616" s="23" t="s">
        <v>6</v>
      </c>
    </row>
    <row r="1617" spans="1:12" ht="15.75">
      <c r="A1617" s="23">
        <f t="shared" si="25"/>
        <v>1604</v>
      </c>
      <c r="B1617" s="21">
        <f ca="1">Master[[#This Row],[ChecklistID]]+Master[[#This Row],[Checklist Order]]</f>
        <v>149010</v>
      </c>
      <c r="C1617" s="22"/>
      <c r="D1617" s="3" t="str" cm="1">
        <f t="array" aca="1" ref="D1617" ca="1">_xlfn.SWITCH(MID(Master[[#This Row],[Checklist]],1,4),"C - ","Civil","F - ","Foundation","ST -","Structure","FC -","Façade","PRE ","Pre-Line","POST","Post-Line","H - ","Handover","S - ","Services","CST ","Completion Docs", "I - ", "Inspection")</f>
        <v>Services</v>
      </c>
      <c r="E16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7" s="24" t="str">
        <f ca="1">IF(OR(Master[[#This Row],[Type]]="checklist", Master[[#This Row],[Type]]="checklist-flat"), Master[[#This Row],[Name]], F1616)</f>
        <v>S - S - Kitch Extraction</v>
      </c>
      <c r="G1617" s="34" t="s">
        <v>58</v>
      </c>
      <c r="H1617" s="34" t="s">
        <v>59</v>
      </c>
      <c r="I1617" s="35"/>
      <c r="J1617" s="21">
        <f ca="1">_xlfn.XLOOKUP(Master[[#This Row],[Checklist]],Ref!A:A,Ref!B:B)*1000</f>
        <v>149000</v>
      </c>
      <c r="K1617" s="21">
        <f ca="1">COUNTIF($J$2:Master[[#This Row],[ChecklistID]],Master[[#This Row],[ChecklistID]])-1</f>
        <v>10</v>
      </c>
      <c r="L1617" s="23" t="s">
        <v>6</v>
      </c>
    </row>
    <row r="1618" spans="1:12" ht="15.75">
      <c r="A1618" s="23">
        <f t="shared" si="25"/>
        <v>1605</v>
      </c>
      <c r="B1618" s="21">
        <f ca="1">Master[[#This Row],[ChecklistID]]+Master[[#This Row],[Checklist Order]]</f>
        <v>150000</v>
      </c>
      <c r="C1618" s="22"/>
      <c r="D1618" s="3" t="str" cm="1">
        <f t="array" aca="1" ref="D1618" ca="1">_xlfn.SWITCH(MID(Master[[#This Row],[Checklist]],1,4),"C - ","Civil","F - ","Foundation","ST -","Structure","FC -","Façade","PRE ","Pre-Line","POST","Post-Line","H - ","Handover","S - ","Services","CST ","Completion Docs", "I - ", "Inspection")</f>
        <v>Services</v>
      </c>
      <c r="E16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8" s="24" t="str">
        <f ca="1">IF(OR(Master[[#This Row],[Type]]="checklist", Master[[#This Row],[Type]]="checklist-flat"), Master[[#This Row],[Name]], F1617)</f>
        <v>S - S - Ventilation - Carpark Ventilation - Jet Pulse Fan</v>
      </c>
      <c r="G1618" s="34" t="s">
        <v>119</v>
      </c>
      <c r="H1618" s="34" t="s">
        <v>745</v>
      </c>
      <c r="I1618" s="35"/>
      <c r="J1618" s="21">
        <f ca="1">_xlfn.XLOOKUP(Master[[#This Row],[Checklist]],Ref!A:A,Ref!B:B)*1000</f>
        <v>150000</v>
      </c>
      <c r="K1618" s="21">
        <f ca="1">COUNTIF($J$2:Master[[#This Row],[ChecklistID]],Master[[#This Row],[ChecklistID]])-1</f>
        <v>0</v>
      </c>
      <c r="L1618" s="23" t="s">
        <v>6</v>
      </c>
    </row>
    <row r="1619" spans="1:12" ht="15.75">
      <c r="A1619" s="23">
        <f t="shared" si="25"/>
        <v>1606</v>
      </c>
      <c r="B1619" s="21">
        <f ca="1">Master[[#This Row],[ChecklistID]]+Master[[#This Row],[Checklist Order]]</f>
        <v>150001</v>
      </c>
      <c r="C1619" s="22"/>
      <c r="D1619" s="3" t="str" cm="1">
        <f t="array" aca="1" ref="D1619" ca="1">_xlfn.SWITCH(MID(Master[[#This Row],[Checklist]],1,4),"C - ","Civil","F - ","Foundation","ST -","Structure","FC -","Façade","PRE ","Pre-Line","POST","Post-Line","H - ","Handover","S - ","Services","CST ","Completion Docs", "I - ", "Inspection")</f>
        <v>Services</v>
      </c>
      <c r="E16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19" s="24" t="str">
        <f ca="1">IF(OR(Master[[#This Row],[Type]]="checklist", Master[[#This Row],[Type]]="checklist-flat"), Master[[#This Row],[Name]], F1618)</f>
        <v>S - S - Ventilation - Carpark Ventilation - Jet Pulse Fan</v>
      </c>
      <c r="G1619" s="34" t="s">
        <v>120</v>
      </c>
      <c r="H1619" s="34" t="s">
        <v>685</v>
      </c>
      <c r="I1619" s="35"/>
      <c r="J1619" s="21">
        <f ca="1">_xlfn.XLOOKUP(Master[[#This Row],[Checklist]],Ref!A:A,Ref!B:B)*1000</f>
        <v>150000</v>
      </c>
      <c r="K1619" s="21">
        <f ca="1">COUNTIF($J$2:Master[[#This Row],[ChecklistID]],Master[[#This Row],[ChecklistID]])-1</f>
        <v>1</v>
      </c>
      <c r="L1619" s="23" t="s">
        <v>6</v>
      </c>
    </row>
    <row r="1620" spans="1:12" ht="15.75">
      <c r="A1620" s="23">
        <f t="shared" si="25"/>
        <v>1607</v>
      </c>
      <c r="B1620" s="21">
        <f ca="1">Master[[#This Row],[ChecklistID]]+Master[[#This Row],[Checklist Order]]</f>
        <v>150002</v>
      </c>
      <c r="C1620" s="22"/>
      <c r="D1620" s="3" t="str" cm="1">
        <f t="array" aca="1" ref="D1620" ca="1">_xlfn.SWITCH(MID(Master[[#This Row],[Checklist]],1,4),"C - ","Civil","F - ","Foundation","ST -","Structure","FC -","Façade","PRE ","Pre-Line","POST","Post-Line","H - ","Handover","S - ","Services","CST ","Completion Docs", "I - ", "Inspection")</f>
        <v>Services</v>
      </c>
      <c r="E16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0" s="24" t="str">
        <f ca="1">IF(OR(Master[[#This Row],[Type]]="checklist", Master[[#This Row],[Type]]="checklist-flat"), Master[[#This Row],[Name]], F1619)</f>
        <v>S - S - Ventilation - Carpark Ventilation - Jet Pulse Fan</v>
      </c>
      <c r="G1620" s="34" t="s">
        <v>49</v>
      </c>
      <c r="H1620" s="34" t="s">
        <v>734</v>
      </c>
      <c r="I1620" s="35"/>
      <c r="J1620" s="21">
        <f ca="1">_xlfn.XLOOKUP(Master[[#This Row],[Checklist]],Ref!A:A,Ref!B:B)*1000</f>
        <v>150000</v>
      </c>
      <c r="K1620" s="21">
        <f ca="1">COUNTIF($J$2:Master[[#This Row],[ChecklistID]],Master[[#This Row],[ChecklistID]])-1</f>
        <v>2</v>
      </c>
      <c r="L1620" s="23" t="s">
        <v>6</v>
      </c>
    </row>
    <row r="1621" spans="1:12" ht="15.75">
      <c r="A1621" s="23">
        <f t="shared" si="25"/>
        <v>1608</v>
      </c>
      <c r="B1621" s="21">
        <f ca="1">Master[[#This Row],[ChecklistID]]+Master[[#This Row],[Checklist Order]]</f>
        <v>150003</v>
      </c>
      <c r="C1621" s="22"/>
      <c r="D1621" s="3" t="str" cm="1">
        <f t="array" aca="1" ref="D1621" ca="1">_xlfn.SWITCH(MID(Master[[#This Row],[Checklist]],1,4),"C - ","Civil","F - ","Foundation","ST -","Structure","FC -","Façade","PRE ","Pre-Line","POST","Post-Line","H - ","Handover","S - ","Services","CST ","Completion Docs", "I - ", "Inspection")</f>
        <v>Services</v>
      </c>
      <c r="E16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1" s="24" t="str">
        <f ca="1">IF(OR(Master[[#This Row],[Type]]="checklist", Master[[#This Row],[Type]]="checklist-flat"), Master[[#This Row],[Name]], F1620)</f>
        <v>S - S - Ventilation - Carpark Ventilation - Jet Pulse Fan</v>
      </c>
      <c r="G1621" s="34" t="s">
        <v>49</v>
      </c>
      <c r="H1621" s="34" t="s">
        <v>741</v>
      </c>
      <c r="I1621" s="35"/>
      <c r="J1621" s="21">
        <f ca="1">_xlfn.XLOOKUP(Master[[#This Row],[Checklist]],Ref!A:A,Ref!B:B)*1000</f>
        <v>150000</v>
      </c>
      <c r="K1621" s="21">
        <f ca="1">COUNTIF($J$2:Master[[#This Row],[ChecklistID]],Master[[#This Row],[ChecklistID]])-1</f>
        <v>3</v>
      </c>
      <c r="L1621" s="23" t="s">
        <v>6</v>
      </c>
    </row>
    <row r="1622" spans="1:12" ht="15.75">
      <c r="A1622" s="23">
        <f t="shared" si="25"/>
        <v>1609</v>
      </c>
      <c r="B1622" s="21">
        <f ca="1">Master[[#This Row],[ChecklistID]]+Master[[#This Row],[Checklist Order]]</f>
        <v>150004</v>
      </c>
      <c r="C1622" s="22"/>
      <c r="D1622" s="3" t="str" cm="1">
        <f t="array" aca="1" ref="D1622" ca="1">_xlfn.SWITCH(MID(Master[[#This Row],[Checklist]],1,4),"C - ","Civil","F - ","Foundation","ST -","Structure","FC -","Façade","PRE ","Pre-Line","POST","Post-Line","H - ","Handover","S - ","Services","CST ","Completion Docs", "I - ", "Inspection")</f>
        <v>Services</v>
      </c>
      <c r="E16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2" s="24" t="str">
        <f ca="1">IF(OR(Master[[#This Row],[Type]]="checklist", Master[[#This Row],[Type]]="checklist-flat"), Master[[#This Row],[Name]], F1621)</f>
        <v>S - S - Ventilation - Carpark Ventilation - Jet Pulse Fan</v>
      </c>
      <c r="G1622" s="34" t="s">
        <v>49</v>
      </c>
      <c r="H1622" s="34" t="s">
        <v>736</v>
      </c>
      <c r="I1622" s="35"/>
      <c r="J1622" s="21">
        <f ca="1">_xlfn.XLOOKUP(Master[[#This Row],[Checklist]],Ref!A:A,Ref!B:B)*1000</f>
        <v>150000</v>
      </c>
      <c r="K1622" s="21">
        <f ca="1">COUNTIF($J$2:Master[[#This Row],[ChecklistID]],Master[[#This Row],[ChecklistID]])-1</f>
        <v>4</v>
      </c>
      <c r="L1622" s="23" t="s">
        <v>6</v>
      </c>
    </row>
    <row r="1623" spans="1:12" ht="15.75">
      <c r="A1623" s="23">
        <f t="shared" si="25"/>
        <v>1610</v>
      </c>
      <c r="B1623" s="21">
        <f ca="1">Master[[#This Row],[ChecklistID]]+Master[[#This Row],[Checklist Order]]</f>
        <v>150005</v>
      </c>
      <c r="C1623" s="22"/>
      <c r="D1623" s="3" t="str" cm="1">
        <f t="array" aca="1" ref="D1623" ca="1">_xlfn.SWITCH(MID(Master[[#This Row],[Checklist]],1,4),"C - ","Civil","F - ","Foundation","ST -","Structure","FC -","Façade","PRE ","Pre-Line","POST","Post-Line","H - ","Handover","S - ","Services","CST ","Completion Docs", "I - ", "Inspection")</f>
        <v>Services</v>
      </c>
      <c r="E16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3" s="24" t="str">
        <f ca="1">IF(OR(Master[[#This Row],[Type]]="checklist", Master[[#This Row],[Type]]="checklist-flat"), Master[[#This Row],[Name]], F1622)</f>
        <v>S - S - Ventilation - Carpark Ventilation - Jet Pulse Fan</v>
      </c>
      <c r="G1623" s="34" t="s">
        <v>120</v>
      </c>
      <c r="H1623" s="34" t="s">
        <v>690</v>
      </c>
      <c r="I1623" s="35"/>
      <c r="J1623" s="21">
        <f ca="1">_xlfn.XLOOKUP(Master[[#This Row],[Checklist]],Ref!A:A,Ref!B:B)*1000</f>
        <v>150000</v>
      </c>
      <c r="K1623" s="21">
        <f ca="1">COUNTIF($J$2:Master[[#This Row],[ChecklistID]],Master[[#This Row],[ChecklistID]])-1</f>
        <v>5</v>
      </c>
      <c r="L1623" s="23" t="s">
        <v>6</v>
      </c>
    </row>
    <row r="1624" spans="1:12" ht="15.75">
      <c r="A1624" s="23">
        <f t="shared" si="25"/>
        <v>1611</v>
      </c>
      <c r="B1624" s="21">
        <f ca="1">Master[[#This Row],[ChecklistID]]+Master[[#This Row],[Checklist Order]]</f>
        <v>150006</v>
      </c>
      <c r="C1624" s="22"/>
      <c r="D1624" s="3" t="str" cm="1">
        <f t="array" aca="1" ref="D1624" ca="1">_xlfn.SWITCH(MID(Master[[#This Row],[Checklist]],1,4),"C - ","Civil","F - ","Foundation","ST -","Structure","FC -","Façade","PRE ","Pre-Line","POST","Post-Line","H - ","Handover","S - ","Services","CST ","Completion Docs", "I - ", "Inspection")</f>
        <v>Services</v>
      </c>
      <c r="E16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4" s="24" t="str">
        <f ca="1">IF(OR(Master[[#This Row],[Type]]="checklist", Master[[#This Row],[Type]]="checklist-flat"), Master[[#This Row],[Name]], F1623)</f>
        <v>S - S - Ventilation - Carpark Ventilation - Jet Pulse Fan</v>
      </c>
      <c r="G1624" s="34" t="s">
        <v>49</v>
      </c>
      <c r="H1624" s="34" t="s">
        <v>737</v>
      </c>
      <c r="I1624" s="35"/>
      <c r="J1624" s="21">
        <f ca="1">_xlfn.XLOOKUP(Master[[#This Row],[Checklist]],Ref!A:A,Ref!B:B)*1000</f>
        <v>150000</v>
      </c>
      <c r="K1624" s="21">
        <f ca="1">COUNTIF($J$2:Master[[#This Row],[ChecklistID]],Master[[#This Row],[ChecklistID]])-1</f>
        <v>6</v>
      </c>
      <c r="L1624" s="23" t="s">
        <v>6</v>
      </c>
    </row>
    <row r="1625" spans="1:12" ht="15.75">
      <c r="A1625" s="23">
        <f t="shared" si="25"/>
        <v>1612</v>
      </c>
      <c r="B1625" s="21">
        <f ca="1">Master[[#This Row],[ChecklistID]]+Master[[#This Row],[Checklist Order]]</f>
        <v>150007</v>
      </c>
      <c r="C1625" s="22"/>
      <c r="D1625" s="3" t="str" cm="1">
        <f t="array" aca="1" ref="D1625" ca="1">_xlfn.SWITCH(MID(Master[[#This Row],[Checklist]],1,4),"C - ","Civil","F - ","Foundation","ST -","Structure","FC -","Façade","PRE ","Pre-Line","POST","Post-Line","H - ","Handover","S - ","Services","CST ","Completion Docs", "I - ", "Inspection")</f>
        <v>Services</v>
      </c>
      <c r="E16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5" s="24" t="str">
        <f ca="1">IF(OR(Master[[#This Row],[Type]]="checklist", Master[[#This Row],[Type]]="checklist-flat"), Master[[#This Row],[Name]], F1624)</f>
        <v>S - S - Ventilation - Carpark Ventilation - Jet Pulse Fan</v>
      </c>
      <c r="G1625" s="34" t="s">
        <v>49</v>
      </c>
      <c r="H1625" s="34" t="s">
        <v>1702</v>
      </c>
      <c r="I1625" s="35"/>
      <c r="J1625" s="21">
        <f ca="1">_xlfn.XLOOKUP(Master[[#This Row],[Checklist]],Ref!A:A,Ref!B:B)*1000</f>
        <v>150000</v>
      </c>
      <c r="K1625" s="21">
        <f ca="1">COUNTIF($J$2:Master[[#This Row],[ChecklistID]],Master[[#This Row],[ChecklistID]])-1</f>
        <v>7</v>
      </c>
      <c r="L1625" s="23" t="s">
        <v>6</v>
      </c>
    </row>
    <row r="1626" spans="1:12" ht="15.75">
      <c r="A1626" s="23">
        <f t="shared" si="25"/>
        <v>1613</v>
      </c>
      <c r="B1626" s="21">
        <f ca="1">Master[[#This Row],[ChecklistID]]+Master[[#This Row],[Checklist Order]]</f>
        <v>150008</v>
      </c>
      <c r="C1626" s="22"/>
      <c r="D1626" s="3" t="str" cm="1">
        <f t="array" aca="1" ref="D1626" ca="1">_xlfn.SWITCH(MID(Master[[#This Row],[Checklist]],1,4),"C - ","Civil","F - ","Foundation","ST -","Structure","FC -","Façade","PRE ","Pre-Line","POST","Post-Line","H - ","Handover","S - ","Services","CST ","Completion Docs", "I - ", "Inspection")</f>
        <v>Services</v>
      </c>
      <c r="E16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6" s="24" t="str">
        <f ca="1">IF(OR(Master[[#This Row],[Type]]="checklist", Master[[#This Row],[Type]]="checklist-flat"), Master[[#This Row],[Name]], F1625)</f>
        <v>S - S - Ventilation - Carpark Ventilation - Jet Pulse Fan</v>
      </c>
      <c r="G1626" s="34" t="s">
        <v>49</v>
      </c>
      <c r="H1626" s="34" t="s">
        <v>722</v>
      </c>
      <c r="I1626" s="35"/>
      <c r="J1626" s="21">
        <f ca="1">_xlfn.XLOOKUP(Master[[#This Row],[Checklist]],Ref!A:A,Ref!B:B)*1000</f>
        <v>150000</v>
      </c>
      <c r="K1626" s="21">
        <f ca="1">COUNTIF($J$2:Master[[#This Row],[ChecklistID]],Master[[#This Row],[ChecklistID]])-1</f>
        <v>8</v>
      </c>
      <c r="L1626" s="23" t="s">
        <v>6</v>
      </c>
    </row>
    <row r="1627" spans="1:12" ht="15.75">
      <c r="A1627" s="23">
        <f t="shared" si="25"/>
        <v>1614</v>
      </c>
      <c r="B1627" s="21">
        <f ca="1">Master[[#This Row],[ChecklistID]]+Master[[#This Row],[Checklist Order]]</f>
        <v>150009</v>
      </c>
      <c r="C1627" s="22"/>
      <c r="D1627" s="3" t="str" cm="1">
        <f t="array" aca="1" ref="D1627" ca="1">_xlfn.SWITCH(MID(Master[[#This Row],[Checklist]],1,4),"C - ","Civil","F - ","Foundation","ST -","Structure","FC -","Façade","PRE ","Pre-Line","POST","Post-Line","H - ","Handover","S - ","Services","CST ","Completion Docs", "I - ", "Inspection")</f>
        <v>Services</v>
      </c>
      <c r="E16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7" s="24" t="str">
        <f ca="1">IF(OR(Master[[#This Row],[Type]]="checklist", Master[[#This Row],[Type]]="checklist-flat"), Master[[#This Row],[Name]], F1626)</f>
        <v>S - S - Ventilation - Carpark Ventilation - Jet Pulse Fan</v>
      </c>
      <c r="G1627" s="34" t="s">
        <v>120</v>
      </c>
      <c r="H1627" s="34" t="s">
        <v>697</v>
      </c>
      <c r="I1627" s="35"/>
      <c r="J1627" s="21">
        <f ca="1">_xlfn.XLOOKUP(Master[[#This Row],[Checklist]],Ref!A:A,Ref!B:B)*1000</f>
        <v>150000</v>
      </c>
      <c r="K1627" s="21">
        <f ca="1">COUNTIF($J$2:Master[[#This Row],[ChecklistID]],Master[[#This Row],[ChecklistID]])-1</f>
        <v>9</v>
      </c>
      <c r="L1627" s="23" t="s">
        <v>6</v>
      </c>
    </row>
    <row r="1628" spans="1:12" ht="15.75">
      <c r="A1628" s="23">
        <f t="shared" si="25"/>
        <v>1615</v>
      </c>
      <c r="B1628" s="21">
        <f ca="1">Master[[#This Row],[ChecklistID]]+Master[[#This Row],[Checklist Order]]</f>
        <v>150010</v>
      </c>
      <c r="C1628" s="22"/>
      <c r="D1628" s="3" t="str" cm="1">
        <f t="array" aca="1" ref="D1628" ca="1">_xlfn.SWITCH(MID(Master[[#This Row],[Checklist]],1,4),"C - ","Civil","F - ","Foundation","ST -","Structure","FC -","Façade","PRE ","Pre-Line","POST","Post-Line","H - ","Handover","S - ","Services","CST ","Completion Docs", "I - ", "Inspection")</f>
        <v>Services</v>
      </c>
      <c r="E16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8" s="24" t="str">
        <f ca="1">IF(OR(Master[[#This Row],[Type]]="checklist", Master[[#This Row],[Type]]="checklist-flat"), Master[[#This Row],[Name]], F1627)</f>
        <v>S - S - Ventilation - Carpark Ventilation - Jet Pulse Fan</v>
      </c>
      <c r="G1628" s="34" t="s">
        <v>49</v>
      </c>
      <c r="H1628" s="34" t="s">
        <v>1703</v>
      </c>
      <c r="I1628" s="35"/>
      <c r="J1628" s="21">
        <f ca="1">_xlfn.XLOOKUP(Master[[#This Row],[Checklist]],Ref!A:A,Ref!B:B)*1000</f>
        <v>150000</v>
      </c>
      <c r="K1628" s="21">
        <f ca="1">COUNTIF($J$2:Master[[#This Row],[ChecklistID]],Master[[#This Row],[ChecklistID]])-1</f>
        <v>10</v>
      </c>
      <c r="L1628" s="23" t="s">
        <v>6</v>
      </c>
    </row>
    <row r="1629" spans="1:12" ht="15.75">
      <c r="A1629" s="23">
        <f t="shared" si="25"/>
        <v>1616</v>
      </c>
      <c r="B1629" s="21">
        <f ca="1">Master[[#This Row],[ChecklistID]]+Master[[#This Row],[Checklist Order]]</f>
        <v>150011</v>
      </c>
      <c r="C1629" s="22"/>
      <c r="D1629" s="3" t="str" cm="1">
        <f t="array" aca="1" ref="D1629" ca="1">_xlfn.SWITCH(MID(Master[[#This Row],[Checklist]],1,4),"C - ","Civil","F - ","Foundation","ST -","Structure","FC -","Façade","PRE ","Pre-Line","POST","Post-Line","H - ","Handover","S - ","Services","CST ","Completion Docs", "I - ", "Inspection")</f>
        <v>Services</v>
      </c>
      <c r="E16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29" s="24" t="str">
        <f ca="1">IF(OR(Master[[#This Row],[Type]]="checklist", Master[[#This Row],[Type]]="checklist-flat"), Master[[#This Row],[Name]], F1628)</f>
        <v>S - S - Ventilation - Carpark Ventilation - Jet Pulse Fan</v>
      </c>
      <c r="G1629" s="34" t="s">
        <v>49</v>
      </c>
      <c r="H1629" s="34" t="s">
        <v>729</v>
      </c>
      <c r="I1629" s="35"/>
      <c r="J1629" s="21">
        <f ca="1">_xlfn.XLOOKUP(Master[[#This Row],[Checklist]],Ref!A:A,Ref!B:B)*1000</f>
        <v>150000</v>
      </c>
      <c r="K1629" s="21">
        <f ca="1">COUNTIF($J$2:Master[[#This Row],[ChecklistID]],Master[[#This Row],[ChecklistID]])-1</f>
        <v>11</v>
      </c>
      <c r="L1629" s="23" t="s">
        <v>6</v>
      </c>
    </row>
    <row r="1630" spans="1:12" ht="15.75">
      <c r="A1630" s="23">
        <f t="shared" si="25"/>
        <v>1617</v>
      </c>
      <c r="B1630" s="21">
        <f ca="1">Master[[#This Row],[ChecklistID]]+Master[[#This Row],[Checklist Order]]</f>
        <v>150012</v>
      </c>
      <c r="C1630" s="22"/>
      <c r="D1630" s="3" t="str" cm="1">
        <f t="array" aca="1" ref="D1630" ca="1">_xlfn.SWITCH(MID(Master[[#This Row],[Checklist]],1,4),"C - ","Civil","F - ","Foundation","ST -","Structure","FC -","Façade","PRE ","Pre-Line","POST","Post-Line","H - ","Handover","S - ","Services","CST ","Completion Docs", "I - ", "Inspection")</f>
        <v>Services</v>
      </c>
      <c r="E16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0" s="24" t="str">
        <f ca="1">IF(OR(Master[[#This Row],[Type]]="checklist", Master[[#This Row],[Type]]="checklist-flat"), Master[[#This Row],[Name]], F1629)</f>
        <v>S - S - Ventilation - Carpark Ventilation - Jet Pulse Fan</v>
      </c>
      <c r="G1630" s="34" t="s">
        <v>120</v>
      </c>
      <c r="H1630" s="34" t="s">
        <v>705</v>
      </c>
      <c r="I1630" s="35"/>
      <c r="J1630" s="21">
        <f ca="1">_xlfn.XLOOKUP(Master[[#This Row],[Checklist]],Ref!A:A,Ref!B:B)*1000</f>
        <v>150000</v>
      </c>
      <c r="K1630" s="21">
        <f ca="1">COUNTIF($J$2:Master[[#This Row],[ChecklistID]],Master[[#This Row],[ChecklistID]])-1</f>
        <v>12</v>
      </c>
      <c r="L1630" s="23" t="s">
        <v>6</v>
      </c>
    </row>
    <row r="1631" spans="1:12" ht="15.75">
      <c r="A1631" s="23">
        <f t="shared" si="25"/>
        <v>1618</v>
      </c>
      <c r="B1631" s="21">
        <f ca="1">Master[[#This Row],[ChecklistID]]+Master[[#This Row],[Checklist Order]]</f>
        <v>150013</v>
      </c>
      <c r="C1631" s="22"/>
      <c r="D1631" s="3" t="str" cm="1">
        <f t="array" aca="1" ref="D1631" ca="1">_xlfn.SWITCH(MID(Master[[#This Row],[Checklist]],1,4),"C - ","Civil","F - ","Foundation","ST -","Structure","FC -","Façade","PRE ","Pre-Line","POST","Post-Line","H - ","Handover","S - ","Services","CST ","Completion Docs", "I - ", "Inspection")</f>
        <v>Services</v>
      </c>
      <c r="E16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1" s="24" t="str">
        <f ca="1">IF(OR(Master[[#This Row],[Type]]="checklist", Master[[#This Row],[Type]]="checklist-flat"), Master[[#This Row],[Name]], F1630)</f>
        <v>S - S - Ventilation - Carpark Ventilation - Jet Pulse Fan</v>
      </c>
      <c r="G1631" s="34" t="s">
        <v>49</v>
      </c>
      <c r="H1631" s="34" t="s">
        <v>746</v>
      </c>
      <c r="I1631" s="35"/>
      <c r="J1631" s="21">
        <f ca="1">_xlfn.XLOOKUP(Master[[#This Row],[Checklist]],Ref!A:A,Ref!B:B)*1000</f>
        <v>150000</v>
      </c>
      <c r="K1631" s="21">
        <f ca="1">COUNTIF($J$2:Master[[#This Row],[ChecklistID]],Master[[#This Row],[ChecklistID]])-1</f>
        <v>13</v>
      </c>
      <c r="L1631" s="23" t="s">
        <v>6</v>
      </c>
    </row>
    <row r="1632" spans="1:12" ht="15.75">
      <c r="A1632" s="23">
        <f t="shared" si="25"/>
        <v>1619</v>
      </c>
      <c r="B1632" s="21">
        <f ca="1">Master[[#This Row],[ChecklistID]]+Master[[#This Row],[Checklist Order]]</f>
        <v>150014</v>
      </c>
      <c r="C1632" s="22"/>
      <c r="D1632" s="3" t="str" cm="1">
        <f t="array" aca="1" ref="D1632" ca="1">_xlfn.SWITCH(MID(Master[[#This Row],[Checklist]],1,4),"C - ","Civil","F - ","Foundation","ST -","Structure","FC -","Façade","PRE ","Pre-Line","POST","Post-Line","H - ","Handover","S - ","Services","CST ","Completion Docs", "I - ", "Inspection")</f>
        <v>Services</v>
      </c>
      <c r="E16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2" s="24" t="str">
        <f ca="1">IF(OR(Master[[#This Row],[Type]]="checklist", Master[[#This Row],[Type]]="checklist-flat"), Master[[#This Row],[Name]], F1631)</f>
        <v>S - S - Ventilation - Carpark Ventilation - Jet Pulse Fan</v>
      </c>
      <c r="G1632" s="34" t="s">
        <v>49</v>
      </c>
      <c r="H1632" s="34" t="s">
        <v>747</v>
      </c>
      <c r="I1632" s="35"/>
      <c r="J1632" s="21">
        <f ca="1">_xlfn.XLOOKUP(Master[[#This Row],[Checklist]],Ref!A:A,Ref!B:B)*1000</f>
        <v>150000</v>
      </c>
      <c r="K1632" s="21">
        <f ca="1">COUNTIF($J$2:Master[[#This Row],[ChecklistID]],Master[[#This Row],[ChecklistID]])-1</f>
        <v>14</v>
      </c>
      <c r="L1632" s="23" t="s">
        <v>6</v>
      </c>
    </row>
    <row r="1633" spans="1:12" ht="15.75">
      <c r="A1633" s="23">
        <f t="shared" si="25"/>
        <v>1620</v>
      </c>
      <c r="B1633" s="21">
        <f ca="1">Master[[#This Row],[ChecklistID]]+Master[[#This Row],[Checklist Order]]</f>
        <v>150015</v>
      </c>
      <c r="C1633" s="22"/>
      <c r="D1633" s="3" t="str" cm="1">
        <f t="array" aca="1" ref="D1633" ca="1">_xlfn.SWITCH(MID(Master[[#This Row],[Checklist]],1,4),"C - ","Civil","F - ","Foundation","ST -","Structure","FC -","Façade","PRE ","Pre-Line","POST","Post-Line","H - ","Handover","S - ","Services","CST ","Completion Docs", "I - ", "Inspection")</f>
        <v>Services</v>
      </c>
      <c r="E16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3" s="24" t="str">
        <f ca="1">IF(OR(Master[[#This Row],[Type]]="checklist", Master[[#This Row],[Type]]="checklist-flat"), Master[[#This Row],[Name]], F1632)</f>
        <v>S - S - Ventilation - Carpark Ventilation - Jet Pulse Fan</v>
      </c>
      <c r="G1633" s="34" t="s">
        <v>49</v>
      </c>
      <c r="H1633" s="34" t="s">
        <v>732</v>
      </c>
      <c r="I1633" s="35"/>
      <c r="J1633" s="21">
        <f ca="1">_xlfn.XLOOKUP(Master[[#This Row],[Checklist]],Ref!A:A,Ref!B:B)*1000</f>
        <v>150000</v>
      </c>
      <c r="K1633" s="21">
        <f ca="1">COUNTIF($J$2:Master[[#This Row],[ChecklistID]],Master[[#This Row],[ChecklistID]])-1</f>
        <v>15</v>
      </c>
      <c r="L1633" s="23" t="s">
        <v>6</v>
      </c>
    </row>
    <row r="1634" spans="1:12" ht="15.75">
      <c r="A1634" s="23">
        <f t="shared" si="25"/>
        <v>1621</v>
      </c>
      <c r="B1634" s="21">
        <f ca="1">Master[[#This Row],[ChecklistID]]+Master[[#This Row],[Checklist Order]]</f>
        <v>150016</v>
      </c>
      <c r="C1634" s="22"/>
      <c r="D1634" s="3" t="str" cm="1">
        <f t="array" aca="1" ref="D1634" ca="1">_xlfn.SWITCH(MID(Master[[#This Row],[Checklist]],1,4),"C - ","Civil","F - ","Foundation","ST -","Structure","FC -","Façade","PRE ","Pre-Line","POST","Post-Line","H - ","Handover","S - ","Services","CST ","Completion Docs", "I - ", "Inspection")</f>
        <v>Services</v>
      </c>
      <c r="E16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4" s="24" t="str">
        <f ca="1">IF(OR(Master[[#This Row],[Type]]="checklist", Master[[#This Row],[Type]]="checklist-flat"), Master[[#This Row],[Name]], F1633)</f>
        <v>S - S - Ventilation - Carpark Ventilation - Jet Pulse Fan</v>
      </c>
      <c r="G1634" s="34" t="s">
        <v>49</v>
      </c>
      <c r="H1634" s="34" t="s">
        <v>57</v>
      </c>
      <c r="I1634" s="35"/>
      <c r="J1634" s="21">
        <f ca="1">_xlfn.XLOOKUP(Master[[#This Row],[Checklist]],Ref!A:A,Ref!B:B)*1000</f>
        <v>150000</v>
      </c>
      <c r="K1634" s="21">
        <f ca="1">COUNTIF($J$2:Master[[#This Row],[ChecklistID]],Master[[#This Row],[ChecklistID]])-1</f>
        <v>16</v>
      </c>
      <c r="L1634" s="23" t="s">
        <v>6</v>
      </c>
    </row>
    <row r="1635" spans="1:12" ht="15.75">
      <c r="A1635" s="23">
        <f t="shared" si="25"/>
        <v>1622</v>
      </c>
      <c r="B1635" s="21">
        <f ca="1">Master[[#This Row],[ChecklistID]]+Master[[#This Row],[Checklist Order]]</f>
        <v>150017</v>
      </c>
      <c r="C1635" s="22"/>
      <c r="D1635" s="3" t="str" cm="1">
        <f t="array" aca="1" ref="D1635" ca="1">_xlfn.SWITCH(MID(Master[[#This Row],[Checklist]],1,4),"C - ","Civil","F - ","Foundation","ST -","Structure","FC -","Façade","PRE ","Pre-Line","POST","Post-Line","H - ","Handover","S - ","Services","CST ","Completion Docs", "I - ", "Inspection")</f>
        <v>Services</v>
      </c>
      <c r="E16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5" s="24" t="str">
        <f ca="1">IF(OR(Master[[#This Row],[Type]]="checklist", Master[[#This Row],[Type]]="checklist-flat"), Master[[#This Row],[Name]], F1634)</f>
        <v>S - S - Ventilation - Carpark Ventilation - Jet Pulse Fan</v>
      </c>
      <c r="G1635" s="34" t="s">
        <v>58</v>
      </c>
      <c r="H1635" s="34" t="s">
        <v>59</v>
      </c>
      <c r="I1635" s="35"/>
      <c r="J1635" s="21">
        <f ca="1">_xlfn.XLOOKUP(Master[[#This Row],[Checklist]],Ref!A:A,Ref!B:B)*1000</f>
        <v>150000</v>
      </c>
      <c r="K1635" s="21">
        <f ca="1">COUNTIF($J$2:Master[[#This Row],[ChecklistID]],Master[[#This Row],[ChecklistID]])-1</f>
        <v>17</v>
      </c>
      <c r="L1635" s="23" t="s">
        <v>6</v>
      </c>
    </row>
    <row r="1636" spans="1:12" ht="15.75">
      <c r="A1636" s="23">
        <f t="shared" si="25"/>
        <v>1623</v>
      </c>
      <c r="B1636" s="21">
        <f ca="1">Master[[#This Row],[ChecklistID]]+Master[[#This Row],[Checklist Order]]</f>
        <v>151000</v>
      </c>
      <c r="C1636" s="22"/>
      <c r="D1636" s="3" t="str" cm="1">
        <f t="array" aca="1" ref="D1636" ca="1">_xlfn.SWITCH(MID(Master[[#This Row],[Checklist]],1,4),"C - ","Civil","F - ","Foundation","ST -","Structure","FC -","Façade","PRE ","Pre-Line","POST","Post-Line","H - ","Handover","S - ","Services","CST ","Completion Docs", "I - ", "Inspection")</f>
        <v>Services</v>
      </c>
      <c r="E16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6" s="24" t="str">
        <f ca="1">IF(OR(Master[[#This Row],[Type]]="checklist", Master[[#This Row],[Type]]="checklist-flat"), Master[[#This Row],[Name]], F1635)</f>
        <v>S - S - Electrical</v>
      </c>
      <c r="G1636" s="34" t="s">
        <v>119</v>
      </c>
      <c r="H1636" s="34" t="s">
        <v>748</v>
      </c>
      <c r="I1636" s="35"/>
      <c r="J1636" s="21">
        <f ca="1">_xlfn.XLOOKUP(Master[[#This Row],[Checklist]],Ref!A:A,Ref!B:B)*1000</f>
        <v>151000</v>
      </c>
      <c r="K1636" s="21">
        <f ca="1">COUNTIF($J$2:Master[[#This Row],[ChecklistID]],Master[[#This Row],[ChecklistID]])-1</f>
        <v>0</v>
      </c>
      <c r="L1636" s="23" t="s">
        <v>6</v>
      </c>
    </row>
    <row r="1637" spans="1:12" ht="15.75">
      <c r="A1637" s="23">
        <f t="shared" si="25"/>
        <v>1624</v>
      </c>
      <c r="B1637" s="21">
        <f ca="1">Master[[#This Row],[ChecklistID]]+Master[[#This Row],[Checklist Order]]</f>
        <v>151001</v>
      </c>
      <c r="C1637" s="22"/>
      <c r="D1637" s="3" t="str" cm="1">
        <f t="array" aca="1" ref="D1637" ca="1">_xlfn.SWITCH(MID(Master[[#This Row],[Checklist]],1,4),"C - ","Civil","F - ","Foundation","ST -","Structure","FC -","Façade","PRE ","Pre-Line","POST","Post-Line","H - ","Handover","S - ","Services","CST ","Completion Docs", "I - ", "Inspection")</f>
        <v>Services</v>
      </c>
      <c r="E16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7" s="24" t="str">
        <f ca="1">IF(OR(Master[[#This Row],[Type]]="checklist", Master[[#This Row],[Type]]="checklist-flat"), Master[[#This Row],[Name]], F1636)</f>
        <v>S - S - Electrical</v>
      </c>
      <c r="G1637" s="34" t="s">
        <v>120</v>
      </c>
      <c r="H1637" s="34" t="s">
        <v>690</v>
      </c>
      <c r="I1637" s="35"/>
      <c r="J1637" s="21">
        <f ca="1">_xlfn.XLOOKUP(Master[[#This Row],[Checklist]],Ref!A:A,Ref!B:B)*1000</f>
        <v>151000</v>
      </c>
      <c r="K1637" s="21">
        <f ca="1">COUNTIF($J$2:Master[[#This Row],[ChecklistID]],Master[[#This Row],[ChecklistID]])-1</f>
        <v>1</v>
      </c>
      <c r="L1637" s="23" t="s">
        <v>6</v>
      </c>
    </row>
    <row r="1638" spans="1:12" ht="15.75">
      <c r="A1638" s="23">
        <f t="shared" si="25"/>
        <v>1625</v>
      </c>
      <c r="B1638" s="21">
        <f ca="1">Master[[#This Row],[ChecklistID]]+Master[[#This Row],[Checklist Order]]</f>
        <v>151002</v>
      </c>
      <c r="C1638" s="22"/>
      <c r="D1638" s="3" t="str" cm="1">
        <f t="array" aca="1" ref="D1638" ca="1">_xlfn.SWITCH(MID(Master[[#This Row],[Checklist]],1,4),"C - ","Civil","F - ","Foundation","ST -","Structure","FC -","Façade","PRE ","Pre-Line","POST","Post-Line","H - ","Handover","S - ","Services","CST ","Completion Docs", "I - ", "Inspection")</f>
        <v>Services</v>
      </c>
      <c r="E16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8" s="24" t="str">
        <f ca="1">IF(OR(Master[[#This Row],[Type]]="checklist", Master[[#This Row],[Type]]="checklist-flat"), Master[[#This Row],[Name]], F1637)</f>
        <v>S - S - Electrical</v>
      </c>
      <c r="G1638" s="34" t="s">
        <v>49</v>
      </c>
      <c r="H1638" s="34" t="s">
        <v>749</v>
      </c>
      <c r="I1638" s="35"/>
      <c r="J1638" s="21">
        <f ca="1">_xlfn.XLOOKUP(Master[[#This Row],[Checklist]],Ref!A:A,Ref!B:B)*1000</f>
        <v>151000</v>
      </c>
      <c r="K1638" s="21">
        <f ca="1">COUNTIF($J$2:Master[[#This Row],[ChecklistID]],Master[[#This Row],[ChecklistID]])-1</f>
        <v>2</v>
      </c>
      <c r="L1638" s="23" t="s">
        <v>6</v>
      </c>
    </row>
    <row r="1639" spans="1:12" ht="15.75">
      <c r="A1639" s="23">
        <f t="shared" si="25"/>
        <v>1626</v>
      </c>
      <c r="B1639" s="21">
        <f ca="1">Master[[#This Row],[ChecklistID]]+Master[[#This Row],[Checklist Order]]</f>
        <v>151003</v>
      </c>
      <c r="C1639" s="22"/>
      <c r="D1639" s="3" t="str" cm="1">
        <f t="array" aca="1" ref="D1639" ca="1">_xlfn.SWITCH(MID(Master[[#This Row],[Checklist]],1,4),"C - ","Civil","F - ","Foundation","ST -","Structure","FC -","Façade","PRE ","Pre-Line","POST","Post-Line","H - ","Handover","S - ","Services","CST ","Completion Docs", "I - ", "Inspection")</f>
        <v>Services</v>
      </c>
      <c r="E16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39" s="24" t="str">
        <f ca="1">IF(OR(Master[[#This Row],[Type]]="checklist", Master[[#This Row],[Type]]="checklist-flat"), Master[[#This Row],[Name]], F1638)</f>
        <v>S - S - Electrical</v>
      </c>
      <c r="G1639" s="34" t="s">
        <v>49</v>
      </c>
      <c r="H1639" s="34" t="s">
        <v>750</v>
      </c>
      <c r="I1639" s="35"/>
      <c r="J1639" s="21">
        <f ca="1">_xlfn.XLOOKUP(Master[[#This Row],[Checklist]],Ref!A:A,Ref!B:B)*1000</f>
        <v>151000</v>
      </c>
      <c r="K1639" s="21">
        <f ca="1">COUNTIF($J$2:Master[[#This Row],[ChecklistID]],Master[[#This Row],[ChecklistID]])-1</f>
        <v>3</v>
      </c>
      <c r="L1639" s="23" t="s">
        <v>6</v>
      </c>
    </row>
    <row r="1640" spans="1:12" ht="15.75">
      <c r="A1640" s="23">
        <f t="shared" si="25"/>
        <v>1627</v>
      </c>
      <c r="B1640" s="21">
        <f ca="1">Master[[#This Row],[ChecklistID]]+Master[[#This Row],[Checklist Order]]</f>
        <v>151004</v>
      </c>
      <c r="C1640" s="22"/>
      <c r="D1640" s="3" t="str" cm="1">
        <f t="array" aca="1" ref="D1640" ca="1">_xlfn.SWITCH(MID(Master[[#This Row],[Checklist]],1,4),"C - ","Civil","F - ","Foundation","ST -","Structure","FC -","Façade","PRE ","Pre-Line","POST","Post-Line","H - ","Handover","S - ","Services","CST ","Completion Docs", "I - ", "Inspection")</f>
        <v>Services</v>
      </c>
      <c r="E16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0" s="24" t="str">
        <f ca="1">IF(OR(Master[[#This Row],[Type]]="checklist", Master[[#This Row],[Type]]="checklist-flat"), Master[[#This Row],[Name]], F1639)</f>
        <v>S - S - Electrical</v>
      </c>
      <c r="G1640" s="34" t="s">
        <v>49</v>
      </c>
      <c r="H1640" s="34" t="s">
        <v>751</v>
      </c>
      <c r="I1640" s="35"/>
      <c r="J1640" s="21">
        <f ca="1">_xlfn.XLOOKUP(Master[[#This Row],[Checklist]],Ref!A:A,Ref!B:B)*1000</f>
        <v>151000</v>
      </c>
      <c r="K1640" s="21">
        <f ca="1">COUNTIF($J$2:Master[[#This Row],[ChecklistID]],Master[[#This Row],[ChecklistID]])-1</f>
        <v>4</v>
      </c>
      <c r="L1640" s="23" t="s">
        <v>6</v>
      </c>
    </row>
    <row r="1641" spans="1:12" ht="15.75">
      <c r="A1641" s="23">
        <f t="shared" si="25"/>
        <v>1628</v>
      </c>
      <c r="B1641" s="21">
        <f ca="1">Master[[#This Row],[ChecklistID]]+Master[[#This Row],[Checklist Order]]</f>
        <v>151005</v>
      </c>
      <c r="C1641" s="22"/>
      <c r="D1641" s="3" t="str" cm="1">
        <f t="array" aca="1" ref="D1641" ca="1">_xlfn.SWITCH(MID(Master[[#This Row],[Checklist]],1,4),"C - ","Civil","F - ","Foundation","ST -","Structure","FC -","Façade","PRE ","Pre-Line","POST","Post-Line","H - ","Handover","S - ","Services","CST ","Completion Docs", "I - ", "Inspection")</f>
        <v>Services</v>
      </c>
      <c r="E16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1" s="24" t="str">
        <f ca="1">IF(OR(Master[[#This Row],[Type]]="checklist", Master[[#This Row],[Type]]="checklist-flat"), Master[[#This Row],[Name]], F1640)</f>
        <v>S - S - Electrical</v>
      </c>
      <c r="G1641" s="34" t="s">
        <v>49</v>
      </c>
      <c r="H1641" s="34" t="s">
        <v>752</v>
      </c>
      <c r="I1641" s="35"/>
      <c r="J1641" s="21">
        <f ca="1">_xlfn.XLOOKUP(Master[[#This Row],[Checklist]],Ref!A:A,Ref!B:B)*1000</f>
        <v>151000</v>
      </c>
      <c r="K1641" s="21">
        <f ca="1">COUNTIF($J$2:Master[[#This Row],[ChecklistID]],Master[[#This Row],[ChecklistID]])-1</f>
        <v>5</v>
      </c>
      <c r="L1641" s="23" t="s">
        <v>6</v>
      </c>
    </row>
    <row r="1642" spans="1:12" ht="15.75">
      <c r="A1642" s="23">
        <f t="shared" si="25"/>
        <v>1629</v>
      </c>
      <c r="B1642" s="21">
        <f ca="1">Master[[#This Row],[ChecklistID]]+Master[[#This Row],[Checklist Order]]</f>
        <v>151006</v>
      </c>
      <c r="C1642" s="22"/>
      <c r="D1642" s="3" t="str" cm="1">
        <f t="array" aca="1" ref="D1642" ca="1">_xlfn.SWITCH(MID(Master[[#This Row],[Checklist]],1,4),"C - ","Civil","F - ","Foundation","ST -","Structure","FC -","Façade","PRE ","Pre-Line","POST","Post-Line","H - ","Handover","S - ","Services","CST ","Completion Docs", "I - ", "Inspection")</f>
        <v>Services</v>
      </c>
      <c r="E16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2" s="24" t="str">
        <f ca="1">IF(OR(Master[[#This Row],[Type]]="checklist", Master[[#This Row],[Type]]="checklist-flat"), Master[[#This Row],[Name]], F1641)</f>
        <v>S - S - Electrical</v>
      </c>
      <c r="G1642" s="34" t="s">
        <v>49</v>
      </c>
      <c r="H1642" s="34" t="s">
        <v>753</v>
      </c>
      <c r="I1642" s="35"/>
      <c r="J1642" s="21">
        <f ca="1">_xlfn.XLOOKUP(Master[[#This Row],[Checklist]],Ref!A:A,Ref!B:B)*1000</f>
        <v>151000</v>
      </c>
      <c r="K1642" s="21">
        <f ca="1">COUNTIF($J$2:Master[[#This Row],[ChecklistID]],Master[[#This Row],[ChecklistID]])-1</f>
        <v>6</v>
      </c>
      <c r="L1642" s="23" t="s">
        <v>6</v>
      </c>
    </row>
    <row r="1643" spans="1:12" ht="28.15">
      <c r="A1643" s="23">
        <f t="shared" si="25"/>
        <v>1630</v>
      </c>
      <c r="B1643" s="21">
        <f ca="1">Master[[#This Row],[ChecklistID]]+Master[[#This Row],[Checklist Order]]</f>
        <v>151007</v>
      </c>
      <c r="C1643" s="22"/>
      <c r="D1643" s="3" t="str" cm="1">
        <f t="array" aca="1" ref="D1643" ca="1">_xlfn.SWITCH(MID(Master[[#This Row],[Checklist]],1,4),"C - ","Civil","F - ","Foundation","ST -","Structure","FC -","Façade","PRE ","Pre-Line","POST","Post-Line","H - ","Handover","S - ","Services","CST ","Completion Docs", "I - ", "Inspection")</f>
        <v>Services</v>
      </c>
      <c r="E16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3" s="24" t="str">
        <f ca="1">IF(OR(Master[[#This Row],[Type]]="checklist", Master[[#This Row],[Type]]="checklist-flat"), Master[[#This Row],[Name]], F1642)</f>
        <v>S - S - Electrical</v>
      </c>
      <c r="G1643" s="34" t="s">
        <v>49</v>
      </c>
      <c r="H1643" s="72" t="s">
        <v>1704</v>
      </c>
      <c r="I1643" s="35"/>
      <c r="J1643" s="21">
        <f ca="1">_xlfn.XLOOKUP(Master[[#This Row],[Checklist]],Ref!A:A,Ref!B:B)*1000</f>
        <v>151000</v>
      </c>
      <c r="K1643" s="21">
        <f ca="1">COUNTIF($J$2:Master[[#This Row],[ChecklistID]],Master[[#This Row],[ChecklistID]])-1</f>
        <v>7</v>
      </c>
      <c r="L1643" s="23" t="s">
        <v>6</v>
      </c>
    </row>
    <row r="1644" spans="1:12" ht="15.75">
      <c r="A1644" s="23">
        <f t="shared" si="25"/>
        <v>1631</v>
      </c>
      <c r="B1644" s="21">
        <f ca="1">Master[[#This Row],[ChecklistID]]+Master[[#This Row],[Checklist Order]]</f>
        <v>151008</v>
      </c>
      <c r="C1644" s="22"/>
      <c r="D1644" s="3" t="str" cm="1">
        <f t="array" aca="1" ref="D1644" ca="1">_xlfn.SWITCH(MID(Master[[#This Row],[Checklist]],1,4),"C - ","Civil","F - ","Foundation","ST -","Structure","FC -","Façade","PRE ","Pre-Line","POST","Post-Line","H - ","Handover","S - ","Services","CST ","Completion Docs", "I - ", "Inspection")</f>
        <v>Services</v>
      </c>
      <c r="E16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4" s="24" t="str">
        <f ca="1">IF(OR(Master[[#This Row],[Type]]="checklist", Master[[#This Row],[Type]]="checklist-flat"), Master[[#This Row],[Name]], F1643)</f>
        <v>S - S - Electrical</v>
      </c>
      <c r="G1644" s="34" t="s">
        <v>49</v>
      </c>
      <c r="H1644" s="34" t="s">
        <v>755</v>
      </c>
      <c r="I1644" s="35"/>
      <c r="J1644" s="21">
        <f ca="1">_xlfn.XLOOKUP(Master[[#This Row],[Checklist]],Ref!A:A,Ref!B:B)*1000</f>
        <v>151000</v>
      </c>
      <c r="K1644" s="21">
        <f ca="1">COUNTIF($J$2:Master[[#This Row],[ChecklistID]],Master[[#This Row],[ChecklistID]])-1</f>
        <v>8</v>
      </c>
      <c r="L1644" s="23" t="s">
        <v>6</v>
      </c>
    </row>
    <row r="1645" spans="1:12" ht="15.75">
      <c r="A1645" s="23">
        <f t="shared" si="25"/>
        <v>1632</v>
      </c>
      <c r="B1645" s="21">
        <f ca="1">Master[[#This Row],[ChecklistID]]+Master[[#This Row],[Checklist Order]]</f>
        <v>151009</v>
      </c>
      <c r="C1645" s="22"/>
      <c r="D1645" s="3" t="str" cm="1">
        <f t="array" aca="1" ref="D1645" ca="1">_xlfn.SWITCH(MID(Master[[#This Row],[Checklist]],1,4),"C - ","Civil","F - ","Foundation","ST -","Structure","FC -","Façade","PRE ","Pre-Line","POST","Post-Line","H - ","Handover","S - ","Services","CST ","Completion Docs", "I - ", "Inspection")</f>
        <v>Services</v>
      </c>
      <c r="E16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5" s="24" t="str">
        <f ca="1">IF(OR(Master[[#This Row],[Type]]="checklist", Master[[#This Row],[Type]]="checklist-flat"), Master[[#This Row],[Name]], F1644)</f>
        <v>S - S - Electrical</v>
      </c>
      <c r="G1645" s="34" t="s">
        <v>49</v>
      </c>
      <c r="H1645" s="34" t="s">
        <v>756</v>
      </c>
      <c r="I1645" s="35"/>
      <c r="J1645" s="21">
        <f ca="1">_xlfn.XLOOKUP(Master[[#This Row],[Checklist]],Ref!A:A,Ref!B:B)*1000</f>
        <v>151000</v>
      </c>
      <c r="K1645" s="21">
        <f ca="1">COUNTIF($J$2:Master[[#This Row],[ChecklistID]],Master[[#This Row],[ChecklistID]])-1</f>
        <v>9</v>
      </c>
      <c r="L1645" s="23" t="s">
        <v>6</v>
      </c>
    </row>
    <row r="1646" spans="1:12" ht="15.75">
      <c r="A1646" s="23">
        <f t="shared" si="25"/>
        <v>1633</v>
      </c>
      <c r="B1646" s="21">
        <f ca="1">Master[[#This Row],[ChecklistID]]+Master[[#This Row],[Checklist Order]]</f>
        <v>151010</v>
      </c>
      <c r="C1646" s="22"/>
      <c r="D1646" s="3" t="str" cm="1">
        <f t="array" aca="1" ref="D1646" ca="1">_xlfn.SWITCH(MID(Master[[#This Row],[Checklist]],1,4),"C - ","Civil","F - ","Foundation","ST -","Structure","FC -","Façade","PRE ","Pre-Line","POST","Post-Line","H - ","Handover","S - ","Services","CST ","Completion Docs", "I - ", "Inspection")</f>
        <v>Services</v>
      </c>
      <c r="E16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6" s="24" t="str">
        <f ca="1">IF(OR(Master[[#This Row],[Type]]="checklist", Master[[#This Row],[Type]]="checklist-flat"), Master[[#This Row],[Name]], F1645)</f>
        <v>S - S - Electrical</v>
      </c>
      <c r="G1646" s="34" t="s">
        <v>49</v>
      </c>
      <c r="H1646" s="34" t="s">
        <v>757</v>
      </c>
      <c r="I1646" s="35"/>
      <c r="J1646" s="21">
        <f ca="1">_xlfn.XLOOKUP(Master[[#This Row],[Checklist]],Ref!A:A,Ref!B:B)*1000</f>
        <v>151000</v>
      </c>
      <c r="K1646" s="21">
        <f ca="1">COUNTIF($J$2:Master[[#This Row],[ChecklistID]],Master[[#This Row],[ChecklistID]])-1</f>
        <v>10</v>
      </c>
      <c r="L1646" s="23" t="s">
        <v>6</v>
      </c>
    </row>
    <row r="1647" spans="1:12" ht="15.75">
      <c r="A1647" s="23">
        <f t="shared" si="25"/>
        <v>1634</v>
      </c>
      <c r="B1647" s="21">
        <f ca="1">Master[[#This Row],[ChecklistID]]+Master[[#This Row],[Checklist Order]]</f>
        <v>151011</v>
      </c>
      <c r="C1647" s="22"/>
      <c r="D1647" s="3" t="str" cm="1">
        <f t="array" aca="1" ref="D1647" ca="1">_xlfn.SWITCH(MID(Master[[#This Row],[Checklist]],1,4),"C - ","Civil","F - ","Foundation","ST -","Structure","FC -","Façade","PRE ","Pre-Line","POST","Post-Line","H - ","Handover","S - ","Services","CST ","Completion Docs", "I - ", "Inspection")</f>
        <v>Services</v>
      </c>
      <c r="E16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7" s="24" t="str">
        <f ca="1">IF(OR(Master[[#This Row],[Type]]="checklist", Master[[#This Row],[Type]]="checklist-flat"), Master[[#This Row],[Name]], F1646)</f>
        <v>S - S - Electrical</v>
      </c>
      <c r="G1647" s="34" t="s">
        <v>49</v>
      </c>
      <c r="H1647" s="34" t="s">
        <v>758</v>
      </c>
      <c r="I1647" s="35"/>
      <c r="J1647" s="21">
        <f ca="1">_xlfn.XLOOKUP(Master[[#This Row],[Checklist]],Ref!A:A,Ref!B:B)*1000</f>
        <v>151000</v>
      </c>
      <c r="K1647" s="21">
        <f ca="1">COUNTIF($J$2:Master[[#This Row],[ChecklistID]],Master[[#This Row],[ChecklistID]])-1</f>
        <v>11</v>
      </c>
      <c r="L1647" s="23" t="s">
        <v>6</v>
      </c>
    </row>
    <row r="1648" spans="1:12" ht="15.75">
      <c r="A1648" s="23">
        <f t="shared" si="25"/>
        <v>1635</v>
      </c>
      <c r="B1648" s="21">
        <f ca="1">Master[[#This Row],[ChecklistID]]+Master[[#This Row],[Checklist Order]]</f>
        <v>151012</v>
      </c>
      <c r="C1648" s="22"/>
      <c r="D1648" s="3" t="str" cm="1">
        <f t="array" aca="1" ref="D1648" ca="1">_xlfn.SWITCH(MID(Master[[#This Row],[Checklist]],1,4),"C - ","Civil","F - ","Foundation","ST -","Structure","FC -","Façade","PRE ","Pre-Line","POST","Post-Line","H - ","Handover","S - ","Services","CST ","Completion Docs", "I - ", "Inspection")</f>
        <v>Services</v>
      </c>
      <c r="E16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8" s="24" t="str">
        <f ca="1">IF(OR(Master[[#This Row],[Type]]="checklist", Master[[#This Row],[Type]]="checklist-flat"), Master[[#This Row],[Name]], F1647)</f>
        <v>S - S - Electrical</v>
      </c>
      <c r="G1648" s="34" t="s">
        <v>49</v>
      </c>
      <c r="H1648" s="34" t="s">
        <v>759</v>
      </c>
      <c r="I1648" s="35"/>
      <c r="J1648" s="21">
        <f ca="1">_xlfn.XLOOKUP(Master[[#This Row],[Checklist]],Ref!A:A,Ref!B:B)*1000</f>
        <v>151000</v>
      </c>
      <c r="K1648" s="21">
        <f ca="1">COUNTIF($J$2:Master[[#This Row],[ChecklistID]],Master[[#This Row],[ChecklistID]])-1</f>
        <v>12</v>
      </c>
      <c r="L1648" s="23" t="s">
        <v>6</v>
      </c>
    </row>
    <row r="1649" spans="1:12" ht="15.75">
      <c r="A1649" s="23">
        <f t="shared" si="25"/>
        <v>1636</v>
      </c>
      <c r="B1649" s="21">
        <f ca="1">Master[[#This Row],[ChecklistID]]+Master[[#This Row],[Checklist Order]]</f>
        <v>151013</v>
      </c>
      <c r="C1649" s="22"/>
      <c r="D1649" s="3" t="str" cm="1">
        <f t="array" aca="1" ref="D1649" ca="1">_xlfn.SWITCH(MID(Master[[#This Row],[Checklist]],1,4),"C - ","Civil","F - ","Foundation","ST -","Structure","FC -","Façade","PRE ","Pre-Line","POST","Post-Line","H - ","Handover","S - ","Services","CST ","Completion Docs", "I - ", "Inspection")</f>
        <v>Services</v>
      </c>
      <c r="E16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49" s="24" t="str">
        <f ca="1">IF(OR(Master[[#This Row],[Type]]="checklist", Master[[#This Row],[Type]]="checklist-flat"), Master[[#This Row],[Name]], F1648)</f>
        <v>S - S - Electrical</v>
      </c>
      <c r="G1649" s="34" t="s">
        <v>120</v>
      </c>
      <c r="H1649" s="34" t="s">
        <v>697</v>
      </c>
      <c r="I1649" s="35"/>
      <c r="J1649" s="21">
        <f ca="1">_xlfn.XLOOKUP(Master[[#This Row],[Checklist]],Ref!A:A,Ref!B:B)*1000</f>
        <v>151000</v>
      </c>
      <c r="K1649" s="21">
        <f ca="1">COUNTIF($J$2:Master[[#This Row],[ChecklistID]],Master[[#This Row],[ChecklistID]])-1</f>
        <v>13</v>
      </c>
      <c r="L1649" s="23" t="s">
        <v>6</v>
      </c>
    </row>
    <row r="1650" spans="1:12" ht="15.75">
      <c r="A1650" s="23">
        <f t="shared" si="25"/>
        <v>1637</v>
      </c>
      <c r="B1650" s="21">
        <f ca="1">Master[[#This Row],[ChecklistID]]+Master[[#This Row],[Checklist Order]]</f>
        <v>151014</v>
      </c>
      <c r="C1650" s="22"/>
      <c r="D1650" s="3" t="str" cm="1">
        <f t="array" aca="1" ref="D1650" ca="1">_xlfn.SWITCH(MID(Master[[#This Row],[Checklist]],1,4),"C - ","Civil","F - ","Foundation","ST -","Structure","FC -","Façade","PRE ","Pre-Line","POST","Post-Line","H - ","Handover","S - ","Services","CST ","Completion Docs", "I - ", "Inspection")</f>
        <v>Services</v>
      </c>
      <c r="E16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0" s="24" t="str">
        <f ca="1">IF(OR(Master[[#This Row],[Type]]="checklist", Master[[#This Row],[Type]]="checklist-flat"), Master[[#This Row],[Name]], F1649)</f>
        <v>S - S - Electrical</v>
      </c>
      <c r="G1650" s="34" t="s">
        <v>49</v>
      </c>
      <c r="H1650" s="34" t="s">
        <v>1705</v>
      </c>
      <c r="I1650" s="35"/>
      <c r="J1650" s="21">
        <f ca="1">_xlfn.XLOOKUP(Master[[#This Row],[Checklist]],Ref!A:A,Ref!B:B)*1000</f>
        <v>151000</v>
      </c>
      <c r="K1650" s="21">
        <f ca="1">COUNTIF($J$2:Master[[#This Row],[ChecklistID]],Master[[#This Row],[ChecklistID]])-1</f>
        <v>14</v>
      </c>
      <c r="L1650" s="23" t="s">
        <v>6</v>
      </c>
    </row>
    <row r="1651" spans="1:12" ht="15.75">
      <c r="A1651" s="23">
        <f t="shared" si="25"/>
        <v>1638</v>
      </c>
      <c r="B1651" s="21">
        <f ca="1">Master[[#This Row],[ChecklistID]]+Master[[#This Row],[Checklist Order]]</f>
        <v>151015</v>
      </c>
      <c r="C1651" s="22"/>
      <c r="D1651" s="3" t="str" cm="1">
        <f t="array" aca="1" ref="D1651" ca="1">_xlfn.SWITCH(MID(Master[[#This Row],[Checklist]],1,4),"C - ","Civil","F - ","Foundation","ST -","Structure","FC -","Façade","PRE ","Pre-Line","POST","Post-Line","H - ","Handover","S - ","Services","CST ","Completion Docs", "I - ", "Inspection")</f>
        <v>Services</v>
      </c>
      <c r="E16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1" s="24" t="str">
        <f ca="1">IF(OR(Master[[#This Row],[Type]]="checklist", Master[[#This Row],[Type]]="checklist-flat"), Master[[#This Row],[Name]], F1650)</f>
        <v>S - S - Electrical</v>
      </c>
      <c r="G1651" s="34" t="s">
        <v>49</v>
      </c>
      <c r="H1651" s="34" t="s">
        <v>761</v>
      </c>
      <c r="I1651" s="35"/>
      <c r="J1651" s="21">
        <f ca="1">_xlfn.XLOOKUP(Master[[#This Row],[Checklist]],Ref!A:A,Ref!B:B)*1000</f>
        <v>151000</v>
      </c>
      <c r="K1651" s="21">
        <f ca="1">COUNTIF($J$2:Master[[#This Row],[ChecklistID]],Master[[#This Row],[ChecklistID]])-1</f>
        <v>15</v>
      </c>
      <c r="L1651" s="23" t="s">
        <v>6</v>
      </c>
    </row>
    <row r="1652" spans="1:12" ht="15.75">
      <c r="A1652" s="23">
        <f t="shared" ref="A1652:A1715" si="26">IFERROR(A1651+1,1)</f>
        <v>1639</v>
      </c>
      <c r="B1652" s="21">
        <f ca="1">Master[[#This Row],[ChecklistID]]+Master[[#This Row],[Checklist Order]]</f>
        <v>151016</v>
      </c>
      <c r="C1652" s="22"/>
      <c r="D1652" s="3" t="str" cm="1">
        <f t="array" aca="1" ref="D1652" ca="1">_xlfn.SWITCH(MID(Master[[#This Row],[Checklist]],1,4),"C - ","Civil","F - ","Foundation","ST -","Structure","FC -","Façade","PRE ","Pre-Line","POST","Post-Line","H - ","Handover","S - ","Services","CST ","Completion Docs", "I - ", "Inspection")</f>
        <v>Services</v>
      </c>
      <c r="E16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2" s="24" t="str">
        <f ca="1">IF(OR(Master[[#This Row],[Type]]="checklist", Master[[#This Row],[Type]]="checklist-flat"), Master[[#This Row],[Name]], F1651)</f>
        <v>S - S - Electrical</v>
      </c>
      <c r="G1652" s="34" t="s">
        <v>49</v>
      </c>
      <c r="H1652" s="34" t="s">
        <v>762</v>
      </c>
      <c r="I1652" s="35"/>
      <c r="J1652" s="21">
        <f ca="1">_xlfn.XLOOKUP(Master[[#This Row],[Checklist]],Ref!A:A,Ref!B:B)*1000</f>
        <v>151000</v>
      </c>
      <c r="K1652" s="21">
        <f ca="1">COUNTIF($J$2:Master[[#This Row],[ChecklistID]],Master[[#This Row],[ChecklistID]])-1</f>
        <v>16</v>
      </c>
      <c r="L1652" s="23" t="s">
        <v>6</v>
      </c>
    </row>
    <row r="1653" spans="1:12" ht="15.75">
      <c r="A1653" s="23">
        <f t="shared" si="26"/>
        <v>1640</v>
      </c>
      <c r="B1653" s="21">
        <f ca="1">Master[[#This Row],[ChecklistID]]+Master[[#This Row],[Checklist Order]]</f>
        <v>151017</v>
      </c>
      <c r="C1653" s="22"/>
      <c r="D1653" s="3" t="str" cm="1">
        <f t="array" aca="1" ref="D1653" ca="1">_xlfn.SWITCH(MID(Master[[#This Row],[Checklist]],1,4),"C - ","Civil","F - ","Foundation","ST -","Structure","FC -","Façade","PRE ","Pre-Line","POST","Post-Line","H - ","Handover","S - ","Services","CST ","Completion Docs", "I - ", "Inspection")</f>
        <v>Services</v>
      </c>
      <c r="E16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3" s="24" t="str">
        <f ca="1">IF(OR(Master[[#This Row],[Type]]="checklist", Master[[#This Row],[Type]]="checklist-flat"), Master[[#This Row],[Name]], F1652)</f>
        <v>S - S - Electrical</v>
      </c>
      <c r="G1653" s="34" t="s">
        <v>49</v>
      </c>
      <c r="H1653" s="34" t="s">
        <v>763</v>
      </c>
      <c r="I1653" s="35"/>
      <c r="J1653" s="21">
        <f ca="1">_xlfn.XLOOKUP(Master[[#This Row],[Checklist]],Ref!A:A,Ref!B:B)*1000</f>
        <v>151000</v>
      </c>
      <c r="K1653" s="21">
        <f ca="1">COUNTIF($J$2:Master[[#This Row],[ChecklistID]],Master[[#This Row],[ChecklistID]])-1</f>
        <v>17</v>
      </c>
      <c r="L1653" s="23" t="s">
        <v>6</v>
      </c>
    </row>
    <row r="1654" spans="1:12" ht="15.75">
      <c r="A1654" s="23">
        <f t="shared" si="26"/>
        <v>1641</v>
      </c>
      <c r="B1654" s="21">
        <f ca="1">Master[[#This Row],[ChecklistID]]+Master[[#This Row],[Checklist Order]]</f>
        <v>151018</v>
      </c>
      <c r="C1654" s="22"/>
      <c r="D1654" s="3" t="str" cm="1">
        <f t="array" aca="1" ref="D1654" ca="1">_xlfn.SWITCH(MID(Master[[#This Row],[Checklist]],1,4),"C - ","Civil","F - ","Foundation","ST -","Structure","FC -","Façade","PRE ","Pre-Line","POST","Post-Line","H - ","Handover","S - ","Services","CST ","Completion Docs", "I - ", "Inspection")</f>
        <v>Services</v>
      </c>
      <c r="E16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4" s="24" t="str">
        <f ca="1">IF(OR(Master[[#This Row],[Type]]="checklist", Master[[#This Row],[Type]]="checklist-flat"), Master[[#This Row],[Name]], F1653)</f>
        <v>S - S - Electrical</v>
      </c>
      <c r="G1654" s="34" t="s">
        <v>49</v>
      </c>
      <c r="H1654" s="34" t="s">
        <v>764</v>
      </c>
      <c r="I1654" s="35"/>
      <c r="J1654" s="21">
        <f ca="1">_xlfn.XLOOKUP(Master[[#This Row],[Checklist]],Ref!A:A,Ref!B:B)*1000</f>
        <v>151000</v>
      </c>
      <c r="K1654" s="21">
        <f ca="1">COUNTIF($J$2:Master[[#This Row],[ChecklistID]],Master[[#This Row],[ChecklistID]])-1</f>
        <v>18</v>
      </c>
      <c r="L1654" s="23" t="s">
        <v>6</v>
      </c>
    </row>
    <row r="1655" spans="1:12" ht="15.75">
      <c r="A1655" s="23">
        <f t="shared" si="26"/>
        <v>1642</v>
      </c>
      <c r="B1655" s="21">
        <f ca="1">Master[[#This Row],[ChecklistID]]+Master[[#This Row],[Checklist Order]]</f>
        <v>151019</v>
      </c>
      <c r="C1655" s="22"/>
      <c r="D1655" s="3" t="str" cm="1">
        <f t="array" aca="1" ref="D1655" ca="1">_xlfn.SWITCH(MID(Master[[#This Row],[Checklist]],1,4),"C - ","Civil","F - ","Foundation","ST -","Structure","FC -","Façade","PRE ","Pre-Line","POST","Post-Line","H - ","Handover","S - ","Services","CST ","Completion Docs", "I - ", "Inspection")</f>
        <v>Services</v>
      </c>
      <c r="E16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5" s="24" t="str">
        <f ca="1">IF(OR(Master[[#This Row],[Type]]="checklist", Master[[#This Row],[Type]]="checklist-flat"), Master[[#This Row],[Name]], F1654)</f>
        <v>S - S - Electrical</v>
      </c>
      <c r="G1655" s="34" t="s">
        <v>49</v>
      </c>
      <c r="H1655" s="34" t="s">
        <v>765</v>
      </c>
      <c r="I1655" s="35"/>
      <c r="J1655" s="21">
        <f ca="1">_xlfn.XLOOKUP(Master[[#This Row],[Checklist]],Ref!A:A,Ref!B:B)*1000</f>
        <v>151000</v>
      </c>
      <c r="K1655" s="21">
        <f ca="1">COUNTIF($J$2:Master[[#This Row],[ChecklistID]],Master[[#This Row],[ChecklistID]])-1</f>
        <v>19</v>
      </c>
      <c r="L1655" s="23" t="s">
        <v>6</v>
      </c>
    </row>
    <row r="1656" spans="1:12" ht="15.75">
      <c r="A1656" s="23">
        <f t="shared" si="26"/>
        <v>1643</v>
      </c>
      <c r="B1656" s="21">
        <f ca="1">Master[[#This Row],[ChecklistID]]+Master[[#This Row],[Checklist Order]]</f>
        <v>151020</v>
      </c>
      <c r="C1656" s="22"/>
      <c r="D1656" s="3" t="str" cm="1">
        <f t="array" aca="1" ref="D1656" ca="1">_xlfn.SWITCH(MID(Master[[#This Row],[Checklist]],1,4),"C - ","Civil","F - ","Foundation","ST -","Structure","FC -","Façade","PRE ","Pre-Line","POST","Post-Line","H - ","Handover","S - ","Services","CST ","Completion Docs", "I - ", "Inspection")</f>
        <v>Services</v>
      </c>
      <c r="E16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6" s="24" t="str">
        <f ca="1">IF(OR(Master[[#This Row],[Type]]="checklist", Master[[#This Row],[Type]]="checklist-flat"), Master[[#This Row],[Name]], F1655)</f>
        <v>S - S - Electrical</v>
      </c>
      <c r="G1656" s="34" t="s">
        <v>49</v>
      </c>
      <c r="H1656" s="34" t="s">
        <v>57</v>
      </c>
      <c r="I1656" s="35"/>
      <c r="J1656" s="21">
        <f ca="1">_xlfn.XLOOKUP(Master[[#This Row],[Checklist]],Ref!A:A,Ref!B:B)*1000</f>
        <v>151000</v>
      </c>
      <c r="K1656" s="21">
        <f ca="1">COUNTIF($J$2:Master[[#This Row],[ChecklistID]],Master[[#This Row],[ChecklistID]])-1</f>
        <v>20</v>
      </c>
      <c r="L1656" s="23" t="s">
        <v>6</v>
      </c>
    </row>
    <row r="1657" spans="1:12" ht="15.75">
      <c r="A1657" s="23">
        <f t="shared" si="26"/>
        <v>1644</v>
      </c>
      <c r="B1657" s="21">
        <f ca="1">Master[[#This Row],[ChecklistID]]+Master[[#This Row],[Checklist Order]]</f>
        <v>151021</v>
      </c>
      <c r="C1657" s="22"/>
      <c r="D1657" s="3" t="str" cm="1">
        <f t="array" aca="1" ref="D1657" ca="1">_xlfn.SWITCH(MID(Master[[#This Row],[Checklist]],1,4),"C - ","Civil","F - ","Foundation","ST -","Structure","FC -","Façade","PRE ","Pre-Line","POST","Post-Line","H - ","Handover","S - ","Services","CST ","Completion Docs", "I - ", "Inspection")</f>
        <v>Services</v>
      </c>
      <c r="E16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7" s="24" t="str">
        <f ca="1">IF(OR(Master[[#This Row],[Type]]="checklist", Master[[#This Row],[Type]]="checklist-flat"), Master[[#This Row],[Name]], F1656)</f>
        <v>S - S - Electrical</v>
      </c>
      <c r="G1657" s="34" t="s">
        <v>58</v>
      </c>
      <c r="H1657" s="34" t="s">
        <v>59</v>
      </c>
      <c r="I1657" s="35"/>
      <c r="J1657" s="21">
        <f ca="1">_xlfn.XLOOKUP(Master[[#This Row],[Checklist]],Ref!A:A,Ref!B:B)*1000</f>
        <v>151000</v>
      </c>
      <c r="K1657" s="21">
        <f ca="1">COUNTIF($J$2:Master[[#This Row],[ChecklistID]],Master[[#This Row],[ChecklistID]])-1</f>
        <v>21</v>
      </c>
      <c r="L1657" s="23" t="s">
        <v>6</v>
      </c>
    </row>
    <row r="1658" spans="1:12" ht="15.75">
      <c r="A1658" s="23">
        <f t="shared" si="26"/>
        <v>1645</v>
      </c>
      <c r="B1658" s="21">
        <f ca="1">Master[[#This Row],[ChecklistID]]+Master[[#This Row],[Checklist Order]]</f>
        <v>152000</v>
      </c>
      <c r="C1658" s="22"/>
      <c r="D1658" s="3" t="str" cm="1">
        <f t="array" aca="1" ref="D1658" ca="1">_xlfn.SWITCH(MID(Master[[#This Row],[Checklist]],1,4),"C - ","Civil","F - ","Foundation","ST -","Structure","FC -","Façade","PRE ","Pre-Line","POST","Post-Line","H - ","Handover","S - ","Services","CST ","Completion Docs", "I - ", "Inspection")</f>
        <v>Services</v>
      </c>
      <c r="E16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8" s="24" t="str">
        <f ca="1">IF(OR(Master[[#This Row],[Type]]="checklist", Master[[#This Row],[Type]]="checklist-flat"), Master[[#This Row],[Name]], F1657)</f>
        <v xml:space="preserve">S - S - Fire Alarm </v>
      </c>
      <c r="G1658" s="34" t="s">
        <v>119</v>
      </c>
      <c r="H1658" s="34" t="s">
        <v>766</v>
      </c>
      <c r="I1658" s="35"/>
      <c r="J1658" s="21">
        <f ca="1">_xlfn.XLOOKUP(Master[[#This Row],[Checklist]],Ref!A:A,Ref!B:B)*1000</f>
        <v>152000</v>
      </c>
      <c r="K1658" s="21">
        <f ca="1">COUNTIF($J$2:Master[[#This Row],[ChecklistID]],Master[[#This Row],[ChecklistID]])-1</f>
        <v>0</v>
      </c>
      <c r="L1658" s="23" t="s">
        <v>6</v>
      </c>
    </row>
    <row r="1659" spans="1:12" ht="15.75">
      <c r="A1659" s="23">
        <f t="shared" si="26"/>
        <v>1646</v>
      </c>
      <c r="B1659" s="21">
        <f ca="1">Master[[#This Row],[ChecklistID]]+Master[[#This Row],[Checklist Order]]</f>
        <v>152001</v>
      </c>
      <c r="C1659" s="22"/>
      <c r="D1659" s="3" t="str" cm="1">
        <f t="array" aca="1" ref="D1659" ca="1">_xlfn.SWITCH(MID(Master[[#This Row],[Checklist]],1,4),"C - ","Civil","F - ","Foundation","ST -","Structure","FC -","Façade","PRE ","Pre-Line","POST","Post-Line","H - ","Handover","S - ","Services","CST ","Completion Docs", "I - ", "Inspection")</f>
        <v>Services</v>
      </c>
      <c r="E16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59" s="24" t="str">
        <f ca="1">IF(OR(Master[[#This Row],[Type]]="checklist", Master[[#This Row],[Type]]="checklist-flat"), Master[[#This Row],[Name]], F1658)</f>
        <v xml:space="preserve">S - S - Fire Alarm </v>
      </c>
      <c r="G1659" s="34" t="s">
        <v>120</v>
      </c>
      <c r="H1659" s="34" t="s">
        <v>690</v>
      </c>
      <c r="I1659" s="35"/>
      <c r="J1659" s="21">
        <f ca="1">_xlfn.XLOOKUP(Master[[#This Row],[Checklist]],Ref!A:A,Ref!B:B)*1000</f>
        <v>152000</v>
      </c>
      <c r="K1659" s="21">
        <f ca="1">COUNTIF($J$2:Master[[#This Row],[ChecklistID]],Master[[#This Row],[ChecklistID]])-1</f>
        <v>1</v>
      </c>
      <c r="L1659" s="23" t="s">
        <v>6</v>
      </c>
    </row>
    <row r="1660" spans="1:12" ht="15.75">
      <c r="A1660" s="23">
        <f t="shared" si="26"/>
        <v>1647</v>
      </c>
      <c r="B1660" s="21">
        <f ca="1">Master[[#This Row],[ChecklistID]]+Master[[#This Row],[Checklist Order]]</f>
        <v>152002</v>
      </c>
      <c r="C1660" s="22"/>
      <c r="D1660" s="3" t="str" cm="1">
        <f t="array" aca="1" ref="D1660" ca="1">_xlfn.SWITCH(MID(Master[[#This Row],[Checklist]],1,4),"C - ","Civil","F - ","Foundation","ST -","Structure","FC -","Façade","PRE ","Pre-Line","POST","Post-Line","H - ","Handover","S - ","Services","CST ","Completion Docs", "I - ", "Inspection")</f>
        <v>Services</v>
      </c>
      <c r="E16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0" s="24" t="str">
        <f ca="1">IF(OR(Master[[#This Row],[Type]]="checklist", Master[[#This Row],[Type]]="checklist-flat"), Master[[#This Row],[Name]], F1659)</f>
        <v xml:space="preserve">S - S - Fire Alarm </v>
      </c>
      <c r="G1660" s="34" t="s">
        <v>49</v>
      </c>
      <c r="H1660" s="34" t="s">
        <v>767</v>
      </c>
      <c r="I1660" s="35"/>
      <c r="J1660" s="21">
        <f ca="1">_xlfn.XLOOKUP(Master[[#This Row],[Checklist]],Ref!A:A,Ref!B:B)*1000</f>
        <v>152000</v>
      </c>
      <c r="K1660" s="21">
        <f ca="1">COUNTIF($J$2:Master[[#This Row],[ChecklistID]],Master[[#This Row],[ChecklistID]])-1</f>
        <v>2</v>
      </c>
      <c r="L1660" s="23" t="s">
        <v>6</v>
      </c>
    </row>
    <row r="1661" spans="1:12" ht="15.75">
      <c r="A1661" s="23">
        <f t="shared" si="26"/>
        <v>1648</v>
      </c>
      <c r="B1661" s="21">
        <f ca="1">Master[[#This Row],[ChecklistID]]+Master[[#This Row],[Checklist Order]]</f>
        <v>152003</v>
      </c>
      <c r="C1661" s="22"/>
      <c r="D1661" s="3" t="str" cm="1">
        <f t="array" aca="1" ref="D1661" ca="1">_xlfn.SWITCH(MID(Master[[#This Row],[Checklist]],1,4),"C - ","Civil","F - ","Foundation","ST -","Structure","FC -","Façade","PRE ","Pre-Line","POST","Post-Line","H - ","Handover","S - ","Services","CST ","Completion Docs", "I - ", "Inspection")</f>
        <v>Services</v>
      </c>
      <c r="E16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1" s="24" t="str">
        <f ca="1">IF(OR(Master[[#This Row],[Type]]="checklist", Master[[#This Row],[Type]]="checklist-flat"), Master[[#This Row],[Name]], F1660)</f>
        <v xml:space="preserve">S - S - Fire Alarm </v>
      </c>
      <c r="G1661" s="34" t="s">
        <v>49</v>
      </c>
      <c r="H1661" s="34" t="s">
        <v>768</v>
      </c>
      <c r="I1661" s="35"/>
      <c r="J1661" s="21">
        <f ca="1">_xlfn.XLOOKUP(Master[[#This Row],[Checklist]],Ref!A:A,Ref!B:B)*1000</f>
        <v>152000</v>
      </c>
      <c r="K1661" s="21">
        <f ca="1">COUNTIF($J$2:Master[[#This Row],[ChecklistID]],Master[[#This Row],[ChecklistID]])-1</f>
        <v>3</v>
      </c>
      <c r="L1661" s="23" t="s">
        <v>6</v>
      </c>
    </row>
    <row r="1662" spans="1:12" ht="15.75">
      <c r="A1662" s="23">
        <f t="shared" si="26"/>
        <v>1649</v>
      </c>
      <c r="B1662" s="21">
        <f ca="1">Master[[#This Row],[ChecklistID]]+Master[[#This Row],[Checklist Order]]</f>
        <v>152004</v>
      </c>
      <c r="C1662" s="22"/>
      <c r="D1662" s="3" t="str" cm="1">
        <f t="array" aca="1" ref="D1662" ca="1">_xlfn.SWITCH(MID(Master[[#This Row],[Checklist]],1,4),"C - ","Civil","F - ","Foundation","ST -","Structure","FC -","Façade","PRE ","Pre-Line","POST","Post-Line","H - ","Handover","S - ","Services","CST ","Completion Docs", "I - ", "Inspection")</f>
        <v>Services</v>
      </c>
      <c r="E16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2" s="24" t="str">
        <f ca="1">IF(OR(Master[[#This Row],[Type]]="checklist", Master[[#This Row],[Type]]="checklist-flat"), Master[[#This Row],[Name]], F1661)</f>
        <v xml:space="preserve">S - S - Fire Alarm </v>
      </c>
      <c r="G1662" s="34" t="s">
        <v>49</v>
      </c>
      <c r="H1662" s="34" t="s">
        <v>769</v>
      </c>
      <c r="I1662" s="35"/>
      <c r="J1662" s="21">
        <f ca="1">_xlfn.XLOOKUP(Master[[#This Row],[Checklist]],Ref!A:A,Ref!B:B)*1000</f>
        <v>152000</v>
      </c>
      <c r="K1662" s="21">
        <f ca="1">COUNTIF($J$2:Master[[#This Row],[ChecklistID]],Master[[#This Row],[ChecklistID]])-1</f>
        <v>4</v>
      </c>
      <c r="L1662" s="23" t="s">
        <v>6</v>
      </c>
    </row>
    <row r="1663" spans="1:12" ht="15.75">
      <c r="A1663" s="23">
        <f t="shared" si="26"/>
        <v>1650</v>
      </c>
      <c r="B1663" s="21">
        <f ca="1">Master[[#This Row],[ChecklistID]]+Master[[#This Row],[Checklist Order]]</f>
        <v>152005</v>
      </c>
      <c r="C1663" s="22"/>
      <c r="D1663" s="3" t="str" cm="1">
        <f t="array" aca="1" ref="D1663" ca="1">_xlfn.SWITCH(MID(Master[[#This Row],[Checklist]],1,4),"C - ","Civil","F - ","Foundation","ST -","Structure","FC -","Façade","PRE ","Pre-Line","POST","Post-Line","H - ","Handover","S - ","Services","CST ","Completion Docs", "I - ", "Inspection")</f>
        <v>Services</v>
      </c>
      <c r="E16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3" s="24" t="str">
        <f ca="1">IF(OR(Master[[#This Row],[Type]]="checklist", Master[[#This Row],[Type]]="checklist-flat"), Master[[#This Row],[Name]], F1662)</f>
        <v xml:space="preserve">S - S - Fire Alarm </v>
      </c>
      <c r="G1663" s="34" t="s">
        <v>49</v>
      </c>
      <c r="H1663" s="34" t="s">
        <v>770</v>
      </c>
      <c r="I1663" s="35"/>
      <c r="J1663" s="21">
        <f ca="1">_xlfn.XLOOKUP(Master[[#This Row],[Checklist]],Ref!A:A,Ref!B:B)*1000</f>
        <v>152000</v>
      </c>
      <c r="K1663" s="21">
        <f ca="1">COUNTIF($J$2:Master[[#This Row],[ChecklistID]],Master[[#This Row],[ChecklistID]])-1</f>
        <v>5</v>
      </c>
      <c r="L1663" s="23" t="s">
        <v>6</v>
      </c>
    </row>
    <row r="1664" spans="1:12" ht="15.75">
      <c r="A1664" s="23">
        <f t="shared" si="26"/>
        <v>1651</v>
      </c>
      <c r="B1664" s="21">
        <f ca="1">Master[[#This Row],[ChecklistID]]+Master[[#This Row],[Checklist Order]]</f>
        <v>152006</v>
      </c>
      <c r="C1664" s="22"/>
      <c r="D1664" s="3" t="str" cm="1">
        <f t="array" aca="1" ref="D1664" ca="1">_xlfn.SWITCH(MID(Master[[#This Row],[Checklist]],1,4),"C - ","Civil","F - ","Foundation","ST -","Structure","FC -","Façade","PRE ","Pre-Line","POST","Post-Line","H - ","Handover","S - ","Services","CST ","Completion Docs", "I - ", "Inspection")</f>
        <v>Services</v>
      </c>
      <c r="E16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4" s="24" t="str">
        <f ca="1">IF(OR(Master[[#This Row],[Type]]="checklist", Master[[#This Row],[Type]]="checklist-flat"), Master[[#This Row],[Name]], F1663)</f>
        <v xml:space="preserve">S - S - Fire Alarm </v>
      </c>
      <c r="G1664" s="34" t="s">
        <v>49</v>
      </c>
      <c r="H1664" s="34" t="s">
        <v>771</v>
      </c>
      <c r="I1664" s="35"/>
      <c r="J1664" s="21">
        <f ca="1">_xlfn.XLOOKUP(Master[[#This Row],[Checklist]],Ref!A:A,Ref!B:B)*1000</f>
        <v>152000</v>
      </c>
      <c r="K1664" s="21">
        <f ca="1">COUNTIF($J$2:Master[[#This Row],[ChecklistID]],Master[[#This Row],[ChecklistID]])-1</f>
        <v>6</v>
      </c>
      <c r="L1664" s="23" t="s">
        <v>6</v>
      </c>
    </row>
    <row r="1665" spans="1:12" ht="15.75">
      <c r="A1665" s="23">
        <f t="shared" si="26"/>
        <v>1652</v>
      </c>
      <c r="B1665" s="21">
        <f ca="1">Master[[#This Row],[ChecklistID]]+Master[[#This Row],[Checklist Order]]</f>
        <v>152007</v>
      </c>
      <c r="C1665" s="22"/>
      <c r="D1665" s="3" t="str" cm="1">
        <f t="array" aca="1" ref="D1665" ca="1">_xlfn.SWITCH(MID(Master[[#This Row],[Checklist]],1,4),"C - ","Civil","F - ","Foundation","ST -","Structure","FC -","Façade","PRE ","Pre-Line","POST","Post-Line","H - ","Handover","S - ","Services","CST ","Completion Docs", "I - ", "Inspection")</f>
        <v>Services</v>
      </c>
      <c r="E16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5" s="24" t="str">
        <f ca="1">IF(OR(Master[[#This Row],[Type]]="checklist", Master[[#This Row],[Type]]="checklist-flat"), Master[[#This Row],[Name]], F1664)</f>
        <v xml:space="preserve">S - S - Fire Alarm </v>
      </c>
      <c r="G1665" s="34" t="s">
        <v>49</v>
      </c>
      <c r="H1665" s="34" t="s">
        <v>772</v>
      </c>
      <c r="I1665" s="35"/>
      <c r="J1665" s="21">
        <f ca="1">_xlfn.XLOOKUP(Master[[#This Row],[Checklist]],Ref!A:A,Ref!B:B)*1000</f>
        <v>152000</v>
      </c>
      <c r="K1665" s="21">
        <f ca="1">COUNTIF($J$2:Master[[#This Row],[ChecklistID]],Master[[#This Row],[ChecklistID]])-1</f>
        <v>7</v>
      </c>
      <c r="L1665" s="23" t="s">
        <v>6</v>
      </c>
    </row>
    <row r="1666" spans="1:12" ht="15.75">
      <c r="A1666" s="23">
        <f t="shared" si="26"/>
        <v>1653</v>
      </c>
      <c r="B1666" s="21">
        <f ca="1">Master[[#This Row],[ChecklistID]]+Master[[#This Row],[Checklist Order]]</f>
        <v>152008</v>
      </c>
      <c r="C1666" s="22"/>
      <c r="D1666" s="3" t="str" cm="1">
        <f t="array" aca="1" ref="D1666" ca="1">_xlfn.SWITCH(MID(Master[[#This Row],[Checklist]],1,4),"C - ","Civil","F - ","Foundation","ST -","Structure","FC -","Façade","PRE ","Pre-Line","POST","Post-Line","H - ","Handover","S - ","Services","CST ","Completion Docs", "I - ", "Inspection")</f>
        <v>Services</v>
      </c>
      <c r="E16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6" s="24" t="str">
        <f ca="1">IF(OR(Master[[#This Row],[Type]]="checklist", Master[[#This Row],[Type]]="checklist-flat"), Master[[#This Row],[Name]], F1665)</f>
        <v xml:space="preserve">S - S - Fire Alarm </v>
      </c>
      <c r="G1666" s="34" t="s">
        <v>49</v>
      </c>
      <c r="H1666" s="34" t="s">
        <v>773</v>
      </c>
      <c r="I1666" s="35"/>
      <c r="J1666" s="21">
        <f ca="1">_xlfn.XLOOKUP(Master[[#This Row],[Checklist]],Ref!A:A,Ref!B:B)*1000</f>
        <v>152000</v>
      </c>
      <c r="K1666" s="21">
        <f ca="1">COUNTIF($J$2:Master[[#This Row],[ChecklistID]],Master[[#This Row],[ChecklistID]])-1</f>
        <v>8</v>
      </c>
      <c r="L1666" s="23" t="s">
        <v>6</v>
      </c>
    </row>
    <row r="1667" spans="1:12" ht="15.75">
      <c r="A1667" s="23">
        <f t="shared" si="26"/>
        <v>1654</v>
      </c>
      <c r="B1667" s="21">
        <f ca="1">Master[[#This Row],[ChecklistID]]+Master[[#This Row],[Checklist Order]]</f>
        <v>152009</v>
      </c>
      <c r="C1667" s="22"/>
      <c r="D1667" s="3" t="str" cm="1">
        <f t="array" aca="1" ref="D1667" ca="1">_xlfn.SWITCH(MID(Master[[#This Row],[Checklist]],1,4),"C - ","Civil","F - ","Foundation","ST -","Structure","FC -","Façade","PRE ","Pre-Line","POST","Post-Line","H - ","Handover","S - ","Services","CST ","Completion Docs", "I - ", "Inspection")</f>
        <v>Services</v>
      </c>
      <c r="E16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7" s="24" t="str">
        <f ca="1">IF(OR(Master[[#This Row],[Type]]="checklist", Master[[#This Row],[Type]]="checklist-flat"), Master[[#This Row],[Name]], F1666)</f>
        <v xml:space="preserve">S - S - Fire Alarm </v>
      </c>
      <c r="G1667" s="34" t="s">
        <v>120</v>
      </c>
      <c r="H1667" s="34" t="s">
        <v>697</v>
      </c>
      <c r="I1667" s="35"/>
      <c r="J1667" s="21">
        <f ca="1">_xlfn.XLOOKUP(Master[[#This Row],[Checklist]],Ref!A:A,Ref!B:B)*1000</f>
        <v>152000</v>
      </c>
      <c r="K1667" s="21">
        <f ca="1">COUNTIF($J$2:Master[[#This Row],[ChecklistID]],Master[[#This Row],[ChecklistID]])-1</f>
        <v>9</v>
      </c>
      <c r="L1667" s="23" t="s">
        <v>6</v>
      </c>
    </row>
    <row r="1668" spans="1:12" ht="15.75">
      <c r="A1668" s="23">
        <f t="shared" si="26"/>
        <v>1655</v>
      </c>
      <c r="B1668" s="21">
        <f ca="1">Master[[#This Row],[ChecklistID]]+Master[[#This Row],[Checklist Order]]</f>
        <v>152010</v>
      </c>
      <c r="C1668" s="22"/>
      <c r="D1668" s="3" t="str" cm="1">
        <f t="array" aca="1" ref="D1668" ca="1">_xlfn.SWITCH(MID(Master[[#This Row],[Checklist]],1,4),"C - ","Civil","F - ","Foundation","ST -","Structure","FC -","Façade","PRE ","Pre-Line","POST","Post-Line","H - ","Handover","S - ","Services","CST ","Completion Docs", "I - ", "Inspection")</f>
        <v>Services</v>
      </c>
      <c r="E16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8" s="24" t="str">
        <f ca="1">IF(OR(Master[[#This Row],[Type]]="checklist", Master[[#This Row],[Type]]="checklist-flat"), Master[[#This Row],[Name]], F1667)</f>
        <v xml:space="preserve">S - S - Fire Alarm </v>
      </c>
      <c r="G1668" s="34" t="s">
        <v>49</v>
      </c>
      <c r="H1668" s="34" t="s">
        <v>774</v>
      </c>
      <c r="I1668" s="35"/>
      <c r="J1668" s="21">
        <f ca="1">_xlfn.XLOOKUP(Master[[#This Row],[Checklist]],Ref!A:A,Ref!B:B)*1000</f>
        <v>152000</v>
      </c>
      <c r="K1668" s="21">
        <f ca="1">COUNTIF($J$2:Master[[#This Row],[ChecklistID]],Master[[#This Row],[ChecklistID]])-1</f>
        <v>10</v>
      </c>
      <c r="L1668" s="23" t="s">
        <v>6</v>
      </c>
    </row>
    <row r="1669" spans="1:12" ht="15.75">
      <c r="A1669" s="23">
        <f t="shared" si="26"/>
        <v>1656</v>
      </c>
      <c r="B1669" s="21">
        <f ca="1">Master[[#This Row],[ChecklistID]]+Master[[#This Row],[Checklist Order]]</f>
        <v>152011</v>
      </c>
      <c r="C1669" s="22"/>
      <c r="D1669" s="3" t="str" cm="1">
        <f t="array" aca="1" ref="D1669" ca="1">_xlfn.SWITCH(MID(Master[[#This Row],[Checklist]],1,4),"C - ","Civil","F - ","Foundation","ST -","Structure","FC -","Façade","PRE ","Pre-Line","POST","Post-Line","H - ","Handover","S - ","Services","CST ","Completion Docs", "I - ", "Inspection")</f>
        <v>Services</v>
      </c>
      <c r="E16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69" s="24" t="str">
        <f ca="1">IF(OR(Master[[#This Row],[Type]]="checklist", Master[[#This Row],[Type]]="checklist-flat"), Master[[#This Row],[Name]], F1668)</f>
        <v xml:space="preserve">S - S - Fire Alarm </v>
      </c>
      <c r="G1669" s="34" t="s">
        <v>49</v>
      </c>
      <c r="H1669" s="34" t="s">
        <v>775</v>
      </c>
      <c r="I1669" s="35"/>
      <c r="J1669" s="21">
        <f ca="1">_xlfn.XLOOKUP(Master[[#This Row],[Checklist]],Ref!A:A,Ref!B:B)*1000</f>
        <v>152000</v>
      </c>
      <c r="K1669" s="21">
        <f ca="1">COUNTIF($J$2:Master[[#This Row],[ChecklistID]],Master[[#This Row],[ChecklistID]])-1</f>
        <v>11</v>
      </c>
      <c r="L1669" s="23" t="s">
        <v>6</v>
      </c>
    </row>
    <row r="1670" spans="1:12" ht="15.75">
      <c r="A1670" s="23">
        <f t="shared" si="26"/>
        <v>1657</v>
      </c>
      <c r="B1670" s="21">
        <f ca="1">Master[[#This Row],[ChecklistID]]+Master[[#This Row],[Checklist Order]]</f>
        <v>152012</v>
      </c>
      <c r="C1670" s="22"/>
      <c r="D1670" s="3" t="str" cm="1">
        <f t="array" aca="1" ref="D1670" ca="1">_xlfn.SWITCH(MID(Master[[#This Row],[Checklist]],1,4),"C - ","Civil","F - ","Foundation","ST -","Structure","FC -","Façade","PRE ","Pre-Line","POST","Post-Line","H - ","Handover","S - ","Services","CST ","Completion Docs", "I - ", "Inspection")</f>
        <v>Services</v>
      </c>
      <c r="E16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0" s="24" t="str">
        <f ca="1">IF(OR(Master[[#This Row],[Type]]="checklist", Master[[#This Row],[Type]]="checklist-flat"), Master[[#This Row],[Name]], F1669)</f>
        <v xml:space="preserve">S - S - Fire Alarm </v>
      </c>
      <c r="G1670" s="34" t="s">
        <v>49</v>
      </c>
      <c r="H1670" s="34" t="s">
        <v>776</v>
      </c>
      <c r="I1670" s="35"/>
      <c r="J1670" s="21">
        <f ca="1">_xlfn.XLOOKUP(Master[[#This Row],[Checklist]],Ref!A:A,Ref!B:B)*1000</f>
        <v>152000</v>
      </c>
      <c r="K1670" s="21">
        <f ca="1">COUNTIF($J$2:Master[[#This Row],[ChecklistID]],Master[[#This Row],[ChecklistID]])-1</f>
        <v>12</v>
      </c>
      <c r="L1670" s="23" t="s">
        <v>6</v>
      </c>
    </row>
    <row r="1671" spans="1:12" ht="15.75">
      <c r="A1671" s="23">
        <f t="shared" si="26"/>
        <v>1658</v>
      </c>
      <c r="B1671" s="21">
        <f ca="1">Master[[#This Row],[ChecklistID]]+Master[[#This Row],[Checklist Order]]</f>
        <v>152013</v>
      </c>
      <c r="C1671" s="22"/>
      <c r="D1671" s="3" t="str" cm="1">
        <f t="array" aca="1" ref="D1671" ca="1">_xlfn.SWITCH(MID(Master[[#This Row],[Checklist]],1,4),"C - ","Civil","F - ","Foundation","ST -","Structure","FC -","Façade","PRE ","Pre-Line","POST","Post-Line","H - ","Handover","S - ","Services","CST ","Completion Docs", "I - ", "Inspection")</f>
        <v>Services</v>
      </c>
      <c r="E16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1" s="24" t="str">
        <f ca="1">IF(OR(Master[[#This Row],[Type]]="checklist", Master[[#This Row],[Type]]="checklist-flat"), Master[[#This Row],[Name]], F1670)</f>
        <v xml:space="preserve">S - S - Fire Alarm </v>
      </c>
      <c r="G1671" s="34" t="s">
        <v>49</v>
      </c>
      <c r="H1671" s="34" t="s">
        <v>57</v>
      </c>
      <c r="I1671" s="35"/>
      <c r="J1671" s="21">
        <f ca="1">_xlfn.XLOOKUP(Master[[#This Row],[Checklist]],Ref!A:A,Ref!B:B)*1000</f>
        <v>152000</v>
      </c>
      <c r="K1671" s="21">
        <f ca="1">COUNTIF($J$2:Master[[#This Row],[ChecklistID]],Master[[#This Row],[ChecklistID]])-1</f>
        <v>13</v>
      </c>
      <c r="L1671" s="23" t="s">
        <v>6</v>
      </c>
    </row>
    <row r="1672" spans="1:12" ht="15.75">
      <c r="A1672" s="23">
        <f t="shared" si="26"/>
        <v>1659</v>
      </c>
      <c r="B1672" s="21">
        <f ca="1">Master[[#This Row],[ChecklistID]]+Master[[#This Row],[Checklist Order]]</f>
        <v>152014</v>
      </c>
      <c r="C1672" s="22"/>
      <c r="D1672" s="3" t="str" cm="1">
        <f t="array" aca="1" ref="D1672" ca="1">_xlfn.SWITCH(MID(Master[[#This Row],[Checklist]],1,4),"C - ","Civil","F - ","Foundation","ST -","Structure","FC -","Façade","PRE ","Pre-Line","POST","Post-Line","H - ","Handover","S - ","Services","CST ","Completion Docs", "I - ", "Inspection")</f>
        <v>Services</v>
      </c>
      <c r="E16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2" s="24" t="str">
        <f ca="1">IF(OR(Master[[#This Row],[Type]]="checklist", Master[[#This Row],[Type]]="checklist-flat"), Master[[#This Row],[Name]], F1671)</f>
        <v xml:space="preserve">S - S - Fire Alarm </v>
      </c>
      <c r="G1672" s="34" t="s">
        <v>58</v>
      </c>
      <c r="H1672" s="34" t="s">
        <v>59</v>
      </c>
      <c r="I1672" s="35"/>
      <c r="J1672" s="21">
        <f ca="1">_xlfn.XLOOKUP(Master[[#This Row],[Checklist]],Ref!A:A,Ref!B:B)*1000</f>
        <v>152000</v>
      </c>
      <c r="K1672" s="21">
        <f ca="1">COUNTIF($J$2:Master[[#This Row],[ChecklistID]],Master[[#This Row],[ChecklistID]])-1</f>
        <v>14</v>
      </c>
      <c r="L1672" s="23" t="s">
        <v>6</v>
      </c>
    </row>
    <row r="1673" spans="1:12" ht="15.75">
      <c r="A1673" s="23">
        <f t="shared" si="26"/>
        <v>1660</v>
      </c>
      <c r="B1673" s="21">
        <f ca="1">Master[[#This Row],[ChecklistID]]+Master[[#This Row],[Checklist Order]]</f>
        <v>153000</v>
      </c>
      <c r="C1673" s="22"/>
      <c r="D1673" s="3" t="str" cm="1">
        <f t="array" aca="1" ref="D1673" ca="1">_xlfn.SWITCH(MID(Master[[#This Row],[Checklist]],1,4),"C - ","Civil","F - ","Foundation","ST -","Structure","FC -","Façade","PRE ","Pre-Line","POST","Post-Line","H - ","Handover","S - ","Services","CST ","Completion Docs", "I - ", "Inspection")</f>
        <v>Services</v>
      </c>
      <c r="E16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3" s="24" t="str">
        <f ca="1">IF(OR(Master[[#This Row],[Type]]="checklist", Master[[#This Row],[Type]]="checklist-flat"), Master[[#This Row],[Name]], F1672)</f>
        <v>S - S - Fire Sprinkler</v>
      </c>
      <c r="G1673" s="34" t="s">
        <v>119</v>
      </c>
      <c r="H1673" s="34" t="s">
        <v>777</v>
      </c>
      <c r="I1673" s="35"/>
      <c r="J1673" s="21">
        <f ca="1">_xlfn.XLOOKUP(Master[[#This Row],[Checklist]],Ref!A:A,Ref!B:B)*1000</f>
        <v>153000</v>
      </c>
      <c r="K1673" s="21">
        <f ca="1">COUNTIF($J$2:Master[[#This Row],[ChecklistID]],Master[[#This Row],[ChecklistID]])-1</f>
        <v>0</v>
      </c>
      <c r="L1673" s="23" t="s">
        <v>6</v>
      </c>
    </row>
    <row r="1674" spans="1:12" ht="15.75">
      <c r="A1674" s="23">
        <f t="shared" si="26"/>
        <v>1661</v>
      </c>
      <c r="B1674" s="21">
        <f ca="1">Master[[#This Row],[ChecklistID]]+Master[[#This Row],[Checklist Order]]</f>
        <v>153001</v>
      </c>
      <c r="C1674" s="22"/>
      <c r="D1674" s="3" t="str" cm="1">
        <f t="array" aca="1" ref="D1674" ca="1">_xlfn.SWITCH(MID(Master[[#This Row],[Checklist]],1,4),"C - ","Civil","F - ","Foundation","ST -","Structure","FC -","Façade","PRE ","Pre-Line","POST","Post-Line","H - ","Handover","S - ","Services","CST ","Completion Docs", "I - ", "Inspection")</f>
        <v>Services</v>
      </c>
      <c r="E16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4" s="24" t="str">
        <f ca="1">IF(OR(Master[[#This Row],[Type]]="checklist", Master[[#This Row],[Type]]="checklist-flat"), Master[[#This Row],[Name]], F1673)</f>
        <v>S - S - Fire Sprinkler</v>
      </c>
      <c r="G1674" s="34" t="s">
        <v>120</v>
      </c>
      <c r="H1674" s="34" t="s">
        <v>690</v>
      </c>
      <c r="I1674" s="35"/>
      <c r="J1674" s="21">
        <f ca="1">_xlfn.XLOOKUP(Master[[#This Row],[Checklist]],Ref!A:A,Ref!B:B)*1000</f>
        <v>153000</v>
      </c>
      <c r="K1674" s="21">
        <f ca="1">COUNTIF($J$2:Master[[#This Row],[ChecklistID]],Master[[#This Row],[ChecklistID]])-1</f>
        <v>1</v>
      </c>
      <c r="L1674" s="23" t="s">
        <v>6</v>
      </c>
    </row>
    <row r="1675" spans="1:12" ht="15.75">
      <c r="A1675" s="23">
        <f t="shared" si="26"/>
        <v>1662</v>
      </c>
      <c r="B1675" s="21">
        <f ca="1">Master[[#This Row],[ChecklistID]]+Master[[#This Row],[Checklist Order]]</f>
        <v>153002</v>
      </c>
      <c r="C1675" s="22"/>
      <c r="D1675" s="3" t="str" cm="1">
        <f t="array" aca="1" ref="D1675" ca="1">_xlfn.SWITCH(MID(Master[[#This Row],[Checklist]],1,4),"C - ","Civil","F - ","Foundation","ST -","Structure","FC -","Façade","PRE ","Pre-Line","POST","Post-Line","H - ","Handover","S - ","Services","CST ","Completion Docs", "I - ", "Inspection")</f>
        <v>Services</v>
      </c>
      <c r="E16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5" s="24" t="str">
        <f ca="1">IF(OR(Master[[#This Row],[Type]]="checklist", Master[[#This Row],[Type]]="checklist-flat"), Master[[#This Row],[Name]], F1674)</f>
        <v>S - S - Fire Sprinkler</v>
      </c>
      <c r="G1675" s="34" t="s">
        <v>49</v>
      </c>
      <c r="H1675" s="34" t="s">
        <v>767</v>
      </c>
      <c r="I1675" s="35"/>
      <c r="J1675" s="21">
        <f ca="1">_xlfn.XLOOKUP(Master[[#This Row],[Checklist]],Ref!A:A,Ref!B:B)*1000</f>
        <v>153000</v>
      </c>
      <c r="K1675" s="21">
        <f ca="1">COUNTIF($J$2:Master[[#This Row],[ChecklistID]],Master[[#This Row],[ChecklistID]])-1</f>
        <v>2</v>
      </c>
      <c r="L1675" s="23" t="s">
        <v>6</v>
      </c>
    </row>
    <row r="1676" spans="1:12" ht="15.75">
      <c r="A1676" s="23">
        <f t="shared" si="26"/>
        <v>1663</v>
      </c>
      <c r="B1676" s="21">
        <f ca="1">Master[[#This Row],[ChecklistID]]+Master[[#This Row],[Checklist Order]]</f>
        <v>153003</v>
      </c>
      <c r="C1676" s="22"/>
      <c r="D1676" s="23" t="str" cm="1">
        <f t="array" aca="1" ref="D1676" ca="1">_xlfn.SWITCH(MID(Master[[#This Row],[Checklist]],1,4),"C - ","Civil","F - ","Foundation","ST -","Structure","FC -","Façade","PRE ","Pre-Line","POST","Post-Line","H - ","Handover","S - ","Services","CST ","Completion Docs", "I - ", "Inspection")</f>
        <v>Services</v>
      </c>
      <c r="E16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6" s="24" t="str">
        <f ca="1">IF(OR(Master[[#This Row],[Type]]="checklist", Master[[#This Row],[Type]]="checklist-flat"), Master[[#This Row],[Name]], F1675)</f>
        <v>S - S - Fire Sprinkler</v>
      </c>
      <c r="G1676" s="34" t="s">
        <v>49</v>
      </c>
      <c r="H1676" s="34" t="s">
        <v>768</v>
      </c>
      <c r="I1676" s="35"/>
      <c r="J1676" s="21">
        <f ca="1">_xlfn.XLOOKUP(Master[[#This Row],[Checklist]],Ref!A:A,Ref!B:B)*1000</f>
        <v>153000</v>
      </c>
      <c r="K1676" s="21">
        <f ca="1">COUNTIF($J$2:Master[[#This Row],[ChecklistID]],Master[[#This Row],[ChecklistID]])-1</f>
        <v>3</v>
      </c>
      <c r="L1676" s="23" t="s">
        <v>6</v>
      </c>
    </row>
    <row r="1677" spans="1:12" ht="15.75">
      <c r="A1677" s="23">
        <f t="shared" si="26"/>
        <v>1664</v>
      </c>
      <c r="B1677" s="21">
        <f ca="1">Master[[#This Row],[ChecklistID]]+Master[[#This Row],[Checklist Order]]</f>
        <v>153004</v>
      </c>
      <c r="C1677" s="22"/>
      <c r="D1677" s="23" t="str" cm="1">
        <f t="array" aca="1" ref="D1677" ca="1">_xlfn.SWITCH(MID(Master[[#This Row],[Checklist]],1,4),"C - ","Civil","F - ","Foundation","ST -","Structure","FC -","Façade","PRE ","Pre-Line","POST","Post-Line","H - ","Handover","S - ","Services","CST ","Completion Docs", "I - ", "Inspection")</f>
        <v>Services</v>
      </c>
      <c r="E16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7" s="24" t="str">
        <f ca="1">IF(OR(Master[[#This Row],[Type]]="checklist", Master[[#This Row],[Type]]="checklist-flat"), Master[[#This Row],[Name]], F1676)</f>
        <v>S - S - Fire Sprinkler</v>
      </c>
      <c r="G1677" s="34" t="s">
        <v>49</v>
      </c>
      <c r="H1677" s="34" t="s">
        <v>772</v>
      </c>
      <c r="I1677" s="35"/>
      <c r="J1677" s="21">
        <f ca="1">_xlfn.XLOOKUP(Master[[#This Row],[Checklist]],Ref!A:A,Ref!B:B)*1000</f>
        <v>153000</v>
      </c>
      <c r="K1677" s="21">
        <f ca="1">COUNTIF($J$2:Master[[#This Row],[ChecklistID]],Master[[#This Row],[ChecklistID]])-1</f>
        <v>4</v>
      </c>
      <c r="L1677" s="23" t="s">
        <v>6</v>
      </c>
    </row>
    <row r="1678" spans="1:12" ht="15.75">
      <c r="A1678" s="23">
        <f t="shared" si="26"/>
        <v>1665</v>
      </c>
      <c r="B1678" s="21">
        <f ca="1">Master[[#This Row],[ChecklistID]]+Master[[#This Row],[Checklist Order]]</f>
        <v>153005</v>
      </c>
      <c r="C1678" s="22"/>
      <c r="D1678" s="23" t="str" cm="1">
        <f t="array" aca="1" ref="D1678" ca="1">_xlfn.SWITCH(MID(Master[[#This Row],[Checklist]],1,4),"C - ","Civil","F - ","Foundation","ST -","Structure","FC -","Façade","PRE ","Pre-Line","POST","Post-Line","H - ","Handover","S - ","Services","CST ","Completion Docs", "I - ", "Inspection")</f>
        <v>Services</v>
      </c>
      <c r="E16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8" s="24" t="str">
        <f ca="1">IF(OR(Master[[#This Row],[Type]]="checklist", Master[[#This Row],[Type]]="checklist-flat"), Master[[#This Row],[Name]], F1677)</f>
        <v>S - S - Fire Sprinkler</v>
      </c>
      <c r="G1678" s="34" t="s">
        <v>49</v>
      </c>
      <c r="H1678" s="34" t="s">
        <v>773</v>
      </c>
      <c r="I1678" s="35"/>
      <c r="J1678" s="21">
        <f ca="1">_xlfn.XLOOKUP(Master[[#This Row],[Checklist]],Ref!A:A,Ref!B:B)*1000</f>
        <v>153000</v>
      </c>
      <c r="K1678" s="21">
        <f ca="1">COUNTIF($J$2:Master[[#This Row],[ChecklistID]],Master[[#This Row],[ChecklistID]])-1</f>
        <v>5</v>
      </c>
      <c r="L1678" s="23" t="s">
        <v>6</v>
      </c>
    </row>
    <row r="1679" spans="1:12" ht="15.75">
      <c r="A1679" s="23">
        <f t="shared" si="26"/>
        <v>1666</v>
      </c>
      <c r="B1679" s="21">
        <f ca="1">Master[[#This Row],[ChecklistID]]+Master[[#This Row],[Checklist Order]]</f>
        <v>153006</v>
      </c>
      <c r="C1679" s="22"/>
      <c r="D1679" s="23" t="str" cm="1">
        <f t="array" aca="1" ref="D1679" ca="1">_xlfn.SWITCH(MID(Master[[#This Row],[Checklist]],1,4),"C - ","Civil","F - ","Foundation","ST -","Structure","FC -","Façade","PRE ","Pre-Line","POST","Post-Line","H - ","Handover","S - ","Services","CST ","Completion Docs", "I - ", "Inspection")</f>
        <v>Services</v>
      </c>
      <c r="E16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79" s="24" t="str">
        <f ca="1">IF(OR(Master[[#This Row],[Type]]="checklist", Master[[#This Row],[Type]]="checklist-flat"), Master[[#This Row],[Name]], F1678)</f>
        <v>S - S - Fire Sprinkler</v>
      </c>
      <c r="G1679" s="34" t="s">
        <v>120</v>
      </c>
      <c r="H1679" s="34" t="s">
        <v>697</v>
      </c>
      <c r="I1679" s="35"/>
      <c r="J1679" s="21">
        <f ca="1">_xlfn.XLOOKUP(Master[[#This Row],[Checklist]],Ref!A:A,Ref!B:B)*1000</f>
        <v>153000</v>
      </c>
      <c r="K1679" s="21">
        <f ca="1">COUNTIF($J$2:Master[[#This Row],[ChecklistID]],Master[[#This Row],[ChecklistID]])-1</f>
        <v>6</v>
      </c>
      <c r="L1679" s="23" t="s">
        <v>6</v>
      </c>
    </row>
    <row r="1680" spans="1:12" ht="15.75">
      <c r="A1680" s="23">
        <f t="shared" si="26"/>
        <v>1667</v>
      </c>
      <c r="B1680" s="21">
        <f ca="1">Master[[#This Row],[ChecklistID]]+Master[[#This Row],[Checklist Order]]</f>
        <v>153007</v>
      </c>
      <c r="C1680" s="22"/>
      <c r="D1680" s="23" t="str" cm="1">
        <f t="array" aca="1" ref="D1680" ca="1">_xlfn.SWITCH(MID(Master[[#This Row],[Checklist]],1,4),"C - ","Civil","F - ","Foundation","ST -","Structure","FC -","Façade","PRE ","Pre-Line","POST","Post-Line","H - ","Handover","S - ","Services","CST ","Completion Docs", "I - ", "Inspection")</f>
        <v>Services</v>
      </c>
      <c r="E16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0" s="24" t="str">
        <f ca="1">IF(OR(Master[[#This Row],[Type]]="checklist", Master[[#This Row],[Type]]="checklist-flat"), Master[[#This Row],[Name]], F1679)</f>
        <v>S - S - Fire Sprinkler</v>
      </c>
      <c r="G1680" s="34" t="s">
        <v>49</v>
      </c>
      <c r="H1680" s="34" t="s">
        <v>776</v>
      </c>
      <c r="I1680" s="35"/>
      <c r="J1680" s="21">
        <f ca="1">_xlfn.XLOOKUP(Master[[#This Row],[Checklist]],Ref!A:A,Ref!B:B)*1000</f>
        <v>153000</v>
      </c>
      <c r="K1680" s="21">
        <f ca="1">COUNTIF($J$2:Master[[#This Row],[ChecklistID]],Master[[#This Row],[ChecklistID]])-1</f>
        <v>7</v>
      </c>
      <c r="L1680" s="23" t="s">
        <v>6</v>
      </c>
    </row>
    <row r="1681" spans="1:12" ht="15.75">
      <c r="A1681" s="23">
        <f t="shared" si="26"/>
        <v>1668</v>
      </c>
      <c r="B1681" s="21">
        <f ca="1">Master[[#This Row],[ChecklistID]]+Master[[#This Row],[Checklist Order]]</f>
        <v>153008</v>
      </c>
      <c r="C1681" s="22"/>
      <c r="D1681" s="23" t="str" cm="1">
        <f t="array" aca="1" ref="D1681" ca="1">_xlfn.SWITCH(MID(Master[[#This Row],[Checklist]],1,4),"C - ","Civil","F - ","Foundation","ST -","Structure","FC -","Façade","PRE ","Pre-Line","POST","Post-Line","H - ","Handover","S - ","Services","CST ","Completion Docs", "I - ", "Inspection")</f>
        <v>Services</v>
      </c>
      <c r="E16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1" s="24" t="str">
        <f ca="1">IF(OR(Master[[#This Row],[Type]]="checklist", Master[[#This Row],[Type]]="checklist-flat"), Master[[#This Row],[Name]], F1680)</f>
        <v>S - S - Fire Sprinkler</v>
      </c>
      <c r="G1681" s="34" t="s">
        <v>58</v>
      </c>
      <c r="H1681" s="34" t="s">
        <v>773</v>
      </c>
      <c r="I1681" s="35"/>
      <c r="J1681" s="21">
        <f ca="1">_xlfn.XLOOKUP(Master[[#This Row],[Checklist]],Ref!A:A,Ref!B:B)*1000</f>
        <v>153000</v>
      </c>
      <c r="K1681" s="21">
        <f ca="1">COUNTIF($J$2:Master[[#This Row],[ChecklistID]],Master[[#This Row],[ChecklistID]])-1</f>
        <v>8</v>
      </c>
      <c r="L1681" s="23" t="s">
        <v>6</v>
      </c>
    </row>
    <row r="1682" spans="1:12" ht="15.75">
      <c r="A1682" s="23">
        <f t="shared" si="26"/>
        <v>1669</v>
      </c>
      <c r="B1682" s="21">
        <f ca="1">Master[[#This Row],[ChecklistID]]+Master[[#This Row],[Checklist Order]]</f>
        <v>153009</v>
      </c>
      <c r="C1682" s="22"/>
      <c r="D1682" s="23" t="str" cm="1">
        <f t="array" aca="1" ref="D1682" ca="1">_xlfn.SWITCH(MID(Master[[#This Row],[Checklist]],1,4),"C - ","Civil","F - ","Foundation","ST -","Structure","FC -","Façade","PRE ","Pre-Line","POST","Post-Line","H - ","Handover","S - ","Services","CST ","Completion Docs", "I - ", "Inspection")</f>
        <v>Services</v>
      </c>
      <c r="E16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2" s="24" t="str">
        <f ca="1">IF(OR(Master[[#This Row],[Type]]="checklist", Master[[#This Row],[Type]]="checklist-flat"), Master[[#This Row],[Name]], F1681)</f>
        <v>S - S - Fire Sprinkler</v>
      </c>
      <c r="G1682" s="34" t="s">
        <v>120</v>
      </c>
      <c r="H1682" s="34" t="s">
        <v>778</v>
      </c>
      <c r="I1682" s="35"/>
      <c r="J1682" s="21">
        <f ca="1">_xlfn.XLOOKUP(Master[[#This Row],[Checklist]],Ref!A:A,Ref!B:B)*1000</f>
        <v>153000</v>
      </c>
      <c r="K1682" s="21">
        <f ca="1">COUNTIF($J$2:Master[[#This Row],[ChecklistID]],Master[[#This Row],[ChecklistID]])-1</f>
        <v>9</v>
      </c>
      <c r="L1682" s="23" t="s">
        <v>6</v>
      </c>
    </row>
    <row r="1683" spans="1:12" ht="15.75">
      <c r="A1683" s="23">
        <f t="shared" si="26"/>
        <v>1670</v>
      </c>
      <c r="B1683" s="21">
        <f ca="1">Master[[#This Row],[ChecklistID]]+Master[[#This Row],[Checklist Order]]</f>
        <v>153010</v>
      </c>
      <c r="C1683" s="22"/>
      <c r="D1683" s="23" t="str" cm="1">
        <f t="array" aca="1" ref="D1683" ca="1">_xlfn.SWITCH(MID(Master[[#This Row],[Checklist]],1,4),"C - ","Civil","F - ","Foundation","ST -","Structure","FC -","Façade","PRE ","Pre-Line","POST","Post-Line","H - ","Handover","S - ","Services","CST ","Completion Docs", "I - ", "Inspection")</f>
        <v>Services</v>
      </c>
      <c r="E16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3" s="24" t="str">
        <f ca="1">IF(OR(Master[[#This Row],[Type]]="checklist", Master[[#This Row],[Type]]="checklist-flat"), Master[[#This Row],[Name]], F1682)</f>
        <v>S - S - Fire Sprinkler</v>
      </c>
      <c r="G1683" s="34" t="s">
        <v>49</v>
      </c>
      <c r="H1683" s="34" t="s">
        <v>779</v>
      </c>
      <c r="I1683" s="35"/>
      <c r="J1683" s="21">
        <f ca="1">_xlfn.XLOOKUP(Master[[#This Row],[Checklist]],Ref!A:A,Ref!B:B)*1000</f>
        <v>153000</v>
      </c>
      <c r="K1683" s="21">
        <f ca="1">COUNTIF($J$2:Master[[#This Row],[ChecklistID]],Master[[#This Row],[ChecklistID]])-1</f>
        <v>10</v>
      </c>
      <c r="L1683" s="23" t="s">
        <v>6</v>
      </c>
    </row>
    <row r="1684" spans="1:12" ht="15.75">
      <c r="A1684" s="23">
        <f t="shared" si="26"/>
        <v>1671</v>
      </c>
      <c r="B1684" s="21">
        <f ca="1">Master[[#This Row],[ChecklistID]]+Master[[#This Row],[Checklist Order]]</f>
        <v>153011</v>
      </c>
      <c r="C1684" s="22"/>
      <c r="D1684" s="23" t="str" cm="1">
        <f t="array" aca="1" ref="D1684" ca="1">_xlfn.SWITCH(MID(Master[[#This Row],[Checklist]],1,4),"C - ","Civil","F - ","Foundation","ST -","Structure","FC -","Façade","PRE ","Pre-Line","POST","Post-Line","H - ","Handover","S - ","Services","CST ","Completion Docs", "I - ", "Inspection")</f>
        <v>Services</v>
      </c>
      <c r="E16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4" s="24" t="str">
        <f ca="1">IF(OR(Master[[#This Row],[Type]]="checklist", Master[[#This Row],[Type]]="checklist-flat"), Master[[#This Row],[Name]], F1683)</f>
        <v>S - S - Fire Sprinkler</v>
      </c>
      <c r="G1684" s="34" t="s">
        <v>49</v>
      </c>
      <c r="H1684" s="34" t="s">
        <v>780</v>
      </c>
      <c r="I1684" s="35"/>
      <c r="J1684" s="21">
        <f ca="1">_xlfn.XLOOKUP(Master[[#This Row],[Checklist]],Ref!A:A,Ref!B:B)*1000</f>
        <v>153000</v>
      </c>
      <c r="K1684" s="21">
        <f ca="1">COUNTIF($J$2:Master[[#This Row],[ChecklistID]],Master[[#This Row],[ChecklistID]])-1</f>
        <v>11</v>
      </c>
      <c r="L1684" s="23" t="s">
        <v>6</v>
      </c>
    </row>
    <row r="1685" spans="1:12" ht="15.75">
      <c r="A1685" s="23">
        <f t="shared" si="26"/>
        <v>1672</v>
      </c>
      <c r="B1685" s="21">
        <f ca="1">Master[[#This Row],[ChecklistID]]+Master[[#This Row],[Checklist Order]]</f>
        <v>153012</v>
      </c>
      <c r="C1685" s="22"/>
      <c r="D1685" s="23" t="str" cm="1">
        <f t="array" aca="1" ref="D1685" ca="1">_xlfn.SWITCH(MID(Master[[#This Row],[Checklist]],1,4),"C - ","Civil","F - ","Foundation","ST -","Structure","FC -","Façade","PRE ","Pre-Line","POST","Post-Line","H - ","Handover","S - ","Services","CST ","Completion Docs", "I - ", "Inspection")</f>
        <v>Services</v>
      </c>
      <c r="E16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5" s="24" t="str">
        <f ca="1">IF(OR(Master[[#This Row],[Type]]="checklist", Master[[#This Row],[Type]]="checklist-flat"), Master[[#This Row],[Name]], F1684)</f>
        <v>S - S - Fire Sprinkler</v>
      </c>
      <c r="G1685" s="34" t="s">
        <v>49</v>
      </c>
      <c r="H1685" s="34" t="s">
        <v>781</v>
      </c>
      <c r="I1685" s="35"/>
      <c r="J1685" s="21">
        <f ca="1">_xlfn.XLOOKUP(Master[[#This Row],[Checklist]],Ref!A:A,Ref!B:B)*1000</f>
        <v>153000</v>
      </c>
      <c r="K1685" s="21">
        <f ca="1">COUNTIF($J$2:Master[[#This Row],[ChecklistID]],Master[[#This Row],[ChecklistID]])-1</f>
        <v>12</v>
      </c>
      <c r="L1685" s="23" t="s">
        <v>6</v>
      </c>
    </row>
    <row r="1686" spans="1:12" ht="15.75">
      <c r="A1686" s="23">
        <f t="shared" si="26"/>
        <v>1673</v>
      </c>
      <c r="B1686" s="21">
        <f ca="1">Master[[#This Row],[ChecklistID]]+Master[[#This Row],[Checklist Order]]</f>
        <v>153013</v>
      </c>
      <c r="C1686" s="22"/>
      <c r="D1686" s="23" t="str" cm="1">
        <f t="array" aca="1" ref="D1686" ca="1">_xlfn.SWITCH(MID(Master[[#This Row],[Checklist]],1,4),"C - ","Civil","F - ","Foundation","ST -","Structure","FC -","Façade","PRE ","Pre-Line","POST","Post-Line","H - ","Handover","S - ","Services","CST ","Completion Docs", "I - ", "Inspection")</f>
        <v>Services</v>
      </c>
      <c r="E16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6" s="24" t="str">
        <f ca="1">IF(OR(Master[[#This Row],[Type]]="checklist", Master[[#This Row],[Type]]="checklist-flat"), Master[[#This Row],[Name]], F1685)</f>
        <v>S - S - Fire Sprinkler</v>
      </c>
      <c r="G1686" s="34" t="s">
        <v>49</v>
      </c>
      <c r="H1686" s="34" t="s">
        <v>782</v>
      </c>
      <c r="I1686" s="35"/>
      <c r="J1686" s="21">
        <f ca="1">_xlfn.XLOOKUP(Master[[#This Row],[Checklist]],Ref!A:A,Ref!B:B)*1000</f>
        <v>153000</v>
      </c>
      <c r="K1686" s="21">
        <f ca="1">COUNTIF($J$2:Master[[#This Row],[ChecklistID]],Master[[#This Row],[ChecklistID]])-1</f>
        <v>13</v>
      </c>
      <c r="L1686" s="23" t="s">
        <v>6</v>
      </c>
    </row>
    <row r="1687" spans="1:12" ht="15.75">
      <c r="A1687" s="23">
        <f t="shared" si="26"/>
        <v>1674</v>
      </c>
      <c r="B1687" s="21">
        <f ca="1">Master[[#This Row],[ChecklistID]]+Master[[#This Row],[Checklist Order]]</f>
        <v>153014</v>
      </c>
      <c r="C1687" s="22"/>
      <c r="D1687" s="23" t="str" cm="1">
        <f t="array" aca="1" ref="D1687" ca="1">_xlfn.SWITCH(MID(Master[[#This Row],[Checklist]],1,4),"C - ","Civil","F - ","Foundation","ST -","Structure","FC -","Façade","PRE ","Pre-Line","POST","Post-Line","H - ","Handover","S - ","Services","CST ","Completion Docs", "I - ", "Inspection")</f>
        <v>Services</v>
      </c>
      <c r="E16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7" s="24" t="str">
        <f ca="1">IF(OR(Master[[#This Row],[Type]]="checklist", Master[[#This Row],[Type]]="checklist-flat"), Master[[#This Row],[Name]], F1686)</f>
        <v>S - S - Fire Sprinkler</v>
      </c>
      <c r="G1687" s="34" t="s">
        <v>49</v>
      </c>
      <c r="H1687" s="34" t="s">
        <v>783</v>
      </c>
      <c r="I1687" s="35"/>
      <c r="J1687" s="21">
        <f ca="1">_xlfn.XLOOKUP(Master[[#This Row],[Checklist]],Ref!A:A,Ref!B:B)*1000</f>
        <v>153000</v>
      </c>
      <c r="K1687" s="21">
        <f ca="1">COUNTIF($J$2:Master[[#This Row],[ChecklistID]],Master[[#This Row],[ChecklistID]])-1</f>
        <v>14</v>
      </c>
      <c r="L1687" s="23" t="s">
        <v>6</v>
      </c>
    </row>
    <row r="1688" spans="1:12" ht="15.75">
      <c r="A1688" s="23">
        <f t="shared" si="26"/>
        <v>1675</v>
      </c>
      <c r="B1688" s="21">
        <f ca="1">Master[[#This Row],[ChecklistID]]+Master[[#This Row],[Checklist Order]]</f>
        <v>153015</v>
      </c>
      <c r="C1688" s="22"/>
      <c r="D1688" s="23" t="str" cm="1">
        <f t="array" aca="1" ref="D1688" ca="1">_xlfn.SWITCH(MID(Master[[#This Row],[Checklist]],1,4),"C - ","Civil","F - ","Foundation","ST -","Structure","FC -","Façade","PRE ","Pre-Line","POST","Post-Line","H - ","Handover","S - ","Services","CST ","Completion Docs", "I - ", "Inspection")</f>
        <v>Services</v>
      </c>
      <c r="E16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8" s="24" t="str">
        <f ca="1">IF(OR(Master[[#This Row],[Type]]="checklist", Master[[#This Row],[Type]]="checklist-flat"), Master[[#This Row],[Name]], F1687)</f>
        <v>S - S - Fire Sprinkler</v>
      </c>
      <c r="G1688" s="34" t="s">
        <v>49</v>
      </c>
      <c r="H1688" s="34" t="s">
        <v>784</v>
      </c>
      <c r="I1688" s="35"/>
      <c r="J1688" s="21">
        <f ca="1">_xlfn.XLOOKUP(Master[[#This Row],[Checklist]],Ref!A:A,Ref!B:B)*1000</f>
        <v>153000</v>
      </c>
      <c r="K1688" s="21">
        <f ca="1">COUNTIF($J$2:Master[[#This Row],[ChecklistID]],Master[[#This Row],[ChecklistID]])-1</f>
        <v>15</v>
      </c>
      <c r="L1688" s="23" t="s">
        <v>6</v>
      </c>
    </row>
    <row r="1689" spans="1:12" ht="15.75">
      <c r="A1689" s="23">
        <f t="shared" si="26"/>
        <v>1676</v>
      </c>
      <c r="B1689" s="21">
        <f ca="1">Master[[#This Row],[ChecklistID]]+Master[[#This Row],[Checklist Order]]</f>
        <v>153016</v>
      </c>
      <c r="C1689" s="22"/>
      <c r="D1689" s="23" t="str" cm="1">
        <f t="array" aca="1" ref="D1689" ca="1">_xlfn.SWITCH(MID(Master[[#This Row],[Checklist]],1,4),"C - ","Civil","F - ","Foundation","ST -","Structure","FC -","Façade","PRE ","Pre-Line","POST","Post-Line","H - ","Handover","S - ","Services","CST ","Completion Docs", "I - ", "Inspection")</f>
        <v>Services</v>
      </c>
      <c r="E16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89" s="24" t="str">
        <f ca="1">IF(OR(Master[[#This Row],[Type]]="checklist", Master[[#This Row],[Type]]="checklist-flat"), Master[[#This Row],[Name]], F1688)</f>
        <v>S - S - Fire Sprinkler</v>
      </c>
      <c r="G1689" s="34" t="s">
        <v>49</v>
      </c>
      <c r="H1689" s="34" t="s">
        <v>785</v>
      </c>
      <c r="I1689" s="35"/>
      <c r="J1689" s="21">
        <f ca="1">_xlfn.XLOOKUP(Master[[#This Row],[Checklist]],Ref!A:A,Ref!B:B)*1000</f>
        <v>153000</v>
      </c>
      <c r="K1689" s="21">
        <f ca="1">COUNTIF($J$2:Master[[#This Row],[ChecklistID]],Master[[#This Row],[ChecklistID]])-1</f>
        <v>16</v>
      </c>
      <c r="L1689" s="23" t="s">
        <v>6</v>
      </c>
    </row>
    <row r="1690" spans="1:12" ht="15.75">
      <c r="A1690" s="23">
        <f t="shared" si="26"/>
        <v>1677</v>
      </c>
      <c r="B1690" s="21">
        <f ca="1">Master[[#This Row],[ChecklistID]]+Master[[#This Row],[Checklist Order]]</f>
        <v>153017</v>
      </c>
      <c r="C1690" s="22"/>
      <c r="D1690" s="23" t="str" cm="1">
        <f t="array" aca="1" ref="D1690" ca="1">_xlfn.SWITCH(MID(Master[[#This Row],[Checklist]],1,4),"C - ","Civil","F - ","Foundation","ST -","Structure","FC -","Façade","PRE ","Pre-Line","POST","Post-Line","H - ","Handover","S - ","Services","CST ","Completion Docs", "I - ", "Inspection")</f>
        <v>Services</v>
      </c>
      <c r="E16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0" s="24" t="str">
        <f ca="1">IF(OR(Master[[#This Row],[Type]]="checklist", Master[[#This Row],[Type]]="checklist-flat"), Master[[#This Row],[Name]], F1689)</f>
        <v>S - S - Fire Sprinkler</v>
      </c>
      <c r="G1690" s="34" t="s">
        <v>49</v>
      </c>
      <c r="H1690" s="34" t="s">
        <v>786</v>
      </c>
      <c r="I1690" s="35"/>
      <c r="J1690" s="21">
        <f ca="1">_xlfn.XLOOKUP(Master[[#This Row],[Checklist]],Ref!A:A,Ref!B:B)*1000</f>
        <v>153000</v>
      </c>
      <c r="K1690" s="21">
        <f ca="1">COUNTIF($J$2:Master[[#This Row],[ChecklistID]],Master[[#This Row],[ChecklistID]])-1</f>
        <v>17</v>
      </c>
      <c r="L1690" s="23" t="s">
        <v>6</v>
      </c>
    </row>
    <row r="1691" spans="1:12" ht="15.75">
      <c r="A1691" s="23">
        <f t="shared" si="26"/>
        <v>1678</v>
      </c>
      <c r="B1691" s="21">
        <f ca="1">Master[[#This Row],[ChecklistID]]+Master[[#This Row],[Checklist Order]]</f>
        <v>153018</v>
      </c>
      <c r="C1691" s="22"/>
      <c r="D1691" s="23" t="str" cm="1">
        <f t="array" aca="1" ref="D1691" ca="1">_xlfn.SWITCH(MID(Master[[#This Row],[Checklist]],1,4),"C - ","Civil","F - ","Foundation","ST -","Structure","FC -","Façade","PRE ","Pre-Line","POST","Post-Line","H - ","Handover","S - ","Services","CST ","Completion Docs", "I - ", "Inspection")</f>
        <v>Services</v>
      </c>
      <c r="E16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1" s="24" t="str">
        <f ca="1">IF(OR(Master[[#This Row],[Type]]="checklist", Master[[#This Row],[Type]]="checklist-flat"), Master[[#This Row],[Name]], F1690)</f>
        <v>S - S - Fire Sprinkler</v>
      </c>
      <c r="G1691" s="34" t="s">
        <v>58</v>
      </c>
      <c r="H1691" s="34" t="s">
        <v>773</v>
      </c>
      <c r="I1691" s="35"/>
      <c r="J1691" s="21">
        <f ca="1">_xlfn.XLOOKUP(Master[[#This Row],[Checklist]],Ref!A:A,Ref!B:B)*1000</f>
        <v>153000</v>
      </c>
      <c r="K1691" s="21">
        <f ca="1">COUNTIF($J$2:Master[[#This Row],[ChecklistID]],Master[[#This Row],[ChecklistID]])-1</f>
        <v>18</v>
      </c>
      <c r="L1691" s="23" t="s">
        <v>6</v>
      </c>
    </row>
    <row r="1692" spans="1:12" ht="15.75">
      <c r="A1692" s="23">
        <f t="shared" si="26"/>
        <v>1679</v>
      </c>
      <c r="B1692" s="21">
        <f ca="1">Master[[#This Row],[ChecklistID]]+Master[[#This Row],[Checklist Order]]</f>
        <v>153019</v>
      </c>
      <c r="C1692" s="22"/>
      <c r="D1692" s="23" t="str" cm="1">
        <f t="array" aca="1" ref="D1692" ca="1">_xlfn.SWITCH(MID(Master[[#This Row],[Checklist]],1,4),"C - ","Civil","F - ","Foundation","ST -","Structure","FC -","Façade","PRE ","Pre-Line","POST","Post-Line","H - ","Handover","S - ","Services","CST ","Completion Docs", "I - ", "Inspection")</f>
        <v>Services</v>
      </c>
      <c r="E16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2" s="24" t="str">
        <f ca="1">IF(OR(Master[[#This Row],[Type]]="checklist", Master[[#This Row],[Type]]="checklist-flat"), Master[[#This Row],[Name]], F1691)</f>
        <v>S - S - Fire Sprinkler</v>
      </c>
      <c r="G1692" s="34" t="s">
        <v>49</v>
      </c>
      <c r="H1692" s="34" t="s">
        <v>57</v>
      </c>
      <c r="I1692" s="35"/>
      <c r="J1692" s="21">
        <f ca="1">_xlfn.XLOOKUP(Master[[#This Row],[Checklist]],Ref!A:A,Ref!B:B)*1000</f>
        <v>153000</v>
      </c>
      <c r="K1692" s="21">
        <f ca="1">COUNTIF($J$2:Master[[#This Row],[ChecklistID]],Master[[#This Row],[ChecklistID]])-1</f>
        <v>19</v>
      </c>
      <c r="L1692" s="23" t="s">
        <v>6</v>
      </c>
    </row>
    <row r="1693" spans="1:12" ht="15.75">
      <c r="A1693" s="23">
        <f t="shared" si="26"/>
        <v>1680</v>
      </c>
      <c r="B1693" s="21">
        <f ca="1">Master[[#This Row],[ChecklistID]]+Master[[#This Row],[Checklist Order]]</f>
        <v>153020</v>
      </c>
      <c r="C1693" s="22"/>
      <c r="D1693" s="23" t="str" cm="1">
        <f t="array" aca="1" ref="D1693" ca="1">_xlfn.SWITCH(MID(Master[[#This Row],[Checklist]],1,4),"C - ","Civil","F - ","Foundation","ST -","Structure","FC -","Façade","PRE ","Pre-Line","POST","Post-Line","H - ","Handover","S - ","Services","CST ","Completion Docs", "I - ", "Inspection")</f>
        <v>Services</v>
      </c>
      <c r="E16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3" s="24" t="str">
        <f ca="1">IF(OR(Master[[#This Row],[Type]]="checklist", Master[[#This Row],[Type]]="checklist-flat"), Master[[#This Row],[Name]], F1692)</f>
        <v>S - S - Fire Sprinkler</v>
      </c>
      <c r="G1693" s="34" t="s">
        <v>58</v>
      </c>
      <c r="H1693" s="34" t="s">
        <v>59</v>
      </c>
      <c r="I1693" s="35"/>
      <c r="J1693" s="21">
        <f ca="1">_xlfn.XLOOKUP(Master[[#This Row],[Checklist]],Ref!A:A,Ref!B:B)*1000</f>
        <v>153000</v>
      </c>
      <c r="K1693" s="21">
        <f ca="1">COUNTIF($J$2:Master[[#This Row],[ChecklistID]],Master[[#This Row],[ChecklistID]])-1</f>
        <v>20</v>
      </c>
      <c r="L1693" s="23" t="s">
        <v>6</v>
      </c>
    </row>
    <row r="1694" spans="1:12" ht="15.75">
      <c r="A1694" s="23">
        <f t="shared" si="26"/>
        <v>1681</v>
      </c>
      <c r="B1694" s="21">
        <f ca="1">Master[[#This Row],[ChecklistID]]+Master[[#This Row],[Checklist Order]]</f>
        <v>154000</v>
      </c>
      <c r="C1694" s="22"/>
      <c r="D1694" s="23" t="str" cm="1">
        <f t="array" aca="1" ref="D1694" ca="1">_xlfn.SWITCH(MID(Master[[#This Row],[Checklist]],1,4),"C - ","Civil","F - ","Foundation","ST -","Structure","FC -","Façade","PRE ","Pre-Line","POST","Post-Line","H - ","Handover","S - ","Services","CST ","Completion Docs", "I - ", "Inspection")</f>
        <v>Services</v>
      </c>
      <c r="E16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4" s="24" t="str">
        <f ca="1">IF(OR(Master[[#This Row],[Type]]="checklist", Master[[#This Row],[Type]]="checklist-flat"), Master[[#This Row],[Name]], F1693)</f>
        <v>S - S - Fire Hydrant</v>
      </c>
      <c r="G1694" s="34" t="s">
        <v>48</v>
      </c>
      <c r="H1694" s="34" t="s">
        <v>787</v>
      </c>
      <c r="I1694" s="35"/>
      <c r="J1694" s="21">
        <f ca="1">_xlfn.XLOOKUP(Master[[#This Row],[Checklist]],Ref!A:A,Ref!B:B)*1000</f>
        <v>154000</v>
      </c>
      <c r="K1694" s="21">
        <f ca="1">COUNTIF($J$2:Master[[#This Row],[ChecklistID]],Master[[#This Row],[ChecklistID]])-1</f>
        <v>0</v>
      </c>
      <c r="L1694" s="23" t="s">
        <v>6</v>
      </c>
    </row>
    <row r="1695" spans="1:12" ht="15.75">
      <c r="A1695" s="23">
        <f t="shared" si="26"/>
        <v>1682</v>
      </c>
      <c r="B1695" s="21">
        <f ca="1">Master[[#This Row],[ChecklistID]]+Master[[#This Row],[Checklist Order]]</f>
        <v>154001</v>
      </c>
      <c r="C1695" s="22"/>
      <c r="D1695" s="23" t="str" cm="1">
        <f t="array" aca="1" ref="D1695" ca="1">_xlfn.SWITCH(MID(Master[[#This Row],[Checklist]],1,4),"C - ","Civil","F - ","Foundation","ST -","Structure","FC -","Façade","PRE ","Pre-Line","POST","Post-Line","H - ","Handover","S - ","Services","CST ","Completion Docs", "I - ", "Inspection")</f>
        <v>Services</v>
      </c>
      <c r="E16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5" s="24" t="str">
        <f ca="1">IF(OR(Master[[#This Row],[Type]]="checklist", Master[[#This Row],[Type]]="checklist-flat"), Master[[#This Row],[Name]], F1694)</f>
        <v>S - S - Fire Hydrant</v>
      </c>
      <c r="G1695" s="34" t="s">
        <v>49</v>
      </c>
      <c r="H1695" s="34" t="s">
        <v>767</v>
      </c>
      <c r="I1695" s="35"/>
      <c r="J1695" s="21">
        <f ca="1">_xlfn.XLOOKUP(Master[[#This Row],[Checklist]],Ref!A:A,Ref!B:B)*1000</f>
        <v>154000</v>
      </c>
      <c r="K1695" s="21">
        <f ca="1">COUNTIF($J$2:Master[[#This Row],[ChecklistID]],Master[[#This Row],[ChecklistID]])-1</f>
        <v>1</v>
      </c>
      <c r="L1695" s="23" t="s">
        <v>6</v>
      </c>
    </row>
    <row r="1696" spans="1:12" ht="15.75">
      <c r="A1696" s="23">
        <f t="shared" si="26"/>
        <v>1683</v>
      </c>
      <c r="B1696" s="21">
        <f ca="1">Master[[#This Row],[ChecklistID]]+Master[[#This Row],[Checklist Order]]</f>
        <v>154002</v>
      </c>
      <c r="C1696" s="22"/>
      <c r="D1696" s="23" t="str" cm="1">
        <f t="array" aca="1" ref="D1696" ca="1">_xlfn.SWITCH(MID(Master[[#This Row],[Checklist]],1,4),"C - ","Civil","F - ","Foundation","ST -","Structure","FC -","Façade","PRE ","Pre-Line","POST","Post-Line","H - ","Handover","S - ","Services","CST ","Completion Docs", "I - ", "Inspection")</f>
        <v>Services</v>
      </c>
      <c r="E16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6" s="24" t="str">
        <f ca="1">IF(OR(Master[[#This Row],[Type]]="checklist", Master[[#This Row],[Type]]="checklist-flat"), Master[[#This Row],[Name]], F1695)</f>
        <v>S - S - Fire Hydrant</v>
      </c>
      <c r="G1696" s="34" t="s">
        <v>49</v>
      </c>
      <c r="H1696" s="34" t="s">
        <v>768</v>
      </c>
      <c r="I1696" s="35"/>
      <c r="J1696" s="21">
        <f ca="1">_xlfn.XLOOKUP(Master[[#This Row],[Checklist]],Ref!A:A,Ref!B:B)*1000</f>
        <v>154000</v>
      </c>
      <c r="K1696" s="21">
        <f ca="1">COUNTIF($J$2:Master[[#This Row],[ChecklistID]],Master[[#This Row],[ChecklistID]])-1</f>
        <v>2</v>
      </c>
      <c r="L1696" s="23" t="s">
        <v>6</v>
      </c>
    </row>
    <row r="1697" spans="1:12" ht="15.75">
      <c r="A1697" s="23">
        <f t="shared" si="26"/>
        <v>1684</v>
      </c>
      <c r="B1697" s="21">
        <f ca="1">Master[[#This Row],[ChecklistID]]+Master[[#This Row],[Checklist Order]]</f>
        <v>154003</v>
      </c>
      <c r="C1697" s="22"/>
      <c r="D1697" s="23" t="str" cm="1">
        <f t="array" aca="1" ref="D1697" ca="1">_xlfn.SWITCH(MID(Master[[#This Row],[Checklist]],1,4),"C - ","Civil","F - ","Foundation","ST -","Structure","FC -","Façade","PRE ","Pre-Line","POST","Post-Line","H - ","Handover","S - ","Services","CST ","Completion Docs", "I - ", "Inspection")</f>
        <v>Services</v>
      </c>
      <c r="E16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7" s="24" t="str">
        <f ca="1">IF(OR(Master[[#This Row],[Type]]="checklist", Master[[#This Row],[Type]]="checklist-flat"), Master[[#This Row],[Name]], F1696)</f>
        <v>S - S - Fire Hydrant</v>
      </c>
      <c r="G1697" s="34" t="s">
        <v>49</v>
      </c>
      <c r="H1697" s="34" t="s">
        <v>772</v>
      </c>
      <c r="I1697" s="35"/>
      <c r="J1697" s="21">
        <f ca="1">_xlfn.XLOOKUP(Master[[#This Row],[Checklist]],Ref!A:A,Ref!B:B)*1000</f>
        <v>154000</v>
      </c>
      <c r="K1697" s="21">
        <f ca="1">COUNTIF($J$2:Master[[#This Row],[ChecklistID]],Master[[#This Row],[ChecklistID]])-1</f>
        <v>3</v>
      </c>
      <c r="L1697" s="23" t="s">
        <v>6</v>
      </c>
    </row>
    <row r="1698" spans="1:12" ht="15.75">
      <c r="A1698" s="23">
        <f t="shared" si="26"/>
        <v>1685</v>
      </c>
      <c r="B1698" s="21">
        <f ca="1">Master[[#This Row],[ChecklistID]]+Master[[#This Row],[Checklist Order]]</f>
        <v>154004</v>
      </c>
      <c r="C1698" s="22"/>
      <c r="D1698" s="23" t="str" cm="1">
        <f t="array" aca="1" ref="D1698" ca="1">_xlfn.SWITCH(MID(Master[[#This Row],[Checklist]],1,4),"C - ","Civil","F - ","Foundation","ST -","Structure","FC -","Façade","PRE ","Pre-Line","POST","Post-Line","H - ","Handover","S - ","Services","CST ","Completion Docs", "I - ", "Inspection")</f>
        <v>Services</v>
      </c>
      <c r="E16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8" s="24" t="str">
        <f ca="1">IF(OR(Master[[#This Row],[Type]]="checklist", Master[[#This Row],[Type]]="checklist-flat"), Master[[#This Row],[Name]], F1697)</f>
        <v>S - S - Fire Hydrant</v>
      </c>
      <c r="G1698" s="34" t="s">
        <v>49</v>
      </c>
      <c r="H1698" s="34" t="s">
        <v>773</v>
      </c>
      <c r="I1698" s="35"/>
      <c r="J1698" s="21">
        <f ca="1">_xlfn.XLOOKUP(Master[[#This Row],[Checklist]],Ref!A:A,Ref!B:B)*1000</f>
        <v>154000</v>
      </c>
      <c r="K1698" s="21">
        <f ca="1">COUNTIF($J$2:Master[[#This Row],[ChecklistID]],Master[[#This Row],[ChecklistID]])-1</f>
        <v>4</v>
      </c>
      <c r="L1698" s="23" t="s">
        <v>6</v>
      </c>
    </row>
    <row r="1699" spans="1:12" ht="15.75">
      <c r="A1699" s="23">
        <f t="shared" si="26"/>
        <v>1686</v>
      </c>
      <c r="B1699" s="21">
        <f ca="1">Master[[#This Row],[ChecklistID]]+Master[[#This Row],[Checklist Order]]</f>
        <v>154005</v>
      </c>
      <c r="C1699" s="22"/>
      <c r="D1699" s="23" t="str" cm="1">
        <f t="array" aca="1" ref="D1699" ca="1">_xlfn.SWITCH(MID(Master[[#This Row],[Checklist]],1,4),"C - ","Civil","F - ","Foundation","ST -","Structure","FC -","Façade","PRE ","Pre-Line","POST","Post-Line","H - ","Handover","S - ","Services","CST ","Completion Docs", "I - ", "Inspection")</f>
        <v>Services</v>
      </c>
      <c r="E16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699" s="24" t="str">
        <f ca="1">IF(OR(Master[[#This Row],[Type]]="checklist", Master[[#This Row],[Type]]="checklist-flat"), Master[[#This Row],[Name]], F1698)</f>
        <v>S - S - Fire Hydrant</v>
      </c>
      <c r="G1699" s="34" t="s">
        <v>49</v>
      </c>
      <c r="H1699" s="34" t="s">
        <v>57</v>
      </c>
      <c r="I1699" s="35"/>
      <c r="J1699" s="21">
        <f ca="1">_xlfn.XLOOKUP(Master[[#This Row],[Checklist]],Ref!A:A,Ref!B:B)*1000</f>
        <v>154000</v>
      </c>
      <c r="K1699" s="21">
        <f ca="1">COUNTIF($J$2:Master[[#This Row],[ChecklistID]],Master[[#This Row],[ChecklistID]])-1</f>
        <v>5</v>
      </c>
      <c r="L1699" s="23" t="s">
        <v>6</v>
      </c>
    </row>
    <row r="1700" spans="1:12" ht="15.75">
      <c r="A1700" s="23">
        <f t="shared" si="26"/>
        <v>1687</v>
      </c>
      <c r="B1700" s="21">
        <f ca="1">Master[[#This Row],[ChecklistID]]+Master[[#This Row],[Checklist Order]]</f>
        <v>154006</v>
      </c>
      <c r="C1700" s="22"/>
      <c r="D1700" s="23" t="str" cm="1">
        <f t="array" aca="1" ref="D1700" ca="1">_xlfn.SWITCH(MID(Master[[#This Row],[Checklist]],1,4),"C - ","Civil","F - ","Foundation","ST -","Structure","FC -","Façade","PRE ","Pre-Line","POST","Post-Line","H - ","Handover","S - ","Services","CST ","Completion Docs", "I - ", "Inspection")</f>
        <v>Services</v>
      </c>
      <c r="E17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0" s="24" t="str">
        <f ca="1">IF(OR(Master[[#This Row],[Type]]="checklist", Master[[#This Row],[Type]]="checklist-flat"), Master[[#This Row],[Name]], F1699)</f>
        <v>S - S - Fire Hydrant</v>
      </c>
      <c r="G1700" s="34" t="s">
        <v>58</v>
      </c>
      <c r="H1700" s="34" t="s">
        <v>59</v>
      </c>
      <c r="I1700" s="35"/>
      <c r="J1700" s="21">
        <f ca="1">_xlfn.XLOOKUP(Master[[#This Row],[Checklist]],Ref!A:A,Ref!B:B)*1000</f>
        <v>154000</v>
      </c>
      <c r="K1700" s="21">
        <f ca="1">COUNTIF($J$2:Master[[#This Row],[ChecklistID]],Master[[#This Row],[ChecklistID]])-1</f>
        <v>6</v>
      </c>
      <c r="L1700" s="23" t="s">
        <v>6</v>
      </c>
    </row>
    <row r="1701" spans="1:12" ht="15.75">
      <c r="A1701" s="23">
        <f t="shared" si="26"/>
        <v>1688</v>
      </c>
      <c r="B1701" s="21">
        <f ca="1">Master[[#This Row],[ChecklistID]]+Master[[#This Row],[Checklist Order]]</f>
        <v>155000</v>
      </c>
      <c r="C1701" s="22"/>
      <c r="D1701" s="23" t="str" cm="1">
        <f t="array" aca="1" ref="D1701" ca="1">_xlfn.SWITCH(MID(Master[[#This Row],[Checklist]],1,4),"C - ","Civil","F - ","Foundation","ST -","Structure","FC -","Façade","PRE ","Pre-Line","POST","Post-Line","H - ","Handover","S - ","Services","CST ","Completion Docs", "I - ", "Inspection")</f>
        <v>Structure</v>
      </c>
      <c r="E17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1" s="24" t="str">
        <f ca="1">IF(OR(Master[[#This Row],[Type]]="checklist", Master[[#This Row],[Type]]="checklist-flat"), Master[[#This Row],[Name]], F1700)</f>
        <v>ST - S - Sikalastic</v>
      </c>
      <c r="G1701" s="34" t="s">
        <v>48</v>
      </c>
      <c r="H1701" s="34" t="s">
        <v>788</v>
      </c>
      <c r="I1701" s="35"/>
      <c r="J1701" s="21">
        <f ca="1">_xlfn.XLOOKUP(Master[[#This Row],[Checklist]],Ref!A:A,Ref!B:B)*1000</f>
        <v>155000</v>
      </c>
      <c r="K1701" s="21">
        <f ca="1">COUNTIF($J$2:Master[[#This Row],[ChecklistID]],Master[[#This Row],[ChecklistID]])-1</f>
        <v>0</v>
      </c>
      <c r="L1701" s="23" t="s">
        <v>6</v>
      </c>
    </row>
    <row r="1702" spans="1:12" ht="15.75">
      <c r="A1702" s="23">
        <f t="shared" si="26"/>
        <v>1689</v>
      </c>
      <c r="B1702" s="21">
        <f ca="1">Master[[#This Row],[ChecklistID]]+Master[[#This Row],[Checklist Order]]</f>
        <v>155001</v>
      </c>
      <c r="C1702" s="22"/>
      <c r="D1702" s="23" t="str" cm="1">
        <f t="array" aca="1" ref="D1702" ca="1">_xlfn.SWITCH(MID(Master[[#This Row],[Checklist]],1,4),"C - ","Civil","F - ","Foundation","ST -","Structure","FC -","Façade","PRE ","Pre-Line","POST","Post-Line","H - ","Handover","S - ","Services","CST ","Completion Docs", "I - ", "Inspection")</f>
        <v>Structure</v>
      </c>
      <c r="E17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2" s="24" t="str">
        <f ca="1">IF(OR(Master[[#This Row],[Type]]="checklist", Master[[#This Row],[Type]]="checklist-flat"), Master[[#This Row],[Name]], F1701)</f>
        <v>ST - S - Sikalastic</v>
      </c>
      <c r="G1702" s="34" t="s">
        <v>49</v>
      </c>
      <c r="H1702" s="34" t="s">
        <v>789</v>
      </c>
      <c r="I1702" s="35"/>
      <c r="J1702" s="21">
        <f ca="1">_xlfn.XLOOKUP(Master[[#This Row],[Checklist]],Ref!A:A,Ref!B:B)*1000</f>
        <v>155000</v>
      </c>
      <c r="K1702" s="21">
        <f ca="1">COUNTIF($J$2:Master[[#This Row],[ChecklistID]],Master[[#This Row],[ChecklistID]])-1</f>
        <v>1</v>
      </c>
      <c r="L1702" s="23" t="s">
        <v>6</v>
      </c>
    </row>
    <row r="1703" spans="1:12" ht="15.75">
      <c r="A1703" s="23">
        <f t="shared" si="26"/>
        <v>1690</v>
      </c>
      <c r="B1703" s="21">
        <f ca="1">Master[[#This Row],[ChecklistID]]+Master[[#This Row],[Checklist Order]]</f>
        <v>155002</v>
      </c>
      <c r="C1703" s="22"/>
      <c r="D1703" s="23" t="str" cm="1">
        <f t="array" aca="1" ref="D1703" ca="1">_xlfn.SWITCH(MID(Master[[#This Row],[Checklist]],1,4),"C - ","Civil","F - ","Foundation","ST -","Structure","FC -","Façade","PRE ","Pre-Line","POST","Post-Line","H - ","Handover","S - ","Services","CST ","Completion Docs", "I - ", "Inspection")</f>
        <v>Structure</v>
      </c>
      <c r="E17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3" s="24" t="str">
        <f ca="1">IF(OR(Master[[#This Row],[Type]]="checklist", Master[[#This Row],[Type]]="checklist-flat"), Master[[#This Row],[Name]], F1702)</f>
        <v>ST - S - Sikalastic</v>
      </c>
      <c r="G1703" s="34" t="s">
        <v>49</v>
      </c>
      <c r="H1703" s="34" t="s">
        <v>790</v>
      </c>
      <c r="I1703" s="35"/>
      <c r="J1703" s="21">
        <f ca="1">_xlfn.XLOOKUP(Master[[#This Row],[Checklist]],Ref!A:A,Ref!B:B)*1000</f>
        <v>155000</v>
      </c>
      <c r="K1703" s="21">
        <f ca="1">COUNTIF($J$2:Master[[#This Row],[ChecklistID]],Master[[#This Row],[ChecklistID]])-1</f>
        <v>2</v>
      </c>
      <c r="L1703" s="23" t="s">
        <v>6</v>
      </c>
    </row>
    <row r="1704" spans="1:12" ht="15.75">
      <c r="A1704" s="23">
        <f t="shared" si="26"/>
        <v>1691</v>
      </c>
      <c r="B1704" s="21">
        <f ca="1">Master[[#This Row],[ChecklistID]]+Master[[#This Row],[Checklist Order]]</f>
        <v>155003</v>
      </c>
      <c r="C1704" s="22"/>
      <c r="D1704" s="23" t="str" cm="1">
        <f t="array" aca="1" ref="D1704" ca="1">_xlfn.SWITCH(MID(Master[[#This Row],[Checklist]],1,4),"C - ","Civil","F - ","Foundation","ST -","Structure","FC -","Façade","PRE ","Pre-Line","POST","Post-Line","H - ","Handover","S - ","Services","CST ","Completion Docs", "I - ", "Inspection")</f>
        <v>Structure</v>
      </c>
      <c r="E17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4" s="24" t="str">
        <f ca="1">IF(OR(Master[[#This Row],[Type]]="checklist", Master[[#This Row],[Type]]="checklist-flat"), Master[[#This Row],[Name]], F1703)</f>
        <v>ST - S - Sikalastic</v>
      </c>
      <c r="G1704" s="34" t="s">
        <v>791</v>
      </c>
      <c r="H1704" s="34" t="s">
        <v>792</v>
      </c>
      <c r="I1704" s="35"/>
      <c r="J1704" s="21">
        <f ca="1">_xlfn.XLOOKUP(Master[[#This Row],[Checklist]],Ref!A:A,Ref!B:B)*1000</f>
        <v>155000</v>
      </c>
      <c r="K1704" s="21">
        <f ca="1">COUNTIF($J$2:Master[[#This Row],[ChecklistID]],Master[[#This Row],[ChecklistID]])-1</f>
        <v>3</v>
      </c>
      <c r="L1704" s="23" t="s">
        <v>6</v>
      </c>
    </row>
    <row r="1705" spans="1:12" ht="15.75">
      <c r="A1705" s="23">
        <f t="shared" si="26"/>
        <v>1692</v>
      </c>
      <c r="B1705" s="21">
        <f ca="1">Master[[#This Row],[ChecklistID]]+Master[[#This Row],[Checklist Order]]</f>
        <v>155004</v>
      </c>
      <c r="C1705" s="22"/>
      <c r="D1705" s="23" t="str" cm="1">
        <f t="array" aca="1" ref="D1705" ca="1">_xlfn.SWITCH(MID(Master[[#This Row],[Checklist]],1,4),"C - ","Civil","F - ","Foundation","ST -","Structure","FC -","Façade","PRE ","Pre-Line","POST","Post-Line","H - ","Handover","S - ","Services","CST ","Completion Docs", "I - ", "Inspection")</f>
        <v>Structure</v>
      </c>
      <c r="E17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5" s="24" t="str">
        <f ca="1">IF(OR(Master[[#This Row],[Type]]="checklist", Master[[#This Row],[Type]]="checklist-flat"), Master[[#This Row],[Name]], F1704)</f>
        <v>ST - S - Sikalastic</v>
      </c>
      <c r="G1705" s="34" t="s">
        <v>791</v>
      </c>
      <c r="H1705" s="34" t="s">
        <v>793</v>
      </c>
      <c r="I1705" s="35"/>
      <c r="J1705" s="21">
        <f ca="1">_xlfn.XLOOKUP(Master[[#This Row],[Checklist]],Ref!A:A,Ref!B:B)*1000</f>
        <v>155000</v>
      </c>
      <c r="K1705" s="21">
        <f ca="1">COUNTIF($J$2:Master[[#This Row],[ChecklistID]],Master[[#This Row],[ChecklistID]])-1</f>
        <v>4</v>
      </c>
      <c r="L1705" s="23" t="s">
        <v>6</v>
      </c>
    </row>
    <row r="1706" spans="1:12" ht="15.75">
      <c r="A1706" s="23">
        <f t="shared" si="26"/>
        <v>1693</v>
      </c>
      <c r="B1706" s="21">
        <f ca="1">Master[[#This Row],[ChecklistID]]+Master[[#This Row],[Checklist Order]]</f>
        <v>155005</v>
      </c>
      <c r="C1706" s="22"/>
      <c r="D1706" s="23" t="str" cm="1">
        <f t="array" aca="1" ref="D1706" ca="1">_xlfn.SWITCH(MID(Master[[#This Row],[Checklist]],1,4),"C - ","Civil","F - ","Foundation","ST -","Structure","FC -","Façade","PRE ","Pre-Line","POST","Post-Line","H - ","Handover","S - ","Services","CST ","Completion Docs", "I - ", "Inspection")</f>
        <v>Structure</v>
      </c>
      <c r="E17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6" s="24" t="str">
        <f ca="1">IF(OR(Master[[#This Row],[Type]]="checklist", Master[[#This Row],[Type]]="checklist-flat"), Master[[#This Row],[Name]], F1705)</f>
        <v>ST - S - Sikalastic</v>
      </c>
      <c r="G1706" s="34" t="s">
        <v>791</v>
      </c>
      <c r="H1706" s="34" t="s">
        <v>794</v>
      </c>
      <c r="I1706" s="35"/>
      <c r="J1706" s="21">
        <f ca="1">_xlfn.XLOOKUP(Master[[#This Row],[Checklist]],Ref!A:A,Ref!B:B)*1000</f>
        <v>155000</v>
      </c>
      <c r="K1706" s="21">
        <f ca="1">COUNTIF($J$2:Master[[#This Row],[ChecklistID]],Master[[#This Row],[ChecklistID]])-1</f>
        <v>5</v>
      </c>
      <c r="L1706" s="23" t="s">
        <v>6</v>
      </c>
    </row>
    <row r="1707" spans="1:12" ht="15.75">
      <c r="A1707" s="23">
        <f t="shared" si="26"/>
        <v>1694</v>
      </c>
      <c r="B1707" s="21">
        <f ca="1">Master[[#This Row],[ChecklistID]]+Master[[#This Row],[Checklist Order]]</f>
        <v>155006</v>
      </c>
      <c r="C1707" s="22"/>
      <c r="D1707" s="23" t="str" cm="1">
        <f t="array" aca="1" ref="D1707" ca="1">_xlfn.SWITCH(MID(Master[[#This Row],[Checklist]],1,4),"C - ","Civil","F - ","Foundation","ST -","Structure","FC -","Façade","PRE ","Pre-Line","POST","Post-Line","H - ","Handover","S - ","Services","CST ","Completion Docs", "I - ", "Inspection")</f>
        <v>Structure</v>
      </c>
      <c r="E17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7" s="24" t="str">
        <f ca="1">IF(OR(Master[[#This Row],[Type]]="checklist", Master[[#This Row],[Type]]="checklist-flat"), Master[[#This Row],[Name]], F1706)</f>
        <v>ST - S - Sikalastic</v>
      </c>
      <c r="G1707" s="34" t="s">
        <v>791</v>
      </c>
      <c r="H1707" s="34" t="s">
        <v>795</v>
      </c>
      <c r="I1707" s="35"/>
      <c r="J1707" s="21">
        <f ca="1">_xlfn.XLOOKUP(Master[[#This Row],[Checklist]],Ref!A:A,Ref!B:B)*1000</f>
        <v>155000</v>
      </c>
      <c r="K1707" s="21">
        <f ca="1">COUNTIF($J$2:Master[[#This Row],[ChecklistID]],Master[[#This Row],[ChecklistID]])-1</f>
        <v>6</v>
      </c>
      <c r="L1707" s="23" t="s">
        <v>6</v>
      </c>
    </row>
    <row r="1708" spans="1:12" ht="15.75">
      <c r="A1708" s="23">
        <f t="shared" si="26"/>
        <v>1695</v>
      </c>
      <c r="B1708" s="21">
        <f ca="1">Master[[#This Row],[ChecklistID]]+Master[[#This Row],[Checklist Order]]</f>
        <v>155007</v>
      </c>
      <c r="C1708" s="22"/>
      <c r="D1708" s="23" t="str" cm="1">
        <f t="array" aca="1" ref="D1708" ca="1">_xlfn.SWITCH(MID(Master[[#This Row],[Checklist]],1,4),"C - ","Civil","F - ","Foundation","ST -","Structure","FC -","Façade","PRE ","Pre-Line","POST","Post-Line","H - ","Handover","S - ","Services","CST ","Completion Docs", "I - ", "Inspection")</f>
        <v>Structure</v>
      </c>
      <c r="E17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8" s="24" t="str">
        <f ca="1">IF(OR(Master[[#This Row],[Type]]="checklist", Master[[#This Row],[Type]]="checklist-flat"), Master[[#This Row],[Name]], F1707)</f>
        <v>ST - S - Sikalastic</v>
      </c>
      <c r="G1708" s="34" t="s">
        <v>796</v>
      </c>
      <c r="H1708" s="34" t="s">
        <v>797</v>
      </c>
      <c r="I1708" s="35" t="s">
        <v>153</v>
      </c>
      <c r="J1708" s="21">
        <f ca="1">_xlfn.XLOOKUP(Master[[#This Row],[Checklist]],Ref!A:A,Ref!B:B)*1000</f>
        <v>155000</v>
      </c>
      <c r="K1708" s="21">
        <f ca="1">COUNTIF($J$2:Master[[#This Row],[ChecklistID]],Master[[#This Row],[ChecklistID]])-1</f>
        <v>7</v>
      </c>
      <c r="L1708" s="23" t="s">
        <v>6</v>
      </c>
    </row>
    <row r="1709" spans="1:12" ht="15.75">
      <c r="A1709" s="23">
        <f t="shared" si="26"/>
        <v>1696</v>
      </c>
      <c r="B1709" s="21">
        <f ca="1">Master[[#This Row],[ChecklistID]]+Master[[#This Row],[Checklist Order]]</f>
        <v>155008</v>
      </c>
      <c r="C1709" s="22"/>
      <c r="D1709" s="23" t="str" cm="1">
        <f t="array" aca="1" ref="D1709" ca="1">_xlfn.SWITCH(MID(Master[[#This Row],[Checklist]],1,4),"C - ","Civil","F - ","Foundation","ST -","Structure","FC -","Façade","PRE ","Pre-Line","POST","Post-Line","H - ","Handover","S - ","Services","CST ","Completion Docs", "I - ", "Inspection")</f>
        <v>Structure</v>
      </c>
      <c r="E17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09" s="24" t="str">
        <f ca="1">IF(OR(Master[[#This Row],[Type]]="checklist", Master[[#This Row],[Type]]="checklist-flat"), Master[[#This Row],[Name]], F1708)</f>
        <v>ST - S - Sikalastic</v>
      </c>
      <c r="G1709" s="34" t="s">
        <v>791</v>
      </c>
      <c r="H1709" s="34" t="s">
        <v>798</v>
      </c>
      <c r="I1709" s="35"/>
      <c r="J1709" s="21">
        <f ca="1">_xlfn.XLOOKUP(Master[[#This Row],[Checklist]],Ref!A:A,Ref!B:B)*1000</f>
        <v>155000</v>
      </c>
      <c r="K1709" s="21">
        <f ca="1">COUNTIF($J$2:Master[[#This Row],[ChecklistID]],Master[[#This Row],[ChecklistID]])-1</f>
        <v>8</v>
      </c>
      <c r="L1709" s="23" t="s">
        <v>6</v>
      </c>
    </row>
    <row r="1710" spans="1:12" ht="15.75">
      <c r="A1710" s="23">
        <f t="shared" si="26"/>
        <v>1697</v>
      </c>
      <c r="B1710" s="21">
        <f ca="1">Master[[#This Row],[ChecklistID]]+Master[[#This Row],[Checklist Order]]</f>
        <v>155009</v>
      </c>
      <c r="C1710" s="22"/>
      <c r="D1710" s="23" t="str" cm="1">
        <f t="array" aca="1" ref="D1710" ca="1">_xlfn.SWITCH(MID(Master[[#This Row],[Checklist]],1,4),"C - ","Civil","F - ","Foundation","ST -","Structure","FC -","Façade","PRE ","Pre-Line","POST","Post-Line","H - ","Handover","S - ","Services","CST ","Completion Docs", "I - ", "Inspection")</f>
        <v>Structure</v>
      </c>
      <c r="E17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0" s="24" t="str">
        <f ca="1">IF(OR(Master[[#This Row],[Type]]="checklist", Master[[#This Row],[Type]]="checklist-flat"), Master[[#This Row],[Name]], F1709)</f>
        <v>ST - S - Sikalastic</v>
      </c>
      <c r="G1710" s="34" t="s">
        <v>49</v>
      </c>
      <c r="H1710" s="34" t="s">
        <v>799</v>
      </c>
      <c r="I1710" s="35"/>
      <c r="J1710" s="21">
        <f ca="1">_xlfn.XLOOKUP(Master[[#This Row],[Checklist]],Ref!A:A,Ref!B:B)*1000</f>
        <v>155000</v>
      </c>
      <c r="K1710" s="21">
        <f ca="1">COUNTIF($J$2:Master[[#This Row],[ChecklistID]],Master[[#This Row],[ChecklistID]])-1</f>
        <v>9</v>
      </c>
      <c r="L1710" s="23" t="s">
        <v>6</v>
      </c>
    </row>
    <row r="1711" spans="1:12" ht="15.75">
      <c r="A1711" s="23">
        <f t="shared" si="26"/>
        <v>1698</v>
      </c>
      <c r="B1711" s="21">
        <f ca="1">Master[[#This Row],[ChecklistID]]+Master[[#This Row],[Checklist Order]]</f>
        <v>155010</v>
      </c>
      <c r="C1711" s="22"/>
      <c r="D1711" s="23" t="str" cm="1">
        <f t="array" aca="1" ref="D1711" ca="1">_xlfn.SWITCH(MID(Master[[#This Row],[Checklist]],1,4),"C - ","Civil","F - ","Foundation","ST -","Structure","FC -","Façade","PRE ","Pre-Line","POST","Post-Line","H - ","Handover","S - ","Services","CST ","Completion Docs", "I - ", "Inspection")</f>
        <v>Structure</v>
      </c>
      <c r="E17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1" s="24" t="str">
        <f ca="1">IF(OR(Master[[#This Row],[Type]]="checklist", Master[[#This Row],[Type]]="checklist-flat"), Master[[#This Row],[Name]], F1710)</f>
        <v>ST - S - Sikalastic</v>
      </c>
      <c r="G1711" s="34" t="s">
        <v>49</v>
      </c>
      <c r="H1711" s="34" t="s">
        <v>800</v>
      </c>
      <c r="I1711" s="35"/>
      <c r="J1711" s="21">
        <f ca="1">_xlfn.XLOOKUP(Master[[#This Row],[Checklist]],Ref!A:A,Ref!B:B)*1000</f>
        <v>155000</v>
      </c>
      <c r="K1711" s="21">
        <f ca="1">COUNTIF($J$2:Master[[#This Row],[ChecklistID]],Master[[#This Row],[ChecklistID]])-1</f>
        <v>10</v>
      </c>
      <c r="L1711" s="23" t="s">
        <v>6</v>
      </c>
    </row>
    <row r="1712" spans="1:12" ht="15.75">
      <c r="A1712" s="23">
        <f t="shared" si="26"/>
        <v>1699</v>
      </c>
      <c r="B1712" s="21">
        <f ca="1">Master[[#This Row],[ChecklistID]]+Master[[#This Row],[Checklist Order]]</f>
        <v>155011</v>
      </c>
      <c r="C1712" s="22"/>
      <c r="D1712" s="23" t="str" cm="1">
        <f t="array" aca="1" ref="D1712" ca="1">_xlfn.SWITCH(MID(Master[[#This Row],[Checklist]],1,4),"C - ","Civil","F - ","Foundation","ST -","Structure","FC -","Façade","PRE ","Pre-Line","POST","Post-Line","H - ","Handover","S - ","Services","CST ","Completion Docs", "I - ", "Inspection")</f>
        <v>Structure</v>
      </c>
      <c r="E17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2" s="24" t="str">
        <f ca="1">IF(OR(Master[[#This Row],[Type]]="checklist", Master[[#This Row],[Type]]="checklist-flat"), Master[[#This Row],[Name]], F1711)</f>
        <v>ST - S - Sikalastic</v>
      </c>
      <c r="G1712" s="34" t="s">
        <v>49</v>
      </c>
      <c r="H1712" s="34" t="s">
        <v>801</v>
      </c>
      <c r="I1712" s="35"/>
      <c r="J1712" s="21">
        <f ca="1">_xlfn.XLOOKUP(Master[[#This Row],[Checklist]],Ref!A:A,Ref!B:B)*1000</f>
        <v>155000</v>
      </c>
      <c r="K1712" s="21">
        <f ca="1">COUNTIF($J$2:Master[[#This Row],[ChecklistID]],Master[[#This Row],[ChecklistID]])-1</f>
        <v>11</v>
      </c>
      <c r="L1712" s="23" t="s">
        <v>6</v>
      </c>
    </row>
    <row r="1713" spans="1:12" ht="15.75">
      <c r="A1713" s="23">
        <f t="shared" si="26"/>
        <v>1700</v>
      </c>
      <c r="B1713" s="21">
        <f ca="1">Master[[#This Row],[ChecklistID]]+Master[[#This Row],[Checklist Order]]</f>
        <v>155012</v>
      </c>
      <c r="C1713" s="22"/>
      <c r="D1713" s="23" t="str" cm="1">
        <f t="array" aca="1" ref="D1713" ca="1">_xlfn.SWITCH(MID(Master[[#This Row],[Checklist]],1,4),"C - ","Civil","F - ","Foundation","ST -","Structure","FC -","Façade","PRE ","Pre-Line","POST","Post-Line","H - ","Handover","S - ","Services","CST ","Completion Docs", "I - ", "Inspection")</f>
        <v>Structure</v>
      </c>
      <c r="E17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3" s="24" t="str">
        <f ca="1">IF(OR(Master[[#This Row],[Type]]="checklist", Master[[#This Row],[Type]]="checklist-flat"), Master[[#This Row],[Name]], F1712)</f>
        <v>ST - S - Sikalastic</v>
      </c>
      <c r="G1713" s="34" t="s">
        <v>802</v>
      </c>
      <c r="H1713" s="34" t="s">
        <v>803</v>
      </c>
      <c r="I1713" s="35"/>
      <c r="J1713" s="21">
        <f ca="1">_xlfn.XLOOKUP(Master[[#This Row],[Checklist]],Ref!A:A,Ref!B:B)*1000</f>
        <v>155000</v>
      </c>
      <c r="K1713" s="21">
        <f ca="1">COUNTIF($J$2:Master[[#This Row],[ChecklistID]],Master[[#This Row],[ChecklistID]])-1</f>
        <v>12</v>
      </c>
      <c r="L1713" s="23" t="s">
        <v>6</v>
      </c>
    </row>
    <row r="1714" spans="1:12" ht="15.75">
      <c r="A1714" s="23">
        <f t="shared" si="26"/>
        <v>1701</v>
      </c>
      <c r="B1714" s="21">
        <f ca="1">Master[[#This Row],[ChecklistID]]+Master[[#This Row],[Checklist Order]]</f>
        <v>155013</v>
      </c>
      <c r="C1714" s="22"/>
      <c r="D1714" s="23" t="str" cm="1">
        <f t="array" aca="1" ref="D1714" ca="1">_xlfn.SWITCH(MID(Master[[#This Row],[Checklist]],1,4),"C - ","Civil","F - ","Foundation","ST -","Structure","FC -","Façade","PRE ","Pre-Line","POST","Post-Line","H - ","Handover","S - ","Services","CST ","Completion Docs", "I - ", "Inspection")</f>
        <v>Structure</v>
      </c>
      <c r="E17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4" s="24" t="str">
        <f ca="1">IF(OR(Master[[#This Row],[Type]]="checklist", Master[[#This Row],[Type]]="checklist-flat"), Master[[#This Row],[Name]], F1713)</f>
        <v>ST - S - Sikalastic</v>
      </c>
      <c r="G1714" s="34" t="s">
        <v>49</v>
      </c>
      <c r="H1714" s="34" t="s">
        <v>57</v>
      </c>
      <c r="I1714" s="35"/>
      <c r="J1714" s="21">
        <f ca="1">_xlfn.XLOOKUP(Master[[#This Row],[Checklist]],Ref!A:A,Ref!B:B)*1000</f>
        <v>155000</v>
      </c>
      <c r="K1714" s="21">
        <f ca="1">COUNTIF($J$2:Master[[#This Row],[ChecklistID]],Master[[#This Row],[ChecklistID]])-1</f>
        <v>13</v>
      </c>
      <c r="L1714" s="23" t="s">
        <v>6</v>
      </c>
    </row>
    <row r="1715" spans="1:12" ht="15.75">
      <c r="A1715" s="23">
        <f t="shared" si="26"/>
        <v>1702</v>
      </c>
      <c r="B1715" s="21">
        <f ca="1">Master[[#This Row],[ChecklistID]]+Master[[#This Row],[Checklist Order]]</f>
        <v>155014</v>
      </c>
      <c r="C1715" s="22"/>
      <c r="D1715" s="23" t="str" cm="1">
        <f t="array" aca="1" ref="D1715" ca="1">_xlfn.SWITCH(MID(Master[[#This Row],[Checklist]],1,4),"C - ","Civil","F - ","Foundation","ST -","Structure","FC -","Façade","PRE ","Pre-Line","POST","Post-Line","H - ","Handover","S - ","Services","CST ","Completion Docs", "I - ", "Inspection")</f>
        <v>Structure</v>
      </c>
      <c r="E17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5" s="24" t="str">
        <f ca="1">IF(OR(Master[[#This Row],[Type]]="checklist", Master[[#This Row],[Type]]="checklist-flat"), Master[[#This Row],[Name]], F1714)</f>
        <v>ST - S - Sikalastic</v>
      </c>
      <c r="G1715" s="34" t="s">
        <v>58</v>
      </c>
      <c r="H1715" s="34" t="s">
        <v>59</v>
      </c>
      <c r="I1715" s="35"/>
      <c r="J1715" s="21">
        <f ca="1">_xlfn.XLOOKUP(Master[[#This Row],[Checklist]],Ref!A:A,Ref!B:B)*1000</f>
        <v>155000</v>
      </c>
      <c r="K1715" s="21">
        <f ca="1">COUNTIF($J$2:Master[[#This Row],[ChecklistID]],Master[[#This Row],[ChecklistID]])-1</f>
        <v>14</v>
      </c>
      <c r="L1715" s="23" t="s">
        <v>6</v>
      </c>
    </row>
    <row r="1716" spans="1:12" ht="15.75">
      <c r="A1716" s="23">
        <f t="shared" ref="A1716:A1779" si="27">IFERROR(A1715+1,1)</f>
        <v>1703</v>
      </c>
      <c r="B1716" s="21">
        <f ca="1">Master[[#This Row],[ChecklistID]]+Master[[#This Row],[Checklist Order]]</f>
        <v>156000</v>
      </c>
      <c r="C1716" s="22"/>
      <c r="D1716" s="23" t="str" cm="1">
        <f t="array" aca="1" ref="D1716" ca="1">_xlfn.SWITCH(MID(Master[[#This Row],[Checklist]],1,4),"C - ","Civil","F - ","Foundation","ST -","Structure","FC -","Façade","PRE ","Pre-Line","POST","Post-Line","H - ","Handover","S - ","Services","CST ","Completion Docs", "I - ", "Inspection")</f>
        <v>Structure</v>
      </c>
      <c r="E17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6" s="24" t="str">
        <f ca="1">IF(OR(Master[[#This Row],[Type]]="checklist", Master[[#This Row],[Type]]="checklist-flat"), Master[[#This Row],[Name]], F1715)</f>
        <v>ST - S - Sarnafil</v>
      </c>
      <c r="G1716" s="34" t="s">
        <v>43</v>
      </c>
      <c r="H1716" s="34" t="s">
        <v>804</v>
      </c>
      <c r="I1716" s="35"/>
      <c r="J1716" s="21">
        <f ca="1">_xlfn.XLOOKUP(Master[[#This Row],[Checklist]],Ref!A:A,Ref!B:B)*1000</f>
        <v>156000</v>
      </c>
      <c r="K1716" s="21">
        <f ca="1">COUNTIF($J$2:Master[[#This Row],[ChecklistID]],Master[[#This Row],[ChecklistID]])-1</f>
        <v>0</v>
      </c>
      <c r="L1716" s="23" t="s">
        <v>6</v>
      </c>
    </row>
    <row r="1717" spans="1:12" ht="15.75">
      <c r="A1717" s="23">
        <f t="shared" si="27"/>
        <v>1704</v>
      </c>
      <c r="B1717" s="21">
        <f ca="1">Master[[#This Row],[ChecklistID]]+Master[[#This Row],[Checklist Order]]</f>
        <v>156001</v>
      </c>
      <c r="C1717" s="22"/>
      <c r="D1717" s="23" t="str" cm="1">
        <f t="array" aca="1" ref="D1717" ca="1">_xlfn.SWITCH(MID(Master[[#This Row],[Checklist]],1,4),"C - ","Civil","F - ","Foundation","ST -","Structure","FC -","Façade","PRE ","Pre-Line","POST","Post-Line","H - ","Handover","S - ","Services","CST ","Completion Docs", "I - ", "Inspection")</f>
        <v>Structure</v>
      </c>
      <c r="E17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7" s="24" t="str">
        <f ca="1">IF(OR(Master[[#This Row],[Type]]="checklist", Master[[#This Row],[Type]]="checklist-flat"), Master[[#This Row],[Name]], F1716)</f>
        <v>ST - S - Sarnafil</v>
      </c>
      <c r="G1717" s="34" t="s">
        <v>120</v>
      </c>
      <c r="H1717" s="34" t="s">
        <v>805</v>
      </c>
      <c r="I1717" s="35"/>
      <c r="J1717" s="21">
        <f ca="1">_xlfn.XLOOKUP(Master[[#This Row],[Checklist]],Ref!A:A,Ref!B:B)*1000</f>
        <v>156000</v>
      </c>
      <c r="K1717" s="21">
        <f ca="1">COUNTIF($J$2:Master[[#This Row],[ChecklistID]],Master[[#This Row],[ChecklistID]])-1</f>
        <v>1</v>
      </c>
      <c r="L1717" s="23" t="s">
        <v>6</v>
      </c>
    </row>
    <row r="1718" spans="1:12" ht="15.75">
      <c r="A1718" s="23">
        <f t="shared" si="27"/>
        <v>1705</v>
      </c>
      <c r="B1718" s="21">
        <f ca="1">Master[[#This Row],[ChecklistID]]+Master[[#This Row],[Checklist Order]]</f>
        <v>156002</v>
      </c>
      <c r="C1718" s="22"/>
      <c r="D1718" s="23" t="str" cm="1">
        <f t="array" aca="1" ref="D1718" ca="1">_xlfn.SWITCH(MID(Master[[#This Row],[Checklist]],1,4),"C - ","Civil","F - ","Foundation","ST -","Structure","FC -","Façade","PRE ","Pre-Line","POST","Post-Line","H - ","Handover","S - ","Services","CST ","Completion Docs", "I - ", "Inspection")</f>
        <v>Structure</v>
      </c>
      <c r="E17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8" s="24" t="str">
        <f ca="1">IF(OR(Master[[#This Row],[Type]]="checklist", Master[[#This Row],[Type]]="checklist-flat"), Master[[#This Row],[Name]], F1717)</f>
        <v>ST - S - Sarnafil</v>
      </c>
      <c r="G1718" s="34" t="s">
        <v>49</v>
      </c>
      <c r="H1718" s="34" t="s">
        <v>806</v>
      </c>
      <c r="I1718" s="35"/>
      <c r="J1718" s="21">
        <f ca="1">_xlfn.XLOOKUP(Master[[#This Row],[Checklist]],Ref!A:A,Ref!B:B)*1000</f>
        <v>156000</v>
      </c>
      <c r="K1718" s="21">
        <f ca="1">COUNTIF($J$2:Master[[#This Row],[ChecklistID]],Master[[#This Row],[ChecklistID]])-1</f>
        <v>2</v>
      </c>
      <c r="L1718" s="23" t="s">
        <v>6</v>
      </c>
    </row>
    <row r="1719" spans="1:12" ht="15.75">
      <c r="A1719" s="23">
        <f t="shared" si="27"/>
        <v>1706</v>
      </c>
      <c r="B1719" s="21">
        <f ca="1">Master[[#This Row],[ChecklistID]]+Master[[#This Row],[Checklist Order]]</f>
        <v>156003</v>
      </c>
      <c r="C1719" s="22"/>
      <c r="D1719" s="23" t="str" cm="1">
        <f t="array" aca="1" ref="D1719" ca="1">_xlfn.SWITCH(MID(Master[[#This Row],[Checklist]],1,4),"C - ","Civil","F - ","Foundation","ST -","Structure","FC -","Façade","PRE ","Pre-Line","POST","Post-Line","H - ","Handover","S - ","Services","CST ","Completion Docs", "I - ", "Inspection")</f>
        <v>Structure</v>
      </c>
      <c r="E17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19" s="24" t="str">
        <f ca="1">IF(OR(Master[[#This Row],[Type]]="checklist", Master[[#This Row],[Type]]="checklist-flat"), Master[[#This Row],[Name]], F1718)</f>
        <v>ST - S - Sarnafil</v>
      </c>
      <c r="G1719" s="34" t="s">
        <v>49</v>
      </c>
      <c r="H1719" s="34" t="s">
        <v>807</v>
      </c>
      <c r="I1719" s="35"/>
      <c r="J1719" s="21">
        <f ca="1">_xlfn.XLOOKUP(Master[[#This Row],[Checklist]],Ref!A:A,Ref!B:B)*1000</f>
        <v>156000</v>
      </c>
      <c r="K1719" s="21">
        <f ca="1">COUNTIF($J$2:Master[[#This Row],[ChecklistID]],Master[[#This Row],[ChecklistID]])-1</f>
        <v>3</v>
      </c>
      <c r="L1719" s="23" t="s">
        <v>6</v>
      </c>
    </row>
    <row r="1720" spans="1:12" ht="15.75">
      <c r="A1720" s="23">
        <f t="shared" si="27"/>
        <v>1707</v>
      </c>
      <c r="B1720" s="21">
        <f ca="1">Master[[#This Row],[ChecklistID]]+Master[[#This Row],[Checklist Order]]</f>
        <v>156004</v>
      </c>
      <c r="C1720" s="22"/>
      <c r="D1720" s="23" t="str" cm="1">
        <f t="array" aca="1" ref="D1720" ca="1">_xlfn.SWITCH(MID(Master[[#This Row],[Checklist]],1,4),"C - ","Civil","F - ","Foundation","ST -","Structure","FC -","Façade","PRE ","Pre-Line","POST","Post-Line","H - ","Handover","S - ","Services","CST ","Completion Docs", "I - ", "Inspection")</f>
        <v>Structure</v>
      </c>
      <c r="E17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0" s="24" t="str">
        <f ca="1">IF(OR(Master[[#This Row],[Type]]="checklist", Master[[#This Row],[Type]]="checklist-flat"), Master[[#This Row],[Name]], F1719)</f>
        <v>ST - S - Sarnafil</v>
      </c>
      <c r="G1720" s="34" t="s">
        <v>49</v>
      </c>
      <c r="H1720" s="34" t="s">
        <v>808</v>
      </c>
      <c r="I1720" s="35"/>
      <c r="J1720" s="21">
        <f ca="1">_xlfn.XLOOKUP(Master[[#This Row],[Checklist]],Ref!A:A,Ref!B:B)*1000</f>
        <v>156000</v>
      </c>
      <c r="K1720" s="21">
        <f ca="1">COUNTIF($J$2:Master[[#This Row],[ChecklistID]],Master[[#This Row],[ChecklistID]])-1</f>
        <v>4</v>
      </c>
      <c r="L1720" s="23" t="s">
        <v>6</v>
      </c>
    </row>
    <row r="1721" spans="1:12" ht="15.75">
      <c r="A1721" s="23">
        <f t="shared" si="27"/>
        <v>1708</v>
      </c>
      <c r="B1721" s="21">
        <f ca="1">Master[[#This Row],[ChecklistID]]+Master[[#This Row],[Checklist Order]]</f>
        <v>156005</v>
      </c>
      <c r="C1721" s="22"/>
      <c r="D1721" s="23" t="str" cm="1">
        <f t="array" aca="1" ref="D1721" ca="1">_xlfn.SWITCH(MID(Master[[#This Row],[Checklist]],1,4),"C - ","Civil","F - ","Foundation","ST -","Structure","FC -","Façade","PRE ","Pre-Line","POST","Post-Line","H - ","Handover","S - ","Services","CST ","Completion Docs", "I - ", "Inspection")</f>
        <v>Structure</v>
      </c>
      <c r="E17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1" s="24" t="str">
        <f ca="1">IF(OR(Master[[#This Row],[Type]]="checklist", Master[[#This Row],[Type]]="checklist-flat"), Master[[#This Row],[Name]], F1720)</f>
        <v>ST - S - Sarnafil</v>
      </c>
      <c r="G1721" s="34" t="s">
        <v>49</v>
      </c>
      <c r="H1721" s="34" t="s">
        <v>1706</v>
      </c>
      <c r="I1721" s="35"/>
      <c r="J1721" s="21">
        <f ca="1">_xlfn.XLOOKUP(Master[[#This Row],[Checklist]],Ref!A:A,Ref!B:B)*1000</f>
        <v>156000</v>
      </c>
      <c r="K1721" s="21">
        <f ca="1">COUNTIF($J$2:Master[[#This Row],[ChecklistID]],Master[[#This Row],[ChecklistID]])-1</f>
        <v>5</v>
      </c>
      <c r="L1721" s="23" t="s">
        <v>6</v>
      </c>
    </row>
    <row r="1722" spans="1:12" ht="15.75">
      <c r="A1722" s="23">
        <f t="shared" si="27"/>
        <v>1709</v>
      </c>
      <c r="B1722" s="21">
        <f ca="1">Master[[#This Row],[ChecklistID]]+Master[[#This Row],[Checklist Order]]</f>
        <v>156006</v>
      </c>
      <c r="C1722" s="22"/>
      <c r="D1722" s="23" t="str" cm="1">
        <f t="array" aca="1" ref="D1722" ca="1">_xlfn.SWITCH(MID(Master[[#This Row],[Checklist]],1,4),"C - ","Civil","F - ","Foundation","ST -","Structure","FC -","Façade","PRE ","Pre-Line","POST","Post-Line","H - ","Handover","S - ","Services","CST ","Completion Docs", "I - ", "Inspection")</f>
        <v>Structure</v>
      </c>
      <c r="E17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2" s="24" t="str">
        <f ca="1">IF(OR(Master[[#This Row],[Type]]="checklist", Master[[#This Row],[Type]]="checklist-flat"), Master[[#This Row],[Name]], F1721)</f>
        <v>ST - S - Sarnafil</v>
      </c>
      <c r="G1722" s="34" t="s">
        <v>791</v>
      </c>
      <c r="H1722" s="34" t="s">
        <v>810</v>
      </c>
      <c r="I1722" s="35"/>
      <c r="J1722" s="21">
        <f ca="1">_xlfn.XLOOKUP(Master[[#This Row],[Checklist]],Ref!A:A,Ref!B:B)*1000</f>
        <v>156000</v>
      </c>
      <c r="K1722" s="21">
        <f ca="1">COUNTIF($J$2:Master[[#This Row],[ChecklistID]],Master[[#This Row],[ChecklistID]])-1</f>
        <v>6</v>
      </c>
      <c r="L1722" s="23" t="s">
        <v>6</v>
      </c>
    </row>
    <row r="1723" spans="1:12" ht="15.75">
      <c r="A1723" s="23">
        <f t="shared" si="27"/>
        <v>1710</v>
      </c>
      <c r="B1723" s="21">
        <f ca="1">Master[[#This Row],[ChecklistID]]+Master[[#This Row],[Checklist Order]]</f>
        <v>156007</v>
      </c>
      <c r="C1723" s="22"/>
      <c r="D1723" s="23" t="str" cm="1">
        <f t="array" aca="1" ref="D1723" ca="1">_xlfn.SWITCH(MID(Master[[#This Row],[Checklist]],1,4),"C - ","Civil","F - ","Foundation","ST -","Structure","FC -","Façade","PRE ","Pre-Line","POST","Post-Line","H - ","Handover","S - ","Services","CST ","Completion Docs", "I - ", "Inspection")</f>
        <v>Structure</v>
      </c>
      <c r="E17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3" s="24" t="str">
        <f ca="1">IF(OR(Master[[#This Row],[Type]]="checklist", Master[[#This Row],[Type]]="checklist-flat"), Master[[#This Row],[Name]], F1722)</f>
        <v>ST - S - Sarnafil</v>
      </c>
      <c r="G1723" s="34" t="s">
        <v>49</v>
      </c>
      <c r="H1723" s="34" t="s">
        <v>811</v>
      </c>
      <c r="I1723" s="35"/>
      <c r="J1723" s="21">
        <f ca="1">_xlfn.XLOOKUP(Master[[#This Row],[Checklist]],Ref!A:A,Ref!B:B)*1000</f>
        <v>156000</v>
      </c>
      <c r="K1723" s="21">
        <f ca="1">COUNTIF($J$2:Master[[#This Row],[ChecklistID]],Master[[#This Row],[ChecklistID]])-1</f>
        <v>7</v>
      </c>
      <c r="L1723" s="23" t="s">
        <v>6</v>
      </c>
    </row>
    <row r="1724" spans="1:12" ht="15.75">
      <c r="A1724" s="23">
        <f t="shared" si="27"/>
        <v>1711</v>
      </c>
      <c r="B1724" s="21">
        <f ca="1">Master[[#This Row],[ChecklistID]]+Master[[#This Row],[Checklist Order]]</f>
        <v>156008</v>
      </c>
      <c r="C1724" s="22"/>
      <c r="D1724" s="23" t="str" cm="1">
        <f t="array" aca="1" ref="D1724" ca="1">_xlfn.SWITCH(MID(Master[[#This Row],[Checklist]],1,4),"C - ","Civil","F - ","Foundation","ST -","Structure","FC -","Façade","PRE ","Pre-Line","POST","Post-Line","H - ","Handover","S - ","Services","CST ","Completion Docs", "I - ", "Inspection")</f>
        <v>Structure</v>
      </c>
      <c r="E17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4" s="24" t="str">
        <f ca="1">IF(OR(Master[[#This Row],[Type]]="checklist", Master[[#This Row],[Type]]="checklist-flat"), Master[[#This Row],[Name]], F1723)</f>
        <v>ST - S - Sarnafil</v>
      </c>
      <c r="G1724" s="34" t="s">
        <v>49</v>
      </c>
      <c r="H1724" s="34" t="s">
        <v>812</v>
      </c>
      <c r="I1724" s="35"/>
      <c r="J1724" s="21">
        <f ca="1">_xlfn.XLOOKUP(Master[[#This Row],[Checklist]],Ref!A:A,Ref!B:B)*1000</f>
        <v>156000</v>
      </c>
      <c r="K1724" s="21">
        <f ca="1">COUNTIF($J$2:Master[[#This Row],[ChecklistID]],Master[[#This Row],[ChecklistID]])-1</f>
        <v>8</v>
      </c>
      <c r="L1724" s="23" t="s">
        <v>6</v>
      </c>
    </row>
    <row r="1725" spans="1:12" ht="15.75">
      <c r="A1725" s="23">
        <f t="shared" si="27"/>
        <v>1712</v>
      </c>
      <c r="B1725" s="21">
        <f ca="1">Master[[#This Row],[ChecklistID]]+Master[[#This Row],[Checklist Order]]</f>
        <v>156009</v>
      </c>
      <c r="C1725" s="22"/>
      <c r="D1725" s="23" t="str" cm="1">
        <f t="array" aca="1" ref="D1725" ca="1">_xlfn.SWITCH(MID(Master[[#This Row],[Checklist]],1,4),"C - ","Civil","F - ","Foundation","ST -","Structure","FC -","Façade","PRE ","Pre-Line","POST","Post-Line","H - ","Handover","S - ","Services","CST ","Completion Docs", "I - ", "Inspection")</f>
        <v>Structure</v>
      </c>
      <c r="E17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5" s="24" t="str">
        <f ca="1">IF(OR(Master[[#This Row],[Type]]="checklist", Master[[#This Row],[Type]]="checklist-flat"), Master[[#This Row],[Name]], F1724)</f>
        <v>ST - S - Sarnafil</v>
      </c>
      <c r="G1725" s="34" t="s">
        <v>49</v>
      </c>
      <c r="H1725" s="34" t="s">
        <v>813</v>
      </c>
      <c r="I1725" s="35"/>
      <c r="J1725" s="21">
        <f ca="1">_xlfn.XLOOKUP(Master[[#This Row],[Checklist]],Ref!A:A,Ref!B:B)*1000</f>
        <v>156000</v>
      </c>
      <c r="K1725" s="21">
        <f ca="1">COUNTIF($J$2:Master[[#This Row],[ChecklistID]],Master[[#This Row],[ChecklistID]])-1</f>
        <v>9</v>
      </c>
      <c r="L1725" s="23" t="s">
        <v>6</v>
      </c>
    </row>
    <row r="1726" spans="1:12" ht="15.75">
      <c r="A1726" s="23">
        <f t="shared" si="27"/>
        <v>1713</v>
      </c>
      <c r="B1726" s="21">
        <f ca="1">Master[[#This Row],[ChecklistID]]+Master[[#This Row],[Checklist Order]]</f>
        <v>156010</v>
      </c>
      <c r="C1726" s="22"/>
      <c r="D1726" s="23" t="str" cm="1">
        <f t="array" aca="1" ref="D1726" ca="1">_xlfn.SWITCH(MID(Master[[#This Row],[Checklist]],1,4),"C - ","Civil","F - ","Foundation","ST -","Structure","FC -","Façade","PRE ","Pre-Line","POST","Post-Line","H - ","Handover","S - ","Services","CST ","Completion Docs", "I - ", "Inspection")</f>
        <v>Structure</v>
      </c>
      <c r="E17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6" s="24" t="str">
        <f ca="1">IF(OR(Master[[#This Row],[Type]]="checklist", Master[[#This Row],[Type]]="checklist-flat"), Master[[#This Row],[Name]], F1725)</f>
        <v>ST - S - Sarnafil</v>
      </c>
      <c r="G1726" s="34" t="s">
        <v>120</v>
      </c>
      <c r="H1726" s="34" t="s">
        <v>814</v>
      </c>
      <c r="I1726" s="35"/>
      <c r="J1726" s="21">
        <f ca="1">_xlfn.XLOOKUP(Master[[#This Row],[Checklist]],Ref!A:A,Ref!B:B)*1000</f>
        <v>156000</v>
      </c>
      <c r="K1726" s="21">
        <f ca="1">COUNTIF($J$2:Master[[#This Row],[ChecklistID]],Master[[#This Row],[ChecklistID]])-1</f>
        <v>10</v>
      </c>
      <c r="L1726" s="23" t="s">
        <v>6</v>
      </c>
    </row>
    <row r="1727" spans="1:12" ht="15.75">
      <c r="A1727" s="23">
        <f t="shared" si="27"/>
        <v>1714</v>
      </c>
      <c r="B1727" s="21">
        <f ca="1">Master[[#This Row],[ChecklistID]]+Master[[#This Row],[Checklist Order]]</f>
        <v>156011</v>
      </c>
      <c r="C1727" s="22"/>
      <c r="D1727" s="23" t="str" cm="1">
        <f t="array" aca="1" ref="D1727" ca="1">_xlfn.SWITCH(MID(Master[[#This Row],[Checklist]],1,4),"C - ","Civil","F - ","Foundation","ST -","Structure","FC -","Façade","PRE ","Pre-Line","POST","Post-Line","H - ","Handover","S - ","Services","CST ","Completion Docs", "I - ", "Inspection")</f>
        <v>Structure</v>
      </c>
      <c r="E17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7" s="24" t="str">
        <f ca="1">IF(OR(Master[[#This Row],[Type]]="checklist", Master[[#This Row],[Type]]="checklist-flat"), Master[[#This Row],[Name]], F1726)</f>
        <v>ST - S - Sarnafil</v>
      </c>
      <c r="G1727" s="34" t="s">
        <v>49</v>
      </c>
      <c r="H1727" s="34" t="s">
        <v>806</v>
      </c>
      <c r="I1727" s="35"/>
      <c r="J1727" s="21">
        <f ca="1">_xlfn.XLOOKUP(Master[[#This Row],[Checklist]],Ref!A:A,Ref!B:B)*1000</f>
        <v>156000</v>
      </c>
      <c r="K1727" s="21">
        <f ca="1">COUNTIF($J$2:Master[[#This Row],[ChecklistID]],Master[[#This Row],[ChecklistID]])-1</f>
        <v>11</v>
      </c>
      <c r="L1727" s="23" t="s">
        <v>6</v>
      </c>
    </row>
    <row r="1728" spans="1:12" ht="15.75">
      <c r="A1728" s="23">
        <f t="shared" si="27"/>
        <v>1715</v>
      </c>
      <c r="B1728" s="21">
        <f ca="1">Master[[#This Row],[ChecklistID]]+Master[[#This Row],[Checklist Order]]</f>
        <v>156012</v>
      </c>
      <c r="C1728" s="22"/>
      <c r="D1728" s="23" t="str" cm="1">
        <f t="array" aca="1" ref="D1728" ca="1">_xlfn.SWITCH(MID(Master[[#This Row],[Checklist]],1,4),"C - ","Civil","F - ","Foundation","ST -","Structure","FC -","Façade","PRE ","Pre-Line","POST","Post-Line","H - ","Handover","S - ","Services","CST ","Completion Docs", "I - ", "Inspection")</f>
        <v>Structure</v>
      </c>
      <c r="E17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8" s="24" t="str">
        <f ca="1">IF(OR(Master[[#This Row],[Type]]="checklist", Master[[#This Row],[Type]]="checklist-flat"), Master[[#This Row],[Name]], F1727)</f>
        <v>ST - S - Sarnafil</v>
      </c>
      <c r="G1728" s="34" t="s">
        <v>49</v>
      </c>
      <c r="H1728" s="34" t="s">
        <v>815</v>
      </c>
      <c r="I1728" s="35"/>
      <c r="J1728" s="21">
        <f ca="1">_xlfn.XLOOKUP(Master[[#This Row],[Checklist]],Ref!A:A,Ref!B:B)*1000</f>
        <v>156000</v>
      </c>
      <c r="K1728" s="21">
        <f ca="1">COUNTIF($J$2:Master[[#This Row],[ChecklistID]],Master[[#This Row],[ChecklistID]])-1</f>
        <v>12</v>
      </c>
      <c r="L1728" s="23" t="s">
        <v>6</v>
      </c>
    </row>
    <row r="1729" spans="1:12" ht="15.75">
      <c r="A1729" s="23">
        <f t="shared" si="27"/>
        <v>1716</v>
      </c>
      <c r="B1729" s="21">
        <f ca="1">Master[[#This Row],[ChecklistID]]+Master[[#This Row],[Checklist Order]]</f>
        <v>156013</v>
      </c>
      <c r="C1729" s="22"/>
      <c r="D1729" s="23" t="str" cm="1">
        <f t="array" aca="1" ref="D1729" ca="1">_xlfn.SWITCH(MID(Master[[#This Row],[Checklist]],1,4),"C - ","Civil","F - ","Foundation","ST -","Structure","FC -","Façade","PRE ","Pre-Line","POST","Post-Line","H - ","Handover","S - ","Services","CST ","Completion Docs", "I - ", "Inspection")</f>
        <v>Structure</v>
      </c>
      <c r="E17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29" s="24" t="str">
        <f ca="1">IF(OR(Master[[#This Row],[Type]]="checklist", Master[[#This Row],[Type]]="checklist-flat"), Master[[#This Row],[Name]], F1728)</f>
        <v>ST - S - Sarnafil</v>
      </c>
      <c r="G1729" s="34" t="s">
        <v>49</v>
      </c>
      <c r="H1729" s="34" t="s">
        <v>816</v>
      </c>
      <c r="I1729" s="35"/>
      <c r="J1729" s="21">
        <f ca="1">_xlfn.XLOOKUP(Master[[#This Row],[Checklist]],Ref!A:A,Ref!B:B)*1000</f>
        <v>156000</v>
      </c>
      <c r="K1729" s="21">
        <f ca="1">COUNTIF($J$2:Master[[#This Row],[ChecklistID]],Master[[#This Row],[ChecklistID]])-1</f>
        <v>13</v>
      </c>
      <c r="L1729" s="23" t="s">
        <v>6</v>
      </c>
    </row>
    <row r="1730" spans="1:12" ht="15.75">
      <c r="A1730" s="23">
        <f t="shared" si="27"/>
        <v>1717</v>
      </c>
      <c r="B1730" s="21">
        <f ca="1">Master[[#This Row],[ChecklistID]]+Master[[#This Row],[Checklist Order]]</f>
        <v>156014</v>
      </c>
      <c r="C1730" s="22"/>
      <c r="D1730" s="23" t="str" cm="1">
        <f t="array" aca="1" ref="D1730" ca="1">_xlfn.SWITCH(MID(Master[[#This Row],[Checklist]],1,4),"C - ","Civil","F - ","Foundation","ST -","Structure","FC -","Façade","PRE ","Pre-Line","POST","Post-Line","H - ","Handover","S - ","Services","CST ","Completion Docs", "I - ", "Inspection")</f>
        <v>Structure</v>
      </c>
      <c r="E17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0" s="24" t="str">
        <f ca="1">IF(OR(Master[[#This Row],[Type]]="checklist", Master[[#This Row],[Type]]="checklist-flat"), Master[[#This Row],[Name]], F1729)</f>
        <v>ST - S - Sarnafil</v>
      </c>
      <c r="G1730" s="34" t="s">
        <v>49</v>
      </c>
      <c r="H1730" s="34" t="s">
        <v>817</v>
      </c>
      <c r="I1730" s="35"/>
      <c r="J1730" s="21">
        <f ca="1">_xlfn.XLOOKUP(Master[[#This Row],[Checklist]],Ref!A:A,Ref!B:B)*1000</f>
        <v>156000</v>
      </c>
      <c r="K1730" s="21">
        <f ca="1">COUNTIF($J$2:Master[[#This Row],[ChecklistID]],Master[[#This Row],[ChecklistID]])-1</f>
        <v>14</v>
      </c>
      <c r="L1730" s="23" t="s">
        <v>6</v>
      </c>
    </row>
    <row r="1731" spans="1:12" ht="15.75">
      <c r="A1731" s="23">
        <f t="shared" si="27"/>
        <v>1718</v>
      </c>
      <c r="B1731" s="21">
        <f ca="1">Master[[#This Row],[ChecklistID]]+Master[[#This Row],[Checklist Order]]</f>
        <v>156015</v>
      </c>
      <c r="C1731" s="22"/>
      <c r="D1731" s="23" t="str" cm="1">
        <f t="array" aca="1" ref="D1731" ca="1">_xlfn.SWITCH(MID(Master[[#This Row],[Checklist]],1,4),"C - ","Civil","F - ","Foundation","ST -","Structure","FC -","Façade","PRE ","Pre-Line","POST","Post-Line","H - ","Handover","S - ","Services","CST ","Completion Docs", "I - ", "Inspection")</f>
        <v>Structure</v>
      </c>
      <c r="E17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1" s="24" t="str">
        <f ca="1">IF(OR(Master[[#This Row],[Type]]="checklist", Master[[#This Row],[Type]]="checklist-flat"), Master[[#This Row],[Name]], F1730)</f>
        <v>ST - S - Sarnafil</v>
      </c>
      <c r="G1731" s="34" t="s">
        <v>49</v>
      </c>
      <c r="H1731" s="34" t="s">
        <v>818</v>
      </c>
      <c r="I1731" s="35"/>
      <c r="J1731" s="21">
        <f ca="1">_xlfn.XLOOKUP(Master[[#This Row],[Checklist]],Ref!A:A,Ref!B:B)*1000</f>
        <v>156000</v>
      </c>
      <c r="K1731" s="21">
        <f ca="1">COUNTIF($J$2:Master[[#This Row],[ChecklistID]],Master[[#This Row],[ChecklistID]])-1</f>
        <v>15</v>
      </c>
      <c r="L1731" s="23" t="s">
        <v>6</v>
      </c>
    </row>
    <row r="1732" spans="1:12" ht="15.75">
      <c r="A1732" s="23">
        <f t="shared" si="27"/>
        <v>1719</v>
      </c>
      <c r="B1732" s="21">
        <f ca="1">Master[[#This Row],[ChecklistID]]+Master[[#This Row],[Checklist Order]]</f>
        <v>156016</v>
      </c>
      <c r="C1732" s="22"/>
      <c r="D1732" s="23" t="str" cm="1">
        <f t="array" aca="1" ref="D1732" ca="1">_xlfn.SWITCH(MID(Master[[#This Row],[Checklist]],1,4),"C - ","Civil","F - ","Foundation","ST -","Structure","FC -","Façade","PRE ","Pre-Line","POST","Post-Line","H - ","Handover","S - ","Services","CST ","Completion Docs", "I - ", "Inspection")</f>
        <v>Structure</v>
      </c>
      <c r="E17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2" s="24" t="str">
        <f ca="1">IF(OR(Master[[#This Row],[Type]]="checklist", Master[[#This Row],[Type]]="checklist-flat"), Master[[#This Row],[Name]], F1731)</f>
        <v>ST - S - Sarnafil</v>
      </c>
      <c r="G1732" s="34" t="s">
        <v>49</v>
      </c>
      <c r="H1732" s="34" t="s">
        <v>819</v>
      </c>
      <c r="I1732" s="35"/>
      <c r="J1732" s="21">
        <f ca="1">_xlfn.XLOOKUP(Master[[#This Row],[Checklist]],Ref!A:A,Ref!B:B)*1000</f>
        <v>156000</v>
      </c>
      <c r="K1732" s="21">
        <f ca="1">COUNTIF($J$2:Master[[#This Row],[ChecklistID]],Master[[#This Row],[ChecklistID]])-1</f>
        <v>16</v>
      </c>
      <c r="L1732" s="23" t="s">
        <v>6</v>
      </c>
    </row>
    <row r="1733" spans="1:12" ht="15.75">
      <c r="A1733" s="23">
        <f t="shared" si="27"/>
        <v>1720</v>
      </c>
      <c r="B1733" s="21">
        <f ca="1">Master[[#This Row],[ChecklistID]]+Master[[#This Row],[Checklist Order]]</f>
        <v>156017</v>
      </c>
      <c r="C1733" s="22"/>
      <c r="D1733" s="23" t="str" cm="1">
        <f t="array" aca="1" ref="D1733" ca="1">_xlfn.SWITCH(MID(Master[[#This Row],[Checklist]],1,4),"C - ","Civil","F - ","Foundation","ST -","Structure","FC -","Façade","PRE ","Pre-Line","POST","Post-Line","H - ","Handover","S - ","Services","CST ","Completion Docs", "I - ", "Inspection")</f>
        <v>Structure</v>
      </c>
      <c r="E17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3" s="24" t="str">
        <f ca="1">IF(OR(Master[[#This Row],[Type]]="checklist", Master[[#This Row],[Type]]="checklist-flat"), Master[[#This Row],[Name]], F1732)</f>
        <v>ST - S - Sarnafil</v>
      </c>
      <c r="G1733" s="34" t="s">
        <v>49</v>
      </c>
      <c r="H1733" s="34" t="s">
        <v>820</v>
      </c>
      <c r="I1733" s="35"/>
      <c r="J1733" s="21">
        <f ca="1">_xlfn.XLOOKUP(Master[[#This Row],[Checklist]],Ref!A:A,Ref!B:B)*1000</f>
        <v>156000</v>
      </c>
      <c r="K1733" s="21">
        <f ca="1">COUNTIF($J$2:Master[[#This Row],[ChecklistID]],Master[[#This Row],[ChecklistID]])-1</f>
        <v>17</v>
      </c>
      <c r="L1733" s="23" t="s">
        <v>6</v>
      </c>
    </row>
    <row r="1734" spans="1:12" ht="15.75">
      <c r="A1734" s="23">
        <f t="shared" si="27"/>
        <v>1721</v>
      </c>
      <c r="B1734" s="21">
        <f ca="1">Master[[#This Row],[ChecklistID]]+Master[[#This Row],[Checklist Order]]</f>
        <v>156018</v>
      </c>
      <c r="C1734" s="22"/>
      <c r="D1734" s="23" t="str" cm="1">
        <f t="array" aca="1" ref="D1734" ca="1">_xlfn.SWITCH(MID(Master[[#This Row],[Checklist]],1,4),"C - ","Civil","F - ","Foundation","ST -","Structure","FC -","Façade","PRE ","Pre-Line","POST","Post-Line","H - ","Handover","S - ","Services","CST ","Completion Docs", "I - ", "Inspection")</f>
        <v>Structure</v>
      </c>
      <c r="E17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4" s="24" t="str">
        <f ca="1">IF(OR(Master[[#This Row],[Type]]="checklist", Master[[#This Row],[Type]]="checklist-flat"), Master[[#This Row],[Name]], F1733)</f>
        <v>ST - S - Sarnafil</v>
      </c>
      <c r="G1734" s="34" t="s">
        <v>49</v>
      </c>
      <c r="H1734" s="34" t="s">
        <v>813</v>
      </c>
      <c r="I1734" s="35"/>
      <c r="J1734" s="21">
        <f ca="1">_xlfn.XLOOKUP(Master[[#This Row],[Checklist]],Ref!A:A,Ref!B:B)*1000</f>
        <v>156000</v>
      </c>
      <c r="K1734" s="21">
        <f ca="1">COUNTIF($J$2:Master[[#This Row],[ChecklistID]],Master[[#This Row],[ChecklistID]])-1</f>
        <v>18</v>
      </c>
      <c r="L1734" s="23" t="s">
        <v>6</v>
      </c>
    </row>
    <row r="1735" spans="1:12" ht="15.75">
      <c r="A1735" s="23">
        <f t="shared" si="27"/>
        <v>1722</v>
      </c>
      <c r="B1735" s="21">
        <f ca="1">Master[[#This Row],[ChecklistID]]+Master[[#This Row],[Checklist Order]]</f>
        <v>156019</v>
      </c>
      <c r="C1735" s="22"/>
      <c r="D1735" s="23" t="str" cm="1">
        <f t="array" aca="1" ref="D1735" ca="1">_xlfn.SWITCH(MID(Master[[#This Row],[Checklist]],1,4),"C - ","Civil","F - ","Foundation","ST -","Structure","FC -","Façade","PRE ","Pre-Line","POST","Post-Line","H - ","Handover","S - ","Services","CST ","Completion Docs", "I - ", "Inspection")</f>
        <v>Structure</v>
      </c>
      <c r="E17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5" s="24" t="str">
        <f ca="1">IF(OR(Master[[#This Row],[Type]]="checklist", Master[[#This Row],[Type]]="checklist-flat"), Master[[#This Row],[Name]], F1734)</f>
        <v>ST - S - Sarnafil</v>
      </c>
      <c r="G1735" s="34" t="s">
        <v>120</v>
      </c>
      <c r="H1735" s="34" t="s">
        <v>821</v>
      </c>
      <c r="I1735" s="35"/>
      <c r="J1735" s="21">
        <f ca="1">_xlfn.XLOOKUP(Master[[#This Row],[Checklist]],Ref!A:A,Ref!B:B)*1000</f>
        <v>156000</v>
      </c>
      <c r="K1735" s="21">
        <f ca="1">COUNTIF($J$2:Master[[#This Row],[ChecklistID]],Master[[#This Row],[ChecklistID]])-1</f>
        <v>19</v>
      </c>
      <c r="L1735" s="23" t="s">
        <v>6</v>
      </c>
    </row>
    <row r="1736" spans="1:12" ht="15.75">
      <c r="A1736" s="23">
        <f t="shared" si="27"/>
        <v>1723</v>
      </c>
      <c r="B1736" s="21">
        <f ca="1">Master[[#This Row],[ChecklistID]]+Master[[#This Row],[Checklist Order]]</f>
        <v>156020</v>
      </c>
      <c r="C1736" s="22"/>
      <c r="D1736" s="23" t="str" cm="1">
        <f t="array" aca="1" ref="D1736" ca="1">_xlfn.SWITCH(MID(Master[[#This Row],[Checklist]],1,4),"C - ","Civil","F - ","Foundation","ST -","Structure","FC -","Façade","PRE ","Pre-Line","POST","Post-Line","H - ","Handover","S - ","Services","CST ","Completion Docs", "I - ", "Inspection")</f>
        <v>Structure</v>
      </c>
      <c r="E17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6" s="24" t="str">
        <f ca="1">IF(OR(Master[[#This Row],[Type]]="checklist", Master[[#This Row],[Type]]="checklist-flat"), Master[[#This Row],[Name]], F1735)</f>
        <v>ST - S - Sarnafil</v>
      </c>
      <c r="G1736" s="34" t="s">
        <v>49</v>
      </c>
      <c r="H1736" s="34" t="s">
        <v>822</v>
      </c>
      <c r="I1736" s="35"/>
      <c r="J1736" s="21">
        <f ca="1">_xlfn.XLOOKUP(Master[[#This Row],[Checklist]],Ref!A:A,Ref!B:B)*1000</f>
        <v>156000</v>
      </c>
      <c r="K1736" s="21">
        <f ca="1">COUNTIF($J$2:Master[[#This Row],[ChecklistID]],Master[[#This Row],[ChecklistID]])-1</f>
        <v>20</v>
      </c>
      <c r="L1736" s="23" t="s">
        <v>6</v>
      </c>
    </row>
    <row r="1737" spans="1:12" ht="15.75">
      <c r="A1737" s="23">
        <f t="shared" si="27"/>
        <v>1724</v>
      </c>
      <c r="B1737" s="21">
        <f ca="1">Master[[#This Row],[ChecklistID]]+Master[[#This Row],[Checklist Order]]</f>
        <v>156021</v>
      </c>
      <c r="C1737" s="22"/>
      <c r="D1737" s="23" t="str" cm="1">
        <f t="array" aca="1" ref="D1737" ca="1">_xlfn.SWITCH(MID(Master[[#This Row],[Checklist]],1,4),"C - ","Civil","F - ","Foundation","ST -","Structure","FC -","Façade","PRE ","Pre-Line","POST","Post-Line","H - ","Handover","S - ","Services","CST ","Completion Docs", "I - ", "Inspection")</f>
        <v>Structure</v>
      </c>
      <c r="E17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7" s="24" t="str">
        <f ca="1">IF(OR(Master[[#This Row],[Type]]="checklist", Master[[#This Row],[Type]]="checklist-flat"), Master[[#This Row],[Name]], F1736)</f>
        <v>ST - S - Sarnafil</v>
      </c>
      <c r="G1737" s="34" t="s">
        <v>49</v>
      </c>
      <c r="H1737" s="34" t="s">
        <v>823</v>
      </c>
      <c r="I1737" s="35"/>
      <c r="J1737" s="21">
        <f ca="1">_xlfn.XLOOKUP(Master[[#This Row],[Checklist]],Ref!A:A,Ref!B:B)*1000</f>
        <v>156000</v>
      </c>
      <c r="K1737" s="21">
        <f ca="1">COUNTIF($J$2:Master[[#This Row],[ChecklistID]],Master[[#This Row],[ChecklistID]])-1</f>
        <v>21</v>
      </c>
      <c r="L1737" s="23" t="s">
        <v>6</v>
      </c>
    </row>
    <row r="1738" spans="1:12" ht="15.75">
      <c r="A1738" s="23">
        <f t="shared" si="27"/>
        <v>1725</v>
      </c>
      <c r="B1738" s="21">
        <f ca="1">Master[[#This Row],[ChecklistID]]+Master[[#This Row],[Checklist Order]]</f>
        <v>156022</v>
      </c>
      <c r="C1738" s="22"/>
      <c r="D1738" s="23" t="str" cm="1">
        <f t="array" aca="1" ref="D1738" ca="1">_xlfn.SWITCH(MID(Master[[#This Row],[Checklist]],1,4),"C - ","Civil","F - ","Foundation","ST -","Structure","FC -","Façade","PRE ","Pre-Line","POST","Post-Line","H - ","Handover","S - ","Services","CST ","Completion Docs", "I - ", "Inspection")</f>
        <v>Structure</v>
      </c>
      <c r="E17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8" s="24" t="str">
        <f ca="1">IF(OR(Master[[#This Row],[Type]]="checklist", Master[[#This Row],[Type]]="checklist-flat"), Master[[#This Row],[Name]], F1737)</f>
        <v>ST - S - Sarnafil</v>
      </c>
      <c r="G1738" s="34" t="s">
        <v>49</v>
      </c>
      <c r="H1738" s="34" t="s">
        <v>57</v>
      </c>
      <c r="I1738" s="35"/>
      <c r="J1738" s="21">
        <f ca="1">_xlfn.XLOOKUP(Master[[#This Row],[Checklist]],Ref!A:A,Ref!B:B)*1000</f>
        <v>156000</v>
      </c>
      <c r="K1738" s="21">
        <f ca="1">COUNTIF($J$2:Master[[#This Row],[ChecklistID]],Master[[#This Row],[ChecklistID]])-1</f>
        <v>22</v>
      </c>
      <c r="L1738" s="23" t="s">
        <v>6</v>
      </c>
    </row>
    <row r="1739" spans="1:12" ht="15.75">
      <c r="A1739" s="23">
        <f t="shared" si="27"/>
        <v>1726</v>
      </c>
      <c r="B1739" s="21">
        <f ca="1">Master[[#This Row],[ChecklistID]]+Master[[#This Row],[Checklist Order]]</f>
        <v>156023</v>
      </c>
      <c r="C1739" s="22"/>
      <c r="D1739" s="23" t="str" cm="1">
        <f t="array" aca="1" ref="D1739" ca="1">_xlfn.SWITCH(MID(Master[[#This Row],[Checklist]],1,4),"C - ","Civil","F - ","Foundation","ST -","Structure","FC -","Façade","PRE ","Pre-Line","POST","Post-Line","H - ","Handover","S - ","Services","CST ","Completion Docs", "I - ", "Inspection")</f>
        <v>Structure</v>
      </c>
      <c r="E17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39" s="24" t="str">
        <f ca="1">IF(OR(Master[[#This Row],[Type]]="checklist", Master[[#This Row],[Type]]="checklist-flat"), Master[[#This Row],[Name]], F1738)</f>
        <v>ST - S - Sarnafil</v>
      </c>
      <c r="G1739" s="34" t="s">
        <v>58</v>
      </c>
      <c r="H1739" s="34" t="s">
        <v>59</v>
      </c>
      <c r="I1739" s="35"/>
      <c r="J1739" s="21">
        <f ca="1">_xlfn.XLOOKUP(Master[[#This Row],[Checklist]],Ref!A:A,Ref!B:B)*1000</f>
        <v>156000</v>
      </c>
      <c r="K1739" s="21">
        <f ca="1">COUNTIF($J$2:Master[[#This Row],[ChecklistID]],Master[[#This Row],[ChecklistID]])-1</f>
        <v>23</v>
      </c>
      <c r="L1739" s="23" t="s">
        <v>6</v>
      </c>
    </row>
    <row r="1740" spans="1:12" ht="15.75">
      <c r="A1740" s="23">
        <f t="shared" si="27"/>
        <v>1727</v>
      </c>
      <c r="B1740" s="21">
        <f ca="1">Master[[#This Row],[ChecklistID]]+Master[[#This Row],[Checklist Order]]</f>
        <v>157000</v>
      </c>
      <c r="C1740" s="22"/>
      <c r="D1740" s="23" t="str" cm="1">
        <f t="array" aca="1" ref="D1740" ca="1">_xlfn.SWITCH(MID(Master[[#This Row],[Checklist]],1,4),"C - ","Civil","F - ","Foundation","ST -","Structure","FC -","Façade","PRE ","Pre-Line","POST","Post-Line","H - ","Handover","S - ","Services","CST ","Completion Docs", "I - ", "Inspection")</f>
        <v>Structure</v>
      </c>
      <c r="E17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0" s="24" t="str">
        <f ca="1">IF(OR(Master[[#This Row],[Type]]="checklist", Master[[#This Row],[Type]]="checklist-flat"), Master[[#This Row],[Name]], F1739)</f>
        <v>ST - S - Concrete Reinforcing</v>
      </c>
      <c r="G1740" s="34" t="s">
        <v>48</v>
      </c>
      <c r="H1740" s="34" t="s">
        <v>824</v>
      </c>
      <c r="I1740" s="35"/>
      <c r="J1740" s="21">
        <f ca="1">_xlfn.XLOOKUP(Master[[#This Row],[Checklist]],Ref!A:A,Ref!B:B)*1000</f>
        <v>157000</v>
      </c>
      <c r="K1740" s="21">
        <f ca="1">COUNTIF($J$2:Master[[#This Row],[ChecklistID]],Master[[#This Row],[ChecklistID]])-1</f>
        <v>0</v>
      </c>
      <c r="L1740" s="23" t="s">
        <v>6</v>
      </c>
    </row>
    <row r="1741" spans="1:12" ht="15.75">
      <c r="A1741" s="23">
        <f t="shared" si="27"/>
        <v>1728</v>
      </c>
      <c r="B1741" s="21">
        <f ca="1">Master[[#This Row],[ChecklistID]]+Master[[#This Row],[Checklist Order]]</f>
        <v>157001</v>
      </c>
      <c r="C1741" s="22"/>
      <c r="D1741" s="23" t="str" cm="1">
        <f t="array" aca="1" ref="D1741" ca="1">_xlfn.SWITCH(MID(Master[[#This Row],[Checklist]],1,4),"C - ","Civil","F - ","Foundation","ST -","Structure","FC -","Façade","PRE ","Pre-Line","POST","Post-Line","H - ","Handover","S - ","Services","CST ","Completion Docs", "I - ", "Inspection")</f>
        <v>Structure</v>
      </c>
      <c r="E17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1" s="24" t="str">
        <f ca="1">IF(OR(Master[[#This Row],[Type]]="checklist", Master[[#This Row],[Type]]="checklist-flat"), Master[[#This Row],[Name]], F1740)</f>
        <v>ST - S - Concrete Reinforcing</v>
      </c>
      <c r="G1741" s="34" t="s">
        <v>49</v>
      </c>
      <c r="H1741" s="34" t="s">
        <v>260</v>
      </c>
      <c r="I1741" s="35"/>
      <c r="J1741" s="21">
        <f ca="1">_xlfn.XLOOKUP(Master[[#This Row],[Checklist]],Ref!A:A,Ref!B:B)*1000</f>
        <v>157000</v>
      </c>
      <c r="K1741" s="21">
        <f ca="1">COUNTIF($J$2:Master[[#This Row],[ChecklistID]],Master[[#This Row],[ChecklistID]])-1</f>
        <v>1</v>
      </c>
      <c r="L1741" s="23" t="s">
        <v>6</v>
      </c>
    </row>
    <row r="1742" spans="1:12" ht="15.75">
      <c r="A1742" s="23">
        <f t="shared" si="27"/>
        <v>1729</v>
      </c>
      <c r="B1742" s="21">
        <f ca="1">Master[[#This Row],[ChecklistID]]+Master[[#This Row],[Checklist Order]]</f>
        <v>157002</v>
      </c>
      <c r="C1742" s="22"/>
      <c r="D1742" s="23" t="str" cm="1">
        <f t="array" aca="1" ref="D1742" ca="1">_xlfn.SWITCH(MID(Master[[#This Row],[Checklist]],1,4),"C - ","Civil","F - ","Foundation","ST -","Structure","FC -","Façade","PRE ","Pre-Line","POST","Post-Line","H - ","Handover","S - ","Services","CST ","Completion Docs", "I - ", "Inspection")</f>
        <v>Structure</v>
      </c>
      <c r="E17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2" s="24" t="str">
        <f ca="1">IF(OR(Master[[#This Row],[Type]]="checklist", Master[[#This Row],[Type]]="checklist-flat"), Master[[#This Row],[Name]], F1741)</f>
        <v>ST - S - Concrete Reinforcing</v>
      </c>
      <c r="G1742" s="34" t="s">
        <v>49</v>
      </c>
      <c r="H1742" s="34" t="s">
        <v>261</v>
      </c>
      <c r="I1742" s="35"/>
      <c r="J1742" s="21">
        <f ca="1">_xlfn.XLOOKUP(Master[[#This Row],[Checklist]],Ref!A:A,Ref!B:B)*1000</f>
        <v>157000</v>
      </c>
      <c r="K1742" s="21">
        <f ca="1">COUNTIF($J$2:Master[[#This Row],[ChecklistID]],Master[[#This Row],[ChecklistID]])-1</f>
        <v>2</v>
      </c>
      <c r="L1742" s="23" t="s">
        <v>6</v>
      </c>
    </row>
    <row r="1743" spans="1:12" ht="15.75">
      <c r="A1743" s="23">
        <f t="shared" si="27"/>
        <v>1730</v>
      </c>
      <c r="B1743" s="21">
        <f ca="1">Master[[#This Row],[ChecklistID]]+Master[[#This Row],[Checklist Order]]</f>
        <v>157003</v>
      </c>
      <c r="C1743" s="22"/>
      <c r="D1743" s="23" t="str" cm="1">
        <f t="array" aca="1" ref="D1743" ca="1">_xlfn.SWITCH(MID(Master[[#This Row],[Checklist]],1,4),"C - ","Civil","F - ","Foundation","ST -","Structure","FC -","Façade","PRE ","Pre-Line","POST","Post-Line","H - ","Handover","S - ","Services","CST ","Completion Docs", "I - ", "Inspection")</f>
        <v>Structure</v>
      </c>
      <c r="E17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3" s="24" t="str">
        <f ca="1">IF(OR(Master[[#This Row],[Type]]="checklist", Master[[#This Row],[Type]]="checklist-flat"), Master[[#This Row],[Name]], F1742)</f>
        <v>ST - S - Concrete Reinforcing</v>
      </c>
      <c r="G1743" s="34" t="s">
        <v>49</v>
      </c>
      <c r="H1743" s="34" t="s">
        <v>262</v>
      </c>
      <c r="I1743" s="35"/>
      <c r="J1743" s="21">
        <f ca="1">_xlfn.XLOOKUP(Master[[#This Row],[Checklist]],Ref!A:A,Ref!B:B)*1000</f>
        <v>157000</v>
      </c>
      <c r="K1743" s="21">
        <f ca="1">COUNTIF($J$2:Master[[#This Row],[ChecklistID]],Master[[#This Row],[ChecklistID]])-1</f>
        <v>3</v>
      </c>
      <c r="L1743" s="23" t="s">
        <v>6</v>
      </c>
    </row>
    <row r="1744" spans="1:12" ht="15.75">
      <c r="A1744" s="23">
        <f t="shared" si="27"/>
        <v>1731</v>
      </c>
      <c r="B1744" s="21">
        <f ca="1">Master[[#This Row],[ChecklistID]]+Master[[#This Row],[Checklist Order]]</f>
        <v>157004</v>
      </c>
      <c r="C1744" s="22"/>
      <c r="D1744" s="23" t="str" cm="1">
        <f t="array" aca="1" ref="D1744" ca="1">_xlfn.SWITCH(MID(Master[[#This Row],[Checklist]],1,4),"C - ","Civil","F - ","Foundation","ST -","Structure","FC -","Façade","PRE ","Pre-Line","POST","Post-Line","H - ","Handover","S - ","Services","CST ","Completion Docs", "I - ", "Inspection")</f>
        <v>Structure</v>
      </c>
      <c r="E17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4" s="24" t="str">
        <f ca="1">IF(OR(Master[[#This Row],[Type]]="checklist", Master[[#This Row],[Type]]="checklist-flat"), Master[[#This Row],[Name]], F1743)</f>
        <v>ST - S - Concrete Reinforcing</v>
      </c>
      <c r="G1744" s="34" t="s">
        <v>49</v>
      </c>
      <c r="H1744" s="34" t="s">
        <v>263</v>
      </c>
      <c r="I1744" s="35"/>
      <c r="J1744" s="21">
        <f ca="1">_xlfn.XLOOKUP(Master[[#This Row],[Checklist]],Ref!A:A,Ref!B:B)*1000</f>
        <v>157000</v>
      </c>
      <c r="K1744" s="21">
        <f ca="1">COUNTIF($J$2:Master[[#This Row],[ChecklistID]],Master[[#This Row],[ChecklistID]])-1</f>
        <v>4</v>
      </c>
      <c r="L1744" s="23" t="s">
        <v>6</v>
      </c>
    </row>
    <row r="1745" spans="1:12" ht="15.75">
      <c r="A1745" s="23">
        <f t="shared" si="27"/>
        <v>1732</v>
      </c>
      <c r="B1745" s="21">
        <f ca="1">Master[[#This Row],[ChecklistID]]+Master[[#This Row],[Checklist Order]]</f>
        <v>157005</v>
      </c>
      <c r="C1745" s="22"/>
      <c r="D1745" s="23" t="str" cm="1">
        <f t="array" aca="1" ref="D1745" ca="1">_xlfn.SWITCH(MID(Master[[#This Row],[Checklist]],1,4),"C - ","Civil","F - ","Foundation","ST -","Structure","FC -","Façade","PRE ","Pre-Line","POST","Post-Line","H - ","Handover","S - ","Services","CST ","Completion Docs", "I - ", "Inspection")</f>
        <v>Structure</v>
      </c>
      <c r="E17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5" s="24" t="str">
        <f ca="1">IF(OR(Master[[#This Row],[Type]]="checklist", Master[[#This Row],[Type]]="checklist-flat"), Master[[#This Row],[Name]], F1744)</f>
        <v>ST - S - Concrete Reinforcing</v>
      </c>
      <c r="G1745" s="34" t="s">
        <v>49</v>
      </c>
      <c r="H1745" s="34" t="s">
        <v>264</v>
      </c>
      <c r="I1745" s="35"/>
      <c r="J1745" s="21">
        <f ca="1">_xlfn.XLOOKUP(Master[[#This Row],[Checklist]],Ref!A:A,Ref!B:B)*1000</f>
        <v>157000</v>
      </c>
      <c r="K1745" s="21">
        <f ca="1">COUNTIF($J$2:Master[[#This Row],[ChecklistID]],Master[[#This Row],[ChecklistID]])-1</f>
        <v>5</v>
      </c>
      <c r="L1745" s="23" t="s">
        <v>6</v>
      </c>
    </row>
    <row r="1746" spans="1:12" ht="15.75">
      <c r="A1746" s="23">
        <f t="shared" si="27"/>
        <v>1733</v>
      </c>
      <c r="B1746" s="21">
        <f ca="1">Master[[#This Row],[ChecklistID]]+Master[[#This Row],[Checklist Order]]</f>
        <v>157006</v>
      </c>
      <c r="C1746" s="22"/>
      <c r="D1746" s="23" t="str" cm="1">
        <f t="array" aca="1" ref="D1746" ca="1">_xlfn.SWITCH(MID(Master[[#This Row],[Checklist]],1,4),"C - ","Civil","F - ","Foundation","ST -","Structure","FC -","Façade","PRE ","Pre-Line","POST","Post-Line","H - ","Handover","S - ","Services","CST ","Completion Docs", "I - ", "Inspection")</f>
        <v>Structure</v>
      </c>
      <c r="E17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6" s="24" t="str">
        <f ca="1">IF(OR(Master[[#This Row],[Type]]="checklist", Master[[#This Row],[Type]]="checklist-flat"), Master[[#This Row],[Name]], F1745)</f>
        <v>ST - S - Concrete Reinforcing</v>
      </c>
      <c r="G1746" s="34" t="s">
        <v>66</v>
      </c>
      <c r="H1746" s="34" t="s">
        <v>265</v>
      </c>
      <c r="I1746" s="35"/>
      <c r="J1746" s="21">
        <f ca="1">_xlfn.XLOOKUP(Master[[#This Row],[Checklist]],Ref!A:A,Ref!B:B)*1000</f>
        <v>157000</v>
      </c>
      <c r="K1746" s="21">
        <f ca="1">COUNTIF($J$2:Master[[#This Row],[ChecklistID]],Master[[#This Row],[ChecklistID]])-1</f>
        <v>6</v>
      </c>
      <c r="L1746" s="23" t="s">
        <v>6</v>
      </c>
    </row>
    <row r="1747" spans="1:12" ht="15.75">
      <c r="A1747" s="23">
        <f t="shared" si="27"/>
        <v>1734</v>
      </c>
      <c r="B1747" s="21">
        <f ca="1">Master[[#This Row],[ChecklistID]]+Master[[#This Row],[Checklist Order]]</f>
        <v>157007</v>
      </c>
      <c r="C1747" s="22"/>
      <c r="D1747" s="23" t="str" cm="1">
        <f t="array" aca="1" ref="D1747" ca="1">_xlfn.SWITCH(MID(Master[[#This Row],[Checklist]],1,4),"C - ","Civil","F - ","Foundation","ST -","Structure","FC -","Façade","PRE ","Pre-Line","POST","Post-Line","H - ","Handover","S - ","Services","CST ","Completion Docs", "I - ", "Inspection")</f>
        <v>Structure</v>
      </c>
      <c r="E17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7" s="24" t="str">
        <f ca="1">IF(OR(Master[[#This Row],[Type]]="checklist", Master[[#This Row],[Type]]="checklist-flat"), Master[[#This Row],[Name]], F1746)</f>
        <v>ST - S - Concrete Reinforcing</v>
      </c>
      <c r="G1747" s="34" t="s">
        <v>66</v>
      </c>
      <c r="H1747" s="34" t="s">
        <v>266</v>
      </c>
      <c r="I1747" s="35"/>
      <c r="J1747" s="21">
        <f ca="1">_xlfn.XLOOKUP(Master[[#This Row],[Checklist]],Ref!A:A,Ref!B:B)*1000</f>
        <v>157000</v>
      </c>
      <c r="K1747" s="21">
        <f ca="1">COUNTIF($J$2:Master[[#This Row],[ChecklistID]],Master[[#This Row],[ChecklistID]])-1</f>
        <v>7</v>
      </c>
      <c r="L1747" s="23" t="s">
        <v>6</v>
      </c>
    </row>
    <row r="1748" spans="1:12" ht="15.75">
      <c r="A1748" s="23">
        <f t="shared" si="27"/>
        <v>1735</v>
      </c>
      <c r="B1748" s="21">
        <f ca="1">Master[[#This Row],[ChecklistID]]+Master[[#This Row],[Checklist Order]]</f>
        <v>157008</v>
      </c>
      <c r="C1748" s="22"/>
      <c r="D1748" s="23" t="str" cm="1">
        <f t="array" aca="1" ref="D1748" ca="1">_xlfn.SWITCH(MID(Master[[#This Row],[Checklist]],1,4),"C - ","Civil","F - ","Foundation","ST -","Structure","FC -","Façade","PRE ","Pre-Line","POST","Post-Line","H - ","Handover","S - ","Services","CST ","Completion Docs", "I - ", "Inspection")</f>
        <v>Structure</v>
      </c>
      <c r="E17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8" s="24" t="str">
        <f ca="1">IF(OR(Master[[#This Row],[Type]]="checklist", Master[[#This Row],[Type]]="checklist-flat"), Master[[#This Row],[Name]], F1747)</f>
        <v>ST - S - Concrete Reinforcing</v>
      </c>
      <c r="G1748" s="34" t="s">
        <v>49</v>
      </c>
      <c r="H1748" s="34" t="s">
        <v>267</v>
      </c>
      <c r="I1748" s="35"/>
      <c r="J1748" s="21">
        <f ca="1">_xlfn.XLOOKUP(Master[[#This Row],[Checklist]],Ref!A:A,Ref!B:B)*1000</f>
        <v>157000</v>
      </c>
      <c r="K1748" s="21">
        <f ca="1">COUNTIF($J$2:Master[[#This Row],[ChecklistID]],Master[[#This Row],[ChecklistID]])-1</f>
        <v>8</v>
      </c>
      <c r="L1748" s="23" t="s">
        <v>6</v>
      </c>
    </row>
    <row r="1749" spans="1:12" ht="15.75">
      <c r="A1749" s="23">
        <f t="shared" si="27"/>
        <v>1736</v>
      </c>
      <c r="B1749" s="21">
        <f ca="1">Master[[#This Row],[ChecklistID]]+Master[[#This Row],[Checklist Order]]</f>
        <v>157009</v>
      </c>
      <c r="C1749" s="22"/>
      <c r="D1749" s="23" t="str" cm="1">
        <f t="array" aca="1" ref="D1749" ca="1">_xlfn.SWITCH(MID(Master[[#This Row],[Checklist]],1,4),"C - ","Civil","F - ","Foundation","ST -","Structure","FC -","Façade","PRE ","Pre-Line","POST","Post-Line","H - ","Handover","S - ","Services","CST ","Completion Docs", "I - ", "Inspection")</f>
        <v>Structure</v>
      </c>
      <c r="E17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49" s="24" t="str">
        <f ca="1">IF(OR(Master[[#This Row],[Type]]="checklist", Master[[#This Row],[Type]]="checklist-flat"), Master[[#This Row],[Name]], F1748)</f>
        <v>ST - S - Concrete Reinforcing</v>
      </c>
      <c r="G1749" s="34" t="s">
        <v>49</v>
      </c>
      <c r="H1749" s="34" t="s">
        <v>268</v>
      </c>
      <c r="I1749" s="35"/>
      <c r="J1749" s="21">
        <f ca="1">_xlfn.XLOOKUP(Master[[#This Row],[Checklist]],Ref!A:A,Ref!B:B)*1000</f>
        <v>157000</v>
      </c>
      <c r="K1749" s="21">
        <f ca="1">COUNTIF($J$2:Master[[#This Row],[ChecklistID]],Master[[#This Row],[ChecklistID]])-1</f>
        <v>9</v>
      </c>
      <c r="L1749" s="23" t="s">
        <v>6</v>
      </c>
    </row>
    <row r="1750" spans="1:12" ht="15.75">
      <c r="A1750" s="23">
        <f t="shared" si="27"/>
        <v>1737</v>
      </c>
      <c r="B1750" s="21">
        <f ca="1">Master[[#This Row],[ChecklistID]]+Master[[#This Row],[Checklist Order]]</f>
        <v>157010</v>
      </c>
      <c r="C1750" s="22"/>
      <c r="D1750" s="23" t="str" cm="1">
        <f t="array" aca="1" ref="D1750" ca="1">_xlfn.SWITCH(MID(Master[[#This Row],[Checklist]],1,4),"C - ","Civil","F - ","Foundation","ST -","Structure","FC -","Façade","PRE ","Pre-Line","POST","Post-Line","H - ","Handover","S - ","Services","CST ","Completion Docs", "I - ", "Inspection")</f>
        <v>Structure</v>
      </c>
      <c r="E17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0" s="24" t="str">
        <f ca="1">IF(OR(Master[[#This Row],[Type]]="checklist", Master[[#This Row],[Type]]="checklist-flat"), Master[[#This Row],[Name]], F1749)</f>
        <v>ST - S - Concrete Reinforcing</v>
      </c>
      <c r="G1750" s="34" t="s">
        <v>49</v>
      </c>
      <c r="H1750" s="34" t="s">
        <v>269</v>
      </c>
      <c r="I1750" s="35"/>
      <c r="J1750" s="21">
        <f ca="1">_xlfn.XLOOKUP(Master[[#This Row],[Checklist]],Ref!A:A,Ref!B:B)*1000</f>
        <v>157000</v>
      </c>
      <c r="K1750" s="21">
        <f ca="1">COUNTIF($J$2:Master[[#This Row],[ChecklistID]],Master[[#This Row],[ChecklistID]])-1</f>
        <v>10</v>
      </c>
      <c r="L1750" s="23" t="s">
        <v>6</v>
      </c>
    </row>
    <row r="1751" spans="1:12" ht="15.75">
      <c r="A1751" s="23">
        <f t="shared" si="27"/>
        <v>1738</v>
      </c>
      <c r="B1751" s="21">
        <f ca="1">Master[[#This Row],[ChecklistID]]+Master[[#This Row],[Checklist Order]]</f>
        <v>157011</v>
      </c>
      <c r="C1751" s="22"/>
      <c r="D1751" s="23" t="str" cm="1">
        <f t="array" aca="1" ref="D1751" ca="1">_xlfn.SWITCH(MID(Master[[#This Row],[Checklist]],1,4),"C - ","Civil","F - ","Foundation","ST -","Structure","FC -","Façade","PRE ","Pre-Line","POST","Post-Line","H - ","Handover","S - ","Services","CST ","Completion Docs", "I - ", "Inspection")</f>
        <v>Structure</v>
      </c>
      <c r="E17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1" s="24" t="str">
        <f ca="1">IF(OR(Master[[#This Row],[Type]]="checklist", Master[[#This Row],[Type]]="checklist-flat"), Master[[#This Row],[Name]], F1750)</f>
        <v>ST - S - Concrete Reinforcing</v>
      </c>
      <c r="G1751" s="34" t="s">
        <v>49</v>
      </c>
      <c r="H1751" s="34" t="s">
        <v>270</v>
      </c>
      <c r="I1751" s="35"/>
      <c r="J1751" s="21">
        <f ca="1">_xlfn.XLOOKUP(Master[[#This Row],[Checklist]],Ref!A:A,Ref!B:B)*1000</f>
        <v>157000</v>
      </c>
      <c r="K1751" s="21">
        <f ca="1">COUNTIF($J$2:Master[[#This Row],[ChecklistID]],Master[[#This Row],[ChecklistID]])-1</f>
        <v>11</v>
      </c>
      <c r="L1751" s="23" t="s">
        <v>6</v>
      </c>
    </row>
    <row r="1752" spans="1:12" ht="15.75">
      <c r="A1752" s="23">
        <f t="shared" si="27"/>
        <v>1739</v>
      </c>
      <c r="B1752" s="21">
        <f ca="1">Master[[#This Row],[ChecklistID]]+Master[[#This Row],[Checklist Order]]</f>
        <v>157012</v>
      </c>
      <c r="C1752" s="22"/>
      <c r="D1752" s="23" t="str" cm="1">
        <f t="array" aca="1" ref="D1752" ca="1">_xlfn.SWITCH(MID(Master[[#This Row],[Checklist]],1,4),"C - ","Civil","F - ","Foundation","ST -","Structure","FC -","Façade","PRE ","Pre-Line","POST","Post-Line","H - ","Handover","S - ","Services","CST ","Completion Docs", "I - ", "Inspection")</f>
        <v>Structure</v>
      </c>
      <c r="E17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2" s="24" t="str">
        <f ca="1">IF(OR(Master[[#This Row],[Type]]="checklist", Master[[#This Row],[Type]]="checklist-flat"), Master[[#This Row],[Name]], F1751)</f>
        <v>ST - S - Concrete Reinforcing</v>
      </c>
      <c r="G1752" s="34" t="s">
        <v>49</v>
      </c>
      <c r="H1752" s="34" t="s">
        <v>271</v>
      </c>
      <c r="I1752" s="35"/>
      <c r="J1752" s="21">
        <f ca="1">_xlfn.XLOOKUP(Master[[#This Row],[Checklist]],Ref!A:A,Ref!B:B)*1000</f>
        <v>157000</v>
      </c>
      <c r="K1752" s="21">
        <f ca="1">COUNTIF($J$2:Master[[#This Row],[ChecklistID]],Master[[#This Row],[ChecklistID]])-1</f>
        <v>12</v>
      </c>
      <c r="L1752" s="23" t="s">
        <v>6</v>
      </c>
    </row>
    <row r="1753" spans="1:12" ht="15.75">
      <c r="A1753" s="23">
        <f t="shared" si="27"/>
        <v>1740</v>
      </c>
      <c r="B1753" s="21">
        <f ca="1">Master[[#This Row],[ChecklistID]]+Master[[#This Row],[Checklist Order]]</f>
        <v>157013</v>
      </c>
      <c r="C1753" s="22"/>
      <c r="D1753" s="23" t="str" cm="1">
        <f t="array" aca="1" ref="D1753" ca="1">_xlfn.SWITCH(MID(Master[[#This Row],[Checklist]],1,4),"C - ","Civil","F - ","Foundation","ST -","Structure","FC -","Façade","PRE ","Pre-Line","POST","Post-Line","H - ","Handover","S - ","Services","CST ","Completion Docs", "I - ", "Inspection")</f>
        <v>Structure</v>
      </c>
      <c r="E17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3" s="24" t="str">
        <f ca="1">IF(OR(Master[[#This Row],[Type]]="checklist", Master[[#This Row],[Type]]="checklist-flat"), Master[[#This Row],[Name]], F1752)</f>
        <v>ST - S - Concrete Reinforcing</v>
      </c>
      <c r="G1753" s="34" t="s">
        <v>49</v>
      </c>
      <c r="H1753" s="34" t="s">
        <v>272</v>
      </c>
      <c r="I1753" s="35"/>
      <c r="J1753" s="21">
        <f ca="1">_xlfn.XLOOKUP(Master[[#This Row],[Checklist]],Ref!A:A,Ref!B:B)*1000</f>
        <v>157000</v>
      </c>
      <c r="K1753" s="21">
        <f ca="1">COUNTIF($J$2:Master[[#This Row],[ChecklistID]],Master[[#This Row],[ChecklistID]])-1</f>
        <v>13</v>
      </c>
      <c r="L1753" s="23" t="s">
        <v>6</v>
      </c>
    </row>
    <row r="1754" spans="1:12" ht="15.75">
      <c r="A1754" s="23">
        <f t="shared" si="27"/>
        <v>1741</v>
      </c>
      <c r="B1754" s="21">
        <f ca="1">Master[[#This Row],[ChecklistID]]+Master[[#This Row],[Checklist Order]]</f>
        <v>157014</v>
      </c>
      <c r="C1754" s="22"/>
      <c r="D1754" s="23" t="str" cm="1">
        <f t="array" aca="1" ref="D1754" ca="1">_xlfn.SWITCH(MID(Master[[#This Row],[Checklist]],1,4),"C - ","Civil","F - ","Foundation","ST -","Structure","FC -","Façade","PRE ","Pre-Line","POST","Post-Line","H - ","Handover","S - ","Services","CST ","Completion Docs", "I - ", "Inspection")</f>
        <v>Structure</v>
      </c>
      <c r="E17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4" s="24" t="str">
        <f ca="1">IF(OR(Master[[#This Row],[Type]]="checklist", Master[[#This Row],[Type]]="checklist-flat"), Master[[#This Row],[Name]], F1753)</f>
        <v>ST - S - Concrete Reinforcing</v>
      </c>
      <c r="G1754" s="34" t="s">
        <v>49</v>
      </c>
      <c r="H1754" s="34" t="s">
        <v>57</v>
      </c>
      <c r="I1754" s="35"/>
      <c r="J1754" s="21">
        <f ca="1">_xlfn.XLOOKUP(Master[[#This Row],[Checklist]],Ref!A:A,Ref!B:B)*1000</f>
        <v>157000</v>
      </c>
      <c r="K1754" s="21">
        <f ca="1">COUNTIF($J$2:Master[[#This Row],[ChecklistID]],Master[[#This Row],[ChecklistID]])-1</f>
        <v>14</v>
      </c>
      <c r="L1754" s="23" t="s">
        <v>6</v>
      </c>
    </row>
    <row r="1755" spans="1:12" ht="15.75">
      <c r="A1755" s="23">
        <f t="shared" si="27"/>
        <v>1742</v>
      </c>
      <c r="B1755" s="21">
        <f ca="1">Master[[#This Row],[ChecklistID]]+Master[[#This Row],[Checklist Order]]</f>
        <v>157015</v>
      </c>
      <c r="C1755" s="22"/>
      <c r="D1755" s="23" t="str" cm="1">
        <f t="array" aca="1" ref="D1755" ca="1">_xlfn.SWITCH(MID(Master[[#This Row],[Checklist]],1,4),"C - ","Civil","F - ","Foundation","ST -","Structure","FC -","Façade","PRE ","Pre-Line","POST","Post-Line","H - ","Handover","S - ","Services","CST ","Completion Docs", "I - ", "Inspection")</f>
        <v>Structure</v>
      </c>
      <c r="E17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5" s="24" t="str">
        <f ca="1">IF(OR(Master[[#This Row],[Type]]="checklist", Master[[#This Row],[Type]]="checklist-flat"), Master[[#This Row],[Name]], F1754)</f>
        <v>ST - S - Concrete Reinforcing</v>
      </c>
      <c r="G1755" s="34" t="s">
        <v>58</v>
      </c>
      <c r="H1755" s="34" t="s">
        <v>59</v>
      </c>
      <c r="I1755" s="35"/>
      <c r="J1755" s="21">
        <f ca="1">_xlfn.XLOOKUP(Master[[#This Row],[Checklist]],Ref!A:A,Ref!B:B)*1000</f>
        <v>157000</v>
      </c>
      <c r="K1755" s="21">
        <f ca="1">COUNTIF($J$2:Master[[#This Row],[ChecklistID]],Master[[#This Row],[ChecklistID]])-1</f>
        <v>15</v>
      </c>
      <c r="L1755" s="23" t="s">
        <v>6</v>
      </c>
    </row>
    <row r="1756" spans="1:12" ht="15.75">
      <c r="A1756" s="23">
        <f t="shared" si="27"/>
        <v>1743</v>
      </c>
      <c r="B1756" s="21">
        <f ca="1">Master[[#This Row],[ChecklistID]]+Master[[#This Row],[Checklist Order]]</f>
        <v>158000</v>
      </c>
      <c r="C1756" s="22"/>
      <c r="D1756" s="23" t="str" cm="1">
        <f t="array" aca="1" ref="D1756" ca="1">_xlfn.SWITCH(MID(Master[[#This Row],[Checklist]],1,4),"C - ","Civil","F - ","Foundation","ST -","Structure","FC -","Façade","PRE ","Pre-Line","POST","Post-Line","H - ","Handover","S - ","Services","CST ","Completion Docs", "I - ", "Inspection")</f>
        <v>Structure</v>
      </c>
      <c r="E17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6" s="24" t="str">
        <f ca="1">IF(OR(Master[[#This Row],[Type]]="checklist", Master[[#This Row],[Type]]="checklist-flat"), Master[[#This Row],[Name]], F1755)</f>
        <v>ST - S - Precast Balcony Installation</v>
      </c>
      <c r="G1756" s="34" t="s">
        <v>48</v>
      </c>
      <c r="H1756" s="34" t="s">
        <v>825</v>
      </c>
      <c r="I1756" s="35"/>
      <c r="J1756" s="21">
        <f ca="1">_xlfn.XLOOKUP(Master[[#This Row],[Checklist]],Ref!A:A,Ref!B:B)*1000</f>
        <v>158000</v>
      </c>
      <c r="K1756" s="21">
        <f ca="1">COUNTIF($J$2:Master[[#This Row],[ChecklistID]],Master[[#This Row],[ChecklistID]])-1</f>
        <v>0</v>
      </c>
      <c r="L1756" s="23" t="s">
        <v>6</v>
      </c>
    </row>
    <row r="1757" spans="1:12" ht="15.75">
      <c r="A1757" s="23">
        <f t="shared" si="27"/>
        <v>1744</v>
      </c>
      <c r="B1757" s="21">
        <f ca="1">Master[[#This Row],[ChecklistID]]+Master[[#This Row],[Checklist Order]]</f>
        <v>158001</v>
      </c>
      <c r="C1757" s="22"/>
      <c r="D1757" s="23" t="str" cm="1">
        <f t="array" aca="1" ref="D1757" ca="1">_xlfn.SWITCH(MID(Master[[#This Row],[Checklist]],1,4),"C - ","Civil","F - ","Foundation","ST -","Structure","FC -","Façade","PRE ","Pre-Line","POST","Post-Line","H - ","Handover","S - ","Services","CST ","Completion Docs", "I - ", "Inspection")</f>
        <v>Structure</v>
      </c>
      <c r="E17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7" s="24" t="str">
        <f ca="1">IF(OR(Master[[#This Row],[Type]]="checklist", Master[[#This Row],[Type]]="checklist-flat"), Master[[#This Row],[Name]], F1756)</f>
        <v>ST - S - Precast Balcony Installation</v>
      </c>
      <c r="G1757" s="34" t="s">
        <v>49</v>
      </c>
      <c r="H1757" s="34" t="s">
        <v>826</v>
      </c>
      <c r="I1757" s="35"/>
      <c r="J1757" s="21">
        <f ca="1">_xlfn.XLOOKUP(Master[[#This Row],[Checklist]],Ref!A:A,Ref!B:B)*1000</f>
        <v>158000</v>
      </c>
      <c r="K1757" s="21">
        <f ca="1">COUNTIF($J$2:Master[[#This Row],[ChecklistID]],Master[[#This Row],[ChecklistID]])-1</f>
        <v>1</v>
      </c>
      <c r="L1757" s="23" t="s">
        <v>6</v>
      </c>
    </row>
    <row r="1758" spans="1:12" ht="15.75">
      <c r="A1758" s="23">
        <f t="shared" si="27"/>
        <v>1745</v>
      </c>
      <c r="B1758" s="21">
        <f ca="1">Master[[#This Row],[ChecklistID]]+Master[[#This Row],[Checklist Order]]</f>
        <v>158002</v>
      </c>
      <c r="C1758" s="22"/>
      <c r="D1758" s="23" t="str" cm="1">
        <f t="array" aca="1" ref="D1758" ca="1">_xlfn.SWITCH(MID(Master[[#This Row],[Checklist]],1,4),"C - ","Civil","F - ","Foundation","ST -","Structure","FC -","Façade","PRE ","Pre-Line","POST","Post-Line","H - ","Handover","S - ","Services","CST ","Completion Docs", "I - ", "Inspection")</f>
        <v>Structure</v>
      </c>
      <c r="E17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8" s="24" t="str">
        <f ca="1">IF(OR(Master[[#This Row],[Type]]="checklist", Master[[#This Row],[Type]]="checklist-flat"), Master[[#This Row],[Name]], F1757)</f>
        <v>ST - S - Precast Balcony Installation</v>
      </c>
      <c r="G1758" s="34" t="s">
        <v>49</v>
      </c>
      <c r="H1758" s="34" t="s">
        <v>827</v>
      </c>
      <c r="I1758" s="35"/>
      <c r="J1758" s="21">
        <f ca="1">_xlfn.XLOOKUP(Master[[#This Row],[Checklist]],Ref!A:A,Ref!B:B)*1000</f>
        <v>158000</v>
      </c>
      <c r="K1758" s="21">
        <f ca="1">COUNTIF($J$2:Master[[#This Row],[ChecklistID]],Master[[#This Row],[ChecklistID]])-1</f>
        <v>2</v>
      </c>
      <c r="L1758" s="23" t="s">
        <v>6</v>
      </c>
    </row>
    <row r="1759" spans="1:12" ht="15.75">
      <c r="A1759" s="23">
        <f t="shared" si="27"/>
        <v>1746</v>
      </c>
      <c r="B1759" s="21">
        <f ca="1">Master[[#This Row],[ChecklistID]]+Master[[#This Row],[Checklist Order]]</f>
        <v>158003</v>
      </c>
      <c r="C1759" s="22"/>
      <c r="D1759" s="23" t="str" cm="1">
        <f t="array" aca="1" ref="D1759" ca="1">_xlfn.SWITCH(MID(Master[[#This Row],[Checklist]],1,4),"C - ","Civil","F - ","Foundation","ST -","Structure","FC -","Façade","PRE ","Pre-Line","POST","Post-Line","H - ","Handover","S - ","Services","CST ","Completion Docs", "I - ", "Inspection")</f>
        <v>Structure</v>
      </c>
      <c r="E17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59" s="24" t="str">
        <f ca="1">IF(OR(Master[[#This Row],[Type]]="checklist", Master[[#This Row],[Type]]="checklist-flat"), Master[[#This Row],[Name]], F1758)</f>
        <v>ST - S - Precast Balcony Installation</v>
      </c>
      <c r="G1759" s="34" t="s">
        <v>49</v>
      </c>
      <c r="H1759" s="34" t="s">
        <v>828</v>
      </c>
      <c r="I1759" s="35"/>
      <c r="J1759" s="21">
        <f ca="1">_xlfn.XLOOKUP(Master[[#This Row],[Checklist]],Ref!A:A,Ref!B:B)*1000</f>
        <v>158000</v>
      </c>
      <c r="K1759" s="21">
        <f ca="1">COUNTIF($J$2:Master[[#This Row],[ChecklistID]],Master[[#This Row],[ChecklistID]])-1</f>
        <v>3</v>
      </c>
      <c r="L1759" s="23" t="s">
        <v>6</v>
      </c>
    </row>
    <row r="1760" spans="1:12" ht="15.75">
      <c r="A1760" s="23">
        <f t="shared" si="27"/>
        <v>1747</v>
      </c>
      <c r="B1760" s="21">
        <f ca="1">Master[[#This Row],[ChecklistID]]+Master[[#This Row],[Checklist Order]]</f>
        <v>158004</v>
      </c>
      <c r="C1760" s="22"/>
      <c r="D1760" s="23" t="str" cm="1">
        <f t="array" aca="1" ref="D1760" ca="1">_xlfn.SWITCH(MID(Master[[#This Row],[Checklist]],1,4),"C - ","Civil","F - ","Foundation","ST -","Structure","FC -","Façade","PRE ","Pre-Line","POST","Post-Line","H - ","Handover","S - ","Services","CST ","Completion Docs", "I - ", "Inspection")</f>
        <v>Structure</v>
      </c>
      <c r="E17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0" s="24" t="str">
        <f ca="1">IF(OR(Master[[#This Row],[Type]]="checklist", Master[[#This Row],[Type]]="checklist-flat"), Master[[#This Row],[Name]], F1759)</f>
        <v>ST - S - Precast Balcony Installation</v>
      </c>
      <c r="G1760" s="34" t="s">
        <v>49</v>
      </c>
      <c r="H1760" s="34" t="s">
        <v>341</v>
      </c>
      <c r="I1760" s="35"/>
      <c r="J1760" s="21">
        <f ca="1">_xlfn.XLOOKUP(Master[[#This Row],[Checklist]],Ref!A:A,Ref!B:B)*1000</f>
        <v>158000</v>
      </c>
      <c r="K1760" s="21">
        <f ca="1">COUNTIF($J$2:Master[[#This Row],[ChecklistID]],Master[[#This Row],[ChecklistID]])-1</f>
        <v>4</v>
      </c>
      <c r="L1760" s="23" t="s">
        <v>6</v>
      </c>
    </row>
    <row r="1761" spans="1:12" ht="15.75">
      <c r="A1761" s="23">
        <f t="shared" si="27"/>
        <v>1748</v>
      </c>
      <c r="B1761" s="21">
        <f ca="1">Master[[#This Row],[ChecklistID]]+Master[[#This Row],[Checklist Order]]</f>
        <v>158005</v>
      </c>
      <c r="C1761" s="22"/>
      <c r="D1761" s="23" t="str" cm="1">
        <f t="array" aca="1" ref="D1761" ca="1">_xlfn.SWITCH(MID(Master[[#This Row],[Checklist]],1,4),"C - ","Civil","F - ","Foundation","ST -","Structure","FC -","Façade","PRE ","Pre-Line","POST","Post-Line","H - ","Handover","S - ","Services","CST ","Completion Docs", "I - ", "Inspection")</f>
        <v>Structure</v>
      </c>
      <c r="E17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1" s="24" t="str">
        <f ca="1">IF(OR(Master[[#This Row],[Type]]="checklist", Master[[#This Row],[Type]]="checklist-flat"), Master[[#This Row],[Name]], F1760)</f>
        <v>ST - S - Precast Balcony Installation</v>
      </c>
      <c r="G1761" s="34" t="s">
        <v>49</v>
      </c>
      <c r="H1761" s="34" t="s">
        <v>1707</v>
      </c>
      <c r="I1761" s="35"/>
      <c r="J1761" s="21">
        <f ca="1">_xlfn.XLOOKUP(Master[[#This Row],[Checklist]],Ref!A:A,Ref!B:B)*1000</f>
        <v>158000</v>
      </c>
      <c r="K1761" s="21">
        <f ca="1">COUNTIF($J$2:Master[[#This Row],[ChecklistID]],Master[[#This Row],[ChecklistID]])-1</f>
        <v>5</v>
      </c>
      <c r="L1761" s="23" t="s">
        <v>6</v>
      </c>
    </row>
    <row r="1762" spans="1:12" ht="15.75">
      <c r="A1762" s="23">
        <f t="shared" si="27"/>
        <v>1749</v>
      </c>
      <c r="B1762" s="21">
        <f ca="1">Master[[#This Row],[ChecklistID]]+Master[[#This Row],[Checklist Order]]</f>
        <v>158006</v>
      </c>
      <c r="C1762" s="22"/>
      <c r="D1762" s="23" t="str" cm="1">
        <f t="array" aca="1" ref="D1762" ca="1">_xlfn.SWITCH(MID(Master[[#This Row],[Checklist]],1,4),"C - ","Civil","F - ","Foundation","ST -","Structure","FC -","Façade","PRE ","Pre-Line","POST","Post-Line","H - ","Handover","S - ","Services","CST ","Completion Docs", "I - ", "Inspection")</f>
        <v>Structure</v>
      </c>
      <c r="E17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2" s="24" t="str">
        <f ca="1">IF(OR(Master[[#This Row],[Type]]="checklist", Master[[#This Row],[Type]]="checklist-flat"), Master[[#This Row],[Name]], F1761)</f>
        <v>ST - S - Precast Balcony Installation</v>
      </c>
      <c r="G1762" s="34" t="s">
        <v>49</v>
      </c>
      <c r="H1762" s="34" t="s">
        <v>57</v>
      </c>
      <c r="I1762" s="35"/>
      <c r="J1762" s="21">
        <f ca="1">_xlfn.XLOOKUP(Master[[#This Row],[Checklist]],Ref!A:A,Ref!B:B)*1000</f>
        <v>158000</v>
      </c>
      <c r="K1762" s="21">
        <f ca="1">COUNTIF($J$2:Master[[#This Row],[ChecklistID]],Master[[#This Row],[ChecklistID]])-1</f>
        <v>6</v>
      </c>
      <c r="L1762" s="23" t="s">
        <v>6</v>
      </c>
    </row>
    <row r="1763" spans="1:12" ht="15.75">
      <c r="A1763" s="23">
        <f t="shared" si="27"/>
        <v>1750</v>
      </c>
      <c r="B1763" s="21">
        <f ca="1">Master[[#This Row],[ChecklistID]]+Master[[#This Row],[Checklist Order]]</f>
        <v>158007</v>
      </c>
      <c r="C1763" s="22"/>
      <c r="D1763" s="23" t="str" cm="1">
        <f t="array" aca="1" ref="D1763" ca="1">_xlfn.SWITCH(MID(Master[[#This Row],[Checklist]],1,4),"C - ","Civil","F - ","Foundation","ST -","Structure","FC -","Façade","PRE ","Pre-Line","POST","Post-Line","H - ","Handover","S - ","Services","CST ","Completion Docs", "I - ", "Inspection")</f>
        <v>Structure</v>
      </c>
      <c r="E17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3" s="24" t="str">
        <f ca="1">IF(OR(Master[[#This Row],[Type]]="checklist", Master[[#This Row],[Type]]="checklist-flat"), Master[[#This Row],[Name]], F1762)</f>
        <v>ST - S - Precast Balcony Installation</v>
      </c>
      <c r="G1763" s="34" t="s">
        <v>58</v>
      </c>
      <c r="H1763" s="34" t="s">
        <v>59</v>
      </c>
      <c r="I1763" s="35"/>
      <c r="J1763" s="21">
        <f ca="1">_xlfn.XLOOKUP(Master[[#This Row],[Checklist]],Ref!A:A,Ref!B:B)*1000</f>
        <v>158000</v>
      </c>
      <c r="K1763" s="21">
        <f ca="1">COUNTIF($J$2:Master[[#This Row],[ChecklistID]],Master[[#This Row],[ChecklistID]])-1</f>
        <v>7</v>
      </c>
      <c r="L1763" s="23" t="s">
        <v>6</v>
      </c>
    </row>
    <row r="1764" spans="1:12" ht="15.75">
      <c r="A1764" s="23">
        <f t="shared" si="27"/>
        <v>1751</v>
      </c>
      <c r="B1764" s="21">
        <f ca="1">Master[[#This Row],[ChecklistID]]+Master[[#This Row],[Checklist Order]]</f>
        <v>159000</v>
      </c>
      <c r="C1764" s="22"/>
      <c r="D1764" s="23" t="str" cm="1">
        <f t="array" aca="1" ref="D1764" ca="1">_xlfn.SWITCH(MID(Master[[#This Row],[Checklist]],1,4),"C - ","Civil","F - ","Foundation","ST -","Structure","FC -","Façade","PRE ","Pre-Line","POST","Post-Line","H - ","Handover","S - ","Services","CST ","Completion Docs", "I - ", "Inspection")</f>
        <v>Structure</v>
      </c>
      <c r="E17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4" s="24" t="str">
        <f ca="1">IF(OR(Master[[#This Row],[Type]]="checklist", Master[[#This Row],[Type]]="checklist-flat"), Master[[#This Row],[Name]], F1763)</f>
        <v>ST - S - Bentonite</v>
      </c>
      <c r="G1764" s="34" t="s">
        <v>48</v>
      </c>
      <c r="H1764" s="34" t="s">
        <v>830</v>
      </c>
      <c r="I1764" s="35"/>
      <c r="J1764" s="21">
        <f ca="1">_xlfn.XLOOKUP(Master[[#This Row],[Checklist]],Ref!A:A,Ref!B:B)*1000</f>
        <v>159000</v>
      </c>
      <c r="K1764" s="21">
        <f ca="1">COUNTIF($J$2:Master[[#This Row],[ChecklistID]],Master[[#This Row],[ChecklistID]])-1</f>
        <v>0</v>
      </c>
      <c r="L1764" s="23" t="s">
        <v>6</v>
      </c>
    </row>
    <row r="1765" spans="1:12" ht="15.75">
      <c r="A1765" s="23">
        <f t="shared" si="27"/>
        <v>1752</v>
      </c>
      <c r="B1765" s="21">
        <f ca="1">Master[[#This Row],[ChecklistID]]+Master[[#This Row],[Checklist Order]]</f>
        <v>159001</v>
      </c>
      <c r="C1765" s="22"/>
      <c r="D1765" s="23" t="str" cm="1">
        <f t="array" aca="1" ref="D1765" ca="1">_xlfn.SWITCH(MID(Master[[#This Row],[Checklist]],1,4),"C - ","Civil","F - ","Foundation","ST -","Structure","FC -","Façade","PRE ","Pre-Line","POST","Post-Line","H - ","Handover","S - ","Services","CST ","Completion Docs", "I - ", "Inspection")</f>
        <v>Structure</v>
      </c>
      <c r="E17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5" s="24" t="str">
        <f ca="1">IF(OR(Master[[#This Row],[Type]]="checklist", Master[[#This Row],[Type]]="checklist-flat"), Master[[#This Row],[Name]], F1764)</f>
        <v>ST - S - Bentonite</v>
      </c>
      <c r="G1765" s="34" t="s">
        <v>831</v>
      </c>
      <c r="H1765" s="34" t="s">
        <v>832</v>
      </c>
      <c r="I1765" s="35"/>
      <c r="J1765" s="21">
        <f ca="1">_xlfn.XLOOKUP(Master[[#This Row],[Checklist]],Ref!A:A,Ref!B:B)*1000</f>
        <v>159000</v>
      </c>
      <c r="K1765" s="21">
        <f ca="1">COUNTIF($J$2:Master[[#This Row],[ChecklistID]],Master[[#This Row],[ChecklistID]])-1</f>
        <v>1</v>
      </c>
      <c r="L1765" s="23" t="s">
        <v>6</v>
      </c>
    </row>
    <row r="1766" spans="1:12" ht="15.75">
      <c r="A1766" s="23">
        <f t="shared" si="27"/>
        <v>1753</v>
      </c>
      <c r="B1766" s="21">
        <f ca="1">Master[[#This Row],[ChecklistID]]+Master[[#This Row],[Checklist Order]]</f>
        <v>159002</v>
      </c>
      <c r="C1766" s="22"/>
      <c r="D1766" s="23" t="str" cm="1">
        <f t="array" aca="1" ref="D1766" ca="1">_xlfn.SWITCH(MID(Master[[#This Row],[Checklist]],1,4),"C - ","Civil","F - ","Foundation","ST -","Structure","FC -","Façade","PRE ","Pre-Line","POST","Post-Line","H - ","Handover","S - ","Services","CST ","Completion Docs", "I - ", "Inspection")</f>
        <v>Structure</v>
      </c>
      <c r="E17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6" s="24" t="str">
        <f ca="1">IF(OR(Master[[#This Row],[Type]]="checklist", Master[[#This Row],[Type]]="checklist-flat"), Master[[#This Row],[Name]], F1765)</f>
        <v>ST - S - Bentonite</v>
      </c>
      <c r="G1766" s="34" t="s">
        <v>833</v>
      </c>
      <c r="H1766" s="34" t="s">
        <v>834</v>
      </c>
      <c r="I1766" s="35"/>
      <c r="J1766" s="21">
        <f ca="1">_xlfn.XLOOKUP(Master[[#This Row],[Checklist]],Ref!A:A,Ref!B:B)*1000</f>
        <v>159000</v>
      </c>
      <c r="K1766" s="21">
        <f ca="1">COUNTIF($J$2:Master[[#This Row],[ChecklistID]],Master[[#This Row],[ChecklistID]])-1</f>
        <v>2</v>
      </c>
      <c r="L1766" s="23" t="s">
        <v>6</v>
      </c>
    </row>
    <row r="1767" spans="1:12" ht="15.75">
      <c r="A1767" s="23">
        <f t="shared" si="27"/>
        <v>1754</v>
      </c>
      <c r="B1767" s="21">
        <f ca="1">Master[[#This Row],[ChecklistID]]+Master[[#This Row],[Checklist Order]]</f>
        <v>159003</v>
      </c>
      <c r="C1767" s="22"/>
      <c r="D1767" s="23" t="str" cm="1">
        <f t="array" aca="1" ref="D1767" ca="1">_xlfn.SWITCH(MID(Master[[#This Row],[Checklist]],1,4),"C - ","Civil","F - ","Foundation","ST -","Structure","FC -","Façade","PRE ","Pre-Line","POST","Post-Line","H - ","Handover","S - ","Services","CST ","Completion Docs", "I - ", "Inspection")</f>
        <v>Structure</v>
      </c>
      <c r="E17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7" s="24" t="str">
        <f ca="1">IF(OR(Master[[#This Row],[Type]]="checklist", Master[[#This Row],[Type]]="checklist-flat"), Master[[#This Row],[Name]], F1766)</f>
        <v>ST - S - Bentonite</v>
      </c>
      <c r="G1767" s="34" t="s">
        <v>831</v>
      </c>
      <c r="H1767" s="34" t="s">
        <v>835</v>
      </c>
      <c r="I1767" s="35"/>
      <c r="J1767" s="21">
        <f ca="1">_xlfn.XLOOKUP(Master[[#This Row],[Checklist]],Ref!A:A,Ref!B:B)*1000</f>
        <v>159000</v>
      </c>
      <c r="K1767" s="21">
        <f ca="1">COUNTIF($J$2:Master[[#This Row],[ChecklistID]],Master[[#This Row],[ChecklistID]])-1</f>
        <v>3</v>
      </c>
      <c r="L1767" s="23" t="s">
        <v>6</v>
      </c>
    </row>
    <row r="1768" spans="1:12" ht="15.75">
      <c r="A1768" s="23">
        <f t="shared" si="27"/>
        <v>1755</v>
      </c>
      <c r="B1768" s="21">
        <f ca="1">Master[[#This Row],[ChecklistID]]+Master[[#This Row],[Checklist Order]]</f>
        <v>159004</v>
      </c>
      <c r="C1768" s="22"/>
      <c r="D1768" s="23" t="str" cm="1">
        <f t="array" aca="1" ref="D1768" ca="1">_xlfn.SWITCH(MID(Master[[#This Row],[Checklist]],1,4),"C - ","Civil","F - ","Foundation","ST -","Structure","FC -","Façade","PRE ","Pre-Line","POST","Post-Line","H - ","Handover","S - ","Services","CST ","Completion Docs", "I - ", "Inspection")</f>
        <v>Structure</v>
      </c>
      <c r="E17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8" s="24" t="str">
        <f ca="1">IF(OR(Master[[#This Row],[Type]]="checklist", Master[[#This Row],[Type]]="checklist-flat"), Master[[#This Row],[Name]], F1767)</f>
        <v>ST - S - Bentonite</v>
      </c>
      <c r="G1768" s="34" t="s">
        <v>831</v>
      </c>
      <c r="H1768" s="34" t="s">
        <v>836</v>
      </c>
      <c r="I1768" s="35"/>
      <c r="J1768" s="21">
        <f ca="1">_xlfn.XLOOKUP(Master[[#This Row],[Checklist]],Ref!A:A,Ref!B:B)*1000</f>
        <v>159000</v>
      </c>
      <c r="K1768" s="21">
        <f ca="1">COUNTIF($J$2:Master[[#This Row],[ChecklistID]],Master[[#This Row],[ChecklistID]])-1</f>
        <v>4</v>
      </c>
      <c r="L1768" s="23" t="s">
        <v>6</v>
      </c>
    </row>
    <row r="1769" spans="1:12" ht="15.75">
      <c r="A1769" s="23">
        <f t="shared" si="27"/>
        <v>1756</v>
      </c>
      <c r="B1769" s="21">
        <f ca="1">Master[[#This Row],[ChecklistID]]+Master[[#This Row],[Checklist Order]]</f>
        <v>159005</v>
      </c>
      <c r="C1769" s="22"/>
      <c r="D1769" s="23" t="str" cm="1">
        <f t="array" aca="1" ref="D1769" ca="1">_xlfn.SWITCH(MID(Master[[#This Row],[Checklist]],1,4),"C - ","Civil","F - ","Foundation","ST -","Structure","FC -","Façade","PRE ","Pre-Line","POST","Post-Line","H - ","Handover","S - ","Services","CST ","Completion Docs", "I - ", "Inspection")</f>
        <v>Structure</v>
      </c>
      <c r="E17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69" s="24" t="str">
        <f ca="1">IF(OR(Master[[#This Row],[Type]]="checklist", Master[[#This Row],[Type]]="checklist-flat"), Master[[#This Row],[Name]], F1768)</f>
        <v>ST - S - Bentonite</v>
      </c>
      <c r="G1769" s="34" t="s">
        <v>831</v>
      </c>
      <c r="H1769" s="34" t="s">
        <v>837</v>
      </c>
      <c r="I1769" s="35"/>
      <c r="J1769" s="21">
        <f ca="1">_xlfn.XLOOKUP(Master[[#This Row],[Checklist]],Ref!A:A,Ref!B:B)*1000</f>
        <v>159000</v>
      </c>
      <c r="K1769" s="21">
        <f ca="1">COUNTIF($J$2:Master[[#This Row],[ChecklistID]],Master[[#This Row],[ChecklistID]])-1</f>
        <v>5</v>
      </c>
      <c r="L1769" s="23" t="s">
        <v>6</v>
      </c>
    </row>
    <row r="1770" spans="1:12" ht="15.75">
      <c r="A1770" s="23">
        <f t="shared" si="27"/>
        <v>1757</v>
      </c>
      <c r="B1770" s="21">
        <f ca="1">Master[[#This Row],[ChecklistID]]+Master[[#This Row],[Checklist Order]]</f>
        <v>159006</v>
      </c>
      <c r="C1770" s="22"/>
      <c r="D1770" s="23" t="str" cm="1">
        <f t="array" aca="1" ref="D1770" ca="1">_xlfn.SWITCH(MID(Master[[#This Row],[Checklist]],1,4),"C - ","Civil","F - ","Foundation","ST -","Structure","FC -","Façade","PRE ","Pre-Line","POST","Post-Line","H - ","Handover","S - ","Services","CST ","Completion Docs", "I - ", "Inspection")</f>
        <v>Structure</v>
      </c>
      <c r="E17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0" s="24" t="str">
        <f ca="1">IF(OR(Master[[#This Row],[Type]]="checklist", Master[[#This Row],[Type]]="checklist-flat"), Master[[#This Row],[Name]], F1769)</f>
        <v>ST - S - Bentonite</v>
      </c>
      <c r="G1770" s="34" t="s">
        <v>831</v>
      </c>
      <c r="H1770" s="34" t="s">
        <v>838</v>
      </c>
      <c r="I1770" s="35"/>
      <c r="J1770" s="21">
        <f ca="1">_xlfn.XLOOKUP(Master[[#This Row],[Checklist]],Ref!A:A,Ref!B:B)*1000</f>
        <v>159000</v>
      </c>
      <c r="K1770" s="21">
        <f ca="1">COUNTIF($J$2:Master[[#This Row],[ChecklistID]],Master[[#This Row],[ChecklistID]])-1</f>
        <v>6</v>
      </c>
      <c r="L1770" s="23" t="s">
        <v>6</v>
      </c>
    </row>
    <row r="1771" spans="1:12" ht="15.75">
      <c r="A1771" s="23">
        <f t="shared" si="27"/>
        <v>1758</v>
      </c>
      <c r="B1771" s="21">
        <f ca="1">Master[[#This Row],[ChecklistID]]+Master[[#This Row],[Checklist Order]]</f>
        <v>159007</v>
      </c>
      <c r="C1771" s="22"/>
      <c r="D1771" s="23" t="str" cm="1">
        <f t="array" aca="1" ref="D1771" ca="1">_xlfn.SWITCH(MID(Master[[#This Row],[Checklist]],1,4),"C - ","Civil","F - ","Foundation","ST -","Structure","FC -","Façade","PRE ","Pre-Line","POST","Post-Line","H - ","Handover","S - ","Services","CST ","Completion Docs", "I - ", "Inspection")</f>
        <v>Structure</v>
      </c>
      <c r="E17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1" s="24" t="str">
        <f ca="1">IF(OR(Master[[#This Row],[Type]]="checklist", Master[[#This Row],[Type]]="checklist-flat"), Master[[#This Row],[Name]], F1770)</f>
        <v>ST - S - Bentonite</v>
      </c>
      <c r="G1771" s="34" t="s">
        <v>49</v>
      </c>
      <c r="H1771" s="34" t="s">
        <v>57</v>
      </c>
      <c r="I1771" s="35"/>
      <c r="J1771" s="21">
        <f ca="1">_xlfn.XLOOKUP(Master[[#This Row],[Checklist]],Ref!A:A,Ref!B:B)*1000</f>
        <v>159000</v>
      </c>
      <c r="K1771" s="21">
        <f ca="1">COUNTIF($J$2:Master[[#This Row],[ChecklistID]],Master[[#This Row],[ChecklistID]])-1</f>
        <v>7</v>
      </c>
      <c r="L1771" s="23" t="s">
        <v>6</v>
      </c>
    </row>
    <row r="1772" spans="1:12" ht="15.75">
      <c r="A1772" s="23">
        <f t="shared" si="27"/>
        <v>1759</v>
      </c>
      <c r="B1772" s="21">
        <f ca="1">Master[[#This Row],[ChecklistID]]+Master[[#This Row],[Checklist Order]]</f>
        <v>159008</v>
      </c>
      <c r="C1772" s="22"/>
      <c r="D1772" s="23" t="str" cm="1">
        <f t="array" aca="1" ref="D1772" ca="1">_xlfn.SWITCH(MID(Master[[#This Row],[Checklist]],1,4),"C - ","Civil","F - ","Foundation","ST -","Structure","FC -","Façade","PRE ","Pre-Line","POST","Post-Line","H - ","Handover","S - ","Services","CST ","Completion Docs", "I - ", "Inspection")</f>
        <v>Structure</v>
      </c>
      <c r="E17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2" s="24" t="str">
        <f ca="1">IF(OR(Master[[#This Row],[Type]]="checklist", Master[[#This Row],[Type]]="checklist-flat"), Master[[#This Row],[Name]], F1771)</f>
        <v>ST - S - Bentonite</v>
      </c>
      <c r="G1772" s="34" t="s">
        <v>58</v>
      </c>
      <c r="H1772" s="34" t="s">
        <v>59</v>
      </c>
      <c r="I1772" s="35"/>
      <c r="J1772" s="21">
        <f ca="1">_xlfn.XLOOKUP(Master[[#This Row],[Checklist]],Ref!A:A,Ref!B:B)*1000</f>
        <v>159000</v>
      </c>
      <c r="K1772" s="21">
        <f ca="1">COUNTIF($J$2:Master[[#This Row],[ChecklistID]],Master[[#This Row],[ChecklistID]])-1</f>
        <v>8</v>
      </c>
      <c r="L1772" s="23" t="s">
        <v>6</v>
      </c>
    </row>
    <row r="1773" spans="1:12" ht="15.75">
      <c r="A1773" s="23">
        <f t="shared" si="27"/>
        <v>1760</v>
      </c>
      <c r="B1773" s="21">
        <f ca="1">Master[[#This Row],[ChecklistID]]+Master[[#This Row],[Checklist Order]]</f>
        <v>160000</v>
      </c>
      <c r="C1773" s="22"/>
      <c r="D1773" s="23" t="str" cm="1">
        <f t="array" aca="1" ref="D1773" ca="1">_xlfn.SWITCH(MID(Master[[#This Row],[Checklist]],1,4),"C - ","Civil","F - ","Foundation","ST -","Structure","FC -","Façade","PRE ","Pre-Line","POST","Post-Line","H - ","Handover","S - ","Services","CST ","Completion Docs", "I - ", "Inspection")</f>
        <v>Civil</v>
      </c>
      <c r="E17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3" s="24" t="str">
        <f ca="1">IF(OR(Master[[#This Row],[Type]]="checklist", Master[[#This Row],[Type]]="checklist-flat"), Master[[#This Row],[Name]], F1772)</f>
        <v>C - S - Underground Detention Chambers</v>
      </c>
      <c r="G1773" s="34" t="s">
        <v>48</v>
      </c>
      <c r="H1773" s="34" t="s">
        <v>839</v>
      </c>
      <c r="I1773" s="35"/>
      <c r="J1773" s="21">
        <f ca="1">_xlfn.XLOOKUP(Master[[#This Row],[Checklist]],Ref!A:A,Ref!B:B)*1000</f>
        <v>160000</v>
      </c>
      <c r="K1773" s="21">
        <f ca="1">COUNTIF($J$2:Master[[#This Row],[ChecklistID]],Master[[#This Row],[ChecklistID]])-1</f>
        <v>0</v>
      </c>
      <c r="L1773" s="23" t="s">
        <v>6</v>
      </c>
    </row>
    <row r="1774" spans="1:12" ht="15.75">
      <c r="A1774" s="23">
        <f t="shared" si="27"/>
        <v>1761</v>
      </c>
      <c r="B1774" s="21">
        <f ca="1">Master[[#This Row],[ChecklistID]]+Master[[#This Row],[Checklist Order]]</f>
        <v>160001</v>
      </c>
      <c r="C1774" s="22"/>
      <c r="D1774" s="23" t="str" cm="1">
        <f t="array" aca="1" ref="D1774" ca="1">_xlfn.SWITCH(MID(Master[[#This Row],[Checklist]],1,4),"C - ","Civil","F - ","Foundation","ST -","Structure","FC -","Façade","PRE ","Pre-Line","POST","Post-Line","H - ","Handover","S - ","Services","CST ","Completion Docs", "I - ", "Inspection")</f>
        <v>Civil</v>
      </c>
      <c r="E17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4" s="24" t="str">
        <f ca="1">IF(OR(Master[[#This Row],[Type]]="checklist", Master[[#This Row],[Type]]="checklist-flat"), Master[[#This Row],[Name]], F1773)</f>
        <v>C - S - Underground Detention Chambers</v>
      </c>
      <c r="G1774" s="34" t="s">
        <v>49</v>
      </c>
      <c r="H1774" s="34" t="s">
        <v>840</v>
      </c>
      <c r="I1774" s="35"/>
      <c r="J1774" s="21">
        <f ca="1">_xlfn.XLOOKUP(Master[[#This Row],[Checklist]],Ref!A:A,Ref!B:B)*1000</f>
        <v>160000</v>
      </c>
      <c r="K1774" s="21">
        <f ca="1">COUNTIF($J$2:Master[[#This Row],[ChecklistID]],Master[[#This Row],[ChecklistID]])-1</f>
        <v>1</v>
      </c>
      <c r="L1774" s="23" t="s">
        <v>6</v>
      </c>
    </row>
    <row r="1775" spans="1:12" ht="15.75">
      <c r="A1775" s="23">
        <f t="shared" si="27"/>
        <v>1762</v>
      </c>
      <c r="B1775" s="21">
        <f ca="1">Master[[#This Row],[ChecklistID]]+Master[[#This Row],[Checklist Order]]</f>
        <v>160002</v>
      </c>
      <c r="C1775" s="22"/>
      <c r="D1775" s="23" t="str" cm="1">
        <f t="array" aca="1" ref="D1775" ca="1">_xlfn.SWITCH(MID(Master[[#This Row],[Checklist]],1,4),"C - ","Civil","F - ","Foundation","ST -","Structure","FC -","Façade","PRE ","Pre-Line","POST","Post-Line","H - ","Handover","S - ","Services","CST ","Completion Docs", "I - ", "Inspection")</f>
        <v>Civil</v>
      </c>
      <c r="E17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5" s="24" t="str">
        <f ca="1">IF(OR(Master[[#This Row],[Type]]="checklist", Master[[#This Row],[Type]]="checklist-flat"), Master[[#This Row],[Name]], F1774)</f>
        <v>C - S - Underground Detention Chambers</v>
      </c>
      <c r="G1775" s="34" t="s">
        <v>49</v>
      </c>
      <c r="H1775" s="34" t="s">
        <v>841</v>
      </c>
      <c r="I1775" s="35"/>
      <c r="J1775" s="21">
        <f ca="1">_xlfn.XLOOKUP(Master[[#This Row],[Checklist]],Ref!A:A,Ref!B:B)*1000</f>
        <v>160000</v>
      </c>
      <c r="K1775" s="21">
        <f ca="1">COUNTIF($J$2:Master[[#This Row],[ChecklistID]],Master[[#This Row],[ChecklistID]])-1</f>
        <v>2</v>
      </c>
      <c r="L1775" s="23" t="s">
        <v>6</v>
      </c>
    </row>
    <row r="1776" spans="1:12" ht="15.75">
      <c r="A1776" s="23">
        <f t="shared" si="27"/>
        <v>1763</v>
      </c>
      <c r="B1776" s="21">
        <f ca="1">Master[[#This Row],[ChecklistID]]+Master[[#This Row],[Checklist Order]]</f>
        <v>160003</v>
      </c>
      <c r="C1776" s="22"/>
      <c r="D1776" s="23" t="str" cm="1">
        <f t="array" aca="1" ref="D1776" ca="1">_xlfn.SWITCH(MID(Master[[#This Row],[Checklist]],1,4),"C - ","Civil","F - ","Foundation","ST -","Structure","FC -","Façade","PRE ","Pre-Line","POST","Post-Line","H - ","Handover","S - ","Services","CST ","Completion Docs", "I - ", "Inspection")</f>
        <v>Civil</v>
      </c>
      <c r="E17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6" s="24" t="str">
        <f ca="1">IF(OR(Master[[#This Row],[Type]]="checklist", Master[[#This Row],[Type]]="checklist-flat"), Master[[#This Row],[Name]], F1775)</f>
        <v>C - S - Underground Detention Chambers</v>
      </c>
      <c r="G1776" s="34" t="s">
        <v>49</v>
      </c>
      <c r="H1776" s="34" t="s">
        <v>842</v>
      </c>
      <c r="I1776" s="35"/>
      <c r="J1776" s="21">
        <f ca="1">_xlfn.XLOOKUP(Master[[#This Row],[Checklist]],Ref!A:A,Ref!B:B)*1000</f>
        <v>160000</v>
      </c>
      <c r="K1776" s="21">
        <f ca="1">COUNTIF($J$2:Master[[#This Row],[ChecklistID]],Master[[#This Row],[ChecklistID]])-1</f>
        <v>3</v>
      </c>
      <c r="L1776" s="23" t="s">
        <v>6</v>
      </c>
    </row>
    <row r="1777" spans="1:12" ht="15.75">
      <c r="A1777" s="23">
        <f t="shared" si="27"/>
        <v>1764</v>
      </c>
      <c r="B1777" s="21">
        <f ca="1">Master[[#This Row],[ChecklistID]]+Master[[#This Row],[Checklist Order]]</f>
        <v>160004</v>
      </c>
      <c r="C1777" s="22"/>
      <c r="D1777" s="23" t="str" cm="1">
        <f t="array" aca="1" ref="D1777" ca="1">_xlfn.SWITCH(MID(Master[[#This Row],[Checklist]],1,4),"C - ","Civil","F - ","Foundation","ST -","Structure","FC -","Façade","PRE ","Pre-Line","POST","Post-Line","H - ","Handover","S - ","Services","CST ","Completion Docs", "I - ", "Inspection")</f>
        <v>Civil</v>
      </c>
      <c r="E17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7" s="24" t="str">
        <f ca="1">IF(OR(Master[[#This Row],[Type]]="checklist", Master[[#This Row],[Type]]="checklist-flat"), Master[[#This Row],[Name]], F1776)</f>
        <v>C - S - Underground Detention Chambers</v>
      </c>
      <c r="G1777" s="34" t="s">
        <v>49</v>
      </c>
      <c r="H1777" s="34" t="s">
        <v>843</v>
      </c>
      <c r="I1777" s="35"/>
      <c r="J1777" s="21">
        <f ca="1">_xlfn.XLOOKUP(Master[[#This Row],[Checklist]],Ref!A:A,Ref!B:B)*1000</f>
        <v>160000</v>
      </c>
      <c r="K1777" s="21">
        <f ca="1">COUNTIF($J$2:Master[[#This Row],[ChecklistID]],Master[[#This Row],[ChecklistID]])-1</f>
        <v>4</v>
      </c>
      <c r="L1777" s="23" t="s">
        <v>6</v>
      </c>
    </row>
    <row r="1778" spans="1:12" ht="15.75">
      <c r="A1778" s="23">
        <f t="shared" si="27"/>
        <v>1765</v>
      </c>
      <c r="B1778" s="21">
        <f ca="1">Master[[#This Row],[ChecklistID]]+Master[[#This Row],[Checklist Order]]</f>
        <v>160005</v>
      </c>
      <c r="C1778" s="22"/>
      <c r="D1778" s="23" t="str" cm="1">
        <f t="array" aca="1" ref="D1778" ca="1">_xlfn.SWITCH(MID(Master[[#This Row],[Checklist]],1,4),"C - ","Civil","F - ","Foundation","ST -","Structure","FC -","Façade","PRE ","Pre-Line","POST","Post-Line","H - ","Handover","S - ","Services","CST ","Completion Docs", "I - ", "Inspection")</f>
        <v>Civil</v>
      </c>
      <c r="E17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8" s="24" t="str">
        <f ca="1">IF(OR(Master[[#This Row],[Type]]="checklist", Master[[#This Row],[Type]]="checklist-flat"), Master[[#This Row],[Name]], F1777)</f>
        <v>C - S - Underground Detention Chambers</v>
      </c>
      <c r="G1778" s="34" t="s">
        <v>49</v>
      </c>
      <c r="H1778" s="34" t="s">
        <v>844</v>
      </c>
      <c r="I1778" s="35"/>
      <c r="J1778" s="21">
        <f ca="1">_xlfn.XLOOKUP(Master[[#This Row],[Checklist]],Ref!A:A,Ref!B:B)*1000</f>
        <v>160000</v>
      </c>
      <c r="K1778" s="21">
        <f ca="1">COUNTIF($J$2:Master[[#This Row],[ChecklistID]],Master[[#This Row],[ChecklistID]])-1</f>
        <v>5</v>
      </c>
      <c r="L1778" s="23" t="s">
        <v>6</v>
      </c>
    </row>
    <row r="1779" spans="1:12" ht="15.75">
      <c r="A1779" s="23">
        <f t="shared" si="27"/>
        <v>1766</v>
      </c>
      <c r="B1779" s="21">
        <f ca="1">Master[[#This Row],[ChecklistID]]+Master[[#This Row],[Checklist Order]]</f>
        <v>160006</v>
      </c>
      <c r="C1779" s="22"/>
      <c r="D1779" s="23" t="str" cm="1">
        <f t="array" aca="1" ref="D1779" ca="1">_xlfn.SWITCH(MID(Master[[#This Row],[Checklist]],1,4),"C - ","Civil","F - ","Foundation","ST -","Structure","FC -","Façade","PRE ","Pre-Line","POST","Post-Line","H - ","Handover","S - ","Services","CST ","Completion Docs", "I - ", "Inspection")</f>
        <v>Civil</v>
      </c>
      <c r="E17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79" s="24" t="str">
        <f ca="1">IF(OR(Master[[#This Row],[Type]]="checklist", Master[[#This Row],[Type]]="checklist-flat"), Master[[#This Row],[Name]], F1778)</f>
        <v>C - S - Underground Detention Chambers</v>
      </c>
      <c r="G1779" s="34" t="s">
        <v>49</v>
      </c>
      <c r="H1779" s="34" t="s">
        <v>80</v>
      </c>
      <c r="I1779" s="35"/>
      <c r="J1779" s="21">
        <f ca="1">_xlfn.XLOOKUP(Master[[#This Row],[Checklist]],Ref!A:A,Ref!B:B)*1000</f>
        <v>160000</v>
      </c>
      <c r="K1779" s="21">
        <f ca="1">COUNTIF($J$2:Master[[#This Row],[ChecklistID]],Master[[#This Row],[ChecklistID]])-1</f>
        <v>6</v>
      </c>
      <c r="L1779" s="23" t="s">
        <v>6</v>
      </c>
    </row>
    <row r="1780" spans="1:12" ht="15.75">
      <c r="A1780" s="23">
        <f t="shared" ref="A1780:A1843" si="28">IFERROR(A1779+1,1)</f>
        <v>1767</v>
      </c>
      <c r="B1780" s="21">
        <f ca="1">Master[[#This Row],[ChecklistID]]+Master[[#This Row],[Checklist Order]]</f>
        <v>160007</v>
      </c>
      <c r="C1780" s="22"/>
      <c r="D1780" s="23" t="str" cm="1">
        <f t="array" aca="1" ref="D1780" ca="1">_xlfn.SWITCH(MID(Master[[#This Row],[Checklist]],1,4),"C - ","Civil","F - ","Foundation","ST -","Structure","FC -","Façade","PRE ","Pre-Line","POST","Post-Line","H - ","Handover","S - ","Services","CST ","Completion Docs", "I - ", "Inspection")</f>
        <v>Civil</v>
      </c>
      <c r="E17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0" s="24" t="str">
        <f ca="1">IF(OR(Master[[#This Row],[Type]]="checklist", Master[[#This Row],[Type]]="checklist-flat"), Master[[#This Row],[Name]], F1779)</f>
        <v>C - S - Underground Detention Chambers</v>
      </c>
      <c r="G1780" s="34" t="s">
        <v>49</v>
      </c>
      <c r="H1780" s="34" t="s">
        <v>845</v>
      </c>
      <c r="I1780" s="35"/>
      <c r="J1780" s="21">
        <f ca="1">_xlfn.XLOOKUP(Master[[#This Row],[Checklist]],Ref!A:A,Ref!B:B)*1000</f>
        <v>160000</v>
      </c>
      <c r="K1780" s="21">
        <f ca="1">COUNTIF($J$2:Master[[#This Row],[ChecklistID]],Master[[#This Row],[ChecklistID]])-1</f>
        <v>7</v>
      </c>
      <c r="L1780" s="23" t="s">
        <v>6</v>
      </c>
    </row>
    <row r="1781" spans="1:12" ht="15.75">
      <c r="A1781" s="23">
        <f t="shared" si="28"/>
        <v>1768</v>
      </c>
      <c r="B1781" s="21">
        <f ca="1">Master[[#This Row],[ChecklistID]]+Master[[#This Row],[Checklist Order]]</f>
        <v>160008</v>
      </c>
      <c r="C1781" s="22"/>
      <c r="D1781" s="23" t="str" cm="1">
        <f t="array" aca="1" ref="D1781" ca="1">_xlfn.SWITCH(MID(Master[[#This Row],[Checklist]],1,4),"C - ","Civil","F - ","Foundation","ST -","Structure","FC -","Façade","PRE ","Pre-Line","POST","Post-Line","H - ","Handover","S - ","Services","CST ","Completion Docs", "I - ", "Inspection")</f>
        <v>Civil</v>
      </c>
      <c r="E17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1" s="24" t="str">
        <f ca="1">IF(OR(Master[[#This Row],[Type]]="checklist", Master[[#This Row],[Type]]="checklist-flat"), Master[[#This Row],[Name]], F1780)</f>
        <v>C - S - Underground Detention Chambers</v>
      </c>
      <c r="G1781" s="34" t="s">
        <v>49</v>
      </c>
      <c r="H1781" s="34" t="s">
        <v>81</v>
      </c>
      <c r="I1781" s="35"/>
      <c r="J1781" s="21">
        <f ca="1">_xlfn.XLOOKUP(Master[[#This Row],[Checklist]],Ref!A:A,Ref!B:B)*1000</f>
        <v>160000</v>
      </c>
      <c r="K1781" s="21">
        <f ca="1">COUNTIF($J$2:Master[[#This Row],[ChecklistID]],Master[[#This Row],[ChecklistID]])-1</f>
        <v>8</v>
      </c>
      <c r="L1781" s="23" t="s">
        <v>6</v>
      </c>
    </row>
    <row r="1782" spans="1:12" ht="15.75">
      <c r="A1782" s="23">
        <f t="shared" si="28"/>
        <v>1769</v>
      </c>
      <c r="B1782" s="21">
        <f ca="1">Master[[#This Row],[ChecklistID]]+Master[[#This Row],[Checklist Order]]</f>
        <v>160009</v>
      </c>
      <c r="C1782" s="22"/>
      <c r="D1782" s="23" t="str" cm="1">
        <f t="array" aca="1" ref="D1782" ca="1">_xlfn.SWITCH(MID(Master[[#This Row],[Checklist]],1,4),"C - ","Civil","F - ","Foundation","ST -","Structure","FC -","Façade","PRE ","Pre-Line","POST","Post-Line","H - ","Handover","S - ","Services","CST ","Completion Docs", "I - ", "Inspection")</f>
        <v>Civil</v>
      </c>
      <c r="E17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2" s="24" t="str">
        <f ca="1">IF(OR(Master[[#This Row],[Type]]="checklist", Master[[#This Row],[Type]]="checklist-flat"), Master[[#This Row],[Name]], F1781)</f>
        <v>C - S - Underground Detention Chambers</v>
      </c>
      <c r="G1782" s="34" t="s">
        <v>49</v>
      </c>
      <c r="H1782" s="34" t="s">
        <v>82</v>
      </c>
      <c r="I1782" s="35"/>
      <c r="J1782" s="21">
        <f ca="1">_xlfn.XLOOKUP(Master[[#This Row],[Checklist]],Ref!A:A,Ref!B:B)*1000</f>
        <v>160000</v>
      </c>
      <c r="K1782" s="21">
        <f ca="1">COUNTIF($J$2:Master[[#This Row],[ChecklistID]],Master[[#This Row],[ChecklistID]])-1</f>
        <v>9</v>
      </c>
      <c r="L1782" s="23" t="s">
        <v>6</v>
      </c>
    </row>
    <row r="1783" spans="1:12" ht="15.75">
      <c r="A1783" s="23">
        <f t="shared" si="28"/>
        <v>1770</v>
      </c>
      <c r="B1783" s="21">
        <f ca="1">Master[[#This Row],[ChecklistID]]+Master[[#This Row],[Checklist Order]]</f>
        <v>160010</v>
      </c>
      <c r="C1783" s="22"/>
      <c r="D1783" s="23" t="str" cm="1">
        <f t="array" aca="1" ref="D1783" ca="1">_xlfn.SWITCH(MID(Master[[#This Row],[Checklist]],1,4),"C - ","Civil","F - ","Foundation","ST -","Structure","FC -","Façade","PRE ","Pre-Line","POST","Post-Line","H - ","Handover","S - ","Services","CST ","Completion Docs", "I - ", "Inspection")</f>
        <v>Civil</v>
      </c>
      <c r="E17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3" s="24" t="str">
        <f ca="1">IF(OR(Master[[#This Row],[Type]]="checklist", Master[[#This Row],[Type]]="checklist-flat"), Master[[#This Row],[Name]], F1782)</f>
        <v>C - S - Underground Detention Chambers</v>
      </c>
      <c r="G1783" s="34" t="s">
        <v>49</v>
      </c>
      <c r="H1783" s="34" t="s">
        <v>846</v>
      </c>
      <c r="I1783" s="35"/>
      <c r="J1783" s="21">
        <f ca="1">_xlfn.XLOOKUP(Master[[#This Row],[Checklist]],Ref!A:A,Ref!B:B)*1000</f>
        <v>160000</v>
      </c>
      <c r="K1783" s="21">
        <f ca="1">COUNTIF($J$2:Master[[#This Row],[ChecklistID]],Master[[#This Row],[ChecklistID]])-1</f>
        <v>10</v>
      </c>
      <c r="L1783" s="23" t="s">
        <v>6</v>
      </c>
    </row>
    <row r="1784" spans="1:12" ht="15.75">
      <c r="A1784" s="23">
        <f t="shared" si="28"/>
        <v>1771</v>
      </c>
      <c r="B1784" s="21">
        <f ca="1">Master[[#This Row],[ChecklistID]]+Master[[#This Row],[Checklist Order]]</f>
        <v>160011</v>
      </c>
      <c r="C1784" s="22"/>
      <c r="D1784" s="23" t="str" cm="1">
        <f t="array" aca="1" ref="D1784" ca="1">_xlfn.SWITCH(MID(Master[[#This Row],[Checklist]],1,4),"C - ","Civil","F - ","Foundation","ST -","Structure","FC -","Façade","PRE ","Pre-Line","POST","Post-Line","H - ","Handover","S - ","Services","CST ","Completion Docs", "I - ", "Inspection")</f>
        <v>Civil</v>
      </c>
      <c r="E17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4" s="24" t="str">
        <f ca="1">IF(OR(Master[[#This Row],[Type]]="checklist", Master[[#This Row],[Type]]="checklist-flat"), Master[[#This Row],[Name]], F1783)</f>
        <v>C - S - Underground Detention Chambers</v>
      </c>
      <c r="G1784" s="34" t="s">
        <v>49</v>
      </c>
      <c r="H1784" s="34" t="s">
        <v>847</v>
      </c>
      <c r="I1784" s="35"/>
      <c r="J1784" s="21">
        <f ca="1">_xlfn.XLOOKUP(Master[[#This Row],[Checklist]],Ref!A:A,Ref!B:B)*1000</f>
        <v>160000</v>
      </c>
      <c r="K1784" s="21">
        <f ca="1">COUNTIF($J$2:Master[[#This Row],[ChecklistID]],Master[[#This Row],[ChecklistID]])-1</f>
        <v>11</v>
      </c>
      <c r="L1784" s="23" t="s">
        <v>6</v>
      </c>
    </row>
    <row r="1785" spans="1:12" ht="15.75">
      <c r="A1785" s="23">
        <f t="shared" si="28"/>
        <v>1772</v>
      </c>
      <c r="B1785" s="21">
        <f ca="1">Master[[#This Row],[ChecklistID]]+Master[[#This Row],[Checklist Order]]</f>
        <v>160012</v>
      </c>
      <c r="C1785" s="22"/>
      <c r="D1785" s="23" t="str" cm="1">
        <f t="array" aca="1" ref="D1785" ca="1">_xlfn.SWITCH(MID(Master[[#This Row],[Checklist]],1,4),"C - ","Civil","F - ","Foundation","ST -","Structure","FC -","Façade","PRE ","Pre-Line","POST","Post-Line","H - ","Handover","S - ","Services","CST ","Completion Docs", "I - ", "Inspection")</f>
        <v>Civil</v>
      </c>
      <c r="E17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5" s="24" t="str">
        <f ca="1">IF(OR(Master[[#This Row],[Type]]="checklist", Master[[#This Row],[Type]]="checklist-flat"), Master[[#This Row],[Name]], F1784)</f>
        <v>C - S - Underground Detention Chambers</v>
      </c>
      <c r="G1785" s="34" t="s">
        <v>49</v>
      </c>
      <c r="H1785" s="34" t="s">
        <v>848</v>
      </c>
      <c r="I1785" s="35"/>
      <c r="J1785" s="21">
        <f ca="1">_xlfn.XLOOKUP(Master[[#This Row],[Checklist]],Ref!A:A,Ref!B:B)*1000</f>
        <v>160000</v>
      </c>
      <c r="K1785" s="21">
        <f ca="1">COUNTIF($J$2:Master[[#This Row],[ChecklistID]],Master[[#This Row],[ChecklistID]])-1</f>
        <v>12</v>
      </c>
      <c r="L1785" s="23" t="s">
        <v>6</v>
      </c>
    </row>
    <row r="1786" spans="1:12" ht="15.75">
      <c r="A1786" s="23">
        <f t="shared" si="28"/>
        <v>1773</v>
      </c>
      <c r="B1786" s="21">
        <f ca="1">Master[[#This Row],[ChecklistID]]+Master[[#This Row],[Checklist Order]]</f>
        <v>160013</v>
      </c>
      <c r="C1786" s="22"/>
      <c r="D1786" s="23" t="str" cm="1">
        <f t="array" aca="1" ref="D1786" ca="1">_xlfn.SWITCH(MID(Master[[#This Row],[Checklist]],1,4),"C - ","Civil","F - ","Foundation","ST -","Structure","FC -","Façade","PRE ","Pre-Line","POST","Post-Line","H - ","Handover","S - ","Services","CST ","Completion Docs", "I - ", "Inspection")</f>
        <v>Civil</v>
      </c>
      <c r="E17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6" s="24" t="str">
        <f ca="1">IF(OR(Master[[#This Row],[Type]]="checklist", Master[[#This Row],[Type]]="checklist-flat"), Master[[#This Row],[Name]], F1785)</f>
        <v>C - S - Underground Detention Chambers</v>
      </c>
      <c r="G1786" s="34" t="s">
        <v>49</v>
      </c>
      <c r="H1786" s="34" t="s">
        <v>849</v>
      </c>
      <c r="I1786" s="35"/>
      <c r="J1786" s="21">
        <f ca="1">_xlfn.XLOOKUP(Master[[#This Row],[Checklist]],Ref!A:A,Ref!B:B)*1000</f>
        <v>160000</v>
      </c>
      <c r="K1786" s="21">
        <f ca="1">COUNTIF($J$2:Master[[#This Row],[ChecklistID]],Master[[#This Row],[ChecklistID]])-1</f>
        <v>13</v>
      </c>
      <c r="L1786" s="23" t="s">
        <v>6</v>
      </c>
    </row>
    <row r="1787" spans="1:12" ht="15.75">
      <c r="A1787" s="23">
        <f t="shared" si="28"/>
        <v>1774</v>
      </c>
      <c r="B1787" s="21">
        <f ca="1">Master[[#This Row],[ChecklistID]]+Master[[#This Row],[Checklist Order]]</f>
        <v>160014</v>
      </c>
      <c r="C1787" s="22"/>
      <c r="D1787" s="23" t="str" cm="1">
        <f t="array" aca="1" ref="D1787" ca="1">_xlfn.SWITCH(MID(Master[[#This Row],[Checklist]],1,4),"C - ","Civil","F - ","Foundation","ST -","Structure","FC -","Façade","PRE ","Pre-Line","POST","Post-Line","H - ","Handover","S - ","Services","CST ","Completion Docs", "I - ", "Inspection")</f>
        <v>Civil</v>
      </c>
      <c r="E17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7" s="24" t="str">
        <f ca="1">IF(OR(Master[[#This Row],[Type]]="checklist", Master[[#This Row],[Type]]="checklist-flat"), Master[[#This Row],[Name]], F1786)</f>
        <v>C - S - Underground Detention Chambers</v>
      </c>
      <c r="G1787" s="34" t="s">
        <v>49</v>
      </c>
      <c r="H1787" s="34" t="s">
        <v>850</v>
      </c>
      <c r="I1787" s="35"/>
      <c r="J1787" s="21">
        <f ca="1">_xlfn.XLOOKUP(Master[[#This Row],[Checklist]],Ref!A:A,Ref!B:B)*1000</f>
        <v>160000</v>
      </c>
      <c r="K1787" s="21">
        <f ca="1">COUNTIF($J$2:Master[[#This Row],[ChecklistID]],Master[[#This Row],[ChecklistID]])-1</f>
        <v>14</v>
      </c>
      <c r="L1787" s="23" t="s">
        <v>6</v>
      </c>
    </row>
    <row r="1788" spans="1:12" ht="15.75">
      <c r="A1788" s="23">
        <f t="shared" si="28"/>
        <v>1775</v>
      </c>
      <c r="B1788" s="21">
        <f ca="1">Master[[#This Row],[ChecklistID]]+Master[[#This Row],[Checklist Order]]</f>
        <v>160015</v>
      </c>
      <c r="C1788" s="22"/>
      <c r="D1788" s="23" t="str" cm="1">
        <f t="array" aca="1" ref="D1788" ca="1">_xlfn.SWITCH(MID(Master[[#This Row],[Checklist]],1,4),"C - ","Civil","F - ","Foundation","ST -","Structure","FC -","Façade","PRE ","Pre-Line","POST","Post-Line","H - ","Handover","S - ","Services","CST ","Completion Docs", "I - ", "Inspection")</f>
        <v>Civil</v>
      </c>
      <c r="E17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8" s="24" t="str">
        <f ca="1">IF(OR(Master[[#This Row],[Type]]="checklist", Master[[#This Row],[Type]]="checklist-flat"), Master[[#This Row],[Name]], F1787)</f>
        <v>C - S - Underground Detention Chambers</v>
      </c>
      <c r="G1788" s="34" t="s">
        <v>49</v>
      </c>
      <c r="H1788" s="34" t="s">
        <v>851</v>
      </c>
      <c r="I1788" s="35"/>
      <c r="J1788" s="21">
        <f ca="1">_xlfn.XLOOKUP(Master[[#This Row],[Checklist]],Ref!A:A,Ref!B:B)*1000</f>
        <v>160000</v>
      </c>
      <c r="K1788" s="21">
        <f ca="1">COUNTIF($J$2:Master[[#This Row],[ChecklistID]],Master[[#This Row],[ChecklistID]])-1</f>
        <v>15</v>
      </c>
      <c r="L1788" s="23" t="s">
        <v>6</v>
      </c>
    </row>
    <row r="1789" spans="1:12" ht="15.75">
      <c r="A1789" s="23">
        <f t="shared" si="28"/>
        <v>1776</v>
      </c>
      <c r="B1789" s="21">
        <f ca="1">Master[[#This Row],[ChecklistID]]+Master[[#This Row],[Checklist Order]]</f>
        <v>160016</v>
      </c>
      <c r="C1789" s="22"/>
      <c r="D1789" s="23" t="str" cm="1">
        <f t="array" aca="1" ref="D1789" ca="1">_xlfn.SWITCH(MID(Master[[#This Row],[Checklist]],1,4),"C - ","Civil","F - ","Foundation","ST -","Structure","FC -","Façade","PRE ","Pre-Line","POST","Post-Line","H - ","Handover","S - ","Services","CST ","Completion Docs", "I - ", "Inspection")</f>
        <v>Civil</v>
      </c>
      <c r="E17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89" s="24" t="str">
        <f ca="1">IF(OR(Master[[#This Row],[Type]]="checklist", Master[[#This Row],[Type]]="checklist-flat"), Master[[#This Row],[Name]], F1788)</f>
        <v>C - S - Underground Detention Chambers</v>
      </c>
      <c r="G1789" s="34" t="s">
        <v>49</v>
      </c>
      <c r="H1789" s="34" t="s">
        <v>57</v>
      </c>
      <c r="I1789" s="35"/>
      <c r="J1789" s="21">
        <f ca="1">_xlfn.XLOOKUP(Master[[#This Row],[Checklist]],Ref!A:A,Ref!B:B)*1000</f>
        <v>160000</v>
      </c>
      <c r="K1789" s="21">
        <f ca="1">COUNTIF($J$2:Master[[#This Row],[ChecklistID]],Master[[#This Row],[ChecklistID]])-1</f>
        <v>16</v>
      </c>
      <c r="L1789" s="23" t="s">
        <v>6</v>
      </c>
    </row>
    <row r="1790" spans="1:12" ht="15.75">
      <c r="A1790" s="23">
        <f t="shared" si="28"/>
        <v>1777</v>
      </c>
      <c r="B1790" s="21">
        <f ca="1">Master[[#This Row],[ChecklistID]]+Master[[#This Row],[Checklist Order]]</f>
        <v>160017</v>
      </c>
      <c r="C1790" s="22"/>
      <c r="D1790" s="23" t="str" cm="1">
        <f t="array" aca="1" ref="D1790" ca="1">_xlfn.SWITCH(MID(Master[[#This Row],[Checklist]],1,4),"C - ","Civil","F - ","Foundation","ST -","Structure","FC -","Façade","PRE ","Pre-Line","POST","Post-Line","H - ","Handover","S - ","Services","CST ","Completion Docs", "I - ", "Inspection")</f>
        <v>Civil</v>
      </c>
      <c r="E17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0" s="24" t="str">
        <f ca="1">IF(OR(Master[[#This Row],[Type]]="checklist", Master[[#This Row],[Type]]="checklist-flat"), Master[[#This Row],[Name]], F1789)</f>
        <v>C - S - Underground Detention Chambers</v>
      </c>
      <c r="G1790" s="34" t="s">
        <v>58</v>
      </c>
      <c r="H1790" s="34" t="s">
        <v>59</v>
      </c>
      <c r="I1790" s="35"/>
      <c r="J1790" s="21">
        <f ca="1">_xlfn.XLOOKUP(Master[[#This Row],[Checklist]],Ref!A:A,Ref!B:B)*1000</f>
        <v>160000</v>
      </c>
      <c r="K1790" s="21">
        <f ca="1">COUNTIF($J$2:Master[[#This Row],[ChecklistID]],Master[[#This Row],[ChecklistID]])-1</f>
        <v>17</v>
      </c>
      <c r="L1790" s="23" t="s">
        <v>6</v>
      </c>
    </row>
    <row r="1791" spans="1:12" ht="15.75">
      <c r="A1791" s="23">
        <f t="shared" si="28"/>
        <v>1778</v>
      </c>
      <c r="B1791" s="21">
        <f ca="1">Master[[#This Row],[ChecklistID]]+Master[[#This Row],[Checklist Order]]</f>
        <v>161000</v>
      </c>
      <c r="C1791" s="22"/>
      <c r="D1791" s="23" t="str" cm="1">
        <f t="array" aca="1" ref="D1791" ca="1">_xlfn.SWITCH(MID(Master[[#This Row],[Checklist]],1,4),"C - ","Civil","F - ","Foundation","ST -","Structure","FC -","Façade","PRE ","Pre-Line","POST","Post-Line","H - ","Handover","S - ","Services","CST ","Completion Docs", "I - ", "Inspection")</f>
        <v>Post-Line</v>
      </c>
      <c r="E17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1" s="24" t="str">
        <f ca="1">IF(OR(Master[[#This Row],[Type]]="checklist", Master[[#This Row],[Type]]="checklist-flat"), Master[[#This Row],[Name]], F1790)</f>
        <v xml:space="preserve">POST - S - Second Fix - Plumbing </v>
      </c>
      <c r="G1791" s="34" t="s">
        <v>119</v>
      </c>
      <c r="H1791" s="34" t="s">
        <v>1708</v>
      </c>
      <c r="I1791" s="35"/>
      <c r="J1791" s="21">
        <f ca="1">_xlfn.XLOOKUP(Master[[#This Row],[Checklist]],Ref!A:A,Ref!B:B)*1000</f>
        <v>161000</v>
      </c>
      <c r="K1791" s="21">
        <f ca="1">COUNTIF($J$2:Master[[#This Row],[ChecklistID]],Master[[#This Row],[ChecklistID]])-1</f>
        <v>0</v>
      </c>
      <c r="L1791" s="23" t="s">
        <v>6</v>
      </c>
    </row>
    <row r="1792" spans="1:12" ht="15.75">
      <c r="A1792" s="23">
        <f t="shared" si="28"/>
        <v>1779</v>
      </c>
      <c r="B1792" s="21">
        <f ca="1">Master[[#This Row],[ChecklistID]]+Master[[#This Row],[Checklist Order]]</f>
        <v>161001</v>
      </c>
      <c r="C1792" s="22"/>
      <c r="D1792" s="23" t="str" cm="1">
        <f t="array" aca="1" ref="D1792" ca="1">_xlfn.SWITCH(MID(Master[[#This Row],[Checklist]],1,4),"C - ","Civil","F - ","Foundation","ST -","Structure","FC -","Façade","PRE ","Pre-Line","POST","Post-Line","H - ","Handover","S - ","Services","CST ","Completion Docs", "I - ", "Inspection")</f>
        <v>Post-Line</v>
      </c>
      <c r="E17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2" s="24" t="str">
        <f ca="1">IF(OR(Master[[#This Row],[Type]]="checklist", Master[[#This Row],[Type]]="checklist-flat"), Master[[#This Row],[Name]], F1791)</f>
        <v xml:space="preserve">POST - S - Second Fix - Plumbing </v>
      </c>
      <c r="G1792" s="34" t="s">
        <v>120</v>
      </c>
      <c r="H1792" s="34" t="s">
        <v>853</v>
      </c>
      <c r="I1792" s="35"/>
      <c r="J1792" s="21">
        <f ca="1">_xlfn.XLOOKUP(Master[[#This Row],[Checklist]],Ref!A:A,Ref!B:B)*1000</f>
        <v>161000</v>
      </c>
      <c r="K1792" s="21">
        <f ca="1">COUNTIF($J$2:Master[[#This Row],[ChecklistID]],Master[[#This Row],[ChecklistID]])-1</f>
        <v>1</v>
      </c>
      <c r="L1792" s="23" t="s">
        <v>6</v>
      </c>
    </row>
    <row r="1793" spans="1:12" ht="15.75">
      <c r="A1793" s="23">
        <f t="shared" si="28"/>
        <v>1780</v>
      </c>
      <c r="B1793" s="21">
        <f ca="1">Master[[#This Row],[ChecklistID]]+Master[[#This Row],[Checklist Order]]</f>
        <v>161002</v>
      </c>
      <c r="C1793" s="22"/>
      <c r="D1793" s="23" t="str" cm="1">
        <f t="array" aca="1" ref="D1793" ca="1">_xlfn.SWITCH(MID(Master[[#This Row],[Checklist]],1,4),"C - ","Civil","F - ","Foundation","ST -","Structure","FC -","Façade","PRE ","Pre-Line","POST","Post-Line","H - ","Handover","S - ","Services","CST ","Completion Docs", "I - ", "Inspection")</f>
        <v>Post-Line</v>
      </c>
      <c r="E17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3" s="24" t="str">
        <f ca="1">IF(OR(Master[[#This Row],[Type]]="checklist", Master[[#This Row],[Type]]="checklist-flat"), Master[[#This Row],[Name]], F1792)</f>
        <v xml:space="preserve">POST - S - Second Fix - Plumbing </v>
      </c>
      <c r="G1793" s="34" t="s">
        <v>49</v>
      </c>
      <c r="H1793" s="34" t="s">
        <v>854</v>
      </c>
      <c r="I1793" s="35"/>
      <c r="J1793" s="21">
        <f ca="1">_xlfn.XLOOKUP(Master[[#This Row],[Checklist]],Ref!A:A,Ref!B:B)*1000</f>
        <v>161000</v>
      </c>
      <c r="K1793" s="21">
        <f ca="1">COUNTIF($J$2:Master[[#This Row],[ChecklistID]],Master[[#This Row],[ChecklistID]])-1</f>
        <v>2</v>
      </c>
      <c r="L1793" s="23" t="s">
        <v>6</v>
      </c>
    </row>
    <row r="1794" spans="1:12" ht="15.75">
      <c r="A1794" s="23">
        <f t="shared" si="28"/>
        <v>1781</v>
      </c>
      <c r="B1794" s="21">
        <f ca="1">Master[[#This Row],[ChecklistID]]+Master[[#This Row],[Checklist Order]]</f>
        <v>161003</v>
      </c>
      <c r="C1794" s="22"/>
      <c r="D1794" s="23" t="str" cm="1">
        <f t="array" aca="1" ref="D1794" ca="1">_xlfn.SWITCH(MID(Master[[#This Row],[Checklist]],1,4),"C - ","Civil","F - ","Foundation","ST -","Structure","FC -","Façade","PRE ","Pre-Line","POST","Post-Line","H - ","Handover","S - ","Services","CST ","Completion Docs", "I - ", "Inspection")</f>
        <v>Post-Line</v>
      </c>
      <c r="E17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4" s="24" t="str">
        <f ca="1">IF(OR(Master[[#This Row],[Type]]="checklist", Master[[#This Row],[Type]]="checklist-flat"), Master[[#This Row],[Name]], F1793)</f>
        <v xml:space="preserve">POST - S - Second Fix - Plumbing </v>
      </c>
      <c r="G1794" s="34" t="s">
        <v>49</v>
      </c>
      <c r="H1794" s="34" t="s">
        <v>855</v>
      </c>
      <c r="I1794" s="35"/>
      <c r="J1794" s="21">
        <f ca="1">_xlfn.XLOOKUP(Master[[#This Row],[Checklist]],Ref!A:A,Ref!B:B)*1000</f>
        <v>161000</v>
      </c>
      <c r="K1794" s="21">
        <f ca="1">COUNTIF($J$2:Master[[#This Row],[ChecklistID]],Master[[#This Row],[ChecklistID]])-1</f>
        <v>3</v>
      </c>
      <c r="L1794" s="23" t="s">
        <v>6</v>
      </c>
    </row>
    <row r="1795" spans="1:12" ht="15.75">
      <c r="A1795" s="23">
        <f t="shared" si="28"/>
        <v>1782</v>
      </c>
      <c r="B1795" s="21">
        <f ca="1">Master[[#This Row],[ChecklistID]]+Master[[#This Row],[Checklist Order]]</f>
        <v>161004</v>
      </c>
      <c r="C1795" s="22"/>
      <c r="D1795" s="23" t="str" cm="1">
        <f t="array" aca="1" ref="D1795" ca="1">_xlfn.SWITCH(MID(Master[[#This Row],[Checklist]],1,4),"C - ","Civil","F - ","Foundation","ST -","Structure","FC -","Façade","PRE ","Pre-Line","POST","Post-Line","H - ","Handover","S - ","Services","CST ","Completion Docs", "I - ", "Inspection")</f>
        <v>Post-Line</v>
      </c>
      <c r="E17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5" s="24" t="str">
        <f ca="1">IF(OR(Master[[#This Row],[Type]]="checklist", Master[[#This Row],[Type]]="checklist-flat"), Master[[#This Row],[Name]], F1794)</f>
        <v xml:space="preserve">POST - S - Second Fix - Plumbing </v>
      </c>
      <c r="G1795" s="34" t="s">
        <v>831</v>
      </c>
      <c r="H1795" s="34" t="s">
        <v>856</v>
      </c>
      <c r="I1795" s="35"/>
      <c r="J1795" s="21">
        <f ca="1">_xlfn.XLOOKUP(Master[[#This Row],[Checklist]],Ref!A:A,Ref!B:B)*1000</f>
        <v>161000</v>
      </c>
      <c r="K1795" s="21">
        <f ca="1">COUNTIF($J$2:Master[[#This Row],[ChecklistID]],Master[[#This Row],[ChecklistID]])-1</f>
        <v>4</v>
      </c>
      <c r="L1795" s="23" t="s">
        <v>6</v>
      </c>
    </row>
    <row r="1796" spans="1:12" ht="15.75">
      <c r="A1796" s="23">
        <f t="shared" si="28"/>
        <v>1783</v>
      </c>
      <c r="B1796" s="21">
        <f ca="1">Master[[#This Row],[ChecklistID]]+Master[[#This Row],[Checklist Order]]</f>
        <v>161005</v>
      </c>
      <c r="C1796" s="22"/>
      <c r="D1796" s="23" t="str" cm="1">
        <f t="array" aca="1" ref="D1796" ca="1">_xlfn.SWITCH(MID(Master[[#This Row],[Checklist]],1,4),"C - ","Civil","F - ","Foundation","ST -","Structure","FC -","Façade","PRE ","Pre-Line","POST","Post-Line","H - ","Handover","S - ","Services","CST ","Completion Docs", "I - ", "Inspection")</f>
        <v>Post-Line</v>
      </c>
      <c r="E17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6" s="24" t="str">
        <f ca="1">IF(OR(Master[[#This Row],[Type]]="checklist", Master[[#This Row],[Type]]="checklist-flat"), Master[[#This Row],[Name]], F1795)</f>
        <v xml:space="preserve">POST - S - Second Fix - Plumbing </v>
      </c>
      <c r="G1796" s="34" t="s">
        <v>831</v>
      </c>
      <c r="H1796" s="34" t="s">
        <v>857</v>
      </c>
      <c r="I1796" s="35"/>
      <c r="J1796" s="21">
        <f ca="1">_xlfn.XLOOKUP(Master[[#This Row],[Checklist]],Ref!A:A,Ref!B:B)*1000</f>
        <v>161000</v>
      </c>
      <c r="K1796" s="21">
        <f ca="1">COUNTIF($J$2:Master[[#This Row],[ChecklistID]],Master[[#This Row],[ChecklistID]])-1</f>
        <v>5</v>
      </c>
      <c r="L1796" s="23" t="s">
        <v>6</v>
      </c>
    </row>
    <row r="1797" spans="1:12" ht="15.75">
      <c r="A1797" s="23">
        <f t="shared" si="28"/>
        <v>1784</v>
      </c>
      <c r="B1797" s="21">
        <f ca="1">Master[[#This Row],[ChecklistID]]+Master[[#This Row],[Checklist Order]]</f>
        <v>161006</v>
      </c>
      <c r="C1797" s="22"/>
      <c r="D1797" s="23" t="str" cm="1">
        <f t="array" aca="1" ref="D1797" ca="1">_xlfn.SWITCH(MID(Master[[#This Row],[Checklist]],1,4),"C - ","Civil","F - ","Foundation","ST -","Structure","FC -","Façade","PRE ","Pre-Line","POST","Post-Line","H - ","Handover","S - ","Services","CST ","Completion Docs", "I - ", "Inspection")</f>
        <v>Post-Line</v>
      </c>
      <c r="E17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7" s="24" t="str">
        <f ca="1">IF(OR(Master[[#This Row],[Type]]="checklist", Master[[#This Row],[Type]]="checklist-flat"), Master[[#This Row],[Name]], F1796)</f>
        <v xml:space="preserve">POST - S - Second Fix - Plumbing </v>
      </c>
      <c r="G1797" s="34" t="s">
        <v>831</v>
      </c>
      <c r="H1797" s="34" t="s">
        <v>858</v>
      </c>
      <c r="I1797" s="35"/>
      <c r="J1797" s="21">
        <f ca="1">_xlfn.XLOOKUP(Master[[#This Row],[Checklist]],Ref!A:A,Ref!B:B)*1000</f>
        <v>161000</v>
      </c>
      <c r="K1797" s="21">
        <f ca="1">COUNTIF($J$2:Master[[#This Row],[ChecklistID]],Master[[#This Row],[ChecklistID]])-1</f>
        <v>6</v>
      </c>
      <c r="L1797" s="23" t="s">
        <v>6</v>
      </c>
    </row>
    <row r="1798" spans="1:12" ht="15.75">
      <c r="A1798" s="23">
        <f t="shared" si="28"/>
        <v>1785</v>
      </c>
      <c r="B1798" s="21">
        <f ca="1">Master[[#This Row],[ChecklistID]]+Master[[#This Row],[Checklist Order]]</f>
        <v>161007</v>
      </c>
      <c r="C1798" s="22"/>
      <c r="D1798" s="23" t="str" cm="1">
        <f t="array" aca="1" ref="D1798" ca="1">_xlfn.SWITCH(MID(Master[[#This Row],[Checklist]],1,4),"C - ","Civil","F - ","Foundation","ST -","Structure","FC -","Façade","PRE ","Pre-Line","POST","Post-Line","H - ","Handover","S - ","Services","CST ","Completion Docs", "I - ", "Inspection")</f>
        <v>Post-Line</v>
      </c>
      <c r="E17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8" s="24" t="str">
        <f ca="1">IF(OR(Master[[#This Row],[Type]]="checklist", Master[[#This Row],[Type]]="checklist-flat"), Master[[#This Row],[Name]], F1797)</f>
        <v xml:space="preserve">POST - S - Second Fix - Plumbing </v>
      </c>
      <c r="G1798" s="34" t="s">
        <v>831</v>
      </c>
      <c r="H1798" s="34" t="s">
        <v>859</v>
      </c>
      <c r="I1798" s="35"/>
      <c r="J1798" s="21">
        <f ca="1">_xlfn.XLOOKUP(Master[[#This Row],[Checklist]],Ref!A:A,Ref!B:B)*1000</f>
        <v>161000</v>
      </c>
      <c r="K1798" s="21">
        <f ca="1">COUNTIF($J$2:Master[[#This Row],[ChecklistID]],Master[[#This Row],[ChecklistID]])-1</f>
        <v>7</v>
      </c>
      <c r="L1798" s="23" t="s">
        <v>6</v>
      </c>
    </row>
    <row r="1799" spans="1:12" ht="15.75">
      <c r="A1799" s="23">
        <f t="shared" si="28"/>
        <v>1786</v>
      </c>
      <c r="B1799" s="21">
        <f ca="1">Master[[#This Row],[ChecklistID]]+Master[[#This Row],[Checklist Order]]</f>
        <v>161008</v>
      </c>
      <c r="C1799" s="22"/>
      <c r="D1799" s="23" t="str" cm="1">
        <f t="array" aca="1" ref="D1799" ca="1">_xlfn.SWITCH(MID(Master[[#This Row],[Checklist]],1,4),"C - ","Civil","F - ","Foundation","ST -","Structure","FC -","Façade","PRE ","Pre-Line","POST","Post-Line","H - ","Handover","S - ","Services","CST ","Completion Docs", "I - ", "Inspection")</f>
        <v>Post-Line</v>
      </c>
      <c r="E17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799" s="24" t="str">
        <f ca="1">IF(OR(Master[[#This Row],[Type]]="checklist", Master[[#This Row],[Type]]="checklist-flat"), Master[[#This Row],[Name]], F1798)</f>
        <v xml:space="preserve">POST - S - Second Fix - Plumbing </v>
      </c>
      <c r="G1799" s="34" t="s">
        <v>831</v>
      </c>
      <c r="H1799" s="34" t="s">
        <v>860</v>
      </c>
      <c r="I1799" s="35"/>
      <c r="J1799" s="21">
        <f ca="1">_xlfn.XLOOKUP(Master[[#This Row],[Checklist]],Ref!A:A,Ref!B:B)*1000</f>
        <v>161000</v>
      </c>
      <c r="K1799" s="21">
        <f ca="1">COUNTIF($J$2:Master[[#This Row],[ChecklistID]],Master[[#This Row],[ChecklistID]])-1</f>
        <v>8</v>
      </c>
      <c r="L1799" s="23" t="s">
        <v>6</v>
      </c>
    </row>
    <row r="1800" spans="1:12" ht="15.75">
      <c r="A1800" s="23">
        <f t="shared" si="28"/>
        <v>1787</v>
      </c>
      <c r="B1800" s="21">
        <f ca="1">Master[[#This Row],[ChecklistID]]+Master[[#This Row],[Checklist Order]]</f>
        <v>161009</v>
      </c>
      <c r="C1800" s="22"/>
      <c r="D1800" s="23" t="str" cm="1">
        <f t="array" aca="1" ref="D1800" ca="1">_xlfn.SWITCH(MID(Master[[#This Row],[Checklist]],1,4),"C - ","Civil","F - ","Foundation","ST -","Structure","FC -","Façade","PRE ","Pre-Line","POST","Post-Line","H - ","Handover","S - ","Services","CST ","Completion Docs", "I - ", "Inspection")</f>
        <v>Post-Line</v>
      </c>
      <c r="E18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0" s="24" t="str">
        <f ca="1">IF(OR(Master[[#This Row],[Type]]="checklist", Master[[#This Row],[Type]]="checklist-flat"), Master[[#This Row],[Name]], F1799)</f>
        <v xml:space="preserve">POST - S - Second Fix - Plumbing </v>
      </c>
      <c r="G1800" s="34" t="s">
        <v>861</v>
      </c>
      <c r="H1800" s="34" t="s">
        <v>862</v>
      </c>
      <c r="I1800" s="35"/>
      <c r="J1800" s="21">
        <f ca="1">_xlfn.XLOOKUP(Master[[#This Row],[Checklist]],Ref!A:A,Ref!B:B)*1000</f>
        <v>161000</v>
      </c>
      <c r="K1800" s="21">
        <f ca="1">COUNTIF($J$2:Master[[#This Row],[ChecklistID]],Master[[#This Row],[ChecklistID]])-1</f>
        <v>9</v>
      </c>
      <c r="L1800" s="23" t="s">
        <v>6</v>
      </c>
    </row>
    <row r="1801" spans="1:12" ht="15.75">
      <c r="A1801" s="23">
        <f t="shared" si="28"/>
        <v>1788</v>
      </c>
      <c r="B1801" s="21">
        <f ca="1">Master[[#This Row],[ChecklistID]]+Master[[#This Row],[Checklist Order]]</f>
        <v>161010</v>
      </c>
      <c r="C1801" s="22"/>
      <c r="D1801" s="23" t="str" cm="1">
        <f t="array" aca="1" ref="D1801" ca="1">_xlfn.SWITCH(MID(Master[[#This Row],[Checklist]],1,4),"C - ","Civil","F - ","Foundation","ST -","Structure","FC -","Façade","PRE ","Pre-Line","POST","Post-Line","H - ","Handover","S - ","Services","CST ","Completion Docs", "I - ", "Inspection")</f>
        <v>Post-Line</v>
      </c>
      <c r="E18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1" s="24" t="str">
        <f ca="1">IF(OR(Master[[#This Row],[Type]]="checklist", Master[[#This Row],[Type]]="checklist-flat"), Master[[#This Row],[Name]], F1800)</f>
        <v xml:space="preserve">POST - S - Second Fix - Plumbing </v>
      </c>
      <c r="G1801" s="34" t="s">
        <v>831</v>
      </c>
      <c r="H1801" s="34" t="s">
        <v>863</v>
      </c>
      <c r="I1801" s="35"/>
      <c r="J1801" s="21">
        <f ca="1">_xlfn.XLOOKUP(Master[[#This Row],[Checklist]],Ref!A:A,Ref!B:B)*1000</f>
        <v>161000</v>
      </c>
      <c r="K1801" s="21">
        <f ca="1">COUNTIF($J$2:Master[[#This Row],[ChecklistID]],Master[[#This Row],[ChecklistID]])-1</f>
        <v>10</v>
      </c>
      <c r="L1801" s="23" t="s">
        <v>6</v>
      </c>
    </row>
    <row r="1802" spans="1:12" ht="15.75">
      <c r="A1802" s="23">
        <f t="shared" si="28"/>
        <v>1789</v>
      </c>
      <c r="B1802" s="21">
        <f ca="1">Master[[#This Row],[ChecklistID]]+Master[[#This Row],[Checklist Order]]</f>
        <v>161011</v>
      </c>
      <c r="C1802" s="22"/>
      <c r="D1802" s="23" t="str" cm="1">
        <f t="array" aca="1" ref="D1802" ca="1">_xlfn.SWITCH(MID(Master[[#This Row],[Checklist]],1,4),"C - ","Civil","F - ","Foundation","ST -","Structure","FC -","Façade","PRE ","Pre-Line","POST","Post-Line","H - ","Handover","S - ","Services","CST ","Completion Docs", "I - ", "Inspection")</f>
        <v>Post-Line</v>
      </c>
      <c r="E18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2" s="24" t="str">
        <f ca="1">IF(OR(Master[[#This Row],[Type]]="checklist", Master[[#This Row],[Type]]="checklist-flat"), Master[[#This Row],[Name]], F1801)</f>
        <v xml:space="preserve">POST - S - Second Fix - Plumbing </v>
      </c>
      <c r="G1802" s="34" t="s">
        <v>831</v>
      </c>
      <c r="H1802" s="34" t="s">
        <v>864</v>
      </c>
      <c r="I1802" s="35"/>
      <c r="J1802" s="21">
        <f ca="1">_xlfn.XLOOKUP(Master[[#This Row],[Checklist]],Ref!A:A,Ref!B:B)*1000</f>
        <v>161000</v>
      </c>
      <c r="K1802" s="21">
        <f ca="1">COUNTIF($J$2:Master[[#This Row],[ChecklistID]],Master[[#This Row],[ChecklistID]])-1</f>
        <v>11</v>
      </c>
      <c r="L1802" s="23" t="s">
        <v>6</v>
      </c>
    </row>
    <row r="1803" spans="1:12" ht="15.75">
      <c r="A1803" s="23">
        <f t="shared" si="28"/>
        <v>1790</v>
      </c>
      <c r="B1803" s="21">
        <f ca="1">Master[[#This Row],[ChecklistID]]+Master[[#This Row],[Checklist Order]]</f>
        <v>161012</v>
      </c>
      <c r="C1803" s="22"/>
      <c r="D1803" s="23" t="str" cm="1">
        <f t="array" aca="1" ref="D1803" ca="1">_xlfn.SWITCH(MID(Master[[#This Row],[Checklist]],1,4),"C - ","Civil","F - ","Foundation","ST -","Structure","FC -","Façade","PRE ","Pre-Line","POST","Post-Line","H - ","Handover","S - ","Services","CST ","Completion Docs", "I - ", "Inspection")</f>
        <v>Post-Line</v>
      </c>
      <c r="E18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3" s="24" t="str">
        <f ca="1">IF(OR(Master[[#This Row],[Type]]="checklist", Master[[#This Row],[Type]]="checklist-flat"), Master[[#This Row],[Name]], F1802)</f>
        <v xml:space="preserve">POST - S - Second Fix - Plumbing </v>
      </c>
      <c r="G1803" s="34" t="s">
        <v>831</v>
      </c>
      <c r="H1803" s="34" t="s">
        <v>865</v>
      </c>
      <c r="I1803" s="35"/>
      <c r="J1803" s="21">
        <f ca="1">_xlfn.XLOOKUP(Master[[#This Row],[Checklist]],Ref!A:A,Ref!B:B)*1000</f>
        <v>161000</v>
      </c>
      <c r="K1803" s="21">
        <f ca="1">COUNTIF($J$2:Master[[#This Row],[ChecklistID]],Master[[#This Row],[ChecklistID]])-1</f>
        <v>12</v>
      </c>
      <c r="L1803" s="23" t="s">
        <v>6</v>
      </c>
    </row>
    <row r="1804" spans="1:12" ht="15.75">
      <c r="A1804" s="23">
        <f t="shared" si="28"/>
        <v>1791</v>
      </c>
      <c r="B1804" s="21">
        <f ca="1">Master[[#This Row],[ChecklistID]]+Master[[#This Row],[Checklist Order]]</f>
        <v>161013</v>
      </c>
      <c r="C1804" s="22"/>
      <c r="D1804" s="23" t="str" cm="1">
        <f t="array" aca="1" ref="D1804" ca="1">_xlfn.SWITCH(MID(Master[[#This Row],[Checklist]],1,4),"C - ","Civil","F - ","Foundation","ST -","Structure","FC -","Façade","PRE ","Pre-Line","POST","Post-Line","H - ","Handover","S - ","Services","CST ","Completion Docs", "I - ", "Inspection")</f>
        <v>Post-Line</v>
      </c>
      <c r="E18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4" s="24" t="str">
        <f ca="1">IF(OR(Master[[#This Row],[Type]]="checklist", Master[[#This Row],[Type]]="checklist-flat"), Master[[#This Row],[Name]], F1803)</f>
        <v xml:space="preserve">POST - S - Second Fix - Plumbing </v>
      </c>
      <c r="G1804" s="34" t="s">
        <v>831</v>
      </c>
      <c r="H1804" s="34" t="s">
        <v>866</v>
      </c>
      <c r="I1804" s="35"/>
      <c r="J1804" s="21">
        <f ca="1">_xlfn.XLOOKUP(Master[[#This Row],[Checklist]],Ref!A:A,Ref!B:B)*1000</f>
        <v>161000</v>
      </c>
      <c r="K1804" s="21">
        <f ca="1">COUNTIF($J$2:Master[[#This Row],[ChecklistID]],Master[[#This Row],[ChecklistID]])-1</f>
        <v>13</v>
      </c>
      <c r="L1804" s="23" t="s">
        <v>6</v>
      </c>
    </row>
    <row r="1805" spans="1:12" ht="15.75">
      <c r="A1805" s="23">
        <f t="shared" si="28"/>
        <v>1792</v>
      </c>
      <c r="B1805" s="21">
        <f ca="1">Master[[#This Row],[ChecklistID]]+Master[[#This Row],[Checklist Order]]</f>
        <v>161014</v>
      </c>
      <c r="C1805" s="22"/>
      <c r="D1805" s="23" t="str" cm="1">
        <f t="array" aca="1" ref="D1805" ca="1">_xlfn.SWITCH(MID(Master[[#This Row],[Checklist]],1,4),"C - ","Civil","F - ","Foundation","ST -","Structure","FC -","Façade","PRE ","Pre-Line","POST","Post-Line","H - ","Handover","S - ","Services","CST ","Completion Docs", "I - ", "Inspection")</f>
        <v>Post-Line</v>
      </c>
      <c r="E18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5" s="24" t="str">
        <f ca="1">IF(OR(Master[[#This Row],[Type]]="checklist", Master[[#This Row],[Type]]="checklist-flat"), Master[[#This Row],[Name]], F1804)</f>
        <v xml:space="preserve">POST - S - Second Fix - Plumbing </v>
      </c>
      <c r="G1805" s="34" t="s">
        <v>831</v>
      </c>
      <c r="H1805" s="34" t="s">
        <v>867</v>
      </c>
      <c r="I1805" s="35"/>
      <c r="J1805" s="21">
        <f ca="1">_xlfn.XLOOKUP(Master[[#This Row],[Checklist]],Ref!A:A,Ref!B:B)*1000</f>
        <v>161000</v>
      </c>
      <c r="K1805" s="21">
        <f ca="1">COUNTIF($J$2:Master[[#This Row],[ChecklistID]],Master[[#This Row],[ChecklistID]])-1</f>
        <v>14</v>
      </c>
      <c r="L1805" s="23" t="s">
        <v>6</v>
      </c>
    </row>
    <row r="1806" spans="1:12" ht="15.75">
      <c r="A1806" s="23">
        <f t="shared" si="28"/>
        <v>1793</v>
      </c>
      <c r="B1806" s="21">
        <f ca="1">Master[[#This Row],[ChecklistID]]+Master[[#This Row],[Checklist Order]]</f>
        <v>161015</v>
      </c>
      <c r="C1806" s="22"/>
      <c r="D1806" s="23" t="str" cm="1">
        <f t="array" aca="1" ref="D1806" ca="1">_xlfn.SWITCH(MID(Master[[#This Row],[Checklist]],1,4),"C - ","Civil","F - ","Foundation","ST -","Structure","FC -","Façade","PRE ","Pre-Line","POST","Post-Line","H - ","Handover","S - ","Services","CST ","Completion Docs", "I - ", "Inspection")</f>
        <v>Post-Line</v>
      </c>
      <c r="E18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6" s="24" t="str">
        <f ca="1">IF(OR(Master[[#This Row],[Type]]="checklist", Master[[#This Row],[Type]]="checklist-flat"), Master[[#This Row],[Name]], F1805)</f>
        <v xml:space="preserve">POST - S - Second Fix - Plumbing </v>
      </c>
      <c r="G1806" s="34" t="s">
        <v>861</v>
      </c>
      <c r="H1806" s="34" t="s">
        <v>868</v>
      </c>
      <c r="I1806" s="35"/>
      <c r="J1806" s="21">
        <f ca="1">_xlfn.XLOOKUP(Master[[#This Row],[Checklist]],Ref!A:A,Ref!B:B)*1000</f>
        <v>161000</v>
      </c>
      <c r="K1806" s="21">
        <f ca="1">COUNTIF($J$2:Master[[#This Row],[ChecklistID]],Master[[#This Row],[ChecklistID]])-1</f>
        <v>15</v>
      </c>
      <c r="L1806" s="23" t="s">
        <v>6</v>
      </c>
    </row>
    <row r="1807" spans="1:12" ht="15.75">
      <c r="A1807" s="23">
        <f t="shared" si="28"/>
        <v>1794</v>
      </c>
      <c r="B1807" s="21">
        <f ca="1">Master[[#This Row],[ChecklistID]]+Master[[#This Row],[Checklist Order]]</f>
        <v>161016</v>
      </c>
      <c r="C1807" s="22"/>
      <c r="D1807" s="23" t="str" cm="1">
        <f t="array" aca="1" ref="D1807" ca="1">_xlfn.SWITCH(MID(Master[[#This Row],[Checklist]],1,4),"C - ","Civil","F - ","Foundation","ST -","Structure","FC -","Façade","PRE ","Pre-Line","POST","Post-Line","H - ","Handover","S - ","Services","CST ","Completion Docs", "I - ", "Inspection")</f>
        <v>Post-Line</v>
      </c>
      <c r="E18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7" s="24" t="str">
        <f ca="1">IF(OR(Master[[#This Row],[Type]]="checklist", Master[[#This Row],[Type]]="checklist-flat"), Master[[#This Row],[Name]], F1806)</f>
        <v xml:space="preserve">POST - S - Second Fix - Plumbing </v>
      </c>
      <c r="G1807" s="34" t="s">
        <v>831</v>
      </c>
      <c r="H1807" s="34" t="s">
        <v>869</v>
      </c>
      <c r="I1807" s="35"/>
      <c r="J1807" s="21">
        <f ca="1">_xlfn.XLOOKUP(Master[[#This Row],[Checklist]],Ref!A:A,Ref!B:B)*1000</f>
        <v>161000</v>
      </c>
      <c r="K1807" s="21">
        <f ca="1">COUNTIF($J$2:Master[[#This Row],[ChecklistID]],Master[[#This Row],[ChecklistID]])-1</f>
        <v>16</v>
      </c>
      <c r="L1807" s="23" t="s">
        <v>6</v>
      </c>
    </row>
    <row r="1808" spans="1:12" ht="15.75">
      <c r="A1808" s="23">
        <f t="shared" si="28"/>
        <v>1795</v>
      </c>
      <c r="B1808" s="21">
        <f ca="1">Master[[#This Row],[ChecklistID]]+Master[[#This Row],[Checklist Order]]</f>
        <v>161017</v>
      </c>
      <c r="C1808" s="22"/>
      <c r="D1808" s="23" t="str" cm="1">
        <f t="array" aca="1" ref="D1808" ca="1">_xlfn.SWITCH(MID(Master[[#This Row],[Checklist]],1,4),"C - ","Civil","F - ","Foundation","ST -","Structure","FC -","Façade","PRE ","Pre-Line","POST","Post-Line","H - ","Handover","S - ","Services","CST ","Completion Docs", "I - ", "Inspection")</f>
        <v>Post-Line</v>
      </c>
      <c r="E18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8" s="24" t="str">
        <f ca="1">IF(OR(Master[[#This Row],[Type]]="checklist", Master[[#This Row],[Type]]="checklist-flat"), Master[[#This Row],[Name]], F1807)</f>
        <v xml:space="preserve">POST - S - Second Fix - Plumbing </v>
      </c>
      <c r="G1808" s="34" t="s">
        <v>831</v>
      </c>
      <c r="H1808" s="34" t="s">
        <v>870</v>
      </c>
      <c r="I1808" s="35"/>
      <c r="J1808" s="21">
        <f ca="1">_xlfn.XLOOKUP(Master[[#This Row],[Checklist]],Ref!A:A,Ref!B:B)*1000</f>
        <v>161000</v>
      </c>
      <c r="K1808" s="21">
        <f ca="1">COUNTIF($J$2:Master[[#This Row],[ChecklistID]],Master[[#This Row],[ChecklistID]])-1</f>
        <v>17</v>
      </c>
      <c r="L1808" s="23" t="s">
        <v>6</v>
      </c>
    </row>
    <row r="1809" spans="1:12" ht="15.75">
      <c r="A1809" s="23">
        <f t="shared" si="28"/>
        <v>1796</v>
      </c>
      <c r="B1809" s="21">
        <f ca="1">Master[[#This Row],[ChecklistID]]+Master[[#This Row],[Checklist Order]]</f>
        <v>161018</v>
      </c>
      <c r="C1809" s="22"/>
      <c r="D1809" s="23" t="str" cm="1">
        <f t="array" aca="1" ref="D1809" ca="1">_xlfn.SWITCH(MID(Master[[#This Row],[Checklist]],1,4),"C - ","Civil","F - ","Foundation","ST -","Structure","FC -","Façade","PRE ","Pre-Line","POST","Post-Line","H - ","Handover","S - ","Services","CST ","Completion Docs", "I - ", "Inspection")</f>
        <v>Post-Line</v>
      </c>
      <c r="E18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09" s="24" t="str">
        <f ca="1">IF(OR(Master[[#This Row],[Type]]="checklist", Master[[#This Row],[Type]]="checklist-flat"), Master[[#This Row],[Name]], F1808)</f>
        <v xml:space="preserve">POST - S - Second Fix - Plumbing </v>
      </c>
      <c r="G1809" s="34" t="s">
        <v>831</v>
      </c>
      <c r="H1809" s="34" t="s">
        <v>871</v>
      </c>
      <c r="I1809" s="35"/>
      <c r="J1809" s="21">
        <f ca="1">_xlfn.XLOOKUP(Master[[#This Row],[Checklist]],Ref!A:A,Ref!B:B)*1000</f>
        <v>161000</v>
      </c>
      <c r="K1809" s="21">
        <f ca="1">COUNTIF($J$2:Master[[#This Row],[ChecklistID]],Master[[#This Row],[ChecklistID]])-1</f>
        <v>18</v>
      </c>
      <c r="L1809" s="23" t="s">
        <v>6</v>
      </c>
    </row>
    <row r="1810" spans="1:12" ht="15.75">
      <c r="A1810" s="23">
        <f t="shared" si="28"/>
        <v>1797</v>
      </c>
      <c r="B1810" s="21">
        <f ca="1">Master[[#This Row],[ChecklistID]]+Master[[#This Row],[Checklist Order]]</f>
        <v>161019</v>
      </c>
      <c r="C1810" s="22"/>
      <c r="D1810" s="23" t="str" cm="1">
        <f t="array" aca="1" ref="D1810" ca="1">_xlfn.SWITCH(MID(Master[[#This Row],[Checklist]],1,4),"C - ","Civil","F - ","Foundation","ST -","Structure","FC -","Façade","PRE ","Pre-Line","POST","Post-Line","H - ","Handover","S - ","Services","CST ","Completion Docs", "I - ", "Inspection")</f>
        <v>Post-Line</v>
      </c>
      <c r="E18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0" s="24" t="str">
        <f ca="1">IF(OR(Master[[#This Row],[Type]]="checklist", Master[[#This Row],[Type]]="checklist-flat"), Master[[#This Row],[Name]], F1809)</f>
        <v xml:space="preserve">POST - S - Second Fix - Plumbing </v>
      </c>
      <c r="G1810" s="34" t="s">
        <v>831</v>
      </c>
      <c r="H1810" s="34" t="s">
        <v>872</v>
      </c>
      <c r="I1810" s="35"/>
      <c r="J1810" s="21">
        <f ca="1">_xlfn.XLOOKUP(Master[[#This Row],[Checklist]],Ref!A:A,Ref!B:B)*1000</f>
        <v>161000</v>
      </c>
      <c r="K1810" s="21">
        <f ca="1">COUNTIF($J$2:Master[[#This Row],[ChecklistID]],Master[[#This Row],[ChecklistID]])-1</f>
        <v>19</v>
      </c>
      <c r="L1810" s="23" t="s">
        <v>6</v>
      </c>
    </row>
    <row r="1811" spans="1:12" ht="15.75">
      <c r="A1811" s="23">
        <f t="shared" si="28"/>
        <v>1798</v>
      </c>
      <c r="B1811" s="21">
        <f ca="1">Master[[#This Row],[ChecklistID]]+Master[[#This Row],[Checklist Order]]</f>
        <v>161020</v>
      </c>
      <c r="C1811" s="22"/>
      <c r="D1811" s="23" t="str" cm="1">
        <f t="array" aca="1" ref="D1811" ca="1">_xlfn.SWITCH(MID(Master[[#This Row],[Checklist]],1,4),"C - ","Civil","F - ","Foundation","ST -","Structure","FC -","Façade","PRE ","Pre-Line","POST","Post-Line","H - ","Handover","S - ","Services","CST ","Completion Docs", "I - ", "Inspection")</f>
        <v>Post-Line</v>
      </c>
      <c r="E18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1" s="24" t="str">
        <f ca="1">IF(OR(Master[[#This Row],[Type]]="checklist", Master[[#This Row],[Type]]="checklist-flat"), Master[[#This Row],[Name]], F1810)</f>
        <v xml:space="preserve">POST - S - Second Fix - Plumbing </v>
      </c>
      <c r="G1811" s="34" t="s">
        <v>831</v>
      </c>
      <c r="H1811" s="34" t="s">
        <v>873</v>
      </c>
      <c r="I1811" s="35"/>
      <c r="J1811" s="21">
        <f ca="1">_xlfn.XLOOKUP(Master[[#This Row],[Checklist]],Ref!A:A,Ref!B:B)*1000</f>
        <v>161000</v>
      </c>
      <c r="K1811" s="21">
        <f ca="1">COUNTIF($J$2:Master[[#This Row],[ChecklistID]],Master[[#This Row],[ChecklistID]])-1</f>
        <v>20</v>
      </c>
      <c r="L1811" s="23" t="s">
        <v>6</v>
      </c>
    </row>
    <row r="1812" spans="1:12" ht="15.75">
      <c r="A1812" s="23">
        <f t="shared" si="28"/>
        <v>1799</v>
      </c>
      <c r="B1812" s="21">
        <f ca="1">Master[[#This Row],[ChecklistID]]+Master[[#This Row],[Checklist Order]]</f>
        <v>161021</v>
      </c>
      <c r="C1812" s="22"/>
      <c r="D1812" s="23" t="str" cm="1">
        <f t="array" aca="1" ref="D1812" ca="1">_xlfn.SWITCH(MID(Master[[#This Row],[Checklist]],1,4),"C - ","Civil","F - ","Foundation","ST -","Structure","FC -","Façade","PRE ","Pre-Line","POST","Post-Line","H - ","Handover","S - ","Services","CST ","Completion Docs", "I - ", "Inspection")</f>
        <v>Post-Line</v>
      </c>
      <c r="E18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2" s="24" t="str">
        <f ca="1">IF(OR(Master[[#This Row],[Type]]="checklist", Master[[#This Row],[Type]]="checklist-flat"), Master[[#This Row],[Name]], F1811)</f>
        <v xml:space="preserve">POST - S - Second Fix - Plumbing </v>
      </c>
      <c r="G1812" s="34" t="s">
        <v>831</v>
      </c>
      <c r="H1812" s="34" t="s">
        <v>874</v>
      </c>
      <c r="I1812" s="35"/>
      <c r="J1812" s="21">
        <f ca="1">_xlfn.XLOOKUP(Master[[#This Row],[Checklist]],Ref!A:A,Ref!B:B)*1000</f>
        <v>161000</v>
      </c>
      <c r="K1812" s="21">
        <f ca="1">COUNTIF($J$2:Master[[#This Row],[ChecklistID]],Master[[#This Row],[ChecklistID]])-1</f>
        <v>21</v>
      </c>
      <c r="L1812" s="23" t="s">
        <v>6</v>
      </c>
    </row>
    <row r="1813" spans="1:12" ht="15.75">
      <c r="A1813" s="23">
        <f t="shared" si="28"/>
        <v>1800</v>
      </c>
      <c r="B1813" s="21">
        <f ca="1">Master[[#This Row],[ChecklistID]]+Master[[#This Row],[Checklist Order]]</f>
        <v>161022</v>
      </c>
      <c r="C1813" s="22"/>
      <c r="D1813" s="23" t="str" cm="1">
        <f t="array" aca="1" ref="D1813" ca="1">_xlfn.SWITCH(MID(Master[[#This Row],[Checklist]],1,4),"C - ","Civil","F - ","Foundation","ST -","Structure","FC -","Façade","PRE ","Pre-Line","POST","Post-Line","H - ","Handover","S - ","Services","CST ","Completion Docs", "I - ", "Inspection")</f>
        <v>Post-Line</v>
      </c>
      <c r="E18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3" s="24" t="str">
        <f ca="1">IF(OR(Master[[#This Row],[Type]]="checklist", Master[[#This Row],[Type]]="checklist-flat"), Master[[#This Row],[Name]], F1812)</f>
        <v xml:space="preserve">POST - S - Second Fix - Plumbing </v>
      </c>
      <c r="G1813" s="34" t="s">
        <v>861</v>
      </c>
      <c r="H1813" s="34" t="s">
        <v>875</v>
      </c>
      <c r="I1813" s="35"/>
      <c r="J1813" s="21">
        <f ca="1">_xlfn.XLOOKUP(Master[[#This Row],[Checklist]],Ref!A:A,Ref!B:B)*1000</f>
        <v>161000</v>
      </c>
      <c r="K1813" s="21">
        <f ca="1">COUNTIF($J$2:Master[[#This Row],[ChecklistID]],Master[[#This Row],[ChecklistID]])-1</f>
        <v>22</v>
      </c>
      <c r="L1813" s="23" t="s">
        <v>6</v>
      </c>
    </row>
    <row r="1814" spans="1:12" ht="15.75">
      <c r="A1814" s="23">
        <f t="shared" si="28"/>
        <v>1801</v>
      </c>
      <c r="B1814" s="21">
        <f ca="1">Master[[#This Row],[ChecklistID]]+Master[[#This Row],[Checklist Order]]</f>
        <v>161023</v>
      </c>
      <c r="C1814" s="22"/>
      <c r="D1814" s="23" t="str" cm="1">
        <f t="array" aca="1" ref="D1814" ca="1">_xlfn.SWITCH(MID(Master[[#This Row],[Checklist]],1,4),"C - ","Civil","F - ","Foundation","ST -","Structure","FC -","Façade","PRE ","Pre-Line","POST","Post-Line","H - ","Handover","S - ","Services","CST ","Completion Docs", "I - ", "Inspection")</f>
        <v>Post-Line</v>
      </c>
      <c r="E18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4" s="24" t="str">
        <f ca="1">IF(OR(Master[[#This Row],[Type]]="checklist", Master[[#This Row],[Type]]="checklist-flat"), Master[[#This Row],[Name]], F1813)</f>
        <v xml:space="preserve">POST - S - Second Fix - Plumbing </v>
      </c>
      <c r="G1814" s="34" t="s">
        <v>831</v>
      </c>
      <c r="H1814" s="34" t="s">
        <v>876</v>
      </c>
      <c r="I1814" s="35"/>
      <c r="J1814" s="21">
        <f ca="1">_xlfn.XLOOKUP(Master[[#This Row],[Checklist]],Ref!A:A,Ref!B:B)*1000</f>
        <v>161000</v>
      </c>
      <c r="K1814" s="21">
        <f ca="1">COUNTIF($J$2:Master[[#This Row],[ChecklistID]],Master[[#This Row],[ChecklistID]])-1</f>
        <v>23</v>
      </c>
      <c r="L1814" s="23" t="s">
        <v>6</v>
      </c>
    </row>
    <row r="1815" spans="1:12" ht="15.75">
      <c r="A1815" s="23">
        <f t="shared" si="28"/>
        <v>1802</v>
      </c>
      <c r="B1815" s="21">
        <f ca="1">Master[[#This Row],[ChecklistID]]+Master[[#This Row],[Checklist Order]]</f>
        <v>161024</v>
      </c>
      <c r="C1815" s="22"/>
      <c r="D1815" s="23" t="str" cm="1">
        <f t="array" aca="1" ref="D1815" ca="1">_xlfn.SWITCH(MID(Master[[#This Row],[Checklist]],1,4),"C - ","Civil","F - ","Foundation","ST -","Structure","FC -","Façade","PRE ","Pre-Line","POST","Post-Line","H - ","Handover","S - ","Services","CST ","Completion Docs", "I - ", "Inspection")</f>
        <v>Post-Line</v>
      </c>
      <c r="E18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5" s="24" t="str">
        <f ca="1">IF(OR(Master[[#This Row],[Type]]="checklist", Master[[#This Row],[Type]]="checklist-flat"), Master[[#This Row],[Name]], F1814)</f>
        <v xml:space="preserve">POST - S - Second Fix - Plumbing </v>
      </c>
      <c r="G1815" s="34" t="s">
        <v>831</v>
      </c>
      <c r="H1815" s="34" t="s">
        <v>877</v>
      </c>
      <c r="I1815" s="35"/>
      <c r="J1815" s="21">
        <f ca="1">_xlfn.XLOOKUP(Master[[#This Row],[Checklist]],Ref!A:A,Ref!B:B)*1000</f>
        <v>161000</v>
      </c>
      <c r="K1815" s="21">
        <f ca="1">COUNTIF($J$2:Master[[#This Row],[ChecklistID]],Master[[#This Row],[ChecklistID]])-1</f>
        <v>24</v>
      </c>
      <c r="L1815" s="23" t="s">
        <v>6</v>
      </c>
    </row>
    <row r="1816" spans="1:12" ht="15.75">
      <c r="A1816" s="23">
        <f t="shared" si="28"/>
        <v>1803</v>
      </c>
      <c r="B1816" s="21">
        <f ca="1">Master[[#This Row],[ChecklistID]]+Master[[#This Row],[Checklist Order]]</f>
        <v>161025</v>
      </c>
      <c r="C1816" s="22"/>
      <c r="D1816" s="23" t="str" cm="1">
        <f t="array" aca="1" ref="D1816" ca="1">_xlfn.SWITCH(MID(Master[[#This Row],[Checklist]],1,4),"C - ","Civil","F - ","Foundation","ST -","Structure","FC -","Façade","PRE ","Pre-Line","POST","Post-Line","H - ","Handover","S - ","Services","CST ","Completion Docs", "I - ", "Inspection")</f>
        <v>Post-Line</v>
      </c>
      <c r="E18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6" s="24" t="str">
        <f ca="1">IF(OR(Master[[#This Row],[Type]]="checklist", Master[[#This Row],[Type]]="checklist-flat"), Master[[#This Row],[Name]], F1815)</f>
        <v xml:space="preserve">POST - S - Second Fix - Plumbing </v>
      </c>
      <c r="G1816" s="34" t="s">
        <v>831</v>
      </c>
      <c r="H1816" s="34" t="s">
        <v>878</v>
      </c>
      <c r="I1816" s="35"/>
      <c r="J1816" s="21">
        <f ca="1">_xlfn.XLOOKUP(Master[[#This Row],[Checklist]],Ref!A:A,Ref!B:B)*1000</f>
        <v>161000</v>
      </c>
      <c r="K1816" s="21">
        <f ca="1">COUNTIF($J$2:Master[[#This Row],[ChecklistID]],Master[[#This Row],[ChecklistID]])-1</f>
        <v>25</v>
      </c>
      <c r="L1816" s="23" t="s">
        <v>6</v>
      </c>
    </row>
    <row r="1817" spans="1:12" ht="15.75">
      <c r="A1817" s="23">
        <f t="shared" si="28"/>
        <v>1804</v>
      </c>
      <c r="B1817" s="21">
        <f ca="1">Master[[#This Row],[ChecklistID]]+Master[[#This Row],[Checklist Order]]</f>
        <v>161026</v>
      </c>
      <c r="C1817" s="22"/>
      <c r="D1817" s="23" t="str" cm="1">
        <f t="array" aca="1" ref="D1817" ca="1">_xlfn.SWITCH(MID(Master[[#This Row],[Checklist]],1,4),"C - ","Civil","F - ","Foundation","ST -","Structure","FC -","Façade","PRE ","Pre-Line","POST","Post-Line","H - ","Handover","S - ","Services","CST ","Completion Docs", "I - ", "Inspection")</f>
        <v>Post-Line</v>
      </c>
      <c r="E18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7" s="24" t="str">
        <f ca="1">IF(OR(Master[[#This Row],[Type]]="checklist", Master[[#This Row],[Type]]="checklist-flat"), Master[[#This Row],[Name]], F1816)</f>
        <v xml:space="preserve">POST - S - Second Fix - Plumbing </v>
      </c>
      <c r="G1817" s="34" t="s">
        <v>831</v>
      </c>
      <c r="H1817" s="34" t="s">
        <v>879</v>
      </c>
      <c r="I1817" s="35"/>
      <c r="J1817" s="21">
        <f ca="1">_xlfn.XLOOKUP(Master[[#This Row],[Checklist]],Ref!A:A,Ref!B:B)*1000</f>
        <v>161000</v>
      </c>
      <c r="K1817" s="21">
        <f ca="1">COUNTIF($J$2:Master[[#This Row],[ChecklistID]],Master[[#This Row],[ChecklistID]])-1</f>
        <v>26</v>
      </c>
      <c r="L1817" s="23" t="s">
        <v>6</v>
      </c>
    </row>
    <row r="1818" spans="1:12" ht="15.75">
      <c r="A1818" s="23">
        <f t="shared" si="28"/>
        <v>1805</v>
      </c>
      <c r="B1818" s="21">
        <f ca="1">Master[[#This Row],[ChecklistID]]+Master[[#This Row],[Checklist Order]]</f>
        <v>161027</v>
      </c>
      <c r="C1818" s="22"/>
      <c r="D1818" s="23" t="str" cm="1">
        <f t="array" aca="1" ref="D1818" ca="1">_xlfn.SWITCH(MID(Master[[#This Row],[Checklist]],1,4),"C - ","Civil","F - ","Foundation","ST -","Structure","FC -","Façade","PRE ","Pre-Line","POST","Post-Line","H - ","Handover","S - ","Services","CST ","Completion Docs", "I - ", "Inspection")</f>
        <v>Post-Line</v>
      </c>
      <c r="E18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8" s="24" t="str">
        <f ca="1">IF(OR(Master[[#This Row],[Type]]="checklist", Master[[#This Row],[Type]]="checklist-flat"), Master[[#This Row],[Name]], F1817)</f>
        <v xml:space="preserve">POST - S - Second Fix - Plumbing </v>
      </c>
      <c r="G1818" s="34" t="s">
        <v>831</v>
      </c>
      <c r="H1818" s="34" t="s">
        <v>880</v>
      </c>
      <c r="I1818" s="35"/>
      <c r="J1818" s="21">
        <f ca="1">_xlfn.XLOOKUP(Master[[#This Row],[Checklist]],Ref!A:A,Ref!B:B)*1000</f>
        <v>161000</v>
      </c>
      <c r="K1818" s="21">
        <f ca="1">COUNTIF($J$2:Master[[#This Row],[ChecklistID]],Master[[#This Row],[ChecklistID]])-1</f>
        <v>27</v>
      </c>
      <c r="L1818" s="23" t="s">
        <v>6</v>
      </c>
    </row>
    <row r="1819" spans="1:12" ht="15.75">
      <c r="A1819" s="23">
        <f t="shared" si="28"/>
        <v>1806</v>
      </c>
      <c r="B1819" s="21">
        <f ca="1">Master[[#This Row],[ChecklistID]]+Master[[#This Row],[Checklist Order]]</f>
        <v>161028</v>
      </c>
      <c r="C1819" s="22"/>
      <c r="D1819" s="23" t="str" cm="1">
        <f t="array" aca="1" ref="D1819" ca="1">_xlfn.SWITCH(MID(Master[[#This Row],[Checklist]],1,4),"C - ","Civil","F - ","Foundation","ST -","Structure","FC -","Façade","PRE ","Pre-Line","POST","Post-Line","H - ","Handover","S - ","Services","CST ","Completion Docs", "I - ", "Inspection")</f>
        <v>Post-Line</v>
      </c>
      <c r="E18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19" s="24" t="str">
        <f ca="1">IF(OR(Master[[#This Row],[Type]]="checklist", Master[[#This Row],[Type]]="checklist-flat"), Master[[#This Row],[Name]], F1818)</f>
        <v xml:space="preserve">POST - S - Second Fix - Plumbing </v>
      </c>
      <c r="G1819" s="34" t="s">
        <v>831</v>
      </c>
      <c r="H1819" s="34" t="s">
        <v>881</v>
      </c>
      <c r="I1819" s="35"/>
      <c r="J1819" s="21">
        <f ca="1">_xlfn.XLOOKUP(Master[[#This Row],[Checklist]],Ref!A:A,Ref!B:B)*1000</f>
        <v>161000</v>
      </c>
      <c r="K1819" s="21">
        <f ca="1">COUNTIF($J$2:Master[[#This Row],[ChecklistID]],Master[[#This Row],[ChecklistID]])-1</f>
        <v>28</v>
      </c>
      <c r="L1819" s="23" t="s">
        <v>6</v>
      </c>
    </row>
    <row r="1820" spans="1:12" ht="15.75">
      <c r="A1820" s="23">
        <f t="shared" si="28"/>
        <v>1807</v>
      </c>
      <c r="B1820" s="21">
        <f ca="1">Master[[#This Row],[ChecklistID]]+Master[[#This Row],[Checklist Order]]</f>
        <v>161029</v>
      </c>
      <c r="C1820" s="22"/>
      <c r="D1820" s="23" t="str" cm="1">
        <f t="array" aca="1" ref="D1820" ca="1">_xlfn.SWITCH(MID(Master[[#This Row],[Checklist]],1,4),"C - ","Civil","F - ","Foundation","ST -","Structure","FC -","Façade","PRE ","Pre-Line","POST","Post-Line","H - ","Handover","S - ","Services","CST ","Completion Docs", "I - ", "Inspection")</f>
        <v>Post-Line</v>
      </c>
      <c r="E18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0" s="24" t="str">
        <f ca="1">IF(OR(Master[[#This Row],[Type]]="checklist", Master[[#This Row],[Type]]="checklist-flat"), Master[[#This Row],[Name]], F1819)</f>
        <v xml:space="preserve">POST - S - Second Fix - Plumbing </v>
      </c>
      <c r="G1820" s="34" t="s">
        <v>831</v>
      </c>
      <c r="H1820" s="34" t="s">
        <v>882</v>
      </c>
      <c r="I1820" s="35"/>
      <c r="J1820" s="21">
        <f ca="1">_xlfn.XLOOKUP(Master[[#This Row],[Checklist]],Ref!A:A,Ref!B:B)*1000</f>
        <v>161000</v>
      </c>
      <c r="K1820" s="21">
        <f ca="1">COUNTIF($J$2:Master[[#This Row],[ChecklistID]],Master[[#This Row],[ChecklistID]])-1</f>
        <v>29</v>
      </c>
      <c r="L1820" s="23" t="s">
        <v>6</v>
      </c>
    </row>
    <row r="1821" spans="1:12" ht="15.75">
      <c r="A1821" s="23">
        <f t="shared" si="28"/>
        <v>1808</v>
      </c>
      <c r="B1821" s="21">
        <f ca="1">Master[[#This Row],[ChecklistID]]+Master[[#This Row],[Checklist Order]]</f>
        <v>161030</v>
      </c>
      <c r="C1821" s="22"/>
      <c r="D1821" s="23" t="str" cm="1">
        <f t="array" aca="1" ref="D1821" ca="1">_xlfn.SWITCH(MID(Master[[#This Row],[Checklist]],1,4),"C - ","Civil","F - ","Foundation","ST -","Structure","FC -","Façade","PRE ","Pre-Line","POST","Post-Line","H - ","Handover","S - ","Services","CST ","Completion Docs", "I - ", "Inspection")</f>
        <v>Post-Line</v>
      </c>
      <c r="E18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1" s="24" t="str">
        <f ca="1">IF(OR(Master[[#This Row],[Type]]="checklist", Master[[#This Row],[Type]]="checklist-flat"), Master[[#This Row],[Name]], F1820)</f>
        <v xml:space="preserve">POST - S - Second Fix - Plumbing </v>
      </c>
      <c r="G1821" s="34" t="s">
        <v>58</v>
      </c>
      <c r="H1821" s="34" t="s">
        <v>883</v>
      </c>
      <c r="I1821" s="35"/>
      <c r="J1821" s="21">
        <f ca="1">_xlfn.XLOOKUP(Master[[#This Row],[Checklist]],Ref!A:A,Ref!B:B)*1000</f>
        <v>161000</v>
      </c>
      <c r="K1821" s="21">
        <f ca="1">COUNTIF($J$2:Master[[#This Row],[ChecklistID]],Master[[#This Row],[ChecklistID]])-1</f>
        <v>30</v>
      </c>
      <c r="L1821" s="23" t="s">
        <v>6</v>
      </c>
    </row>
    <row r="1822" spans="1:12" ht="15.75">
      <c r="A1822" s="23">
        <f t="shared" si="28"/>
        <v>1809</v>
      </c>
      <c r="B1822" s="21">
        <f ca="1">Master[[#This Row],[ChecklistID]]+Master[[#This Row],[Checklist Order]]</f>
        <v>161031</v>
      </c>
      <c r="C1822" s="22"/>
      <c r="D1822" s="23" t="str" cm="1">
        <f t="array" aca="1" ref="D1822" ca="1">_xlfn.SWITCH(MID(Master[[#This Row],[Checklist]],1,4),"C - ","Civil","F - ","Foundation","ST -","Structure","FC -","Façade","PRE ","Pre-Line","POST","Post-Line","H - ","Handover","S - ","Services","CST ","Completion Docs", "I - ", "Inspection")</f>
        <v>Post-Line</v>
      </c>
      <c r="E18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2" s="24" t="str">
        <f ca="1">IF(OR(Master[[#This Row],[Type]]="checklist", Master[[#This Row],[Type]]="checklist-flat"), Master[[#This Row],[Name]], F1821)</f>
        <v xml:space="preserve">POST - S - Second Fix - Plumbing </v>
      </c>
      <c r="G1822" s="34" t="s">
        <v>49</v>
      </c>
      <c r="H1822" s="34" t="s">
        <v>57</v>
      </c>
      <c r="I1822" s="35"/>
      <c r="J1822" s="21">
        <f ca="1">_xlfn.XLOOKUP(Master[[#This Row],[Checklist]],Ref!A:A,Ref!B:B)*1000</f>
        <v>161000</v>
      </c>
      <c r="K1822" s="21">
        <f ca="1">COUNTIF($J$2:Master[[#This Row],[ChecklistID]],Master[[#This Row],[ChecklistID]])-1</f>
        <v>31</v>
      </c>
      <c r="L1822" s="23" t="s">
        <v>6</v>
      </c>
    </row>
    <row r="1823" spans="1:12" ht="15.75">
      <c r="A1823" s="23">
        <f t="shared" si="28"/>
        <v>1810</v>
      </c>
      <c r="B1823" s="21">
        <f ca="1">Master[[#This Row],[ChecklistID]]+Master[[#This Row],[Checklist Order]]</f>
        <v>161032</v>
      </c>
      <c r="C1823" s="22"/>
      <c r="D1823" s="23" t="str" cm="1">
        <f t="array" aca="1" ref="D1823" ca="1">_xlfn.SWITCH(MID(Master[[#This Row],[Checklist]],1,4),"C - ","Civil","F - ","Foundation","ST -","Structure","FC -","Façade","PRE ","Pre-Line","POST","Post-Line","H - ","Handover","S - ","Services","CST ","Completion Docs", "I - ", "Inspection")</f>
        <v>Post-Line</v>
      </c>
      <c r="E18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3" s="24" t="str">
        <f ca="1">IF(OR(Master[[#This Row],[Type]]="checklist", Master[[#This Row],[Type]]="checklist-flat"), Master[[#This Row],[Name]], F1822)</f>
        <v xml:space="preserve">POST - S - Second Fix - Plumbing </v>
      </c>
      <c r="G1823" s="34" t="s">
        <v>58</v>
      </c>
      <c r="H1823" s="34" t="s">
        <v>59</v>
      </c>
      <c r="I1823" s="35"/>
      <c r="J1823" s="21">
        <f ca="1">_xlfn.XLOOKUP(Master[[#This Row],[Checklist]],Ref!A:A,Ref!B:B)*1000</f>
        <v>161000</v>
      </c>
      <c r="K1823" s="21">
        <f ca="1">COUNTIF($J$2:Master[[#This Row],[ChecklistID]],Master[[#This Row],[ChecklistID]])-1</f>
        <v>32</v>
      </c>
      <c r="L1823" s="23" t="s">
        <v>6</v>
      </c>
    </row>
    <row r="1824" spans="1:12" ht="15.75">
      <c r="A1824" s="23">
        <f t="shared" si="28"/>
        <v>1811</v>
      </c>
      <c r="B1824" s="21">
        <f ca="1">Master[[#This Row],[ChecklistID]]+Master[[#This Row],[Checklist Order]]</f>
        <v>162000</v>
      </c>
      <c r="C1824" s="22"/>
      <c r="D1824" s="23" t="str" cm="1">
        <f t="array" aca="1" ref="D1824" ca="1">_xlfn.SWITCH(MID(Master[[#This Row],[Checklist]],1,4),"C - ","Civil","F - ","Foundation","ST -","Structure","FC -","Façade","PRE ","Pre-Line","POST","Post-Line","H - ","Handover","S - ","Services","CST ","Completion Docs", "I - ", "Inspection")</f>
        <v>Façade</v>
      </c>
      <c r="E18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4" s="24" t="str">
        <f ca="1">IF(OR(Master[[#This Row],[Type]]="checklist", Master[[#This Row],[Type]]="checklist-flat"), Master[[#This Row],[Name]], F1823)</f>
        <v>FC - S - Eyebrow - Canopy</v>
      </c>
      <c r="G1824" s="34" t="s">
        <v>48</v>
      </c>
      <c r="H1824" s="34" t="s">
        <v>884</v>
      </c>
      <c r="I1824" s="35"/>
      <c r="J1824" s="21">
        <f ca="1">_xlfn.XLOOKUP(Master[[#This Row],[Checklist]],Ref!A:A,Ref!B:B)*1000</f>
        <v>162000</v>
      </c>
      <c r="K1824" s="21">
        <f ca="1">COUNTIF($J$2:Master[[#This Row],[ChecklistID]],Master[[#This Row],[ChecklistID]])-1</f>
        <v>0</v>
      </c>
      <c r="L1824" s="23" t="s">
        <v>6</v>
      </c>
    </row>
    <row r="1825" spans="1:12" ht="15.75">
      <c r="A1825" s="23">
        <f t="shared" si="28"/>
        <v>1812</v>
      </c>
      <c r="B1825" s="21">
        <f ca="1">Master[[#This Row],[ChecklistID]]+Master[[#This Row],[Checklist Order]]</f>
        <v>162001</v>
      </c>
      <c r="C1825" s="22"/>
      <c r="D1825" s="23" t="str" cm="1">
        <f t="array" aca="1" ref="D1825" ca="1">_xlfn.SWITCH(MID(Master[[#This Row],[Checklist]],1,4),"C - ","Civil","F - ","Foundation","ST -","Structure","FC -","Façade","PRE ","Pre-Line","POST","Post-Line","H - ","Handover","S - ","Services","CST ","Completion Docs", "I - ", "Inspection")</f>
        <v>Façade</v>
      </c>
      <c r="E18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5" s="24" t="str">
        <f ca="1">IF(OR(Master[[#This Row],[Type]]="checklist", Master[[#This Row],[Type]]="checklist-flat"), Master[[#This Row],[Name]], F1824)</f>
        <v>FC - S - Eyebrow - Canopy</v>
      </c>
      <c r="G1825" s="34" t="s">
        <v>49</v>
      </c>
      <c r="H1825" s="34" t="s">
        <v>540</v>
      </c>
      <c r="I1825" s="35"/>
      <c r="J1825" s="21">
        <f ca="1">_xlfn.XLOOKUP(Master[[#This Row],[Checklist]],Ref!A:A,Ref!B:B)*1000</f>
        <v>162000</v>
      </c>
      <c r="K1825" s="21">
        <f ca="1">COUNTIF($J$2:Master[[#This Row],[ChecklistID]],Master[[#This Row],[ChecklistID]])-1</f>
        <v>1</v>
      </c>
      <c r="L1825" s="23" t="s">
        <v>6</v>
      </c>
    </row>
    <row r="1826" spans="1:12" ht="15.75">
      <c r="A1826" s="23">
        <f t="shared" si="28"/>
        <v>1813</v>
      </c>
      <c r="B1826" s="21">
        <f ca="1">Master[[#This Row],[ChecklistID]]+Master[[#This Row],[Checklist Order]]</f>
        <v>162002</v>
      </c>
      <c r="C1826" s="22"/>
      <c r="D1826" s="23" t="str" cm="1">
        <f t="array" aca="1" ref="D1826" ca="1">_xlfn.SWITCH(MID(Master[[#This Row],[Checklist]],1,4),"C - ","Civil","F - ","Foundation","ST -","Structure","FC -","Façade","PRE ","Pre-Line","POST","Post-Line","H - ","Handover","S - ","Services","CST ","Completion Docs", "I - ", "Inspection")</f>
        <v>Façade</v>
      </c>
      <c r="E18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6" s="24" t="str">
        <f ca="1">IF(OR(Master[[#This Row],[Type]]="checklist", Master[[#This Row],[Type]]="checklist-flat"), Master[[#This Row],[Name]], F1825)</f>
        <v>FC - S - Eyebrow - Canopy</v>
      </c>
      <c r="G1826" s="34" t="s">
        <v>49</v>
      </c>
      <c r="H1826" s="34" t="s">
        <v>541</v>
      </c>
      <c r="I1826" s="35"/>
      <c r="J1826" s="21">
        <f ca="1">_xlfn.XLOOKUP(Master[[#This Row],[Checklist]],Ref!A:A,Ref!B:B)*1000</f>
        <v>162000</v>
      </c>
      <c r="K1826" s="21">
        <f ca="1">COUNTIF($J$2:Master[[#This Row],[ChecklistID]],Master[[#This Row],[ChecklistID]])-1</f>
        <v>2</v>
      </c>
      <c r="L1826" s="23" t="s">
        <v>6</v>
      </c>
    </row>
    <row r="1827" spans="1:12" ht="15.75">
      <c r="A1827" s="23">
        <f t="shared" si="28"/>
        <v>1814</v>
      </c>
      <c r="B1827" s="21">
        <f ca="1">Master[[#This Row],[ChecklistID]]+Master[[#This Row],[Checklist Order]]</f>
        <v>162003</v>
      </c>
      <c r="C1827" s="22"/>
      <c r="D1827" s="23" t="str" cm="1">
        <f t="array" aca="1" ref="D1827" ca="1">_xlfn.SWITCH(MID(Master[[#This Row],[Checklist]],1,4),"C - ","Civil","F - ","Foundation","ST -","Structure","FC -","Façade","PRE ","Pre-Line","POST","Post-Line","H - ","Handover","S - ","Services","CST ","Completion Docs", "I - ", "Inspection")</f>
        <v>Façade</v>
      </c>
      <c r="E18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7" s="24" t="str">
        <f ca="1">IF(OR(Master[[#This Row],[Type]]="checklist", Master[[#This Row],[Type]]="checklist-flat"), Master[[#This Row],[Name]], F1826)</f>
        <v>FC - S - Eyebrow - Canopy</v>
      </c>
      <c r="G1827" s="34" t="s">
        <v>49</v>
      </c>
      <c r="H1827" s="34" t="s">
        <v>542</v>
      </c>
      <c r="I1827" s="35"/>
      <c r="J1827" s="21">
        <f ca="1">_xlfn.XLOOKUP(Master[[#This Row],[Checklist]],Ref!A:A,Ref!B:B)*1000</f>
        <v>162000</v>
      </c>
      <c r="K1827" s="21">
        <f ca="1">COUNTIF($J$2:Master[[#This Row],[ChecklistID]],Master[[#This Row],[ChecklistID]])-1</f>
        <v>3</v>
      </c>
      <c r="L1827" s="23" t="s">
        <v>6</v>
      </c>
    </row>
    <row r="1828" spans="1:12" ht="15.75">
      <c r="A1828" s="23">
        <f t="shared" si="28"/>
        <v>1815</v>
      </c>
      <c r="B1828" s="21">
        <f ca="1">Master[[#This Row],[ChecklistID]]+Master[[#This Row],[Checklist Order]]</f>
        <v>162004</v>
      </c>
      <c r="C1828" s="22"/>
      <c r="D1828" s="23" t="str" cm="1">
        <f t="array" aca="1" ref="D1828" ca="1">_xlfn.SWITCH(MID(Master[[#This Row],[Checklist]],1,4),"C - ","Civil","F - ","Foundation","ST -","Structure","FC -","Façade","PRE ","Pre-Line","POST","Post-Line","H - ","Handover","S - ","Services","CST ","Completion Docs", "I - ", "Inspection")</f>
        <v>Façade</v>
      </c>
      <c r="E18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8" s="24" t="str">
        <f ca="1">IF(OR(Master[[#This Row],[Type]]="checklist", Master[[#This Row],[Type]]="checklist-flat"), Master[[#This Row],[Name]], F1827)</f>
        <v>FC - S - Eyebrow - Canopy</v>
      </c>
      <c r="G1828" s="34" t="s">
        <v>49</v>
      </c>
      <c r="H1828" s="34" t="s">
        <v>543</v>
      </c>
      <c r="I1828" s="35"/>
      <c r="J1828" s="21">
        <f ca="1">_xlfn.XLOOKUP(Master[[#This Row],[Checklist]],Ref!A:A,Ref!B:B)*1000</f>
        <v>162000</v>
      </c>
      <c r="K1828" s="21">
        <f ca="1">COUNTIF($J$2:Master[[#This Row],[ChecklistID]],Master[[#This Row],[ChecklistID]])-1</f>
        <v>4</v>
      </c>
      <c r="L1828" s="23" t="s">
        <v>6</v>
      </c>
    </row>
    <row r="1829" spans="1:12" ht="15.75">
      <c r="A1829" s="23">
        <f t="shared" si="28"/>
        <v>1816</v>
      </c>
      <c r="B1829" s="21">
        <f ca="1">Master[[#This Row],[ChecklistID]]+Master[[#This Row],[Checklist Order]]</f>
        <v>162005</v>
      </c>
      <c r="C1829" s="22"/>
      <c r="D1829" s="23" t="str" cm="1">
        <f t="array" aca="1" ref="D1829" ca="1">_xlfn.SWITCH(MID(Master[[#This Row],[Checklist]],1,4),"C - ","Civil","F - ","Foundation","ST -","Structure","FC -","Façade","PRE ","Pre-Line","POST","Post-Line","H - ","Handover","S - ","Services","CST ","Completion Docs", "I - ", "Inspection")</f>
        <v>Façade</v>
      </c>
      <c r="E18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29" s="24" t="str">
        <f ca="1">IF(OR(Master[[#This Row],[Type]]="checklist", Master[[#This Row],[Type]]="checklist-flat"), Master[[#This Row],[Name]], F1828)</f>
        <v>FC - S - Eyebrow - Canopy</v>
      </c>
      <c r="G1829" s="34" t="s">
        <v>49</v>
      </c>
      <c r="H1829" s="34" t="s">
        <v>544</v>
      </c>
      <c r="I1829" s="35"/>
      <c r="J1829" s="21">
        <f ca="1">_xlfn.XLOOKUP(Master[[#This Row],[Checklist]],Ref!A:A,Ref!B:B)*1000</f>
        <v>162000</v>
      </c>
      <c r="K1829" s="21">
        <f ca="1">COUNTIF($J$2:Master[[#This Row],[ChecklistID]],Master[[#This Row],[ChecklistID]])-1</f>
        <v>5</v>
      </c>
      <c r="L1829" s="23" t="s">
        <v>6</v>
      </c>
    </row>
    <row r="1830" spans="1:12" ht="15.75">
      <c r="A1830" s="23">
        <f t="shared" si="28"/>
        <v>1817</v>
      </c>
      <c r="B1830" s="21">
        <f ca="1">Master[[#This Row],[ChecklistID]]+Master[[#This Row],[Checklist Order]]</f>
        <v>162006</v>
      </c>
      <c r="C1830" s="22"/>
      <c r="D1830" s="23" t="str" cm="1">
        <f t="array" aca="1" ref="D1830" ca="1">_xlfn.SWITCH(MID(Master[[#This Row],[Checklist]],1,4),"C - ","Civil","F - ","Foundation","ST -","Structure","FC -","Façade","PRE ","Pre-Line","POST","Post-Line","H - ","Handover","S - ","Services","CST ","Completion Docs", "I - ", "Inspection")</f>
        <v>Façade</v>
      </c>
      <c r="E18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0" s="24" t="str">
        <f ca="1">IF(OR(Master[[#This Row],[Type]]="checklist", Master[[#This Row],[Type]]="checklist-flat"), Master[[#This Row],[Name]], F1829)</f>
        <v>FC - S - Eyebrow - Canopy</v>
      </c>
      <c r="G1830" s="34" t="s">
        <v>49</v>
      </c>
      <c r="H1830" s="34" t="s">
        <v>545</v>
      </c>
      <c r="I1830" s="35"/>
      <c r="J1830" s="21">
        <f ca="1">_xlfn.XLOOKUP(Master[[#This Row],[Checklist]],Ref!A:A,Ref!B:B)*1000</f>
        <v>162000</v>
      </c>
      <c r="K1830" s="21">
        <f ca="1">COUNTIF($J$2:Master[[#This Row],[ChecklistID]],Master[[#This Row],[ChecklistID]])-1</f>
        <v>6</v>
      </c>
      <c r="L1830" s="23" t="s">
        <v>6</v>
      </c>
    </row>
    <row r="1831" spans="1:12" ht="15.75">
      <c r="A1831" s="23">
        <f t="shared" si="28"/>
        <v>1818</v>
      </c>
      <c r="B1831" s="21">
        <f ca="1">Master[[#This Row],[ChecklistID]]+Master[[#This Row],[Checklist Order]]</f>
        <v>162007</v>
      </c>
      <c r="C1831" s="22"/>
      <c r="D1831" s="23" t="str" cm="1">
        <f t="array" aca="1" ref="D1831" ca="1">_xlfn.SWITCH(MID(Master[[#This Row],[Checklist]],1,4),"C - ","Civil","F - ","Foundation","ST -","Structure","FC -","Façade","PRE ","Pre-Line","POST","Post-Line","H - ","Handover","S - ","Services","CST ","Completion Docs", "I - ", "Inspection")</f>
        <v>Façade</v>
      </c>
      <c r="E18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1" s="24" t="str">
        <f ca="1">IF(OR(Master[[#This Row],[Type]]="checklist", Master[[#This Row],[Type]]="checklist-flat"), Master[[#This Row],[Name]], F1830)</f>
        <v>FC - S - Eyebrow - Canopy</v>
      </c>
      <c r="G1831" s="34" t="s">
        <v>49</v>
      </c>
      <c r="H1831" s="34" t="s">
        <v>546</v>
      </c>
      <c r="I1831" s="35"/>
      <c r="J1831" s="21">
        <f ca="1">_xlfn.XLOOKUP(Master[[#This Row],[Checklist]],Ref!A:A,Ref!B:B)*1000</f>
        <v>162000</v>
      </c>
      <c r="K1831" s="21">
        <f ca="1">COUNTIF($J$2:Master[[#This Row],[ChecklistID]],Master[[#This Row],[ChecklistID]])-1</f>
        <v>7</v>
      </c>
      <c r="L1831" s="23" t="s">
        <v>6</v>
      </c>
    </row>
    <row r="1832" spans="1:12" ht="15.75">
      <c r="A1832" s="23">
        <f t="shared" si="28"/>
        <v>1819</v>
      </c>
      <c r="B1832" s="21">
        <f ca="1">Master[[#This Row],[ChecklistID]]+Master[[#This Row],[Checklist Order]]</f>
        <v>162008</v>
      </c>
      <c r="C1832" s="22"/>
      <c r="D1832" s="23" t="str" cm="1">
        <f t="array" aca="1" ref="D1832" ca="1">_xlfn.SWITCH(MID(Master[[#This Row],[Checklist]],1,4),"C - ","Civil","F - ","Foundation","ST -","Structure","FC -","Façade","PRE ","Pre-Line","POST","Post-Line","H - ","Handover","S - ","Services","CST ","Completion Docs", "I - ", "Inspection")</f>
        <v>Façade</v>
      </c>
      <c r="E18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2" s="24" t="str">
        <f ca="1">IF(OR(Master[[#This Row],[Type]]="checklist", Master[[#This Row],[Type]]="checklist-flat"), Master[[#This Row],[Name]], F1831)</f>
        <v>FC - S - Eyebrow - Canopy</v>
      </c>
      <c r="G1832" s="34" t="s">
        <v>49</v>
      </c>
      <c r="H1832" s="34" t="s">
        <v>57</v>
      </c>
      <c r="I1832" s="35"/>
      <c r="J1832" s="21">
        <f ca="1">_xlfn.XLOOKUP(Master[[#This Row],[Checklist]],Ref!A:A,Ref!B:B)*1000</f>
        <v>162000</v>
      </c>
      <c r="K1832" s="21">
        <f ca="1">COUNTIF($J$2:Master[[#This Row],[ChecklistID]],Master[[#This Row],[ChecklistID]])-1</f>
        <v>8</v>
      </c>
      <c r="L1832" s="23" t="s">
        <v>6</v>
      </c>
    </row>
    <row r="1833" spans="1:12" ht="15.75">
      <c r="A1833" s="23">
        <f t="shared" si="28"/>
        <v>1820</v>
      </c>
      <c r="B1833" s="21">
        <f ca="1">Master[[#This Row],[ChecklistID]]+Master[[#This Row],[Checklist Order]]</f>
        <v>162009</v>
      </c>
      <c r="C1833" s="22"/>
      <c r="D1833" s="23" t="str" cm="1">
        <f t="array" aca="1" ref="D1833" ca="1">_xlfn.SWITCH(MID(Master[[#This Row],[Checklist]],1,4),"C - ","Civil","F - ","Foundation","ST -","Structure","FC -","Façade","PRE ","Pre-Line","POST","Post-Line","H - ","Handover","S - ","Services","CST ","Completion Docs", "I - ", "Inspection")</f>
        <v>Façade</v>
      </c>
      <c r="E18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3" s="24" t="str">
        <f ca="1">IF(OR(Master[[#This Row],[Type]]="checklist", Master[[#This Row],[Type]]="checklist-flat"), Master[[#This Row],[Name]], F1832)</f>
        <v>FC - S - Eyebrow - Canopy</v>
      </c>
      <c r="G1833" s="34" t="s">
        <v>58</v>
      </c>
      <c r="H1833" s="34" t="s">
        <v>59</v>
      </c>
      <c r="I1833" s="35"/>
      <c r="J1833" s="21">
        <f ca="1">_xlfn.XLOOKUP(Master[[#This Row],[Checklist]],Ref!A:A,Ref!B:B)*1000</f>
        <v>162000</v>
      </c>
      <c r="K1833" s="21">
        <f ca="1">COUNTIF($J$2:Master[[#This Row],[ChecklistID]],Master[[#This Row],[ChecklistID]])-1</f>
        <v>9</v>
      </c>
      <c r="L1833" s="23" t="s">
        <v>6</v>
      </c>
    </row>
    <row r="1834" spans="1:12" ht="15.75">
      <c r="A1834" s="23">
        <f t="shared" si="28"/>
        <v>1821</v>
      </c>
      <c r="B1834" s="21">
        <f ca="1">Master[[#This Row],[ChecklistID]]+Master[[#This Row],[Checklist Order]]</f>
        <v>163000</v>
      </c>
      <c r="C1834" s="22"/>
      <c r="D1834" s="23" t="str" cm="1">
        <f t="array" aca="1" ref="D1834" ca="1">_xlfn.SWITCH(MID(Master[[#This Row],[Checklist]],1,4),"C - ","Civil","F - ","Foundation","ST -","Structure","FC -","Façade","PRE ","Pre-Line","POST","Post-Line","H - ","Handover","S - ","Services","CST ","Completion Docs", "I - ", "Inspection")</f>
        <v>Façade</v>
      </c>
      <c r="E18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4" s="24" t="str">
        <f ca="1">IF(OR(Master[[#This Row],[Type]]="checklist", Master[[#This Row],[Type]]="checklist-flat"), Master[[#This Row],[Name]], F1833)</f>
        <v>FC - S - Passive fire</v>
      </c>
      <c r="G1834" s="34" t="s">
        <v>48</v>
      </c>
      <c r="H1834" s="34" t="s">
        <v>885</v>
      </c>
      <c r="I1834" s="35"/>
      <c r="J1834" s="21">
        <f ca="1">_xlfn.XLOOKUP(Master[[#This Row],[Checklist]],Ref!A:A,Ref!B:B)*1000</f>
        <v>163000</v>
      </c>
      <c r="K1834" s="21">
        <f ca="1">COUNTIF($J$2:Master[[#This Row],[ChecklistID]],Master[[#This Row],[ChecklistID]])-1</f>
        <v>0</v>
      </c>
      <c r="L1834" s="23" t="s">
        <v>6</v>
      </c>
    </row>
    <row r="1835" spans="1:12" ht="15.75">
      <c r="A1835" s="23">
        <f t="shared" si="28"/>
        <v>1822</v>
      </c>
      <c r="B1835" s="21">
        <f ca="1">Master[[#This Row],[ChecklistID]]+Master[[#This Row],[Checklist Order]]</f>
        <v>163001</v>
      </c>
      <c r="C1835" s="22"/>
      <c r="D1835" s="23" t="str" cm="1">
        <f t="array" aca="1" ref="D1835" ca="1">_xlfn.SWITCH(MID(Master[[#This Row],[Checklist]],1,4),"C - ","Civil","F - ","Foundation","ST -","Structure","FC -","Façade","PRE ","Pre-Line","POST","Post-Line","H - ","Handover","S - ","Services","CST ","Completion Docs", "I - ", "Inspection")</f>
        <v>Façade</v>
      </c>
      <c r="E18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5" s="24" t="str">
        <f ca="1">IF(OR(Master[[#This Row],[Type]]="checklist", Master[[#This Row],[Type]]="checklist-flat"), Master[[#This Row],[Name]], F1834)</f>
        <v>FC - S - Passive fire</v>
      </c>
      <c r="G1835" s="34" t="s">
        <v>49</v>
      </c>
      <c r="H1835" s="34" t="s">
        <v>886</v>
      </c>
      <c r="I1835" s="35"/>
      <c r="J1835" s="21">
        <f ca="1">_xlfn.XLOOKUP(Master[[#This Row],[Checklist]],Ref!A:A,Ref!B:B)*1000</f>
        <v>163000</v>
      </c>
      <c r="K1835" s="21">
        <f ca="1">COUNTIF($J$2:Master[[#This Row],[ChecklistID]],Master[[#This Row],[ChecklistID]])-1</f>
        <v>1</v>
      </c>
      <c r="L1835" s="23" t="s">
        <v>6</v>
      </c>
    </row>
    <row r="1836" spans="1:12" ht="15.75">
      <c r="A1836" s="23">
        <f t="shared" si="28"/>
        <v>1823</v>
      </c>
      <c r="B1836" s="21">
        <f ca="1">Master[[#This Row],[ChecklistID]]+Master[[#This Row],[Checklist Order]]</f>
        <v>163002</v>
      </c>
      <c r="C1836" s="22"/>
      <c r="D1836" s="23" t="str" cm="1">
        <f t="array" aca="1" ref="D1836" ca="1">_xlfn.SWITCH(MID(Master[[#This Row],[Checklist]],1,4),"C - ","Civil","F - ","Foundation","ST -","Structure","FC -","Façade","PRE ","Pre-Line","POST","Post-Line","H - ","Handover","S - ","Services","CST ","Completion Docs", "I - ", "Inspection")</f>
        <v>Façade</v>
      </c>
      <c r="E18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6" s="24" t="str">
        <f ca="1">IF(OR(Master[[#This Row],[Type]]="checklist", Master[[#This Row],[Type]]="checklist-flat"), Master[[#This Row],[Name]], F1835)</f>
        <v>FC - S - Passive fire</v>
      </c>
      <c r="G1836" s="34" t="s">
        <v>49</v>
      </c>
      <c r="H1836" s="34" t="s">
        <v>887</v>
      </c>
      <c r="I1836" s="35"/>
      <c r="J1836" s="21">
        <f ca="1">_xlfn.XLOOKUP(Master[[#This Row],[Checklist]],Ref!A:A,Ref!B:B)*1000</f>
        <v>163000</v>
      </c>
      <c r="K1836" s="21">
        <f ca="1">COUNTIF($J$2:Master[[#This Row],[ChecklistID]],Master[[#This Row],[ChecklistID]])-1</f>
        <v>2</v>
      </c>
      <c r="L1836" s="23" t="s">
        <v>6</v>
      </c>
    </row>
    <row r="1837" spans="1:12" ht="15.75">
      <c r="A1837" s="23">
        <f t="shared" si="28"/>
        <v>1824</v>
      </c>
      <c r="B1837" s="21">
        <f ca="1">Master[[#This Row],[ChecklistID]]+Master[[#This Row],[Checklist Order]]</f>
        <v>163003</v>
      </c>
      <c r="C1837" s="22"/>
      <c r="D1837" s="23" t="str" cm="1">
        <f t="array" aca="1" ref="D1837" ca="1">_xlfn.SWITCH(MID(Master[[#This Row],[Checklist]],1,4),"C - ","Civil","F - ","Foundation","ST -","Structure","FC -","Façade","PRE ","Pre-Line","POST","Post-Line","H - ","Handover","S - ","Services","CST ","Completion Docs", "I - ", "Inspection")</f>
        <v>Façade</v>
      </c>
      <c r="E18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7" s="24" t="str">
        <f ca="1">IF(OR(Master[[#This Row],[Type]]="checklist", Master[[#This Row],[Type]]="checklist-flat"), Master[[#This Row],[Name]], F1836)</f>
        <v>FC - S - Passive fire</v>
      </c>
      <c r="G1837" s="34" t="s">
        <v>49</v>
      </c>
      <c r="H1837" s="34" t="s">
        <v>888</v>
      </c>
      <c r="I1837" s="35"/>
      <c r="J1837" s="21">
        <f ca="1">_xlfn.XLOOKUP(Master[[#This Row],[Checklist]],Ref!A:A,Ref!B:B)*1000</f>
        <v>163000</v>
      </c>
      <c r="K1837" s="21">
        <f ca="1">COUNTIF($J$2:Master[[#This Row],[ChecklistID]],Master[[#This Row],[ChecklistID]])-1</f>
        <v>3</v>
      </c>
      <c r="L1837" s="23" t="s">
        <v>6</v>
      </c>
    </row>
    <row r="1838" spans="1:12" ht="15.75">
      <c r="A1838" s="23">
        <f t="shared" si="28"/>
        <v>1825</v>
      </c>
      <c r="B1838" s="21">
        <f ca="1">Master[[#This Row],[ChecklistID]]+Master[[#This Row],[Checklist Order]]</f>
        <v>163004</v>
      </c>
      <c r="C1838" s="22"/>
      <c r="D1838" s="23" t="str" cm="1">
        <f t="array" aca="1" ref="D1838" ca="1">_xlfn.SWITCH(MID(Master[[#This Row],[Checklist]],1,4),"C - ","Civil","F - ","Foundation","ST -","Structure","FC -","Façade","PRE ","Pre-Line","POST","Post-Line","H - ","Handover","S - ","Services","CST ","Completion Docs", "I - ", "Inspection")</f>
        <v>Façade</v>
      </c>
      <c r="E18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8" s="24" t="str">
        <f ca="1">IF(OR(Master[[#This Row],[Type]]="checklist", Master[[#This Row],[Type]]="checklist-flat"), Master[[#This Row],[Name]], F1837)</f>
        <v>FC - S - Passive fire</v>
      </c>
      <c r="G1838" s="34" t="s">
        <v>49</v>
      </c>
      <c r="H1838" s="34" t="s">
        <v>1709</v>
      </c>
      <c r="I1838" s="35"/>
      <c r="J1838" s="21">
        <f ca="1">_xlfn.XLOOKUP(Master[[#This Row],[Checklist]],Ref!A:A,Ref!B:B)*1000</f>
        <v>163000</v>
      </c>
      <c r="K1838" s="21">
        <f ca="1">COUNTIF($J$2:Master[[#This Row],[ChecklistID]],Master[[#This Row],[ChecklistID]])-1</f>
        <v>4</v>
      </c>
      <c r="L1838" s="23" t="s">
        <v>6</v>
      </c>
    </row>
    <row r="1839" spans="1:12" ht="15.75">
      <c r="A1839" s="23">
        <f t="shared" si="28"/>
        <v>1826</v>
      </c>
      <c r="B1839" s="21">
        <f ca="1">Master[[#This Row],[ChecklistID]]+Master[[#This Row],[Checklist Order]]</f>
        <v>163005</v>
      </c>
      <c r="C1839" s="22"/>
      <c r="D1839" s="23" t="str" cm="1">
        <f t="array" aca="1" ref="D1839" ca="1">_xlfn.SWITCH(MID(Master[[#This Row],[Checklist]],1,4),"C - ","Civil","F - ","Foundation","ST -","Structure","FC -","Façade","PRE ","Pre-Line","POST","Post-Line","H - ","Handover","S - ","Services","CST ","Completion Docs", "I - ", "Inspection")</f>
        <v>Façade</v>
      </c>
      <c r="E18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39" s="24" t="str">
        <f ca="1">IF(OR(Master[[#This Row],[Type]]="checklist", Master[[#This Row],[Type]]="checklist-flat"), Master[[#This Row],[Name]], F1838)</f>
        <v>FC - S - Passive fire</v>
      </c>
      <c r="G1839" s="34" t="s">
        <v>49</v>
      </c>
      <c r="H1839" s="34" t="s">
        <v>890</v>
      </c>
      <c r="I1839" s="35"/>
      <c r="J1839" s="21">
        <f ca="1">_xlfn.XLOOKUP(Master[[#This Row],[Checklist]],Ref!A:A,Ref!B:B)*1000</f>
        <v>163000</v>
      </c>
      <c r="K1839" s="21">
        <f ca="1">COUNTIF($J$2:Master[[#This Row],[ChecklistID]],Master[[#This Row],[ChecklistID]])-1</f>
        <v>5</v>
      </c>
      <c r="L1839" s="23" t="s">
        <v>6</v>
      </c>
    </row>
    <row r="1840" spans="1:12" ht="15.75">
      <c r="A1840" s="23">
        <f t="shared" si="28"/>
        <v>1827</v>
      </c>
      <c r="B1840" s="21">
        <f ca="1">Master[[#This Row],[ChecklistID]]+Master[[#This Row],[Checklist Order]]</f>
        <v>163006</v>
      </c>
      <c r="C1840" s="22"/>
      <c r="D1840" s="23" t="str" cm="1">
        <f t="array" aca="1" ref="D1840" ca="1">_xlfn.SWITCH(MID(Master[[#This Row],[Checklist]],1,4),"C - ","Civil","F - ","Foundation","ST -","Structure","FC -","Façade","PRE ","Pre-Line","POST","Post-Line","H - ","Handover","S - ","Services","CST ","Completion Docs", "I - ", "Inspection")</f>
        <v>Façade</v>
      </c>
      <c r="E18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0" s="24" t="str">
        <f ca="1">IF(OR(Master[[#This Row],[Type]]="checklist", Master[[#This Row],[Type]]="checklist-flat"), Master[[#This Row],[Name]], F1839)</f>
        <v>FC - S - Passive fire</v>
      </c>
      <c r="G1840" s="34" t="s">
        <v>49</v>
      </c>
      <c r="H1840" s="34" t="s">
        <v>891</v>
      </c>
      <c r="I1840" s="35"/>
      <c r="J1840" s="21">
        <f ca="1">_xlfn.XLOOKUP(Master[[#This Row],[Checklist]],Ref!A:A,Ref!B:B)*1000</f>
        <v>163000</v>
      </c>
      <c r="K1840" s="21">
        <f ca="1">COUNTIF($J$2:Master[[#This Row],[ChecklistID]],Master[[#This Row],[ChecklistID]])-1</f>
        <v>6</v>
      </c>
      <c r="L1840" s="23" t="s">
        <v>6</v>
      </c>
    </row>
    <row r="1841" spans="1:12" ht="15.75">
      <c r="A1841" s="23">
        <f t="shared" si="28"/>
        <v>1828</v>
      </c>
      <c r="B1841" s="21">
        <f ca="1">Master[[#This Row],[ChecklistID]]+Master[[#This Row],[Checklist Order]]</f>
        <v>163007</v>
      </c>
      <c r="C1841" s="22"/>
      <c r="D1841" s="23" t="str" cm="1">
        <f t="array" aca="1" ref="D1841" ca="1">_xlfn.SWITCH(MID(Master[[#This Row],[Checklist]],1,4),"C - ","Civil","F - ","Foundation","ST -","Structure","FC -","Façade","PRE ","Pre-Line","POST","Post-Line","H - ","Handover","S - ","Services","CST ","Completion Docs", "I - ", "Inspection")</f>
        <v>Façade</v>
      </c>
      <c r="E18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1" s="24" t="str">
        <f ca="1">IF(OR(Master[[#This Row],[Type]]="checklist", Master[[#This Row],[Type]]="checklist-flat"), Master[[#This Row],[Name]], F1840)</f>
        <v>FC - S - Passive fire</v>
      </c>
      <c r="G1841" s="34" t="s">
        <v>49</v>
      </c>
      <c r="H1841" s="34" t="s">
        <v>892</v>
      </c>
      <c r="I1841" s="35"/>
      <c r="J1841" s="21">
        <f ca="1">_xlfn.XLOOKUP(Master[[#This Row],[Checklist]],Ref!A:A,Ref!B:B)*1000</f>
        <v>163000</v>
      </c>
      <c r="K1841" s="21">
        <f ca="1">COUNTIF($J$2:Master[[#This Row],[ChecklistID]],Master[[#This Row],[ChecklistID]])-1</f>
        <v>7</v>
      </c>
      <c r="L1841" s="23" t="s">
        <v>6</v>
      </c>
    </row>
    <row r="1842" spans="1:12" ht="15.75">
      <c r="A1842" s="23">
        <f t="shared" si="28"/>
        <v>1829</v>
      </c>
      <c r="B1842" s="21">
        <f ca="1">Master[[#This Row],[ChecklistID]]+Master[[#This Row],[Checklist Order]]</f>
        <v>163008</v>
      </c>
      <c r="C1842" s="22"/>
      <c r="D1842" s="23" t="str" cm="1">
        <f t="array" aca="1" ref="D1842" ca="1">_xlfn.SWITCH(MID(Master[[#This Row],[Checklist]],1,4),"C - ","Civil","F - ","Foundation","ST -","Structure","FC -","Façade","PRE ","Pre-Line","POST","Post-Line","H - ","Handover","S - ","Services","CST ","Completion Docs", "I - ", "Inspection")</f>
        <v>Façade</v>
      </c>
      <c r="E18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2" s="24" t="str">
        <f ca="1">IF(OR(Master[[#This Row],[Type]]="checklist", Master[[#This Row],[Type]]="checklist-flat"), Master[[#This Row],[Name]], F1841)</f>
        <v>FC - S - Passive fire</v>
      </c>
      <c r="G1842" s="34" t="s">
        <v>49</v>
      </c>
      <c r="H1842" s="34" t="s">
        <v>57</v>
      </c>
      <c r="I1842" s="35"/>
      <c r="J1842" s="21">
        <f ca="1">_xlfn.XLOOKUP(Master[[#This Row],[Checklist]],Ref!A:A,Ref!B:B)*1000</f>
        <v>163000</v>
      </c>
      <c r="K1842" s="21">
        <f ca="1">COUNTIF($J$2:Master[[#This Row],[ChecklistID]],Master[[#This Row],[ChecklistID]])-1</f>
        <v>8</v>
      </c>
      <c r="L1842" s="23" t="s">
        <v>6</v>
      </c>
    </row>
    <row r="1843" spans="1:12" ht="15.75">
      <c r="A1843" s="23">
        <f t="shared" si="28"/>
        <v>1830</v>
      </c>
      <c r="B1843" s="21">
        <f ca="1">Master[[#This Row],[ChecklistID]]+Master[[#This Row],[Checklist Order]]</f>
        <v>163009</v>
      </c>
      <c r="C1843" s="22"/>
      <c r="D1843" s="23" t="str" cm="1">
        <f t="array" aca="1" ref="D1843" ca="1">_xlfn.SWITCH(MID(Master[[#This Row],[Checklist]],1,4),"C - ","Civil","F - ","Foundation","ST -","Structure","FC -","Façade","PRE ","Pre-Line","POST","Post-Line","H - ","Handover","S - ","Services","CST ","Completion Docs", "I - ", "Inspection")</f>
        <v>Façade</v>
      </c>
      <c r="E18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3" s="24" t="str">
        <f ca="1">IF(OR(Master[[#This Row],[Type]]="checklist", Master[[#This Row],[Type]]="checklist-flat"), Master[[#This Row],[Name]], F1842)</f>
        <v>FC - S - Passive fire</v>
      </c>
      <c r="G1843" s="34" t="s">
        <v>58</v>
      </c>
      <c r="H1843" s="34" t="s">
        <v>59</v>
      </c>
      <c r="I1843" s="35"/>
      <c r="J1843" s="21">
        <f ca="1">_xlfn.XLOOKUP(Master[[#This Row],[Checklist]],Ref!A:A,Ref!B:B)*1000</f>
        <v>163000</v>
      </c>
      <c r="K1843" s="21">
        <f ca="1">COUNTIF($J$2:Master[[#This Row],[ChecklistID]],Master[[#This Row],[ChecklistID]])-1</f>
        <v>9</v>
      </c>
      <c r="L1843" s="23" t="s">
        <v>6</v>
      </c>
    </row>
    <row r="1844" spans="1:12" ht="15.75">
      <c r="A1844" s="23">
        <f t="shared" ref="A1844:A1907" si="29">IFERROR(A1843+1,1)</f>
        <v>1831</v>
      </c>
      <c r="B1844" s="21">
        <f ca="1">Master[[#This Row],[ChecklistID]]+Master[[#This Row],[Checklist Order]]</f>
        <v>164000</v>
      </c>
      <c r="C1844" s="22"/>
      <c r="D1844" s="23" t="str" cm="1">
        <f t="array" aca="1" ref="D1844" ca="1">_xlfn.SWITCH(MID(Master[[#This Row],[Checklist]],1,4),"C - ","Civil","F - ","Foundation","ST -","Structure","FC -","Façade","PRE ","Pre-Line","POST","Post-Line","H - ","Handover","S - ","Services","CST ","Completion Docs", "I - ", "Inspection")</f>
        <v>Façade</v>
      </c>
      <c r="E18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4" s="24" t="str">
        <f ca="1">IF(OR(Master[[#This Row],[Type]]="checklist", Master[[#This Row],[Type]]="checklist-flat"), Master[[#This Row],[Name]], F1843)</f>
        <v>FC - S - Symonite Alucobond Cladding System</v>
      </c>
      <c r="G1844" s="34" t="s">
        <v>48</v>
      </c>
      <c r="H1844" s="34" t="s">
        <v>893</v>
      </c>
      <c r="I1844" s="35"/>
      <c r="J1844" s="21">
        <f ca="1">_xlfn.XLOOKUP(Master[[#This Row],[Checklist]],Ref!A:A,Ref!B:B)*1000</f>
        <v>164000</v>
      </c>
      <c r="K1844" s="21">
        <f ca="1">COUNTIF($J$2:Master[[#This Row],[ChecklistID]],Master[[#This Row],[ChecklistID]])-1</f>
        <v>0</v>
      </c>
      <c r="L1844" s="23" t="s">
        <v>6</v>
      </c>
    </row>
    <row r="1845" spans="1:12" ht="15.75">
      <c r="A1845" s="23">
        <f t="shared" si="29"/>
        <v>1832</v>
      </c>
      <c r="B1845" s="21">
        <f ca="1">Master[[#This Row],[ChecklistID]]+Master[[#This Row],[Checklist Order]]</f>
        <v>164001</v>
      </c>
      <c r="C1845" s="22"/>
      <c r="D1845" s="23" t="str" cm="1">
        <f t="array" aca="1" ref="D1845" ca="1">_xlfn.SWITCH(MID(Master[[#This Row],[Checklist]],1,4),"C - ","Civil","F - ","Foundation","ST -","Structure","FC -","Façade","PRE ","Pre-Line","POST","Post-Line","H - ","Handover","S - ","Services","CST ","Completion Docs", "I - ", "Inspection")</f>
        <v>Façade</v>
      </c>
      <c r="E18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5" s="24" t="str">
        <f ca="1">IF(OR(Master[[#This Row],[Type]]="checklist", Master[[#This Row],[Type]]="checklist-flat"), Master[[#This Row],[Name]], F1844)</f>
        <v>FC - S - Symonite Alucobond Cladding System</v>
      </c>
      <c r="G1845" s="34" t="s">
        <v>49</v>
      </c>
      <c r="H1845" s="34" t="s">
        <v>894</v>
      </c>
      <c r="I1845" s="35"/>
      <c r="J1845" s="21">
        <f ca="1">_xlfn.XLOOKUP(Master[[#This Row],[Checklist]],Ref!A:A,Ref!B:B)*1000</f>
        <v>164000</v>
      </c>
      <c r="K1845" s="21">
        <f ca="1">COUNTIF($J$2:Master[[#This Row],[ChecklistID]],Master[[#This Row],[ChecklistID]])-1</f>
        <v>1</v>
      </c>
      <c r="L1845" s="23" t="s">
        <v>6</v>
      </c>
    </row>
    <row r="1846" spans="1:12" ht="15.75">
      <c r="A1846" s="23">
        <f t="shared" si="29"/>
        <v>1833</v>
      </c>
      <c r="B1846" s="21">
        <f ca="1">Master[[#This Row],[ChecklistID]]+Master[[#This Row],[Checklist Order]]</f>
        <v>164002</v>
      </c>
      <c r="C1846" s="22"/>
      <c r="D1846" s="23" t="str" cm="1">
        <f t="array" aca="1" ref="D1846" ca="1">_xlfn.SWITCH(MID(Master[[#This Row],[Checklist]],1,4),"C - ","Civil","F - ","Foundation","ST -","Structure","FC -","Façade","PRE ","Pre-Line","POST","Post-Line","H - ","Handover","S - ","Services","CST ","Completion Docs", "I - ", "Inspection")</f>
        <v>Façade</v>
      </c>
      <c r="E18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6" s="24" t="str">
        <f ca="1">IF(OR(Master[[#This Row],[Type]]="checklist", Master[[#This Row],[Type]]="checklist-flat"), Master[[#This Row],[Name]], F1845)</f>
        <v>FC - S - Symonite Alucobond Cladding System</v>
      </c>
      <c r="G1846" s="34" t="s">
        <v>49</v>
      </c>
      <c r="H1846" s="34" t="s">
        <v>895</v>
      </c>
      <c r="I1846" s="35"/>
      <c r="J1846" s="21">
        <f ca="1">_xlfn.XLOOKUP(Master[[#This Row],[Checklist]],Ref!A:A,Ref!B:B)*1000</f>
        <v>164000</v>
      </c>
      <c r="K1846" s="21">
        <f ca="1">COUNTIF($J$2:Master[[#This Row],[ChecklistID]],Master[[#This Row],[ChecklistID]])-1</f>
        <v>2</v>
      </c>
      <c r="L1846" s="23" t="s">
        <v>6</v>
      </c>
    </row>
    <row r="1847" spans="1:12" ht="15.75">
      <c r="A1847" s="23">
        <f t="shared" si="29"/>
        <v>1834</v>
      </c>
      <c r="B1847" s="21">
        <f ca="1">Master[[#This Row],[ChecklistID]]+Master[[#This Row],[Checklist Order]]</f>
        <v>164003</v>
      </c>
      <c r="C1847" s="22"/>
      <c r="D1847" s="23" t="str" cm="1">
        <f t="array" aca="1" ref="D1847" ca="1">_xlfn.SWITCH(MID(Master[[#This Row],[Checklist]],1,4),"C - ","Civil","F - ","Foundation","ST -","Structure","FC -","Façade","PRE ","Pre-Line","POST","Post-Line","H - ","Handover","S - ","Services","CST ","Completion Docs", "I - ", "Inspection")</f>
        <v>Façade</v>
      </c>
      <c r="E18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7" s="24" t="str">
        <f ca="1">IF(OR(Master[[#This Row],[Type]]="checklist", Master[[#This Row],[Type]]="checklist-flat"), Master[[#This Row],[Name]], F1846)</f>
        <v>FC - S - Symonite Alucobond Cladding System</v>
      </c>
      <c r="G1847" s="34" t="s">
        <v>49</v>
      </c>
      <c r="H1847" s="34" t="s">
        <v>896</v>
      </c>
      <c r="I1847" s="35"/>
      <c r="J1847" s="21">
        <f ca="1">_xlfn.XLOOKUP(Master[[#This Row],[Checklist]],Ref!A:A,Ref!B:B)*1000</f>
        <v>164000</v>
      </c>
      <c r="K1847" s="21">
        <f ca="1">COUNTIF($J$2:Master[[#This Row],[ChecklistID]],Master[[#This Row],[ChecklistID]])-1</f>
        <v>3</v>
      </c>
      <c r="L1847" s="23" t="s">
        <v>6</v>
      </c>
    </row>
    <row r="1848" spans="1:12" ht="15.75">
      <c r="A1848" s="23">
        <f t="shared" si="29"/>
        <v>1835</v>
      </c>
      <c r="B1848" s="21">
        <f ca="1">Master[[#This Row],[ChecklistID]]+Master[[#This Row],[Checklist Order]]</f>
        <v>164004</v>
      </c>
      <c r="C1848" s="22"/>
      <c r="D1848" s="23" t="str" cm="1">
        <f t="array" aca="1" ref="D1848" ca="1">_xlfn.SWITCH(MID(Master[[#This Row],[Checklist]],1,4),"C - ","Civil","F - ","Foundation","ST -","Structure","FC -","Façade","PRE ","Pre-Line","POST","Post-Line","H - ","Handover","S - ","Services","CST ","Completion Docs", "I - ", "Inspection")</f>
        <v>Façade</v>
      </c>
      <c r="E18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8" s="24" t="str">
        <f ca="1">IF(OR(Master[[#This Row],[Type]]="checklist", Master[[#This Row],[Type]]="checklist-flat"), Master[[#This Row],[Name]], F1847)</f>
        <v>FC - S - Symonite Alucobond Cladding System</v>
      </c>
      <c r="G1848" s="34" t="s">
        <v>49</v>
      </c>
      <c r="H1848" s="34" t="s">
        <v>897</v>
      </c>
      <c r="I1848" s="35"/>
      <c r="J1848" s="21">
        <f ca="1">_xlfn.XLOOKUP(Master[[#This Row],[Checklist]],Ref!A:A,Ref!B:B)*1000</f>
        <v>164000</v>
      </c>
      <c r="K1848" s="21">
        <f ca="1">COUNTIF($J$2:Master[[#This Row],[ChecklistID]],Master[[#This Row],[ChecklistID]])-1</f>
        <v>4</v>
      </c>
      <c r="L1848" s="23" t="s">
        <v>6</v>
      </c>
    </row>
    <row r="1849" spans="1:12" ht="15.75">
      <c r="A1849" s="23">
        <f t="shared" si="29"/>
        <v>1836</v>
      </c>
      <c r="B1849" s="21">
        <f ca="1">Master[[#This Row],[ChecklistID]]+Master[[#This Row],[Checklist Order]]</f>
        <v>164005</v>
      </c>
      <c r="C1849" s="22"/>
      <c r="D1849" s="23" t="str" cm="1">
        <f t="array" aca="1" ref="D1849" ca="1">_xlfn.SWITCH(MID(Master[[#This Row],[Checklist]],1,4),"C - ","Civil","F - ","Foundation","ST -","Structure","FC -","Façade","PRE ","Pre-Line","POST","Post-Line","H - ","Handover","S - ","Services","CST ","Completion Docs", "I - ", "Inspection")</f>
        <v>Façade</v>
      </c>
      <c r="E18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49" s="24" t="str">
        <f ca="1">IF(OR(Master[[#This Row],[Type]]="checklist", Master[[#This Row],[Type]]="checklist-flat"), Master[[#This Row],[Name]], F1848)</f>
        <v>FC - S - Symonite Alucobond Cladding System</v>
      </c>
      <c r="G1849" s="34" t="s">
        <v>49</v>
      </c>
      <c r="H1849" s="34" t="s">
        <v>1710</v>
      </c>
      <c r="I1849" s="35"/>
      <c r="J1849" s="21">
        <f ca="1">_xlfn.XLOOKUP(Master[[#This Row],[Checklist]],Ref!A:A,Ref!B:B)*1000</f>
        <v>164000</v>
      </c>
      <c r="K1849" s="21">
        <f ca="1">COUNTIF($J$2:Master[[#This Row],[ChecklistID]],Master[[#This Row],[ChecklistID]])-1</f>
        <v>5</v>
      </c>
      <c r="L1849" s="23" t="s">
        <v>6</v>
      </c>
    </row>
    <row r="1850" spans="1:12" ht="15.75">
      <c r="A1850" s="23">
        <f t="shared" si="29"/>
        <v>1837</v>
      </c>
      <c r="B1850" s="21">
        <f ca="1">Master[[#This Row],[ChecklistID]]+Master[[#This Row],[Checklist Order]]</f>
        <v>164006</v>
      </c>
      <c r="C1850" s="22"/>
      <c r="D1850" s="23" t="str" cm="1">
        <f t="array" aca="1" ref="D1850" ca="1">_xlfn.SWITCH(MID(Master[[#This Row],[Checklist]],1,4),"C - ","Civil","F - ","Foundation","ST -","Structure","FC -","Façade","PRE ","Pre-Line","POST","Post-Line","H - ","Handover","S - ","Services","CST ","Completion Docs", "I - ", "Inspection")</f>
        <v>Façade</v>
      </c>
      <c r="E18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0" s="24" t="str">
        <f ca="1">IF(OR(Master[[#This Row],[Type]]="checklist", Master[[#This Row],[Type]]="checklist-flat"), Master[[#This Row],[Name]], F1849)</f>
        <v>FC - S - Symonite Alucobond Cladding System</v>
      </c>
      <c r="G1850" s="34" t="s">
        <v>49</v>
      </c>
      <c r="H1850" s="34" t="s">
        <v>57</v>
      </c>
      <c r="I1850" s="35"/>
      <c r="J1850" s="21">
        <f ca="1">_xlfn.XLOOKUP(Master[[#This Row],[Checklist]],Ref!A:A,Ref!B:B)*1000</f>
        <v>164000</v>
      </c>
      <c r="K1850" s="21">
        <f ca="1">COUNTIF($J$2:Master[[#This Row],[ChecklistID]],Master[[#This Row],[ChecklistID]])-1</f>
        <v>6</v>
      </c>
      <c r="L1850" s="23" t="s">
        <v>6</v>
      </c>
    </row>
    <row r="1851" spans="1:12" ht="15.75">
      <c r="A1851" s="23">
        <f t="shared" si="29"/>
        <v>1838</v>
      </c>
      <c r="B1851" s="21">
        <f ca="1">Master[[#This Row],[ChecklistID]]+Master[[#This Row],[Checklist Order]]</f>
        <v>164007</v>
      </c>
      <c r="C1851" s="22"/>
      <c r="D1851" s="23" t="str" cm="1">
        <f t="array" aca="1" ref="D1851" ca="1">_xlfn.SWITCH(MID(Master[[#This Row],[Checklist]],1,4),"C - ","Civil","F - ","Foundation","ST -","Structure","FC -","Façade","PRE ","Pre-Line","POST","Post-Line","H - ","Handover","S - ","Services","CST ","Completion Docs", "I - ", "Inspection")</f>
        <v>Façade</v>
      </c>
      <c r="E18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1" s="24" t="str">
        <f ca="1">IF(OR(Master[[#This Row],[Type]]="checklist", Master[[#This Row],[Type]]="checklist-flat"), Master[[#This Row],[Name]], F1850)</f>
        <v>FC - S - Symonite Alucobond Cladding System</v>
      </c>
      <c r="G1851" s="34" t="s">
        <v>58</v>
      </c>
      <c r="H1851" s="34" t="s">
        <v>59</v>
      </c>
      <c r="I1851" s="35"/>
      <c r="J1851" s="21">
        <f ca="1">_xlfn.XLOOKUP(Master[[#This Row],[Checklist]],Ref!A:A,Ref!B:B)*1000</f>
        <v>164000</v>
      </c>
      <c r="K1851" s="21">
        <f ca="1">COUNTIF($J$2:Master[[#This Row],[ChecklistID]],Master[[#This Row],[ChecklistID]])-1</f>
        <v>7</v>
      </c>
      <c r="L1851" s="23" t="s">
        <v>6</v>
      </c>
    </row>
    <row r="1852" spans="1:12" ht="15.75">
      <c r="A1852" s="23">
        <f t="shared" si="29"/>
        <v>1839</v>
      </c>
      <c r="B1852" s="21">
        <f ca="1">Master[[#This Row],[ChecklistID]]+Master[[#This Row],[Checklist Order]]</f>
        <v>165000</v>
      </c>
      <c r="C1852" s="22"/>
      <c r="D1852" s="23" t="str" cm="1">
        <f t="array" aca="1" ref="D1852" ca="1">_xlfn.SWITCH(MID(Master[[#This Row],[Checklist]],1,4),"C - ","Civil","F - ","Foundation","ST -","Structure","FC -","Façade","PRE ","Pre-Line","POST","Post-Line","H - ","Handover","S - ","Services","CST ","Completion Docs", "I - ", "Inspection")</f>
        <v>Façade</v>
      </c>
      <c r="E18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2" s="24" t="str">
        <f ca="1">IF(OR(Master[[#This Row],[Type]]="checklist", Master[[#This Row],[Type]]="checklist-flat"), Master[[#This Row],[Name]], F1851)</f>
        <v>FC - S - External Envelope</v>
      </c>
      <c r="G1852" s="34" t="s">
        <v>48</v>
      </c>
      <c r="H1852" s="34" t="s">
        <v>899</v>
      </c>
      <c r="I1852" s="35"/>
      <c r="J1852" s="21">
        <f ca="1">_xlfn.XLOOKUP(Master[[#This Row],[Checklist]],Ref!A:A,Ref!B:B)*1000</f>
        <v>165000</v>
      </c>
      <c r="K1852" s="21">
        <f ca="1">COUNTIF($J$2:Master[[#This Row],[ChecklistID]],Master[[#This Row],[ChecklistID]])-1</f>
        <v>0</v>
      </c>
      <c r="L1852" s="23" t="s">
        <v>6</v>
      </c>
    </row>
    <row r="1853" spans="1:12" ht="15.75">
      <c r="A1853" s="23">
        <f t="shared" si="29"/>
        <v>1840</v>
      </c>
      <c r="B1853" s="21">
        <f ca="1">Master[[#This Row],[ChecklistID]]+Master[[#This Row],[Checklist Order]]</f>
        <v>165001</v>
      </c>
      <c r="C1853" s="22"/>
      <c r="D1853" s="23" t="str" cm="1">
        <f t="array" aca="1" ref="D1853" ca="1">_xlfn.SWITCH(MID(Master[[#This Row],[Checklist]],1,4),"C - ","Civil","F - ","Foundation","ST -","Structure","FC -","Façade","PRE ","Pre-Line","POST","Post-Line","H - ","Handover","S - ","Services","CST ","Completion Docs", "I - ", "Inspection")</f>
        <v>Façade</v>
      </c>
      <c r="E18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3" s="24" t="str">
        <f ca="1">IF(OR(Master[[#This Row],[Type]]="checklist", Master[[#This Row],[Type]]="checklist-flat"), Master[[#This Row],[Name]], F1852)</f>
        <v>FC - S - External Envelope</v>
      </c>
      <c r="G1853" s="34" t="s">
        <v>49</v>
      </c>
      <c r="H1853" s="34" t="s">
        <v>900</v>
      </c>
      <c r="I1853" s="35"/>
      <c r="J1853" s="21">
        <f ca="1">_xlfn.XLOOKUP(Master[[#This Row],[Checklist]],Ref!A:A,Ref!B:B)*1000</f>
        <v>165000</v>
      </c>
      <c r="K1853" s="21">
        <f ca="1">COUNTIF($J$2:Master[[#This Row],[ChecklistID]],Master[[#This Row],[ChecklistID]])-1</f>
        <v>1</v>
      </c>
      <c r="L1853" s="23" t="s">
        <v>6</v>
      </c>
    </row>
    <row r="1854" spans="1:12" ht="15.75">
      <c r="A1854" s="23">
        <f t="shared" si="29"/>
        <v>1841</v>
      </c>
      <c r="B1854" s="21">
        <f ca="1">Master[[#This Row],[ChecklistID]]+Master[[#This Row],[Checklist Order]]</f>
        <v>165002</v>
      </c>
      <c r="C1854" s="22"/>
      <c r="D1854" s="23" t="str" cm="1">
        <f t="array" aca="1" ref="D1854" ca="1">_xlfn.SWITCH(MID(Master[[#This Row],[Checklist]],1,4),"C - ","Civil","F - ","Foundation","ST -","Structure","FC -","Façade","PRE ","Pre-Line","POST","Post-Line","H - ","Handover","S - ","Services","CST ","Completion Docs", "I - ", "Inspection")</f>
        <v>Façade</v>
      </c>
      <c r="E18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4" s="24" t="str">
        <f ca="1">IF(OR(Master[[#This Row],[Type]]="checklist", Master[[#This Row],[Type]]="checklist-flat"), Master[[#This Row],[Name]], F1853)</f>
        <v>FC - S - External Envelope</v>
      </c>
      <c r="G1854" s="34" t="s">
        <v>901</v>
      </c>
      <c r="H1854" s="34" t="s">
        <v>902</v>
      </c>
      <c r="I1854" s="35"/>
      <c r="J1854" s="21">
        <f ca="1">_xlfn.XLOOKUP(Master[[#This Row],[Checklist]],Ref!A:A,Ref!B:B)*1000</f>
        <v>165000</v>
      </c>
      <c r="K1854" s="21">
        <f ca="1">COUNTIF($J$2:Master[[#This Row],[ChecklistID]],Master[[#This Row],[ChecklistID]])-1</f>
        <v>2</v>
      </c>
      <c r="L1854" s="23" t="s">
        <v>6</v>
      </c>
    </row>
    <row r="1855" spans="1:12" ht="15.75">
      <c r="A1855" s="23">
        <f t="shared" si="29"/>
        <v>1842</v>
      </c>
      <c r="B1855" s="21">
        <f ca="1">Master[[#This Row],[ChecklistID]]+Master[[#This Row],[Checklist Order]]</f>
        <v>165003</v>
      </c>
      <c r="C1855" s="22"/>
      <c r="D1855" s="23" t="str" cm="1">
        <f t="array" aca="1" ref="D1855" ca="1">_xlfn.SWITCH(MID(Master[[#This Row],[Checklist]],1,4),"C - ","Civil","F - ","Foundation","ST -","Structure","FC -","Façade","PRE ","Pre-Line","POST","Post-Line","H - ","Handover","S - ","Services","CST ","Completion Docs", "I - ", "Inspection")</f>
        <v>Façade</v>
      </c>
      <c r="E18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5" s="24" t="str">
        <f ca="1">IF(OR(Master[[#This Row],[Type]]="checklist", Master[[#This Row],[Type]]="checklist-flat"), Master[[#This Row],[Name]], F1854)</f>
        <v>FC - S - External Envelope</v>
      </c>
      <c r="G1855" s="34" t="s">
        <v>49</v>
      </c>
      <c r="H1855" s="34" t="s">
        <v>903</v>
      </c>
      <c r="I1855" s="35"/>
      <c r="J1855" s="21">
        <f ca="1">_xlfn.XLOOKUP(Master[[#This Row],[Checklist]],Ref!A:A,Ref!B:B)*1000</f>
        <v>165000</v>
      </c>
      <c r="K1855" s="21">
        <f ca="1">COUNTIF($J$2:Master[[#This Row],[ChecklistID]],Master[[#This Row],[ChecklistID]])-1</f>
        <v>3</v>
      </c>
      <c r="L1855" s="23" t="s">
        <v>6</v>
      </c>
    </row>
    <row r="1856" spans="1:12" ht="15.75">
      <c r="A1856" s="23">
        <f t="shared" si="29"/>
        <v>1843</v>
      </c>
      <c r="B1856" s="21">
        <f ca="1">Master[[#This Row],[ChecklistID]]+Master[[#This Row],[Checklist Order]]</f>
        <v>165004</v>
      </c>
      <c r="C1856" s="22"/>
      <c r="D1856" s="23" t="str" cm="1">
        <f t="array" aca="1" ref="D1856" ca="1">_xlfn.SWITCH(MID(Master[[#This Row],[Checklist]],1,4),"C - ","Civil","F - ","Foundation","ST -","Structure","FC -","Façade","PRE ","Pre-Line","POST","Post-Line","H - ","Handover","S - ","Services","CST ","Completion Docs", "I - ", "Inspection")</f>
        <v>Façade</v>
      </c>
      <c r="E18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6" s="24" t="str">
        <f ca="1">IF(OR(Master[[#This Row],[Type]]="checklist", Master[[#This Row],[Type]]="checklist-flat"), Master[[#This Row],[Name]], F1855)</f>
        <v>FC - S - External Envelope</v>
      </c>
      <c r="G1856" s="34" t="s">
        <v>49</v>
      </c>
      <c r="H1856" s="34" t="s">
        <v>904</v>
      </c>
      <c r="I1856" s="35"/>
      <c r="J1856" s="21">
        <f ca="1">_xlfn.XLOOKUP(Master[[#This Row],[Checklist]],Ref!A:A,Ref!B:B)*1000</f>
        <v>165000</v>
      </c>
      <c r="K1856" s="21">
        <f ca="1">COUNTIF($J$2:Master[[#This Row],[ChecklistID]],Master[[#This Row],[ChecklistID]])-1</f>
        <v>4</v>
      </c>
      <c r="L1856" s="23" t="s">
        <v>6</v>
      </c>
    </row>
    <row r="1857" spans="1:12" ht="15.75">
      <c r="A1857" s="23">
        <f t="shared" si="29"/>
        <v>1844</v>
      </c>
      <c r="B1857" s="21">
        <f ca="1">Master[[#This Row],[ChecklistID]]+Master[[#This Row],[Checklist Order]]</f>
        <v>165005</v>
      </c>
      <c r="C1857" s="22"/>
      <c r="D1857" s="23" t="str" cm="1">
        <f t="array" aca="1" ref="D1857" ca="1">_xlfn.SWITCH(MID(Master[[#This Row],[Checklist]],1,4),"C - ","Civil","F - ","Foundation","ST -","Structure","FC -","Façade","PRE ","Pre-Line","POST","Post-Line","H - ","Handover","S - ","Services","CST ","Completion Docs", "I - ", "Inspection")</f>
        <v>Façade</v>
      </c>
      <c r="E18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7" s="24" t="str">
        <f ca="1">IF(OR(Master[[#This Row],[Type]]="checklist", Master[[#This Row],[Type]]="checklist-flat"), Master[[#This Row],[Name]], F1856)</f>
        <v>FC - S - External Envelope</v>
      </c>
      <c r="G1857" s="34" t="s">
        <v>49</v>
      </c>
      <c r="H1857" s="34" t="s">
        <v>905</v>
      </c>
      <c r="I1857" s="35"/>
      <c r="J1857" s="21">
        <f ca="1">_xlfn.XLOOKUP(Master[[#This Row],[Checklist]],Ref!A:A,Ref!B:B)*1000</f>
        <v>165000</v>
      </c>
      <c r="K1857" s="21">
        <f ca="1">COUNTIF($J$2:Master[[#This Row],[ChecklistID]],Master[[#This Row],[ChecklistID]])-1</f>
        <v>5</v>
      </c>
      <c r="L1857" s="23" t="s">
        <v>6</v>
      </c>
    </row>
    <row r="1858" spans="1:12" ht="15.75">
      <c r="A1858" s="23">
        <f t="shared" si="29"/>
        <v>1845</v>
      </c>
      <c r="B1858" s="21">
        <f ca="1">Master[[#This Row],[ChecklistID]]+Master[[#This Row],[Checklist Order]]</f>
        <v>165006</v>
      </c>
      <c r="C1858" s="22"/>
      <c r="D1858" s="23" t="str" cm="1">
        <f t="array" aca="1" ref="D1858" ca="1">_xlfn.SWITCH(MID(Master[[#This Row],[Checklist]],1,4),"C - ","Civil","F - ","Foundation","ST -","Structure","FC -","Façade","PRE ","Pre-Line","POST","Post-Line","H - ","Handover","S - ","Services","CST ","Completion Docs", "I - ", "Inspection")</f>
        <v>Façade</v>
      </c>
      <c r="E18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8" s="24" t="str">
        <f ca="1">IF(OR(Master[[#This Row],[Type]]="checklist", Master[[#This Row],[Type]]="checklist-flat"), Master[[#This Row],[Name]], F1857)</f>
        <v>FC - S - External Envelope</v>
      </c>
      <c r="G1858" s="34" t="s">
        <v>49</v>
      </c>
      <c r="H1858" s="34" t="s">
        <v>906</v>
      </c>
      <c r="I1858" s="35"/>
      <c r="J1858" s="21">
        <f ca="1">_xlfn.XLOOKUP(Master[[#This Row],[Checklist]],Ref!A:A,Ref!B:B)*1000</f>
        <v>165000</v>
      </c>
      <c r="K1858" s="21">
        <f ca="1">COUNTIF($J$2:Master[[#This Row],[ChecklistID]],Master[[#This Row],[ChecklistID]])-1</f>
        <v>6</v>
      </c>
      <c r="L1858" s="23" t="s">
        <v>6</v>
      </c>
    </row>
    <row r="1859" spans="1:12" ht="15.75">
      <c r="A1859" s="23">
        <f t="shared" si="29"/>
        <v>1846</v>
      </c>
      <c r="B1859" s="21">
        <f ca="1">Master[[#This Row],[ChecklistID]]+Master[[#This Row],[Checklist Order]]</f>
        <v>165007</v>
      </c>
      <c r="C1859" s="22"/>
      <c r="D1859" s="23" t="str" cm="1">
        <f t="array" aca="1" ref="D1859" ca="1">_xlfn.SWITCH(MID(Master[[#This Row],[Checklist]],1,4),"C - ","Civil","F - ","Foundation","ST -","Structure","FC -","Façade","PRE ","Pre-Line","POST","Post-Line","H - ","Handover","S - ","Services","CST ","Completion Docs", "I - ", "Inspection")</f>
        <v>Façade</v>
      </c>
      <c r="E18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59" s="24" t="str">
        <f ca="1">IF(OR(Master[[#This Row],[Type]]="checklist", Master[[#This Row],[Type]]="checklist-flat"), Master[[#This Row],[Name]], F1858)</f>
        <v>FC - S - External Envelope</v>
      </c>
      <c r="G1859" s="34" t="s">
        <v>49</v>
      </c>
      <c r="H1859" s="34" t="s">
        <v>907</v>
      </c>
      <c r="I1859" s="35"/>
      <c r="J1859" s="21">
        <f ca="1">_xlfn.XLOOKUP(Master[[#This Row],[Checklist]],Ref!A:A,Ref!B:B)*1000</f>
        <v>165000</v>
      </c>
      <c r="K1859" s="21">
        <f ca="1">COUNTIF($J$2:Master[[#This Row],[ChecklistID]],Master[[#This Row],[ChecklistID]])-1</f>
        <v>7</v>
      </c>
      <c r="L1859" s="23" t="s">
        <v>6</v>
      </c>
    </row>
    <row r="1860" spans="1:12" ht="15.75">
      <c r="A1860" s="23">
        <f t="shared" si="29"/>
        <v>1847</v>
      </c>
      <c r="B1860" s="21">
        <f ca="1">Master[[#This Row],[ChecklistID]]+Master[[#This Row],[Checklist Order]]</f>
        <v>165008</v>
      </c>
      <c r="C1860" s="22"/>
      <c r="D1860" s="23" t="str" cm="1">
        <f t="array" aca="1" ref="D1860" ca="1">_xlfn.SWITCH(MID(Master[[#This Row],[Checklist]],1,4),"C - ","Civil","F - ","Foundation","ST -","Structure","FC -","Façade","PRE ","Pre-Line","POST","Post-Line","H - ","Handover","S - ","Services","CST ","Completion Docs", "I - ", "Inspection")</f>
        <v>Façade</v>
      </c>
      <c r="E18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0" s="24" t="str">
        <f ca="1">IF(OR(Master[[#This Row],[Type]]="checklist", Master[[#This Row],[Type]]="checklist-flat"), Master[[#This Row],[Name]], F1859)</f>
        <v>FC - S - External Envelope</v>
      </c>
      <c r="G1860" s="34" t="s">
        <v>58</v>
      </c>
      <c r="H1860" s="34" t="s">
        <v>908</v>
      </c>
      <c r="I1860" s="35"/>
      <c r="J1860" s="21">
        <f ca="1">_xlfn.XLOOKUP(Master[[#This Row],[Checklist]],Ref!A:A,Ref!B:B)*1000</f>
        <v>165000</v>
      </c>
      <c r="K1860" s="21">
        <f ca="1">COUNTIF($J$2:Master[[#This Row],[ChecklistID]],Master[[#This Row],[ChecklistID]])-1</f>
        <v>8</v>
      </c>
      <c r="L1860" s="23" t="s">
        <v>6</v>
      </c>
    </row>
    <row r="1861" spans="1:12" ht="15.75">
      <c r="A1861" s="23">
        <f t="shared" si="29"/>
        <v>1848</v>
      </c>
      <c r="B1861" s="21">
        <f ca="1">Master[[#This Row],[ChecklistID]]+Master[[#This Row],[Checklist Order]]</f>
        <v>165009</v>
      </c>
      <c r="C1861" s="22"/>
      <c r="D1861" s="23" t="str" cm="1">
        <f t="array" aca="1" ref="D1861" ca="1">_xlfn.SWITCH(MID(Master[[#This Row],[Checklist]],1,4),"C - ","Civil","F - ","Foundation","ST -","Structure","FC -","Façade","PRE ","Pre-Line","POST","Post-Line","H - ","Handover","S - ","Services","CST ","Completion Docs", "I - ", "Inspection")</f>
        <v>Façade</v>
      </c>
      <c r="E18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1" s="24" t="str">
        <f ca="1">IF(OR(Master[[#This Row],[Type]]="checklist", Master[[#This Row],[Type]]="checklist-flat"), Master[[#This Row],[Name]], F1860)</f>
        <v>FC - S - External Envelope</v>
      </c>
      <c r="G1861" s="34" t="s">
        <v>49</v>
      </c>
      <c r="H1861" s="34" t="s">
        <v>57</v>
      </c>
      <c r="I1861" s="35"/>
      <c r="J1861" s="21">
        <f ca="1">_xlfn.XLOOKUP(Master[[#This Row],[Checklist]],Ref!A:A,Ref!B:B)*1000</f>
        <v>165000</v>
      </c>
      <c r="K1861" s="21">
        <f ca="1">COUNTIF($J$2:Master[[#This Row],[ChecklistID]],Master[[#This Row],[ChecklistID]])-1</f>
        <v>9</v>
      </c>
      <c r="L1861" s="23" t="s">
        <v>6</v>
      </c>
    </row>
    <row r="1862" spans="1:12" ht="15.75">
      <c r="A1862" s="23">
        <f t="shared" si="29"/>
        <v>1849</v>
      </c>
      <c r="B1862" s="21">
        <f ca="1">Master[[#This Row],[ChecklistID]]+Master[[#This Row],[Checklist Order]]</f>
        <v>165010</v>
      </c>
      <c r="C1862" s="22"/>
      <c r="D1862" s="23" t="str" cm="1">
        <f t="array" aca="1" ref="D1862" ca="1">_xlfn.SWITCH(MID(Master[[#This Row],[Checklist]],1,4),"C - ","Civil","F - ","Foundation","ST -","Structure","FC -","Façade","PRE ","Pre-Line","POST","Post-Line","H - ","Handover","S - ","Services","CST ","Completion Docs", "I - ", "Inspection")</f>
        <v>Façade</v>
      </c>
      <c r="E18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2" s="24" t="str">
        <f ca="1">IF(OR(Master[[#This Row],[Type]]="checklist", Master[[#This Row],[Type]]="checklist-flat"), Master[[#This Row],[Name]], F1861)</f>
        <v>FC - S - External Envelope</v>
      </c>
      <c r="G1862" s="34" t="s">
        <v>58</v>
      </c>
      <c r="H1862" s="34" t="s">
        <v>59</v>
      </c>
      <c r="I1862" s="35"/>
      <c r="J1862" s="21">
        <f ca="1">_xlfn.XLOOKUP(Master[[#This Row],[Checklist]],Ref!A:A,Ref!B:B)*1000</f>
        <v>165000</v>
      </c>
      <c r="K1862" s="21">
        <f ca="1">COUNTIF($J$2:Master[[#This Row],[ChecklistID]],Master[[#This Row],[ChecklistID]])-1</f>
        <v>10</v>
      </c>
      <c r="L1862" s="23" t="s">
        <v>6</v>
      </c>
    </row>
    <row r="1863" spans="1:12" ht="15.75">
      <c r="A1863" s="23">
        <f t="shared" si="29"/>
        <v>1850</v>
      </c>
      <c r="B1863" s="21">
        <f ca="1">Master[[#This Row],[ChecklistID]]+Master[[#This Row],[Checklist Order]]</f>
        <v>166000</v>
      </c>
      <c r="C1863" s="22"/>
      <c r="D1863" s="23" t="str" cm="1">
        <f t="array" aca="1" ref="D1863" ca="1">_xlfn.SWITCH(MID(Master[[#This Row],[Checklist]],1,4),"C - ","Civil","F - ","Foundation","ST -","Structure","FC -","Façade","PRE ","Pre-Line","POST","Post-Line","H - ","Handover","S - ","Services","CST ","Completion Docs", "I - ", "Inspection")</f>
        <v>Post-Line</v>
      </c>
      <c r="E18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3" s="24" t="str">
        <f ca="1">IF(OR(Master[[#This Row],[Type]]="checklist", Master[[#This Row],[Type]]="checklist-flat"), Master[[#This Row],[Name]], F1862)</f>
        <v xml:space="preserve">POST - S - Handrails </v>
      </c>
      <c r="G1863" s="34" t="s">
        <v>48</v>
      </c>
      <c r="H1863" s="34" t="s">
        <v>909</v>
      </c>
      <c r="I1863" s="35"/>
      <c r="J1863" s="21">
        <f ca="1">_xlfn.XLOOKUP(Master[[#This Row],[Checklist]],Ref!A:A,Ref!B:B)*1000</f>
        <v>166000</v>
      </c>
      <c r="K1863" s="21">
        <f ca="1">COUNTIF($J$2:Master[[#This Row],[ChecklistID]],Master[[#This Row],[ChecklistID]])-1</f>
        <v>0</v>
      </c>
      <c r="L1863" s="23" t="s">
        <v>6</v>
      </c>
    </row>
    <row r="1864" spans="1:12" ht="15.75">
      <c r="A1864" s="23">
        <f t="shared" si="29"/>
        <v>1851</v>
      </c>
      <c r="B1864" s="21">
        <f ca="1">Master[[#This Row],[ChecklistID]]+Master[[#This Row],[Checklist Order]]</f>
        <v>166001</v>
      </c>
      <c r="C1864" s="22"/>
      <c r="D1864" s="23" t="str" cm="1">
        <f t="array" aca="1" ref="D1864" ca="1">_xlfn.SWITCH(MID(Master[[#This Row],[Checklist]],1,4),"C - ","Civil","F - ","Foundation","ST -","Structure","FC -","Façade","PRE ","Pre-Line","POST","Post-Line","H - ","Handover","S - ","Services","CST ","Completion Docs", "I - ", "Inspection")</f>
        <v>Post-Line</v>
      </c>
      <c r="E18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4" s="24" t="str">
        <f ca="1">IF(OR(Master[[#This Row],[Type]]="checklist", Master[[#This Row],[Type]]="checklist-flat"), Master[[#This Row],[Name]], F1863)</f>
        <v xml:space="preserve">POST - S - Handrails </v>
      </c>
      <c r="G1864" s="34" t="s">
        <v>49</v>
      </c>
      <c r="H1864" s="34" t="s">
        <v>910</v>
      </c>
      <c r="I1864" s="35"/>
      <c r="J1864" s="21">
        <f ca="1">_xlfn.XLOOKUP(Master[[#This Row],[Checklist]],Ref!A:A,Ref!B:B)*1000</f>
        <v>166000</v>
      </c>
      <c r="K1864" s="21">
        <f ca="1">COUNTIF($J$2:Master[[#This Row],[ChecklistID]],Master[[#This Row],[ChecklistID]])-1</f>
        <v>1</v>
      </c>
      <c r="L1864" s="23" t="s">
        <v>6</v>
      </c>
    </row>
    <row r="1865" spans="1:12" ht="15.75">
      <c r="A1865" s="23">
        <f t="shared" si="29"/>
        <v>1852</v>
      </c>
      <c r="B1865" s="21">
        <f ca="1">Master[[#This Row],[ChecklistID]]+Master[[#This Row],[Checklist Order]]</f>
        <v>166002</v>
      </c>
      <c r="C1865" s="22"/>
      <c r="D1865" s="23" t="str" cm="1">
        <f t="array" aca="1" ref="D1865" ca="1">_xlfn.SWITCH(MID(Master[[#This Row],[Checklist]],1,4),"C - ","Civil","F - ","Foundation","ST -","Structure","FC -","Façade","PRE ","Pre-Line","POST","Post-Line","H - ","Handover","S - ","Services","CST ","Completion Docs", "I - ", "Inspection")</f>
        <v>Post-Line</v>
      </c>
      <c r="E18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5" s="24" t="str">
        <f ca="1">IF(OR(Master[[#This Row],[Type]]="checklist", Master[[#This Row],[Type]]="checklist-flat"), Master[[#This Row],[Name]], F1864)</f>
        <v xml:space="preserve">POST - S - Handrails </v>
      </c>
      <c r="G1865" s="34" t="s">
        <v>49</v>
      </c>
      <c r="H1865" s="34" t="s">
        <v>911</v>
      </c>
      <c r="I1865" s="35"/>
      <c r="J1865" s="21">
        <f ca="1">_xlfn.XLOOKUP(Master[[#This Row],[Checklist]],Ref!A:A,Ref!B:B)*1000</f>
        <v>166000</v>
      </c>
      <c r="K1865" s="21">
        <f ca="1">COUNTIF($J$2:Master[[#This Row],[ChecklistID]],Master[[#This Row],[ChecklistID]])-1</f>
        <v>2</v>
      </c>
      <c r="L1865" s="23" t="s">
        <v>6</v>
      </c>
    </row>
    <row r="1866" spans="1:12" ht="15.75">
      <c r="A1866" s="23">
        <f t="shared" si="29"/>
        <v>1853</v>
      </c>
      <c r="B1866" s="21">
        <f ca="1">Master[[#This Row],[ChecklistID]]+Master[[#This Row],[Checklist Order]]</f>
        <v>166003</v>
      </c>
      <c r="C1866" s="22"/>
      <c r="D1866" s="23" t="str" cm="1">
        <f t="array" aca="1" ref="D1866" ca="1">_xlfn.SWITCH(MID(Master[[#This Row],[Checklist]],1,4),"C - ","Civil","F - ","Foundation","ST -","Structure","FC -","Façade","PRE ","Pre-Line","POST","Post-Line","H - ","Handover","S - ","Services","CST ","Completion Docs", "I - ", "Inspection")</f>
        <v>Post-Line</v>
      </c>
      <c r="E18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6" s="24" t="str">
        <f ca="1">IF(OR(Master[[#This Row],[Type]]="checklist", Master[[#This Row],[Type]]="checklist-flat"), Master[[#This Row],[Name]], F1865)</f>
        <v xml:space="preserve">POST - S - Handrails </v>
      </c>
      <c r="G1866" s="34" t="s">
        <v>58</v>
      </c>
      <c r="H1866" s="34" t="s">
        <v>912</v>
      </c>
      <c r="I1866" s="35"/>
      <c r="J1866" s="21">
        <f ca="1">_xlfn.XLOOKUP(Master[[#This Row],[Checklist]],Ref!A:A,Ref!B:B)*1000</f>
        <v>166000</v>
      </c>
      <c r="K1866" s="21">
        <f ca="1">COUNTIF($J$2:Master[[#This Row],[ChecklistID]],Master[[#This Row],[ChecklistID]])-1</f>
        <v>3</v>
      </c>
      <c r="L1866" s="23" t="s">
        <v>6</v>
      </c>
    </row>
    <row r="1867" spans="1:12" ht="15.75">
      <c r="A1867" s="23">
        <f t="shared" si="29"/>
        <v>1854</v>
      </c>
      <c r="B1867" s="21">
        <f ca="1">Master[[#This Row],[ChecklistID]]+Master[[#This Row],[Checklist Order]]</f>
        <v>166004</v>
      </c>
      <c r="C1867" s="22"/>
      <c r="D1867" s="23" t="str" cm="1">
        <f t="array" aca="1" ref="D1867" ca="1">_xlfn.SWITCH(MID(Master[[#This Row],[Checklist]],1,4),"C - ","Civil","F - ","Foundation","ST -","Structure","FC -","Façade","PRE ","Pre-Line","POST","Post-Line","H - ","Handover","S - ","Services","CST ","Completion Docs", "I - ", "Inspection")</f>
        <v>Post-Line</v>
      </c>
      <c r="E18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7" s="24" t="str">
        <f ca="1">IF(OR(Master[[#This Row],[Type]]="checklist", Master[[#This Row],[Type]]="checklist-flat"), Master[[#This Row],[Name]], F1866)</f>
        <v xml:space="preserve">POST - S - Handrails </v>
      </c>
      <c r="G1867" s="34" t="s">
        <v>49</v>
      </c>
      <c r="H1867" s="34" t="s">
        <v>57</v>
      </c>
      <c r="I1867" s="35"/>
      <c r="J1867" s="21">
        <f ca="1">_xlfn.XLOOKUP(Master[[#This Row],[Checklist]],Ref!A:A,Ref!B:B)*1000</f>
        <v>166000</v>
      </c>
      <c r="K1867" s="21">
        <f ca="1">COUNTIF($J$2:Master[[#This Row],[ChecklistID]],Master[[#This Row],[ChecklistID]])-1</f>
        <v>4</v>
      </c>
      <c r="L1867" s="23" t="s">
        <v>6</v>
      </c>
    </row>
    <row r="1868" spans="1:12" ht="15.75">
      <c r="A1868" s="23">
        <f t="shared" si="29"/>
        <v>1855</v>
      </c>
      <c r="B1868" s="21">
        <f ca="1">Master[[#This Row],[ChecklistID]]+Master[[#This Row],[Checklist Order]]</f>
        <v>166005</v>
      </c>
      <c r="C1868" s="22"/>
      <c r="D1868" s="23" t="str" cm="1">
        <f t="array" aca="1" ref="D1868" ca="1">_xlfn.SWITCH(MID(Master[[#This Row],[Checklist]],1,4),"C - ","Civil","F - ","Foundation","ST -","Structure","FC -","Façade","PRE ","Pre-Line","POST","Post-Line","H - ","Handover","S - ","Services","CST ","Completion Docs", "I - ", "Inspection")</f>
        <v>Post-Line</v>
      </c>
      <c r="E18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8" s="24" t="str">
        <f ca="1">IF(OR(Master[[#This Row],[Type]]="checklist", Master[[#This Row],[Type]]="checklist-flat"), Master[[#This Row],[Name]], F1867)</f>
        <v xml:space="preserve">POST - S - Handrails </v>
      </c>
      <c r="G1868" s="34" t="s">
        <v>58</v>
      </c>
      <c r="H1868" s="34" t="s">
        <v>59</v>
      </c>
      <c r="I1868" s="35"/>
      <c r="J1868" s="21">
        <f ca="1">_xlfn.XLOOKUP(Master[[#This Row],[Checklist]],Ref!A:A,Ref!B:B)*1000</f>
        <v>166000</v>
      </c>
      <c r="K1868" s="21">
        <f ca="1">COUNTIF($J$2:Master[[#This Row],[ChecklistID]],Master[[#This Row],[ChecklistID]])-1</f>
        <v>5</v>
      </c>
      <c r="L1868" s="23" t="s">
        <v>6</v>
      </c>
    </row>
    <row r="1869" spans="1:12" ht="15.75">
      <c r="A1869" s="23">
        <f t="shared" si="29"/>
        <v>1856</v>
      </c>
      <c r="B1869" s="21">
        <f ca="1">Master[[#This Row],[ChecklistID]]+Master[[#This Row],[Checklist Order]]</f>
        <v>167000</v>
      </c>
      <c r="C1869" s="22"/>
      <c r="D1869" s="23" t="str" cm="1">
        <f t="array" aca="1" ref="D1869" ca="1">_xlfn.SWITCH(MID(Master[[#This Row],[Checklist]],1,4),"C - ","Civil","F - ","Foundation","ST -","Structure","FC -","Façade","PRE ","Pre-Line","POST","Post-Line","H - ","Handover","S - ","Services","CST ","Completion Docs", "I - ", "Inspection")</f>
        <v>Post-Line</v>
      </c>
      <c r="E18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69" s="24" t="str">
        <f ca="1">IF(OR(Master[[#This Row],[Type]]="checklist", Master[[#This Row],[Type]]="checklist-flat"), Master[[#This Row],[Name]], F1868)</f>
        <v>POST - S - Hardware Installation</v>
      </c>
      <c r="G1869" s="34" t="s">
        <v>48</v>
      </c>
      <c r="H1869" s="34" t="s">
        <v>913</v>
      </c>
      <c r="I1869" s="35"/>
      <c r="J1869" s="21">
        <f ca="1">_xlfn.XLOOKUP(Master[[#This Row],[Checklist]],Ref!A:A,Ref!B:B)*1000</f>
        <v>167000</v>
      </c>
      <c r="K1869" s="21">
        <f ca="1">COUNTIF($J$2:Master[[#This Row],[ChecklistID]],Master[[#This Row],[ChecklistID]])-1</f>
        <v>0</v>
      </c>
      <c r="L1869" s="23" t="s">
        <v>6</v>
      </c>
    </row>
    <row r="1870" spans="1:12" ht="15.75">
      <c r="A1870" s="23">
        <f t="shared" si="29"/>
        <v>1857</v>
      </c>
      <c r="B1870" s="21">
        <f ca="1">Master[[#This Row],[ChecklistID]]+Master[[#This Row],[Checklist Order]]</f>
        <v>167001</v>
      </c>
      <c r="C1870" s="22"/>
      <c r="D1870" s="23" t="str" cm="1">
        <f t="array" aca="1" ref="D1870" ca="1">_xlfn.SWITCH(MID(Master[[#This Row],[Checklist]],1,4),"C - ","Civil","F - ","Foundation","ST -","Structure","FC -","Façade","PRE ","Pre-Line","POST","Post-Line","H - ","Handover","S - ","Services","CST ","Completion Docs", "I - ", "Inspection")</f>
        <v>Post-Line</v>
      </c>
      <c r="E18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0" s="24" t="str">
        <f ca="1">IF(OR(Master[[#This Row],[Type]]="checklist", Master[[#This Row],[Type]]="checklist-flat"), Master[[#This Row],[Name]], F1869)</f>
        <v>POST - S - Hardware Installation</v>
      </c>
      <c r="G1870" s="34" t="s">
        <v>49</v>
      </c>
      <c r="H1870" s="34" t="s">
        <v>914</v>
      </c>
      <c r="I1870" s="35"/>
      <c r="J1870" s="21">
        <f ca="1">_xlfn.XLOOKUP(Master[[#This Row],[Checklist]],Ref!A:A,Ref!B:B)*1000</f>
        <v>167000</v>
      </c>
      <c r="K1870" s="21">
        <f ca="1">COUNTIF($J$2:Master[[#This Row],[ChecklistID]],Master[[#This Row],[ChecklistID]])-1</f>
        <v>1</v>
      </c>
      <c r="L1870" s="23" t="s">
        <v>6</v>
      </c>
    </row>
    <row r="1871" spans="1:12" ht="15.75">
      <c r="A1871" s="23">
        <f t="shared" si="29"/>
        <v>1858</v>
      </c>
      <c r="B1871" s="21">
        <f ca="1">Master[[#This Row],[ChecklistID]]+Master[[#This Row],[Checklist Order]]</f>
        <v>167002</v>
      </c>
      <c r="C1871" s="22"/>
      <c r="D1871" s="23" t="str" cm="1">
        <f t="array" aca="1" ref="D1871" ca="1">_xlfn.SWITCH(MID(Master[[#This Row],[Checklist]],1,4),"C - ","Civil","F - ","Foundation","ST -","Structure","FC -","Façade","PRE ","Pre-Line","POST","Post-Line","H - ","Handover","S - ","Services","CST ","Completion Docs", "I - ", "Inspection")</f>
        <v>Post-Line</v>
      </c>
      <c r="E18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1" s="24" t="str">
        <f ca="1">IF(OR(Master[[#This Row],[Type]]="checklist", Master[[#This Row],[Type]]="checklist-flat"), Master[[#This Row],[Name]], F1870)</f>
        <v>POST - S - Hardware Installation</v>
      </c>
      <c r="G1871" s="34" t="s">
        <v>49</v>
      </c>
      <c r="H1871" s="34" t="s">
        <v>915</v>
      </c>
      <c r="I1871" s="35"/>
      <c r="J1871" s="21">
        <f ca="1">_xlfn.XLOOKUP(Master[[#This Row],[Checklist]],Ref!A:A,Ref!B:B)*1000</f>
        <v>167000</v>
      </c>
      <c r="K1871" s="21">
        <f ca="1">COUNTIF($J$2:Master[[#This Row],[ChecklistID]],Master[[#This Row],[ChecklistID]])-1</f>
        <v>2</v>
      </c>
      <c r="L1871" s="23" t="s">
        <v>6</v>
      </c>
    </row>
    <row r="1872" spans="1:12" ht="15.75">
      <c r="A1872" s="23">
        <f t="shared" si="29"/>
        <v>1859</v>
      </c>
      <c r="B1872" s="21">
        <f ca="1">Master[[#This Row],[ChecklistID]]+Master[[#This Row],[Checklist Order]]</f>
        <v>167003</v>
      </c>
      <c r="C1872" s="22"/>
      <c r="D1872" s="23" t="str" cm="1">
        <f t="array" aca="1" ref="D1872" ca="1">_xlfn.SWITCH(MID(Master[[#This Row],[Checklist]],1,4),"C - ","Civil","F - ","Foundation","ST -","Structure","FC -","Façade","PRE ","Pre-Line","POST","Post-Line","H - ","Handover","S - ","Services","CST ","Completion Docs", "I - ", "Inspection")</f>
        <v>Post-Line</v>
      </c>
      <c r="E18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2" s="24" t="str">
        <f ca="1">IF(OR(Master[[#This Row],[Type]]="checklist", Master[[#This Row],[Type]]="checklist-flat"), Master[[#This Row],[Name]], F1871)</f>
        <v>POST - S - Hardware Installation</v>
      </c>
      <c r="G1872" s="34" t="s">
        <v>58</v>
      </c>
      <c r="H1872" s="34" t="s">
        <v>912</v>
      </c>
      <c r="I1872" s="35"/>
      <c r="J1872" s="21">
        <f ca="1">_xlfn.XLOOKUP(Master[[#This Row],[Checklist]],Ref!A:A,Ref!B:B)*1000</f>
        <v>167000</v>
      </c>
      <c r="K1872" s="21">
        <f ca="1">COUNTIF($J$2:Master[[#This Row],[ChecklistID]],Master[[#This Row],[ChecklistID]])-1</f>
        <v>3</v>
      </c>
      <c r="L1872" s="23" t="s">
        <v>6</v>
      </c>
    </row>
    <row r="1873" spans="1:12" ht="15.75">
      <c r="A1873" s="23">
        <f t="shared" si="29"/>
        <v>1860</v>
      </c>
      <c r="B1873" s="21">
        <f ca="1">Master[[#This Row],[ChecklistID]]+Master[[#This Row],[Checklist Order]]</f>
        <v>167004</v>
      </c>
      <c r="C1873" s="22"/>
      <c r="D1873" s="23" t="str" cm="1">
        <f t="array" aca="1" ref="D1873" ca="1">_xlfn.SWITCH(MID(Master[[#This Row],[Checklist]],1,4),"C - ","Civil","F - ","Foundation","ST -","Structure","FC -","Façade","PRE ","Pre-Line","POST","Post-Line","H - ","Handover","S - ","Services","CST ","Completion Docs", "I - ", "Inspection")</f>
        <v>Post-Line</v>
      </c>
      <c r="E18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3" s="24" t="str">
        <f ca="1">IF(OR(Master[[#This Row],[Type]]="checklist", Master[[#This Row],[Type]]="checklist-flat"), Master[[#This Row],[Name]], F1872)</f>
        <v>POST - S - Hardware Installation</v>
      </c>
      <c r="G1873" s="34" t="s">
        <v>49</v>
      </c>
      <c r="H1873" s="34" t="s">
        <v>57</v>
      </c>
      <c r="I1873" s="35"/>
      <c r="J1873" s="21">
        <f ca="1">_xlfn.XLOOKUP(Master[[#This Row],[Checklist]],Ref!A:A,Ref!B:B)*1000</f>
        <v>167000</v>
      </c>
      <c r="K1873" s="21">
        <f ca="1">COUNTIF($J$2:Master[[#This Row],[ChecklistID]],Master[[#This Row],[ChecklistID]])-1</f>
        <v>4</v>
      </c>
      <c r="L1873" s="23" t="s">
        <v>6</v>
      </c>
    </row>
    <row r="1874" spans="1:12" ht="15.75">
      <c r="A1874" s="23">
        <f t="shared" si="29"/>
        <v>1861</v>
      </c>
      <c r="B1874" s="21">
        <f ca="1">Master[[#This Row],[ChecklistID]]+Master[[#This Row],[Checklist Order]]</f>
        <v>167005</v>
      </c>
      <c r="C1874" s="22"/>
      <c r="D1874" s="23" t="str" cm="1">
        <f t="array" aca="1" ref="D1874" ca="1">_xlfn.SWITCH(MID(Master[[#This Row],[Checklist]],1,4),"C - ","Civil","F - ","Foundation","ST -","Structure","FC -","Façade","PRE ","Pre-Line","POST","Post-Line","H - ","Handover","S - ","Services","CST ","Completion Docs", "I - ", "Inspection")</f>
        <v>Post-Line</v>
      </c>
      <c r="E18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4" s="24" t="str">
        <f ca="1">IF(OR(Master[[#This Row],[Type]]="checklist", Master[[#This Row],[Type]]="checklist-flat"), Master[[#This Row],[Name]], F1873)</f>
        <v>POST - S - Hardware Installation</v>
      </c>
      <c r="G1874" s="34" t="s">
        <v>58</v>
      </c>
      <c r="H1874" s="34" t="s">
        <v>59</v>
      </c>
      <c r="I1874" s="35"/>
      <c r="J1874" s="21">
        <f ca="1">_xlfn.XLOOKUP(Master[[#This Row],[Checklist]],Ref!A:A,Ref!B:B)*1000</f>
        <v>167000</v>
      </c>
      <c r="K1874" s="21">
        <f ca="1">COUNTIF($J$2:Master[[#This Row],[ChecklistID]],Master[[#This Row],[ChecklistID]])-1</f>
        <v>5</v>
      </c>
      <c r="L1874" s="23" t="s">
        <v>6</v>
      </c>
    </row>
    <row r="1875" spans="1:12" ht="15.75">
      <c r="A1875" s="23">
        <f t="shared" si="29"/>
        <v>1862</v>
      </c>
      <c r="B1875" s="21">
        <f ca="1">Master[[#This Row],[ChecklistID]]+Master[[#This Row],[Checklist Order]]</f>
        <v>168000</v>
      </c>
      <c r="C1875" s="22"/>
      <c r="D1875" s="23" t="str" cm="1">
        <f t="array" aca="1" ref="D1875" ca="1">_xlfn.SWITCH(MID(Master[[#This Row],[Checklist]],1,4),"C - ","Civil","F - ","Foundation","ST -","Structure","FC -","Façade","PRE ","Pre-Line","POST","Post-Line","H - ","Handover","S - ","Services","CST ","Completion Docs", "I - ", "Inspection")</f>
        <v>Pre-Line</v>
      </c>
      <c r="E18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5" s="24" t="str">
        <f ca="1">IF(OR(Master[[#This Row],[Type]]="checklist", Master[[#This Row],[Type]]="checklist-flat"), Master[[#This Row],[Name]], F1874)</f>
        <v>PRE - S - Nogs</v>
      </c>
      <c r="G1875" s="34" t="s">
        <v>43</v>
      </c>
      <c r="H1875" s="34" t="s">
        <v>916</v>
      </c>
      <c r="I1875" s="35"/>
      <c r="J1875" s="21">
        <f ca="1">_xlfn.XLOOKUP(Master[[#This Row],[Checklist]],Ref!A:A,Ref!B:B)*1000</f>
        <v>168000</v>
      </c>
      <c r="K1875" s="21">
        <f ca="1">COUNTIF($J$2:Master[[#This Row],[ChecklistID]],Master[[#This Row],[ChecklistID]])-1</f>
        <v>0</v>
      </c>
      <c r="L1875" s="23" t="s">
        <v>6</v>
      </c>
    </row>
    <row r="1876" spans="1:12" ht="15.75">
      <c r="A1876" s="23">
        <f t="shared" si="29"/>
        <v>1863</v>
      </c>
      <c r="B1876" s="21">
        <f ca="1">Master[[#This Row],[ChecklistID]]+Master[[#This Row],[Checklist Order]]</f>
        <v>168001</v>
      </c>
      <c r="C1876" s="22"/>
      <c r="D1876" s="23" t="str" cm="1">
        <f t="array" aca="1" ref="D1876" ca="1">_xlfn.SWITCH(MID(Master[[#This Row],[Checklist]],1,4),"C - ","Civil","F - ","Foundation","ST -","Structure","FC -","Façade","PRE ","Pre-Line","POST","Post-Line","H - ","Handover","S - ","Services","CST ","Completion Docs", "I - ", "Inspection")</f>
        <v>Pre-Line</v>
      </c>
      <c r="E18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6" s="24" t="str">
        <f ca="1">IF(OR(Master[[#This Row],[Type]]="checklist", Master[[#This Row],[Type]]="checklist-flat"), Master[[#This Row],[Name]], F1875)</f>
        <v>PRE - S - Nogs</v>
      </c>
      <c r="G1876" s="34" t="s">
        <v>861</v>
      </c>
      <c r="H1876" s="34" t="s">
        <v>917</v>
      </c>
      <c r="I1876" s="35"/>
      <c r="J1876" s="21">
        <f ca="1">_xlfn.XLOOKUP(Master[[#This Row],[Checklist]],Ref!A:A,Ref!B:B)*1000</f>
        <v>168000</v>
      </c>
      <c r="K1876" s="21">
        <f ca="1">COUNTIF($J$2:Master[[#This Row],[ChecklistID]],Master[[#This Row],[ChecklistID]])-1</f>
        <v>1</v>
      </c>
      <c r="L1876" s="23" t="s">
        <v>6</v>
      </c>
    </row>
    <row r="1877" spans="1:12" ht="15.75">
      <c r="A1877" s="23">
        <f t="shared" si="29"/>
        <v>1864</v>
      </c>
      <c r="B1877" s="21">
        <f ca="1">Master[[#This Row],[ChecklistID]]+Master[[#This Row],[Checklist Order]]</f>
        <v>168002</v>
      </c>
      <c r="C1877" s="22"/>
      <c r="D1877" s="23" t="str" cm="1">
        <f t="array" aca="1" ref="D1877" ca="1">_xlfn.SWITCH(MID(Master[[#This Row],[Checklist]],1,4),"C - ","Civil","F - ","Foundation","ST -","Structure","FC -","Façade","PRE ","Pre-Line","POST","Post-Line","H - ","Handover","S - ","Services","CST ","Completion Docs", "I - ", "Inspection")</f>
        <v>Pre-Line</v>
      </c>
      <c r="E18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7" s="24" t="str">
        <f ca="1">IF(OR(Master[[#This Row],[Type]]="checklist", Master[[#This Row],[Type]]="checklist-flat"), Master[[#This Row],[Name]], F1876)</f>
        <v>PRE - S - Nogs</v>
      </c>
      <c r="G1877" s="34" t="s">
        <v>49</v>
      </c>
      <c r="H1877" s="34" t="s">
        <v>918</v>
      </c>
      <c r="I1877" s="35"/>
      <c r="J1877" s="21">
        <f ca="1">_xlfn.XLOOKUP(Master[[#This Row],[Checklist]],Ref!A:A,Ref!B:B)*1000</f>
        <v>168000</v>
      </c>
      <c r="K1877" s="21">
        <f ca="1">COUNTIF($J$2:Master[[#This Row],[ChecklistID]],Master[[#This Row],[ChecklistID]])-1</f>
        <v>2</v>
      </c>
      <c r="L1877" s="23" t="s">
        <v>6</v>
      </c>
    </row>
    <row r="1878" spans="1:12" ht="15.75">
      <c r="A1878" s="23">
        <f t="shared" si="29"/>
        <v>1865</v>
      </c>
      <c r="B1878" s="21">
        <f ca="1">Master[[#This Row],[ChecklistID]]+Master[[#This Row],[Checklist Order]]</f>
        <v>168003</v>
      </c>
      <c r="C1878" s="22"/>
      <c r="D1878" s="23" t="str" cm="1">
        <f t="array" aca="1" ref="D1878" ca="1">_xlfn.SWITCH(MID(Master[[#This Row],[Checklist]],1,4),"C - ","Civil","F - ","Foundation","ST -","Structure","FC -","Façade","PRE ","Pre-Line","POST","Post-Line","H - ","Handover","S - ","Services","CST ","Completion Docs", "I - ", "Inspection")</f>
        <v>Pre-Line</v>
      </c>
      <c r="E18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8" s="24" t="str">
        <f ca="1">IF(OR(Master[[#This Row],[Type]]="checklist", Master[[#This Row],[Type]]="checklist-flat"), Master[[#This Row],[Name]], F1877)</f>
        <v>PRE - S - Nogs</v>
      </c>
      <c r="G1878" s="34" t="s">
        <v>49</v>
      </c>
      <c r="H1878" s="34" t="s">
        <v>919</v>
      </c>
      <c r="I1878" s="35"/>
      <c r="J1878" s="21">
        <f ca="1">_xlfn.XLOOKUP(Master[[#This Row],[Checklist]],Ref!A:A,Ref!B:B)*1000</f>
        <v>168000</v>
      </c>
      <c r="K1878" s="21">
        <f ca="1">COUNTIF($J$2:Master[[#This Row],[ChecklistID]],Master[[#This Row],[ChecklistID]])-1</f>
        <v>3</v>
      </c>
      <c r="L1878" s="23" t="s">
        <v>6</v>
      </c>
    </row>
    <row r="1879" spans="1:12" ht="15.75">
      <c r="A1879" s="23">
        <f t="shared" si="29"/>
        <v>1866</v>
      </c>
      <c r="B1879" s="21">
        <f ca="1">Master[[#This Row],[ChecklistID]]+Master[[#This Row],[Checklist Order]]</f>
        <v>168004</v>
      </c>
      <c r="C1879" s="22"/>
      <c r="D1879" s="23" t="str" cm="1">
        <f t="array" aca="1" ref="D1879" ca="1">_xlfn.SWITCH(MID(Master[[#This Row],[Checklist]],1,4),"C - ","Civil","F - ","Foundation","ST -","Structure","FC -","Façade","PRE ","Pre-Line","POST","Post-Line","H - ","Handover","S - ","Services","CST ","Completion Docs", "I - ", "Inspection")</f>
        <v>Pre-Line</v>
      </c>
      <c r="E18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79" s="24" t="str">
        <f ca="1">IF(OR(Master[[#This Row],[Type]]="checklist", Master[[#This Row],[Type]]="checklist-flat"), Master[[#This Row],[Name]], F1878)</f>
        <v>PRE - S - Nogs</v>
      </c>
      <c r="G1879" s="34" t="s">
        <v>861</v>
      </c>
      <c r="H1879" s="34" t="s">
        <v>920</v>
      </c>
      <c r="I1879" s="35"/>
      <c r="J1879" s="21">
        <f ca="1">_xlfn.XLOOKUP(Master[[#This Row],[Checklist]],Ref!A:A,Ref!B:B)*1000</f>
        <v>168000</v>
      </c>
      <c r="K1879" s="21">
        <f ca="1">COUNTIF($J$2:Master[[#This Row],[ChecklistID]],Master[[#This Row],[ChecklistID]])-1</f>
        <v>4</v>
      </c>
      <c r="L1879" s="23" t="s">
        <v>6</v>
      </c>
    </row>
    <row r="1880" spans="1:12" ht="15.75">
      <c r="A1880" s="23">
        <f t="shared" si="29"/>
        <v>1867</v>
      </c>
      <c r="B1880" s="21">
        <f ca="1">Master[[#This Row],[ChecklistID]]+Master[[#This Row],[Checklist Order]]</f>
        <v>168005</v>
      </c>
      <c r="C1880" s="22"/>
      <c r="D1880" s="23" t="str" cm="1">
        <f t="array" aca="1" ref="D1880" ca="1">_xlfn.SWITCH(MID(Master[[#This Row],[Checklist]],1,4),"C - ","Civil","F - ","Foundation","ST -","Structure","FC -","Façade","PRE ","Pre-Line","POST","Post-Line","H - ","Handover","S - ","Services","CST ","Completion Docs", "I - ", "Inspection")</f>
        <v>Pre-Line</v>
      </c>
      <c r="E18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0" s="24" t="str">
        <f ca="1">IF(OR(Master[[#This Row],[Type]]="checklist", Master[[#This Row],[Type]]="checklist-flat"), Master[[#This Row],[Name]], F1879)</f>
        <v>PRE - S - Nogs</v>
      </c>
      <c r="G1880" s="34" t="s">
        <v>49</v>
      </c>
      <c r="H1880" s="34" t="s">
        <v>921</v>
      </c>
      <c r="I1880" s="35"/>
      <c r="J1880" s="21">
        <f ca="1">_xlfn.XLOOKUP(Master[[#This Row],[Checklist]],Ref!A:A,Ref!B:B)*1000</f>
        <v>168000</v>
      </c>
      <c r="K1880" s="21">
        <f ca="1">COUNTIF($J$2:Master[[#This Row],[ChecklistID]],Master[[#This Row],[ChecklistID]])-1</f>
        <v>5</v>
      </c>
      <c r="L1880" s="23" t="s">
        <v>6</v>
      </c>
    </row>
    <row r="1881" spans="1:12" ht="15.75">
      <c r="A1881" s="23">
        <f t="shared" si="29"/>
        <v>1868</v>
      </c>
      <c r="B1881" s="21">
        <f ca="1">Master[[#This Row],[ChecklistID]]+Master[[#This Row],[Checklist Order]]</f>
        <v>168006</v>
      </c>
      <c r="C1881" s="22"/>
      <c r="D1881" s="23" t="str" cm="1">
        <f t="array" aca="1" ref="D1881" ca="1">_xlfn.SWITCH(MID(Master[[#This Row],[Checklist]],1,4),"C - ","Civil","F - ","Foundation","ST -","Structure","FC -","Façade","PRE ","Pre-Line","POST","Post-Line","H - ","Handover","S - ","Services","CST ","Completion Docs", "I - ", "Inspection")</f>
        <v>Pre-Line</v>
      </c>
      <c r="E18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1" s="24" t="str">
        <f ca="1">IF(OR(Master[[#This Row],[Type]]="checklist", Master[[#This Row],[Type]]="checklist-flat"), Master[[#This Row],[Name]], F1880)</f>
        <v>PRE - S - Nogs</v>
      </c>
      <c r="G1881" s="34" t="s">
        <v>49</v>
      </c>
      <c r="H1881" s="34" t="s">
        <v>918</v>
      </c>
      <c r="I1881" s="35"/>
      <c r="J1881" s="21">
        <f ca="1">_xlfn.XLOOKUP(Master[[#This Row],[Checklist]],Ref!A:A,Ref!B:B)*1000</f>
        <v>168000</v>
      </c>
      <c r="K1881" s="21">
        <f ca="1">COUNTIF($J$2:Master[[#This Row],[ChecklistID]],Master[[#This Row],[ChecklistID]])-1</f>
        <v>6</v>
      </c>
      <c r="L1881" s="23" t="s">
        <v>6</v>
      </c>
    </row>
    <row r="1882" spans="1:12" ht="15.75">
      <c r="A1882" s="23">
        <f t="shared" si="29"/>
        <v>1869</v>
      </c>
      <c r="B1882" s="21">
        <f ca="1">Master[[#This Row],[ChecklistID]]+Master[[#This Row],[Checklist Order]]</f>
        <v>168007</v>
      </c>
      <c r="C1882" s="22"/>
      <c r="D1882" s="23" t="str" cm="1">
        <f t="array" aca="1" ref="D1882" ca="1">_xlfn.SWITCH(MID(Master[[#This Row],[Checklist]],1,4),"C - ","Civil","F - ","Foundation","ST -","Structure","FC -","Façade","PRE ","Pre-Line","POST","Post-Line","H - ","Handover","S - ","Services","CST ","Completion Docs", "I - ", "Inspection")</f>
        <v>Pre-Line</v>
      </c>
      <c r="E18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2" s="24" t="str">
        <f ca="1">IF(OR(Master[[#This Row],[Type]]="checklist", Master[[#This Row],[Type]]="checklist-flat"), Master[[#This Row],[Name]], F1881)</f>
        <v>PRE - S - Nogs</v>
      </c>
      <c r="G1882" s="34" t="s">
        <v>49</v>
      </c>
      <c r="H1882" s="34" t="s">
        <v>922</v>
      </c>
      <c r="I1882" s="35"/>
      <c r="J1882" s="21">
        <f ca="1">_xlfn.XLOOKUP(Master[[#This Row],[Checklist]],Ref!A:A,Ref!B:B)*1000</f>
        <v>168000</v>
      </c>
      <c r="K1882" s="21">
        <f ca="1">COUNTIF($J$2:Master[[#This Row],[ChecklistID]],Master[[#This Row],[ChecklistID]])-1</f>
        <v>7</v>
      </c>
      <c r="L1882" s="23" t="s">
        <v>6</v>
      </c>
    </row>
    <row r="1883" spans="1:12" ht="15.75">
      <c r="A1883" s="23">
        <f t="shared" si="29"/>
        <v>1870</v>
      </c>
      <c r="B1883" s="21">
        <f ca="1">Master[[#This Row],[ChecklistID]]+Master[[#This Row],[Checklist Order]]</f>
        <v>168008</v>
      </c>
      <c r="C1883" s="22"/>
      <c r="D1883" s="23" t="str" cm="1">
        <f t="array" aca="1" ref="D1883" ca="1">_xlfn.SWITCH(MID(Master[[#This Row],[Checklist]],1,4),"C - ","Civil","F - ","Foundation","ST -","Structure","FC -","Façade","PRE ","Pre-Line","POST","Post-Line","H - ","Handover","S - ","Services","CST ","Completion Docs", "I - ", "Inspection")</f>
        <v>Pre-Line</v>
      </c>
      <c r="E18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3" s="24" t="str">
        <f ca="1">IF(OR(Master[[#This Row],[Type]]="checklist", Master[[#This Row],[Type]]="checklist-flat"), Master[[#This Row],[Name]], F1882)</f>
        <v>PRE - S - Nogs</v>
      </c>
      <c r="G1883" s="34" t="s">
        <v>49</v>
      </c>
      <c r="H1883" s="34" t="s">
        <v>923</v>
      </c>
      <c r="I1883" s="35"/>
      <c r="J1883" s="21">
        <f ca="1">_xlfn.XLOOKUP(Master[[#This Row],[Checklist]],Ref!A:A,Ref!B:B)*1000</f>
        <v>168000</v>
      </c>
      <c r="K1883" s="21">
        <f ca="1">COUNTIF($J$2:Master[[#This Row],[ChecklistID]],Master[[#This Row],[ChecklistID]])-1</f>
        <v>8</v>
      </c>
      <c r="L1883" s="23" t="s">
        <v>6</v>
      </c>
    </row>
    <row r="1884" spans="1:12" ht="15.75">
      <c r="A1884" s="23">
        <f t="shared" si="29"/>
        <v>1871</v>
      </c>
      <c r="B1884" s="21">
        <f ca="1">Master[[#This Row],[ChecklistID]]+Master[[#This Row],[Checklist Order]]</f>
        <v>168009</v>
      </c>
      <c r="C1884" s="22"/>
      <c r="D1884" s="23" t="str" cm="1">
        <f t="array" aca="1" ref="D1884" ca="1">_xlfn.SWITCH(MID(Master[[#This Row],[Checklist]],1,4),"C - ","Civil","F - ","Foundation","ST -","Structure","FC -","Façade","PRE ","Pre-Line","POST","Post-Line","H - ","Handover","S - ","Services","CST ","Completion Docs", "I - ", "Inspection")</f>
        <v>Pre-Line</v>
      </c>
      <c r="E18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4" s="24" t="str">
        <f ca="1">IF(OR(Master[[#This Row],[Type]]="checklist", Master[[#This Row],[Type]]="checklist-flat"), Master[[#This Row],[Name]], F1883)</f>
        <v>PRE - S - Nogs</v>
      </c>
      <c r="G1884" s="34" t="s">
        <v>49</v>
      </c>
      <c r="H1884" s="34" t="s">
        <v>924</v>
      </c>
      <c r="I1884" s="35"/>
      <c r="J1884" s="21">
        <f ca="1">_xlfn.XLOOKUP(Master[[#This Row],[Checklist]],Ref!A:A,Ref!B:B)*1000</f>
        <v>168000</v>
      </c>
      <c r="K1884" s="21">
        <f ca="1">COUNTIF($J$2:Master[[#This Row],[ChecklistID]],Master[[#This Row],[ChecklistID]])-1</f>
        <v>9</v>
      </c>
      <c r="L1884" s="23" t="s">
        <v>6</v>
      </c>
    </row>
    <row r="1885" spans="1:12" ht="15.75">
      <c r="A1885" s="23">
        <f t="shared" si="29"/>
        <v>1872</v>
      </c>
      <c r="B1885" s="21">
        <f ca="1">Master[[#This Row],[ChecklistID]]+Master[[#This Row],[Checklist Order]]</f>
        <v>168010</v>
      </c>
      <c r="C1885" s="22"/>
      <c r="D1885" s="23" t="str" cm="1">
        <f t="array" aca="1" ref="D1885" ca="1">_xlfn.SWITCH(MID(Master[[#This Row],[Checklist]],1,4),"C - ","Civil","F - ","Foundation","ST -","Structure","FC -","Façade","PRE ","Pre-Line","POST","Post-Line","H - ","Handover","S - ","Services","CST ","Completion Docs", "I - ", "Inspection")</f>
        <v>Pre-Line</v>
      </c>
      <c r="E18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5" s="24" t="str">
        <f ca="1">IF(OR(Master[[#This Row],[Type]]="checklist", Master[[#This Row],[Type]]="checklist-flat"), Master[[#This Row],[Name]], F1884)</f>
        <v>PRE - S - Nogs</v>
      </c>
      <c r="G1885" s="34" t="s">
        <v>49</v>
      </c>
      <c r="H1885" s="34" t="s">
        <v>925</v>
      </c>
      <c r="I1885" s="35"/>
      <c r="J1885" s="21">
        <f ca="1">_xlfn.XLOOKUP(Master[[#This Row],[Checklist]],Ref!A:A,Ref!B:B)*1000</f>
        <v>168000</v>
      </c>
      <c r="K1885" s="21">
        <f ca="1">COUNTIF($J$2:Master[[#This Row],[ChecklistID]],Master[[#This Row],[ChecklistID]])-1</f>
        <v>10</v>
      </c>
      <c r="L1885" s="23" t="s">
        <v>6</v>
      </c>
    </row>
    <row r="1886" spans="1:12" ht="15.75">
      <c r="A1886" s="23">
        <f t="shared" si="29"/>
        <v>1873</v>
      </c>
      <c r="B1886" s="21">
        <f ca="1">Master[[#This Row],[ChecklistID]]+Master[[#This Row],[Checklist Order]]</f>
        <v>168011</v>
      </c>
      <c r="C1886" s="22"/>
      <c r="D1886" s="23" t="str" cm="1">
        <f t="array" aca="1" ref="D1886" ca="1">_xlfn.SWITCH(MID(Master[[#This Row],[Checklist]],1,4),"C - ","Civil","F - ","Foundation","ST -","Structure","FC -","Façade","PRE ","Pre-Line","POST","Post-Line","H - ","Handover","S - ","Services","CST ","Completion Docs", "I - ", "Inspection")</f>
        <v>Pre-Line</v>
      </c>
      <c r="E18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6" s="24" t="str">
        <f ca="1">IF(OR(Master[[#This Row],[Type]]="checklist", Master[[#This Row],[Type]]="checklist-flat"), Master[[#This Row],[Name]], F1885)</f>
        <v>PRE - S - Nogs</v>
      </c>
      <c r="G1886" s="34" t="s">
        <v>49</v>
      </c>
      <c r="H1886" s="34" t="s">
        <v>926</v>
      </c>
      <c r="I1886" s="35"/>
      <c r="J1886" s="21">
        <f ca="1">_xlfn.XLOOKUP(Master[[#This Row],[Checklist]],Ref!A:A,Ref!B:B)*1000</f>
        <v>168000</v>
      </c>
      <c r="K1886" s="21">
        <f ca="1">COUNTIF($J$2:Master[[#This Row],[ChecklistID]],Master[[#This Row],[ChecklistID]])-1</f>
        <v>11</v>
      </c>
      <c r="L1886" s="23" t="s">
        <v>6</v>
      </c>
    </row>
    <row r="1887" spans="1:12" ht="15.75">
      <c r="A1887" s="23">
        <f t="shared" si="29"/>
        <v>1874</v>
      </c>
      <c r="B1887" s="21">
        <f ca="1">Master[[#This Row],[ChecklistID]]+Master[[#This Row],[Checklist Order]]</f>
        <v>168012</v>
      </c>
      <c r="C1887" s="22"/>
      <c r="D1887" s="23" t="str" cm="1">
        <f t="array" aca="1" ref="D1887" ca="1">_xlfn.SWITCH(MID(Master[[#This Row],[Checklist]],1,4),"C - ","Civil","F - ","Foundation","ST -","Structure","FC -","Façade","PRE ","Pre-Line","POST","Post-Line","H - ","Handover","S - ","Services","CST ","Completion Docs", "I - ", "Inspection")</f>
        <v>Pre-Line</v>
      </c>
      <c r="E18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7" s="24" t="str">
        <f ca="1">IF(OR(Master[[#This Row],[Type]]="checklist", Master[[#This Row],[Type]]="checklist-flat"), Master[[#This Row],[Name]], F1886)</f>
        <v>PRE - S - Nogs</v>
      </c>
      <c r="G1887" s="34" t="s">
        <v>49</v>
      </c>
      <c r="H1887" s="34" t="s">
        <v>927</v>
      </c>
      <c r="I1887" s="35"/>
      <c r="J1887" s="21">
        <f ca="1">_xlfn.XLOOKUP(Master[[#This Row],[Checklist]],Ref!A:A,Ref!B:B)*1000</f>
        <v>168000</v>
      </c>
      <c r="K1887" s="21">
        <f ca="1">COUNTIF($J$2:Master[[#This Row],[ChecklistID]],Master[[#This Row],[ChecklistID]])-1</f>
        <v>12</v>
      </c>
      <c r="L1887" s="23" t="s">
        <v>6</v>
      </c>
    </row>
    <row r="1888" spans="1:12" ht="15.75" customHeight="1">
      <c r="A1888" s="23">
        <f t="shared" si="29"/>
        <v>1875</v>
      </c>
      <c r="B1888" s="21">
        <f ca="1">Master[[#This Row],[ChecklistID]]+Master[[#This Row],[Checklist Order]]</f>
        <v>168013</v>
      </c>
      <c r="C1888" s="22"/>
      <c r="D1888" s="23" t="str" cm="1">
        <f t="array" aca="1" ref="D1888" ca="1">_xlfn.SWITCH(MID(Master[[#This Row],[Checklist]],1,4),"C - ","Civil","F - ","Foundation","ST -","Structure","FC -","Façade","PRE ","Pre-Line","POST","Post-Line","H - ","Handover","S - ","Services","CST ","Completion Docs", "I - ", "Inspection")</f>
        <v>Pre-Line</v>
      </c>
      <c r="E18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8" s="24" t="str">
        <f ca="1">IF(OR(Master[[#This Row],[Type]]="checklist", Master[[#This Row],[Type]]="checklist-flat"), Master[[#This Row],[Name]], F1887)</f>
        <v>PRE - S - Nogs</v>
      </c>
      <c r="G1888" s="34" t="s">
        <v>861</v>
      </c>
      <c r="H1888" s="34" t="s">
        <v>928</v>
      </c>
      <c r="I1888" s="35"/>
      <c r="J1888" s="21">
        <f ca="1">_xlfn.XLOOKUP(Master[[#This Row],[Checklist]],Ref!A:A,Ref!B:B)*1000</f>
        <v>168000</v>
      </c>
      <c r="K1888" s="21">
        <f ca="1">COUNTIF($J$2:Master[[#This Row],[ChecklistID]],Master[[#This Row],[ChecklistID]])-1</f>
        <v>13</v>
      </c>
      <c r="L1888" s="23" t="s">
        <v>6</v>
      </c>
    </row>
    <row r="1889" spans="1:12" ht="15.75" customHeight="1">
      <c r="A1889" s="23">
        <f t="shared" si="29"/>
        <v>1876</v>
      </c>
      <c r="B1889" s="21">
        <f ca="1">Master[[#This Row],[ChecklistID]]+Master[[#This Row],[Checklist Order]]</f>
        <v>168014</v>
      </c>
      <c r="C1889" s="22"/>
      <c r="D1889" s="23" t="str" cm="1">
        <f t="array" aca="1" ref="D1889" ca="1">_xlfn.SWITCH(MID(Master[[#This Row],[Checklist]],1,4),"C - ","Civil","F - ","Foundation","ST -","Structure","FC -","Façade","PRE ","Pre-Line","POST","Post-Line","H - ","Handover","S - ","Services","CST ","Completion Docs", "I - ", "Inspection")</f>
        <v>Pre-Line</v>
      </c>
      <c r="E18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89" s="24" t="str">
        <f ca="1">IF(OR(Master[[#This Row],[Type]]="checklist", Master[[#This Row],[Type]]="checklist-flat"), Master[[#This Row],[Name]], F1888)</f>
        <v>PRE - S - Nogs</v>
      </c>
      <c r="G1889" s="34" t="s">
        <v>49</v>
      </c>
      <c r="H1889" s="34" t="s">
        <v>929</v>
      </c>
      <c r="I1889" s="35"/>
      <c r="J1889" s="21">
        <f ca="1">_xlfn.XLOOKUP(Master[[#This Row],[Checklist]],Ref!A:A,Ref!B:B)*1000</f>
        <v>168000</v>
      </c>
      <c r="K1889" s="21">
        <f ca="1">COUNTIF($J$2:Master[[#This Row],[ChecklistID]],Master[[#This Row],[ChecklistID]])-1</f>
        <v>14</v>
      </c>
      <c r="L1889" s="23" t="s">
        <v>6</v>
      </c>
    </row>
    <row r="1890" spans="1:12" ht="15.75" customHeight="1">
      <c r="A1890" s="23">
        <f t="shared" si="29"/>
        <v>1877</v>
      </c>
      <c r="B1890" s="21">
        <f ca="1">Master[[#This Row],[ChecklistID]]+Master[[#This Row],[Checklist Order]]</f>
        <v>168015</v>
      </c>
      <c r="C1890" s="22"/>
      <c r="D1890" s="23" t="str" cm="1">
        <f t="array" aca="1" ref="D1890" ca="1">_xlfn.SWITCH(MID(Master[[#This Row],[Checklist]],1,4),"C - ","Civil","F - ","Foundation","ST -","Structure","FC -","Façade","PRE ","Pre-Line","POST","Post-Line","H - ","Handover","S - ","Services","CST ","Completion Docs", "I - ", "Inspection")</f>
        <v>Pre-Line</v>
      </c>
      <c r="E18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0" s="24" t="str">
        <f ca="1">IF(OR(Master[[#This Row],[Type]]="checklist", Master[[#This Row],[Type]]="checklist-flat"), Master[[#This Row],[Name]], F1889)</f>
        <v>PRE - S - Nogs</v>
      </c>
      <c r="G1890" s="34" t="s">
        <v>49</v>
      </c>
      <c r="H1890" s="34" t="s">
        <v>930</v>
      </c>
      <c r="I1890" s="35"/>
      <c r="J1890" s="21">
        <f ca="1">_xlfn.XLOOKUP(Master[[#This Row],[Checklist]],Ref!A:A,Ref!B:B)*1000</f>
        <v>168000</v>
      </c>
      <c r="K1890" s="21">
        <f ca="1">COUNTIF($J$2:Master[[#This Row],[ChecklistID]],Master[[#This Row],[ChecklistID]])-1</f>
        <v>15</v>
      </c>
      <c r="L1890" s="23" t="s">
        <v>6</v>
      </c>
    </row>
    <row r="1891" spans="1:12" ht="15.75" customHeight="1">
      <c r="A1891" s="23">
        <f t="shared" si="29"/>
        <v>1878</v>
      </c>
      <c r="B1891" s="21">
        <f ca="1">Master[[#This Row],[ChecklistID]]+Master[[#This Row],[Checklist Order]]</f>
        <v>168016</v>
      </c>
      <c r="C1891" s="22"/>
      <c r="D1891" s="23" t="str" cm="1">
        <f t="array" aca="1" ref="D1891" ca="1">_xlfn.SWITCH(MID(Master[[#This Row],[Checklist]],1,4),"C - ","Civil","F - ","Foundation","ST -","Structure","FC -","Façade","PRE ","Pre-Line","POST","Post-Line","H - ","Handover","S - ","Services","CST ","Completion Docs", "I - ", "Inspection")</f>
        <v>Pre-Line</v>
      </c>
      <c r="E18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1" s="24" t="str">
        <f ca="1">IF(OR(Master[[#This Row],[Type]]="checklist", Master[[#This Row],[Type]]="checklist-flat"), Master[[#This Row],[Name]], F1890)</f>
        <v>PRE - S - Nogs</v>
      </c>
      <c r="G1891" s="34" t="s">
        <v>861</v>
      </c>
      <c r="H1891" s="34" t="s">
        <v>931</v>
      </c>
      <c r="I1891" s="35"/>
      <c r="J1891" s="21">
        <f ca="1">_xlfn.XLOOKUP(Master[[#This Row],[Checklist]],Ref!A:A,Ref!B:B)*1000</f>
        <v>168000</v>
      </c>
      <c r="K1891" s="21">
        <f ca="1">COUNTIF($J$2:Master[[#This Row],[ChecklistID]],Master[[#This Row],[ChecklistID]])-1</f>
        <v>16</v>
      </c>
      <c r="L1891" s="23" t="s">
        <v>6</v>
      </c>
    </row>
    <row r="1892" spans="1:12" ht="15.75" customHeight="1">
      <c r="A1892" s="23">
        <f t="shared" si="29"/>
        <v>1879</v>
      </c>
      <c r="B1892" s="21">
        <f ca="1">Master[[#This Row],[ChecklistID]]+Master[[#This Row],[Checklist Order]]</f>
        <v>168017</v>
      </c>
      <c r="C1892" s="22"/>
      <c r="D1892" s="23" t="str" cm="1">
        <f t="array" aca="1" ref="D1892" ca="1">_xlfn.SWITCH(MID(Master[[#This Row],[Checklist]],1,4),"C - ","Civil","F - ","Foundation","ST -","Structure","FC -","Façade","PRE ","Pre-Line","POST","Post-Line","H - ","Handover","S - ","Services","CST ","Completion Docs", "I - ", "Inspection")</f>
        <v>Pre-Line</v>
      </c>
      <c r="E18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2" s="24" t="str">
        <f ca="1">IF(OR(Master[[#This Row],[Type]]="checklist", Master[[#This Row],[Type]]="checklist-flat"), Master[[#This Row],[Name]], F1891)</f>
        <v>PRE - S - Nogs</v>
      </c>
      <c r="G1892" s="34" t="s">
        <v>49</v>
      </c>
      <c r="H1892" s="34" t="s">
        <v>932</v>
      </c>
      <c r="I1892" s="35"/>
      <c r="J1892" s="21">
        <f ca="1">_xlfn.XLOOKUP(Master[[#This Row],[Checklist]],Ref!A:A,Ref!B:B)*1000</f>
        <v>168000</v>
      </c>
      <c r="K1892" s="21">
        <f ca="1">COUNTIF($J$2:Master[[#This Row],[ChecklistID]],Master[[#This Row],[ChecklistID]])-1</f>
        <v>17</v>
      </c>
      <c r="L1892" s="23" t="s">
        <v>6</v>
      </c>
    </row>
    <row r="1893" spans="1:12" ht="15.75" customHeight="1">
      <c r="A1893" s="23">
        <f t="shared" si="29"/>
        <v>1880</v>
      </c>
      <c r="B1893" s="21">
        <f ca="1">Master[[#This Row],[ChecklistID]]+Master[[#This Row],[Checklist Order]]</f>
        <v>168018</v>
      </c>
      <c r="C1893" s="22"/>
      <c r="D1893" s="23" t="str" cm="1">
        <f t="array" aca="1" ref="D1893" ca="1">_xlfn.SWITCH(MID(Master[[#This Row],[Checklist]],1,4),"C - ","Civil","F - ","Foundation","ST -","Structure","FC -","Façade","PRE ","Pre-Line","POST","Post-Line","H - ","Handover","S - ","Services","CST ","Completion Docs", "I - ", "Inspection")</f>
        <v>Pre-Line</v>
      </c>
      <c r="E18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3" s="24" t="str">
        <f ca="1">IF(OR(Master[[#This Row],[Type]]="checklist", Master[[#This Row],[Type]]="checklist-flat"), Master[[#This Row],[Name]], F1892)</f>
        <v>PRE - S - Nogs</v>
      </c>
      <c r="G1893" s="34" t="s">
        <v>49</v>
      </c>
      <c r="H1893" s="34" t="s">
        <v>57</v>
      </c>
      <c r="I1893" s="35"/>
      <c r="J1893" s="21">
        <f ca="1">_xlfn.XLOOKUP(Master[[#This Row],[Checklist]],Ref!A:A,Ref!B:B)*1000</f>
        <v>168000</v>
      </c>
      <c r="K1893" s="21">
        <f ca="1">COUNTIF($J$2:Master[[#This Row],[ChecklistID]],Master[[#This Row],[ChecklistID]])-1</f>
        <v>18</v>
      </c>
      <c r="L1893" s="23" t="s">
        <v>6</v>
      </c>
    </row>
    <row r="1894" spans="1:12" ht="15.75" customHeight="1">
      <c r="A1894" s="23">
        <f t="shared" si="29"/>
        <v>1881</v>
      </c>
      <c r="B1894" s="21">
        <f ca="1">Master[[#This Row],[ChecklistID]]+Master[[#This Row],[Checklist Order]]</f>
        <v>168019</v>
      </c>
      <c r="C1894" s="22"/>
      <c r="D1894" s="23" t="str" cm="1">
        <f t="array" aca="1" ref="D1894" ca="1">_xlfn.SWITCH(MID(Master[[#This Row],[Checklist]],1,4),"C - ","Civil","F - ","Foundation","ST -","Structure","FC -","Façade","PRE ","Pre-Line","POST","Post-Line","H - ","Handover","S - ","Services","CST ","Completion Docs", "I - ", "Inspection")</f>
        <v>Pre-Line</v>
      </c>
      <c r="E18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4" s="24" t="str">
        <f ca="1">IF(OR(Master[[#This Row],[Type]]="checklist", Master[[#This Row],[Type]]="checklist-flat"), Master[[#This Row],[Name]], F1893)</f>
        <v>PRE - S - Nogs</v>
      </c>
      <c r="G1894" s="34" t="s">
        <v>58</v>
      </c>
      <c r="H1894" s="34" t="s">
        <v>59</v>
      </c>
      <c r="I1894" s="35"/>
      <c r="J1894" s="21">
        <f ca="1">_xlfn.XLOOKUP(Master[[#This Row],[Checklist]],Ref!A:A,Ref!B:B)*1000</f>
        <v>168000</v>
      </c>
      <c r="K1894" s="21">
        <f ca="1">COUNTIF($J$2:Master[[#This Row],[ChecklistID]],Master[[#This Row],[ChecklistID]])-1</f>
        <v>19</v>
      </c>
      <c r="L1894" s="23" t="s">
        <v>6</v>
      </c>
    </row>
    <row r="1895" spans="1:12" ht="15.75" customHeight="1">
      <c r="A1895" s="23">
        <f t="shared" si="29"/>
        <v>1882</v>
      </c>
      <c r="B1895" s="21">
        <f ca="1">Master[[#This Row],[ChecklistID]]+Master[[#This Row],[Checklist Order]]</f>
        <v>169000</v>
      </c>
      <c r="C1895" s="22"/>
      <c r="D1895" s="23" t="str" cm="1">
        <f t="array" aca="1" ref="D1895" ca="1">_xlfn.SWITCH(MID(Master[[#This Row],[Checklist]],1,4),"C - ","Civil","F - ","Foundation","ST -","Structure","FC -","Façade","PRE ","Pre-Line","POST","Post-Line","H - ","Handover","S - ","Services","CST ","Completion Docs", "I - ", "Inspection")</f>
        <v>Façade</v>
      </c>
      <c r="E18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5" s="24" t="str">
        <f ca="1">IF(OR(Master[[#This Row],[Type]]="checklist", Master[[#This Row],[Type]]="checklist-flat"), Master[[#This Row],[Name]], F1894)</f>
        <v>FC - S - Fascia/Gutter</v>
      </c>
      <c r="G1895" s="34" t="s">
        <v>48</v>
      </c>
      <c r="H1895" s="34" t="s">
        <v>933</v>
      </c>
      <c r="I1895" s="35"/>
      <c r="J1895" s="21">
        <f ca="1">_xlfn.XLOOKUP(Master[[#This Row],[Checklist]],Ref!A:A,Ref!B:B)*1000</f>
        <v>169000</v>
      </c>
      <c r="K1895" s="21">
        <f ca="1">COUNTIF($J$2:Master[[#This Row],[ChecklistID]],Master[[#This Row],[ChecklistID]])-1</f>
        <v>0</v>
      </c>
      <c r="L1895" s="23" t="s">
        <v>6</v>
      </c>
    </row>
    <row r="1896" spans="1:12" ht="15.75" customHeight="1">
      <c r="A1896" s="23">
        <f t="shared" si="29"/>
        <v>1883</v>
      </c>
      <c r="B1896" s="21">
        <f ca="1">Master[[#This Row],[ChecklistID]]+Master[[#This Row],[Checklist Order]]</f>
        <v>169001</v>
      </c>
      <c r="C1896" s="22"/>
      <c r="D1896" s="23" t="str" cm="1">
        <f t="array" aca="1" ref="D1896" ca="1">_xlfn.SWITCH(MID(Master[[#This Row],[Checklist]],1,4),"C - ","Civil","F - ","Foundation","ST -","Structure","FC -","Façade","PRE ","Pre-Line","POST","Post-Line","H - ","Handover","S - ","Services","CST ","Completion Docs", "I - ", "Inspection")</f>
        <v>Façade</v>
      </c>
      <c r="E18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6" s="24" t="str">
        <f ca="1">IF(OR(Master[[#This Row],[Type]]="checklist", Master[[#This Row],[Type]]="checklist-flat"), Master[[#This Row],[Name]], F1895)</f>
        <v>FC - S - Fascia/Gutter</v>
      </c>
      <c r="G1896" s="34" t="s">
        <v>49</v>
      </c>
      <c r="H1896" s="34" t="s">
        <v>934</v>
      </c>
      <c r="I1896" s="35"/>
      <c r="J1896" s="21">
        <f ca="1">_xlfn.XLOOKUP(Master[[#This Row],[Checklist]],Ref!A:A,Ref!B:B)*1000</f>
        <v>169000</v>
      </c>
      <c r="K1896" s="21">
        <f ca="1">COUNTIF($J$2:Master[[#This Row],[ChecklistID]],Master[[#This Row],[ChecklistID]])-1</f>
        <v>1</v>
      </c>
      <c r="L1896" s="23" t="s">
        <v>6</v>
      </c>
    </row>
    <row r="1897" spans="1:12" ht="15.75" customHeight="1">
      <c r="A1897" s="23">
        <f t="shared" si="29"/>
        <v>1884</v>
      </c>
      <c r="B1897" s="21">
        <f ca="1">Master[[#This Row],[ChecklistID]]+Master[[#This Row],[Checklist Order]]</f>
        <v>169002</v>
      </c>
      <c r="C1897" s="22"/>
      <c r="D1897" s="23" t="str" cm="1">
        <f t="array" aca="1" ref="D1897" ca="1">_xlfn.SWITCH(MID(Master[[#This Row],[Checklist]],1,4),"C - ","Civil","F - ","Foundation","ST -","Structure","FC -","Façade","PRE ","Pre-Line","POST","Post-Line","H - ","Handover","S - ","Services","CST ","Completion Docs", "I - ", "Inspection")</f>
        <v>Façade</v>
      </c>
      <c r="E18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7" s="24" t="str">
        <f ca="1">IF(OR(Master[[#This Row],[Type]]="checklist", Master[[#This Row],[Type]]="checklist-flat"), Master[[#This Row],[Name]], F1896)</f>
        <v>FC - S - Fascia/Gutter</v>
      </c>
      <c r="G1897" s="34" t="s">
        <v>49</v>
      </c>
      <c r="H1897" s="34" t="s">
        <v>935</v>
      </c>
      <c r="I1897" s="35"/>
      <c r="J1897" s="21">
        <f ca="1">_xlfn.XLOOKUP(Master[[#This Row],[Checklist]],Ref!A:A,Ref!B:B)*1000</f>
        <v>169000</v>
      </c>
      <c r="K1897" s="21">
        <f ca="1">COUNTIF($J$2:Master[[#This Row],[ChecklistID]],Master[[#This Row],[ChecklistID]])-1</f>
        <v>2</v>
      </c>
      <c r="L1897" s="23" t="s">
        <v>6</v>
      </c>
    </row>
    <row r="1898" spans="1:12" ht="15.75" customHeight="1">
      <c r="A1898" s="23">
        <f t="shared" si="29"/>
        <v>1885</v>
      </c>
      <c r="B1898" s="21">
        <f ca="1">Master[[#This Row],[ChecklistID]]+Master[[#This Row],[Checklist Order]]</f>
        <v>169003</v>
      </c>
      <c r="C1898" s="22"/>
      <c r="D1898" s="23" t="str" cm="1">
        <f t="array" aca="1" ref="D1898" ca="1">_xlfn.SWITCH(MID(Master[[#This Row],[Checklist]],1,4),"C - ","Civil","F - ","Foundation","ST -","Structure","FC -","Façade","PRE ","Pre-Line","POST","Post-Line","H - ","Handover","S - ","Services","CST ","Completion Docs", "I - ", "Inspection")</f>
        <v>Façade</v>
      </c>
      <c r="E18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8" s="24" t="str">
        <f ca="1">IF(OR(Master[[#This Row],[Type]]="checklist", Master[[#This Row],[Type]]="checklist-flat"), Master[[#This Row],[Name]], F1897)</f>
        <v>FC - S - Fascia/Gutter</v>
      </c>
      <c r="G1898" s="34" t="s">
        <v>49</v>
      </c>
      <c r="H1898" s="34" t="s">
        <v>936</v>
      </c>
      <c r="I1898" s="35"/>
      <c r="J1898" s="21">
        <f ca="1">_xlfn.XLOOKUP(Master[[#This Row],[Checklist]],Ref!A:A,Ref!B:B)*1000</f>
        <v>169000</v>
      </c>
      <c r="K1898" s="21">
        <f ca="1">COUNTIF($J$2:Master[[#This Row],[ChecklistID]],Master[[#This Row],[ChecklistID]])-1</f>
        <v>3</v>
      </c>
      <c r="L1898" s="23" t="s">
        <v>6</v>
      </c>
    </row>
    <row r="1899" spans="1:12" ht="15.75" customHeight="1">
      <c r="A1899" s="23">
        <f t="shared" si="29"/>
        <v>1886</v>
      </c>
      <c r="B1899" s="21">
        <f ca="1">Master[[#This Row],[ChecklistID]]+Master[[#This Row],[Checklist Order]]</f>
        <v>169004</v>
      </c>
      <c r="C1899" s="22"/>
      <c r="D1899" s="23" t="str" cm="1">
        <f t="array" aca="1" ref="D1899" ca="1">_xlfn.SWITCH(MID(Master[[#This Row],[Checklist]],1,4),"C - ","Civil","F - ","Foundation","ST -","Structure","FC -","Façade","PRE ","Pre-Line","POST","Post-Line","H - ","Handover","S - ","Services","CST ","Completion Docs", "I - ", "Inspection")</f>
        <v>Façade</v>
      </c>
      <c r="E18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899" s="24" t="str">
        <f ca="1">IF(OR(Master[[#This Row],[Type]]="checklist", Master[[#This Row],[Type]]="checklist-flat"), Master[[#This Row],[Name]], F1898)</f>
        <v>FC - S - Fascia/Gutter</v>
      </c>
      <c r="G1899" s="34" t="s">
        <v>49</v>
      </c>
      <c r="H1899" s="34" t="s">
        <v>937</v>
      </c>
      <c r="I1899" s="35"/>
      <c r="J1899" s="21">
        <f ca="1">_xlfn.XLOOKUP(Master[[#This Row],[Checklist]],Ref!A:A,Ref!B:B)*1000</f>
        <v>169000</v>
      </c>
      <c r="K1899" s="21">
        <f ca="1">COUNTIF($J$2:Master[[#This Row],[ChecklistID]],Master[[#This Row],[ChecklistID]])-1</f>
        <v>4</v>
      </c>
      <c r="L1899" s="23" t="s">
        <v>6</v>
      </c>
    </row>
    <row r="1900" spans="1:12" ht="15.75" customHeight="1">
      <c r="A1900" s="23">
        <f t="shared" si="29"/>
        <v>1887</v>
      </c>
      <c r="B1900" s="21">
        <f ca="1">Master[[#This Row],[ChecklistID]]+Master[[#This Row],[Checklist Order]]</f>
        <v>169005</v>
      </c>
      <c r="C1900" s="22"/>
      <c r="D1900" s="23" t="str" cm="1">
        <f t="array" aca="1" ref="D1900" ca="1">_xlfn.SWITCH(MID(Master[[#This Row],[Checklist]],1,4),"C - ","Civil","F - ","Foundation","ST -","Structure","FC -","Façade","PRE ","Pre-Line","POST","Post-Line","H - ","Handover","S - ","Services","CST ","Completion Docs", "I - ", "Inspection")</f>
        <v>Façade</v>
      </c>
      <c r="E19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0" s="24" t="str">
        <f ca="1">IF(OR(Master[[#This Row],[Type]]="checklist", Master[[#This Row],[Type]]="checklist-flat"), Master[[#This Row],[Name]], F1899)</f>
        <v>FC - S - Fascia/Gutter</v>
      </c>
      <c r="G1900" s="34" t="s">
        <v>49</v>
      </c>
      <c r="H1900" s="34" t="s">
        <v>938</v>
      </c>
      <c r="I1900" s="35"/>
      <c r="J1900" s="21">
        <f ca="1">_xlfn.XLOOKUP(Master[[#This Row],[Checklist]],Ref!A:A,Ref!B:B)*1000</f>
        <v>169000</v>
      </c>
      <c r="K1900" s="21">
        <f ca="1">COUNTIF($J$2:Master[[#This Row],[ChecklistID]],Master[[#This Row],[ChecklistID]])-1</f>
        <v>5</v>
      </c>
      <c r="L1900" s="23" t="s">
        <v>6</v>
      </c>
    </row>
    <row r="1901" spans="1:12" ht="15.75" customHeight="1">
      <c r="A1901" s="23">
        <f t="shared" si="29"/>
        <v>1888</v>
      </c>
      <c r="B1901" s="21">
        <f ca="1">Master[[#This Row],[ChecklistID]]+Master[[#This Row],[Checklist Order]]</f>
        <v>169006</v>
      </c>
      <c r="C1901" s="22"/>
      <c r="D1901" s="23" t="str" cm="1">
        <f t="array" aca="1" ref="D1901" ca="1">_xlfn.SWITCH(MID(Master[[#This Row],[Checklist]],1,4),"C - ","Civil","F - ","Foundation","ST -","Structure","FC -","Façade","PRE ","Pre-Line","POST","Post-Line","H - ","Handover","S - ","Services","CST ","Completion Docs", "I - ", "Inspection")</f>
        <v>Façade</v>
      </c>
      <c r="E19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1" s="24" t="str">
        <f ca="1">IF(OR(Master[[#This Row],[Type]]="checklist", Master[[#This Row],[Type]]="checklist-flat"), Master[[#This Row],[Name]], F1900)</f>
        <v>FC - S - Fascia/Gutter</v>
      </c>
      <c r="G1901" s="34" t="s">
        <v>58</v>
      </c>
      <c r="H1901" s="34" t="s">
        <v>908</v>
      </c>
      <c r="I1901" s="35"/>
      <c r="J1901" s="21">
        <f ca="1">_xlfn.XLOOKUP(Master[[#This Row],[Checklist]],Ref!A:A,Ref!B:B)*1000</f>
        <v>169000</v>
      </c>
      <c r="K1901" s="21">
        <f ca="1">COUNTIF($J$2:Master[[#This Row],[ChecklistID]],Master[[#This Row],[ChecklistID]])-1</f>
        <v>6</v>
      </c>
      <c r="L1901" s="23" t="s">
        <v>6</v>
      </c>
    </row>
    <row r="1902" spans="1:12" ht="15.75" customHeight="1">
      <c r="A1902" s="23">
        <f t="shared" si="29"/>
        <v>1889</v>
      </c>
      <c r="B1902" s="21">
        <f ca="1">Master[[#This Row],[ChecklistID]]+Master[[#This Row],[Checklist Order]]</f>
        <v>169007</v>
      </c>
      <c r="C1902" s="22"/>
      <c r="D1902" s="23" t="str" cm="1">
        <f t="array" aca="1" ref="D1902" ca="1">_xlfn.SWITCH(MID(Master[[#This Row],[Checklist]],1,4),"C - ","Civil","F - ","Foundation","ST -","Structure","FC -","Façade","PRE ","Pre-Line","POST","Post-Line","H - ","Handover","S - ","Services","CST ","Completion Docs", "I - ", "Inspection")</f>
        <v>Façade</v>
      </c>
      <c r="E19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2" s="24" t="str">
        <f ca="1">IF(OR(Master[[#This Row],[Type]]="checklist", Master[[#This Row],[Type]]="checklist-flat"), Master[[#This Row],[Name]], F1901)</f>
        <v>FC - S - Fascia/Gutter</v>
      </c>
      <c r="G1902" s="34" t="s">
        <v>49</v>
      </c>
      <c r="H1902" s="34" t="s">
        <v>57</v>
      </c>
      <c r="I1902" s="35"/>
      <c r="J1902" s="21">
        <f ca="1">_xlfn.XLOOKUP(Master[[#This Row],[Checklist]],Ref!A:A,Ref!B:B)*1000</f>
        <v>169000</v>
      </c>
      <c r="K1902" s="21">
        <f ca="1">COUNTIF($J$2:Master[[#This Row],[ChecklistID]],Master[[#This Row],[ChecklistID]])-1</f>
        <v>7</v>
      </c>
      <c r="L1902" s="23" t="s">
        <v>6</v>
      </c>
    </row>
    <row r="1903" spans="1:12" ht="15.75" customHeight="1">
      <c r="A1903" s="23">
        <f t="shared" si="29"/>
        <v>1890</v>
      </c>
      <c r="B1903" s="21">
        <f ca="1">Master[[#This Row],[ChecklistID]]+Master[[#This Row],[Checklist Order]]</f>
        <v>169008</v>
      </c>
      <c r="C1903" s="22"/>
      <c r="D1903" s="23" t="str" cm="1">
        <f t="array" aca="1" ref="D1903" ca="1">_xlfn.SWITCH(MID(Master[[#This Row],[Checklist]],1,4),"C - ","Civil","F - ","Foundation","ST -","Structure","FC -","Façade","PRE ","Pre-Line","POST","Post-Line","H - ","Handover","S - ","Services","CST ","Completion Docs", "I - ", "Inspection")</f>
        <v>Façade</v>
      </c>
      <c r="E19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3" s="24" t="str">
        <f ca="1">IF(OR(Master[[#This Row],[Type]]="checklist", Master[[#This Row],[Type]]="checklist-flat"), Master[[#This Row],[Name]], F1902)</f>
        <v>FC - S - Fascia/Gutter</v>
      </c>
      <c r="G1903" s="34" t="s">
        <v>58</v>
      </c>
      <c r="H1903" s="34" t="s">
        <v>59</v>
      </c>
      <c r="I1903" s="35"/>
      <c r="J1903" s="21">
        <f ca="1">_xlfn.XLOOKUP(Master[[#This Row],[Checklist]],Ref!A:A,Ref!B:B)*1000</f>
        <v>169000</v>
      </c>
      <c r="K1903" s="21">
        <f ca="1">COUNTIF($J$2:Master[[#This Row],[ChecklistID]],Master[[#This Row],[ChecklistID]])-1</f>
        <v>8</v>
      </c>
      <c r="L1903" s="23" t="s">
        <v>6</v>
      </c>
    </row>
    <row r="1904" spans="1:12" ht="15.75" customHeight="1">
      <c r="A1904" s="23">
        <f t="shared" si="29"/>
        <v>1891</v>
      </c>
      <c r="B1904" s="21">
        <f ca="1">Master[[#This Row],[ChecklistID]]+Master[[#This Row],[Checklist Order]]</f>
        <v>170000</v>
      </c>
      <c r="C1904" s="22"/>
      <c r="D1904" s="23" t="str" cm="1">
        <f t="array" aca="1" ref="D1904" ca="1">_xlfn.SWITCH(MID(Master[[#This Row],[Checklist]],1,4),"C - ","Civil","F - ","Foundation","ST -","Structure","FC -","Façade","PRE ","Pre-Line","POST","Post-Line","H - ","Handover","S - ","Services","CST ","Completion Docs", "I - ", "Inspection")</f>
        <v>Façade</v>
      </c>
      <c r="E19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4" s="24" t="str">
        <f ca="1">IF(OR(Master[[#This Row],[Type]]="checklist", Master[[#This Row],[Type]]="checklist-flat"), Master[[#This Row],[Name]], F1903)</f>
        <v>FC - S - Roofing Iron/Flashings</v>
      </c>
      <c r="G1904" s="3" t="s">
        <v>48</v>
      </c>
      <c r="H1904" s="24" t="s">
        <v>939</v>
      </c>
      <c r="I1904" s="35"/>
      <c r="J1904" s="21">
        <f ca="1">_xlfn.XLOOKUP(Master[[#This Row],[Checklist]],Ref!A:A,Ref!B:B)*1000</f>
        <v>170000</v>
      </c>
      <c r="K1904" s="21">
        <f ca="1">COUNTIF($J$2:Master[[#This Row],[ChecklistID]],Master[[#This Row],[ChecklistID]])-1</f>
        <v>0</v>
      </c>
      <c r="L1904" s="23" t="s">
        <v>6</v>
      </c>
    </row>
    <row r="1905" spans="1:12" ht="15.75">
      <c r="A1905" s="23">
        <f t="shared" si="29"/>
        <v>1892</v>
      </c>
      <c r="B1905" s="21">
        <f ca="1">Master[[#This Row],[ChecklistID]]+Master[[#This Row],[Checklist Order]]</f>
        <v>170001</v>
      </c>
      <c r="C1905" s="22"/>
      <c r="D1905" s="23" t="str" cm="1">
        <f t="array" aca="1" ref="D1905" ca="1">_xlfn.SWITCH(MID(Master[[#This Row],[Checklist]],1,4),"C - ","Civil","F - ","Foundation","ST -","Structure","FC -","Façade","PRE ","Pre-Line","POST","Post-Line","H - ","Handover","S - ","Services","CST ","Completion Docs", "I - ", "Inspection")</f>
        <v>Façade</v>
      </c>
      <c r="E19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5" s="24" t="str">
        <f ca="1">IF(OR(Master[[#This Row],[Type]]="checklist", Master[[#This Row],[Type]]="checklist-flat"), Master[[#This Row],[Name]], F1904)</f>
        <v>FC - S - Roofing Iron/Flashings</v>
      </c>
      <c r="G1905" s="3" t="s">
        <v>49</v>
      </c>
      <c r="H1905" s="24" t="s">
        <v>1711</v>
      </c>
      <c r="I1905" s="35"/>
      <c r="J1905" s="21">
        <f ca="1">_xlfn.XLOOKUP(Master[[#This Row],[Checklist]],Ref!A:A,Ref!B:B)*1000</f>
        <v>170000</v>
      </c>
      <c r="K1905" s="21">
        <f ca="1">COUNTIF($J$2:Master[[#This Row],[ChecklistID]],Master[[#This Row],[ChecklistID]])-1</f>
        <v>1</v>
      </c>
      <c r="L1905" s="23" t="s">
        <v>6</v>
      </c>
    </row>
    <row r="1906" spans="1:12" ht="15.75">
      <c r="A1906" s="23">
        <f t="shared" si="29"/>
        <v>1893</v>
      </c>
      <c r="B1906" s="21">
        <f ca="1">Master[[#This Row],[ChecklistID]]+Master[[#This Row],[Checklist Order]]</f>
        <v>170002</v>
      </c>
      <c r="C1906" s="22"/>
      <c r="D1906" s="23" t="str" cm="1">
        <f t="array" aca="1" ref="D1906" ca="1">_xlfn.SWITCH(MID(Master[[#This Row],[Checklist]],1,4),"C - ","Civil","F - ","Foundation","ST -","Structure","FC -","Façade","PRE ","Pre-Line","POST","Post-Line","H - ","Handover","S - ","Services","CST ","Completion Docs", "I - ", "Inspection")</f>
        <v>Façade</v>
      </c>
      <c r="E19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6" s="24" t="str">
        <f ca="1">IF(OR(Master[[#This Row],[Type]]="checklist", Master[[#This Row],[Type]]="checklist-flat"), Master[[#This Row],[Name]], F1905)</f>
        <v>FC - S - Roofing Iron/Flashings</v>
      </c>
      <c r="G1906" s="3" t="s">
        <v>124</v>
      </c>
      <c r="H1906" s="24" t="s">
        <v>941</v>
      </c>
      <c r="I1906" s="35"/>
      <c r="J1906" s="21">
        <f ca="1">_xlfn.XLOOKUP(Master[[#This Row],[Checklist]],Ref!A:A,Ref!B:B)*1000</f>
        <v>170000</v>
      </c>
      <c r="K1906" s="21">
        <f ca="1">COUNTIF($J$2:Master[[#This Row],[ChecklistID]],Master[[#This Row],[ChecklistID]])-1</f>
        <v>2</v>
      </c>
      <c r="L1906" s="23" t="s">
        <v>6</v>
      </c>
    </row>
    <row r="1907" spans="1:12" ht="15.75">
      <c r="A1907" s="23">
        <f t="shared" si="29"/>
        <v>1894</v>
      </c>
      <c r="B1907" s="21">
        <f ca="1">Master[[#This Row],[ChecklistID]]+Master[[#This Row],[Checklist Order]]</f>
        <v>170003</v>
      </c>
      <c r="C1907" s="22"/>
      <c r="D1907" s="23" t="str" cm="1">
        <f t="array" aca="1" ref="D1907" ca="1">_xlfn.SWITCH(MID(Master[[#This Row],[Checklist]],1,4),"C - ","Civil","F - ","Foundation","ST -","Structure","FC -","Façade","PRE ","Pre-Line","POST","Post-Line","H - ","Handover","S - ","Services","CST ","Completion Docs", "I - ", "Inspection")</f>
        <v>Façade</v>
      </c>
      <c r="E19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7" s="24" t="str">
        <f ca="1">IF(OR(Master[[#This Row],[Type]]="checklist", Master[[#This Row],[Type]]="checklist-flat"), Master[[#This Row],[Name]], F1906)</f>
        <v>FC - S - Roofing Iron/Flashings</v>
      </c>
      <c r="G1907" s="3" t="s">
        <v>49</v>
      </c>
      <c r="H1907" s="24" t="s">
        <v>952</v>
      </c>
      <c r="I1907" s="35"/>
      <c r="J1907" s="21">
        <f ca="1">_xlfn.XLOOKUP(Master[[#This Row],[Checklist]],Ref!A:A,Ref!B:B)*1000</f>
        <v>170000</v>
      </c>
      <c r="K1907" s="21">
        <f ca="1">COUNTIF($J$2:Master[[#This Row],[ChecklistID]],Master[[#This Row],[ChecklistID]])-1</f>
        <v>3</v>
      </c>
      <c r="L1907" s="23" t="s">
        <v>6</v>
      </c>
    </row>
    <row r="1908" spans="1:12" ht="15.75">
      <c r="A1908" s="23">
        <f t="shared" ref="A1908:A1971" si="30">IFERROR(A1907+1,1)</f>
        <v>1895</v>
      </c>
      <c r="B1908" s="21">
        <f ca="1">Master[[#This Row],[ChecklistID]]+Master[[#This Row],[Checklist Order]]</f>
        <v>170004</v>
      </c>
      <c r="C1908" s="22"/>
      <c r="D1908" s="23" t="str" cm="1">
        <f t="array" aca="1" ref="D1908" ca="1">_xlfn.SWITCH(MID(Master[[#This Row],[Checklist]],1,4),"C - ","Civil","F - ","Foundation","ST -","Structure","FC -","Façade","PRE ","Pre-Line","POST","Post-Line","H - ","Handover","S - ","Services","CST ","Completion Docs", "I - ", "Inspection")</f>
        <v>Façade</v>
      </c>
      <c r="E19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8" s="24" t="str">
        <f ca="1">IF(OR(Master[[#This Row],[Type]]="checklist", Master[[#This Row],[Type]]="checklist-flat"), Master[[#This Row],[Name]], F1907)</f>
        <v>FC - S - Roofing Iron/Flashings</v>
      </c>
      <c r="G1908" s="3" t="s">
        <v>49</v>
      </c>
      <c r="H1908" s="24" t="s">
        <v>943</v>
      </c>
      <c r="I1908" s="35"/>
      <c r="J1908" s="21">
        <f ca="1">_xlfn.XLOOKUP(Master[[#This Row],[Checklist]],Ref!A:A,Ref!B:B)*1000</f>
        <v>170000</v>
      </c>
      <c r="K1908" s="21">
        <f ca="1">COUNTIF($J$2:Master[[#This Row],[ChecklistID]],Master[[#This Row],[ChecklistID]])-1</f>
        <v>4</v>
      </c>
      <c r="L1908" s="23" t="s">
        <v>6</v>
      </c>
    </row>
    <row r="1909" spans="1:12" ht="15.75">
      <c r="A1909" s="23">
        <f t="shared" si="30"/>
        <v>1896</v>
      </c>
      <c r="B1909" s="21">
        <f ca="1">Master[[#This Row],[ChecklistID]]+Master[[#This Row],[Checklist Order]]</f>
        <v>170005</v>
      </c>
      <c r="C1909" s="22"/>
      <c r="D1909" s="23" t="str" cm="1">
        <f t="array" aca="1" ref="D1909" ca="1">_xlfn.SWITCH(MID(Master[[#This Row],[Checklist]],1,4),"C - ","Civil","F - ","Foundation","ST -","Structure","FC -","Façade","PRE ","Pre-Line","POST","Post-Line","H - ","Handover","S - ","Services","CST ","Completion Docs", "I - ", "Inspection")</f>
        <v>Façade</v>
      </c>
      <c r="E19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09" s="24" t="str">
        <f ca="1">IF(OR(Master[[#This Row],[Type]]="checklist", Master[[#This Row],[Type]]="checklist-flat"), Master[[#This Row],[Name]], F1908)</f>
        <v>FC - S - Roofing Iron/Flashings</v>
      </c>
      <c r="G1909" s="3" t="s">
        <v>49</v>
      </c>
      <c r="H1909" s="24" t="s">
        <v>1712</v>
      </c>
      <c r="I1909" s="35"/>
      <c r="J1909" s="21">
        <f ca="1">_xlfn.XLOOKUP(Master[[#This Row],[Checklist]],Ref!A:A,Ref!B:B)*1000</f>
        <v>170000</v>
      </c>
      <c r="K1909" s="21">
        <f ca="1">COUNTIF($J$2:Master[[#This Row],[ChecklistID]],Master[[#This Row],[ChecklistID]])-1</f>
        <v>5</v>
      </c>
      <c r="L1909" s="23" t="s">
        <v>6</v>
      </c>
    </row>
    <row r="1910" spans="1:12" ht="15.75">
      <c r="A1910" s="23">
        <f t="shared" si="30"/>
        <v>1897</v>
      </c>
      <c r="B1910" s="21">
        <f ca="1">Master[[#This Row],[ChecklistID]]+Master[[#This Row],[Checklist Order]]</f>
        <v>170006</v>
      </c>
      <c r="C1910" s="22"/>
      <c r="D1910" s="23" t="str" cm="1">
        <f t="array" aca="1" ref="D1910" ca="1">_xlfn.SWITCH(MID(Master[[#This Row],[Checklist]],1,4),"C - ","Civil","F - ","Foundation","ST -","Structure","FC -","Façade","PRE ","Pre-Line","POST","Post-Line","H - ","Handover","S - ","Services","CST ","Completion Docs", "I - ", "Inspection")</f>
        <v>Façade</v>
      </c>
      <c r="E19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0" s="24" t="str">
        <f ca="1">IF(OR(Master[[#This Row],[Type]]="checklist", Master[[#This Row],[Type]]="checklist-flat"), Master[[#This Row],[Name]], F1909)</f>
        <v>FC - S - Roofing Iron/Flashings</v>
      </c>
      <c r="G1910" s="3" t="s">
        <v>49</v>
      </c>
      <c r="H1910" s="24" t="s">
        <v>945</v>
      </c>
      <c r="I1910" s="35"/>
      <c r="J1910" s="21">
        <f ca="1">_xlfn.XLOOKUP(Master[[#This Row],[Checklist]],Ref!A:A,Ref!B:B)*1000</f>
        <v>170000</v>
      </c>
      <c r="K1910" s="21">
        <f ca="1">COUNTIF($J$2:Master[[#This Row],[ChecklistID]],Master[[#This Row],[ChecklistID]])-1</f>
        <v>6</v>
      </c>
      <c r="L1910" s="23" t="s">
        <v>6</v>
      </c>
    </row>
    <row r="1911" spans="1:12" ht="15.75">
      <c r="A1911" s="23">
        <f t="shared" si="30"/>
        <v>1898</v>
      </c>
      <c r="B1911" s="21">
        <f ca="1">Master[[#This Row],[ChecklistID]]+Master[[#This Row],[Checklist Order]]</f>
        <v>170007</v>
      </c>
      <c r="C1911" s="22"/>
      <c r="D1911" s="23" t="str" cm="1">
        <f t="array" aca="1" ref="D1911" ca="1">_xlfn.SWITCH(MID(Master[[#This Row],[Checklist]],1,4),"C - ","Civil","F - ","Foundation","ST -","Structure","FC -","Façade","PRE ","Pre-Line","POST","Post-Line","H - ","Handover","S - ","Services","CST ","Completion Docs", "I - ", "Inspection")</f>
        <v>Façade</v>
      </c>
      <c r="E19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1" s="24" t="str">
        <f ca="1">IF(OR(Master[[#This Row],[Type]]="checklist", Master[[#This Row],[Type]]="checklist-flat"), Master[[#This Row],[Name]], F1910)</f>
        <v>FC - S - Roofing Iron/Flashings</v>
      </c>
      <c r="G1911" s="3" t="s">
        <v>49</v>
      </c>
      <c r="H1911" s="24" t="s">
        <v>946</v>
      </c>
      <c r="I1911" s="35"/>
      <c r="J1911" s="21">
        <f ca="1">_xlfn.XLOOKUP(Master[[#This Row],[Checklist]],Ref!A:A,Ref!B:B)*1000</f>
        <v>170000</v>
      </c>
      <c r="K1911" s="21">
        <f ca="1">COUNTIF($J$2:Master[[#This Row],[ChecklistID]],Master[[#This Row],[ChecklistID]])-1</f>
        <v>7</v>
      </c>
      <c r="L1911" s="23" t="s">
        <v>6</v>
      </c>
    </row>
    <row r="1912" spans="1:12" ht="15.75">
      <c r="A1912" s="23">
        <f t="shared" si="30"/>
        <v>1899</v>
      </c>
      <c r="B1912" s="21">
        <f ca="1">Master[[#This Row],[ChecklistID]]+Master[[#This Row],[Checklist Order]]</f>
        <v>170008</v>
      </c>
      <c r="C1912" s="22"/>
      <c r="D1912" s="23" t="str" cm="1">
        <f t="array" aca="1" ref="D1912" ca="1">_xlfn.SWITCH(MID(Master[[#This Row],[Checklist]],1,4),"C - ","Civil","F - ","Foundation","ST -","Structure","FC -","Façade","PRE ","Pre-Line","POST","Post-Line","H - ","Handover","S - ","Services","CST ","Completion Docs", "I - ", "Inspection")</f>
        <v>Façade</v>
      </c>
      <c r="E19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2" s="24" t="str">
        <f ca="1">IF(OR(Master[[#This Row],[Type]]="checklist", Master[[#This Row],[Type]]="checklist-flat"), Master[[#This Row],[Name]], F1911)</f>
        <v>FC - S - Roofing Iron/Flashings</v>
      </c>
      <c r="G1912" s="3" t="s">
        <v>901</v>
      </c>
      <c r="H1912" s="24" t="s">
        <v>947</v>
      </c>
      <c r="I1912" s="35"/>
      <c r="J1912" s="21">
        <f ca="1">_xlfn.XLOOKUP(Master[[#This Row],[Checklist]],Ref!A:A,Ref!B:B)*1000</f>
        <v>170000</v>
      </c>
      <c r="K1912" s="21">
        <f ca="1">COUNTIF($J$2:Master[[#This Row],[ChecklistID]],Master[[#This Row],[ChecklistID]])-1</f>
        <v>8</v>
      </c>
      <c r="L1912" s="23" t="s">
        <v>6</v>
      </c>
    </row>
    <row r="1913" spans="1:12" ht="15.75">
      <c r="A1913" s="23">
        <f t="shared" si="30"/>
        <v>1900</v>
      </c>
      <c r="B1913" s="21">
        <f ca="1">Master[[#This Row],[ChecklistID]]+Master[[#This Row],[Checklist Order]]</f>
        <v>170009</v>
      </c>
      <c r="C1913" s="22"/>
      <c r="D1913" s="23" t="str" cm="1">
        <f t="array" aca="1" ref="D1913" ca="1">_xlfn.SWITCH(MID(Master[[#This Row],[Checklist]],1,4),"C - ","Civil","F - ","Foundation","ST -","Structure","FC -","Façade","PRE ","Pre-Line","POST","Post-Line","H - ","Handover","S - ","Services","CST ","Completion Docs", "I - ", "Inspection")</f>
        <v>Façade</v>
      </c>
      <c r="E19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3" s="24" t="str">
        <f ca="1">IF(OR(Master[[#This Row],[Type]]="checklist", Master[[#This Row],[Type]]="checklist-flat"), Master[[#This Row],[Name]], F1912)</f>
        <v>FC - S - Roofing Iron/Flashings</v>
      </c>
      <c r="G1913" s="3" t="s">
        <v>49</v>
      </c>
      <c r="H1913" s="24" t="s">
        <v>948</v>
      </c>
      <c r="I1913" s="35"/>
      <c r="J1913" s="21">
        <f ca="1">_xlfn.XLOOKUP(Master[[#This Row],[Checklist]],Ref!A:A,Ref!B:B)*1000</f>
        <v>170000</v>
      </c>
      <c r="K1913" s="21">
        <f ca="1">COUNTIF($J$2:Master[[#This Row],[ChecklistID]],Master[[#This Row],[ChecklistID]])-1</f>
        <v>9</v>
      </c>
      <c r="L1913" s="23" t="s">
        <v>6</v>
      </c>
    </row>
    <row r="1914" spans="1:12" ht="15.75">
      <c r="A1914" s="23">
        <f t="shared" si="30"/>
        <v>1901</v>
      </c>
      <c r="B1914" s="21">
        <f ca="1">Master[[#This Row],[ChecklistID]]+Master[[#This Row],[Checklist Order]]</f>
        <v>170010</v>
      </c>
      <c r="C1914" s="22"/>
      <c r="D1914" s="23" t="str" cm="1">
        <f t="array" aca="1" ref="D1914" ca="1">_xlfn.SWITCH(MID(Master[[#This Row],[Checklist]],1,4),"C - ","Civil","F - ","Foundation","ST -","Structure","FC -","Façade","PRE ","Pre-Line","POST","Post-Line","H - ","Handover","S - ","Services","CST ","Completion Docs", "I - ", "Inspection")</f>
        <v>Façade</v>
      </c>
      <c r="E19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4" s="24" t="str">
        <f ca="1">IF(OR(Master[[#This Row],[Type]]="checklist", Master[[#This Row],[Type]]="checklist-flat"), Master[[#This Row],[Name]], F1913)</f>
        <v>FC - S - Roofing Iron/Flashings</v>
      </c>
      <c r="G1914" s="3" t="s">
        <v>58</v>
      </c>
      <c r="H1914" s="24" t="s">
        <v>908</v>
      </c>
      <c r="I1914" s="35"/>
      <c r="J1914" s="21">
        <f ca="1">_xlfn.XLOOKUP(Master[[#This Row],[Checklist]],Ref!A:A,Ref!B:B)*1000</f>
        <v>170000</v>
      </c>
      <c r="K1914" s="21">
        <f ca="1">COUNTIF($J$2:Master[[#This Row],[ChecklistID]],Master[[#This Row],[ChecklistID]])-1</f>
        <v>10</v>
      </c>
      <c r="L1914" s="23" t="s">
        <v>6</v>
      </c>
    </row>
    <row r="1915" spans="1:12" ht="15.75">
      <c r="A1915" s="23">
        <f t="shared" si="30"/>
        <v>1902</v>
      </c>
      <c r="B1915" s="21">
        <f ca="1">Master[[#This Row],[ChecklistID]]+Master[[#This Row],[Checklist Order]]</f>
        <v>170011</v>
      </c>
      <c r="C1915" s="22"/>
      <c r="D1915" s="23" t="str" cm="1">
        <f t="array" aca="1" ref="D1915" ca="1">_xlfn.SWITCH(MID(Master[[#This Row],[Checklist]],1,4),"C - ","Civil","F - ","Foundation","ST -","Structure","FC -","Façade","PRE ","Pre-Line","POST","Post-Line","H - ","Handover","S - ","Services","CST ","Completion Docs", "I - ", "Inspection")</f>
        <v>Façade</v>
      </c>
      <c r="E19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5" s="24" t="str">
        <f ca="1">IF(OR(Master[[#This Row],[Type]]="checklist", Master[[#This Row],[Type]]="checklist-flat"), Master[[#This Row],[Name]], F1914)</f>
        <v>FC - S - Roofing Iron/Flashings</v>
      </c>
      <c r="G1915" s="3" t="s">
        <v>49</v>
      </c>
      <c r="H1915" s="24" t="s">
        <v>57</v>
      </c>
      <c r="I1915" s="35"/>
      <c r="J1915" s="21">
        <f ca="1">_xlfn.XLOOKUP(Master[[#This Row],[Checklist]],Ref!A:A,Ref!B:B)*1000</f>
        <v>170000</v>
      </c>
      <c r="K1915" s="21">
        <f ca="1">COUNTIF($J$2:Master[[#This Row],[ChecklistID]],Master[[#This Row],[ChecklistID]])-1</f>
        <v>11</v>
      </c>
      <c r="L1915" s="23" t="s">
        <v>6</v>
      </c>
    </row>
    <row r="1916" spans="1:12" ht="15.75">
      <c r="A1916" s="23">
        <f t="shared" si="30"/>
        <v>1903</v>
      </c>
      <c r="B1916" s="21">
        <f ca="1">Master[[#This Row],[ChecklistID]]+Master[[#This Row],[Checklist Order]]</f>
        <v>170012</v>
      </c>
      <c r="C1916" s="22"/>
      <c r="D1916" s="23" t="str" cm="1">
        <f t="array" aca="1" ref="D1916" ca="1">_xlfn.SWITCH(MID(Master[[#This Row],[Checklist]],1,4),"C - ","Civil","F - ","Foundation","ST -","Structure","FC -","Façade","PRE ","Pre-Line","POST","Post-Line","H - ","Handover","S - ","Services","CST ","Completion Docs", "I - ", "Inspection")</f>
        <v>Façade</v>
      </c>
      <c r="E19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6" s="24" t="str">
        <f ca="1">IF(OR(Master[[#This Row],[Type]]="checklist", Master[[#This Row],[Type]]="checklist-flat"), Master[[#This Row],[Name]], F1915)</f>
        <v>FC - S - Roofing Iron/Flashings</v>
      </c>
      <c r="G1916" s="3" t="s">
        <v>58</v>
      </c>
      <c r="H1916" s="24" t="s">
        <v>59</v>
      </c>
      <c r="I1916" s="35"/>
      <c r="J1916" s="21">
        <f ca="1">_xlfn.XLOOKUP(Master[[#This Row],[Checklist]],Ref!A:A,Ref!B:B)*1000</f>
        <v>170000</v>
      </c>
      <c r="K1916" s="21">
        <f ca="1">COUNTIF($J$2:Master[[#This Row],[ChecklistID]],Master[[#This Row],[ChecklistID]])-1</f>
        <v>12</v>
      </c>
      <c r="L1916" s="23" t="s">
        <v>6</v>
      </c>
    </row>
    <row r="1917" spans="1:12" ht="15.75">
      <c r="A1917" s="23">
        <f t="shared" si="30"/>
        <v>1904</v>
      </c>
      <c r="B1917" s="21">
        <f ca="1">Master[[#This Row],[ChecklistID]]+Master[[#This Row],[Checklist Order]]</f>
        <v>171000</v>
      </c>
      <c r="C1917" s="22"/>
      <c r="D1917" s="23" t="str" cm="1">
        <f t="array" aca="1" ref="D1917" ca="1">_xlfn.SWITCH(MID(Master[[#This Row],[Checklist]],1,4),"C - ","Civil","F - ","Foundation","ST -","Structure","FC -","Façade","PRE ","Pre-Line","POST","Post-Line","H - ","Handover","S - ","Services","CST ","Completion Docs", "I - ", "Inspection")</f>
        <v>Pre-Line</v>
      </c>
      <c r="E19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7" s="24" t="str">
        <f ca="1">IF(OR(Master[[#This Row],[Type]]="checklist", Master[[#This Row],[Type]]="checklist-flat"), Master[[#This Row],[Name]], F1916)</f>
        <v>PRE - S - Townhouse Suspended Ceilings</v>
      </c>
      <c r="G1917" s="34" t="s">
        <v>119</v>
      </c>
      <c r="H1917" s="34" t="s">
        <v>949</v>
      </c>
      <c r="I1917" s="35"/>
      <c r="J1917" s="21">
        <f ca="1">_xlfn.XLOOKUP(Master[[#This Row],[Checklist]],Ref!A:A,Ref!B:B)*1000</f>
        <v>171000</v>
      </c>
      <c r="K1917" s="21">
        <f ca="1">COUNTIF($J$2:Master[[#This Row],[ChecklistID]],Master[[#This Row],[ChecklistID]])-1</f>
        <v>0</v>
      </c>
      <c r="L1917" s="23" t="s">
        <v>6</v>
      </c>
    </row>
    <row r="1918" spans="1:12" ht="15.75">
      <c r="A1918" s="23">
        <f t="shared" si="30"/>
        <v>1905</v>
      </c>
      <c r="B1918" s="21">
        <f ca="1">Master[[#This Row],[ChecklistID]]+Master[[#This Row],[Checklist Order]]</f>
        <v>171001</v>
      </c>
      <c r="C1918" s="22"/>
      <c r="D1918" s="23" t="str" cm="1">
        <f t="array" aca="1" ref="D1918" ca="1">_xlfn.SWITCH(MID(Master[[#This Row],[Checklist]],1,4),"C - ","Civil","F - ","Foundation","ST -","Structure","FC -","Façade","PRE ","Pre-Line","POST","Post-Line","H - ","Handover","S - ","Services","CST ","Completion Docs", "I - ", "Inspection")</f>
        <v>Pre-Line</v>
      </c>
      <c r="E19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8" s="24" t="str">
        <f ca="1">IF(OR(Master[[#This Row],[Type]]="checklist", Master[[#This Row],[Type]]="checklist-flat"), Master[[#This Row],[Name]], F1917)</f>
        <v>PRE - S - Townhouse Suspended Ceilings</v>
      </c>
      <c r="G1918" s="34" t="s">
        <v>120</v>
      </c>
      <c r="H1918" s="34" t="s">
        <v>950</v>
      </c>
      <c r="I1918" s="35"/>
      <c r="J1918" s="21">
        <f ca="1">_xlfn.XLOOKUP(Master[[#This Row],[Checklist]],Ref!A:A,Ref!B:B)*1000</f>
        <v>171000</v>
      </c>
      <c r="K1918" s="21">
        <f ca="1">COUNTIF($J$2:Master[[#This Row],[ChecklistID]],Master[[#This Row],[ChecklistID]])-1</f>
        <v>1</v>
      </c>
      <c r="L1918" s="23" t="s">
        <v>6</v>
      </c>
    </row>
    <row r="1919" spans="1:12" ht="15.75">
      <c r="A1919" s="23">
        <f t="shared" si="30"/>
        <v>1906</v>
      </c>
      <c r="B1919" s="21">
        <f ca="1">Master[[#This Row],[ChecklistID]]+Master[[#This Row],[Checklist Order]]</f>
        <v>171002</v>
      </c>
      <c r="C1919" s="22"/>
      <c r="D1919" s="23" t="str" cm="1">
        <f t="array" aca="1" ref="D1919" ca="1">_xlfn.SWITCH(MID(Master[[#This Row],[Checklist]],1,4),"C - ","Civil","F - ","Foundation","ST -","Structure","FC -","Façade","PRE ","Pre-Line","POST","Post-Line","H - ","Handover","S - ","Services","CST ","Completion Docs", "I - ", "Inspection")</f>
        <v>Pre-Line</v>
      </c>
      <c r="E19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19" s="24" t="str">
        <f ca="1">IF(OR(Master[[#This Row],[Type]]="checklist", Master[[#This Row],[Type]]="checklist-flat"), Master[[#This Row],[Name]], F1918)</f>
        <v>PRE - S - Townhouse Suspended Ceilings</v>
      </c>
      <c r="G1919" s="34" t="s">
        <v>49</v>
      </c>
      <c r="H1919" s="34" t="s">
        <v>951</v>
      </c>
      <c r="I1919" s="35"/>
      <c r="J1919" s="21">
        <f ca="1">_xlfn.XLOOKUP(Master[[#This Row],[Checklist]],Ref!A:A,Ref!B:B)*1000</f>
        <v>171000</v>
      </c>
      <c r="K1919" s="21">
        <f ca="1">COUNTIF($J$2:Master[[#This Row],[ChecklistID]],Master[[#This Row],[ChecklistID]])-1</f>
        <v>2</v>
      </c>
      <c r="L1919" s="23" t="s">
        <v>6</v>
      </c>
    </row>
    <row r="1920" spans="1:12" ht="15.75">
      <c r="A1920" s="23">
        <f t="shared" si="30"/>
        <v>1907</v>
      </c>
      <c r="B1920" s="21">
        <f ca="1">Master[[#This Row],[ChecklistID]]+Master[[#This Row],[Checklist Order]]</f>
        <v>171003</v>
      </c>
      <c r="C1920" s="22"/>
      <c r="D1920" s="23" t="str" cm="1">
        <f t="array" aca="1" ref="D1920" ca="1">_xlfn.SWITCH(MID(Master[[#This Row],[Checklist]],1,4),"C - ","Civil","F - ","Foundation","ST -","Structure","FC -","Façade","PRE ","Pre-Line","POST","Post-Line","H - ","Handover","S - ","Services","CST ","Completion Docs", "I - ", "Inspection")</f>
        <v>Pre-Line</v>
      </c>
      <c r="E19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0" s="24" t="str">
        <f ca="1">IF(OR(Master[[#This Row],[Type]]="checklist", Master[[#This Row],[Type]]="checklist-flat"), Master[[#This Row],[Name]], F1919)</f>
        <v>PRE - S - Townhouse Suspended Ceilings</v>
      </c>
      <c r="G1920" s="34" t="s">
        <v>124</v>
      </c>
      <c r="H1920" s="34" t="s">
        <v>941</v>
      </c>
      <c r="I1920" s="35"/>
      <c r="J1920" s="21">
        <f ca="1">_xlfn.XLOOKUP(Master[[#This Row],[Checklist]],Ref!A:A,Ref!B:B)*1000</f>
        <v>171000</v>
      </c>
      <c r="K1920" s="21">
        <f ca="1">COUNTIF($J$2:Master[[#This Row],[ChecklistID]],Master[[#This Row],[ChecklistID]])-1</f>
        <v>3</v>
      </c>
      <c r="L1920" s="23" t="s">
        <v>6</v>
      </c>
    </row>
    <row r="1921" spans="1:12" ht="15.75">
      <c r="A1921" s="23">
        <f t="shared" si="30"/>
        <v>1908</v>
      </c>
      <c r="B1921" s="21">
        <f ca="1">Master[[#This Row],[ChecklistID]]+Master[[#This Row],[Checklist Order]]</f>
        <v>171004</v>
      </c>
      <c r="C1921" s="22"/>
      <c r="D1921" s="23" t="str" cm="1">
        <f t="array" aca="1" ref="D1921" ca="1">_xlfn.SWITCH(MID(Master[[#This Row],[Checklist]],1,4),"C - ","Civil","F - ","Foundation","ST -","Structure","FC -","Façade","PRE ","Pre-Line","POST","Post-Line","H - ","Handover","S - ","Services","CST ","Completion Docs", "I - ", "Inspection")</f>
        <v>Pre-Line</v>
      </c>
      <c r="E19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1" s="24" t="str">
        <f ca="1">IF(OR(Master[[#This Row],[Type]]="checklist", Master[[#This Row],[Type]]="checklist-flat"), Master[[#This Row],[Name]], F1920)</f>
        <v>PRE - S - Townhouse Suspended Ceilings</v>
      </c>
      <c r="G1921" s="34" t="s">
        <v>49</v>
      </c>
      <c r="H1921" s="34" t="s">
        <v>952</v>
      </c>
      <c r="I1921" s="35"/>
      <c r="J1921" s="21">
        <f ca="1">_xlfn.XLOOKUP(Master[[#This Row],[Checklist]],Ref!A:A,Ref!B:B)*1000</f>
        <v>171000</v>
      </c>
      <c r="K1921" s="21">
        <f ca="1">COUNTIF($J$2:Master[[#This Row],[ChecklistID]],Master[[#This Row],[ChecklistID]])-1</f>
        <v>4</v>
      </c>
      <c r="L1921" s="23" t="s">
        <v>6</v>
      </c>
    </row>
    <row r="1922" spans="1:12" ht="15.75">
      <c r="A1922" s="23">
        <f t="shared" si="30"/>
        <v>1909</v>
      </c>
      <c r="B1922" s="21">
        <f ca="1">Master[[#This Row],[ChecklistID]]+Master[[#This Row],[Checklist Order]]</f>
        <v>171005</v>
      </c>
      <c r="C1922" s="22"/>
      <c r="D1922" s="23" t="str" cm="1">
        <f t="array" aca="1" ref="D1922" ca="1">_xlfn.SWITCH(MID(Master[[#This Row],[Checklist]],1,4),"C - ","Civil","F - ","Foundation","ST -","Structure","FC -","Façade","PRE ","Pre-Line","POST","Post-Line","H - ","Handover","S - ","Services","CST ","Completion Docs", "I - ", "Inspection")</f>
        <v>Pre-Line</v>
      </c>
      <c r="E19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2" s="24" t="str">
        <f ca="1">IF(OR(Master[[#This Row],[Type]]="checklist", Master[[#This Row],[Type]]="checklist-flat"), Master[[#This Row],[Name]], F1921)</f>
        <v>PRE - S - Townhouse Suspended Ceilings</v>
      </c>
      <c r="G1922" s="34" t="s">
        <v>120</v>
      </c>
      <c r="H1922" s="34" t="s">
        <v>953</v>
      </c>
      <c r="I1922" s="35"/>
      <c r="J1922" s="21">
        <f ca="1">_xlfn.XLOOKUP(Master[[#This Row],[Checklist]],Ref!A:A,Ref!B:B)*1000</f>
        <v>171000</v>
      </c>
      <c r="K1922" s="21">
        <f ca="1">COUNTIF($J$2:Master[[#This Row],[ChecklistID]],Master[[#This Row],[ChecklistID]])-1</f>
        <v>5</v>
      </c>
      <c r="L1922" s="23" t="s">
        <v>6</v>
      </c>
    </row>
    <row r="1923" spans="1:12" ht="15.75">
      <c r="A1923" s="23">
        <f t="shared" si="30"/>
        <v>1910</v>
      </c>
      <c r="B1923" s="21">
        <f ca="1">Master[[#This Row],[ChecklistID]]+Master[[#This Row],[Checklist Order]]</f>
        <v>171006</v>
      </c>
      <c r="C1923" s="22"/>
      <c r="D1923" s="23" t="str" cm="1">
        <f t="array" aca="1" ref="D1923" ca="1">_xlfn.SWITCH(MID(Master[[#This Row],[Checklist]],1,4),"C - ","Civil","F - ","Foundation","ST -","Structure","FC -","Façade","PRE ","Pre-Line","POST","Post-Line","H - ","Handover","S - ","Services","CST ","Completion Docs", "I - ", "Inspection")</f>
        <v>Pre-Line</v>
      </c>
      <c r="E19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3" s="24" t="str">
        <f ca="1">IF(OR(Master[[#This Row],[Type]]="checklist", Master[[#This Row],[Type]]="checklist-flat"), Master[[#This Row],[Name]], F1922)</f>
        <v>PRE - S - Townhouse Suspended Ceilings</v>
      </c>
      <c r="G1923" s="34" t="s">
        <v>49</v>
      </c>
      <c r="H1923" s="34" t="s">
        <v>954</v>
      </c>
      <c r="I1923" s="35"/>
      <c r="J1923" s="21">
        <f ca="1">_xlfn.XLOOKUP(Master[[#This Row],[Checklist]],Ref!A:A,Ref!B:B)*1000</f>
        <v>171000</v>
      </c>
      <c r="K1923" s="21">
        <f ca="1">COUNTIF($J$2:Master[[#This Row],[ChecklistID]],Master[[#This Row],[ChecklistID]])-1</f>
        <v>6</v>
      </c>
      <c r="L1923" s="23" t="s">
        <v>6</v>
      </c>
    </row>
    <row r="1924" spans="1:12" ht="15.75">
      <c r="A1924" s="23">
        <f t="shared" si="30"/>
        <v>1911</v>
      </c>
      <c r="B1924" s="21">
        <f ca="1">Master[[#This Row],[ChecklistID]]+Master[[#This Row],[Checklist Order]]</f>
        <v>171007</v>
      </c>
      <c r="C1924" s="22"/>
      <c r="D1924" s="23" t="str" cm="1">
        <f t="array" aca="1" ref="D1924" ca="1">_xlfn.SWITCH(MID(Master[[#This Row],[Checklist]],1,4),"C - ","Civil","F - ","Foundation","ST -","Structure","FC -","Façade","PRE ","Pre-Line","POST","Post-Line","H - ","Handover","S - ","Services","CST ","Completion Docs", "I - ", "Inspection")</f>
        <v>Pre-Line</v>
      </c>
      <c r="E19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4" s="24" t="str">
        <f ca="1">IF(OR(Master[[#This Row],[Type]]="checklist", Master[[#This Row],[Type]]="checklist-flat"), Master[[#This Row],[Name]], F1923)</f>
        <v>PRE - S - Townhouse Suspended Ceilings</v>
      </c>
      <c r="G1924" s="34" t="s">
        <v>49</v>
      </c>
      <c r="H1924" s="34" t="s">
        <v>955</v>
      </c>
      <c r="I1924" s="35"/>
      <c r="J1924" s="21">
        <f ca="1">_xlfn.XLOOKUP(Master[[#This Row],[Checklist]],Ref!A:A,Ref!B:B)*1000</f>
        <v>171000</v>
      </c>
      <c r="K1924" s="21">
        <f ca="1">COUNTIF($J$2:Master[[#This Row],[ChecklistID]],Master[[#This Row],[ChecklistID]])-1</f>
        <v>7</v>
      </c>
      <c r="L1924" s="23" t="s">
        <v>6</v>
      </c>
    </row>
    <row r="1925" spans="1:12" ht="15.75">
      <c r="A1925" s="23">
        <f t="shared" si="30"/>
        <v>1912</v>
      </c>
      <c r="B1925" s="21">
        <f ca="1">Master[[#This Row],[ChecklistID]]+Master[[#This Row],[Checklist Order]]</f>
        <v>171008</v>
      </c>
      <c r="C1925" s="22"/>
      <c r="D1925" s="23" t="str" cm="1">
        <f t="array" aca="1" ref="D1925" ca="1">_xlfn.SWITCH(MID(Master[[#This Row],[Checklist]],1,4),"C - ","Civil","F - ","Foundation","ST -","Structure","FC -","Façade","PRE ","Pre-Line","POST","Post-Line","H - ","Handover","S - ","Services","CST ","Completion Docs", "I - ", "Inspection")</f>
        <v>Pre-Line</v>
      </c>
      <c r="E19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5" s="24" t="str">
        <f ca="1">IF(OR(Master[[#This Row],[Type]]="checklist", Master[[#This Row],[Type]]="checklist-flat"), Master[[#This Row],[Name]], F1924)</f>
        <v>PRE - S - Townhouse Suspended Ceilings</v>
      </c>
      <c r="G1925" s="34" t="s">
        <v>49</v>
      </c>
      <c r="H1925" s="34" t="s">
        <v>956</v>
      </c>
      <c r="I1925" s="35"/>
      <c r="J1925" s="21">
        <f ca="1">_xlfn.XLOOKUP(Master[[#This Row],[Checklist]],Ref!A:A,Ref!B:B)*1000</f>
        <v>171000</v>
      </c>
      <c r="K1925" s="21">
        <f ca="1">COUNTIF($J$2:Master[[#This Row],[ChecklistID]],Master[[#This Row],[ChecklistID]])-1</f>
        <v>8</v>
      </c>
      <c r="L1925" s="23" t="s">
        <v>6</v>
      </c>
    </row>
    <row r="1926" spans="1:12" ht="15.75">
      <c r="A1926" s="23">
        <f t="shared" si="30"/>
        <v>1913</v>
      </c>
      <c r="B1926" s="21">
        <f ca="1">Master[[#This Row],[ChecklistID]]+Master[[#This Row],[Checklist Order]]</f>
        <v>171009</v>
      </c>
      <c r="C1926" s="22"/>
      <c r="D1926" s="23" t="str" cm="1">
        <f t="array" aca="1" ref="D1926" ca="1">_xlfn.SWITCH(MID(Master[[#This Row],[Checklist]],1,4),"C - ","Civil","F - ","Foundation","ST -","Structure","FC -","Façade","PRE ","Pre-Line","POST","Post-Line","H - ","Handover","S - ","Services","CST ","Completion Docs", "I - ", "Inspection")</f>
        <v>Pre-Line</v>
      </c>
      <c r="E19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6" s="24" t="str">
        <f ca="1">IF(OR(Master[[#This Row],[Type]]="checklist", Master[[#This Row],[Type]]="checklist-flat"), Master[[#This Row],[Name]], F1925)</f>
        <v>PRE - S - Townhouse Suspended Ceilings</v>
      </c>
      <c r="G1926" s="34" t="s">
        <v>49</v>
      </c>
      <c r="H1926" s="34" t="s">
        <v>957</v>
      </c>
      <c r="I1926" s="35"/>
      <c r="J1926" s="21">
        <f ca="1">_xlfn.XLOOKUP(Master[[#This Row],[Checklist]],Ref!A:A,Ref!B:B)*1000</f>
        <v>171000</v>
      </c>
      <c r="K1926" s="21">
        <f ca="1">COUNTIF($J$2:Master[[#This Row],[ChecklistID]],Master[[#This Row],[ChecklistID]])-1</f>
        <v>9</v>
      </c>
      <c r="L1926" s="23" t="s">
        <v>6</v>
      </c>
    </row>
    <row r="1927" spans="1:12" ht="15.75">
      <c r="A1927" s="23">
        <f t="shared" si="30"/>
        <v>1914</v>
      </c>
      <c r="B1927" s="21">
        <f ca="1">Master[[#This Row],[ChecklistID]]+Master[[#This Row],[Checklist Order]]</f>
        <v>171010</v>
      </c>
      <c r="C1927" s="22"/>
      <c r="D1927" s="23" t="str" cm="1">
        <f t="array" aca="1" ref="D1927" ca="1">_xlfn.SWITCH(MID(Master[[#This Row],[Checklist]],1,4),"C - ","Civil","F - ","Foundation","ST -","Structure","FC -","Façade","PRE ","Pre-Line","POST","Post-Line","H - ","Handover","S - ","Services","CST ","Completion Docs", "I - ", "Inspection")</f>
        <v>Pre-Line</v>
      </c>
      <c r="E19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7" s="24" t="str">
        <f ca="1">IF(OR(Master[[#This Row],[Type]]="checklist", Master[[#This Row],[Type]]="checklist-flat"), Master[[#This Row],[Name]], F1926)</f>
        <v>PRE - S - Townhouse Suspended Ceilings</v>
      </c>
      <c r="G1927" s="34" t="s">
        <v>49</v>
      </c>
      <c r="H1927" s="34" t="s">
        <v>958</v>
      </c>
      <c r="I1927" s="35"/>
      <c r="J1927" s="21">
        <f ca="1">_xlfn.XLOOKUP(Master[[#This Row],[Checklist]],Ref!A:A,Ref!B:B)*1000</f>
        <v>171000</v>
      </c>
      <c r="K1927" s="21">
        <f ca="1">COUNTIF($J$2:Master[[#This Row],[ChecklistID]],Master[[#This Row],[ChecklistID]])-1</f>
        <v>10</v>
      </c>
      <c r="L1927" s="23" t="s">
        <v>6</v>
      </c>
    </row>
    <row r="1928" spans="1:12" ht="15.75">
      <c r="A1928" s="23">
        <f t="shared" si="30"/>
        <v>1915</v>
      </c>
      <c r="B1928" s="21">
        <f ca="1">Master[[#This Row],[ChecklistID]]+Master[[#This Row],[Checklist Order]]</f>
        <v>171011</v>
      </c>
      <c r="C1928" s="22"/>
      <c r="D1928" s="23" t="str" cm="1">
        <f t="array" aca="1" ref="D1928" ca="1">_xlfn.SWITCH(MID(Master[[#This Row],[Checklist]],1,4),"C - ","Civil","F - ","Foundation","ST -","Structure","FC -","Façade","PRE ","Pre-Line","POST","Post-Line","H - ","Handover","S - ","Services","CST ","Completion Docs", "I - ", "Inspection")</f>
        <v>Pre-Line</v>
      </c>
      <c r="E19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8" s="24" t="str">
        <f ca="1">IF(OR(Master[[#This Row],[Type]]="checklist", Master[[#This Row],[Type]]="checklist-flat"), Master[[#This Row],[Name]], F1927)</f>
        <v>PRE - S - Townhouse Suspended Ceilings</v>
      </c>
      <c r="G1928" s="34" t="s">
        <v>49</v>
      </c>
      <c r="H1928" s="34" t="s">
        <v>1713</v>
      </c>
      <c r="I1928" s="35"/>
      <c r="J1928" s="21">
        <f ca="1">_xlfn.XLOOKUP(Master[[#This Row],[Checklist]],Ref!A:A,Ref!B:B)*1000</f>
        <v>171000</v>
      </c>
      <c r="K1928" s="21">
        <f ca="1">COUNTIF($J$2:Master[[#This Row],[ChecklistID]],Master[[#This Row],[ChecklistID]])-1</f>
        <v>11</v>
      </c>
      <c r="L1928" s="23" t="s">
        <v>6</v>
      </c>
    </row>
    <row r="1929" spans="1:12" ht="15.75">
      <c r="A1929" s="23">
        <f t="shared" si="30"/>
        <v>1916</v>
      </c>
      <c r="B1929" s="21">
        <f ca="1">Master[[#This Row],[ChecklistID]]+Master[[#This Row],[Checklist Order]]</f>
        <v>171012</v>
      </c>
      <c r="C1929" s="22"/>
      <c r="D1929" s="23" t="str" cm="1">
        <f t="array" aca="1" ref="D1929" ca="1">_xlfn.SWITCH(MID(Master[[#This Row],[Checklist]],1,4),"C - ","Civil","F - ","Foundation","ST -","Structure","FC -","Façade","PRE ","Pre-Line","POST","Post-Line","H - ","Handover","S - ","Services","CST ","Completion Docs", "I - ", "Inspection")</f>
        <v>Pre-Line</v>
      </c>
      <c r="E19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29" s="24" t="str">
        <f ca="1">IF(OR(Master[[#This Row],[Type]]="checklist", Master[[#This Row],[Type]]="checklist-flat"), Master[[#This Row],[Name]], F1928)</f>
        <v>PRE - S - Townhouse Suspended Ceilings</v>
      </c>
      <c r="G1929" s="34" t="s">
        <v>960</v>
      </c>
      <c r="H1929" s="34" t="s">
        <v>961</v>
      </c>
      <c r="I1929" s="35"/>
      <c r="J1929" s="21">
        <f ca="1">_xlfn.XLOOKUP(Master[[#This Row],[Checklist]],Ref!A:A,Ref!B:B)*1000</f>
        <v>171000</v>
      </c>
      <c r="K1929" s="21">
        <f ca="1">COUNTIF($J$2:Master[[#This Row],[ChecklistID]],Master[[#This Row],[ChecklistID]])-1</f>
        <v>12</v>
      </c>
      <c r="L1929" s="23" t="s">
        <v>6</v>
      </c>
    </row>
    <row r="1930" spans="1:12" ht="15.75">
      <c r="A1930" s="23">
        <f t="shared" si="30"/>
        <v>1917</v>
      </c>
      <c r="B1930" s="21">
        <f ca="1">Master[[#This Row],[ChecklistID]]+Master[[#This Row],[Checklist Order]]</f>
        <v>171013</v>
      </c>
      <c r="C1930" s="22"/>
      <c r="D1930" s="23" t="str" cm="1">
        <f t="array" aca="1" ref="D1930" ca="1">_xlfn.SWITCH(MID(Master[[#This Row],[Checklist]],1,4),"C - ","Civil","F - ","Foundation","ST -","Structure","FC -","Façade","PRE ","Pre-Line","POST","Post-Line","H - ","Handover","S - ","Services","CST ","Completion Docs", "I - ", "Inspection")</f>
        <v>Pre-Line</v>
      </c>
      <c r="E19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0" s="24" t="str">
        <f ca="1">IF(OR(Master[[#This Row],[Type]]="checklist", Master[[#This Row],[Type]]="checklist-flat"), Master[[#This Row],[Name]], F1929)</f>
        <v>PRE - S - Townhouse Suspended Ceilings</v>
      </c>
      <c r="G1930" s="34" t="s">
        <v>49</v>
      </c>
      <c r="H1930" s="34" t="s">
        <v>962</v>
      </c>
      <c r="I1930" s="35"/>
      <c r="J1930" s="21">
        <f ca="1">_xlfn.XLOOKUP(Master[[#This Row],[Checklist]],Ref!A:A,Ref!B:B)*1000</f>
        <v>171000</v>
      </c>
      <c r="K1930" s="21">
        <f ca="1">COUNTIF($J$2:Master[[#This Row],[ChecklistID]],Master[[#This Row],[ChecklistID]])-1</f>
        <v>13</v>
      </c>
      <c r="L1930" s="23" t="s">
        <v>6</v>
      </c>
    </row>
    <row r="1931" spans="1:12" ht="15.75">
      <c r="A1931" s="23">
        <f t="shared" si="30"/>
        <v>1918</v>
      </c>
      <c r="B1931" s="21">
        <f ca="1">Master[[#This Row],[ChecklistID]]+Master[[#This Row],[Checklist Order]]</f>
        <v>171014</v>
      </c>
      <c r="C1931" s="22"/>
      <c r="D1931" s="23" t="str" cm="1">
        <f t="array" aca="1" ref="D1931" ca="1">_xlfn.SWITCH(MID(Master[[#This Row],[Checklist]],1,4),"C - ","Civil","F - ","Foundation","ST -","Structure","FC -","Façade","PRE ","Pre-Line","POST","Post-Line","H - ","Handover","S - ","Services","CST ","Completion Docs", "I - ", "Inspection")</f>
        <v>Pre-Line</v>
      </c>
      <c r="E19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1" s="24" t="str">
        <f ca="1">IF(OR(Master[[#This Row],[Type]]="checklist", Master[[#This Row],[Type]]="checklist-flat"), Master[[#This Row],[Name]], F1930)</f>
        <v>PRE - S - Townhouse Suspended Ceilings</v>
      </c>
      <c r="G1931" s="34" t="s">
        <v>49</v>
      </c>
      <c r="H1931" s="34" t="s">
        <v>963</v>
      </c>
      <c r="I1931" s="35"/>
      <c r="J1931" s="21">
        <f ca="1">_xlfn.XLOOKUP(Master[[#This Row],[Checklist]],Ref!A:A,Ref!B:B)*1000</f>
        <v>171000</v>
      </c>
      <c r="K1931" s="21">
        <f ca="1">COUNTIF($J$2:Master[[#This Row],[ChecklistID]],Master[[#This Row],[ChecklistID]])-1</f>
        <v>14</v>
      </c>
      <c r="L1931" s="23" t="s">
        <v>6</v>
      </c>
    </row>
    <row r="1932" spans="1:12" ht="15.75">
      <c r="A1932" s="23">
        <f t="shared" si="30"/>
        <v>1919</v>
      </c>
      <c r="B1932" s="21">
        <f ca="1">Master[[#This Row],[ChecklistID]]+Master[[#This Row],[Checklist Order]]</f>
        <v>171015</v>
      </c>
      <c r="C1932" s="22"/>
      <c r="D1932" s="23" t="str" cm="1">
        <f t="array" aca="1" ref="D1932" ca="1">_xlfn.SWITCH(MID(Master[[#This Row],[Checklist]],1,4),"C - ","Civil","F - ","Foundation","ST -","Structure","FC -","Façade","PRE ","Pre-Line","POST","Post-Line","H - ","Handover","S - ","Services","CST ","Completion Docs", "I - ", "Inspection")</f>
        <v>Pre-Line</v>
      </c>
      <c r="E19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2" s="24" t="str">
        <f ca="1">IF(OR(Master[[#This Row],[Type]]="checklist", Master[[#This Row],[Type]]="checklist-flat"), Master[[#This Row],[Name]], F1931)</f>
        <v>PRE - S - Townhouse Suspended Ceilings</v>
      </c>
      <c r="G1932" s="34" t="s">
        <v>49</v>
      </c>
      <c r="H1932" s="34" t="s">
        <v>964</v>
      </c>
      <c r="I1932" s="35"/>
      <c r="J1932" s="21">
        <f ca="1">_xlfn.XLOOKUP(Master[[#This Row],[Checklist]],Ref!A:A,Ref!B:B)*1000</f>
        <v>171000</v>
      </c>
      <c r="K1932" s="21">
        <f ca="1">COUNTIF($J$2:Master[[#This Row],[ChecklistID]],Master[[#This Row],[ChecklistID]])-1</f>
        <v>15</v>
      </c>
      <c r="L1932" s="23" t="s">
        <v>6</v>
      </c>
    </row>
    <row r="1933" spans="1:12" ht="15.75">
      <c r="A1933" s="23">
        <f t="shared" si="30"/>
        <v>1920</v>
      </c>
      <c r="B1933" s="21">
        <f ca="1">Master[[#This Row],[ChecklistID]]+Master[[#This Row],[Checklist Order]]</f>
        <v>171016</v>
      </c>
      <c r="C1933" s="22"/>
      <c r="D1933" s="23" t="str" cm="1">
        <f t="array" aca="1" ref="D1933" ca="1">_xlfn.SWITCH(MID(Master[[#This Row],[Checklist]],1,4),"C - ","Civil","F - ","Foundation","ST -","Structure","FC -","Façade","PRE ","Pre-Line","POST","Post-Line","H - ","Handover","S - ","Services","CST ","Completion Docs", "I - ", "Inspection")</f>
        <v>Pre-Line</v>
      </c>
      <c r="E19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3" s="24" t="str">
        <f ca="1">IF(OR(Master[[#This Row],[Type]]="checklist", Master[[#This Row],[Type]]="checklist-flat"), Master[[#This Row],[Name]], F1932)</f>
        <v>PRE - S - Townhouse Suspended Ceilings</v>
      </c>
      <c r="G1933" s="34" t="s">
        <v>58</v>
      </c>
      <c r="H1933" s="34" t="s">
        <v>908</v>
      </c>
      <c r="I1933" s="35"/>
      <c r="J1933" s="21">
        <f ca="1">_xlfn.XLOOKUP(Master[[#This Row],[Checklist]],Ref!A:A,Ref!B:B)*1000</f>
        <v>171000</v>
      </c>
      <c r="K1933" s="21">
        <f ca="1">COUNTIF($J$2:Master[[#This Row],[ChecklistID]],Master[[#This Row],[ChecklistID]])-1</f>
        <v>16</v>
      </c>
      <c r="L1933" s="23" t="s">
        <v>6</v>
      </c>
    </row>
    <row r="1934" spans="1:12" ht="15.75">
      <c r="A1934" s="23">
        <f t="shared" si="30"/>
        <v>1921</v>
      </c>
      <c r="B1934" s="21">
        <f ca="1">Master[[#This Row],[ChecklistID]]+Master[[#This Row],[Checklist Order]]</f>
        <v>171017</v>
      </c>
      <c r="C1934" s="22"/>
      <c r="D1934" s="23" t="str" cm="1">
        <f t="array" aca="1" ref="D1934" ca="1">_xlfn.SWITCH(MID(Master[[#This Row],[Checklist]],1,4),"C - ","Civil","F - ","Foundation","ST -","Structure","FC -","Façade","PRE ","Pre-Line","POST","Post-Line","H - ","Handover","S - ","Services","CST ","Completion Docs", "I - ", "Inspection")</f>
        <v>Pre-Line</v>
      </c>
      <c r="E19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4" s="24" t="str">
        <f ca="1">IF(OR(Master[[#This Row],[Type]]="checklist", Master[[#This Row],[Type]]="checklist-flat"), Master[[#This Row],[Name]], F1933)</f>
        <v>PRE - S - Townhouse Suspended Ceilings</v>
      </c>
      <c r="G1934" s="34" t="s">
        <v>49</v>
      </c>
      <c r="H1934" s="34" t="s">
        <v>57</v>
      </c>
      <c r="I1934" s="35"/>
      <c r="J1934" s="21">
        <f ca="1">_xlfn.XLOOKUP(Master[[#This Row],[Checklist]],Ref!A:A,Ref!B:B)*1000</f>
        <v>171000</v>
      </c>
      <c r="K1934" s="21">
        <f ca="1">COUNTIF($J$2:Master[[#This Row],[ChecklistID]],Master[[#This Row],[ChecklistID]])-1</f>
        <v>17</v>
      </c>
      <c r="L1934" s="23" t="s">
        <v>6</v>
      </c>
    </row>
    <row r="1935" spans="1:12" ht="15.75">
      <c r="A1935" s="23">
        <f t="shared" si="30"/>
        <v>1922</v>
      </c>
      <c r="B1935" s="21">
        <f ca="1">Master[[#This Row],[ChecklistID]]+Master[[#This Row],[Checklist Order]]</f>
        <v>171018</v>
      </c>
      <c r="C1935" s="22"/>
      <c r="D1935" s="23" t="str" cm="1">
        <f t="array" aca="1" ref="D1935" ca="1">_xlfn.SWITCH(MID(Master[[#This Row],[Checklist]],1,4),"C - ","Civil","F - ","Foundation","ST -","Structure","FC -","Façade","PRE ","Pre-Line","POST","Post-Line","H - ","Handover","S - ","Services","CST ","Completion Docs", "I - ", "Inspection")</f>
        <v>Pre-Line</v>
      </c>
      <c r="E19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5" s="24" t="str">
        <f ca="1">IF(OR(Master[[#This Row],[Type]]="checklist", Master[[#This Row],[Type]]="checklist-flat"), Master[[#This Row],[Name]], F1934)</f>
        <v>PRE - S - Townhouse Suspended Ceilings</v>
      </c>
      <c r="G1935" s="34" t="s">
        <v>58</v>
      </c>
      <c r="H1935" s="34" t="s">
        <v>59</v>
      </c>
      <c r="I1935" s="35"/>
      <c r="J1935" s="21">
        <f ca="1">_xlfn.XLOOKUP(Master[[#This Row],[Checklist]],Ref!A:A,Ref!B:B)*1000</f>
        <v>171000</v>
      </c>
      <c r="K1935" s="21">
        <f ca="1">COUNTIF($J$2:Master[[#This Row],[ChecklistID]],Master[[#This Row],[ChecklistID]])-1</f>
        <v>18</v>
      </c>
      <c r="L1935" s="23" t="s">
        <v>6</v>
      </c>
    </row>
    <row r="1936" spans="1:12" ht="15.75">
      <c r="A1936" s="23">
        <f t="shared" si="30"/>
        <v>1923</v>
      </c>
      <c r="B1936" s="21">
        <f ca="1">Master[[#This Row],[ChecklistID]]+Master[[#This Row],[Checklist Order]]</f>
        <v>172000</v>
      </c>
      <c r="C1936" s="22"/>
      <c r="D1936" s="23" t="str" cm="1">
        <f t="array" aca="1" ref="D1936" ca="1">_xlfn.SWITCH(MID(Master[[#This Row],[Checklist]],1,4),"C - ","Civil","F - ","Foundation","ST -","Structure","FC -","Façade","PRE ","Pre-Line","POST","Post-Line","H - ","Handover","S - ","Services","CST ","Completion Docs", "I - ", "Inspection")</f>
        <v>Pre-Line</v>
      </c>
      <c r="E19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6" s="24" t="str">
        <f ca="1">IF(OR(Master[[#This Row],[Type]]="checklist", Master[[#This Row],[Type]]="checklist-flat"), Master[[#This Row],[Name]], F1935)</f>
        <v>PRE - S - First Fix - Plumbing</v>
      </c>
      <c r="G1936" s="34" t="s">
        <v>48</v>
      </c>
      <c r="H1936" s="34" t="s">
        <v>965</v>
      </c>
      <c r="I1936" s="35"/>
      <c r="J1936" s="21">
        <f ca="1">_xlfn.XLOOKUP(Master[[#This Row],[Checklist]],Ref!A:A,Ref!B:B)*1000</f>
        <v>172000</v>
      </c>
      <c r="K1936" s="21">
        <f ca="1">COUNTIF($J$2:Master[[#This Row],[ChecklistID]],Master[[#This Row],[ChecklistID]])-1</f>
        <v>0</v>
      </c>
      <c r="L1936" s="23" t="s">
        <v>6</v>
      </c>
    </row>
    <row r="1937" spans="1:12" ht="15.75">
      <c r="A1937" s="23">
        <f t="shared" si="30"/>
        <v>1924</v>
      </c>
      <c r="B1937" s="21">
        <f ca="1">Master[[#This Row],[ChecklistID]]+Master[[#This Row],[Checklist Order]]</f>
        <v>172001</v>
      </c>
      <c r="C1937" s="22"/>
      <c r="D1937" s="23" t="str" cm="1">
        <f t="array" aca="1" ref="D1937" ca="1">_xlfn.SWITCH(MID(Master[[#This Row],[Checklist]],1,4),"C - ","Civil","F - ","Foundation","ST -","Structure","FC -","Façade","PRE ","Pre-Line","POST","Post-Line","H - ","Handover","S - ","Services","CST ","Completion Docs", "I - ", "Inspection")</f>
        <v>Pre-Line</v>
      </c>
      <c r="E19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7" s="24" t="str">
        <f ca="1">IF(OR(Master[[#This Row],[Type]]="checklist", Master[[#This Row],[Type]]="checklist-flat"), Master[[#This Row],[Name]], F1936)</f>
        <v>PRE - S - First Fix - Plumbing</v>
      </c>
      <c r="G1937" s="34" t="s">
        <v>49</v>
      </c>
      <c r="H1937" s="34" t="s">
        <v>966</v>
      </c>
      <c r="I1937" s="35"/>
      <c r="J1937" s="21">
        <f ca="1">_xlfn.XLOOKUP(Master[[#This Row],[Checklist]],Ref!A:A,Ref!B:B)*1000</f>
        <v>172000</v>
      </c>
      <c r="K1937" s="21">
        <f ca="1">COUNTIF($J$2:Master[[#This Row],[ChecklistID]],Master[[#This Row],[ChecklistID]])-1</f>
        <v>1</v>
      </c>
      <c r="L1937" s="23" t="s">
        <v>6</v>
      </c>
    </row>
    <row r="1938" spans="1:12" ht="15.75">
      <c r="A1938" s="23">
        <f t="shared" si="30"/>
        <v>1925</v>
      </c>
      <c r="B1938" s="21">
        <f ca="1">Master[[#This Row],[ChecklistID]]+Master[[#This Row],[Checklist Order]]</f>
        <v>172002</v>
      </c>
      <c r="C1938" s="22"/>
      <c r="D1938" s="23" t="str" cm="1">
        <f t="array" aca="1" ref="D1938" ca="1">_xlfn.SWITCH(MID(Master[[#This Row],[Checklist]],1,4),"C - ","Civil","F - ","Foundation","ST -","Structure","FC -","Façade","PRE ","Pre-Line","POST","Post-Line","H - ","Handover","S - ","Services","CST ","Completion Docs", "I - ", "Inspection")</f>
        <v>Pre-Line</v>
      </c>
      <c r="E19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8" s="24" t="str">
        <f ca="1">IF(OR(Master[[#This Row],[Type]]="checklist", Master[[#This Row],[Type]]="checklist-flat"), Master[[#This Row],[Name]], F1937)</f>
        <v>PRE - S - First Fix - Plumbing</v>
      </c>
      <c r="G1938" s="34" t="s">
        <v>49</v>
      </c>
      <c r="H1938" s="34" t="s">
        <v>967</v>
      </c>
      <c r="I1938" s="35"/>
      <c r="J1938" s="21">
        <f ca="1">_xlfn.XLOOKUP(Master[[#This Row],[Checklist]],Ref!A:A,Ref!B:B)*1000</f>
        <v>172000</v>
      </c>
      <c r="K1938" s="21">
        <f ca="1">COUNTIF($J$2:Master[[#This Row],[ChecklistID]],Master[[#This Row],[ChecklistID]])-1</f>
        <v>2</v>
      </c>
      <c r="L1938" s="23" t="s">
        <v>6</v>
      </c>
    </row>
    <row r="1939" spans="1:12" ht="15.75">
      <c r="A1939" s="23">
        <f t="shared" si="30"/>
        <v>1926</v>
      </c>
      <c r="B1939" s="21">
        <f ca="1">Master[[#This Row],[ChecklistID]]+Master[[#This Row],[Checklist Order]]</f>
        <v>172003</v>
      </c>
      <c r="C1939" s="22"/>
      <c r="D1939" s="23" t="str" cm="1">
        <f t="array" aca="1" ref="D1939" ca="1">_xlfn.SWITCH(MID(Master[[#This Row],[Checklist]],1,4),"C - ","Civil","F - ","Foundation","ST -","Structure","FC -","Façade","PRE ","Pre-Line","POST","Post-Line","H - ","Handover","S - ","Services","CST ","Completion Docs", "I - ", "Inspection")</f>
        <v>Pre-Line</v>
      </c>
      <c r="E19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39" s="24" t="str">
        <f ca="1">IF(OR(Master[[#This Row],[Type]]="checklist", Master[[#This Row],[Type]]="checklist-flat"), Master[[#This Row],[Name]], F1938)</f>
        <v>PRE - S - First Fix - Plumbing</v>
      </c>
      <c r="G1939" s="34" t="s">
        <v>49</v>
      </c>
      <c r="H1939" s="34" t="s">
        <v>968</v>
      </c>
      <c r="I1939" s="35"/>
      <c r="J1939" s="21">
        <f ca="1">_xlfn.XLOOKUP(Master[[#This Row],[Checklist]],Ref!A:A,Ref!B:B)*1000</f>
        <v>172000</v>
      </c>
      <c r="K1939" s="21">
        <f ca="1">COUNTIF($J$2:Master[[#This Row],[ChecklistID]],Master[[#This Row],[ChecklistID]])-1</f>
        <v>3</v>
      </c>
      <c r="L1939" s="23" t="s">
        <v>6</v>
      </c>
    </row>
    <row r="1940" spans="1:12" ht="15.75">
      <c r="A1940" s="23">
        <f t="shared" si="30"/>
        <v>1927</v>
      </c>
      <c r="B1940" s="21">
        <f ca="1">Master[[#This Row],[ChecklistID]]+Master[[#This Row],[Checklist Order]]</f>
        <v>172004</v>
      </c>
      <c r="C1940" s="22"/>
      <c r="D1940" s="23" t="str" cm="1">
        <f t="array" aca="1" ref="D1940" ca="1">_xlfn.SWITCH(MID(Master[[#This Row],[Checklist]],1,4),"C - ","Civil","F - ","Foundation","ST -","Structure","FC -","Façade","PRE ","Pre-Line","POST","Post-Line","H - ","Handover","S - ","Services","CST ","Completion Docs", "I - ", "Inspection")</f>
        <v>Pre-Line</v>
      </c>
      <c r="E19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0" s="24" t="str">
        <f ca="1">IF(OR(Master[[#This Row],[Type]]="checklist", Master[[#This Row],[Type]]="checklist-flat"), Master[[#This Row],[Name]], F1939)</f>
        <v>PRE - S - First Fix - Plumbing</v>
      </c>
      <c r="G1940" s="34" t="s">
        <v>49</v>
      </c>
      <c r="H1940" s="34" t="s">
        <v>969</v>
      </c>
      <c r="I1940" s="35"/>
      <c r="J1940" s="21">
        <f ca="1">_xlfn.XLOOKUP(Master[[#This Row],[Checklist]],Ref!A:A,Ref!B:B)*1000</f>
        <v>172000</v>
      </c>
      <c r="K1940" s="21">
        <f ca="1">COUNTIF($J$2:Master[[#This Row],[ChecklistID]],Master[[#This Row],[ChecklistID]])-1</f>
        <v>4</v>
      </c>
      <c r="L1940" s="23" t="s">
        <v>6</v>
      </c>
    </row>
    <row r="1941" spans="1:12" ht="15.75">
      <c r="A1941" s="23">
        <f t="shared" si="30"/>
        <v>1928</v>
      </c>
      <c r="B1941" s="21">
        <f ca="1">Master[[#This Row],[ChecklistID]]+Master[[#This Row],[Checklist Order]]</f>
        <v>172005</v>
      </c>
      <c r="C1941" s="22"/>
      <c r="D1941" s="23" t="str" cm="1">
        <f t="array" aca="1" ref="D1941" ca="1">_xlfn.SWITCH(MID(Master[[#This Row],[Checklist]],1,4),"C - ","Civil","F - ","Foundation","ST -","Structure","FC -","Façade","PRE ","Pre-Line","POST","Post-Line","H - ","Handover","S - ","Services","CST ","Completion Docs", "I - ", "Inspection")</f>
        <v>Pre-Line</v>
      </c>
      <c r="E19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1" s="24" t="str">
        <f ca="1">IF(OR(Master[[#This Row],[Type]]="checklist", Master[[#This Row],[Type]]="checklist-flat"), Master[[#This Row],[Name]], F1940)</f>
        <v>PRE - S - First Fix - Plumbing</v>
      </c>
      <c r="G1941" s="34" t="s">
        <v>49</v>
      </c>
      <c r="H1941" s="34" t="s">
        <v>970</v>
      </c>
      <c r="I1941" s="35"/>
      <c r="J1941" s="21">
        <f ca="1">_xlfn.XLOOKUP(Master[[#This Row],[Checklist]],Ref!A:A,Ref!B:B)*1000</f>
        <v>172000</v>
      </c>
      <c r="K1941" s="21">
        <f ca="1">COUNTIF($J$2:Master[[#This Row],[ChecklistID]],Master[[#This Row],[ChecklistID]])-1</f>
        <v>5</v>
      </c>
      <c r="L1941" s="23" t="s">
        <v>6</v>
      </c>
    </row>
    <row r="1942" spans="1:12" ht="15.75">
      <c r="A1942" s="23">
        <f t="shared" si="30"/>
        <v>1929</v>
      </c>
      <c r="B1942" s="21">
        <f ca="1">Master[[#This Row],[ChecklistID]]+Master[[#This Row],[Checklist Order]]</f>
        <v>172006</v>
      </c>
      <c r="C1942" s="22"/>
      <c r="D1942" s="23" t="str" cm="1">
        <f t="array" aca="1" ref="D1942" ca="1">_xlfn.SWITCH(MID(Master[[#This Row],[Checklist]],1,4),"C - ","Civil","F - ","Foundation","ST -","Structure","FC -","Façade","PRE ","Pre-Line","POST","Post-Line","H - ","Handover","S - ","Services","CST ","Completion Docs", "I - ", "Inspection")</f>
        <v>Pre-Line</v>
      </c>
      <c r="E19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2" s="24" t="str">
        <f ca="1">IF(OR(Master[[#This Row],[Type]]="checklist", Master[[#This Row],[Type]]="checklist-flat"), Master[[#This Row],[Name]], F1941)</f>
        <v>PRE - S - First Fix - Plumbing</v>
      </c>
      <c r="G1942" s="34" t="s">
        <v>49</v>
      </c>
      <c r="H1942" s="34" t="s">
        <v>971</v>
      </c>
      <c r="I1942" s="35"/>
      <c r="J1942" s="21">
        <f ca="1">_xlfn.XLOOKUP(Master[[#This Row],[Checklist]],Ref!A:A,Ref!B:B)*1000</f>
        <v>172000</v>
      </c>
      <c r="K1942" s="21">
        <f ca="1">COUNTIF($J$2:Master[[#This Row],[ChecklistID]],Master[[#This Row],[ChecklistID]])-1</f>
        <v>6</v>
      </c>
      <c r="L1942" s="23" t="s">
        <v>6</v>
      </c>
    </row>
    <row r="1943" spans="1:12" ht="15.75">
      <c r="A1943" s="23">
        <f t="shared" si="30"/>
        <v>1930</v>
      </c>
      <c r="B1943" s="21">
        <f ca="1">Master[[#This Row],[ChecklistID]]+Master[[#This Row],[Checklist Order]]</f>
        <v>172007</v>
      </c>
      <c r="C1943" s="22"/>
      <c r="D1943" s="23" t="str" cm="1">
        <f t="array" aca="1" ref="D1943" ca="1">_xlfn.SWITCH(MID(Master[[#This Row],[Checklist]],1,4),"C - ","Civil","F - ","Foundation","ST -","Structure","FC -","Façade","PRE ","Pre-Line","POST","Post-Line","H - ","Handover","S - ","Services","CST ","Completion Docs", "I - ", "Inspection")</f>
        <v>Pre-Line</v>
      </c>
      <c r="E19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3" s="24" t="str">
        <f ca="1">IF(OR(Master[[#This Row],[Type]]="checklist", Master[[#This Row],[Type]]="checklist-flat"), Master[[#This Row],[Name]], F1942)</f>
        <v>PRE - S - First Fix - Plumbing</v>
      </c>
      <c r="G1943" s="34" t="s">
        <v>49</v>
      </c>
      <c r="H1943" s="34" t="s">
        <v>972</v>
      </c>
      <c r="I1943" s="35"/>
      <c r="J1943" s="21">
        <f ca="1">_xlfn.XLOOKUP(Master[[#This Row],[Checklist]],Ref!A:A,Ref!B:B)*1000</f>
        <v>172000</v>
      </c>
      <c r="K1943" s="21">
        <f ca="1">COUNTIF($J$2:Master[[#This Row],[ChecklistID]],Master[[#This Row],[ChecklistID]])-1</f>
        <v>7</v>
      </c>
      <c r="L1943" s="23" t="s">
        <v>6</v>
      </c>
    </row>
    <row r="1944" spans="1:12" ht="15.75">
      <c r="A1944" s="23">
        <f t="shared" si="30"/>
        <v>1931</v>
      </c>
      <c r="B1944" s="21">
        <f ca="1">Master[[#This Row],[ChecklistID]]+Master[[#This Row],[Checklist Order]]</f>
        <v>172008</v>
      </c>
      <c r="C1944" s="22"/>
      <c r="D1944" s="23" t="str" cm="1">
        <f t="array" aca="1" ref="D1944" ca="1">_xlfn.SWITCH(MID(Master[[#This Row],[Checklist]],1,4),"C - ","Civil","F - ","Foundation","ST -","Structure","FC -","Façade","PRE ","Pre-Line","POST","Post-Line","H - ","Handover","S - ","Services","CST ","Completion Docs", "I - ", "Inspection")</f>
        <v>Pre-Line</v>
      </c>
      <c r="E19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4" s="24" t="str">
        <f ca="1">IF(OR(Master[[#This Row],[Type]]="checklist", Master[[#This Row],[Type]]="checklist-flat"), Master[[#This Row],[Name]], F1943)</f>
        <v>PRE - S - First Fix - Plumbing</v>
      </c>
      <c r="G1944" s="34" t="s">
        <v>49</v>
      </c>
      <c r="H1944" s="34" t="s">
        <v>973</v>
      </c>
      <c r="I1944" s="35"/>
      <c r="J1944" s="21">
        <f ca="1">_xlfn.XLOOKUP(Master[[#This Row],[Checklist]],Ref!A:A,Ref!B:B)*1000</f>
        <v>172000</v>
      </c>
      <c r="K1944" s="21">
        <f ca="1">COUNTIF($J$2:Master[[#This Row],[ChecklistID]],Master[[#This Row],[ChecklistID]])-1</f>
        <v>8</v>
      </c>
      <c r="L1944" s="23" t="s">
        <v>6</v>
      </c>
    </row>
    <row r="1945" spans="1:12" ht="15.75">
      <c r="A1945" s="23">
        <f t="shared" si="30"/>
        <v>1932</v>
      </c>
      <c r="B1945" s="21">
        <f ca="1">Master[[#This Row],[ChecklistID]]+Master[[#This Row],[Checklist Order]]</f>
        <v>172009</v>
      </c>
      <c r="C1945" s="22"/>
      <c r="D1945" s="23" t="str" cm="1">
        <f t="array" aca="1" ref="D1945" ca="1">_xlfn.SWITCH(MID(Master[[#This Row],[Checklist]],1,4),"C - ","Civil","F - ","Foundation","ST -","Structure","FC -","Façade","PRE ","Pre-Line","POST","Post-Line","H - ","Handover","S - ","Services","CST ","Completion Docs", "I - ", "Inspection")</f>
        <v>Pre-Line</v>
      </c>
      <c r="E19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5" s="24" t="str">
        <f ca="1">IF(OR(Master[[#This Row],[Type]]="checklist", Master[[#This Row],[Type]]="checklist-flat"), Master[[#This Row],[Name]], F1944)</f>
        <v>PRE - S - First Fix - Plumbing</v>
      </c>
      <c r="G1945" s="34" t="s">
        <v>49</v>
      </c>
      <c r="H1945" s="34" t="s">
        <v>974</v>
      </c>
      <c r="I1945" s="35"/>
      <c r="J1945" s="21">
        <f ca="1">_xlfn.XLOOKUP(Master[[#This Row],[Checklist]],Ref!A:A,Ref!B:B)*1000</f>
        <v>172000</v>
      </c>
      <c r="K1945" s="21">
        <f ca="1">COUNTIF($J$2:Master[[#This Row],[ChecklistID]],Master[[#This Row],[ChecklistID]])-1</f>
        <v>9</v>
      </c>
      <c r="L1945" s="23" t="s">
        <v>6</v>
      </c>
    </row>
    <row r="1946" spans="1:12" ht="15.75">
      <c r="A1946" s="23">
        <f t="shared" si="30"/>
        <v>1933</v>
      </c>
      <c r="B1946" s="21">
        <f ca="1">Master[[#This Row],[ChecklistID]]+Master[[#This Row],[Checklist Order]]</f>
        <v>172010</v>
      </c>
      <c r="C1946" s="22"/>
      <c r="D1946" s="23" t="str" cm="1">
        <f t="array" aca="1" ref="D1946" ca="1">_xlfn.SWITCH(MID(Master[[#This Row],[Checklist]],1,4),"C - ","Civil","F - ","Foundation","ST -","Structure","FC -","Façade","PRE ","Pre-Line","POST","Post-Line","H - ","Handover","S - ","Services","CST ","Completion Docs", "I - ", "Inspection")</f>
        <v>Pre-Line</v>
      </c>
      <c r="E19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6" s="24" t="str">
        <f ca="1">IF(OR(Master[[#This Row],[Type]]="checklist", Master[[#This Row],[Type]]="checklist-flat"), Master[[#This Row],[Name]], F1945)</f>
        <v>PRE - S - First Fix - Plumbing</v>
      </c>
      <c r="G1946" s="34" t="s">
        <v>49</v>
      </c>
      <c r="H1946" s="34" t="s">
        <v>975</v>
      </c>
      <c r="I1946" s="35"/>
      <c r="J1946" s="21">
        <f ca="1">_xlfn.XLOOKUP(Master[[#This Row],[Checklist]],Ref!A:A,Ref!B:B)*1000</f>
        <v>172000</v>
      </c>
      <c r="K1946" s="21">
        <f ca="1">COUNTIF($J$2:Master[[#This Row],[ChecklistID]],Master[[#This Row],[ChecklistID]])-1</f>
        <v>10</v>
      </c>
      <c r="L1946" s="23" t="s">
        <v>6</v>
      </c>
    </row>
    <row r="1947" spans="1:12" ht="15.75">
      <c r="A1947" s="23">
        <f t="shared" si="30"/>
        <v>1934</v>
      </c>
      <c r="B1947" s="21">
        <f ca="1">Master[[#This Row],[ChecklistID]]+Master[[#This Row],[Checklist Order]]</f>
        <v>172011</v>
      </c>
      <c r="C1947" s="22"/>
      <c r="D1947" s="23" t="str" cm="1">
        <f t="array" aca="1" ref="D1947" ca="1">_xlfn.SWITCH(MID(Master[[#This Row],[Checklist]],1,4),"C - ","Civil","F - ","Foundation","ST -","Structure","FC -","Façade","PRE ","Pre-Line","POST","Post-Line","H - ","Handover","S - ","Services","CST ","Completion Docs", "I - ", "Inspection")</f>
        <v>Pre-Line</v>
      </c>
      <c r="E19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7" s="24" t="str">
        <f ca="1">IF(OR(Master[[#This Row],[Type]]="checklist", Master[[#This Row],[Type]]="checklist-flat"), Master[[#This Row],[Name]], F1946)</f>
        <v>PRE - S - First Fix - Plumbing</v>
      </c>
      <c r="G1947" s="34" t="s">
        <v>124</v>
      </c>
      <c r="H1947" s="24" t="s">
        <v>1714</v>
      </c>
      <c r="I1947" s="35"/>
      <c r="J1947" s="21">
        <f ca="1">_xlfn.XLOOKUP(Master[[#This Row],[Checklist]],Ref!A:A,Ref!B:B)*1000</f>
        <v>172000</v>
      </c>
      <c r="K1947" s="21">
        <f ca="1">COUNTIF($J$2:Master[[#This Row],[ChecklistID]],Master[[#This Row],[ChecklistID]])-1</f>
        <v>11</v>
      </c>
      <c r="L1947" s="23" t="s">
        <v>6</v>
      </c>
    </row>
    <row r="1948" spans="1:12" ht="15.75">
      <c r="A1948" s="23">
        <f t="shared" si="30"/>
        <v>1935</v>
      </c>
      <c r="B1948" s="21">
        <f ca="1">Master[[#This Row],[ChecklistID]]+Master[[#This Row],[Checklist Order]]</f>
        <v>172012</v>
      </c>
      <c r="C1948" s="22"/>
      <c r="D1948" s="23" t="str" cm="1">
        <f t="array" aca="1" ref="D1948" ca="1">_xlfn.SWITCH(MID(Master[[#This Row],[Checklist]],1,4),"C - ","Civil","F - ","Foundation","ST -","Structure","FC -","Façade","PRE ","Pre-Line","POST","Post-Line","H - ","Handover","S - ","Services","CST ","Completion Docs", "I - ", "Inspection")</f>
        <v>Pre-Line</v>
      </c>
      <c r="E19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8" s="24" t="str">
        <f ca="1">IF(OR(Master[[#This Row],[Type]]="checklist", Master[[#This Row],[Type]]="checklist-flat"), Master[[#This Row],[Name]], F1947)</f>
        <v>PRE - S - First Fix - Plumbing</v>
      </c>
      <c r="G1948" s="34" t="s">
        <v>49</v>
      </c>
      <c r="H1948" s="34" t="s">
        <v>977</v>
      </c>
      <c r="I1948" s="35"/>
      <c r="J1948" s="21">
        <f ca="1">_xlfn.XLOOKUP(Master[[#This Row],[Checklist]],Ref!A:A,Ref!B:B)*1000</f>
        <v>172000</v>
      </c>
      <c r="K1948" s="21">
        <f ca="1">COUNTIF($J$2:Master[[#This Row],[ChecklistID]],Master[[#This Row],[ChecklistID]])-1</f>
        <v>12</v>
      </c>
      <c r="L1948" s="23" t="s">
        <v>6</v>
      </c>
    </row>
    <row r="1949" spans="1:12" ht="15.75">
      <c r="A1949" s="23">
        <f t="shared" si="30"/>
        <v>1936</v>
      </c>
      <c r="B1949" s="21">
        <f ca="1">Master[[#This Row],[ChecklistID]]+Master[[#This Row],[Checklist Order]]</f>
        <v>172013</v>
      </c>
      <c r="C1949" s="22"/>
      <c r="D1949" s="23" t="str" cm="1">
        <f t="array" aca="1" ref="D1949" ca="1">_xlfn.SWITCH(MID(Master[[#This Row],[Checklist]],1,4),"C - ","Civil","F - ","Foundation","ST -","Structure","FC -","Façade","PRE ","Pre-Line","POST","Post-Line","H - ","Handover","S - ","Services","CST ","Completion Docs", "I - ", "Inspection")</f>
        <v>Pre-Line</v>
      </c>
      <c r="E19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49" s="24" t="str">
        <f ca="1">IF(OR(Master[[#This Row],[Type]]="checklist", Master[[#This Row],[Type]]="checklist-flat"), Master[[#This Row],[Name]], F1948)</f>
        <v>PRE - S - First Fix - Plumbing</v>
      </c>
      <c r="G1949" s="34" t="s">
        <v>49</v>
      </c>
      <c r="H1949" s="34" t="s">
        <v>978</v>
      </c>
      <c r="I1949" s="35"/>
      <c r="J1949" s="21">
        <f ca="1">_xlfn.XLOOKUP(Master[[#This Row],[Checklist]],Ref!A:A,Ref!B:B)*1000</f>
        <v>172000</v>
      </c>
      <c r="K1949" s="21">
        <f ca="1">COUNTIF($J$2:Master[[#This Row],[ChecklistID]],Master[[#This Row],[ChecklistID]])-1</f>
        <v>13</v>
      </c>
      <c r="L1949" s="23" t="s">
        <v>6</v>
      </c>
    </row>
    <row r="1950" spans="1:12" ht="15.75">
      <c r="A1950" s="23">
        <f t="shared" si="30"/>
        <v>1937</v>
      </c>
      <c r="B1950" s="21">
        <f ca="1">Master[[#This Row],[ChecklistID]]+Master[[#This Row],[Checklist Order]]</f>
        <v>172014</v>
      </c>
      <c r="C1950" s="22"/>
      <c r="D1950" s="23" t="str" cm="1">
        <f t="array" aca="1" ref="D1950" ca="1">_xlfn.SWITCH(MID(Master[[#This Row],[Checklist]],1,4),"C - ","Civil","F - ","Foundation","ST -","Structure","FC -","Façade","PRE ","Pre-Line","POST","Post-Line","H - ","Handover","S - ","Services","CST ","Completion Docs", "I - ", "Inspection")</f>
        <v>Pre-Line</v>
      </c>
      <c r="E19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0" s="24" t="str">
        <f ca="1">IF(OR(Master[[#This Row],[Type]]="checklist", Master[[#This Row],[Type]]="checklist-flat"), Master[[#This Row],[Name]], F1949)</f>
        <v>PRE - S - First Fix - Plumbing</v>
      </c>
      <c r="G1950" s="34" t="s">
        <v>49</v>
      </c>
      <c r="H1950" s="34" t="s">
        <v>979</v>
      </c>
      <c r="I1950" s="35"/>
      <c r="J1950" s="21">
        <f ca="1">_xlfn.XLOOKUP(Master[[#This Row],[Checklist]],Ref!A:A,Ref!B:B)*1000</f>
        <v>172000</v>
      </c>
      <c r="K1950" s="21">
        <f ca="1">COUNTIF($J$2:Master[[#This Row],[ChecklistID]],Master[[#This Row],[ChecklistID]])-1</f>
        <v>14</v>
      </c>
      <c r="L1950" s="23" t="s">
        <v>6</v>
      </c>
    </row>
    <row r="1951" spans="1:12" ht="15.75">
      <c r="A1951" s="23">
        <f t="shared" si="30"/>
        <v>1938</v>
      </c>
      <c r="B1951" s="21">
        <f ca="1">Master[[#This Row],[ChecklistID]]+Master[[#This Row],[Checklist Order]]</f>
        <v>172015</v>
      </c>
      <c r="C1951" s="22"/>
      <c r="D1951" s="23" t="str" cm="1">
        <f t="array" aca="1" ref="D1951" ca="1">_xlfn.SWITCH(MID(Master[[#This Row],[Checklist]],1,4),"C - ","Civil","F - ","Foundation","ST -","Structure","FC -","Façade","PRE ","Pre-Line","POST","Post-Line","H - ","Handover","S - ","Services","CST ","Completion Docs", "I - ", "Inspection")</f>
        <v>Pre-Line</v>
      </c>
      <c r="E19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1" s="24" t="str">
        <f ca="1">IF(OR(Master[[#This Row],[Type]]="checklist", Master[[#This Row],[Type]]="checklist-flat"), Master[[#This Row],[Name]], F1950)</f>
        <v>PRE - S - First Fix - Plumbing</v>
      </c>
      <c r="G1951" s="34" t="s">
        <v>49</v>
      </c>
      <c r="H1951" s="34" t="s">
        <v>980</v>
      </c>
      <c r="I1951" s="35"/>
      <c r="J1951" s="21">
        <f ca="1">_xlfn.XLOOKUP(Master[[#This Row],[Checklist]],Ref!A:A,Ref!B:B)*1000</f>
        <v>172000</v>
      </c>
      <c r="K1951" s="21">
        <f ca="1">COUNTIF($J$2:Master[[#This Row],[ChecklistID]],Master[[#This Row],[ChecklistID]])-1</f>
        <v>15</v>
      </c>
      <c r="L1951" s="23" t="s">
        <v>6</v>
      </c>
    </row>
    <row r="1952" spans="1:12" ht="15.75">
      <c r="A1952" s="23">
        <f t="shared" si="30"/>
        <v>1939</v>
      </c>
      <c r="B1952" s="21">
        <f ca="1">Master[[#This Row],[ChecklistID]]+Master[[#This Row],[Checklist Order]]</f>
        <v>172016</v>
      </c>
      <c r="C1952" s="22"/>
      <c r="D1952" s="23" t="str" cm="1">
        <f t="array" aca="1" ref="D1952" ca="1">_xlfn.SWITCH(MID(Master[[#This Row],[Checklist]],1,4),"C - ","Civil","F - ","Foundation","ST -","Structure","FC -","Façade","PRE ","Pre-Line","POST","Post-Line","H - ","Handover","S - ","Services","CST ","Completion Docs", "I - ", "Inspection")</f>
        <v>Pre-Line</v>
      </c>
      <c r="E19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2" s="24" t="str">
        <f ca="1">IF(OR(Master[[#This Row],[Type]]="checklist", Master[[#This Row],[Type]]="checklist-flat"), Master[[#This Row],[Name]], F1951)</f>
        <v>PRE - S - First Fix - Plumbing</v>
      </c>
      <c r="G1952" s="34" t="s">
        <v>49</v>
      </c>
      <c r="H1952" s="34" t="s">
        <v>981</v>
      </c>
      <c r="I1952" s="35"/>
      <c r="J1952" s="21">
        <f ca="1">_xlfn.XLOOKUP(Master[[#This Row],[Checklist]],Ref!A:A,Ref!B:B)*1000</f>
        <v>172000</v>
      </c>
      <c r="K1952" s="21">
        <f ca="1">COUNTIF($J$2:Master[[#This Row],[ChecklistID]],Master[[#This Row],[ChecklistID]])-1</f>
        <v>16</v>
      </c>
      <c r="L1952" s="23" t="s">
        <v>6</v>
      </c>
    </row>
    <row r="1953" spans="1:12" ht="15.75">
      <c r="A1953" s="23">
        <f t="shared" si="30"/>
        <v>1940</v>
      </c>
      <c r="B1953" s="21">
        <f ca="1">Master[[#This Row],[ChecklistID]]+Master[[#This Row],[Checklist Order]]</f>
        <v>172017</v>
      </c>
      <c r="C1953" s="22"/>
      <c r="D1953" s="23" t="str" cm="1">
        <f t="array" aca="1" ref="D1953" ca="1">_xlfn.SWITCH(MID(Master[[#This Row],[Checklist]],1,4),"C - ","Civil","F - ","Foundation","ST -","Structure","FC -","Façade","PRE ","Pre-Line","POST","Post-Line","H - ","Handover","S - ","Services","CST ","Completion Docs", "I - ", "Inspection")</f>
        <v>Pre-Line</v>
      </c>
      <c r="E19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3" s="24" t="str">
        <f ca="1">IF(OR(Master[[#This Row],[Type]]="checklist", Master[[#This Row],[Type]]="checklist-flat"), Master[[#This Row],[Name]], F1952)</f>
        <v>PRE - S - First Fix - Plumbing</v>
      </c>
      <c r="G1953" s="34" t="s">
        <v>49</v>
      </c>
      <c r="H1953" s="34" t="s">
        <v>982</v>
      </c>
      <c r="I1953" s="35"/>
      <c r="J1953" s="21">
        <f ca="1">_xlfn.XLOOKUP(Master[[#This Row],[Checklist]],Ref!A:A,Ref!B:B)*1000</f>
        <v>172000</v>
      </c>
      <c r="K1953" s="21">
        <f ca="1">COUNTIF($J$2:Master[[#This Row],[ChecklistID]],Master[[#This Row],[ChecklistID]])-1</f>
        <v>17</v>
      </c>
      <c r="L1953" s="23" t="s">
        <v>6</v>
      </c>
    </row>
    <row r="1954" spans="1:12" ht="15.75">
      <c r="A1954" s="23">
        <f t="shared" si="30"/>
        <v>1941</v>
      </c>
      <c r="B1954" s="21">
        <f ca="1">Master[[#This Row],[ChecklistID]]+Master[[#This Row],[Checklist Order]]</f>
        <v>172018</v>
      </c>
      <c r="C1954" s="22"/>
      <c r="D1954" s="23" t="str" cm="1">
        <f t="array" aca="1" ref="D1954" ca="1">_xlfn.SWITCH(MID(Master[[#This Row],[Checklist]],1,4),"C - ","Civil","F - ","Foundation","ST -","Structure","FC -","Façade","PRE ","Pre-Line","POST","Post-Line","H - ","Handover","S - ","Services","CST ","Completion Docs", "I - ", "Inspection")</f>
        <v>Pre-Line</v>
      </c>
      <c r="E19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4" s="24" t="str">
        <f ca="1">IF(OR(Master[[#This Row],[Type]]="checklist", Master[[#This Row],[Type]]="checklist-flat"), Master[[#This Row],[Name]], F1953)</f>
        <v>PRE - S - First Fix - Plumbing</v>
      </c>
      <c r="G1954" s="34" t="s">
        <v>49</v>
      </c>
      <c r="H1954" s="34" t="s">
        <v>57</v>
      </c>
      <c r="I1954" s="35"/>
      <c r="J1954" s="21">
        <f ca="1">_xlfn.XLOOKUP(Master[[#This Row],[Checklist]],Ref!A:A,Ref!B:B)*1000</f>
        <v>172000</v>
      </c>
      <c r="K1954" s="21">
        <f ca="1">COUNTIF($J$2:Master[[#This Row],[ChecklistID]],Master[[#This Row],[ChecklistID]])-1</f>
        <v>18</v>
      </c>
      <c r="L1954" s="23" t="s">
        <v>6</v>
      </c>
    </row>
    <row r="1955" spans="1:12" ht="15.75">
      <c r="A1955" s="23">
        <f t="shared" si="30"/>
        <v>1942</v>
      </c>
      <c r="B1955" s="21">
        <f ca="1">Master[[#This Row],[ChecklistID]]+Master[[#This Row],[Checklist Order]]</f>
        <v>172019</v>
      </c>
      <c r="C1955" s="22"/>
      <c r="D1955" s="23" t="str" cm="1">
        <f t="array" aca="1" ref="D1955" ca="1">_xlfn.SWITCH(MID(Master[[#This Row],[Checklist]],1,4),"C - ","Civil","F - ","Foundation","ST -","Structure","FC -","Façade","PRE ","Pre-Line","POST","Post-Line","H - ","Handover","S - ","Services","CST ","Completion Docs", "I - ", "Inspection")</f>
        <v>Pre-Line</v>
      </c>
      <c r="E19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5" s="24" t="str">
        <f ca="1">IF(OR(Master[[#This Row],[Type]]="checklist", Master[[#This Row],[Type]]="checklist-flat"), Master[[#This Row],[Name]], F1954)</f>
        <v>PRE - S - First Fix - Plumbing</v>
      </c>
      <c r="G1955" s="34" t="s">
        <v>58</v>
      </c>
      <c r="H1955" s="34" t="s">
        <v>59</v>
      </c>
      <c r="I1955" s="35"/>
      <c r="J1955" s="21">
        <f ca="1">_xlfn.XLOOKUP(Master[[#This Row],[Checklist]],Ref!A:A,Ref!B:B)*1000</f>
        <v>172000</v>
      </c>
      <c r="K1955" s="21">
        <f ca="1">COUNTIF($J$2:Master[[#This Row],[ChecklistID]],Master[[#This Row],[ChecklistID]])-1</f>
        <v>19</v>
      </c>
      <c r="L1955" s="23" t="s">
        <v>6</v>
      </c>
    </row>
    <row r="1956" spans="1:12" ht="15.75">
      <c r="A1956" s="23">
        <f t="shared" si="30"/>
        <v>1943</v>
      </c>
      <c r="B1956" s="21">
        <f ca="1">Master[[#This Row],[ChecklistID]]+Master[[#This Row],[Checklist Order]]</f>
        <v>173000</v>
      </c>
      <c r="C1956" s="22"/>
      <c r="D1956" s="23" t="str" cm="1">
        <f t="array" aca="1" ref="D1956" ca="1">_xlfn.SWITCH(MID(Master[[#This Row],[Checklist]],1,4),"C - ","Civil","F - ","Foundation","ST -","Structure","FC -","Façade","PRE ","Pre-Line","POST","Post-Line","H - ","Handover","S - ","Services","CST ","Completion Docs", "I - ", "Inspection")</f>
        <v>Pre-Line</v>
      </c>
      <c r="E19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6" s="24" t="str">
        <f ca="1">IF(OR(Master[[#This Row],[Type]]="checklist", Master[[#This Row],[Type]]="checklist-flat"), Master[[#This Row],[Name]], F1955)</f>
        <v>PRE - S - First Fix - Sprinkler</v>
      </c>
      <c r="G1956" s="34" t="s">
        <v>48</v>
      </c>
      <c r="H1956" s="34" t="s">
        <v>983</v>
      </c>
      <c r="I1956" s="35"/>
      <c r="J1956" s="21">
        <f ca="1">_xlfn.XLOOKUP(Master[[#This Row],[Checklist]],Ref!A:A,Ref!B:B)*1000</f>
        <v>173000</v>
      </c>
      <c r="K1956" s="21">
        <f ca="1">COUNTIF($J$2:Master[[#This Row],[ChecklistID]],Master[[#This Row],[ChecklistID]])-1</f>
        <v>0</v>
      </c>
      <c r="L1956" s="23" t="s">
        <v>6</v>
      </c>
    </row>
    <row r="1957" spans="1:12" ht="15.75">
      <c r="A1957" s="23">
        <f t="shared" si="30"/>
        <v>1944</v>
      </c>
      <c r="B1957" s="21">
        <f ca="1">Master[[#This Row],[ChecklistID]]+Master[[#This Row],[Checklist Order]]</f>
        <v>173001</v>
      </c>
      <c r="C1957" s="22"/>
      <c r="D1957" s="23" t="str" cm="1">
        <f t="array" aca="1" ref="D1957" ca="1">_xlfn.SWITCH(MID(Master[[#This Row],[Checklist]],1,4),"C - ","Civil","F - ","Foundation","ST -","Structure","FC -","Façade","PRE ","Pre-Line","POST","Post-Line","H - ","Handover","S - ","Services","CST ","Completion Docs", "I - ", "Inspection")</f>
        <v>Pre-Line</v>
      </c>
      <c r="E19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7" s="24" t="str">
        <f ca="1">IF(OR(Master[[#This Row],[Type]]="checklist", Master[[#This Row],[Type]]="checklist-flat"), Master[[#This Row],[Name]], F1956)</f>
        <v>PRE - S - First Fix - Sprinkler</v>
      </c>
      <c r="G1957" s="34" t="s">
        <v>49</v>
      </c>
      <c r="H1957" s="34" t="s">
        <v>984</v>
      </c>
      <c r="I1957" s="35"/>
      <c r="J1957" s="21">
        <f ca="1">_xlfn.XLOOKUP(Master[[#This Row],[Checklist]],Ref!A:A,Ref!B:B)*1000</f>
        <v>173000</v>
      </c>
      <c r="K1957" s="21">
        <f ca="1">COUNTIF($J$2:Master[[#This Row],[ChecklistID]],Master[[#This Row],[ChecklistID]])-1</f>
        <v>1</v>
      </c>
      <c r="L1957" s="23" t="s">
        <v>6</v>
      </c>
    </row>
    <row r="1958" spans="1:12" ht="15.75">
      <c r="A1958" s="23">
        <f t="shared" si="30"/>
        <v>1945</v>
      </c>
      <c r="B1958" s="21">
        <f ca="1">Master[[#This Row],[ChecklistID]]+Master[[#This Row],[Checklist Order]]</f>
        <v>173002</v>
      </c>
      <c r="C1958" s="22"/>
      <c r="D1958" s="23" t="str" cm="1">
        <f t="array" aca="1" ref="D1958" ca="1">_xlfn.SWITCH(MID(Master[[#This Row],[Checklist]],1,4),"C - ","Civil","F - ","Foundation","ST -","Structure","FC -","Façade","PRE ","Pre-Line","POST","Post-Line","H - ","Handover","S - ","Services","CST ","Completion Docs", "I - ", "Inspection")</f>
        <v>Pre-Line</v>
      </c>
      <c r="E19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8" s="24" t="str">
        <f ca="1">IF(OR(Master[[#This Row],[Type]]="checklist", Master[[#This Row],[Type]]="checklist-flat"), Master[[#This Row],[Name]], F1957)</f>
        <v>PRE - S - First Fix - Sprinkler</v>
      </c>
      <c r="G1958" s="34" t="s">
        <v>49</v>
      </c>
      <c r="H1958" s="34" t="s">
        <v>985</v>
      </c>
      <c r="I1958" s="35"/>
      <c r="J1958" s="21">
        <f ca="1">_xlfn.XLOOKUP(Master[[#This Row],[Checklist]],Ref!A:A,Ref!B:B)*1000</f>
        <v>173000</v>
      </c>
      <c r="K1958" s="21">
        <f ca="1">COUNTIF($J$2:Master[[#This Row],[ChecklistID]],Master[[#This Row],[ChecklistID]])-1</f>
        <v>2</v>
      </c>
      <c r="L1958" s="23" t="s">
        <v>6</v>
      </c>
    </row>
    <row r="1959" spans="1:12" ht="15.75">
      <c r="A1959" s="23">
        <f t="shared" si="30"/>
        <v>1946</v>
      </c>
      <c r="B1959" s="21">
        <f ca="1">Master[[#This Row],[ChecklistID]]+Master[[#This Row],[Checklist Order]]</f>
        <v>173003</v>
      </c>
      <c r="C1959" s="22"/>
      <c r="D1959" s="23" t="str" cm="1">
        <f t="array" aca="1" ref="D1959" ca="1">_xlfn.SWITCH(MID(Master[[#This Row],[Checklist]],1,4),"C - ","Civil","F - ","Foundation","ST -","Structure","FC -","Façade","PRE ","Pre-Line","POST","Post-Line","H - ","Handover","S - ","Services","CST ","Completion Docs", "I - ", "Inspection")</f>
        <v>Pre-Line</v>
      </c>
      <c r="E19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59" s="24" t="str">
        <f ca="1">IF(OR(Master[[#This Row],[Type]]="checklist", Master[[#This Row],[Type]]="checklist-flat"), Master[[#This Row],[Name]], F1958)</f>
        <v>PRE - S - First Fix - Sprinkler</v>
      </c>
      <c r="G1959" s="34" t="s">
        <v>49</v>
      </c>
      <c r="H1959" s="34" t="s">
        <v>986</v>
      </c>
      <c r="I1959" s="35"/>
      <c r="J1959" s="21">
        <f ca="1">_xlfn.XLOOKUP(Master[[#This Row],[Checklist]],Ref!A:A,Ref!B:B)*1000</f>
        <v>173000</v>
      </c>
      <c r="K1959" s="21">
        <f ca="1">COUNTIF($J$2:Master[[#This Row],[ChecklistID]],Master[[#This Row],[ChecklistID]])-1</f>
        <v>3</v>
      </c>
      <c r="L1959" s="23" t="s">
        <v>6</v>
      </c>
    </row>
    <row r="1960" spans="1:12" ht="15.75">
      <c r="A1960" s="23">
        <f t="shared" si="30"/>
        <v>1947</v>
      </c>
      <c r="B1960" s="21">
        <f ca="1">Master[[#This Row],[ChecklistID]]+Master[[#This Row],[Checklist Order]]</f>
        <v>173004</v>
      </c>
      <c r="C1960" s="22"/>
      <c r="D1960" s="23" t="str" cm="1">
        <f t="array" aca="1" ref="D1960" ca="1">_xlfn.SWITCH(MID(Master[[#This Row],[Checklist]],1,4),"C - ","Civil","F - ","Foundation","ST -","Structure","FC -","Façade","PRE ","Pre-Line","POST","Post-Line","H - ","Handover","S - ","Services","CST ","Completion Docs", "I - ", "Inspection")</f>
        <v>Pre-Line</v>
      </c>
      <c r="E19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0" s="24" t="str">
        <f ca="1">IF(OR(Master[[#This Row],[Type]]="checklist", Master[[#This Row],[Type]]="checklist-flat"), Master[[#This Row],[Name]], F1959)</f>
        <v>PRE - S - First Fix - Sprinkler</v>
      </c>
      <c r="G1960" s="34" t="s">
        <v>49</v>
      </c>
      <c r="H1960" s="34" t="s">
        <v>987</v>
      </c>
      <c r="I1960" s="35"/>
      <c r="J1960" s="21">
        <f ca="1">_xlfn.XLOOKUP(Master[[#This Row],[Checklist]],Ref!A:A,Ref!B:B)*1000</f>
        <v>173000</v>
      </c>
      <c r="K1960" s="21">
        <f ca="1">COUNTIF($J$2:Master[[#This Row],[ChecklistID]],Master[[#This Row],[ChecklistID]])-1</f>
        <v>4</v>
      </c>
      <c r="L1960" s="23" t="s">
        <v>6</v>
      </c>
    </row>
    <row r="1961" spans="1:12" ht="15.75">
      <c r="A1961" s="23">
        <f t="shared" si="30"/>
        <v>1948</v>
      </c>
      <c r="B1961" s="21">
        <f ca="1">Master[[#This Row],[ChecklistID]]+Master[[#This Row],[Checklist Order]]</f>
        <v>173005</v>
      </c>
      <c r="C1961" s="22"/>
      <c r="D1961" s="23" t="str" cm="1">
        <f t="array" aca="1" ref="D1961" ca="1">_xlfn.SWITCH(MID(Master[[#This Row],[Checklist]],1,4),"C - ","Civil","F - ","Foundation","ST -","Structure","FC -","Façade","PRE ","Pre-Line","POST","Post-Line","H - ","Handover","S - ","Services","CST ","Completion Docs", "I - ", "Inspection")</f>
        <v>Pre-Line</v>
      </c>
      <c r="E19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1" s="24" t="str">
        <f ca="1">IF(OR(Master[[#This Row],[Type]]="checklist", Master[[#This Row],[Type]]="checklist-flat"), Master[[#This Row],[Name]], F1960)</f>
        <v>PRE - S - First Fix - Sprinkler</v>
      </c>
      <c r="G1961" s="34" t="s">
        <v>49</v>
      </c>
      <c r="H1961" s="34" t="s">
        <v>57</v>
      </c>
      <c r="I1961" s="35"/>
      <c r="J1961" s="21">
        <f ca="1">_xlfn.XLOOKUP(Master[[#This Row],[Checklist]],Ref!A:A,Ref!B:B)*1000</f>
        <v>173000</v>
      </c>
      <c r="K1961" s="21">
        <f ca="1">COUNTIF($J$2:Master[[#This Row],[ChecklistID]],Master[[#This Row],[ChecklistID]])-1</f>
        <v>5</v>
      </c>
      <c r="L1961" s="23" t="s">
        <v>6</v>
      </c>
    </row>
    <row r="1962" spans="1:12" ht="15.75">
      <c r="A1962" s="23">
        <f t="shared" si="30"/>
        <v>1949</v>
      </c>
      <c r="B1962" s="21">
        <f ca="1">Master[[#This Row],[ChecklistID]]+Master[[#This Row],[Checklist Order]]</f>
        <v>173006</v>
      </c>
      <c r="C1962" s="22"/>
      <c r="D1962" s="23" t="str" cm="1">
        <f t="array" aca="1" ref="D1962" ca="1">_xlfn.SWITCH(MID(Master[[#This Row],[Checklist]],1,4),"C - ","Civil","F - ","Foundation","ST -","Structure","FC -","Façade","PRE ","Pre-Line","POST","Post-Line","H - ","Handover","S - ","Services","CST ","Completion Docs", "I - ", "Inspection")</f>
        <v>Pre-Line</v>
      </c>
      <c r="E19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2" s="24" t="str">
        <f ca="1">IF(OR(Master[[#This Row],[Type]]="checklist", Master[[#This Row],[Type]]="checklist-flat"), Master[[#This Row],[Name]], F1961)</f>
        <v>PRE - S - First Fix - Sprinkler</v>
      </c>
      <c r="G1962" s="34" t="s">
        <v>58</v>
      </c>
      <c r="H1962" s="34" t="s">
        <v>59</v>
      </c>
      <c r="I1962" s="35"/>
      <c r="J1962" s="21">
        <f ca="1">_xlfn.XLOOKUP(Master[[#This Row],[Checklist]],Ref!A:A,Ref!B:B)*1000</f>
        <v>173000</v>
      </c>
      <c r="K1962" s="21">
        <f ca="1">COUNTIF($J$2:Master[[#This Row],[ChecklistID]],Master[[#This Row],[ChecklistID]])-1</f>
        <v>6</v>
      </c>
      <c r="L1962" s="23" t="s">
        <v>6</v>
      </c>
    </row>
    <row r="1963" spans="1:12" ht="15.75">
      <c r="A1963" s="23">
        <f t="shared" si="30"/>
        <v>1950</v>
      </c>
      <c r="B1963" s="21">
        <f ca="1">Master[[#This Row],[ChecklistID]]+Master[[#This Row],[Checklist Order]]</f>
        <v>174000</v>
      </c>
      <c r="C1963" s="22"/>
      <c r="D1963" s="23" t="str" cm="1">
        <f t="array" aca="1" ref="D1963" ca="1">_xlfn.SWITCH(MID(Master[[#This Row],[Checklist]],1,4),"C - ","Civil","F - ","Foundation","ST -","Structure","FC -","Façade","PRE ","Pre-Line","POST","Post-Line","H - ","Handover","S - ","Services","CST ","Completion Docs", "I - ", "Inspection")</f>
        <v>Pre-Line</v>
      </c>
      <c r="E19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3" s="24" t="str">
        <f ca="1">IF(OR(Master[[#This Row],[Type]]="checklist", Master[[#This Row],[Type]]="checklist-flat"), Master[[#This Row],[Name]], F1962)</f>
        <v>PRE - S - First Fix - Ventilation</v>
      </c>
      <c r="G1963" s="34" t="s">
        <v>48</v>
      </c>
      <c r="H1963" s="34" t="s">
        <v>988</v>
      </c>
      <c r="I1963" s="35"/>
      <c r="J1963" s="21">
        <f ca="1">_xlfn.XLOOKUP(Master[[#This Row],[Checklist]],Ref!A:A,Ref!B:B)*1000</f>
        <v>174000</v>
      </c>
      <c r="K1963" s="21">
        <f ca="1">COUNTIF($J$2:Master[[#This Row],[ChecklistID]],Master[[#This Row],[ChecklistID]])-1</f>
        <v>0</v>
      </c>
      <c r="L1963" s="23" t="s">
        <v>6</v>
      </c>
    </row>
    <row r="1964" spans="1:12" ht="15.75">
      <c r="A1964" s="23">
        <f t="shared" si="30"/>
        <v>1951</v>
      </c>
      <c r="B1964" s="21">
        <f ca="1">Master[[#This Row],[ChecklistID]]+Master[[#This Row],[Checklist Order]]</f>
        <v>174001</v>
      </c>
      <c r="C1964" s="22"/>
      <c r="D1964" s="23" t="str" cm="1">
        <f t="array" aca="1" ref="D1964" ca="1">_xlfn.SWITCH(MID(Master[[#This Row],[Checklist]],1,4),"C - ","Civil","F - ","Foundation","ST -","Structure","FC -","Façade","PRE ","Pre-Line","POST","Post-Line","H - ","Handover","S - ","Services","CST ","Completion Docs", "I - ", "Inspection")</f>
        <v>Pre-Line</v>
      </c>
      <c r="E19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4" s="24" t="str">
        <f ca="1">IF(OR(Master[[#This Row],[Type]]="checklist", Master[[#This Row],[Type]]="checklist-flat"), Master[[#This Row],[Name]], F1963)</f>
        <v>PRE - S - First Fix - Ventilation</v>
      </c>
      <c r="G1964" s="34" t="s">
        <v>49</v>
      </c>
      <c r="H1964" s="34" t="s">
        <v>715</v>
      </c>
      <c r="I1964" s="35"/>
      <c r="J1964" s="21">
        <f ca="1">_xlfn.XLOOKUP(Master[[#This Row],[Checklist]],Ref!A:A,Ref!B:B)*1000</f>
        <v>174000</v>
      </c>
      <c r="K1964" s="21">
        <f ca="1">COUNTIF($J$2:Master[[#This Row],[ChecklistID]],Master[[#This Row],[ChecklistID]])-1</f>
        <v>1</v>
      </c>
      <c r="L1964" s="23" t="s">
        <v>6</v>
      </c>
    </row>
    <row r="1965" spans="1:12" ht="15.75">
      <c r="A1965" s="23">
        <f t="shared" si="30"/>
        <v>1952</v>
      </c>
      <c r="B1965" s="21">
        <f ca="1">Master[[#This Row],[ChecklistID]]+Master[[#This Row],[Checklist Order]]</f>
        <v>174002</v>
      </c>
      <c r="C1965" s="22"/>
      <c r="D1965" s="23" t="str" cm="1">
        <f t="array" aca="1" ref="D1965" ca="1">_xlfn.SWITCH(MID(Master[[#This Row],[Checklist]],1,4),"C - ","Civil","F - ","Foundation","ST -","Structure","FC -","Façade","PRE ","Pre-Line","POST","Post-Line","H - ","Handover","S - ","Services","CST ","Completion Docs", "I - ", "Inspection")</f>
        <v>Pre-Line</v>
      </c>
      <c r="E19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5" s="24" t="str">
        <f ca="1">IF(OR(Master[[#This Row],[Type]]="checklist", Master[[#This Row],[Type]]="checklist-flat"), Master[[#This Row],[Name]], F1964)</f>
        <v>PRE - S - First Fix - Ventilation</v>
      </c>
      <c r="G1965" s="34" t="s">
        <v>49</v>
      </c>
      <c r="H1965" s="34" t="s">
        <v>989</v>
      </c>
      <c r="I1965" s="35"/>
      <c r="J1965" s="21">
        <f ca="1">_xlfn.XLOOKUP(Master[[#This Row],[Checklist]],Ref!A:A,Ref!B:B)*1000</f>
        <v>174000</v>
      </c>
      <c r="K1965" s="21">
        <f ca="1">COUNTIF($J$2:Master[[#This Row],[ChecklistID]],Master[[#This Row],[ChecklistID]])-1</f>
        <v>2</v>
      </c>
      <c r="L1965" s="23" t="s">
        <v>6</v>
      </c>
    </row>
    <row r="1966" spans="1:12" ht="15.75">
      <c r="A1966" s="23">
        <f t="shared" si="30"/>
        <v>1953</v>
      </c>
      <c r="B1966" s="21">
        <f ca="1">Master[[#This Row],[ChecklistID]]+Master[[#This Row],[Checklist Order]]</f>
        <v>174003</v>
      </c>
      <c r="C1966" s="22"/>
      <c r="D1966" s="23" t="str" cm="1">
        <f t="array" aca="1" ref="D1966" ca="1">_xlfn.SWITCH(MID(Master[[#This Row],[Checklist]],1,4),"C - ","Civil","F - ","Foundation","ST -","Structure","FC -","Façade","PRE ","Pre-Line","POST","Post-Line","H - ","Handover","S - ","Services","CST ","Completion Docs", "I - ", "Inspection")</f>
        <v>Pre-Line</v>
      </c>
      <c r="E19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6" s="24" t="str">
        <f ca="1">IF(OR(Master[[#This Row],[Type]]="checklist", Master[[#This Row],[Type]]="checklist-flat"), Master[[#This Row],[Name]], F1965)</f>
        <v>PRE - S - First Fix - Ventilation</v>
      </c>
      <c r="G1966" s="34" t="s">
        <v>49</v>
      </c>
      <c r="H1966" s="34" t="s">
        <v>990</v>
      </c>
      <c r="I1966" s="35"/>
      <c r="J1966" s="21">
        <f ca="1">_xlfn.XLOOKUP(Master[[#This Row],[Checklist]],Ref!A:A,Ref!B:B)*1000</f>
        <v>174000</v>
      </c>
      <c r="K1966" s="21">
        <f ca="1">COUNTIF($J$2:Master[[#This Row],[ChecklistID]],Master[[#This Row],[ChecklistID]])-1</f>
        <v>3</v>
      </c>
      <c r="L1966" s="23" t="s">
        <v>6</v>
      </c>
    </row>
    <row r="1967" spans="1:12" ht="15.75">
      <c r="A1967" s="23">
        <f t="shared" si="30"/>
        <v>1954</v>
      </c>
      <c r="B1967" s="21">
        <f ca="1">Master[[#This Row],[ChecklistID]]+Master[[#This Row],[Checklist Order]]</f>
        <v>174004</v>
      </c>
      <c r="C1967" s="22"/>
      <c r="D1967" s="23" t="str" cm="1">
        <f t="array" aca="1" ref="D1967" ca="1">_xlfn.SWITCH(MID(Master[[#This Row],[Checklist]],1,4),"C - ","Civil","F - ","Foundation","ST -","Structure","FC -","Façade","PRE ","Pre-Line","POST","Post-Line","H - ","Handover","S - ","Services","CST ","Completion Docs", "I - ", "Inspection")</f>
        <v>Pre-Line</v>
      </c>
      <c r="E19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7" s="24" t="str">
        <f ca="1">IF(OR(Master[[#This Row],[Type]]="checklist", Master[[#This Row],[Type]]="checklist-flat"), Master[[#This Row],[Name]], F1966)</f>
        <v>PRE - S - First Fix - Ventilation</v>
      </c>
      <c r="G1967" s="34" t="s">
        <v>49</v>
      </c>
      <c r="H1967" s="34" t="s">
        <v>991</v>
      </c>
      <c r="I1967" s="35"/>
      <c r="J1967" s="21">
        <f ca="1">_xlfn.XLOOKUP(Master[[#This Row],[Checklist]],Ref!A:A,Ref!B:B)*1000</f>
        <v>174000</v>
      </c>
      <c r="K1967" s="21">
        <f ca="1">COUNTIF($J$2:Master[[#This Row],[ChecklistID]],Master[[#This Row],[ChecklistID]])-1</f>
        <v>4</v>
      </c>
      <c r="L1967" s="23" t="s">
        <v>6</v>
      </c>
    </row>
    <row r="1968" spans="1:12" ht="15.75">
      <c r="A1968" s="23">
        <f t="shared" si="30"/>
        <v>1955</v>
      </c>
      <c r="B1968" s="21">
        <f ca="1">Master[[#This Row],[ChecklistID]]+Master[[#This Row],[Checklist Order]]</f>
        <v>174005</v>
      </c>
      <c r="C1968" s="22"/>
      <c r="D1968" s="23" t="str" cm="1">
        <f t="array" aca="1" ref="D1968" ca="1">_xlfn.SWITCH(MID(Master[[#This Row],[Checklist]],1,4),"C - ","Civil","F - ","Foundation","ST -","Structure","FC -","Façade","PRE ","Pre-Line","POST","Post-Line","H - ","Handover","S - ","Services","CST ","Completion Docs", "I - ", "Inspection")</f>
        <v>Pre-Line</v>
      </c>
      <c r="E19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8" s="24" t="str">
        <f ca="1">IF(OR(Master[[#This Row],[Type]]="checklist", Master[[#This Row],[Type]]="checklist-flat"), Master[[#This Row],[Name]], F1967)</f>
        <v>PRE - S - First Fix - Ventilation</v>
      </c>
      <c r="G1968" s="34" t="s">
        <v>49</v>
      </c>
      <c r="H1968" s="34" t="s">
        <v>992</v>
      </c>
      <c r="I1968" s="35"/>
      <c r="J1968" s="21">
        <f ca="1">_xlfn.XLOOKUP(Master[[#This Row],[Checklist]],Ref!A:A,Ref!B:B)*1000</f>
        <v>174000</v>
      </c>
      <c r="K1968" s="21">
        <f ca="1">COUNTIF($J$2:Master[[#This Row],[ChecklistID]],Master[[#This Row],[ChecklistID]])-1</f>
        <v>5</v>
      </c>
      <c r="L1968" s="23" t="s">
        <v>6</v>
      </c>
    </row>
    <row r="1969" spans="1:12" ht="15.75">
      <c r="A1969" s="23">
        <f t="shared" si="30"/>
        <v>1956</v>
      </c>
      <c r="B1969" s="21">
        <f ca="1">Master[[#This Row],[ChecklistID]]+Master[[#This Row],[Checklist Order]]</f>
        <v>174006</v>
      </c>
      <c r="C1969" s="22"/>
      <c r="D1969" s="23" t="str" cm="1">
        <f t="array" aca="1" ref="D1969" ca="1">_xlfn.SWITCH(MID(Master[[#This Row],[Checklist]],1,4),"C - ","Civil","F - ","Foundation","ST -","Structure","FC -","Façade","PRE ","Pre-Line","POST","Post-Line","H - ","Handover","S - ","Services","CST ","Completion Docs", "I - ", "Inspection")</f>
        <v>Pre-Line</v>
      </c>
      <c r="E19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69" s="24" t="str">
        <f ca="1">IF(OR(Master[[#This Row],[Type]]="checklist", Master[[#This Row],[Type]]="checklist-flat"), Master[[#This Row],[Name]], F1968)</f>
        <v>PRE - S - First Fix - Ventilation</v>
      </c>
      <c r="G1969" s="34" t="s">
        <v>49</v>
      </c>
      <c r="H1969" s="34" t="s">
        <v>993</v>
      </c>
      <c r="I1969" s="35"/>
      <c r="J1969" s="21">
        <f ca="1">_xlfn.XLOOKUP(Master[[#This Row],[Checklist]],Ref!A:A,Ref!B:B)*1000</f>
        <v>174000</v>
      </c>
      <c r="K1969" s="21">
        <f ca="1">COUNTIF($J$2:Master[[#This Row],[ChecklistID]],Master[[#This Row],[ChecklistID]])-1</f>
        <v>6</v>
      </c>
      <c r="L1969" s="23" t="s">
        <v>6</v>
      </c>
    </row>
    <row r="1970" spans="1:12" ht="15.75">
      <c r="A1970" s="23">
        <f t="shared" si="30"/>
        <v>1957</v>
      </c>
      <c r="B1970" s="21">
        <f ca="1">Master[[#This Row],[ChecklistID]]+Master[[#This Row],[Checklist Order]]</f>
        <v>174007</v>
      </c>
      <c r="C1970" s="22"/>
      <c r="D1970" s="23" t="str" cm="1">
        <f t="array" aca="1" ref="D1970" ca="1">_xlfn.SWITCH(MID(Master[[#This Row],[Checklist]],1,4),"C - ","Civil","F - ","Foundation","ST -","Structure","FC -","Façade","PRE ","Pre-Line","POST","Post-Line","H - ","Handover","S - ","Services","CST ","Completion Docs", "I - ", "Inspection")</f>
        <v>Pre-Line</v>
      </c>
      <c r="E19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0" s="24" t="str">
        <f ca="1">IF(OR(Master[[#This Row],[Type]]="checklist", Master[[#This Row],[Type]]="checklist-flat"), Master[[#This Row],[Name]], F1969)</f>
        <v>PRE - S - First Fix - Ventilation</v>
      </c>
      <c r="G1970" s="34" t="s">
        <v>49</v>
      </c>
      <c r="H1970" s="34" t="s">
        <v>994</v>
      </c>
      <c r="I1970" s="35"/>
      <c r="J1970" s="21">
        <f ca="1">_xlfn.XLOOKUP(Master[[#This Row],[Checklist]],Ref!A:A,Ref!B:B)*1000</f>
        <v>174000</v>
      </c>
      <c r="K1970" s="21">
        <f ca="1">COUNTIF($J$2:Master[[#This Row],[ChecklistID]],Master[[#This Row],[ChecklistID]])-1</f>
        <v>7</v>
      </c>
      <c r="L1970" s="23" t="s">
        <v>6</v>
      </c>
    </row>
    <row r="1971" spans="1:12" ht="15.75">
      <c r="A1971" s="23">
        <f t="shared" si="30"/>
        <v>1958</v>
      </c>
      <c r="B1971" s="21">
        <f ca="1">Master[[#This Row],[ChecklistID]]+Master[[#This Row],[Checklist Order]]</f>
        <v>174008</v>
      </c>
      <c r="C1971" s="22"/>
      <c r="D1971" s="23" t="str" cm="1">
        <f t="array" aca="1" ref="D1971" ca="1">_xlfn.SWITCH(MID(Master[[#This Row],[Checklist]],1,4),"C - ","Civil","F - ","Foundation","ST -","Structure","FC -","Façade","PRE ","Pre-Line","POST","Post-Line","H - ","Handover","S - ","Services","CST ","Completion Docs", "I - ", "Inspection")</f>
        <v>Pre-Line</v>
      </c>
      <c r="E19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1" s="24" t="str">
        <f ca="1">IF(OR(Master[[#This Row],[Type]]="checklist", Master[[#This Row],[Type]]="checklist-flat"), Master[[#This Row],[Name]], F1970)</f>
        <v>PRE - S - First Fix - Ventilation</v>
      </c>
      <c r="G1971" s="34" t="s">
        <v>49</v>
      </c>
      <c r="H1971" s="34" t="s">
        <v>995</v>
      </c>
      <c r="I1971" s="35"/>
      <c r="J1971" s="21">
        <f ca="1">_xlfn.XLOOKUP(Master[[#This Row],[Checklist]],Ref!A:A,Ref!B:B)*1000</f>
        <v>174000</v>
      </c>
      <c r="K1971" s="21">
        <f ca="1">COUNTIF($J$2:Master[[#This Row],[ChecklistID]],Master[[#This Row],[ChecklistID]])-1</f>
        <v>8</v>
      </c>
      <c r="L1971" s="23" t="s">
        <v>6</v>
      </c>
    </row>
    <row r="1972" spans="1:12" ht="15.75">
      <c r="A1972" s="23">
        <f t="shared" ref="A1972:A2035" si="31">IFERROR(A1971+1,1)</f>
        <v>1959</v>
      </c>
      <c r="B1972" s="21">
        <f ca="1">Master[[#This Row],[ChecklistID]]+Master[[#This Row],[Checklist Order]]</f>
        <v>174009</v>
      </c>
      <c r="C1972" s="22"/>
      <c r="D1972" s="23" t="str" cm="1">
        <f t="array" aca="1" ref="D1972" ca="1">_xlfn.SWITCH(MID(Master[[#This Row],[Checklist]],1,4),"C - ","Civil","F - ","Foundation","ST -","Structure","FC -","Façade","PRE ","Pre-Line","POST","Post-Line","H - ","Handover","S - ","Services","CST ","Completion Docs", "I - ", "Inspection")</f>
        <v>Pre-Line</v>
      </c>
      <c r="E19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2" s="24" t="str">
        <f ca="1">IF(OR(Master[[#This Row],[Type]]="checklist", Master[[#This Row],[Type]]="checklist-flat"), Master[[#This Row],[Name]], F1971)</f>
        <v>PRE - S - First Fix - Ventilation</v>
      </c>
      <c r="G1972" s="34" t="s">
        <v>49</v>
      </c>
      <c r="H1972" s="34" t="s">
        <v>57</v>
      </c>
      <c r="I1972" s="35"/>
      <c r="J1972" s="21">
        <f ca="1">_xlfn.XLOOKUP(Master[[#This Row],[Checklist]],Ref!A:A,Ref!B:B)*1000</f>
        <v>174000</v>
      </c>
      <c r="K1972" s="21">
        <f ca="1">COUNTIF($J$2:Master[[#This Row],[ChecklistID]],Master[[#This Row],[ChecklistID]])-1</f>
        <v>9</v>
      </c>
      <c r="L1972" s="23" t="s">
        <v>6</v>
      </c>
    </row>
    <row r="1973" spans="1:12" ht="15.75">
      <c r="A1973" s="23">
        <f t="shared" si="31"/>
        <v>1960</v>
      </c>
      <c r="B1973" s="21">
        <f ca="1">Master[[#This Row],[ChecklistID]]+Master[[#This Row],[Checklist Order]]</f>
        <v>174010</v>
      </c>
      <c r="C1973" s="22"/>
      <c r="D1973" s="23" t="str" cm="1">
        <f t="array" aca="1" ref="D1973" ca="1">_xlfn.SWITCH(MID(Master[[#This Row],[Checklist]],1,4),"C - ","Civil","F - ","Foundation","ST -","Structure","FC -","Façade","PRE ","Pre-Line","POST","Post-Line","H - ","Handover","S - ","Services","CST ","Completion Docs", "I - ", "Inspection")</f>
        <v>Pre-Line</v>
      </c>
      <c r="E19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3" s="24" t="str">
        <f ca="1">IF(OR(Master[[#This Row],[Type]]="checklist", Master[[#This Row],[Type]]="checklist-flat"), Master[[#This Row],[Name]], F1972)</f>
        <v>PRE - S - First Fix - Ventilation</v>
      </c>
      <c r="G1973" s="34" t="s">
        <v>58</v>
      </c>
      <c r="H1973" s="34" t="s">
        <v>59</v>
      </c>
      <c r="I1973" s="35"/>
      <c r="J1973" s="21">
        <f ca="1">_xlfn.XLOOKUP(Master[[#This Row],[Checklist]],Ref!A:A,Ref!B:B)*1000</f>
        <v>174000</v>
      </c>
      <c r="K1973" s="21">
        <f ca="1">COUNTIF($J$2:Master[[#This Row],[ChecklistID]],Master[[#This Row],[ChecklistID]])-1</f>
        <v>10</v>
      </c>
      <c r="L1973" s="23" t="s">
        <v>6</v>
      </c>
    </row>
    <row r="1974" spans="1:12" ht="15.75">
      <c r="A1974" s="23">
        <f t="shared" si="31"/>
        <v>1961</v>
      </c>
      <c r="B1974" s="21">
        <f ca="1">Master[[#This Row],[ChecklistID]]+Master[[#This Row],[Checklist Order]]</f>
        <v>175000</v>
      </c>
      <c r="C1974" s="22"/>
      <c r="D1974" s="23" t="str" cm="1">
        <f t="array" aca="1" ref="D1974" ca="1">_xlfn.SWITCH(MID(Master[[#This Row],[Checklist]],1,4),"C - ","Civil","F - ","Foundation","ST -","Structure","FC -","Façade","PRE ","Pre-Line","POST","Post-Line","H - ","Handover","S - ","Services","CST ","Completion Docs", "I - ", "Inspection")</f>
        <v>Pre-Line</v>
      </c>
      <c r="E19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4" s="24" t="str">
        <f ca="1">IF(OR(Master[[#This Row],[Type]]="checklist", Master[[#This Row],[Type]]="checklist-flat"), Master[[#This Row],[Name]], F1973)</f>
        <v>PRE - S - First Fix - Air Conditioning</v>
      </c>
      <c r="G1974" s="34" t="s">
        <v>48</v>
      </c>
      <c r="H1974" s="34" t="s">
        <v>996</v>
      </c>
      <c r="I1974" s="35"/>
      <c r="J1974" s="21">
        <f ca="1">_xlfn.XLOOKUP(Master[[#This Row],[Checklist]],Ref!A:A,Ref!B:B)*1000</f>
        <v>175000</v>
      </c>
      <c r="K1974" s="21">
        <f ca="1">COUNTIF($J$2:Master[[#This Row],[ChecklistID]],Master[[#This Row],[ChecklistID]])-1</f>
        <v>0</v>
      </c>
      <c r="L1974" s="23" t="s">
        <v>6</v>
      </c>
    </row>
    <row r="1975" spans="1:12" ht="15.75">
      <c r="A1975" s="23">
        <f t="shared" si="31"/>
        <v>1962</v>
      </c>
      <c r="B1975" s="21">
        <f ca="1">Master[[#This Row],[ChecklistID]]+Master[[#This Row],[Checklist Order]]</f>
        <v>175001</v>
      </c>
      <c r="C1975" s="22"/>
      <c r="D1975" s="23" t="str" cm="1">
        <f t="array" aca="1" ref="D1975" ca="1">_xlfn.SWITCH(MID(Master[[#This Row],[Checklist]],1,4),"C - ","Civil","F - ","Foundation","ST -","Structure","FC -","Façade","PRE ","Pre-Line","POST","Post-Line","H - ","Handover","S - ","Services","CST ","Completion Docs", "I - ", "Inspection")</f>
        <v>Pre-Line</v>
      </c>
      <c r="E19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5" s="24" t="str">
        <f ca="1">IF(OR(Master[[#This Row],[Type]]="checklist", Master[[#This Row],[Type]]="checklist-flat"), Master[[#This Row],[Name]], F1974)</f>
        <v>PRE - S - First Fix - Air Conditioning</v>
      </c>
      <c r="G1975" s="34" t="s">
        <v>49</v>
      </c>
      <c r="H1975" s="34" t="s">
        <v>997</v>
      </c>
      <c r="I1975" s="35"/>
      <c r="J1975" s="21">
        <f ca="1">_xlfn.XLOOKUP(Master[[#This Row],[Checklist]],Ref!A:A,Ref!B:B)*1000</f>
        <v>175000</v>
      </c>
      <c r="K1975" s="21">
        <f ca="1">COUNTIF($J$2:Master[[#This Row],[ChecklistID]],Master[[#This Row],[ChecklistID]])-1</f>
        <v>1</v>
      </c>
      <c r="L1975" s="23" t="s">
        <v>6</v>
      </c>
    </row>
    <row r="1976" spans="1:12" ht="15.75">
      <c r="A1976" s="23">
        <f t="shared" si="31"/>
        <v>1963</v>
      </c>
      <c r="B1976" s="21">
        <f ca="1">Master[[#This Row],[ChecklistID]]+Master[[#This Row],[Checklist Order]]</f>
        <v>175002</v>
      </c>
      <c r="C1976" s="22"/>
      <c r="D1976" s="23" t="str" cm="1">
        <f t="array" aca="1" ref="D1976" ca="1">_xlfn.SWITCH(MID(Master[[#This Row],[Checklist]],1,4),"C - ","Civil","F - ","Foundation","ST -","Structure","FC -","Façade","PRE ","Pre-Line","POST","Post-Line","H - ","Handover","S - ","Services","CST ","Completion Docs", "I - ", "Inspection")</f>
        <v>Pre-Line</v>
      </c>
      <c r="E19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6" s="24" t="str">
        <f ca="1">IF(OR(Master[[#This Row],[Type]]="checklist", Master[[#This Row],[Type]]="checklist-flat"), Master[[#This Row],[Name]], F1975)</f>
        <v>PRE - S - First Fix - Air Conditioning</v>
      </c>
      <c r="G1976" s="34" t="s">
        <v>49</v>
      </c>
      <c r="H1976" s="34" t="s">
        <v>998</v>
      </c>
      <c r="I1976" s="35"/>
      <c r="J1976" s="21">
        <f ca="1">_xlfn.XLOOKUP(Master[[#This Row],[Checklist]],Ref!A:A,Ref!B:B)*1000</f>
        <v>175000</v>
      </c>
      <c r="K1976" s="21">
        <f ca="1">COUNTIF($J$2:Master[[#This Row],[ChecklistID]],Master[[#This Row],[ChecklistID]])-1</f>
        <v>2</v>
      </c>
      <c r="L1976" s="23" t="s">
        <v>6</v>
      </c>
    </row>
    <row r="1977" spans="1:12" ht="15.75">
      <c r="A1977" s="23">
        <f t="shared" si="31"/>
        <v>1964</v>
      </c>
      <c r="B1977" s="21">
        <f ca="1">Master[[#This Row],[ChecklistID]]+Master[[#This Row],[Checklist Order]]</f>
        <v>175003</v>
      </c>
      <c r="C1977" s="22"/>
      <c r="D1977" s="23" t="str" cm="1">
        <f t="array" aca="1" ref="D1977" ca="1">_xlfn.SWITCH(MID(Master[[#This Row],[Checklist]],1,4),"C - ","Civil","F - ","Foundation","ST -","Structure","FC -","Façade","PRE ","Pre-Line","POST","Post-Line","H - ","Handover","S - ","Services","CST ","Completion Docs", "I - ", "Inspection")</f>
        <v>Pre-Line</v>
      </c>
      <c r="E19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7" s="24" t="str">
        <f ca="1">IF(OR(Master[[#This Row],[Type]]="checklist", Master[[#This Row],[Type]]="checklist-flat"), Master[[#This Row],[Name]], F1976)</f>
        <v>PRE - S - First Fix - Air Conditioning</v>
      </c>
      <c r="G1977" s="34" t="s">
        <v>49</v>
      </c>
      <c r="H1977" s="34" t="s">
        <v>693</v>
      </c>
      <c r="I1977" s="35"/>
      <c r="J1977" s="21">
        <f ca="1">_xlfn.XLOOKUP(Master[[#This Row],[Checklist]],Ref!A:A,Ref!B:B)*1000</f>
        <v>175000</v>
      </c>
      <c r="K1977" s="21">
        <f ca="1">COUNTIF($J$2:Master[[#This Row],[ChecklistID]],Master[[#This Row],[ChecklistID]])-1</f>
        <v>3</v>
      </c>
      <c r="L1977" s="23" t="s">
        <v>6</v>
      </c>
    </row>
    <row r="1978" spans="1:12" ht="15.75">
      <c r="A1978" s="23">
        <f t="shared" si="31"/>
        <v>1965</v>
      </c>
      <c r="B1978" s="21">
        <f ca="1">Master[[#This Row],[ChecklistID]]+Master[[#This Row],[Checklist Order]]</f>
        <v>175004</v>
      </c>
      <c r="C1978" s="22"/>
      <c r="D1978" s="23" t="str" cm="1">
        <f t="array" aca="1" ref="D1978" ca="1">_xlfn.SWITCH(MID(Master[[#This Row],[Checklist]],1,4),"C - ","Civil","F - ","Foundation","ST -","Structure","FC -","Façade","PRE ","Pre-Line","POST","Post-Line","H - ","Handover","S - ","Services","CST ","Completion Docs", "I - ", "Inspection")</f>
        <v>Pre-Line</v>
      </c>
      <c r="E19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8" s="24" t="str">
        <f ca="1">IF(OR(Master[[#This Row],[Type]]="checklist", Master[[#This Row],[Type]]="checklist-flat"), Master[[#This Row],[Name]], F1977)</f>
        <v>PRE - S - First Fix - Air Conditioning</v>
      </c>
      <c r="G1978" s="34" t="s">
        <v>49</v>
      </c>
      <c r="H1978" s="34" t="s">
        <v>999</v>
      </c>
      <c r="I1978" s="35"/>
      <c r="J1978" s="21">
        <f ca="1">_xlfn.XLOOKUP(Master[[#This Row],[Checklist]],Ref!A:A,Ref!B:B)*1000</f>
        <v>175000</v>
      </c>
      <c r="K1978" s="21">
        <f ca="1">COUNTIF($J$2:Master[[#This Row],[ChecklistID]],Master[[#This Row],[ChecklistID]])-1</f>
        <v>4</v>
      </c>
      <c r="L1978" s="23" t="s">
        <v>6</v>
      </c>
    </row>
    <row r="1979" spans="1:12" ht="15.75">
      <c r="A1979" s="23">
        <f t="shared" si="31"/>
        <v>1966</v>
      </c>
      <c r="B1979" s="21">
        <f ca="1">Master[[#This Row],[ChecklistID]]+Master[[#This Row],[Checklist Order]]</f>
        <v>175005</v>
      </c>
      <c r="C1979" s="22"/>
      <c r="D1979" s="23" t="str" cm="1">
        <f t="array" aca="1" ref="D1979" ca="1">_xlfn.SWITCH(MID(Master[[#This Row],[Checklist]],1,4),"C - ","Civil","F - ","Foundation","ST -","Structure","FC -","Façade","PRE ","Pre-Line","POST","Post-Line","H - ","Handover","S - ","Services","CST ","Completion Docs", "I - ", "Inspection")</f>
        <v>Pre-Line</v>
      </c>
      <c r="E19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79" s="24" t="str">
        <f ca="1">IF(OR(Master[[#This Row],[Type]]="checklist", Master[[#This Row],[Type]]="checklist-flat"), Master[[#This Row],[Name]], F1978)</f>
        <v>PRE - S - First Fix - Air Conditioning</v>
      </c>
      <c r="G1979" s="34" t="s">
        <v>49</v>
      </c>
      <c r="H1979" s="34" t="s">
        <v>1000</v>
      </c>
      <c r="I1979" s="35"/>
      <c r="J1979" s="21">
        <f ca="1">_xlfn.XLOOKUP(Master[[#This Row],[Checklist]],Ref!A:A,Ref!B:B)*1000</f>
        <v>175000</v>
      </c>
      <c r="K1979" s="21">
        <f ca="1">COUNTIF($J$2:Master[[#This Row],[ChecklistID]],Master[[#This Row],[ChecklistID]])-1</f>
        <v>5</v>
      </c>
      <c r="L1979" s="23" t="s">
        <v>6</v>
      </c>
    </row>
    <row r="1980" spans="1:12" ht="15.75">
      <c r="A1980" s="23">
        <f t="shared" si="31"/>
        <v>1967</v>
      </c>
      <c r="B1980" s="21">
        <f ca="1">Master[[#This Row],[ChecklistID]]+Master[[#This Row],[Checklist Order]]</f>
        <v>175006</v>
      </c>
      <c r="C1980" s="22"/>
      <c r="D1980" s="23" t="str" cm="1">
        <f t="array" aca="1" ref="D1980" ca="1">_xlfn.SWITCH(MID(Master[[#This Row],[Checklist]],1,4),"C - ","Civil","F - ","Foundation","ST -","Structure","FC -","Façade","PRE ","Pre-Line","POST","Post-Line","H - ","Handover","S - ","Services","CST ","Completion Docs", "I - ", "Inspection")</f>
        <v>Pre-Line</v>
      </c>
      <c r="E19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0" s="24" t="str">
        <f ca="1">IF(OR(Master[[#This Row],[Type]]="checklist", Master[[#This Row],[Type]]="checklist-flat"), Master[[#This Row],[Name]], F1979)</f>
        <v>PRE - S - First Fix - Air Conditioning</v>
      </c>
      <c r="G1980" s="34" t="s">
        <v>49</v>
      </c>
      <c r="H1980" s="34" t="s">
        <v>995</v>
      </c>
      <c r="I1980" s="35"/>
      <c r="J1980" s="21">
        <f ca="1">_xlfn.XLOOKUP(Master[[#This Row],[Checklist]],Ref!A:A,Ref!B:B)*1000</f>
        <v>175000</v>
      </c>
      <c r="K1980" s="21">
        <f ca="1">COUNTIF($J$2:Master[[#This Row],[ChecklistID]],Master[[#This Row],[ChecklistID]])-1</f>
        <v>6</v>
      </c>
      <c r="L1980" s="23" t="s">
        <v>6</v>
      </c>
    </row>
    <row r="1981" spans="1:12" ht="15.75">
      <c r="A1981" s="23">
        <f t="shared" si="31"/>
        <v>1968</v>
      </c>
      <c r="B1981" s="21">
        <f ca="1">Master[[#This Row],[ChecklistID]]+Master[[#This Row],[Checklist Order]]</f>
        <v>175007</v>
      </c>
      <c r="C1981" s="22"/>
      <c r="D1981" s="23" t="str" cm="1">
        <f t="array" aca="1" ref="D1981" ca="1">_xlfn.SWITCH(MID(Master[[#This Row],[Checklist]],1,4),"C - ","Civil","F - ","Foundation","ST -","Structure","FC -","Façade","PRE ","Pre-Line","POST","Post-Line","H - ","Handover","S - ","Services","CST ","Completion Docs", "I - ", "Inspection")</f>
        <v>Pre-Line</v>
      </c>
      <c r="E19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1" s="24" t="str">
        <f ca="1">IF(OR(Master[[#This Row],[Type]]="checklist", Master[[#This Row],[Type]]="checklist-flat"), Master[[#This Row],[Name]], F1980)</f>
        <v>PRE - S - First Fix - Air Conditioning</v>
      </c>
      <c r="G1981" s="34" t="s">
        <v>49</v>
      </c>
      <c r="H1981" s="34" t="s">
        <v>57</v>
      </c>
      <c r="I1981" s="35"/>
      <c r="J1981" s="21">
        <f ca="1">_xlfn.XLOOKUP(Master[[#This Row],[Checklist]],Ref!A:A,Ref!B:B)*1000</f>
        <v>175000</v>
      </c>
      <c r="K1981" s="21">
        <f ca="1">COUNTIF($J$2:Master[[#This Row],[ChecklistID]],Master[[#This Row],[ChecklistID]])-1</f>
        <v>7</v>
      </c>
      <c r="L1981" s="23" t="s">
        <v>6</v>
      </c>
    </row>
    <row r="1982" spans="1:12" ht="15.75">
      <c r="A1982" s="23">
        <f t="shared" si="31"/>
        <v>1969</v>
      </c>
      <c r="B1982" s="21">
        <f ca="1">Master[[#This Row],[ChecklistID]]+Master[[#This Row],[Checklist Order]]</f>
        <v>175008</v>
      </c>
      <c r="C1982" s="22"/>
      <c r="D1982" s="23" t="str" cm="1">
        <f t="array" aca="1" ref="D1982" ca="1">_xlfn.SWITCH(MID(Master[[#This Row],[Checklist]],1,4),"C - ","Civil","F - ","Foundation","ST -","Structure","FC -","Façade","PRE ","Pre-Line","POST","Post-Line","H - ","Handover","S - ","Services","CST ","Completion Docs", "I - ", "Inspection")</f>
        <v>Pre-Line</v>
      </c>
      <c r="E19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2" s="24" t="str">
        <f ca="1">IF(OR(Master[[#This Row],[Type]]="checklist", Master[[#This Row],[Type]]="checklist-flat"), Master[[#This Row],[Name]], F1981)</f>
        <v>PRE - S - First Fix - Air Conditioning</v>
      </c>
      <c r="G1982" s="34" t="s">
        <v>58</v>
      </c>
      <c r="H1982" s="34" t="s">
        <v>59</v>
      </c>
      <c r="I1982" s="35"/>
      <c r="J1982" s="21">
        <f ca="1">_xlfn.XLOOKUP(Master[[#This Row],[Checklist]],Ref!A:A,Ref!B:B)*1000</f>
        <v>175000</v>
      </c>
      <c r="K1982" s="21">
        <f ca="1">COUNTIF($J$2:Master[[#This Row],[ChecklistID]],Master[[#This Row],[ChecklistID]])-1</f>
        <v>8</v>
      </c>
      <c r="L1982" s="23" t="s">
        <v>6</v>
      </c>
    </row>
    <row r="1983" spans="1:12" ht="15.75">
      <c r="A1983" s="23">
        <f t="shared" si="31"/>
        <v>1970</v>
      </c>
      <c r="B1983" s="21">
        <f ca="1">Master[[#This Row],[ChecklistID]]+Master[[#This Row],[Checklist Order]]</f>
        <v>176000</v>
      </c>
      <c r="C1983" s="22"/>
      <c r="D1983" s="23" t="str" cm="1">
        <f t="array" aca="1" ref="D1983" ca="1">_xlfn.SWITCH(MID(Master[[#This Row],[Checklist]],1,4),"C - ","Civil","F - ","Foundation","ST -","Structure","FC -","Façade","PRE ","Pre-Line","POST","Post-Line","H - ","Handover","S - ","Services","CST ","Completion Docs", "I - ", "Inspection")</f>
        <v>Pre-Line</v>
      </c>
      <c r="E19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3" s="24" t="str">
        <f ca="1">IF(OR(Master[[#This Row],[Type]]="checklist", Master[[#This Row],[Type]]="checklist-flat"), Master[[#This Row],[Name]], F1982)</f>
        <v>PRE - S - First Fix - Electrical</v>
      </c>
      <c r="G1983" s="34" t="s">
        <v>48</v>
      </c>
      <c r="H1983" s="34" t="s">
        <v>1001</v>
      </c>
      <c r="I1983" s="35"/>
      <c r="J1983" s="21">
        <f ca="1">_xlfn.XLOOKUP(Master[[#This Row],[Checklist]],Ref!A:A,Ref!B:B)*1000</f>
        <v>176000</v>
      </c>
      <c r="K1983" s="21">
        <f ca="1">COUNTIF($J$2:Master[[#This Row],[ChecklistID]],Master[[#This Row],[ChecklistID]])-1</f>
        <v>0</v>
      </c>
      <c r="L1983" s="23" t="s">
        <v>6</v>
      </c>
    </row>
    <row r="1984" spans="1:12" ht="15.75">
      <c r="A1984" s="23">
        <f t="shared" si="31"/>
        <v>1971</v>
      </c>
      <c r="B1984" s="21">
        <f ca="1">Master[[#This Row],[ChecklistID]]+Master[[#This Row],[Checklist Order]]</f>
        <v>176001</v>
      </c>
      <c r="C1984" s="22"/>
      <c r="D1984" s="23" t="str" cm="1">
        <f t="array" aca="1" ref="D1984" ca="1">_xlfn.SWITCH(MID(Master[[#This Row],[Checklist]],1,4),"C - ","Civil","F - ","Foundation","ST -","Structure","FC -","Façade","PRE ","Pre-Line","POST","Post-Line","H - ","Handover","S - ","Services","CST ","Completion Docs", "I - ", "Inspection")</f>
        <v>Pre-Line</v>
      </c>
      <c r="E19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4" s="24" t="str">
        <f ca="1">IF(OR(Master[[#This Row],[Type]]="checklist", Master[[#This Row],[Type]]="checklist-flat"), Master[[#This Row],[Name]], F1983)</f>
        <v>PRE - S - First Fix - Electrical</v>
      </c>
      <c r="G1984" s="34" t="s">
        <v>49</v>
      </c>
      <c r="H1984" s="34" t="s">
        <v>750</v>
      </c>
      <c r="I1984" s="35"/>
      <c r="J1984" s="21">
        <f ca="1">_xlfn.XLOOKUP(Master[[#This Row],[Checklist]],Ref!A:A,Ref!B:B)*1000</f>
        <v>176000</v>
      </c>
      <c r="K1984" s="21">
        <f ca="1">COUNTIF($J$2:Master[[#This Row],[ChecklistID]],Master[[#This Row],[ChecklistID]])-1</f>
        <v>1</v>
      </c>
      <c r="L1984" s="23" t="s">
        <v>6</v>
      </c>
    </row>
    <row r="1985" spans="1:12" ht="15.75">
      <c r="A1985" s="23">
        <f t="shared" si="31"/>
        <v>1972</v>
      </c>
      <c r="B1985" s="21">
        <f ca="1">Master[[#This Row],[ChecklistID]]+Master[[#This Row],[Checklist Order]]</f>
        <v>176002</v>
      </c>
      <c r="C1985" s="22"/>
      <c r="D1985" s="23" t="str" cm="1">
        <f t="array" aca="1" ref="D1985" ca="1">_xlfn.SWITCH(MID(Master[[#This Row],[Checklist]],1,4),"C - ","Civil","F - ","Foundation","ST -","Structure","FC -","Façade","PRE ","Pre-Line","POST","Post-Line","H - ","Handover","S - ","Services","CST ","Completion Docs", "I - ", "Inspection")</f>
        <v>Pre-Line</v>
      </c>
      <c r="E19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5" s="24" t="str">
        <f ca="1">IF(OR(Master[[#This Row],[Type]]="checklist", Master[[#This Row],[Type]]="checklist-flat"), Master[[#This Row],[Name]], F1984)</f>
        <v>PRE - S - First Fix - Electrical</v>
      </c>
      <c r="G1985" s="34" t="s">
        <v>49</v>
      </c>
      <c r="H1985" s="34" t="s">
        <v>751</v>
      </c>
      <c r="I1985" s="35"/>
      <c r="J1985" s="21">
        <f ca="1">_xlfn.XLOOKUP(Master[[#This Row],[Checklist]],Ref!A:A,Ref!B:B)*1000</f>
        <v>176000</v>
      </c>
      <c r="K1985" s="21">
        <f ca="1">COUNTIF($J$2:Master[[#This Row],[ChecklistID]],Master[[#This Row],[ChecklistID]])-1</f>
        <v>2</v>
      </c>
      <c r="L1985" s="23" t="s">
        <v>6</v>
      </c>
    </row>
    <row r="1986" spans="1:12" ht="15.75">
      <c r="A1986" s="23">
        <f t="shared" si="31"/>
        <v>1973</v>
      </c>
      <c r="B1986" s="21">
        <f ca="1">Master[[#This Row],[ChecklistID]]+Master[[#This Row],[Checklist Order]]</f>
        <v>176003</v>
      </c>
      <c r="C1986" s="22"/>
      <c r="D1986" s="23" t="str" cm="1">
        <f t="array" aca="1" ref="D1986" ca="1">_xlfn.SWITCH(MID(Master[[#This Row],[Checklist]],1,4),"C - ","Civil","F - ","Foundation","ST -","Structure","FC -","Façade","PRE ","Pre-Line","POST","Post-Line","H - ","Handover","S - ","Services","CST ","Completion Docs", "I - ", "Inspection")</f>
        <v>Pre-Line</v>
      </c>
      <c r="E19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6" s="24" t="str">
        <f ca="1">IF(OR(Master[[#This Row],[Type]]="checklist", Master[[#This Row],[Type]]="checklist-flat"), Master[[#This Row],[Name]], F1985)</f>
        <v>PRE - S - First Fix - Electrical</v>
      </c>
      <c r="G1986" s="34" t="s">
        <v>49</v>
      </c>
      <c r="H1986" s="34" t="s">
        <v>1002</v>
      </c>
      <c r="I1986" s="35"/>
      <c r="J1986" s="21">
        <f ca="1">_xlfn.XLOOKUP(Master[[#This Row],[Checklist]],Ref!A:A,Ref!B:B)*1000</f>
        <v>176000</v>
      </c>
      <c r="K1986" s="21">
        <f ca="1">COUNTIF($J$2:Master[[#This Row],[ChecklistID]],Master[[#This Row],[ChecklistID]])-1</f>
        <v>3</v>
      </c>
      <c r="L1986" s="23" t="s">
        <v>6</v>
      </c>
    </row>
    <row r="1987" spans="1:12" ht="15.75">
      <c r="A1987" s="23">
        <f t="shared" si="31"/>
        <v>1974</v>
      </c>
      <c r="B1987" s="21">
        <f ca="1">Master[[#This Row],[ChecklistID]]+Master[[#This Row],[Checklist Order]]</f>
        <v>176004</v>
      </c>
      <c r="C1987" s="22"/>
      <c r="D1987" s="23" t="str" cm="1">
        <f t="array" aca="1" ref="D1987" ca="1">_xlfn.SWITCH(MID(Master[[#This Row],[Checklist]],1,4),"C - ","Civil","F - ","Foundation","ST -","Structure","FC -","Façade","PRE ","Pre-Line","POST","Post-Line","H - ","Handover","S - ","Services","CST ","Completion Docs", "I - ", "Inspection")</f>
        <v>Pre-Line</v>
      </c>
      <c r="E19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7" s="24" t="str">
        <f ca="1">IF(OR(Master[[#This Row],[Type]]="checklist", Master[[#This Row],[Type]]="checklist-flat"), Master[[#This Row],[Name]], F1986)</f>
        <v>PRE - S - First Fix - Electrical</v>
      </c>
      <c r="G1987" s="34" t="s">
        <v>49</v>
      </c>
      <c r="H1987" s="34" t="s">
        <v>753</v>
      </c>
      <c r="I1987" s="35"/>
      <c r="J1987" s="21">
        <f ca="1">_xlfn.XLOOKUP(Master[[#This Row],[Checklist]],Ref!A:A,Ref!B:B)*1000</f>
        <v>176000</v>
      </c>
      <c r="K1987" s="21">
        <f ca="1">COUNTIF($J$2:Master[[#This Row],[ChecklistID]],Master[[#This Row],[ChecklistID]])-1</f>
        <v>4</v>
      </c>
      <c r="L1987" s="23" t="s">
        <v>6</v>
      </c>
    </row>
    <row r="1988" spans="1:12" ht="15.75">
      <c r="A1988" s="23">
        <f t="shared" si="31"/>
        <v>1975</v>
      </c>
      <c r="B1988" s="21">
        <f ca="1">Master[[#This Row],[ChecklistID]]+Master[[#This Row],[Checklist Order]]</f>
        <v>176005</v>
      </c>
      <c r="C1988" s="22"/>
      <c r="D1988" s="23" t="str" cm="1">
        <f t="array" aca="1" ref="D1988" ca="1">_xlfn.SWITCH(MID(Master[[#This Row],[Checklist]],1,4),"C - ","Civil","F - ","Foundation","ST -","Structure","FC -","Façade","PRE ","Pre-Line","POST","Post-Line","H - ","Handover","S - ","Services","CST ","Completion Docs", "I - ", "Inspection")</f>
        <v>Pre-Line</v>
      </c>
      <c r="E19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8" s="24" t="str">
        <f ca="1">IF(OR(Master[[#This Row],[Type]]="checklist", Master[[#This Row],[Type]]="checklist-flat"), Master[[#This Row],[Name]], F1987)</f>
        <v>PRE - S - First Fix - Electrical</v>
      </c>
      <c r="G1988" s="34" t="s">
        <v>49</v>
      </c>
      <c r="H1988" s="34" t="s">
        <v>1715</v>
      </c>
      <c r="I1988" s="35"/>
      <c r="J1988" s="21">
        <f ca="1">_xlfn.XLOOKUP(Master[[#This Row],[Checklist]],Ref!A:A,Ref!B:B)*1000</f>
        <v>176000</v>
      </c>
      <c r="K1988" s="21">
        <f ca="1">COUNTIF($J$2:Master[[#This Row],[ChecklistID]],Master[[#This Row],[ChecklistID]])-1</f>
        <v>5</v>
      </c>
      <c r="L1988" s="23" t="s">
        <v>6</v>
      </c>
    </row>
    <row r="1989" spans="1:12" ht="15.75">
      <c r="A1989" s="23">
        <f t="shared" si="31"/>
        <v>1976</v>
      </c>
      <c r="B1989" s="21">
        <f ca="1">Master[[#This Row],[ChecklistID]]+Master[[#This Row],[Checklist Order]]</f>
        <v>176006</v>
      </c>
      <c r="C1989" s="22"/>
      <c r="D1989" s="23" t="str" cm="1">
        <f t="array" aca="1" ref="D1989" ca="1">_xlfn.SWITCH(MID(Master[[#This Row],[Checklist]],1,4),"C - ","Civil","F - ","Foundation","ST -","Structure","FC -","Façade","PRE ","Pre-Line","POST","Post-Line","H - ","Handover","S - ","Services","CST ","Completion Docs", "I - ", "Inspection")</f>
        <v>Pre-Line</v>
      </c>
      <c r="E19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89" s="24" t="str">
        <f ca="1">IF(OR(Master[[#This Row],[Type]]="checklist", Master[[#This Row],[Type]]="checklist-flat"), Master[[#This Row],[Name]], F1988)</f>
        <v>PRE - S - First Fix - Electrical</v>
      </c>
      <c r="G1989" s="34" t="s">
        <v>49</v>
      </c>
      <c r="H1989" s="34" t="s">
        <v>1004</v>
      </c>
      <c r="I1989" s="35"/>
      <c r="J1989" s="21">
        <f ca="1">_xlfn.XLOOKUP(Master[[#This Row],[Checklist]],Ref!A:A,Ref!B:B)*1000</f>
        <v>176000</v>
      </c>
      <c r="K1989" s="21">
        <f ca="1">COUNTIF($J$2:Master[[#This Row],[ChecklistID]],Master[[#This Row],[ChecklistID]])-1</f>
        <v>6</v>
      </c>
      <c r="L1989" s="23" t="s">
        <v>6</v>
      </c>
    </row>
    <row r="1990" spans="1:12" ht="15.75">
      <c r="A1990" s="23">
        <f t="shared" si="31"/>
        <v>1977</v>
      </c>
      <c r="B1990" s="21">
        <f ca="1">Master[[#This Row],[ChecklistID]]+Master[[#This Row],[Checklist Order]]</f>
        <v>176007</v>
      </c>
      <c r="C1990" s="22"/>
      <c r="D1990" s="23" t="str" cm="1">
        <f t="array" aca="1" ref="D1990" ca="1">_xlfn.SWITCH(MID(Master[[#This Row],[Checklist]],1,4),"C - ","Civil","F - ","Foundation","ST -","Structure","FC -","Façade","PRE ","Pre-Line","POST","Post-Line","H - ","Handover","S - ","Services","CST ","Completion Docs", "I - ", "Inspection")</f>
        <v>Pre-Line</v>
      </c>
      <c r="E19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0" s="24" t="str">
        <f ca="1">IF(OR(Master[[#This Row],[Type]]="checklist", Master[[#This Row],[Type]]="checklist-flat"), Master[[#This Row],[Name]], F1989)</f>
        <v>PRE - S - First Fix - Electrical</v>
      </c>
      <c r="G1990" s="34" t="s">
        <v>49</v>
      </c>
      <c r="H1990" s="34" t="s">
        <v>1005</v>
      </c>
      <c r="I1990" s="35"/>
      <c r="J1990" s="21">
        <f ca="1">_xlfn.XLOOKUP(Master[[#This Row],[Checklist]],Ref!A:A,Ref!B:B)*1000</f>
        <v>176000</v>
      </c>
      <c r="K1990" s="21">
        <f ca="1">COUNTIF($J$2:Master[[#This Row],[ChecklistID]],Master[[#This Row],[ChecklistID]])-1</f>
        <v>7</v>
      </c>
      <c r="L1990" s="23" t="s">
        <v>6</v>
      </c>
    </row>
    <row r="1991" spans="1:12" ht="15.75">
      <c r="A1991" s="23">
        <f t="shared" si="31"/>
        <v>1978</v>
      </c>
      <c r="B1991" s="21">
        <f ca="1">Master[[#This Row],[ChecklistID]]+Master[[#This Row],[Checklist Order]]</f>
        <v>176008</v>
      </c>
      <c r="C1991" s="22"/>
      <c r="D1991" s="23" t="str" cm="1">
        <f t="array" aca="1" ref="D1991" ca="1">_xlfn.SWITCH(MID(Master[[#This Row],[Checklist]],1,4),"C - ","Civil","F - ","Foundation","ST -","Structure","FC -","Façade","PRE ","Pre-Line","POST","Post-Line","H - ","Handover","S - ","Services","CST ","Completion Docs", "I - ", "Inspection")</f>
        <v>Pre-Line</v>
      </c>
      <c r="E19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1" s="24" t="str">
        <f ca="1">IF(OR(Master[[#This Row],[Type]]="checklist", Master[[#This Row],[Type]]="checklist-flat"), Master[[#This Row],[Name]], F1990)</f>
        <v>PRE - S - First Fix - Electrical</v>
      </c>
      <c r="G1991" s="34" t="s">
        <v>49</v>
      </c>
      <c r="H1991" s="34" t="s">
        <v>1006</v>
      </c>
      <c r="I1991" s="35"/>
      <c r="J1991" s="21">
        <f ca="1">_xlfn.XLOOKUP(Master[[#This Row],[Checklist]],Ref!A:A,Ref!B:B)*1000</f>
        <v>176000</v>
      </c>
      <c r="K1991" s="21">
        <f ca="1">COUNTIF($J$2:Master[[#This Row],[ChecklistID]],Master[[#This Row],[ChecklistID]])-1</f>
        <v>8</v>
      </c>
      <c r="L1991" s="23" t="s">
        <v>6</v>
      </c>
    </row>
    <row r="1992" spans="1:12" ht="15.75">
      <c r="A1992" s="23">
        <f t="shared" si="31"/>
        <v>1979</v>
      </c>
      <c r="B1992" s="21">
        <f ca="1">Master[[#This Row],[ChecklistID]]+Master[[#This Row],[Checklist Order]]</f>
        <v>176009</v>
      </c>
      <c r="C1992" s="22"/>
      <c r="D1992" s="23" t="str" cm="1">
        <f t="array" aca="1" ref="D1992" ca="1">_xlfn.SWITCH(MID(Master[[#This Row],[Checklist]],1,4),"C - ","Civil","F - ","Foundation","ST -","Structure","FC -","Façade","PRE ","Pre-Line","POST","Post-Line","H - ","Handover","S - ","Services","CST ","Completion Docs", "I - ", "Inspection")</f>
        <v>Pre-Line</v>
      </c>
      <c r="E19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2" s="24" t="str">
        <f ca="1">IF(OR(Master[[#This Row],[Type]]="checklist", Master[[#This Row],[Type]]="checklist-flat"), Master[[#This Row],[Name]], F1991)</f>
        <v>PRE - S - First Fix - Electrical</v>
      </c>
      <c r="G1992" s="34" t="s">
        <v>49</v>
      </c>
      <c r="H1992" s="34" t="s">
        <v>1007</v>
      </c>
      <c r="I1992" s="35"/>
      <c r="J1992" s="21">
        <f ca="1">_xlfn.XLOOKUP(Master[[#This Row],[Checklist]],Ref!A:A,Ref!B:B)*1000</f>
        <v>176000</v>
      </c>
      <c r="K1992" s="21">
        <f ca="1">COUNTIF($J$2:Master[[#This Row],[ChecklistID]],Master[[#This Row],[ChecklistID]])-1</f>
        <v>9</v>
      </c>
      <c r="L1992" s="23" t="s">
        <v>6</v>
      </c>
    </row>
    <row r="1993" spans="1:12" ht="15.75">
      <c r="A1993" s="23">
        <f t="shared" si="31"/>
        <v>1980</v>
      </c>
      <c r="B1993" s="21">
        <f ca="1">Master[[#This Row],[ChecklistID]]+Master[[#This Row],[Checklist Order]]</f>
        <v>176010</v>
      </c>
      <c r="C1993" s="22"/>
      <c r="D1993" s="23" t="str" cm="1">
        <f t="array" aca="1" ref="D1993" ca="1">_xlfn.SWITCH(MID(Master[[#This Row],[Checklist]],1,4),"C - ","Civil","F - ","Foundation","ST -","Structure","FC -","Façade","PRE ","Pre-Line","POST","Post-Line","H - ","Handover","S - ","Services","CST ","Completion Docs", "I - ", "Inspection")</f>
        <v>Pre-Line</v>
      </c>
      <c r="E19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3" s="24" t="str">
        <f ca="1">IF(OR(Master[[#This Row],[Type]]="checklist", Master[[#This Row],[Type]]="checklist-flat"), Master[[#This Row],[Name]], F1992)</f>
        <v>PRE - S - First Fix - Electrical</v>
      </c>
      <c r="G1993" s="34" t="s">
        <v>49</v>
      </c>
      <c r="H1993" s="34" t="s">
        <v>759</v>
      </c>
      <c r="I1993" s="35"/>
      <c r="J1993" s="21">
        <f ca="1">_xlfn.XLOOKUP(Master[[#This Row],[Checklist]],Ref!A:A,Ref!B:B)*1000</f>
        <v>176000</v>
      </c>
      <c r="K1993" s="21">
        <f ca="1">COUNTIF($J$2:Master[[#This Row],[ChecklistID]],Master[[#This Row],[ChecklistID]])-1</f>
        <v>10</v>
      </c>
      <c r="L1993" s="23" t="s">
        <v>6</v>
      </c>
    </row>
    <row r="1994" spans="1:12" ht="15.75">
      <c r="A1994" s="23">
        <f t="shared" si="31"/>
        <v>1981</v>
      </c>
      <c r="B1994" s="21">
        <f ca="1">Master[[#This Row],[ChecklistID]]+Master[[#This Row],[Checklist Order]]</f>
        <v>176011</v>
      </c>
      <c r="C1994" s="22"/>
      <c r="D1994" s="23" t="str" cm="1">
        <f t="array" aca="1" ref="D1994" ca="1">_xlfn.SWITCH(MID(Master[[#This Row],[Checklist]],1,4),"C - ","Civil","F - ","Foundation","ST -","Structure","FC -","Façade","PRE ","Pre-Line","POST","Post-Line","H - ","Handover","S - ","Services","CST ","Completion Docs", "I - ", "Inspection")</f>
        <v>Pre-Line</v>
      </c>
      <c r="E19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4" s="24" t="str">
        <f ca="1">IF(OR(Master[[#This Row],[Type]]="checklist", Master[[#This Row],[Type]]="checklist-flat"), Master[[#This Row],[Name]], F1993)</f>
        <v>PRE - S - First Fix - Electrical</v>
      </c>
      <c r="G1994" s="34" t="s">
        <v>49</v>
      </c>
      <c r="H1994" s="34" t="s">
        <v>57</v>
      </c>
      <c r="I1994" s="35"/>
      <c r="J1994" s="21">
        <f ca="1">_xlfn.XLOOKUP(Master[[#This Row],[Checklist]],Ref!A:A,Ref!B:B)*1000</f>
        <v>176000</v>
      </c>
      <c r="K1994" s="21">
        <f ca="1">COUNTIF($J$2:Master[[#This Row],[ChecklistID]],Master[[#This Row],[ChecklistID]])-1</f>
        <v>11</v>
      </c>
      <c r="L1994" s="23" t="s">
        <v>6</v>
      </c>
    </row>
    <row r="1995" spans="1:12" ht="15.75">
      <c r="A1995" s="23">
        <f t="shared" si="31"/>
        <v>1982</v>
      </c>
      <c r="B1995" s="21">
        <f ca="1">Master[[#This Row],[ChecklistID]]+Master[[#This Row],[Checklist Order]]</f>
        <v>176012</v>
      </c>
      <c r="C1995" s="22"/>
      <c r="D1995" s="23" t="str" cm="1">
        <f t="array" aca="1" ref="D1995" ca="1">_xlfn.SWITCH(MID(Master[[#This Row],[Checklist]],1,4),"C - ","Civil","F - ","Foundation","ST -","Structure","FC -","Façade","PRE ","Pre-Line","POST","Post-Line","H - ","Handover","S - ","Services","CST ","Completion Docs", "I - ", "Inspection")</f>
        <v>Pre-Line</v>
      </c>
      <c r="E19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5" s="24" t="str">
        <f ca="1">IF(OR(Master[[#This Row],[Type]]="checklist", Master[[#This Row],[Type]]="checklist-flat"), Master[[#This Row],[Name]], F1994)</f>
        <v>PRE - S - First Fix - Electrical</v>
      </c>
      <c r="G1995" s="34" t="s">
        <v>58</v>
      </c>
      <c r="H1995" s="34" t="s">
        <v>59</v>
      </c>
      <c r="I1995" s="35"/>
      <c r="J1995" s="21">
        <f ca="1">_xlfn.XLOOKUP(Master[[#This Row],[Checklist]],Ref!A:A,Ref!B:B)*1000</f>
        <v>176000</v>
      </c>
      <c r="K1995" s="21">
        <f ca="1">COUNTIF($J$2:Master[[#This Row],[ChecklistID]],Master[[#This Row],[ChecklistID]])-1</f>
        <v>12</v>
      </c>
      <c r="L1995" s="23" t="s">
        <v>6</v>
      </c>
    </row>
    <row r="1996" spans="1:12" ht="15.75">
      <c r="A1996" s="23">
        <f t="shared" si="31"/>
        <v>1983</v>
      </c>
      <c r="B1996" s="21">
        <f ca="1">Master[[#This Row],[ChecklistID]]+Master[[#This Row],[Checklist Order]]</f>
        <v>177000</v>
      </c>
      <c r="C1996" s="22"/>
      <c r="D1996" s="23" t="str" cm="1">
        <f t="array" aca="1" ref="D1996" ca="1">_xlfn.SWITCH(MID(Master[[#This Row],[Checklist]],1,4),"C - ","Civil","F - ","Foundation","ST -","Structure","FC -","Façade","PRE ","Pre-Line","POST","Post-Line","H - ","Handover","S - ","Services","CST ","Completion Docs", "I - ", "Inspection")</f>
        <v>Pre-Line</v>
      </c>
      <c r="E19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6" s="24" t="str">
        <f ca="1">IF(OR(Master[[#This Row],[Type]]="checklist", Master[[#This Row],[Type]]="checklist-flat"), Master[[#This Row],[Name]], F1995)</f>
        <v>PRE - S - First Fix - Fire Alarm</v>
      </c>
      <c r="G1996" s="34" t="s">
        <v>48</v>
      </c>
      <c r="H1996" s="34" t="s">
        <v>1008</v>
      </c>
      <c r="I1996" s="35"/>
      <c r="J1996" s="21">
        <f ca="1">_xlfn.XLOOKUP(Master[[#This Row],[Checklist]],Ref!A:A,Ref!B:B)*1000</f>
        <v>177000</v>
      </c>
      <c r="K1996" s="21">
        <f ca="1">COUNTIF($J$2:Master[[#This Row],[ChecklistID]],Master[[#This Row],[ChecklistID]])-1</f>
        <v>0</v>
      </c>
      <c r="L1996" s="23" t="s">
        <v>6</v>
      </c>
    </row>
    <row r="1997" spans="1:12" ht="15.75">
      <c r="A1997" s="23">
        <f t="shared" si="31"/>
        <v>1984</v>
      </c>
      <c r="B1997" s="21">
        <f ca="1">Master[[#This Row],[ChecklistID]]+Master[[#This Row],[Checklist Order]]</f>
        <v>177001</v>
      </c>
      <c r="C1997" s="22"/>
      <c r="D1997" s="23" t="str" cm="1">
        <f t="array" aca="1" ref="D1997" ca="1">_xlfn.SWITCH(MID(Master[[#This Row],[Checklist]],1,4),"C - ","Civil","F - ","Foundation","ST -","Structure","FC -","Façade","PRE ","Pre-Line","POST","Post-Line","H - ","Handover","S - ","Services","CST ","Completion Docs", "I - ", "Inspection")</f>
        <v>Pre-Line</v>
      </c>
      <c r="E19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7" s="24" t="str">
        <f ca="1">IF(OR(Master[[#This Row],[Type]]="checklist", Master[[#This Row],[Type]]="checklist-flat"), Master[[#This Row],[Name]], F1996)</f>
        <v>PRE - S - First Fix - Fire Alarm</v>
      </c>
      <c r="G1997" s="34" t="s">
        <v>49</v>
      </c>
      <c r="H1997" s="34" t="s">
        <v>984</v>
      </c>
      <c r="I1997" s="35"/>
      <c r="J1997" s="21">
        <f ca="1">_xlfn.XLOOKUP(Master[[#This Row],[Checklist]],Ref!A:A,Ref!B:B)*1000</f>
        <v>177000</v>
      </c>
      <c r="K1997" s="21">
        <f ca="1">COUNTIF($J$2:Master[[#This Row],[ChecklistID]],Master[[#This Row],[ChecklistID]])-1</f>
        <v>1</v>
      </c>
      <c r="L1997" s="23" t="s">
        <v>6</v>
      </c>
    </row>
    <row r="1998" spans="1:12" ht="15.75">
      <c r="A1998" s="23">
        <f t="shared" si="31"/>
        <v>1985</v>
      </c>
      <c r="B1998" s="21">
        <f ca="1">Master[[#This Row],[ChecklistID]]+Master[[#This Row],[Checklist Order]]</f>
        <v>177002</v>
      </c>
      <c r="C1998" s="22"/>
      <c r="D1998" s="23" t="str" cm="1">
        <f t="array" aca="1" ref="D1998" ca="1">_xlfn.SWITCH(MID(Master[[#This Row],[Checklist]],1,4),"C - ","Civil","F - ","Foundation","ST -","Structure","FC -","Façade","PRE ","Pre-Line","POST","Post-Line","H - ","Handover","S - ","Services","CST ","Completion Docs", "I - ", "Inspection")</f>
        <v>Pre-Line</v>
      </c>
      <c r="E19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8" s="24" t="str">
        <f ca="1">IF(OR(Master[[#This Row],[Type]]="checklist", Master[[#This Row],[Type]]="checklist-flat"), Master[[#This Row],[Name]], F1997)</f>
        <v>PRE - S - First Fix - Fire Alarm</v>
      </c>
      <c r="G1998" s="34" t="s">
        <v>49</v>
      </c>
      <c r="H1998" s="34" t="s">
        <v>985</v>
      </c>
      <c r="I1998" s="35"/>
      <c r="J1998" s="21">
        <f ca="1">_xlfn.XLOOKUP(Master[[#This Row],[Checklist]],Ref!A:A,Ref!B:B)*1000</f>
        <v>177000</v>
      </c>
      <c r="K1998" s="21">
        <f ca="1">COUNTIF($J$2:Master[[#This Row],[ChecklistID]],Master[[#This Row],[ChecklistID]])-1</f>
        <v>2</v>
      </c>
      <c r="L1998" s="23" t="s">
        <v>6</v>
      </c>
    </row>
    <row r="1999" spans="1:12" ht="15.75">
      <c r="A1999" s="23">
        <f t="shared" si="31"/>
        <v>1986</v>
      </c>
      <c r="B1999" s="21">
        <f ca="1">Master[[#This Row],[ChecklistID]]+Master[[#This Row],[Checklist Order]]</f>
        <v>177003</v>
      </c>
      <c r="C1999" s="22"/>
      <c r="D1999" s="23" t="str" cm="1">
        <f t="array" aca="1" ref="D1999" ca="1">_xlfn.SWITCH(MID(Master[[#This Row],[Checklist]],1,4),"C - ","Civil","F - ","Foundation","ST -","Structure","FC -","Façade","PRE ","Pre-Line","POST","Post-Line","H - ","Handover","S - ","Services","CST ","Completion Docs", "I - ", "Inspection")</f>
        <v>Pre-Line</v>
      </c>
      <c r="E19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1999" s="24" t="str">
        <f ca="1">IF(OR(Master[[#This Row],[Type]]="checklist", Master[[#This Row],[Type]]="checklist-flat"), Master[[#This Row],[Name]], F1998)</f>
        <v>PRE - S - First Fix - Fire Alarm</v>
      </c>
      <c r="G1999" s="34" t="s">
        <v>49</v>
      </c>
      <c r="H1999" s="34" t="s">
        <v>986</v>
      </c>
      <c r="I1999" s="35"/>
      <c r="J1999" s="21">
        <f ca="1">_xlfn.XLOOKUP(Master[[#This Row],[Checklist]],Ref!A:A,Ref!B:B)*1000</f>
        <v>177000</v>
      </c>
      <c r="K1999" s="21">
        <f ca="1">COUNTIF($J$2:Master[[#This Row],[ChecklistID]],Master[[#This Row],[ChecklistID]])-1</f>
        <v>3</v>
      </c>
      <c r="L1999" s="23" t="s">
        <v>6</v>
      </c>
    </row>
    <row r="2000" spans="1:12" ht="15.75">
      <c r="A2000" s="23">
        <f t="shared" si="31"/>
        <v>1987</v>
      </c>
      <c r="B2000" s="21">
        <f ca="1">Master[[#This Row],[ChecklistID]]+Master[[#This Row],[Checklist Order]]</f>
        <v>177004</v>
      </c>
      <c r="C2000" s="22"/>
      <c r="D2000" s="23" t="str" cm="1">
        <f t="array" aca="1" ref="D2000" ca="1">_xlfn.SWITCH(MID(Master[[#This Row],[Checklist]],1,4),"C - ","Civil","F - ","Foundation","ST -","Structure","FC -","Façade","PRE ","Pre-Line","POST","Post-Line","H - ","Handover","S - ","Services","CST ","Completion Docs", "I - ", "Inspection")</f>
        <v>Pre-Line</v>
      </c>
      <c r="E20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0" s="24" t="str">
        <f ca="1">IF(OR(Master[[#This Row],[Type]]="checklist", Master[[#This Row],[Type]]="checklist-flat"), Master[[#This Row],[Name]], F1999)</f>
        <v>PRE - S - First Fix - Fire Alarm</v>
      </c>
      <c r="G2000" s="34" t="s">
        <v>49</v>
      </c>
      <c r="H2000" s="34" t="s">
        <v>987</v>
      </c>
      <c r="I2000" s="35"/>
      <c r="J2000" s="21">
        <f ca="1">_xlfn.XLOOKUP(Master[[#This Row],[Checklist]],Ref!A:A,Ref!B:B)*1000</f>
        <v>177000</v>
      </c>
      <c r="K2000" s="21">
        <f ca="1">COUNTIF($J$2:Master[[#This Row],[ChecklistID]],Master[[#This Row],[ChecklistID]])-1</f>
        <v>4</v>
      </c>
      <c r="L2000" s="23" t="s">
        <v>6</v>
      </c>
    </row>
    <row r="2001" spans="1:12" ht="15.75">
      <c r="A2001" s="23">
        <f t="shared" si="31"/>
        <v>1988</v>
      </c>
      <c r="B2001" s="21">
        <f ca="1">Master[[#This Row],[ChecklistID]]+Master[[#This Row],[Checklist Order]]</f>
        <v>177005</v>
      </c>
      <c r="C2001" s="22"/>
      <c r="D2001" s="23" t="str" cm="1">
        <f t="array" aca="1" ref="D2001" ca="1">_xlfn.SWITCH(MID(Master[[#This Row],[Checklist]],1,4),"C - ","Civil","F - ","Foundation","ST -","Structure","FC -","Façade","PRE ","Pre-Line","POST","Post-Line","H - ","Handover","S - ","Services","CST ","Completion Docs", "I - ", "Inspection")</f>
        <v>Pre-Line</v>
      </c>
      <c r="E20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1" s="24" t="str">
        <f ca="1">IF(OR(Master[[#This Row],[Type]]="checklist", Master[[#This Row],[Type]]="checklist-flat"), Master[[#This Row],[Name]], F2000)</f>
        <v>PRE - S - First Fix - Fire Alarm</v>
      </c>
      <c r="G2001" s="34" t="s">
        <v>49</v>
      </c>
      <c r="H2001" s="34" t="s">
        <v>57</v>
      </c>
      <c r="I2001" s="35"/>
      <c r="J2001" s="21">
        <f ca="1">_xlfn.XLOOKUP(Master[[#This Row],[Checklist]],Ref!A:A,Ref!B:B)*1000</f>
        <v>177000</v>
      </c>
      <c r="K2001" s="21">
        <f ca="1">COUNTIF($J$2:Master[[#This Row],[ChecklistID]],Master[[#This Row],[ChecklistID]])-1</f>
        <v>5</v>
      </c>
      <c r="L2001" s="23" t="s">
        <v>6</v>
      </c>
    </row>
    <row r="2002" spans="1:12" ht="15.75">
      <c r="A2002" s="23">
        <f t="shared" si="31"/>
        <v>1989</v>
      </c>
      <c r="B2002" s="21">
        <f ca="1">Master[[#This Row],[ChecklistID]]+Master[[#This Row],[Checklist Order]]</f>
        <v>177006</v>
      </c>
      <c r="C2002" s="22"/>
      <c r="D2002" s="23" t="str" cm="1">
        <f t="array" aca="1" ref="D2002" ca="1">_xlfn.SWITCH(MID(Master[[#This Row],[Checklist]],1,4),"C - ","Civil","F - ","Foundation","ST -","Structure","FC -","Façade","PRE ","Pre-Line","POST","Post-Line","H - ","Handover","S - ","Services","CST ","Completion Docs", "I - ", "Inspection")</f>
        <v>Pre-Line</v>
      </c>
      <c r="E20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2" s="24" t="str">
        <f ca="1">IF(OR(Master[[#This Row],[Type]]="checklist", Master[[#This Row],[Type]]="checklist-flat"), Master[[#This Row],[Name]], F2001)</f>
        <v>PRE - S - First Fix - Fire Alarm</v>
      </c>
      <c r="G2002" s="34" t="s">
        <v>58</v>
      </c>
      <c r="H2002" s="34" t="s">
        <v>59</v>
      </c>
      <c r="I2002" s="35"/>
      <c r="J2002" s="21">
        <f ca="1">_xlfn.XLOOKUP(Master[[#This Row],[Checklist]],Ref!A:A,Ref!B:B)*1000</f>
        <v>177000</v>
      </c>
      <c r="K2002" s="21">
        <f ca="1">COUNTIF($J$2:Master[[#This Row],[ChecklistID]],Master[[#This Row],[ChecklistID]])-1</f>
        <v>6</v>
      </c>
      <c r="L2002" s="23" t="s">
        <v>6</v>
      </c>
    </row>
    <row r="2003" spans="1:12" ht="15.75">
      <c r="A2003" s="23">
        <f t="shared" si="31"/>
        <v>1990</v>
      </c>
      <c r="B2003" s="21">
        <f ca="1">Master[[#This Row],[ChecklistID]]+Master[[#This Row],[Checklist Order]]</f>
        <v>178000</v>
      </c>
      <c r="C2003" s="22"/>
      <c r="D2003" s="23" t="str" cm="1">
        <f t="array" aca="1" ref="D2003" ca="1">_xlfn.SWITCH(MID(Master[[#This Row],[Checklist]],1,4),"C - ","Civil","F - ","Foundation","ST -","Structure","FC -","Façade","PRE ","Pre-Line","POST","Post-Line","H - ","Handover","S - ","Services","CST ","Completion Docs", "I - ", "Inspection")</f>
        <v>Pre-Line</v>
      </c>
      <c r="E20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3" s="24" t="str">
        <f ca="1">IF(OR(Master[[#This Row],[Type]]="checklist", Master[[#This Row],[Type]]="checklist-flat"), Master[[#This Row],[Name]], F2002)</f>
        <v>PRE - S - First Fix - Nurse Call, Data &amp; Communications &amp; Security</v>
      </c>
      <c r="G2003" s="34" t="s">
        <v>48</v>
      </c>
      <c r="H2003" s="34" t="s">
        <v>1009</v>
      </c>
      <c r="I2003" s="35"/>
      <c r="J2003" s="21">
        <f ca="1">_xlfn.XLOOKUP(Master[[#This Row],[Checklist]],Ref!A:A,Ref!B:B)*1000</f>
        <v>178000</v>
      </c>
      <c r="K2003" s="21">
        <f ca="1">COUNTIF($J$2:Master[[#This Row],[ChecklistID]],Master[[#This Row],[ChecklistID]])-1</f>
        <v>0</v>
      </c>
      <c r="L2003" s="23" t="s">
        <v>6</v>
      </c>
    </row>
    <row r="2004" spans="1:12" ht="15.75">
      <c r="A2004" s="23">
        <f t="shared" si="31"/>
        <v>1991</v>
      </c>
      <c r="B2004" s="21">
        <f ca="1">Master[[#This Row],[ChecklistID]]+Master[[#This Row],[Checklist Order]]</f>
        <v>178001</v>
      </c>
      <c r="C2004" s="22"/>
      <c r="D2004" s="23" t="str" cm="1">
        <f t="array" aca="1" ref="D2004" ca="1">_xlfn.SWITCH(MID(Master[[#This Row],[Checklist]],1,4),"C - ","Civil","F - ","Foundation","ST -","Structure","FC -","Façade","PRE ","Pre-Line","POST","Post-Line","H - ","Handover","S - ","Services","CST ","Completion Docs", "I - ", "Inspection")</f>
        <v>Pre-Line</v>
      </c>
      <c r="E20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4" s="24" t="str">
        <f ca="1">IF(OR(Master[[#This Row],[Type]]="checklist", Master[[#This Row],[Type]]="checklist-flat"), Master[[#This Row],[Name]], F2003)</f>
        <v>PRE - S - First Fix - Nurse Call, Data &amp; Communications &amp; Security</v>
      </c>
      <c r="G2004" s="34" t="s">
        <v>49</v>
      </c>
      <c r="H2004" s="34" t="s">
        <v>1010</v>
      </c>
      <c r="I2004" s="35"/>
      <c r="J2004" s="21">
        <f ca="1">_xlfn.XLOOKUP(Master[[#This Row],[Checklist]],Ref!A:A,Ref!B:B)*1000</f>
        <v>178000</v>
      </c>
      <c r="K2004" s="21">
        <f ca="1">COUNTIF($J$2:Master[[#This Row],[ChecklistID]],Master[[#This Row],[ChecklistID]])-1</f>
        <v>1</v>
      </c>
      <c r="L2004" s="23" t="s">
        <v>6</v>
      </c>
    </row>
    <row r="2005" spans="1:12" ht="15.75">
      <c r="A2005" s="23">
        <f t="shared" si="31"/>
        <v>1992</v>
      </c>
      <c r="B2005" s="21">
        <f ca="1">Master[[#This Row],[ChecklistID]]+Master[[#This Row],[Checklist Order]]</f>
        <v>178002</v>
      </c>
      <c r="C2005" s="22"/>
      <c r="D2005" s="23" t="str" cm="1">
        <f t="array" aca="1" ref="D2005" ca="1">_xlfn.SWITCH(MID(Master[[#This Row],[Checklist]],1,4),"C - ","Civil","F - ","Foundation","ST -","Structure","FC -","Façade","PRE ","Pre-Line","POST","Post-Line","H - ","Handover","S - ","Services","CST ","Completion Docs", "I - ", "Inspection")</f>
        <v>Pre-Line</v>
      </c>
      <c r="E20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5" s="24" t="str">
        <f ca="1">IF(OR(Master[[#This Row],[Type]]="checklist", Master[[#This Row],[Type]]="checklist-flat"), Master[[#This Row],[Name]], F2004)</f>
        <v>PRE - S - First Fix - Nurse Call, Data &amp; Communications &amp; Security</v>
      </c>
      <c r="G2005" s="34" t="s">
        <v>49</v>
      </c>
      <c r="H2005" s="34" t="s">
        <v>1011</v>
      </c>
      <c r="I2005" s="35"/>
      <c r="J2005" s="21">
        <f ca="1">_xlfn.XLOOKUP(Master[[#This Row],[Checklist]],Ref!A:A,Ref!B:B)*1000</f>
        <v>178000</v>
      </c>
      <c r="K2005" s="21">
        <f ca="1">COUNTIF($J$2:Master[[#This Row],[ChecklistID]],Master[[#This Row],[ChecklistID]])-1</f>
        <v>2</v>
      </c>
      <c r="L2005" s="23" t="s">
        <v>6</v>
      </c>
    </row>
    <row r="2006" spans="1:12" ht="15.75">
      <c r="A2006" s="23">
        <f t="shared" si="31"/>
        <v>1993</v>
      </c>
      <c r="B2006" s="21">
        <f ca="1">Master[[#This Row],[ChecklistID]]+Master[[#This Row],[Checklist Order]]</f>
        <v>178003</v>
      </c>
      <c r="C2006" s="22"/>
      <c r="D2006" s="23" t="str" cm="1">
        <f t="array" aca="1" ref="D2006" ca="1">_xlfn.SWITCH(MID(Master[[#This Row],[Checklist]],1,4),"C - ","Civil","F - ","Foundation","ST -","Structure","FC -","Façade","PRE ","Pre-Line","POST","Post-Line","H - ","Handover","S - ","Services","CST ","Completion Docs", "I - ", "Inspection")</f>
        <v>Pre-Line</v>
      </c>
      <c r="E20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6" s="24" t="str">
        <f ca="1">IF(OR(Master[[#This Row],[Type]]="checklist", Master[[#This Row],[Type]]="checklist-flat"), Master[[#This Row],[Name]], F2005)</f>
        <v>PRE - S - First Fix - Nurse Call, Data &amp; Communications &amp; Security</v>
      </c>
      <c r="G2006" s="34" t="s">
        <v>49</v>
      </c>
      <c r="H2006" s="34" t="s">
        <v>1012</v>
      </c>
      <c r="I2006" s="35"/>
      <c r="J2006" s="21">
        <f ca="1">_xlfn.XLOOKUP(Master[[#This Row],[Checklist]],Ref!A:A,Ref!B:B)*1000</f>
        <v>178000</v>
      </c>
      <c r="K2006" s="21">
        <f ca="1">COUNTIF($J$2:Master[[#This Row],[ChecklistID]],Master[[#This Row],[ChecklistID]])-1</f>
        <v>3</v>
      </c>
      <c r="L2006" s="23" t="s">
        <v>6</v>
      </c>
    </row>
    <row r="2007" spans="1:12" ht="15.75">
      <c r="A2007" s="23">
        <f t="shared" si="31"/>
        <v>1994</v>
      </c>
      <c r="B2007" s="21">
        <f ca="1">Master[[#This Row],[ChecklistID]]+Master[[#This Row],[Checklist Order]]</f>
        <v>178004</v>
      </c>
      <c r="C2007" s="22"/>
      <c r="D2007" s="23" t="str" cm="1">
        <f t="array" aca="1" ref="D2007" ca="1">_xlfn.SWITCH(MID(Master[[#This Row],[Checklist]],1,4),"C - ","Civil","F - ","Foundation","ST -","Structure","FC -","Façade","PRE ","Pre-Line","POST","Post-Line","H - ","Handover","S - ","Services","CST ","Completion Docs", "I - ", "Inspection")</f>
        <v>Pre-Line</v>
      </c>
      <c r="E20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7" s="24" t="str">
        <f ca="1">IF(OR(Master[[#This Row],[Type]]="checklist", Master[[#This Row],[Type]]="checklist-flat"), Master[[#This Row],[Name]], F2006)</f>
        <v>PRE - S - First Fix - Nurse Call, Data &amp; Communications &amp; Security</v>
      </c>
      <c r="G2007" s="34" t="s">
        <v>49</v>
      </c>
      <c r="H2007" s="34" t="s">
        <v>1013</v>
      </c>
      <c r="I2007" s="35"/>
      <c r="J2007" s="21">
        <f ca="1">_xlfn.XLOOKUP(Master[[#This Row],[Checklist]],Ref!A:A,Ref!B:B)*1000</f>
        <v>178000</v>
      </c>
      <c r="K2007" s="21">
        <f ca="1">COUNTIF($J$2:Master[[#This Row],[ChecklistID]],Master[[#This Row],[ChecklistID]])-1</f>
        <v>4</v>
      </c>
      <c r="L2007" s="23" t="s">
        <v>6</v>
      </c>
    </row>
    <row r="2008" spans="1:12" ht="15.75">
      <c r="A2008" s="23">
        <f t="shared" si="31"/>
        <v>1995</v>
      </c>
      <c r="B2008" s="21">
        <f ca="1">Master[[#This Row],[ChecklistID]]+Master[[#This Row],[Checklist Order]]</f>
        <v>178005</v>
      </c>
      <c r="C2008" s="22"/>
      <c r="D2008" s="23" t="str" cm="1">
        <f t="array" aca="1" ref="D2008" ca="1">_xlfn.SWITCH(MID(Master[[#This Row],[Checklist]],1,4),"C - ","Civil","F - ","Foundation","ST -","Structure","FC -","Façade","PRE ","Pre-Line","POST","Post-Line","H - ","Handover","S - ","Services","CST ","Completion Docs", "I - ", "Inspection")</f>
        <v>Pre-Line</v>
      </c>
      <c r="E20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8" s="24" t="str">
        <f ca="1">IF(OR(Master[[#This Row],[Type]]="checklist", Master[[#This Row],[Type]]="checklist-flat"), Master[[#This Row],[Name]], F2007)</f>
        <v>PRE - S - First Fix - Nurse Call, Data &amp; Communications &amp; Security</v>
      </c>
      <c r="G2008" s="34" t="s">
        <v>49</v>
      </c>
      <c r="H2008" s="34" t="s">
        <v>1014</v>
      </c>
      <c r="I2008" s="35"/>
      <c r="J2008" s="21">
        <f ca="1">_xlfn.XLOOKUP(Master[[#This Row],[Checklist]],Ref!A:A,Ref!B:B)*1000</f>
        <v>178000</v>
      </c>
      <c r="K2008" s="21">
        <f ca="1">COUNTIF($J$2:Master[[#This Row],[ChecklistID]],Master[[#This Row],[ChecklistID]])-1</f>
        <v>5</v>
      </c>
      <c r="L2008" s="23" t="s">
        <v>6</v>
      </c>
    </row>
    <row r="2009" spans="1:12" ht="15.75">
      <c r="A2009" s="23">
        <f t="shared" si="31"/>
        <v>1996</v>
      </c>
      <c r="B2009" s="21">
        <f ca="1">Master[[#This Row],[ChecklistID]]+Master[[#This Row],[Checklist Order]]</f>
        <v>178006</v>
      </c>
      <c r="C2009" s="22"/>
      <c r="D2009" s="23" t="str" cm="1">
        <f t="array" aca="1" ref="D2009" ca="1">_xlfn.SWITCH(MID(Master[[#This Row],[Checklist]],1,4),"C - ","Civil","F - ","Foundation","ST -","Structure","FC -","Façade","PRE ","Pre-Line","POST","Post-Line","H - ","Handover","S - ","Services","CST ","Completion Docs", "I - ", "Inspection")</f>
        <v>Pre-Line</v>
      </c>
      <c r="E20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09" s="24" t="str">
        <f ca="1">IF(OR(Master[[#This Row],[Type]]="checklist", Master[[#This Row],[Type]]="checklist-flat"), Master[[#This Row],[Name]], F2008)</f>
        <v>PRE - S - First Fix - Nurse Call, Data &amp; Communications &amp; Security</v>
      </c>
      <c r="G2009" s="34" t="s">
        <v>49</v>
      </c>
      <c r="H2009" s="34" t="s">
        <v>1015</v>
      </c>
      <c r="I2009" s="35"/>
      <c r="J2009" s="21">
        <f ca="1">_xlfn.XLOOKUP(Master[[#This Row],[Checklist]],Ref!A:A,Ref!B:B)*1000</f>
        <v>178000</v>
      </c>
      <c r="K2009" s="21">
        <f ca="1">COUNTIF($J$2:Master[[#This Row],[ChecklistID]],Master[[#This Row],[ChecklistID]])-1</f>
        <v>6</v>
      </c>
      <c r="L2009" s="23" t="s">
        <v>6</v>
      </c>
    </row>
    <row r="2010" spans="1:12" ht="15.75">
      <c r="A2010" s="23">
        <f t="shared" si="31"/>
        <v>1997</v>
      </c>
      <c r="B2010" s="21">
        <f ca="1">Master[[#This Row],[ChecklistID]]+Master[[#This Row],[Checklist Order]]</f>
        <v>178007</v>
      </c>
      <c r="C2010" s="22"/>
      <c r="D2010" s="23" t="str" cm="1">
        <f t="array" aca="1" ref="D2010" ca="1">_xlfn.SWITCH(MID(Master[[#This Row],[Checklist]],1,4),"C - ","Civil","F - ","Foundation","ST -","Structure","FC -","Façade","PRE ","Pre-Line","POST","Post-Line","H - ","Handover","S - ","Services","CST ","Completion Docs", "I - ", "Inspection")</f>
        <v>Pre-Line</v>
      </c>
      <c r="E20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0" s="24" t="str">
        <f ca="1">IF(OR(Master[[#This Row],[Type]]="checklist", Master[[#This Row],[Type]]="checklist-flat"), Master[[#This Row],[Name]], F2009)</f>
        <v>PRE - S - First Fix - Nurse Call, Data &amp; Communications &amp; Security</v>
      </c>
      <c r="G2010" s="34" t="s">
        <v>49</v>
      </c>
      <c r="H2010" s="34" t="s">
        <v>987</v>
      </c>
      <c r="I2010" s="35"/>
      <c r="J2010" s="21">
        <f ca="1">_xlfn.XLOOKUP(Master[[#This Row],[Checklist]],Ref!A:A,Ref!B:B)*1000</f>
        <v>178000</v>
      </c>
      <c r="K2010" s="21">
        <f ca="1">COUNTIF($J$2:Master[[#This Row],[ChecklistID]],Master[[#This Row],[ChecklistID]])-1</f>
        <v>7</v>
      </c>
      <c r="L2010" s="23" t="s">
        <v>6</v>
      </c>
    </row>
    <row r="2011" spans="1:12" ht="15.75">
      <c r="A2011" s="23">
        <f t="shared" si="31"/>
        <v>1998</v>
      </c>
      <c r="B2011" s="21">
        <f ca="1">Master[[#This Row],[ChecklistID]]+Master[[#This Row],[Checklist Order]]</f>
        <v>178008</v>
      </c>
      <c r="C2011" s="22"/>
      <c r="D2011" s="23" t="str" cm="1">
        <f t="array" aca="1" ref="D2011" ca="1">_xlfn.SWITCH(MID(Master[[#This Row],[Checklist]],1,4),"C - ","Civil","F - ","Foundation","ST -","Structure","FC -","Façade","PRE ","Pre-Line","POST","Post-Line","H - ","Handover","S - ","Services","CST ","Completion Docs", "I - ", "Inspection")</f>
        <v>Pre-Line</v>
      </c>
      <c r="E20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1" s="24" t="str">
        <f ca="1">IF(OR(Master[[#This Row],[Type]]="checklist", Master[[#This Row],[Type]]="checklist-flat"), Master[[#This Row],[Name]], F2010)</f>
        <v>PRE - S - First Fix - Nurse Call, Data &amp; Communications &amp; Security</v>
      </c>
      <c r="G2011" s="34" t="s">
        <v>49</v>
      </c>
      <c r="H2011" s="34" t="s">
        <v>57</v>
      </c>
      <c r="I2011" s="35"/>
      <c r="J2011" s="21">
        <f ca="1">_xlfn.XLOOKUP(Master[[#This Row],[Checklist]],Ref!A:A,Ref!B:B)*1000</f>
        <v>178000</v>
      </c>
      <c r="K2011" s="21">
        <f ca="1">COUNTIF($J$2:Master[[#This Row],[ChecklistID]],Master[[#This Row],[ChecklistID]])-1</f>
        <v>8</v>
      </c>
      <c r="L2011" s="23" t="s">
        <v>6</v>
      </c>
    </row>
    <row r="2012" spans="1:12" ht="15.75">
      <c r="A2012" s="23">
        <f t="shared" si="31"/>
        <v>1999</v>
      </c>
      <c r="B2012" s="21">
        <f ca="1">Master[[#This Row],[ChecklistID]]+Master[[#This Row],[Checklist Order]]</f>
        <v>178009</v>
      </c>
      <c r="C2012" s="22"/>
      <c r="D2012" s="23" t="str" cm="1">
        <f t="array" aca="1" ref="D2012" ca="1">_xlfn.SWITCH(MID(Master[[#This Row],[Checklist]],1,4),"C - ","Civil","F - ","Foundation","ST -","Structure","FC -","Façade","PRE ","Pre-Line","POST","Post-Line","H - ","Handover","S - ","Services","CST ","Completion Docs", "I - ", "Inspection")</f>
        <v>Pre-Line</v>
      </c>
      <c r="E20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2" s="24" t="str">
        <f ca="1">IF(OR(Master[[#This Row],[Type]]="checklist", Master[[#This Row],[Type]]="checklist-flat"), Master[[#This Row],[Name]], F2011)</f>
        <v>PRE - S - First Fix - Nurse Call, Data &amp; Communications &amp; Security</v>
      </c>
      <c r="G2012" s="34" t="s">
        <v>58</v>
      </c>
      <c r="H2012" s="34" t="s">
        <v>59</v>
      </c>
      <c r="I2012" s="35"/>
      <c r="J2012" s="21">
        <f ca="1">_xlfn.XLOOKUP(Master[[#This Row],[Checklist]],Ref!A:A,Ref!B:B)*1000</f>
        <v>178000</v>
      </c>
      <c r="K2012" s="21">
        <f ca="1">COUNTIF($J$2:Master[[#This Row],[ChecklistID]],Master[[#This Row],[ChecklistID]])-1</f>
        <v>9</v>
      </c>
      <c r="L2012" s="23" t="s">
        <v>6</v>
      </c>
    </row>
    <row r="2013" spans="1:12" ht="15.75">
      <c r="A2013" s="23">
        <f t="shared" si="31"/>
        <v>2000</v>
      </c>
      <c r="B2013" s="21">
        <f ca="1">Master[[#This Row],[ChecklistID]]+Master[[#This Row],[Checklist Order]]</f>
        <v>179000</v>
      </c>
      <c r="C2013" s="22"/>
      <c r="D2013" s="23" t="str" cm="1">
        <f t="array" aca="1" ref="D2013" ca="1">_xlfn.SWITCH(MID(Master[[#This Row],[Checklist]],1,4),"C - ","Civil","F - ","Foundation","ST -","Structure","FC -","Façade","PRE ","Pre-Line","POST","Post-Line","H - ","Handover","S - ","Services","CST ","Completion Docs", "I - ", "Inspection")</f>
        <v>Post-Line</v>
      </c>
      <c r="E20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3" s="24" t="str">
        <f ca="1">IF(OR(Master[[#This Row],[Type]]="checklist", Master[[#This Row],[Type]]="checklist-flat"), Master[[#This Row],[Name]], F2012)</f>
        <v>POST - S - Second Fix - Nurse Call, Data &amp; Communications &amp; Security</v>
      </c>
      <c r="G2013" s="34" t="s">
        <v>48</v>
      </c>
      <c r="H2013" s="34" t="s">
        <v>1016</v>
      </c>
      <c r="I2013" s="35"/>
      <c r="J2013" s="21">
        <f ca="1">_xlfn.XLOOKUP(Master[[#This Row],[Checklist]],Ref!A:A,Ref!B:B)*1000</f>
        <v>179000</v>
      </c>
      <c r="K2013" s="21">
        <f ca="1">COUNTIF($J$2:Master[[#This Row],[ChecklistID]],Master[[#This Row],[ChecklistID]])-1</f>
        <v>0</v>
      </c>
      <c r="L2013" s="23" t="s">
        <v>6</v>
      </c>
    </row>
    <row r="2014" spans="1:12" ht="15.75">
      <c r="A2014" s="23">
        <f t="shared" si="31"/>
        <v>2001</v>
      </c>
      <c r="B2014" s="21">
        <f ca="1">Master[[#This Row],[ChecklistID]]+Master[[#This Row],[Checklist Order]]</f>
        <v>179001</v>
      </c>
      <c r="C2014" s="22"/>
      <c r="D2014" s="23" t="str" cm="1">
        <f t="array" aca="1" ref="D2014" ca="1">_xlfn.SWITCH(MID(Master[[#This Row],[Checklist]],1,4),"C - ","Civil","F - ","Foundation","ST -","Structure","FC -","Façade","PRE ","Pre-Line","POST","Post-Line","H - ","Handover","S - ","Services","CST ","Completion Docs", "I - ", "Inspection")</f>
        <v>Post-Line</v>
      </c>
      <c r="E20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4" s="24" t="str">
        <f ca="1">IF(OR(Master[[#This Row],[Type]]="checklist", Master[[#This Row],[Type]]="checklist-flat"), Master[[#This Row],[Name]], F2013)</f>
        <v>POST - S - Second Fix - Nurse Call, Data &amp; Communications &amp; Security</v>
      </c>
      <c r="G2014" s="34" t="s">
        <v>49</v>
      </c>
      <c r="H2014" s="34" t="s">
        <v>1017</v>
      </c>
      <c r="I2014" s="35"/>
      <c r="J2014" s="21">
        <f ca="1">_xlfn.XLOOKUP(Master[[#This Row],[Checklist]],Ref!A:A,Ref!B:B)*1000</f>
        <v>179000</v>
      </c>
      <c r="K2014" s="21">
        <f ca="1">COUNTIF($J$2:Master[[#This Row],[ChecklistID]],Master[[#This Row],[ChecklistID]])-1</f>
        <v>1</v>
      </c>
      <c r="L2014" s="23" t="s">
        <v>6</v>
      </c>
    </row>
    <row r="2015" spans="1:12" ht="15.75">
      <c r="A2015" s="23">
        <f t="shared" si="31"/>
        <v>2002</v>
      </c>
      <c r="B2015" s="21">
        <f ca="1">Master[[#This Row],[ChecklistID]]+Master[[#This Row],[Checklist Order]]</f>
        <v>179002</v>
      </c>
      <c r="C2015" s="22"/>
      <c r="D2015" s="23" t="str" cm="1">
        <f t="array" aca="1" ref="D2015" ca="1">_xlfn.SWITCH(MID(Master[[#This Row],[Checklist]],1,4),"C - ","Civil","F - ","Foundation","ST -","Structure","FC -","Façade","PRE ","Pre-Line","POST","Post-Line","H - ","Handover","S - ","Services","CST ","Completion Docs", "I - ", "Inspection")</f>
        <v>Post-Line</v>
      </c>
      <c r="E20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5" s="24" t="str">
        <f ca="1">IF(OR(Master[[#This Row],[Type]]="checklist", Master[[#This Row],[Type]]="checklist-flat"), Master[[#This Row],[Name]], F2014)</f>
        <v>POST - S - Second Fix - Nurse Call, Data &amp; Communications &amp; Security</v>
      </c>
      <c r="G2015" s="34" t="s">
        <v>49</v>
      </c>
      <c r="H2015" s="34" t="s">
        <v>1018</v>
      </c>
      <c r="I2015" s="35"/>
      <c r="J2015" s="21">
        <f ca="1">_xlfn.XLOOKUP(Master[[#This Row],[Checklist]],Ref!A:A,Ref!B:B)*1000</f>
        <v>179000</v>
      </c>
      <c r="K2015" s="21">
        <f ca="1">COUNTIF($J$2:Master[[#This Row],[ChecklistID]],Master[[#This Row],[ChecklistID]])-1</f>
        <v>2</v>
      </c>
      <c r="L2015" s="23" t="s">
        <v>6</v>
      </c>
    </row>
    <row r="2016" spans="1:12" ht="15.75">
      <c r="A2016" s="23">
        <f t="shared" si="31"/>
        <v>2003</v>
      </c>
      <c r="B2016" s="21">
        <f ca="1">Master[[#This Row],[ChecklistID]]+Master[[#This Row],[Checklist Order]]</f>
        <v>179003</v>
      </c>
      <c r="C2016" s="22"/>
      <c r="D2016" s="23" t="str" cm="1">
        <f t="array" aca="1" ref="D2016" ca="1">_xlfn.SWITCH(MID(Master[[#This Row],[Checklist]],1,4),"C - ","Civil","F - ","Foundation","ST -","Structure","FC -","Façade","PRE ","Pre-Line","POST","Post-Line","H - ","Handover","S - ","Services","CST ","Completion Docs", "I - ", "Inspection")</f>
        <v>Post-Line</v>
      </c>
      <c r="E20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6" s="24" t="str">
        <f ca="1">IF(OR(Master[[#This Row],[Type]]="checklist", Master[[#This Row],[Type]]="checklist-flat"), Master[[#This Row],[Name]], F2015)</f>
        <v>POST - S - Second Fix - Nurse Call, Data &amp; Communications &amp; Security</v>
      </c>
      <c r="G2016" s="34" t="s">
        <v>49</v>
      </c>
      <c r="H2016" s="34" t="s">
        <v>1019</v>
      </c>
      <c r="I2016" s="35"/>
      <c r="J2016" s="21">
        <f ca="1">_xlfn.XLOOKUP(Master[[#This Row],[Checklist]],Ref!A:A,Ref!B:B)*1000</f>
        <v>179000</v>
      </c>
      <c r="K2016" s="21">
        <f ca="1">COUNTIF($J$2:Master[[#This Row],[ChecklistID]],Master[[#This Row],[ChecklistID]])-1</f>
        <v>3</v>
      </c>
      <c r="L2016" s="23" t="s">
        <v>6</v>
      </c>
    </row>
    <row r="2017" spans="1:12" ht="15.75">
      <c r="A2017" s="23">
        <f t="shared" si="31"/>
        <v>2004</v>
      </c>
      <c r="B2017" s="21">
        <f ca="1">Master[[#This Row],[ChecklistID]]+Master[[#This Row],[Checklist Order]]</f>
        <v>179004</v>
      </c>
      <c r="C2017" s="22"/>
      <c r="D2017" s="23" t="str" cm="1">
        <f t="array" aca="1" ref="D2017" ca="1">_xlfn.SWITCH(MID(Master[[#This Row],[Checklist]],1,4),"C - ","Civil","F - ","Foundation","ST -","Structure","FC -","Façade","PRE ","Pre-Line","POST","Post-Line","H - ","Handover","S - ","Services","CST ","Completion Docs", "I - ", "Inspection")</f>
        <v>Post-Line</v>
      </c>
      <c r="E20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7" s="24" t="str">
        <f ca="1">IF(OR(Master[[#This Row],[Type]]="checklist", Master[[#This Row],[Type]]="checklist-flat"), Master[[#This Row],[Name]], F2016)</f>
        <v>POST - S - Second Fix - Nurse Call, Data &amp; Communications &amp; Security</v>
      </c>
      <c r="G2017" s="34" t="s">
        <v>49</v>
      </c>
      <c r="H2017" s="34" t="s">
        <v>1020</v>
      </c>
      <c r="I2017" s="35"/>
      <c r="J2017" s="21">
        <f ca="1">_xlfn.XLOOKUP(Master[[#This Row],[Checklist]],Ref!A:A,Ref!B:B)*1000</f>
        <v>179000</v>
      </c>
      <c r="K2017" s="21">
        <f ca="1">COUNTIF($J$2:Master[[#This Row],[ChecklistID]],Master[[#This Row],[ChecklistID]])-1</f>
        <v>4</v>
      </c>
      <c r="L2017" s="23" t="s">
        <v>6</v>
      </c>
    </row>
    <row r="2018" spans="1:12" ht="15.75">
      <c r="A2018" s="23">
        <f t="shared" si="31"/>
        <v>2005</v>
      </c>
      <c r="B2018" s="21">
        <f ca="1">Master[[#This Row],[ChecklistID]]+Master[[#This Row],[Checklist Order]]</f>
        <v>179005</v>
      </c>
      <c r="C2018" s="22"/>
      <c r="D2018" s="23" t="str" cm="1">
        <f t="array" aca="1" ref="D2018" ca="1">_xlfn.SWITCH(MID(Master[[#This Row],[Checklist]],1,4),"C - ","Civil","F - ","Foundation","ST -","Structure","FC -","Façade","PRE ","Pre-Line","POST","Post-Line","H - ","Handover","S - ","Services","CST ","Completion Docs", "I - ", "Inspection")</f>
        <v>Post-Line</v>
      </c>
      <c r="E20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8" s="24" t="str">
        <f ca="1">IF(OR(Master[[#This Row],[Type]]="checklist", Master[[#This Row],[Type]]="checklist-flat"), Master[[#This Row],[Name]], F2017)</f>
        <v>POST - S - Second Fix - Nurse Call, Data &amp; Communications &amp; Security</v>
      </c>
      <c r="G2018" s="34" t="s">
        <v>49</v>
      </c>
      <c r="H2018" s="34" t="s">
        <v>1021</v>
      </c>
      <c r="I2018" s="35"/>
      <c r="J2018" s="21">
        <f ca="1">_xlfn.XLOOKUP(Master[[#This Row],[Checklist]],Ref!A:A,Ref!B:B)*1000</f>
        <v>179000</v>
      </c>
      <c r="K2018" s="21">
        <f ca="1">COUNTIF($J$2:Master[[#This Row],[ChecklistID]],Master[[#This Row],[ChecklistID]])-1</f>
        <v>5</v>
      </c>
      <c r="L2018" s="23" t="s">
        <v>6</v>
      </c>
    </row>
    <row r="2019" spans="1:12" ht="15.75">
      <c r="A2019" s="23">
        <f t="shared" si="31"/>
        <v>2006</v>
      </c>
      <c r="B2019" s="21">
        <f ca="1">Master[[#This Row],[ChecklistID]]+Master[[#This Row],[Checklist Order]]</f>
        <v>179006</v>
      </c>
      <c r="C2019" s="22"/>
      <c r="D2019" s="23" t="str" cm="1">
        <f t="array" aca="1" ref="D2019" ca="1">_xlfn.SWITCH(MID(Master[[#This Row],[Checklist]],1,4),"C - ","Civil","F - ","Foundation","ST -","Structure","FC -","Façade","PRE ","Pre-Line","POST","Post-Line","H - ","Handover","S - ","Services","CST ","Completion Docs", "I - ", "Inspection")</f>
        <v>Post-Line</v>
      </c>
      <c r="E20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19" s="24" t="str">
        <f ca="1">IF(OR(Master[[#This Row],[Type]]="checklist", Master[[#This Row],[Type]]="checklist-flat"), Master[[#This Row],[Name]], F2018)</f>
        <v>POST - S - Second Fix - Nurse Call, Data &amp; Communications &amp; Security</v>
      </c>
      <c r="G2019" s="34" t="s">
        <v>49</v>
      </c>
      <c r="H2019" s="34" t="s">
        <v>1022</v>
      </c>
      <c r="I2019" s="35"/>
      <c r="J2019" s="21">
        <f ca="1">_xlfn.XLOOKUP(Master[[#This Row],[Checklist]],Ref!A:A,Ref!B:B)*1000</f>
        <v>179000</v>
      </c>
      <c r="K2019" s="21">
        <f ca="1">COUNTIF($J$2:Master[[#This Row],[ChecklistID]],Master[[#This Row],[ChecklistID]])-1</f>
        <v>6</v>
      </c>
      <c r="L2019" s="23" t="s">
        <v>6</v>
      </c>
    </row>
    <row r="2020" spans="1:12" ht="15.75">
      <c r="A2020" s="23">
        <f t="shared" si="31"/>
        <v>2007</v>
      </c>
      <c r="B2020" s="21">
        <f ca="1">Master[[#This Row],[ChecklistID]]+Master[[#This Row],[Checklist Order]]</f>
        <v>179007</v>
      </c>
      <c r="C2020" s="22"/>
      <c r="D2020" s="23" t="str" cm="1">
        <f t="array" aca="1" ref="D2020" ca="1">_xlfn.SWITCH(MID(Master[[#This Row],[Checklist]],1,4),"C - ","Civil","F - ","Foundation","ST -","Structure","FC -","Façade","PRE ","Pre-Line","POST","Post-Line","H - ","Handover","S - ","Services","CST ","Completion Docs", "I - ", "Inspection")</f>
        <v>Post-Line</v>
      </c>
      <c r="E20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0" s="24" t="str">
        <f ca="1">IF(OR(Master[[#This Row],[Type]]="checklist", Master[[#This Row],[Type]]="checklist-flat"), Master[[#This Row],[Name]], F2019)</f>
        <v>POST - S - Second Fix - Nurse Call, Data &amp; Communications &amp; Security</v>
      </c>
      <c r="G2020" s="34" t="s">
        <v>49</v>
      </c>
      <c r="H2020" s="34" t="s">
        <v>1023</v>
      </c>
      <c r="I2020" s="35"/>
      <c r="J2020" s="21">
        <f ca="1">_xlfn.XLOOKUP(Master[[#This Row],[Checklist]],Ref!A:A,Ref!B:B)*1000</f>
        <v>179000</v>
      </c>
      <c r="K2020" s="21">
        <f ca="1">COUNTIF($J$2:Master[[#This Row],[ChecklistID]],Master[[#This Row],[ChecklistID]])-1</f>
        <v>7</v>
      </c>
      <c r="L2020" s="23" t="s">
        <v>6</v>
      </c>
    </row>
    <row r="2021" spans="1:12" ht="15.75">
      <c r="A2021" s="23">
        <f t="shared" si="31"/>
        <v>2008</v>
      </c>
      <c r="B2021" s="21">
        <f ca="1">Master[[#This Row],[ChecklistID]]+Master[[#This Row],[Checklist Order]]</f>
        <v>179008</v>
      </c>
      <c r="C2021" s="22"/>
      <c r="D2021" s="23" t="str" cm="1">
        <f t="array" aca="1" ref="D2021" ca="1">_xlfn.SWITCH(MID(Master[[#This Row],[Checklist]],1,4),"C - ","Civil","F - ","Foundation","ST -","Structure","FC -","Façade","PRE ","Pre-Line","POST","Post-Line","H - ","Handover","S - ","Services","CST ","Completion Docs", "I - ", "Inspection")</f>
        <v>Post-Line</v>
      </c>
      <c r="E20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1" s="24" t="str">
        <f ca="1">IF(OR(Master[[#This Row],[Type]]="checklist", Master[[#This Row],[Type]]="checklist-flat"), Master[[#This Row],[Name]], F2020)</f>
        <v>POST - S - Second Fix - Nurse Call, Data &amp; Communications &amp; Security</v>
      </c>
      <c r="G2021" s="34" t="s">
        <v>49</v>
      </c>
      <c r="H2021" s="34" t="s">
        <v>1024</v>
      </c>
      <c r="I2021" s="35"/>
      <c r="J2021" s="21">
        <f ca="1">_xlfn.XLOOKUP(Master[[#This Row],[Checklist]],Ref!A:A,Ref!B:B)*1000</f>
        <v>179000</v>
      </c>
      <c r="K2021" s="21">
        <f ca="1">COUNTIF($J$2:Master[[#This Row],[ChecklistID]],Master[[#This Row],[ChecklistID]])-1</f>
        <v>8</v>
      </c>
      <c r="L2021" s="23" t="s">
        <v>6</v>
      </c>
    </row>
    <row r="2022" spans="1:12" ht="15.75">
      <c r="A2022" s="23">
        <f t="shared" si="31"/>
        <v>2009</v>
      </c>
      <c r="B2022" s="21">
        <f ca="1">Master[[#This Row],[ChecklistID]]+Master[[#This Row],[Checklist Order]]</f>
        <v>179009</v>
      </c>
      <c r="C2022" s="22"/>
      <c r="D2022" s="23" t="str" cm="1">
        <f t="array" aca="1" ref="D2022" ca="1">_xlfn.SWITCH(MID(Master[[#This Row],[Checklist]],1,4),"C - ","Civil","F - ","Foundation","ST -","Structure","FC -","Façade","PRE ","Pre-Line","POST","Post-Line","H - ","Handover","S - ","Services","CST ","Completion Docs", "I - ", "Inspection")</f>
        <v>Post-Line</v>
      </c>
      <c r="E20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2" s="24" t="str">
        <f ca="1">IF(OR(Master[[#This Row],[Type]]="checklist", Master[[#This Row],[Type]]="checklist-flat"), Master[[#This Row],[Name]], F2021)</f>
        <v>POST - S - Second Fix - Nurse Call, Data &amp; Communications &amp; Security</v>
      </c>
      <c r="G2022" s="34" t="s">
        <v>49</v>
      </c>
      <c r="H2022" s="34" t="s">
        <v>1025</v>
      </c>
      <c r="I2022" s="35"/>
      <c r="J2022" s="21">
        <f ca="1">_xlfn.XLOOKUP(Master[[#This Row],[Checklist]],Ref!A:A,Ref!B:B)*1000</f>
        <v>179000</v>
      </c>
      <c r="K2022" s="21">
        <f ca="1">COUNTIF($J$2:Master[[#This Row],[ChecklistID]],Master[[#This Row],[ChecklistID]])-1</f>
        <v>9</v>
      </c>
      <c r="L2022" s="23" t="s">
        <v>6</v>
      </c>
    </row>
    <row r="2023" spans="1:12" ht="15.75">
      <c r="A2023" s="23">
        <f t="shared" si="31"/>
        <v>2010</v>
      </c>
      <c r="B2023" s="21">
        <f ca="1">Master[[#This Row],[ChecklistID]]+Master[[#This Row],[Checklist Order]]</f>
        <v>179010</v>
      </c>
      <c r="C2023" s="22"/>
      <c r="D2023" s="23" t="str" cm="1">
        <f t="array" aca="1" ref="D2023" ca="1">_xlfn.SWITCH(MID(Master[[#This Row],[Checklist]],1,4),"C - ","Civil","F - ","Foundation","ST -","Structure","FC -","Façade","PRE ","Pre-Line","POST","Post-Line","H - ","Handover","S - ","Services","CST ","Completion Docs", "I - ", "Inspection")</f>
        <v>Post-Line</v>
      </c>
      <c r="E20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3" s="24" t="str">
        <f ca="1">IF(OR(Master[[#This Row],[Type]]="checklist", Master[[#This Row],[Type]]="checklist-flat"), Master[[#This Row],[Name]], F2022)</f>
        <v>POST - S - Second Fix - Nurse Call, Data &amp; Communications &amp; Security</v>
      </c>
      <c r="G2023" s="34" t="s">
        <v>49</v>
      </c>
      <c r="H2023" s="34" t="s">
        <v>1026</v>
      </c>
      <c r="I2023" s="35"/>
      <c r="J2023" s="21">
        <f ca="1">_xlfn.XLOOKUP(Master[[#This Row],[Checklist]],Ref!A:A,Ref!B:B)*1000</f>
        <v>179000</v>
      </c>
      <c r="K2023" s="21">
        <f ca="1">COUNTIF($J$2:Master[[#This Row],[ChecklistID]],Master[[#This Row],[ChecklistID]])-1</f>
        <v>10</v>
      </c>
      <c r="L2023" s="23" t="s">
        <v>6</v>
      </c>
    </row>
    <row r="2024" spans="1:12" ht="15.75">
      <c r="A2024" s="23">
        <f t="shared" si="31"/>
        <v>2011</v>
      </c>
      <c r="B2024" s="21">
        <f ca="1">Master[[#This Row],[ChecklistID]]+Master[[#This Row],[Checklist Order]]</f>
        <v>179011</v>
      </c>
      <c r="C2024" s="22"/>
      <c r="D2024" s="23" t="str" cm="1">
        <f t="array" aca="1" ref="D2024" ca="1">_xlfn.SWITCH(MID(Master[[#This Row],[Checklist]],1,4),"C - ","Civil","F - ","Foundation","ST -","Structure","FC -","Façade","PRE ","Pre-Line","POST","Post-Line","H - ","Handover","S - ","Services","CST ","Completion Docs", "I - ", "Inspection")</f>
        <v>Post-Line</v>
      </c>
      <c r="E20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4" s="24" t="str">
        <f ca="1">IF(OR(Master[[#This Row],[Type]]="checklist", Master[[#This Row],[Type]]="checklist-flat"), Master[[#This Row],[Name]], F2023)</f>
        <v>POST - S - Second Fix - Nurse Call, Data &amp; Communications &amp; Security</v>
      </c>
      <c r="G2024" s="34" t="s">
        <v>49</v>
      </c>
      <c r="H2024" s="34" t="s">
        <v>57</v>
      </c>
      <c r="I2024" s="35"/>
      <c r="J2024" s="21">
        <f ca="1">_xlfn.XLOOKUP(Master[[#This Row],[Checklist]],Ref!A:A,Ref!B:B)*1000</f>
        <v>179000</v>
      </c>
      <c r="K2024" s="21">
        <f ca="1">COUNTIF($J$2:Master[[#This Row],[ChecklistID]],Master[[#This Row],[ChecklistID]])-1</f>
        <v>11</v>
      </c>
      <c r="L2024" s="23" t="s">
        <v>6</v>
      </c>
    </row>
    <row r="2025" spans="1:12" ht="15.75">
      <c r="A2025" s="23">
        <f t="shared" si="31"/>
        <v>2012</v>
      </c>
      <c r="B2025" s="21">
        <f ca="1">Master[[#This Row],[ChecklistID]]+Master[[#This Row],[Checklist Order]]</f>
        <v>179012</v>
      </c>
      <c r="C2025" s="22"/>
      <c r="D2025" s="23" t="str" cm="1">
        <f t="array" aca="1" ref="D2025" ca="1">_xlfn.SWITCH(MID(Master[[#This Row],[Checklist]],1,4),"C - ","Civil","F - ","Foundation","ST -","Structure","FC -","Façade","PRE ","Pre-Line","POST","Post-Line","H - ","Handover","S - ","Services","CST ","Completion Docs", "I - ", "Inspection")</f>
        <v>Post-Line</v>
      </c>
      <c r="E20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5" s="24" t="str">
        <f ca="1">IF(OR(Master[[#This Row],[Type]]="checklist", Master[[#This Row],[Type]]="checklist-flat"), Master[[#This Row],[Name]], F2024)</f>
        <v>POST - S - Second Fix - Nurse Call, Data &amp; Communications &amp; Security</v>
      </c>
      <c r="G2025" s="34" t="s">
        <v>58</v>
      </c>
      <c r="H2025" s="34" t="s">
        <v>59</v>
      </c>
      <c r="I2025" s="35"/>
      <c r="J2025" s="21">
        <f ca="1">_xlfn.XLOOKUP(Master[[#This Row],[Checklist]],Ref!A:A,Ref!B:B)*1000</f>
        <v>179000</v>
      </c>
      <c r="K2025" s="21">
        <f ca="1">COUNTIF($J$2:Master[[#This Row],[ChecklistID]],Master[[#This Row],[ChecklistID]])-1</f>
        <v>12</v>
      </c>
      <c r="L2025" s="23" t="s">
        <v>6</v>
      </c>
    </row>
    <row r="2026" spans="1:12" ht="15.75">
      <c r="A2026" s="23">
        <f t="shared" si="31"/>
        <v>2013</v>
      </c>
      <c r="B2026" s="21">
        <f ca="1">Master[[#This Row],[ChecklistID]]+Master[[#This Row],[Checklist Order]]</f>
        <v>180000</v>
      </c>
      <c r="C2026" s="22"/>
      <c r="D2026" s="23" t="str" cm="1">
        <f t="array" aca="1" ref="D2026" ca="1">_xlfn.SWITCH(MID(Master[[#This Row],[Checklist]],1,4),"C - ","Civil","F - ","Foundation","ST -","Structure","FC -","Façade","PRE ","Pre-Line","POST","Post-Line","H - ","Handover","S - ","Services","CST ","Completion Docs", "I - ", "Inspection")</f>
        <v>Services</v>
      </c>
      <c r="E20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6" s="24" t="str">
        <f ca="1">IF(OR(Master[[#This Row],[Type]]="checklist", Master[[#This Row],[Type]]="checklist-flat"), Master[[#This Row],[Name]], F2025)</f>
        <v>S - S - Electrical - Distribution Boards</v>
      </c>
      <c r="G2026" s="34" t="s">
        <v>48</v>
      </c>
      <c r="H2026" s="34" t="s">
        <v>1027</v>
      </c>
      <c r="I2026" s="35"/>
      <c r="J2026" s="21">
        <f ca="1">_xlfn.XLOOKUP(Master[[#This Row],[Checklist]],Ref!A:A,Ref!B:B)*1000</f>
        <v>180000</v>
      </c>
      <c r="K2026" s="21">
        <f ca="1">COUNTIF($J$2:Master[[#This Row],[ChecklistID]],Master[[#This Row],[ChecklistID]])-1</f>
        <v>0</v>
      </c>
      <c r="L2026" s="23" t="s">
        <v>6</v>
      </c>
    </row>
    <row r="2027" spans="1:12" ht="15.75">
      <c r="A2027" s="23">
        <f t="shared" si="31"/>
        <v>2014</v>
      </c>
      <c r="B2027" s="21">
        <f ca="1">Master[[#This Row],[ChecklistID]]+Master[[#This Row],[Checklist Order]]</f>
        <v>180001</v>
      </c>
      <c r="C2027" s="22"/>
      <c r="D2027" s="23" t="str" cm="1">
        <f t="array" aca="1" ref="D2027" ca="1">_xlfn.SWITCH(MID(Master[[#This Row],[Checklist]],1,4),"C - ","Civil","F - ","Foundation","ST -","Structure","FC -","Façade","PRE ","Pre-Line","POST","Post-Line","H - ","Handover","S - ","Services","CST ","Completion Docs", "I - ", "Inspection")</f>
        <v>Services</v>
      </c>
      <c r="E20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7" s="24" t="str">
        <f ca="1">IF(OR(Master[[#This Row],[Type]]="checklist", Master[[#This Row],[Type]]="checklist-flat"), Master[[#This Row],[Name]], F2026)</f>
        <v>S - S - Electrical - Distribution Boards</v>
      </c>
      <c r="G2027" s="34" t="s">
        <v>49</v>
      </c>
      <c r="H2027" s="34" t="s">
        <v>1028</v>
      </c>
      <c r="I2027" s="35"/>
      <c r="J2027" s="21">
        <f ca="1">_xlfn.XLOOKUP(Master[[#This Row],[Checklist]],Ref!A:A,Ref!B:B)*1000</f>
        <v>180000</v>
      </c>
      <c r="K2027" s="21">
        <f ca="1">COUNTIF($J$2:Master[[#This Row],[ChecklistID]],Master[[#This Row],[ChecklistID]])-1</f>
        <v>1</v>
      </c>
      <c r="L2027" s="23" t="s">
        <v>6</v>
      </c>
    </row>
    <row r="2028" spans="1:12" ht="15.75">
      <c r="A2028" s="23">
        <f t="shared" si="31"/>
        <v>2015</v>
      </c>
      <c r="B2028" s="21">
        <f ca="1">Master[[#This Row],[ChecklistID]]+Master[[#This Row],[Checklist Order]]</f>
        <v>180002</v>
      </c>
      <c r="C2028" s="22"/>
      <c r="D2028" s="23" t="str" cm="1">
        <f t="array" aca="1" ref="D2028" ca="1">_xlfn.SWITCH(MID(Master[[#This Row],[Checklist]],1,4),"C - ","Civil","F - ","Foundation","ST -","Structure","FC -","Façade","PRE ","Pre-Line","POST","Post-Line","H - ","Handover","S - ","Services","CST ","Completion Docs", "I - ", "Inspection")</f>
        <v>Services</v>
      </c>
      <c r="E20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8" s="24" t="str">
        <f ca="1">IF(OR(Master[[#This Row],[Type]]="checklist", Master[[#This Row],[Type]]="checklist-flat"), Master[[#This Row],[Name]], F2027)</f>
        <v>S - S - Electrical - Distribution Boards</v>
      </c>
      <c r="G2028" s="34" t="s">
        <v>124</v>
      </c>
      <c r="H2028" s="34" t="s">
        <v>1029</v>
      </c>
      <c r="I2028" s="35"/>
      <c r="J2028" s="21">
        <f ca="1">_xlfn.XLOOKUP(Master[[#This Row],[Checklist]],Ref!A:A,Ref!B:B)*1000</f>
        <v>180000</v>
      </c>
      <c r="K2028" s="21">
        <f ca="1">COUNTIF($J$2:Master[[#This Row],[ChecklistID]],Master[[#This Row],[ChecklistID]])-1</f>
        <v>2</v>
      </c>
      <c r="L2028" s="23" t="s">
        <v>6</v>
      </c>
    </row>
    <row r="2029" spans="1:12" ht="15.75">
      <c r="A2029" s="23">
        <f t="shared" si="31"/>
        <v>2016</v>
      </c>
      <c r="B2029" s="21">
        <f ca="1">Master[[#This Row],[ChecklistID]]+Master[[#This Row],[Checklist Order]]</f>
        <v>180003</v>
      </c>
      <c r="C2029" s="22"/>
      <c r="D2029" s="23" t="str" cm="1">
        <f t="array" aca="1" ref="D2029" ca="1">_xlfn.SWITCH(MID(Master[[#This Row],[Checklist]],1,4),"C - ","Civil","F - ","Foundation","ST -","Structure","FC -","Façade","PRE ","Pre-Line","POST","Post-Line","H - ","Handover","S - ","Services","CST ","Completion Docs", "I - ", "Inspection")</f>
        <v>Services</v>
      </c>
      <c r="E20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29" s="24" t="str">
        <f ca="1">IF(OR(Master[[#This Row],[Type]]="checklist", Master[[#This Row],[Type]]="checklist-flat"), Master[[#This Row],[Name]], F2028)</f>
        <v>S - S - Electrical - Distribution Boards</v>
      </c>
      <c r="G2029" s="34" t="s">
        <v>124</v>
      </c>
      <c r="H2029" s="34" t="s">
        <v>1030</v>
      </c>
      <c r="I2029" s="35"/>
      <c r="J2029" s="21">
        <f ca="1">_xlfn.XLOOKUP(Master[[#This Row],[Checklist]],Ref!A:A,Ref!B:B)*1000</f>
        <v>180000</v>
      </c>
      <c r="K2029" s="21">
        <f ca="1">COUNTIF($J$2:Master[[#This Row],[ChecklistID]],Master[[#This Row],[ChecklistID]])-1</f>
        <v>3</v>
      </c>
      <c r="L2029" s="23" t="s">
        <v>6</v>
      </c>
    </row>
    <row r="2030" spans="1:12" ht="15.75">
      <c r="A2030" s="23">
        <f t="shared" si="31"/>
        <v>2017</v>
      </c>
      <c r="B2030" s="21">
        <f ca="1">Master[[#This Row],[ChecklistID]]+Master[[#This Row],[Checklist Order]]</f>
        <v>180004</v>
      </c>
      <c r="C2030" s="22"/>
      <c r="D2030" s="23" t="str" cm="1">
        <f t="array" aca="1" ref="D2030" ca="1">_xlfn.SWITCH(MID(Master[[#This Row],[Checklist]],1,4),"C - ","Civil","F - ","Foundation","ST -","Structure","FC -","Façade","PRE ","Pre-Line","POST","Post-Line","H - ","Handover","S - ","Services","CST ","Completion Docs", "I - ", "Inspection")</f>
        <v>Services</v>
      </c>
      <c r="E20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0" s="24" t="str">
        <f ca="1">IF(OR(Master[[#This Row],[Type]]="checklist", Master[[#This Row],[Type]]="checklist-flat"), Master[[#This Row],[Name]], F2029)</f>
        <v>S - S - Electrical - Distribution Boards</v>
      </c>
      <c r="G2030" s="34" t="s">
        <v>124</v>
      </c>
      <c r="H2030" s="34" t="s">
        <v>1031</v>
      </c>
      <c r="I2030" s="35"/>
      <c r="J2030" s="21">
        <f ca="1">_xlfn.XLOOKUP(Master[[#This Row],[Checklist]],Ref!A:A,Ref!B:B)*1000</f>
        <v>180000</v>
      </c>
      <c r="K2030" s="21">
        <f ca="1">COUNTIF($J$2:Master[[#This Row],[ChecklistID]],Master[[#This Row],[ChecklistID]])-1</f>
        <v>4</v>
      </c>
      <c r="L2030" s="23" t="s">
        <v>6</v>
      </c>
    </row>
    <row r="2031" spans="1:12" ht="15.75">
      <c r="A2031" s="23">
        <f t="shared" si="31"/>
        <v>2018</v>
      </c>
      <c r="B2031" s="21">
        <f ca="1">Master[[#This Row],[ChecklistID]]+Master[[#This Row],[Checklist Order]]</f>
        <v>180005</v>
      </c>
      <c r="C2031" s="22"/>
      <c r="D2031" s="23" t="str" cm="1">
        <f t="array" aca="1" ref="D2031" ca="1">_xlfn.SWITCH(MID(Master[[#This Row],[Checklist]],1,4),"C - ","Civil","F - ","Foundation","ST -","Structure","FC -","Façade","PRE ","Pre-Line","POST","Post-Line","H - ","Handover","S - ","Services","CST ","Completion Docs", "I - ", "Inspection")</f>
        <v>Services</v>
      </c>
      <c r="E20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1" s="24" t="str">
        <f ca="1">IF(OR(Master[[#This Row],[Type]]="checklist", Master[[#This Row],[Type]]="checklist-flat"), Master[[#This Row],[Name]], F2030)</f>
        <v>S - S - Electrical - Distribution Boards</v>
      </c>
      <c r="G2031" s="34" t="s">
        <v>124</v>
      </c>
      <c r="H2031" s="34" t="s">
        <v>1032</v>
      </c>
      <c r="I2031" s="35"/>
      <c r="J2031" s="21">
        <f ca="1">_xlfn.XLOOKUP(Master[[#This Row],[Checklist]],Ref!A:A,Ref!B:B)*1000</f>
        <v>180000</v>
      </c>
      <c r="K2031" s="21">
        <f ca="1">COUNTIF($J$2:Master[[#This Row],[ChecklistID]],Master[[#This Row],[ChecklistID]])-1</f>
        <v>5</v>
      </c>
      <c r="L2031" s="23" t="s">
        <v>6</v>
      </c>
    </row>
    <row r="2032" spans="1:12" ht="15.75">
      <c r="A2032" s="23">
        <f t="shared" si="31"/>
        <v>2019</v>
      </c>
      <c r="B2032" s="21">
        <f ca="1">Master[[#This Row],[ChecklistID]]+Master[[#This Row],[Checklist Order]]</f>
        <v>180006</v>
      </c>
      <c r="C2032" s="22"/>
      <c r="D2032" s="23" t="str" cm="1">
        <f t="array" aca="1" ref="D2032" ca="1">_xlfn.SWITCH(MID(Master[[#This Row],[Checklist]],1,4),"C - ","Civil","F - ","Foundation","ST -","Structure","FC -","Façade","PRE ","Pre-Line","POST","Post-Line","H - ","Handover","S - ","Services","CST ","Completion Docs", "I - ", "Inspection")</f>
        <v>Services</v>
      </c>
      <c r="E20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2" s="24" t="str">
        <f ca="1">IF(OR(Master[[#This Row],[Type]]="checklist", Master[[#This Row],[Type]]="checklist-flat"), Master[[#This Row],[Name]], F2031)</f>
        <v>S - S - Electrical - Distribution Boards</v>
      </c>
      <c r="G2032" s="34" t="s">
        <v>124</v>
      </c>
      <c r="H2032" s="34" t="s">
        <v>1033</v>
      </c>
      <c r="I2032" s="35"/>
      <c r="J2032" s="21">
        <f ca="1">_xlfn.XLOOKUP(Master[[#This Row],[Checklist]],Ref!A:A,Ref!B:B)*1000</f>
        <v>180000</v>
      </c>
      <c r="K2032" s="21">
        <f ca="1">COUNTIF($J$2:Master[[#This Row],[ChecklistID]],Master[[#This Row],[ChecklistID]])-1</f>
        <v>6</v>
      </c>
      <c r="L2032" s="23" t="s">
        <v>6</v>
      </c>
    </row>
    <row r="2033" spans="1:12" ht="15.75">
      <c r="A2033" s="23">
        <f t="shared" si="31"/>
        <v>2020</v>
      </c>
      <c r="B2033" s="21">
        <f ca="1">Master[[#This Row],[ChecklistID]]+Master[[#This Row],[Checklist Order]]</f>
        <v>180007</v>
      </c>
      <c r="C2033" s="22"/>
      <c r="D2033" s="23" t="str" cm="1">
        <f t="array" aca="1" ref="D2033" ca="1">_xlfn.SWITCH(MID(Master[[#This Row],[Checklist]],1,4),"C - ","Civil","F - ","Foundation","ST -","Structure","FC -","Façade","PRE ","Pre-Line","POST","Post-Line","H - ","Handover","S - ","Services","CST ","Completion Docs", "I - ", "Inspection")</f>
        <v>Services</v>
      </c>
      <c r="E20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3" s="24" t="str">
        <f ca="1">IF(OR(Master[[#This Row],[Type]]="checklist", Master[[#This Row],[Type]]="checklist-flat"), Master[[#This Row],[Name]], F2032)</f>
        <v>S - S - Electrical - Distribution Boards</v>
      </c>
      <c r="G2033" s="34" t="s">
        <v>1034</v>
      </c>
      <c r="H2033" s="34" t="s">
        <v>1035</v>
      </c>
      <c r="I2033" s="35"/>
      <c r="J2033" s="21">
        <f ca="1">_xlfn.XLOOKUP(Master[[#This Row],[Checklist]],Ref!A:A,Ref!B:B)*1000</f>
        <v>180000</v>
      </c>
      <c r="K2033" s="21">
        <f ca="1">COUNTIF($J$2:Master[[#This Row],[ChecklistID]],Master[[#This Row],[ChecklistID]])-1</f>
        <v>7</v>
      </c>
      <c r="L2033" s="23" t="s">
        <v>6</v>
      </c>
    </row>
    <row r="2034" spans="1:12" ht="15.75">
      <c r="A2034" s="23">
        <f t="shared" si="31"/>
        <v>2021</v>
      </c>
      <c r="B2034" s="21">
        <f ca="1">Master[[#This Row],[ChecklistID]]+Master[[#This Row],[Checklist Order]]</f>
        <v>180008</v>
      </c>
      <c r="C2034" s="22"/>
      <c r="D2034" s="23" t="str" cm="1">
        <f t="array" aca="1" ref="D2034" ca="1">_xlfn.SWITCH(MID(Master[[#This Row],[Checklist]],1,4),"C - ","Civil","F - ","Foundation","ST -","Structure","FC -","Façade","PRE ","Pre-Line","POST","Post-Line","H - ","Handover","S - ","Services","CST ","Completion Docs", "I - ", "Inspection")</f>
        <v>Services</v>
      </c>
      <c r="E20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4" s="24" t="str">
        <f ca="1">IF(OR(Master[[#This Row],[Type]]="checklist", Master[[#This Row],[Type]]="checklist-flat"), Master[[#This Row],[Name]], F2033)</f>
        <v>S - S - Electrical - Distribution Boards</v>
      </c>
      <c r="G2034" s="34" t="s">
        <v>124</v>
      </c>
      <c r="H2034" s="34" t="s">
        <v>1036</v>
      </c>
      <c r="I2034" s="35"/>
      <c r="J2034" s="21">
        <f ca="1">_xlfn.XLOOKUP(Master[[#This Row],[Checklist]],Ref!A:A,Ref!B:B)*1000</f>
        <v>180000</v>
      </c>
      <c r="K2034" s="21">
        <f ca="1">COUNTIF($J$2:Master[[#This Row],[ChecklistID]],Master[[#This Row],[ChecklistID]])-1</f>
        <v>8</v>
      </c>
      <c r="L2034" s="23" t="s">
        <v>6</v>
      </c>
    </row>
    <row r="2035" spans="1:12" ht="15.75">
      <c r="A2035" s="23">
        <f t="shared" si="31"/>
        <v>2022</v>
      </c>
      <c r="B2035" s="21">
        <f ca="1">Master[[#This Row],[ChecklistID]]+Master[[#This Row],[Checklist Order]]</f>
        <v>180009</v>
      </c>
      <c r="C2035" s="22"/>
      <c r="D2035" s="23" t="str" cm="1">
        <f t="array" aca="1" ref="D2035" ca="1">_xlfn.SWITCH(MID(Master[[#This Row],[Checklist]],1,4),"C - ","Civil","F - ","Foundation","ST -","Structure","FC -","Façade","PRE ","Pre-Line","POST","Post-Line","H - ","Handover","S - ","Services","CST ","Completion Docs", "I - ", "Inspection")</f>
        <v>Services</v>
      </c>
      <c r="E20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5" s="24" t="str">
        <f ca="1">IF(OR(Master[[#This Row],[Type]]="checklist", Master[[#This Row],[Type]]="checklist-flat"), Master[[#This Row],[Name]], F2034)</f>
        <v>S - S - Electrical - Distribution Boards</v>
      </c>
      <c r="G2035" s="34" t="s">
        <v>124</v>
      </c>
      <c r="H2035" s="34" t="s">
        <v>1037</v>
      </c>
      <c r="I2035" s="35"/>
      <c r="J2035" s="21">
        <f ca="1">_xlfn.XLOOKUP(Master[[#This Row],[Checklist]],Ref!A:A,Ref!B:B)*1000</f>
        <v>180000</v>
      </c>
      <c r="K2035" s="21">
        <f ca="1">COUNTIF($J$2:Master[[#This Row],[ChecklistID]],Master[[#This Row],[ChecklistID]])-1</f>
        <v>9</v>
      </c>
      <c r="L2035" s="23" t="s">
        <v>6</v>
      </c>
    </row>
    <row r="2036" spans="1:12" ht="15.75">
      <c r="A2036" s="23">
        <f t="shared" ref="A2036:A2099" si="32">IFERROR(A2035+1,1)</f>
        <v>2023</v>
      </c>
      <c r="B2036" s="21">
        <f ca="1">Master[[#This Row],[ChecklistID]]+Master[[#This Row],[Checklist Order]]</f>
        <v>180010</v>
      </c>
      <c r="C2036" s="22"/>
      <c r="D2036" s="23" t="str" cm="1">
        <f t="array" aca="1" ref="D2036" ca="1">_xlfn.SWITCH(MID(Master[[#This Row],[Checklist]],1,4),"C - ","Civil","F - ","Foundation","ST -","Structure","FC -","Façade","PRE ","Pre-Line","POST","Post-Line","H - ","Handover","S - ","Services","CST ","Completion Docs", "I - ", "Inspection")</f>
        <v>Services</v>
      </c>
      <c r="E20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6" s="24" t="str">
        <f ca="1">IF(OR(Master[[#This Row],[Type]]="checklist", Master[[#This Row],[Type]]="checklist-flat"), Master[[#This Row],[Name]], F2035)</f>
        <v>S - S - Electrical - Distribution Boards</v>
      </c>
      <c r="G2036" s="34" t="s">
        <v>124</v>
      </c>
      <c r="H2036" s="34" t="s">
        <v>1038</v>
      </c>
      <c r="I2036" s="35"/>
      <c r="J2036" s="21">
        <f ca="1">_xlfn.XLOOKUP(Master[[#This Row],[Checklist]],Ref!A:A,Ref!B:B)*1000</f>
        <v>180000</v>
      </c>
      <c r="K2036" s="21">
        <f ca="1">COUNTIF($J$2:Master[[#This Row],[ChecklistID]],Master[[#This Row],[ChecklistID]])-1</f>
        <v>10</v>
      </c>
      <c r="L2036" s="23" t="s">
        <v>6</v>
      </c>
    </row>
    <row r="2037" spans="1:12" ht="15.75">
      <c r="A2037" s="23">
        <f t="shared" si="32"/>
        <v>2024</v>
      </c>
      <c r="B2037" s="21">
        <f ca="1">Master[[#This Row],[ChecklistID]]+Master[[#This Row],[Checklist Order]]</f>
        <v>180011</v>
      </c>
      <c r="C2037" s="22"/>
      <c r="D2037" s="23" t="str" cm="1">
        <f t="array" aca="1" ref="D2037" ca="1">_xlfn.SWITCH(MID(Master[[#This Row],[Checklist]],1,4),"C - ","Civil","F - ","Foundation","ST -","Structure","FC -","Façade","PRE ","Pre-Line","POST","Post-Line","H - ","Handover","S - ","Services","CST ","Completion Docs", "I - ", "Inspection")</f>
        <v>Services</v>
      </c>
      <c r="E20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7" s="24" t="str">
        <f ca="1">IF(OR(Master[[#This Row],[Type]]="checklist", Master[[#This Row],[Type]]="checklist-flat"), Master[[#This Row],[Name]], F2036)</f>
        <v>S - S - Electrical - Distribution Boards</v>
      </c>
      <c r="G2037" s="34" t="s">
        <v>49</v>
      </c>
      <c r="H2037" s="34" t="s">
        <v>1039</v>
      </c>
      <c r="I2037" s="35"/>
      <c r="J2037" s="21">
        <f ca="1">_xlfn.XLOOKUP(Master[[#This Row],[Checklist]],Ref!A:A,Ref!B:B)*1000</f>
        <v>180000</v>
      </c>
      <c r="K2037" s="21">
        <f ca="1">COUNTIF($J$2:Master[[#This Row],[ChecklistID]],Master[[#This Row],[ChecklistID]])-1</f>
        <v>11</v>
      </c>
      <c r="L2037" s="23" t="s">
        <v>6</v>
      </c>
    </row>
    <row r="2038" spans="1:12" ht="15.75">
      <c r="A2038" s="23">
        <f t="shared" si="32"/>
        <v>2025</v>
      </c>
      <c r="B2038" s="21">
        <f ca="1">Master[[#This Row],[ChecklistID]]+Master[[#This Row],[Checklist Order]]</f>
        <v>180012</v>
      </c>
      <c r="C2038" s="22"/>
      <c r="D2038" s="23" t="str" cm="1">
        <f t="array" aca="1" ref="D2038" ca="1">_xlfn.SWITCH(MID(Master[[#This Row],[Checklist]],1,4),"C - ","Civil","F - ","Foundation","ST -","Structure","FC -","Façade","PRE ","Pre-Line","POST","Post-Line","H - ","Handover","S - ","Services","CST ","Completion Docs", "I - ", "Inspection")</f>
        <v>Services</v>
      </c>
      <c r="E20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8" s="24" t="str">
        <f ca="1">IF(OR(Master[[#This Row],[Type]]="checklist", Master[[#This Row],[Type]]="checklist-flat"), Master[[#This Row],[Name]], F2037)</f>
        <v>S - S - Electrical - Distribution Boards</v>
      </c>
      <c r="G2038" s="34" t="s">
        <v>49</v>
      </c>
      <c r="H2038" s="34" t="s">
        <v>57</v>
      </c>
      <c r="I2038" s="35"/>
      <c r="J2038" s="21">
        <f ca="1">_xlfn.XLOOKUP(Master[[#This Row],[Checklist]],Ref!A:A,Ref!B:B)*1000</f>
        <v>180000</v>
      </c>
      <c r="K2038" s="21">
        <f ca="1">COUNTIF($J$2:Master[[#This Row],[ChecklistID]],Master[[#This Row],[ChecklistID]])-1</f>
        <v>12</v>
      </c>
      <c r="L2038" s="23" t="s">
        <v>6</v>
      </c>
    </row>
    <row r="2039" spans="1:12" ht="15.75">
      <c r="A2039" s="23">
        <f t="shared" si="32"/>
        <v>2026</v>
      </c>
      <c r="B2039" s="21">
        <f ca="1">Master[[#This Row],[ChecklistID]]+Master[[#This Row],[Checklist Order]]</f>
        <v>180013</v>
      </c>
      <c r="C2039" s="22"/>
      <c r="D2039" s="23" t="str" cm="1">
        <f t="array" aca="1" ref="D2039" ca="1">_xlfn.SWITCH(MID(Master[[#This Row],[Checklist]],1,4),"C - ","Civil","F - ","Foundation","ST -","Structure","FC -","Façade","PRE ","Pre-Line","POST","Post-Line","H - ","Handover","S - ","Services","CST ","Completion Docs", "I - ", "Inspection")</f>
        <v>Services</v>
      </c>
      <c r="E20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39" s="24" t="str">
        <f ca="1">IF(OR(Master[[#This Row],[Type]]="checklist", Master[[#This Row],[Type]]="checklist-flat"), Master[[#This Row],[Name]], F2038)</f>
        <v>S - S - Electrical - Distribution Boards</v>
      </c>
      <c r="G2039" s="34" t="s">
        <v>58</v>
      </c>
      <c r="H2039" s="34" t="s">
        <v>59</v>
      </c>
      <c r="I2039" s="35"/>
      <c r="J2039" s="21">
        <f ca="1">_xlfn.XLOOKUP(Master[[#This Row],[Checklist]],Ref!A:A,Ref!B:B)*1000</f>
        <v>180000</v>
      </c>
      <c r="K2039" s="21">
        <f ca="1">COUNTIF($J$2:Master[[#This Row],[ChecklistID]],Master[[#This Row],[ChecklistID]])-1</f>
        <v>13</v>
      </c>
      <c r="L2039" s="23" t="s">
        <v>6</v>
      </c>
    </row>
    <row r="2040" spans="1:12" ht="15.75">
      <c r="A2040" s="23">
        <f t="shared" si="32"/>
        <v>2027</v>
      </c>
      <c r="B2040" s="21">
        <f ca="1">Master[[#This Row],[ChecklistID]]+Master[[#This Row],[Checklist Order]]</f>
        <v>181000</v>
      </c>
      <c r="C2040" s="22"/>
      <c r="D2040" s="23" t="str" cm="1">
        <f t="array" aca="1" ref="D2040" ca="1">_xlfn.SWITCH(MID(Master[[#This Row],[Checklist]],1,4),"C - ","Civil","F - ","Foundation","ST -","Structure","FC -","Façade","PRE ","Pre-Line","POST","Post-Line","H - ","Handover","S - ","Services","CST ","Completion Docs", "I - ", "Inspection")</f>
        <v>Services</v>
      </c>
      <c r="E20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0" s="24" t="str">
        <f ca="1">IF(OR(Master[[#This Row],[Type]]="checklist", Master[[#This Row],[Type]]="checklist-flat"), Master[[#This Row],[Name]], F2039)</f>
        <v>S - S - Electrical - Cable Trays</v>
      </c>
      <c r="G2040" s="34" t="s">
        <v>48</v>
      </c>
      <c r="H2040" s="34" t="s">
        <v>1040</v>
      </c>
      <c r="I2040" s="35"/>
      <c r="J2040" s="21">
        <f ca="1">_xlfn.XLOOKUP(Master[[#This Row],[Checklist]],Ref!A:A,Ref!B:B)*1000</f>
        <v>181000</v>
      </c>
      <c r="K2040" s="21">
        <f ca="1">COUNTIF($J$2:Master[[#This Row],[ChecklistID]],Master[[#This Row],[ChecklistID]])-1</f>
        <v>0</v>
      </c>
      <c r="L2040" s="23" t="s">
        <v>6</v>
      </c>
    </row>
    <row r="2041" spans="1:12" ht="15.75">
      <c r="A2041" s="23">
        <f t="shared" si="32"/>
        <v>2028</v>
      </c>
      <c r="B2041" s="21">
        <f ca="1">Master[[#This Row],[ChecklistID]]+Master[[#This Row],[Checklist Order]]</f>
        <v>181001</v>
      </c>
      <c r="C2041" s="22"/>
      <c r="D2041" s="23" t="str" cm="1">
        <f t="array" aca="1" ref="D2041" ca="1">_xlfn.SWITCH(MID(Master[[#This Row],[Checklist]],1,4),"C - ","Civil","F - ","Foundation","ST -","Structure","FC -","Façade","PRE ","Pre-Line","POST","Post-Line","H - ","Handover","S - ","Services","CST ","Completion Docs", "I - ", "Inspection")</f>
        <v>Services</v>
      </c>
      <c r="E20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1" s="24" t="str">
        <f ca="1">IF(OR(Master[[#This Row],[Type]]="checklist", Master[[#This Row],[Type]]="checklist-flat"), Master[[#This Row],[Name]], F2040)</f>
        <v>S - S - Electrical - Cable Trays</v>
      </c>
      <c r="G2041" s="34" t="s">
        <v>49</v>
      </c>
      <c r="H2041" s="34" t="s">
        <v>1041</v>
      </c>
      <c r="I2041" s="35"/>
      <c r="J2041" s="21">
        <f ca="1">_xlfn.XLOOKUP(Master[[#This Row],[Checklist]],Ref!A:A,Ref!B:B)*1000</f>
        <v>181000</v>
      </c>
      <c r="K2041" s="21">
        <f ca="1">COUNTIF($J$2:Master[[#This Row],[ChecklistID]],Master[[#This Row],[ChecklistID]])-1</f>
        <v>1</v>
      </c>
      <c r="L2041" s="23" t="s">
        <v>6</v>
      </c>
    </row>
    <row r="2042" spans="1:12" ht="15.75">
      <c r="A2042" s="23">
        <f t="shared" si="32"/>
        <v>2029</v>
      </c>
      <c r="B2042" s="21">
        <f ca="1">Master[[#This Row],[ChecklistID]]+Master[[#This Row],[Checklist Order]]</f>
        <v>181002</v>
      </c>
      <c r="C2042" s="22"/>
      <c r="D2042" s="23" t="str" cm="1">
        <f t="array" aca="1" ref="D2042" ca="1">_xlfn.SWITCH(MID(Master[[#This Row],[Checklist]],1,4),"C - ","Civil","F - ","Foundation","ST -","Structure","FC -","Façade","PRE ","Pre-Line","POST","Post-Line","H - ","Handover","S - ","Services","CST ","Completion Docs", "I - ", "Inspection")</f>
        <v>Services</v>
      </c>
      <c r="E20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2" s="24" t="str">
        <f ca="1">IF(OR(Master[[#This Row],[Type]]="checklist", Master[[#This Row],[Type]]="checklist-flat"), Master[[#This Row],[Name]], F2041)</f>
        <v>S - S - Electrical - Cable Trays</v>
      </c>
      <c r="G2042" s="34" t="s">
        <v>49</v>
      </c>
      <c r="H2042" s="34" t="s">
        <v>1042</v>
      </c>
      <c r="I2042" s="35"/>
      <c r="J2042" s="21">
        <f ca="1">_xlfn.XLOOKUP(Master[[#This Row],[Checklist]],Ref!A:A,Ref!B:B)*1000</f>
        <v>181000</v>
      </c>
      <c r="K2042" s="21">
        <f ca="1">COUNTIF($J$2:Master[[#This Row],[ChecklistID]],Master[[#This Row],[ChecklistID]])-1</f>
        <v>2</v>
      </c>
      <c r="L2042" s="23" t="s">
        <v>6</v>
      </c>
    </row>
    <row r="2043" spans="1:12" ht="15.75">
      <c r="A2043" s="23">
        <f t="shared" si="32"/>
        <v>2030</v>
      </c>
      <c r="B2043" s="21">
        <f ca="1">Master[[#This Row],[ChecklistID]]+Master[[#This Row],[Checklist Order]]</f>
        <v>181003</v>
      </c>
      <c r="C2043" s="22"/>
      <c r="D2043" s="23" t="str" cm="1">
        <f t="array" aca="1" ref="D2043" ca="1">_xlfn.SWITCH(MID(Master[[#This Row],[Checklist]],1,4),"C - ","Civil","F - ","Foundation","ST -","Structure","FC -","Façade","PRE ","Pre-Line","POST","Post-Line","H - ","Handover","S - ","Services","CST ","Completion Docs", "I - ", "Inspection")</f>
        <v>Services</v>
      </c>
      <c r="E20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3" s="24" t="str">
        <f ca="1">IF(OR(Master[[#This Row],[Type]]="checklist", Master[[#This Row],[Type]]="checklist-flat"), Master[[#This Row],[Name]], F2042)</f>
        <v>S - S - Electrical - Cable Trays</v>
      </c>
      <c r="G2043" s="34" t="s">
        <v>49</v>
      </c>
      <c r="H2043" s="34" t="s">
        <v>1043</v>
      </c>
      <c r="I2043" s="35"/>
      <c r="J2043" s="21">
        <f ca="1">_xlfn.XLOOKUP(Master[[#This Row],[Checklist]],Ref!A:A,Ref!B:B)*1000</f>
        <v>181000</v>
      </c>
      <c r="K2043" s="21">
        <f ca="1">COUNTIF($J$2:Master[[#This Row],[ChecklistID]],Master[[#This Row],[ChecklistID]])-1</f>
        <v>3</v>
      </c>
      <c r="L2043" s="23" t="s">
        <v>6</v>
      </c>
    </row>
    <row r="2044" spans="1:12" ht="15.75">
      <c r="A2044" s="23">
        <f t="shared" si="32"/>
        <v>2031</v>
      </c>
      <c r="B2044" s="21">
        <f ca="1">Master[[#This Row],[ChecklistID]]+Master[[#This Row],[Checklist Order]]</f>
        <v>181004</v>
      </c>
      <c r="C2044" s="22"/>
      <c r="D2044" s="23" t="str" cm="1">
        <f t="array" aca="1" ref="D2044" ca="1">_xlfn.SWITCH(MID(Master[[#This Row],[Checklist]],1,4),"C - ","Civil","F - ","Foundation","ST -","Structure","FC -","Façade","PRE ","Pre-Line","POST","Post-Line","H - ","Handover","S - ","Services","CST ","Completion Docs", "I - ", "Inspection")</f>
        <v>Services</v>
      </c>
      <c r="E20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4" s="24" t="str">
        <f ca="1">IF(OR(Master[[#This Row],[Type]]="checklist", Master[[#This Row],[Type]]="checklist-flat"), Master[[#This Row],[Name]], F2043)</f>
        <v>S - S - Electrical - Cable Trays</v>
      </c>
      <c r="G2044" s="34" t="s">
        <v>49</v>
      </c>
      <c r="H2044" s="34" t="s">
        <v>1044</v>
      </c>
      <c r="I2044" s="35"/>
      <c r="J2044" s="21">
        <f ca="1">_xlfn.XLOOKUP(Master[[#This Row],[Checklist]],Ref!A:A,Ref!B:B)*1000</f>
        <v>181000</v>
      </c>
      <c r="K2044" s="21">
        <f ca="1">COUNTIF($J$2:Master[[#This Row],[ChecklistID]],Master[[#This Row],[ChecklistID]])-1</f>
        <v>4</v>
      </c>
      <c r="L2044" s="23" t="s">
        <v>6</v>
      </c>
    </row>
    <row r="2045" spans="1:12" ht="15.75">
      <c r="A2045" s="23">
        <f t="shared" si="32"/>
        <v>2032</v>
      </c>
      <c r="B2045" s="21">
        <f ca="1">Master[[#This Row],[ChecklistID]]+Master[[#This Row],[Checklist Order]]</f>
        <v>181005</v>
      </c>
      <c r="C2045" s="22"/>
      <c r="D2045" s="23" t="str" cm="1">
        <f t="array" aca="1" ref="D2045" ca="1">_xlfn.SWITCH(MID(Master[[#This Row],[Checklist]],1,4),"C - ","Civil","F - ","Foundation","ST -","Structure","FC -","Façade","PRE ","Pre-Line","POST","Post-Line","H - ","Handover","S - ","Services","CST ","Completion Docs", "I - ", "Inspection")</f>
        <v>Services</v>
      </c>
      <c r="E20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5" s="24" t="str">
        <f ca="1">IF(OR(Master[[#This Row],[Type]]="checklist", Master[[#This Row],[Type]]="checklist-flat"), Master[[#This Row],[Name]], F2044)</f>
        <v>S - S - Electrical - Cable Trays</v>
      </c>
      <c r="G2045" s="34" t="s">
        <v>49</v>
      </c>
      <c r="H2045" s="34" t="s">
        <v>1045</v>
      </c>
      <c r="I2045" s="35"/>
      <c r="J2045" s="21">
        <f ca="1">_xlfn.XLOOKUP(Master[[#This Row],[Checklist]],Ref!A:A,Ref!B:B)*1000</f>
        <v>181000</v>
      </c>
      <c r="K2045" s="21">
        <f ca="1">COUNTIF($J$2:Master[[#This Row],[ChecklistID]],Master[[#This Row],[ChecklistID]])-1</f>
        <v>5</v>
      </c>
      <c r="L2045" s="23" t="s">
        <v>6</v>
      </c>
    </row>
    <row r="2046" spans="1:12" ht="15.75">
      <c r="A2046" s="23">
        <f t="shared" si="32"/>
        <v>2033</v>
      </c>
      <c r="B2046" s="21">
        <f ca="1">Master[[#This Row],[ChecklistID]]+Master[[#This Row],[Checklist Order]]</f>
        <v>181006</v>
      </c>
      <c r="C2046" s="22"/>
      <c r="D2046" s="23" t="str" cm="1">
        <f t="array" aca="1" ref="D2046" ca="1">_xlfn.SWITCH(MID(Master[[#This Row],[Checklist]],1,4),"C - ","Civil","F - ","Foundation","ST -","Structure","FC -","Façade","PRE ","Pre-Line","POST","Post-Line","H - ","Handover","S - ","Services","CST ","Completion Docs", "I - ", "Inspection")</f>
        <v>Services</v>
      </c>
      <c r="E20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6" s="24" t="str">
        <f ca="1">IF(OR(Master[[#This Row],[Type]]="checklist", Master[[#This Row],[Type]]="checklist-flat"), Master[[#This Row],[Name]], F2045)</f>
        <v>S - S - Electrical - Cable Trays</v>
      </c>
      <c r="G2046" s="34" t="s">
        <v>49</v>
      </c>
      <c r="H2046" s="34" t="s">
        <v>1046</v>
      </c>
      <c r="I2046" s="35"/>
      <c r="J2046" s="21">
        <f ca="1">_xlfn.XLOOKUP(Master[[#This Row],[Checklist]],Ref!A:A,Ref!B:B)*1000</f>
        <v>181000</v>
      </c>
      <c r="K2046" s="21">
        <f ca="1">COUNTIF($J$2:Master[[#This Row],[ChecklistID]],Master[[#This Row],[ChecklistID]])-1</f>
        <v>6</v>
      </c>
      <c r="L2046" s="23" t="s">
        <v>6</v>
      </c>
    </row>
    <row r="2047" spans="1:12" ht="15.75">
      <c r="A2047" s="23">
        <f t="shared" si="32"/>
        <v>2034</v>
      </c>
      <c r="B2047" s="21">
        <f ca="1">Master[[#This Row],[ChecklistID]]+Master[[#This Row],[Checklist Order]]</f>
        <v>181007</v>
      </c>
      <c r="C2047" s="22"/>
      <c r="D2047" s="23" t="str" cm="1">
        <f t="array" aca="1" ref="D2047" ca="1">_xlfn.SWITCH(MID(Master[[#This Row],[Checklist]],1,4),"C - ","Civil","F - ","Foundation","ST -","Structure","FC -","Façade","PRE ","Pre-Line","POST","Post-Line","H - ","Handover","S - ","Services","CST ","Completion Docs", "I - ", "Inspection")</f>
        <v>Services</v>
      </c>
      <c r="E20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7" s="24" t="str">
        <f ca="1">IF(OR(Master[[#This Row],[Type]]="checklist", Master[[#This Row],[Type]]="checklist-flat"), Master[[#This Row],[Name]], F2046)</f>
        <v>S - S - Electrical - Cable Trays</v>
      </c>
      <c r="G2047" s="34" t="s">
        <v>49</v>
      </c>
      <c r="H2047" s="34" t="s">
        <v>1047</v>
      </c>
      <c r="I2047" s="35"/>
      <c r="J2047" s="21">
        <f ca="1">_xlfn.XLOOKUP(Master[[#This Row],[Checklist]],Ref!A:A,Ref!B:B)*1000</f>
        <v>181000</v>
      </c>
      <c r="K2047" s="21">
        <f ca="1">COUNTIF($J$2:Master[[#This Row],[ChecklistID]],Master[[#This Row],[ChecklistID]])-1</f>
        <v>7</v>
      </c>
      <c r="L2047" s="23" t="s">
        <v>6</v>
      </c>
    </row>
    <row r="2048" spans="1:12" ht="15.75">
      <c r="A2048" s="23">
        <f t="shared" si="32"/>
        <v>2035</v>
      </c>
      <c r="B2048" s="21">
        <f ca="1">Master[[#This Row],[ChecklistID]]+Master[[#This Row],[Checklist Order]]</f>
        <v>181008</v>
      </c>
      <c r="C2048" s="22"/>
      <c r="D2048" s="23" t="str" cm="1">
        <f t="array" aca="1" ref="D2048" ca="1">_xlfn.SWITCH(MID(Master[[#This Row],[Checklist]],1,4),"C - ","Civil","F - ","Foundation","ST -","Structure","FC -","Façade","PRE ","Pre-Line","POST","Post-Line","H - ","Handover","S - ","Services","CST ","Completion Docs", "I - ", "Inspection")</f>
        <v>Services</v>
      </c>
      <c r="E20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8" s="24" t="str">
        <f ca="1">IF(OR(Master[[#This Row],[Type]]="checklist", Master[[#This Row],[Type]]="checklist-flat"), Master[[#This Row],[Name]], F2047)</f>
        <v>S - S - Electrical - Cable Trays</v>
      </c>
      <c r="G2048" s="34" t="s">
        <v>49</v>
      </c>
      <c r="H2048" s="34" t="s">
        <v>57</v>
      </c>
      <c r="I2048" s="35"/>
      <c r="J2048" s="21">
        <f ca="1">_xlfn.XLOOKUP(Master[[#This Row],[Checklist]],Ref!A:A,Ref!B:B)*1000</f>
        <v>181000</v>
      </c>
      <c r="K2048" s="21">
        <f ca="1">COUNTIF($J$2:Master[[#This Row],[ChecklistID]],Master[[#This Row],[ChecklistID]])-1</f>
        <v>8</v>
      </c>
      <c r="L2048" s="23" t="s">
        <v>6</v>
      </c>
    </row>
    <row r="2049" spans="1:12" ht="15.75">
      <c r="A2049" s="23">
        <f t="shared" si="32"/>
        <v>2036</v>
      </c>
      <c r="B2049" s="21">
        <f ca="1">Master[[#This Row],[ChecklistID]]+Master[[#This Row],[Checklist Order]]</f>
        <v>181009</v>
      </c>
      <c r="C2049" s="22"/>
      <c r="D2049" s="23" t="str" cm="1">
        <f t="array" aca="1" ref="D2049" ca="1">_xlfn.SWITCH(MID(Master[[#This Row],[Checklist]],1,4),"C - ","Civil","F - ","Foundation","ST -","Structure","FC -","Façade","PRE ","Pre-Line","POST","Post-Line","H - ","Handover","S - ","Services","CST ","Completion Docs", "I - ", "Inspection")</f>
        <v>Services</v>
      </c>
      <c r="E20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49" s="24" t="str">
        <f ca="1">IF(OR(Master[[#This Row],[Type]]="checklist", Master[[#This Row],[Type]]="checklist-flat"), Master[[#This Row],[Name]], F2048)</f>
        <v>S - S - Electrical - Cable Trays</v>
      </c>
      <c r="G2049" s="34" t="s">
        <v>58</v>
      </c>
      <c r="H2049" s="34" t="s">
        <v>59</v>
      </c>
      <c r="I2049" s="35"/>
      <c r="J2049" s="21">
        <f ca="1">_xlfn.XLOOKUP(Master[[#This Row],[Checklist]],Ref!A:A,Ref!B:B)*1000</f>
        <v>181000</v>
      </c>
      <c r="K2049" s="21">
        <f ca="1">COUNTIF($J$2:Master[[#This Row],[ChecklistID]],Master[[#This Row],[ChecklistID]])-1</f>
        <v>9</v>
      </c>
      <c r="L2049" s="23" t="s">
        <v>6</v>
      </c>
    </row>
    <row r="2050" spans="1:12" ht="15.75">
      <c r="A2050" s="23">
        <f t="shared" si="32"/>
        <v>2037</v>
      </c>
      <c r="B2050" s="21">
        <f ca="1">Master[[#This Row],[ChecklistID]]+Master[[#This Row],[Checklist Order]]</f>
        <v>182000</v>
      </c>
      <c r="C2050" s="22"/>
      <c r="D2050" s="23" t="str" cm="1">
        <f t="array" aca="1" ref="D2050" ca="1">_xlfn.SWITCH(MID(Master[[#This Row],[Checklist]],1,4),"C - ","Civil","F - ","Foundation","ST -","Structure","FC -","Façade","PRE ","Pre-Line","POST","Post-Line","H - ","Handover","S - ","Services","CST ","Completion Docs", "I - ", "Inspection")</f>
        <v>Structure</v>
      </c>
      <c r="E20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0" s="24" t="str">
        <f ca="1">IF(OR(Master[[#This Row],[Type]]="checklist", Master[[#This Row],[Type]]="checklist-flat"), Master[[#This Row],[Name]], F2049)</f>
        <v xml:space="preserve">ST - S - Offsite Precast Manufacturing </v>
      </c>
      <c r="G2050" s="34" t="s">
        <v>48</v>
      </c>
      <c r="H2050" s="34" t="s">
        <v>1048</v>
      </c>
      <c r="I2050" s="35"/>
      <c r="J2050" s="21">
        <f ca="1">_xlfn.XLOOKUP(Master[[#This Row],[Checklist]],Ref!A:A,Ref!B:B)*1000</f>
        <v>182000</v>
      </c>
      <c r="K2050" s="21">
        <f ca="1">COUNTIF($J$2:Master[[#This Row],[ChecklistID]],Master[[#This Row],[ChecklistID]])-1</f>
        <v>0</v>
      </c>
      <c r="L2050" s="23" t="s">
        <v>6</v>
      </c>
    </row>
    <row r="2051" spans="1:12" ht="15.75">
      <c r="A2051" s="23">
        <f t="shared" si="32"/>
        <v>2038</v>
      </c>
      <c r="B2051" s="21">
        <f ca="1">Master[[#This Row],[ChecklistID]]+Master[[#This Row],[Checklist Order]]</f>
        <v>182001</v>
      </c>
      <c r="C2051" s="22"/>
      <c r="D2051" s="23" t="str" cm="1">
        <f t="array" aca="1" ref="D2051" ca="1">_xlfn.SWITCH(MID(Master[[#This Row],[Checklist]],1,4),"C - ","Civil","F - ","Foundation","ST -","Structure","FC -","Façade","PRE ","Pre-Line","POST","Post-Line","H - ","Handover","S - ","Services","CST ","Completion Docs", "I - ", "Inspection")</f>
        <v>Structure</v>
      </c>
      <c r="E20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1" s="24" t="str">
        <f ca="1">IF(OR(Master[[#This Row],[Type]]="checklist", Master[[#This Row],[Type]]="checklist-flat"), Master[[#This Row],[Name]], F2050)</f>
        <v xml:space="preserve">ST - S - Offsite Precast Manufacturing </v>
      </c>
      <c r="G2051" s="34" t="s">
        <v>49</v>
      </c>
      <c r="H2051" s="34" t="s">
        <v>1049</v>
      </c>
      <c r="I2051" s="35"/>
      <c r="J2051" s="21">
        <f ca="1">_xlfn.XLOOKUP(Master[[#This Row],[Checklist]],Ref!A:A,Ref!B:B)*1000</f>
        <v>182000</v>
      </c>
      <c r="K2051" s="21">
        <f ca="1">COUNTIF($J$2:Master[[#This Row],[ChecklistID]],Master[[#This Row],[ChecklistID]])-1</f>
        <v>1</v>
      </c>
      <c r="L2051" s="23" t="s">
        <v>6</v>
      </c>
    </row>
    <row r="2052" spans="1:12" ht="15.75">
      <c r="A2052" s="23">
        <f t="shared" si="32"/>
        <v>2039</v>
      </c>
      <c r="B2052" s="21">
        <f ca="1">Master[[#This Row],[ChecklistID]]+Master[[#This Row],[Checklist Order]]</f>
        <v>182002</v>
      </c>
      <c r="C2052" s="22"/>
      <c r="D2052" s="23" t="str" cm="1">
        <f t="array" aca="1" ref="D2052" ca="1">_xlfn.SWITCH(MID(Master[[#This Row],[Checklist]],1,4),"C - ","Civil","F - ","Foundation","ST -","Structure","FC -","Façade","PRE ","Pre-Line","POST","Post-Line","H - ","Handover","S - ","Services","CST ","Completion Docs", "I - ", "Inspection")</f>
        <v>Structure</v>
      </c>
      <c r="E20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2" s="24" t="str">
        <f ca="1">IF(OR(Master[[#This Row],[Type]]="checklist", Master[[#This Row],[Type]]="checklist-flat"), Master[[#This Row],[Name]], F2051)</f>
        <v xml:space="preserve">ST - S - Offsite Precast Manufacturing </v>
      </c>
      <c r="G2052" s="34" t="s">
        <v>49</v>
      </c>
      <c r="H2052" s="34" t="s">
        <v>1050</v>
      </c>
      <c r="I2052" s="35"/>
      <c r="J2052" s="21">
        <f ca="1">_xlfn.XLOOKUP(Master[[#This Row],[Checklist]],Ref!A:A,Ref!B:B)*1000</f>
        <v>182000</v>
      </c>
      <c r="K2052" s="21">
        <f ca="1">COUNTIF($J$2:Master[[#This Row],[ChecklistID]],Master[[#This Row],[ChecklistID]])-1</f>
        <v>2</v>
      </c>
      <c r="L2052" s="23" t="s">
        <v>6</v>
      </c>
    </row>
    <row r="2053" spans="1:12" ht="15.75">
      <c r="A2053" s="23">
        <f t="shared" si="32"/>
        <v>2040</v>
      </c>
      <c r="B2053" s="21">
        <f ca="1">Master[[#This Row],[ChecklistID]]+Master[[#This Row],[Checklist Order]]</f>
        <v>182003</v>
      </c>
      <c r="C2053" s="22"/>
      <c r="D2053" s="23" t="str" cm="1">
        <f t="array" aca="1" ref="D2053" ca="1">_xlfn.SWITCH(MID(Master[[#This Row],[Checklist]],1,4),"C - ","Civil","F - ","Foundation","ST -","Structure","FC -","Façade","PRE ","Pre-Line","POST","Post-Line","H - ","Handover","S - ","Services","CST ","Completion Docs", "I - ", "Inspection")</f>
        <v>Structure</v>
      </c>
      <c r="E20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3" s="24" t="str">
        <f ca="1">IF(OR(Master[[#This Row],[Type]]="checklist", Master[[#This Row],[Type]]="checklist-flat"), Master[[#This Row],[Name]], F2052)</f>
        <v xml:space="preserve">ST - S - Offsite Precast Manufacturing </v>
      </c>
      <c r="G2053" s="34" t="s">
        <v>49</v>
      </c>
      <c r="H2053" s="34" t="s">
        <v>1051</v>
      </c>
      <c r="I2053" s="35"/>
      <c r="J2053" s="21">
        <f ca="1">_xlfn.XLOOKUP(Master[[#This Row],[Checklist]],Ref!A:A,Ref!B:B)*1000</f>
        <v>182000</v>
      </c>
      <c r="K2053" s="21">
        <f ca="1">COUNTIF($J$2:Master[[#This Row],[ChecklistID]],Master[[#This Row],[ChecklistID]])-1</f>
        <v>3</v>
      </c>
      <c r="L2053" s="23" t="s">
        <v>6</v>
      </c>
    </row>
    <row r="2054" spans="1:12" ht="15.75">
      <c r="A2054" s="23">
        <f t="shared" si="32"/>
        <v>2041</v>
      </c>
      <c r="B2054" s="21">
        <f ca="1">Master[[#This Row],[ChecklistID]]+Master[[#This Row],[Checklist Order]]</f>
        <v>182004</v>
      </c>
      <c r="C2054" s="22"/>
      <c r="D2054" s="23" t="str" cm="1">
        <f t="array" aca="1" ref="D2054" ca="1">_xlfn.SWITCH(MID(Master[[#This Row],[Checklist]],1,4),"C - ","Civil","F - ","Foundation","ST -","Structure","FC -","Façade","PRE ","Pre-Line","POST","Post-Line","H - ","Handover","S - ","Services","CST ","Completion Docs", "I - ", "Inspection")</f>
        <v>Structure</v>
      </c>
      <c r="E20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4" s="24" t="str">
        <f ca="1">IF(OR(Master[[#This Row],[Type]]="checklist", Master[[#This Row],[Type]]="checklist-flat"), Master[[#This Row],[Name]], F2053)</f>
        <v xml:space="preserve">ST - S - Offsite Precast Manufacturing </v>
      </c>
      <c r="G2054" s="34" t="s">
        <v>49</v>
      </c>
      <c r="H2054" s="34" t="s">
        <v>1052</v>
      </c>
      <c r="I2054" s="35"/>
      <c r="J2054" s="21">
        <f ca="1">_xlfn.XLOOKUP(Master[[#This Row],[Checklist]],Ref!A:A,Ref!B:B)*1000</f>
        <v>182000</v>
      </c>
      <c r="K2054" s="21">
        <f ca="1">COUNTIF($J$2:Master[[#This Row],[ChecklistID]],Master[[#This Row],[ChecklistID]])-1</f>
        <v>4</v>
      </c>
      <c r="L2054" s="23" t="s">
        <v>6</v>
      </c>
    </row>
    <row r="2055" spans="1:12" ht="15.75">
      <c r="A2055" s="23">
        <f t="shared" si="32"/>
        <v>2042</v>
      </c>
      <c r="B2055" s="21">
        <f ca="1">Master[[#This Row],[ChecklistID]]+Master[[#This Row],[Checklist Order]]</f>
        <v>182005</v>
      </c>
      <c r="C2055" s="22"/>
      <c r="D2055" s="23" t="str" cm="1">
        <f t="array" aca="1" ref="D2055" ca="1">_xlfn.SWITCH(MID(Master[[#This Row],[Checklist]],1,4),"C - ","Civil","F - ","Foundation","ST -","Structure","FC -","Façade","PRE ","Pre-Line","POST","Post-Line","H - ","Handover","S - ","Services","CST ","Completion Docs", "I - ", "Inspection")</f>
        <v>Structure</v>
      </c>
      <c r="E20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5" s="24" t="str">
        <f ca="1">IF(OR(Master[[#This Row],[Type]]="checklist", Master[[#This Row],[Type]]="checklist-flat"), Master[[#This Row],[Name]], F2054)</f>
        <v xml:space="preserve">ST - S - Offsite Precast Manufacturing </v>
      </c>
      <c r="G2055" s="34" t="s">
        <v>49</v>
      </c>
      <c r="H2055" s="34" t="s">
        <v>1053</v>
      </c>
      <c r="I2055" s="35"/>
      <c r="J2055" s="21">
        <f ca="1">_xlfn.XLOOKUP(Master[[#This Row],[Checklist]],Ref!A:A,Ref!B:B)*1000</f>
        <v>182000</v>
      </c>
      <c r="K2055" s="21">
        <f ca="1">COUNTIF($J$2:Master[[#This Row],[ChecklistID]],Master[[#This Row],[ChecklistID]])-1</f>
        <v>5</v>
      </c>
      <c r="L2055" s="23" t="s">
        <v>6</v>
      </c>
    </row>
    <row r="2056" spans="1:12" ht="15.75">
      <c r="A2056" s="23">
        <f t="shared" si="32"/>
        <v>2043</v>
      </c>
      <c r="B2056" s="21">
        <f ca="1">Master[[#This Row],[ChecklistID]]+Master[[#This Row],[Checklist Order]]</f>
        <v>182006</v>
      </c>
      <c r="C2056" s="22"/>
      <c r="D2056" s="23" t="str" cm="1">
        <f t="array" aca="1" ref="D2056" ca="1">_xlfn.SWITCH(MID(Master[[#This Row],[Checklist]],1,4),"C - ","Civil","F - ","Foundation","ST -","Structure","FC -","Façade","PRE ","Pre-Line","POST","Post-Line","H - ","Handover","S - ","Services","CST ","Completion Docs", "I - ", "Inspection")</f>
        <v>Structure</v>
      </c>
      <c r="E20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6" s="24" t="str">
        <f ca="1">IF(OR(Master[[#This Row],[Type]]="checklist", Master[[#This Row],[Type]]="checklist-flat"), Master[[#This Row],[Name]], F2055)</f>
        <v xml:space="preserve">ST - S - Offsite Precast Manufacturing </v>
      </c>
      <c r="G2056" s="34" t="s">
        <v>49</v>
      </c>
      <c r="H2056" s="34" t="s">
        <v>57</v>
      </c>
      <c r="I2056" s="35"/>
      <c r="J2056" s="21">
        <f ca="1">_xlfn.XLOOKUP(Master[[#This Row],[Checklist]],Ref!A:A,Ref!B:B)*1000</f>
        <v>182000</v>
      </c>
      <c r="K2056" s="21">
        <f ca="1">COUNTIF($J$2:Master[[#This Row],[ChecklistID]],Master[[#This Row],[ChecklistID]])-1</f>
        <v>6</v>
      </c>
      <c r="L2056" s="23" t="s">
        <v>6</v>
      </c>
    </row>
    <row r="2057" spans="1:12" ht="15.75">
      <c r="A2057" s="23">
        <f t="shared" si="32"/>
        <v>2044</v>
      </c>
      <c r="B2057" s="21">
        <f ca="1">Master[[#This Row],[ChecklistID]]+Master[[#This Row],[Checklist Order]]</f>
        <v>182007</v>
      </c>
      <c r="C2057" s="22"/>
      <c r="D2057" s="23" t="str" cm="1">
        <f t="array" aca="1" ref="D2057" ca="1">_xlfn.SWITCH(MID(Master[[#This Row],[Checklist]],1,4),"C - ","Civil","F - ","Foundation","ST -","Structure","FC -","Façade","PRE ","Pre-Line","POST","Post-Line","H - ","Handover","S - ","Services","CST ","Completion Docs", "I - ", "Inspection")</f>
        <v>Structure</v>
      </c>
      <c r="E20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7" s="24" t="str">
        <f ca="1">IF(OR(Master[[#This Row],[Type]]="checklist", Master[[#This Row],[Type]]="checklist-flat"), Master[[#This Row],[Name]], F2056)</f>
        <v xml:space="preserve">ST - S - Offsite Precast Manufacturing </v>
      </c>
      <c r="G2057" s="34" t="s">
        <v>58</v>
      </c>
      <c r="H2057" s="34" t="s">
        <v>59</v>
      </c>
      <c r="I2057" s="35"/>
      <c r="J2057" s="21">
        <f ca="1">_xlfn.XLOOKUP(Master[[#This Row],[Checklist]],Ref!A:A,Ref!B:B)*1000</f>
        <v>182000</v>
      </c>
      <c r="K2057" s="21">
        <f ca="1">COUNTIF($J$2:Master[[#This Row],[ChecklistID]],Master[[#This Row],[ChecklistID]])-1</f>
        <v>7</v>
      </c>
      <c r="L2057" s="23" t="s">
        <v>6</v>
      </c>
    </row>
    <row r="2058" spans="1:12" ht="15.75">
      <c r="A2058" s="23">
        <f t="shared" si="32"/>
        <v>2045</v>
      </c>
      <c r="B2058" s="21">
        <f ca="1">Master[[#This Row],[ChecklistID]]+Master[[#This Row],[Checklist Order]]</f>
        <v>183000</v>
      </c>
      <c r="C2058" s="22"/>
      <c r="D2058" s="23" t="str" cm="1">
        <f t="array" aca="1" ref="D2058" ca="1">_xlfn.SWITCH(MID(Master[[#This Row],[Checklist]],1,4),"C - ","Civil","F - ","Foundation","ST -","Structure","FC -","Façade","PRE ","Pre-Line","POST","Post-Line","H - ","Handover","S - ","Services","CST ","Completion Docs", "I - ", "Inspection")</f>
        <v>Pre-Line</v>
      </c>
      <c r="E20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8" s="24" t="str">
        <f ca="1">IF(OR(Master[[#This Row],[Type]]="checklist", Master[[#This Row],[Type]]="checklist-flat"), Master[[#This Row],[Name]], F2057)</f>
        <v>PRE - S - Fire Penetration</v>
      </c>
      <c r="G2058" s="34" t="s">
        <v>48</v>
      </c>
      <c r="H2058" s="34" t="s">
        <v>1054</v>
      </c>
      <c r="I2058" s="35"/>
      <c r="J2058" s="21">
        <f ca="1">_xlfn.XLOOKUP(Master[[#This Row],[Checklist]],Ref!A:A,Ref!B:B)*1000</f>
        <v>183000</v>
      </c>
      <c r="K2058" s="21">
        <f ca="1">COUNTIF($J$2:Master[[#This Row],[ChecklistID]],Master[[#This Row],[ChecklistID]])-1</f>
        <v>0</v>
      </c>
      <c r="L2058" s="23" t="s">
        <v>6</v>
      </c>
    </row>
    <row r="2059" spans="1:12" ht="15.75">
      <c r="A2059" s="23">
        <f t="shared" si="32"/>
        <v>2046</v>
      </c>
      <c r="B2059" s="21">
        <f ca="1">Master[[#This Row],[ChecklistID]]+Master[[#This Row],[Checklist Order]]</f>
        <v>183001</v>
      </c>
      <c r="C2059" s="22"/>
      <c r="D2059" s="23" t="str" cm="1">
        <f t="array" aca="1" ref="D2059" ca="1">_xlfn.SWITCH(MID(Master[[#This Row],[Checklist]],1,4),"C - ","Civil","F - ","Foundation","ST -","Structure","FC -","Façade","PRE ","Pre-Line","POST","Post-Line","H - ","Handover","S - ","Services","CST ","Completion Docs", "I - ", "Inspection")</f>
        <v>Pre-Line</v>
      </c>
      <c r="E20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59" s="24" t="str">
        <f ca="1">IF(OR(Master[[#This Row],[Type]]="checklist", Master[[#This Row],[Type]]="checklist-flat"), Master[[#This Row],[Name]], F2058)</f>
        <v>PRE - S - Fire Penetration</v>
      </c>
      <c r="G2059" s="34" t="s">
        <v>49</v>
      </c>
      <c r="H2059" s="34" t="s">
        <v>1055</v>
      </c>
      <c r="I2059" s="35"/>
      <c r="J2059" s="21">
        <f ca="1">_xlfn.XLOOKUP(Master[[#This Row],[Checklist]],Ref!A:A,Ref!B:B)*1000</f>
        <v>183000</v>
      </c>
      <c r="K2059" s="21">
        <f ca="1">COUNTIF($J$2:Master[[#This Row],[ChecklistID]],Master[[#This Row],[ChecklistID]])-1</f>
        <v>1</v>
      </c>
      <c r="L2059" s="23" t="s">
        <v>6</v>
      </c>
    </row>
    <row r="2060" spans="1:12" ht="15.75">
      <c r="A2060" s="23">
        <f t="shared" si="32"/>
        <v>2047</v>
      </c>
      <c r="B2060" s="21">
        <f ca="1">Master[[#This Row],[ChecklistID]]+Master[[#This Row],[Checklist Order]]</f>
        <v>183002</v>
      </c>
      <c r="C2060" s="22"/>
      <c r="D2060" s="23" t="str" cm="1">
        <f t="array" aca="1" ref="D2060" ca="1">_xlfn.SWITCH(MID(Master[[#This Row],[Checklist]],1,4),"C - ","Civil","F - ","Foundation","ST -","Structure","FC -","Façade","PRE ","Pre-Line","POST","Post-Line","H - ","Handover","S - ","Services","CST ","Completion Docs", "I - ", "Inspection")</f>
        <v>Pre-Line</v>
      </c>
      <c r="E20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0" s="24" t="str">
        <f ca="1">IF(OR(Master[[#This Row],[Type]]="checklist", Master[[#This Row],[Type]]="checklist-flat"), Master[[#This Row],[Name]], F2059)</f>
        <v>PRE - S - Fire Penetration</v>
      </c>
      <c r="G2060" s="34" t="s">
        <v>796</v>
      </c>
      <c r="H2060" s="34" t="s">
        <v>1056</v>
      </c>
      <c r="I2060" s="35" t="s">
        <v>1057</v>
      </c>
      <c r="J2060" s="21">
        <f ca="1">_xlfn.XLOOKUP(Master[[#This Row],[Checklist]],Ref!A:A,Ref!B:B)*1000</f>
        <v>183000</v>
      </c>
      <c r="K2060" s="21">
        <f ca="1">COUNTIF($J$2:Master[[#This Row],[ChecklistID]],Master[[#This Row],[ChecklistID]])-1</f>
        <v>2</v>
      </c>
      <c r="L2060" s="23" t="s">
        <v>6</v>
      </c>
    </row>
    <row r="2061" spans="1:12" ht="15.75">
      <c r="A2061" s="23">
        <f t="shared" si="32"/>
        <v>2048</v>
      </c>
      <c r="B2061" s="21">
        <f ca="1">Master[[#This Row],[ChecklistID]]+Master[[#This Row],[Checklist Order]]</f>
        <v>183003</v>
      </c>
      <c r="C2061" s="22"/>
      <c r="D2061" s="23" t="str" cm="1">
        <f t="array" aca="1" ref="D2061" ca="1">_xlfn.SWITCH(MID(Master[[#This Row],[Checklist]],1,4),"C - ","Civil","F - ","Foundation","ST -","Structure","FC -","Façade","PRE ","Pre-Line","POST","Post-Line","H - ","Handover","S - ","Services","CST ","Completion Docs", "I - ", "Inspection")</f>
        <v>Pre-Line</v>
      </c>
      <c r="E20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1" s="24" t="str">
        <f ca="1">IF(OR(Master[[#This Row],[Type]]="checklist", Master[[#This Row],[Type]]="checklist-flat"), Master[[#This Row],[Name]], F2060)</f>
        <v>PRE - S - Fire Penetration</v>
      </c>
      <c r="G2061" s="34" t="s">
        <v>796</v>
      </c>
      <c r="H2061" s="34" t="s">
        <v>1058</v>
      </c>
      <c r="I2061" s="35" t="s">
        <v>1059</v>
      </c>
      <c r="J2061" s="21">
        <f ca="1">_xlfn.XLOOKUP(Master[[#This Row],[Checklist]],Ref!A:A,Ref!B:B)*1000</f>
        <v>183000</v>
      </c>
      <c r="K2061" s="21">
        <f ca="1">COUNTIF($J$2:Master[[#This Row],[ChecklistID]],Master[[#This Row],[ChecklistID]])-1</f>
        <v>3</v>
      </c>
      <c r="L2061" s="23" t="s">
        <v>6</v>
      </c>
    </row>
    <row r="2062" spans="1:12" ht="15.75">
      <c r="A2062" s="23">
        <f t="shared" si="32"/>
        <v>2049</v>
      </c>
      <c r="B2062" s="21">
        <f ca="1">Master[[#This Row],[ChecklistID]]+Master[[#This Row],[Checklist Order]]</f>
        <v>183004</v>
      </c>
      <c r="C2062" s="22"/>
      <c r="D2062" s="23" t="str" cm="1">
        <f t="array" aca="1" ref="D2062" ca="1">_xlfn.SWITCH(MID(Master[[#This Row],[Checklist]],1,4),"C - ","Civil","F - ","Foundation","ST -","Structure","FC -","Façade","PRE ","Pre-Line","POST","Post-Line","H - ","Handover","S - ","Services","CST ","Completion Docs", "I - ", "Inspection")</f>
        <v>Pre-Line</v>
      </c>
      <c r="E20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2" s="24" t="str">
        <f ca="1">IF(OR(Master[[#This Row],[Type]]="checklist", Master[[#This Row],[Type]]="checklist-flat"), Master[[#This Row],[Name]], F2061)</f>
        <v>PRE - S - Fire Penetration</v>
      </c>
      <c r="G2062" s="34" t="s">
        <v>791</v>
      </c>
      <c r="H2062" s="34" t="s">
        <v>1060</v>
      </c>
      <c r="I2062" s="35"/>
      <c r="J2062" s="21">
        <f ca="1">_xlfn.XLOOKUP(Master[[#This Row],[Checklist]],Ref!A:A,Ref!B:B)*1000</f>
        <v>183000</v>
      </c>
      <c r="K2062" s="21">
        <f ca="1">COUNTIF($J$2:Master[[#This Row],[ChecklistID]],Master[[#This Row],[ChecklistID]])-1</f>
        <v>4</v>
      </c>
      <c r="L2062" s="23" t="s">
        <v>6</v>
      </c>
    </row>
    <row r="2063" spans="1:12" ht="15.75">
      <c r="A2063" s="23">
        <f t="shared" si="32"/>
        <v>2050</v>
      </c>
      <c r="B2063" s="21">
        <f ca="1">Master[[#This Row],[ChecklistID]]+Master[[#This Row],[Checklist Order]]</f>
        <v>183005</v>
      </c>
      <c r="C2063" s="22"/>
      <c r="D2063" s="23" t="str" cm="1">
        <f t="array" aca="1" ref="D2063" ca="1">_xlfn.SWITCH(MID(Master[[#This Row],[Checklist]],1,4),"C - ","Civil","F - ","Foundation","ST -","Structure","FC -","Façade","PRE ","Pre-Line","POST","Post-Line","H - ","Handover","S - ","Services","CST ","Completion Docs", "I - ", "Inspection")</f>
        <v>Pre-Line</v>
      </c>
      <c r="E20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3" s="24" t="str">
        <f ca="1">IF(OR(Master[[#This Row],[Type]]="checklist", Master[[#This Row],[Type]]="checklist-flat"), Master[[#This Row],[Name]], F2062)</f>
        <v>PRE - S - Fire Penetration</v>
      </c>
      <c r="G2063" s="34" t="s">
        <v>66</v>
      </c>
      <c r="H2063" s="34" t="s">
        <v>1061</v>
      </c>
      <c r="I2063" s="35" t="s">
        <v>1062</v>
      </c>
      <c r="J2063" s="21">
        <f ca="1">_xlfn.XLOOKUP(Master[[#This Row],[Checklist]],Ref!A:A,Ref!B:B)*1000</f>
        <v>183000</v>
      </c>
      <c r="K2063" s="21">
        <f ca="1">COUNTIF($J$2:Master[[#This Row],[ChecklistID]],Master[[#This Row],[ChecklistID]])-1</f>
        <v>5</v>
      </c>
      <c r="L2063" s="23" t="s">
        <v>6</v>
      </c>
    </row>
    <row r="2064" spans="1:12" ht="15.75">
      <c r="A2064" s="23">
        <f t="shared" si="32"/>
        <v>2051</v>
      </c>
      <c r="B2064" s="21">
        <f ca="1">Master[[#This Row],[ChecklistID]]+Master[[#This Row],[Checklist Order]]</f>
        <v>183006</v>
      </c>
      <c r="C2064" s="22"/>
      <c r="D2064" s="23" t="str" cm="1">
        <f t="array" aca="1" ref="D2064" ca="1">_xlfn.SWITCH(MID(Master[[#This Row],[Checklist]],1,4),"C - ","Civil","F - ","Foundation","ST -","Structure","FC -","Façade","PRE ","Pre-Line","POST","Post-Line","H - ","Handover","S - ","Services","CST ","Completion Docs", "I - ", "Inspection")</f>
        <v>Pre-Line</v>
      </c>
      <c r="E20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4" s="24" t="str">
        <f ca="1">IF(OR(Master[[#This Row],[Type]]="checklist", Master[[#This Row],[Type]]="checklist-flat"), Master[[#This Row],[Name]], F2063)</f>
        <v>PRE - S - Fire Penetration</v>
      </c>
      <c r="G2064" s="34" t="s">
        <v>791</v>
      </c>
      <c r="H2064" s="34" t="s">
        <v>1060</v>
      </c>
      <c r="I2064" s="35"/>
      <c r="J2064" s="21">
        <f ca="1">_xlfn.XLOOKUP(Master[[#This Row],[Checklist]],Ref!A:A,Ref!B:B)*1000</f>
        <v>183000</v>
      </c>
      <c r="K2064" s="21">
        <f ca="1">COUNTIF($J$2:Master[[#This Row],[ChecklistID]],Master[[#This Row],[ChecklistID]])-1</f>
        <v>6</v>
      </c>
      <c r="L2064" s="23" t="s">
        <v>6</v>
      </c>
    </row>
    <row r="2065" spans="1:12" ht="15.75">
      <c r="A2065" s="23">
        <f t="shared" si="32"/>
        <v>2052</v>
      </c>
      <c r="B2065" s="21">
        <f ca="1">Master[[#This Row],[ChecklistID]]+Master[[#This Row],[Checklist Order]]</f>
        <v>183007</v>
      </c>
      <c r="C2065" s="22"/>
      <c r="D2065" s="23" t="str" cm="1">
        <f t="array" aca="1" ref="D2065" ca="1">_xlfn.SWITCH(MID(Master[[#This Row],[Checklist]],1,4),"C - ","Civil","F - ","Foundation","ST -","Structure","FC -","Façade","PRE ","Pre-Line","POST","Post-Line","H - ","Handover","S - ","Services","CST ","Completion Docs", "I - ", "Inspection")</f>
        <v>Pre-Line</v>
      </c>
      <c r="E20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5" s="24" t="str">
        <f ca="1">IF(OR(Master[[#This Row],[Type]]="checklist", Master[[#This Row],[Type]]="checklist-flat"), Master[[#This Row],[Name]], F2064)</f>
        <v>PRE - S - Fire Penetration</v>
      </c>
      <c r="G2065" s="34" t="s">
        <v>66</v>
      </c>
      <c r="H2065" s="34" t="s">
        <v>1063</v>
      </c>
      <c r="I2065" s="35" t="s">
        <v>1064</v>
      </c>
      <c r="J2065" s="21">
        <f ca="1">_xlfn.XLOOKUP(Master[[#This Row],[Checklist]],Ref!A:A,Ref!B:B)*1000</f>
        <v>183000</v>
      </c>
      <c r="K2065" s="21">
        <f ca="1">COUNTIF($J$2:Master[[#This Row],[ChecklistID]],Master[[#This Row],[ChecklistID]])-1</f>
        <v>7</v>
      </c>
      <c r="L2065" s="23" t="s">
        <v>6</v>
      </c>
    </row>
    <row r="2066" spans="1:12" ht="15.75">
      <c r="A2066" s="23">
        <f t="shared" si="32"/>
        <v>2053</v>
      </c>
      <c r="B2066" s="21">
        <f ca="1">Master[[#This Row],[ChecklistID]]+Master[[#This Row],[Checklist Order]]</f>
        <v>183008</v>
      </c>
      <c r="C2066" s="22"/>
      <c r="D2066" s="23" t="str" cm="1">
        <f t="array" aca="1" ref="D2066" ca="1">_xlfn.SWITCH(MID(Master[[#This Row],[Checklist]],1,4),"C - ","Civil","F - ","Foundation","ST -","Structure","FC -","Façade","PRE ","Pre-Line","POST","Post-Line","H - ","Handover","S - ","Services","CST ","Completion Docs", "I - ", "Inspection")</f>
        <v>Pre-Line</v>
      </c>
      <c r="E20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6" s="24" t="str">
        <f ca="1">IF(OR(Master[[#This Row],[Type]]="checklist", Master[[#This Row],[Type]]="checklist-flat"), Master[[#This Row],[Name]], F2065)</f>
        <v>PRE - S - Fire Penetration</v>
      </c>
      <c r="G2066" s="34" t="s">
        <v>791</v>
      </c>
      <c r="H2066" s="34" t="s">
        <v>1060</v>
      </c>
      <c r="I2066" s="35"/>
      <c r="J2066" s="21">
        <f ca="1">_xlfn.XLOOKUP(Master[[#This Row],[Checklist]],Ref!A:A,Ref!B:B)*1000</f>
        <v>183000</v>
      </c>
      <c r="K2066" s="21">
        <f ca="1">COUNTIF($J$2:Master[[#This Row],[ChecklistID]],Master[[#This Row],[ChecklistID]])-1</f>
        <v>8</v>
      </c>
      <c r="L2066" s="23" t="s">
        <v>6</v>
      </c>
    </row>
    <row r="2067" spans="1:12" ht="15.75">
      <c r="A2067" s="23">
        <f t="shared" si="32"/>
        <v>2054</v>
      </c>
      <c r="B2067" s="21">
        <f ca="1">Master[[#This Row],[ChecklistID]]+Master[[#This Row],[Checklist Order]]</f>
        <v>183009</v>
      </c>
      <c r="C2067" s="22"/>
      <c r="D2067" s="23" t="str" cm="1">
        <f t="array" aca="1" ref="D2067" ca="1">_xlfn.SWITCH(MID(Master[[#This Row],[Checklist]],1,4),"C - ","Civil","F - ","Foundation","ST -","Structure","FC -","Façade","PRE ","Pre-Line","POST","Post-Line","H - ","Handover","S - ","Services","CST ","Completion Docs", "I - ", "Inspection")</f>
        <v>Pre-Line</v>
      </c>
      <c r="E20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7" s="24" t="str">
        <f ca="1">IF(OR(Master[[#This Row],[Type]]="checklist", Master[[#This Row],[Type]]="checklist-flat"), Master[[#This Row],[Name]], F2066)</f>
        <v>PRE - S - Fire Penetration</v>
      </c>
      <c r="G2067" s="34" t="s">
        <v>796</v>
      </c>
      <c r="H2067" s="34" t="s">
        <v>1065</v>
      </c>
      <c r="I2067" s="35" t="s">
        <v>1066</v>
      </c>
      <c r="J2067" s="21">
        <f ca="1">_xlfn.XLOOKUP(Master[[#This Row],[Checklist]],Ref!A:A,Ref!B:B)*1000</f>
        <v>183000</v>
      </c>
      <c r="K2067" s="21">
        <f ca="1">COUNTIF($J$2:Master[[#This Row],[ChecklistID]],Master[[#This Row],[ChecklistID]])-1</f>
        <v>9</v>
      </c>
      <c r="L2067" s="23" t="s">
        <v>6</v>
      </c>
    </row>
    <row r="2068" spans="1:12" ht="15.75">
      <c r="A2068" s="23">
        <f t="shared" si="32"/>
        <v>2055</v>
      </c>
      <c r="B2068" s="21">
        <f ca="1">Master[[#This Row],[ChecklistID]]+Master[[#This Row],[Checklist Order]]</f>
        <v>183010</v>
      </c>
      <c r="C2068" s="22"/>
      <c r="D2068" s="23" t="str" cm="1">
        <f t="array" aca="1" ref="D2068" ca="1">_xlfn.SWITCH(MID(Master[[#This Row],[Checklist]],1,4),"C - ","Civil","F - ","Foundation","ST -","Structure","FC -","Façade","PRE ","Pre-Line","POST","Post-Line","H - ","Handover","S - ","Services","CST ","Completion Docs", "I - ", "Inspection")</f>
        <v>Pre-Line</v>
      </c>
      <c r="E20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8" s="24" t="str">
        <f ca="1">IF(OR(Master[[#This Row],[Type]]="checklist", Master[[#This Row],[Type]]="checklist-flat"), Master[[#This Row],[Name]], F2067)</f>
        <v>PRE - S - Fire Penetration</v>
      </c>
      <c r="G2068" s="34" t="s">
        <v>791</v>
      </c>
      <c r="H2068" s="34" t="s">
        <v>1060</v>
      </c>
      <c r="I2068" s="35"/>
      <c r="J2068" s="21">
        <f ca="1">_xlfn.XLOOKUP(Master[[#This Row],[Checklist]],Ref!A:A,Ref!B:B)*1000</f>
        <v>183000</v>
      </c>
      <c r="K2068" s="21">
        <f ca="1">COUNTIF($J$2:Master[[#This Row],[ChecklistID]],Master[[#This Row],[ChecklistID]])-1</f>
        <v>10</v>
      </c>
      <c r="L2068" s="23" t="s">
        <v>6</v>
      </c>
    </row>
    <row r="2069" spans="1:12" ht="15.75">
      <c r="A2069" s="23">
        <f t="shared" si="32"/>
        <v>2056</v>
      </c>
      <c r="B2069" s="21">
        <f ca="1">Master[[#This Row],[ChecklistID]]+Master[[#This Row],[Checklist Order]]</f>
        <v>183011</v>
      </c>
      <c r="C2069" s="22"/>
      <c r="D2069" s="23" t="str" cm="1">
        <f t="array" aca="1" ref="D2069" ca="1">_xlfn.SWITCH(MID(Master[[#This Row],[Checklist]],1,4),"C - ","Civil","F - ","Foundation","ST -","Structure","FC -","Façade","PRE ","Pre-Line","POST","Post-Line","H - ","Handover","S - ","Services","CST ","Completion Docs", "I - ", "Inspection")</f>
        <v>Pre-Line</v>
      </c>
      <c r="E20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69" s="24" t="str">
        <f ca="1">IF(OR(Master[[#This Row],[Type]]="checklist", Master[[#This Row],[Type]]="checklist-flat"), Master[[#This Row],[Name]], F2068)</f>
        <v>PRE - S - Fire Penetration</v>
      </c>
      <c r="G2069" s="34" t="s">
        <v>796</v>
      </c>
      <c r="H2069" s="34" t="s">
        <v>1067</v>
      </c>
      <c r="I2069" s="35" t="s">
        <v>287</v>
      </c>
      <c r="J2069" s="21">
        <f ca="1">_xlfn.XLOOKUP(Master[[#This Row],[Checklist]],Ref!A:A,Ref!B:B)*1000</f>
        <v>183000</v>
      </c>
      <c r="K2069" s="21">
        <f ca="1">COUNTIF($J$2:Master[[#This Row],[ChecklistID]],Master[[#This Row],[ChecklistID]])-1</f>
        <v>11</v>
      </c>
      <c r="L2069" s="23" t="s">
        <v>6</v>
      </c>
    </row>
    <row r="2070" spans="1:12" ht="15.75">
      <c r="A2070" s="23">
        <f t="shared" si="32"/>
        <v>2057</v>
      </c>
      <c r="B2070" s="21">
        <f ca="1">Master[[#This Row],[ChecklistID]]+Master[[#This Row],[Checklist Order]]</f>
        <v>183012</v>
      </c>
      <c r="C2070" s="22"/>
      <c r="D2070" s="23" t="str" cm="1">
        <f t="array" aca="1" ref="D2070" ca="1">_xlfn.SWITCH(MID(Master[[#This Row],[Checklist]],1,4),"C - ","Civil","F - ","Foundation","ST -","Structure","FC -","Façade","PRE ","Pre-Line","POST","Post-Line","H - ","Handover","S - ","Services","CST ","Completion Docs", "I - ", "Inspection")</f>
        <v>Pre-Line</v>
      </c>
      <c r="E20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0" s="24" t="str">
        <f ca="1">IF(OR(Master[[#This Row],[Type]]="checklist", Master[[#This Row],[Type]]="checklist-flat"), Master[[#This Row],[Name]], F2069)</f>
        <v>PRE - S - Fire Penetration</v>
      </c>
      <c r="G2070" s="34" t="s">
        <v>58</v>
      </c>
      <c r="H2070" s="34" t="s">
        <v>1068</v>
      </c>
      <c r="I2070" s="35"/>
      <c r="J2070" s="21">
        <f ca="1">_xlfn.XLOOKUP(Master[[#This Row],[Checklist]],Ref!A:A,Ref!B:B)*1000</f>
        <v>183000</v>
      </c>
      <c r="K2070" s="21">
        <f ca="1">COUNTIF($J$2:Master[[#This Row],[ChecklistID]],Master[[#This Row],[ChecklistID]])-1</f>
        <v>12</v>
      </c>
      <c r="L2070" s="23" t="s">
        <v>6</v>
      </c>
    </row>
    <row r="2071" spans="1:12" ht="15.75">
      <c r="A2071" s="23">
        <f t="shared" si="32"/>
        <v>2058</v>
      </c>
      <c r="B2071" s="21">
        <f ca="1">Master[[#This Row],[ChecklistID]]+Master[[#This Row],[Checklist Order]]</f>
        <v>183013</v>
      </c>
      <c r="C2071" s="22"/>
      <c r="D2071" s="23" t="str" cm="1">
        <f t="array" aca="1" ref="D2071" ca="1">_xlfn.SWITCH(MID(Master[[#This Row],[Checklist]],1,4),"C - ","Civil","F - ","Foundation","ST -","Structure","FC -","Façade","PRE ","Pre-Line","POST","Post-Line","H - ","Handover","S - ","Services","CST ","Completion Docs", "I - ", "Inspection")</f>
        <v>Pre-Line</v>
      </c>
      <c r="E20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1" s="24" t="str">
        <f ca="1">IF(OR(Master[[#This Row],[Type]]="checklist", Master[[#This Row],[Type]]="checklist-flat"), Master[[#This Row],[Name]], F2070)</f>
        <v>PRE - S - Fire Penetration</v>
      </c>
      <c r="G2071" s="34" t="s">
        <v>49</v>
      </c>
      <c r="H2071" s="34" t="s">
        <v>57</v>
      </c>
      <c r="I2071" s="35"/>
      <c r="J2071" s="21">
        <f ca="1">_xlfn.XLOOKUP(Master[[#This Row],[Checklist]],Ref!A:A,Ref!B:B)*1000</f>
        <v>183000</v>
      </c>
      <c r="K2071" s="21">
        <f ca="1">COUNTIF($J$2:Master[[#This Row],[ChecklistID]],Master[[#This Row],[ChecklistID]])-1</f>
        <v>13</v>
      </c>
      <c r="L2071" s="23" t="s">
        <v>6</v>
      </c>
    </row>
    <row r="2072" spans="1:12" ht="15.75">
      <c r="A2072" s="23">
        <f t="shared" si="32"/>
        <v>2059</v>
      </c>
      <c r="B2072" s="21">
        <f ca="1">Master[[#This Row],[ChecklistID]]+Master[[#This Row],[Checklist Order]]</f>
        <v>183014</v>
      </c>
      <c r="C2072" s="22"/>
      <c r="D2072" s="23" t="str" cm="1">
        <f t="array" aca="1" ref="D2072" ca="1">_xlfn.SWITCH(MID(Master[[#This Row],[Checklist]],1,4),"C - ","Civil","F - ","Foundation","ST -","Structure","FC -","Façade","PRE ","Pre-Line","POST","Post-Line","H - ","Handover","S - ","Services","CST ","Completion Docs", "I - ", "Inspection")</f>
        <v>Pre-Line</v>
      </c>
      <c r="E20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2" s="24" t="str">
        <f ca="1">IF(OR(Master[[#This Row],[Type]]="checklist", Master[[#This Row],[Type]]="checklist-flat"), Master[[#This Row],[Name]], F2071)</f>
        <v>PRE - S - Fire Penetration</v>
      </c>
      <c r="G2072" s="34" t="s">
        <v>58</v>
      </c>
      <c r="H2072" s="34" t="s">
        <v>59</v>
      </c>
      <c r="I2072" s="35"/>
      <c r="J2072" s="21">
        <f ca="1">_xlfn.XLOOKUP(Master[[#This Row],[Checklist]],Ref!A:A,Ref!B:B)*1000</f>
        <v>183000</v>
      </c>
      <c r="K2072" s="21">
        <f ca="1">COUNTIF($J$2:Master[[#This Row],[ChecklistID]],Master[[#This Row],[ChecklistID]])-1</f>
        <v>14</v>
      </c>
      <c r="L2072" s="23" t="s">
        <v>6</v>
      </c>
    </row>
    <row r="2073" spans="1:12" ht="15.75">
      <c r="A2073" s="23">
        <f t="shared" si="32"/>
        <v>2060</v>
      </c>
      <c r="B2073" s="21">
        <f ca="1">Master[[#This Row],[ChecklistID]]+Master[[#This Row],[Checklist Order]]</f>
        <v>184000</v>
      </c>
      <c r="C2073" s="22"/>
      <c r="D2073" s="23" t="str" cm="1">
        <f t="array" aca="1" ref="D2073" ca="1">_xlfn.SWITCH(MID(Master[[#This Row],[Checklist]],1,4),"C - ","Civil","F - ","Foundation","ST -","Structure","FC -","Façade","PRE ","Pre-Line","POST","Post-Line","H - ","Handover","S - ","Services","CST ","Completion Docs", "I - ", "Inspection")</f>
        <v>Structure</v>
      </c>
      <c r="E20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3" s="24" t="str">
        <f ca="1">IF(OR(Master[[#This Row],[Type]]="checklist", Master[[#This Row],[Type]]="checklist-flat"), Master[[#This Row],[Name]], F2072)</f>
        <v>ST - S - Steel Handover Documents - SFC Accredited and Non-SFC Contractors</v>
      </c>
      <c r="G2073" s="34" t="s">
        <v>1070</v>
      </c>
      <c r="H2073" s="34" t="s">
        <v>1069</v>
      </c>
      <c r="I2073" s="35"/>
      <c r="J2073" s="21">
        <f ca="1">_xlfn.XLOOKUP(Master[[#This Row],[Checklist]],Ref!A:A,Ref!B:B)*1000</f>
        <v>184000</v>
      </c>
      <c r="K2073" s="21">
        <f ca="1">COUNTIF($J$2:Master[[#This Row],[ChecklistID]],Master[[#This Row],[ChecklistID]])-1</f>
        <v>0</v>
      </c>
      <c r="L2073" s="23" t="s">
        <v>6</v>
      </c>
    </row>
    <row r="2074" spans="1:12" ht="15.75">
      <c r="A2074" s="23">
        <f t="shared" si="32"/>
        <v>2061</v>
      </c>
      <c r="B2074" s="21">
        <f ca="1">Master[[#This Row],[ChecklistID]]+Master[[#This Row],[Checklist Order]]</f>
        <v>184001</v>
      </c>
      <c r="C2074" s="22"/>
      <c r="D2074" s="23" t="str" cm="1">
        <f t="array" aca="1" ref="D2074" ca="1">_xlfn.SWITCH(MID(Master[[#This Row],[Checklist]],1,4),"C - ","Civil","F - ","Foundation","ST -","Structure","FC -","Façade","PRE ","Pre-Line","POST","Post-Line","H - ","Handover","S - ","Services","CST ","Completion Docs", "I - ", "Inspection")</f>
        <v>Structure</v>
      </c>
      <c r="E20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4" s="24" t="str">
        <f ca="1">IF(OR(Master[[#This Row],[Type]]="checklist", Master[[#This Row],[Type]]="checklist-flat"), Master[[#This Row],[Name]], F2073)</f>
        <v>ST - S - Steel Handover Documents - SFC Accredited and Non-SFC Contractors</v>
      </c>
      <c r="G2074" s="34" t="s">
        <v>831</v>
      </c>
      <c r="H2074" s="34" t="s">
        <v>1071</v>
      </c>
      <c r="I2074" s="35"/>
      <c r="J2074" s="21">
        <f ca="1">_xlfn.XLOOKUP(Master[[#This Row],[Checklist]],Ref!A:A,Ref!B:B)*1000</f>
        <v>184000</v>
      </c>
      <c r="K2074" s="21">
        <f ca="1">COUNTIF($J$2:Master[[#This Row],[ChecklistID]],Master[[#This Row],[ChecklistID]])-1</f>
        <v>1</v>
      </c>
      <c r="L2074" s="23" t="s">
        <v>6</v>
      </c>
    </row>
    <row r="2075" spans="1:12" ht="15.75">
      <c r="A2075" s="23">
        <f t="shared" si="32"/>
        <v>2062</v>
      </c>
      <c r="B2075" s="21">
        <f ca="1">Master[[#This Row],[ChecklistID]]+Master[[#This Row],[Checklist Order]]</f>
        <v>184002</v>
      </c>
      <c r="C2075" s="22"/>
      <c r="D2075" s="23" t="str" cm="1">
        <f t="array" aca="1" ref="D2075" ca="1">_xlfn.SWITCH(MID(Master[[#This Row],[Checklist]],1,4),"C - ","Civil","F - ","Foundation","ST -","Structure","FC -","Façade","PRE ","Pre-Line","POST","Post-Line","H - ","Handover","S - ","Services","CST ","Completion Docs", "I - ", "Inspection")</f>
        <v>Structure</v>
      </c>
      <c r="E20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5" s="24" t="str">
        <f ca="1">IF(OR(Master[[#This Row],[Type]]="checklist", Master[[#This Row],[Type]]="checklist-flat"), Master[[#This Row],[Name]], F2074)</f>
        <v>ST - S - Steel Handover Documents - SFC Accredited and Non-SFC Contractors</v>
      </c>
      <c r="G2075" s="34" t="s">
        <v>831</v>
      </c>
      <c r="H2075" s="34" t="s">
        <v>1072</v>
      </c>
      <c r="I2075" s="35"/>
      <c r="J2075" s="21">
        <f ca="1">_xlfn.XLOOKUP(Master[[#This Row],[Checklist]],Ref!A:A,Ref!B:B)*1000</f>
        <v>184000</v>
      </c>
      <c r="K2075" s="21">
        <f ca="1">COUNTIF($J$2:Master[[#This Row],[ChecklistID]],Master[[#This Row],[ChecklistID]])-1</f>
        <v>2</v>
      </c>
      <c r="L2075" s="23" t="s">
        <v>6</v>
      </c>
    </row>
    <row r="2076" spans="1:12" ht="15.75">
      <c r="A2076" s="23">
        <f t="shared" si="32"/>
        <v>2063</v>
      </c>
      <c r="B2076" s="21">
        <f ca="1">Master[[#This Row],[ChecklistID]]+Master[[#This Row],[Checklist Order]]</f>
        <v>184003</v>
      </c>
      <c r="C2076" s="22"/>
      <c r="D2076" s="23" t="str" cm="1">
        <f t="array" aca="1" ref="D2076" ca="1">_xlfn.SWITCH(MID(Master[[#This Row],[Checklist]],1,4),"C - ","Civil","F - ","Foundation","ST -","Structure","FC -","Façade","PRE ","Pre-Line","POST","Post-Line","H - ","Handover","S - ","Services","CST ","Completion Docs", "I - ", "Inspection")</f>
        <v>Structure</v>
      </c>
      <c r="E20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6" s="24" t="str">
        <f ca="1">IF(OR(Master[[#This Row],[Type]]="checklist", Master[[#This Row],[Type]]="checklist-flat"), Master[[#This Row],[Name]], F2075)</f>
        <v>ST - S - Steel Handover Documents - SFC Accredited and Non-SFC Contractors</v>
      </c>
      <c r="G2076" s="34" t="s">
        <v>831</v>
      </c>
      <c r="H2076" s="34" t="s">
        <v>1073</v>
      </c>
      <c r="I2076" s="35"/>
      <c r="J2076" s="21">
        <f ca="1">_xlfn.XLOOKUP(Master[[#This Row],[Checklist]],Ref!A:A,Ref!B:B)*1000</f>
        <v>184000</v>
      </c>
      <c r="K2076" s="21">
        <f ca="1">COUNTIF($J$2:Master[[#This Row],[ChecklistID]],Master[[#This Row],[ChecklistID]])-1</f>
        <v>3</v>
      </c>
      <c r="L2076" s="23" t="s">
        <v>6</v>
      </c>
    </row>
    <row r="2077" spans="1:12" ht="15.75">
      <c r="A2077" s="23">
        <f t="shared" si="32"/>
        <v>2064</v>
      </c>
      <c r="B2077" s="21">
        <f ca="1">Master[[#This Row],[ChecklistID]]+Master[[#This Row],[Checklist Order]]</f>
        <v>184004</v>
      </c>
      <c r="C2077" s="22"/>
      <c r="D2077" s="23" t="str" cm="1">
        <f t="array" aca="1" ref="D2077" ca="1">_xlfn.SWITCH(MID(Master[[#This Row],[Checklist]],1,4),"C - ","Civil","F - ","Foundation","ST -","Structure","FC -","Façade","PRE ","Pre-Line","POST","Post-Line","H - ","Handover","S - ","Services","CST ","Completion Docs", "I - ", "Inspection")</f>
        <v>Structure</v>
      </c>
      <c r="E20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7" s="24" t="str">
        <f ca="1">IF(OR(Master[[#This Row],[Type]]="checklist", Master[[#This Row],[Type]]="checklist-flat"), Master[[#This Row],[Name]], F2076)</f>
        <v>ST - S - Steel Handover Documents - SFC Accredited and Non-SFC Contractors</v>
      </c>
      <c r="G2077" s="34" t="s">
        <v>831</v>
      </c>
      <c r="H2077" s="34" t="s">
        <v>1074</v>
      </c>
      <c r="I2077" s="35"/>
      <c r="J2077" s="21">
        <f ca="1">_xlfn.XLOOKUP(Master[[#This Row],[Checklist]],Ref!A:A,Ref!B:B)*1000</f>
        <v>184000</v>
      </c>
      <c r="K2077" s="21">
        <f ca="1">COUNTIF($J$2:Master[[#This Row],[ChecklistID]],Master[[#This Row],[ChecklistID]])-1</f>
        <v>4</v>
      </c>
      <c r="L2077" s="23" t="s">
        <v>6</v>
      </c>
    </row>
    <row r="2078" spans="1:12" ht="15.75">
      <c r="A2078" s="23">
        <f t="shared" si="32"/>
        <v>2065</v>
      </c>
      <c r="B2078" s="21">
        <f ca="1">Master[[#This Row],[ChecklistID]]+Master[[#This Row],[Checklist Order]]</f>
        <v>184005</v>
      </c>
      <c r="C2078" s="22"/>
      <c r="D2078" s="23" t="str" cm="1">
        <f t="array" aca="1" ref="D2078" ca="1">_xlfn.SWITCH(MID(Master[[#This Row],[Checklist]],1,4),"C - ","Civil","F - ","Foundation","ST -","Structure","FC -","Façade","PRE ","Pre-Line","POST","Post-Line","H - ","Handover","S - ","Services","CST ","Completion Docs", "I - ", "Inspection")</f>
        <v>Structure</v>
      </c>
      <c r="E20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8" s="24" t="str">
        <f ca="1">IF(OR(Master[[#This Row],[Type]]="checklist", Master[[#This Row],[Type]]="checklist-flat"), Master[[#This Row],[Name]], F2077)</f>
        <v>ST - S - Steel Handover Documents - SFC Accredited and Non-SFC Contractors</v>
      </c>
      <c r="G2078" s="34" t="s">
        <v>831</v>
      </c>
      <c r="H2078" s="34" t="s">
        <v>1075</v>
      </c>
      <c r="I2078" s="35"/>
      <c r="J2078" s="21">
        <f ca="1">_xlfn.XLOOKUP(Master[[#This Row],[Checklist]],Ref!A:A,Ref!B:B)*1000</f>
        <v>184000</v>
      </c>
      <c r="K2078" s="21">
        <f ca="1">COUNTIF($J$2:Master[[#This Row],[ChecklistID]],Master[[#This Row],[ChecklistID]])-1</f>
        <v>5</v>
      </c>
      <c r="L2078" s="23" t="s">
        <v>6</v>
      </c>
    </row>
    <row r="2079" spans="1:12" ht="15.75">
      <c r="A2079" s="23">
        <f t="shared" si="32"/>
        <v>2066</v>
      </c>
      <c r="B2079" s="21">
        <f ca="1">Master[[#This Row],[ChecklistID]]+Master[[#This Row],[Checklist Order]]</f>
        <v>184006</v>
      </c>
      <c r="C2079" s="22"/>
      <c r="D2079" s="23" t="str" cm="1">
        <f t="array" aca="1" ref="D2079" ca="1">_xlfn.SWITCH(MID(Master[[#This Row],[Checklist]],1,4),"C - ","Civil","F - ","Foundation","ST -","Structure","FC -","Façade","PRE ","Pre-Line","POST","Post-Line","H - ","Handover","S - ","Services","CST ","Completion Docs", "I - ", "Inspection")</f>
        <v>Structure</v>
      </c>
      <c r="E20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79" s="24" t="str">
        <f ca="1">IF(OR(Master[[#This Row],[Type]]="checklist", Master[[#This Row],[Type]]="checklist-flat"), Master[[#This Row],[Name]], F2078)</f>
        <v>ST - S - Steel Handover Documents - SFC Accredited and Non-SFC Contractors</v>
      </c>
      <c r="G2079" s="34" t="s">
        <v>831</v>
      </c>
      <c r="H2079" s="34" t="s">
        <v>1076</v>
      </c>
      <c r="I2079" s="35"/>
      <c r="J2079" s="21">
        <f ca="1">_xlfn.XLOOKUP(Master[[#This Row],[Checklist]],Ref!A:A,Ref!B:B)*1000</f>
        <v>184000</v>
      </c>
      <c r="K2079" s="21">
        <f ca="1">COUNTIF($J$2:Master[[#This Row],[ChecklistID]],Master[[#This Row],[ChecklistID]])-1</f>
        <v>6</v>
      </c>
      <c r="L2079" s="23" t="s">
        <v>6</v>
      </c>
    </row>
    <row r="2080" spans="1:12" ht="15.75">
      <c r="A2080" s="23">
        <f t="shared" si="32"/>
        <v>2067</v>
      </c>
      <c r="B2080" s="21">
        <f ca="1">Master[[#This Row],[ChecklistID]]+Master[[#This Row],[Checklist Order]]</f>
        <v>184007</v>
      </c>
      <c r="C2080" s="22"/>
      <c r="D2080" s="23" t="str" cm="1">
        <f t="array" aca="1" ref="D2080" ca="1">_xlfn.SWITCH(MID(Master[[#This Row],[Checklist]],1,4),"C - ","Civil","F - ","Foundation","ST -","Structure","FC -","Façade","PRE ","Pre-Line","POST","Post-Line","H - ","Handover","S - ","Services","CST ","Completion Docs", "I - ", "Inspection")</f>
        <v>Structure</v>
      </c>
      <c r="E20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0" s="24" t="str">
        <f ca="1">IF(OR(Master[[#This Row],[Type]]="checklist", Master[[#This Row],[Type]]="checklist-flat"), Master[[#This Row],[Name]], F2079)</f>
        <v>ST - S - Steel Handover Documents - SFC Accredited and Non-SFC Contractors</v>
      </c>
      <c r="G2080" s="34" t="s">
        <v>831</v>
      </c>
      <c r="H2080" s="34" t="s">
        <v>1077</v>
      </c>
      <c r="I2080" s="35"/>
      <c r="J2080" s="21">
        <f ca="1">_xlfn.XLOOKUP(Master[[#This Row],[Checklist]],Ref!A:A,Ref!B:B)*1000</f>
        <v>184000</v>
      </c>
      <c r="K2080" s="21">
        <f ca="1">COUNTIF($J$2:Master[[#This Row],[ChecklistID]],Master[[#This Row],[ChecklistID]])-1</f>
        <v>7</v>
      </c>
      <c r="L2080" s="23" t="s">
        <v>6</v>
      </c>
    </row>
    <row r="2081" spans="1:12" ht="15.75">
      <c r="A2081" s="23">
        <f t="shared" si="32"/>
        <v>2068</v>
      </c>
      <c r="B2081" s="21">
        <f ca="1">Master[[#This Row],[ChecklistID]]+Master[[#This Row],[Checklist Order]]</f>
        <v>184008</v>
      </c>
      <c r="C2081" s="22"/>
      <c r="D2081" s="23" t="str" cm="1">
        <f t="array" aca="1" ref="D2081" ca="1">_xlfn.SWITCH(MID(Master[[#This Row],[Checklist]],1,4),"C - ","Civil","F - ","Foundation","ST -","Structure","FC -","Façade","PRE ","Pre-Line","POST","Post-Line","H - ","Handover","S - ","Services","CST ","Completion Docs", "I - ", "Inspection")</f>
        <v>Structure</v>
      </c>
      <c r="E20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1" s="24" t="str">
        <f ca="1">IF(OR(Master[[#This Row],[Type]]="checklist", Master[[#This Row],[Type]]="checklist-flat"), Master[[#This Row],[Name]], F2080)</f>
        <v>ST - S - Steel Handover Documents - SFC Accredited and Non-SFC Contractors</v>
      </c>
      <c r="G2081" s="34" t="s">
        <v>831</v>
      </c>
      <c r="H2081" s="34" t="s">
        <v>1078</v>
      </c>
      <c r="I2081" s="35"/>
      <c r="J2081" s="21">
        <f ca="1">_xlfn.XLOOKUP(Master[[#This Row],[Checklist]],Ref!A:A,Ref!B:B)*1000</f>
        <v>184000</v>
      </c>
      <c r="K2081" s="21">
        <f ca="1">COUNTIF($J$2:Master[[#This Row],[ChecklistID]],Master[[#This Row],[ChecklistID]])-1</f>
        <v>8</v>
      </c>
      <c r="L2081" s="23" t="s">
        <v>6</v>
      </c>
    </row>
    <row r="2082" spans="1:12" ht="15.75">
      <c r="A2082" s="23">
        <f t="shared" si="32"/>
        <v>2069</v>
      </c>
      <c r="B2082" s="21">
        <f ca="1">Master[[#This Row],[ChecklistID]]+Master[[#This Row],[Checklist Order]]</f>
        <v>184009</v>
      </c>
      <c r="C2082" s="22"/>
      <c r="D2082" s="23" t="str" cm="1">
        <f t="array" aca="1" ref="D2082" ca="1">_xlfn.SWITCH(MID(Master[[#This Row],[Checklist]],1,4),"C - ","Civil","F - ","Foundation","ST -","Structure","FC -","Façade","PRE ","Pre-Line","POST","Post-Line","H - ","Handover","S - ","Services","CST ","Completion Docs", "I - ", "Inspection")</f>
        <v>Structure</v>
      </c>
      <c r="E20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2" s="24" t="str">
        <f ca="1">IF(OR(Master[[#This Row],[Type]]="checklist", Master[[#This Row],[Type]]="checklist-flat"), Master[[#This Row],[Name]], F2081)</f>
        <v>ST - S - Steel Handover Documents - SFC Accredited and Non-SFC Contractors</v>
      </c>
      <c r="G2082" s="34" t="s">
        <v>831</v>
      </c>
      <c r="H2082" s="34" t="s">
        <v>1079</v>
      </c>
      <c r="I2082" s="35"/>
      <c r="J2082" s="21">
        <f ca="1">_xlfn.XLOOKUP(Master[[#This Row],[Checklist]],Ref!A:A,Ref!B:B)*1000</f>
        <v>184000</v>
      </c>
      <c r="K2082" s="21">
        <f ca="1">COUNTIF($J$2:Master[[#This Row],[ChecklistID]],Master[[#This Row],[ChecklistID]])-1</f>
        <v>9</v>
      </c>
      <c r="L2082" s="23" t="s">
        <v>6</v>
      </c>
    </row>
    <row r="2083" spans="1:12" ht="15.75">
      <c r="A2083" s="23">
        <f t="shared" si="32"/>
        <v>2070</v>
      </c>
      <c r="B2083" s="21">
        <f ca="1">Master[[#This Row],[ChecklistID]]+Master[[#This Row],[Checklist Order]]</f>
        <v>184010</v>
      </c>
      <c r="C2083" s="22"/>
      <c r="D2083" s="23" t="str" cm="1">
        <f t="array" aca="1" ref="D2083" ca="1">_xlfn.SWITCH(MID(Master[[#This Row],[Checklist]],1,4),"C - ","Civil","F - ","Foundation","ST -","Structure","FC -","Façade","PRE ","Pre-Line","POST","Post-Line","H - ","Handover","S - ","Services","CST ","Completion Docs", "I - ", "Inspection")</f>
        <v>Structure</v>
      </c>
      <c r="E20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3" s="24" t="str">
        <f ca="1">IF(OR(Master[[#This Row],[Type]]="checklist", Master[[#This Row],[Type]]="checklist-flat"), Master[[#This Row],[Name]], F2082)</f>
        <v>ST - S - Steel Handover Documents - SFC Accredited and Non-SFC Contractors</v>
      </c>
      <c r="G2083" s="34" t="s">
        <v>49</v>
      </c>
      <c r="H2083" s="34" t="s">
        <v>57</v>
      </c>
      <c r="I2083" s="35"/>
      <c r="J2083" s="21">
        <f ca="1">_xlfn.XLOOKUP(Master[[#This Row],[Checklist]],Ref!A:A,Ref!B:B)*1000</f>
        <v>184000</v>
      </c>
      <c r="K2083" s="21">
        <f ca="1">COUNTIF($J$2:Master[[#This Row],[ChecklistID]],Master[[#This Row],[ChecklistID]])-1</f>
        <v>10</v>
      </c>
      <c r="L2083" s="23" t="s">
        <v>6</v>
      </c>
    </row>
    <row r="2084" spans="1:12" ht="15.75">
      <c r="A2084" s="23">
        <f t="shared" si="32"/>
        <v>2071</v>
      </c>
      <c r="B2084" s="21">
        <f ca="1">Master[[#This Row],[ChecklistID]]+Master[[#This Row],[Checklist Order]]</f>
        <v>184011</v>
      </c>
      <c r="C2084" s="22"/>
      <c r="D2084" s="23" t="str" cm="1">
        <f t="array" aca="1" ref="D2084" ca="1">_xlfn.SWITCH(MID(Master[[#This Row],[Checklist]],1,4),"C - ","Civil","F - ","Foundation","ST -","Structure","FC -","Façade","PRE ","Pre-Line","POST","Post-Line","H - ","Handover","S - ","Services","CST ","Completion Docs", "I - ", "Inspection")</f>
        <v>Structure</v>
      </c>
      <c r="E20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4" s="24" t="str">
        <f ca="1">IF(OR(Master[[#This Row],[Type]]="checklist", Master[[#This Row],[Type]]="checklist-flat"), Master[[#This Row],[Name]], F2083)</f>
        <v>ST - S - Steel Handover Documents - SFC Accredited and Non-SFC Contractors</v>
      </c>
      <c r="G2084" s="34" t="s">
        <v>58</v>
      </c>
      <c r="H2084" s="34" t="s">
        <v>59</v>
      </c>
      <c r="I2084" s="35"/>
      <c r="J2084" s="21">
        <f ca="1">_xlfn.XLOOKUP(Master[[#This Row],[Checklist]],Ref!A:A,Ref!B:B)*1000</f>
        <v>184000</v>
      </c>
      <c r="K2084" s="21">
        <f ca="1">COUNTIF($J$2:Master[[#This Row],[ChecklistID]],Master[[#This Row],[ChecklistID]])-1</f>
        <v>11</v>
      </c>
      <c r="L2084" s="23" t="s">
        <v>6</v>
      </c>
    </row>
    <row r="2085" spans="1:12" ht="15.75">
      <c r="A2085" s="23">
        <f t="shared" si="32"/>
        <v>2072</v>
      </c>
      <c r="B2085" s="21">
        <f ca="1">Master[[#This Row],[ChecklistID]]+Master[[#This Row],[Checklist Order]]</f>
        <v>185000</v>
      </c>
      <c r="C2085" s="22"/>
      <c r="D2085" s="23" t="str" cm="1">
        <f t="array" aca="1" ref="D2085" ca="1">_xlfn.SWITCH(MID(Master[[#This Row],[Checklist]],1,4),"C - ","Civil","F - ","Foundation","ST -","Structure","FC -","Façade","PRE ","Pre-Line","POST","Post-Line","H - ","Handover","S - ","Services","CST ","Completion Docs", "I - ", "Inspection")</f>
        <v>Structure</v>
      </c>
      <c r="E20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5" s="24" t="str">
        <f ca="1">IF(OR(Master[[#This Row],[Type]]="checklist", Master[[#This Row],[Type]]="checklist-flat"), Master[[#This Row],[Name]], F2084)</f>
        <v>ST - S - Steel Handover Documents - Non-SFC Accredited Contractors Additional Requirements</v>
      </c>
      <c r="G2085" s="34" t="s">
        <v>48</v>
      </c>
      <c r="H2085" s="34" t="s">
        <v>1080</v>
      </c>
      <c r="I2085" s="35"/>
      <c r="J2085" s="21">
        <f ca="1">_xlfn.XLOOKUP(Master[[#This Row],[Checklist]],Ref!A:A,Ref!B:B)*1000</f>
        <v>185000</v>
      </c>
      <c r="K2085" s="21">
        <f ca="1">COUNTIF($J$2:Master[[#This Row],[ChecklistID]],Master[[#This Row],[ChecklistID]])-1</f>
        <v>0</v>
      </c>
      <c r="L2085" s="23" t="s">
        <v>6</v>
      </c>
    </row>
    <row r="2086" spans="1:12" ht="15.75">
      <c r="A2086" s="23">
        <f t="shared" si="32"/>
        <v>2073</v>
      </c>
      <c r="B2086" s="21">
        <f ca="1">Master[[#This Row],[ChecklistID]]+Master[[#This Row],[Checklist Order]]</f>
        <v>185001</v>
      </c>
      <c r="C2086" s="22"/>
      <c r="D2086" s="23" t="str" cm="1">
        <f t="array" aca="1" ref="D2086" ca="1">_xlfn.SWITCH(MID(Master[[#This Row],[Checklist]],1,4),"C - ","Civil","F - ","Foundation","ST -","Structure","FC -","Façade","PRE ","Pre-Line","POST","Post-Line","H - ","Handover","S - ","Services","CST ","Completion Docs", "I - ", "Inspection")</f>
        <v>Structure</v>
      </c>
      <c r="E20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6" s="24" t="str">
        <f ca="1">IF(OR(Master[[#This Row],[Type]]="checklist", Master[[#This Row],[Type]]="checklist-flat"), Master[[#This Row],[Name]], F2085)</f>
        <v>ST - S - Steel Handover Documents - Non-SFC Accredited Contractors Additional Requirements</v>
      </c>
      <c r="G2086" s="34" t="s">
        <v>831</v>
      </c>
      <c r="H2086" s="34" t="s">
        <v>1081</v>
      </c>
      <c r="I2086" s="35"/>
      <c r="J2086" s="21">
        <f ca="1">_xlfn.XLOOKUP(Master[[#This Row],[Checklist]],Ref!A:A,Ref!B:B)*1000</f>
        <v>185000</v>
      </c>
      <c r="K2086" s="21">
        <f ca="1">COUNTIF($J$2:Master[[#This Row],[ChecklistID]],Master[[#This Row],[ChecklistID]])-1</f>
        <v>1</v>
      </c>
      <c r="L2086" s="23" t="s">
        <v>6</v>
      </c>
    </row>
    <row r="2087" spans="1:12" ht="15.75">
      <c r="A2087" s="23">
        <f t="shared" si="32"/>
        <v>2074</v>
      </c>
      <c r="B2087" s="21">
        <f ca="1">Master[[#This Row],[ChecklistID]]+Master[[#This Row],[Checklist Order]]</f>
        <v>185002</v>
      </c>
      <c r="C2087" s="22"/>
      <c r="D2087" s="23" t="str" cm="1">
        <f t="array" aca="1" ref="D2087" ca="1">_xlfn.SWITCH(MID(Master[[#This Row],[Checklist]],1,4),"C - ","Civil","F - ","Foundation","ST -","Structure","FC -","Façade","PRE ","Pre-Line","POST","Post-Line","H - ","Handover","S - ","Services","CST ","Completion Docs", "I - ", "Inspection")</f>
        <v>Structure</v>
      </c>
      <c r="E20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7" s="24" t="str">
        <f ca="1">IF(OR(Master[[#This Row],[Type]]="checklist", Master[[#This Row],[Type]]="checklist-flat"), Master[[#This Row],[Name]], F2086)</f>
        <v>ST - S - Steel Handover Documents - Non-SFC Accredited Contractors Additional Requirements</v>
      </c>
      <c r="G2087" s="34" t="s">
        <v>831</v>
      </c>
      <c r="H2087" s="34" t="s">
        <v>1082</v>
      </c>
      <c r="I2087" s="35"/>
      <c r="J2087" s="21">
        <f ca="1">_xlfn.XLOOKUP(Master[[#This Row],[Checklist]],Ref!A:A,Ref!B:B)*1000</f>
        <v>185000</v>
      </c>
      <c r="K2087" s="21">
        <f ca="1">COUNTIF($J$2:Master[[#This Row],[ChecklistID]],Master[[#This Row],[ChecklistID]])-1</f>
        <v>2</v>
      </c>
      <c r="L2087" s="23" t="s">
        <v>6</v>
      </c>
    </row>
    <row r="2088" spans="1:12" ht="15.75">
      <c r="A2088" s="23">
        <f t="shared" si="32"/>
        <v>2075</v>
      </c>
      <c r="B2088" s="21">
        <f ca="1">Master[[#This Row],[ChecklistID]]+Master[[#This Row],[Checklist Order]]</f>
        <v>185003</v>
      </c>
      <c r="C2088" s="22"/>
      <c r="D2088" s="23" t="str" cm="1">
        <f t="array" aca="1" ref="D2088" ca="1">_xlfn.SWITCH(MID(Master[[#This Row],[Checklist]],1,4),"C - ","Civil","F - ","Foundation","ST -","Structure","FC -","Façade","PRE ","Pre-Line","POST","Post-Line","H - ","Handover","S - ","Services","CST ","Completion Docs", "I - ", "Inspection")</f>
        <v>Structure</v>
      </c>
      <c r="E20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8" s="24" t="str">
        <f ca="1">IF(OR(Master[[#This Row],[Type]]="checklist", Master[[#This Row],[Type]]="checklist-flat"), Master[[#This Row],[Name]], F2087)</f>
        <v>ST - S - Steel Handover Documents - Non-SFC Accredited Contractors Additional Requirements</v>
      </c>
      <c r="G2088" s="34" t="s">
        <v>831</v>
      </c>
      <c r="H2088" s="34" t="s">
        <v>1083</v>
      </c>
      <c r="I2088" s="35"/>
      <c r="J2088" s="21">
        <f ca="1">_xlfn.XLOOKUP(Master[[#This Row],[Checklist]],Ref!A:A,Ref!B:B)*1000</f>
        <v>185000</v>
      </c>
      <c r="K2088" s="21">
        <f ca="1">COUNTIF($J$2:Master[[#This Row],[ChecklistID]],Master[[#This Row],[ChecklistID]])-1</f>
        <v>3</v>
      </c>
      <c r="L2088" s="23" t="s">
        <v>6</v>
      </c>
    </row>
    <row r="2089" spans="1:12" ht="15.75">
      <c r="A2089" s="23">
        <f t="shared" si="32"/>
        <v>2076</v>
      </c>
      <c r="B2089" s="21">
        <f ca="1">Master[[#This Row],[ChecklistID]]+Master[[#This Row],[Checklist Order]]</f>
        <v>185004</v>
      </c>
      <c r="C2089" s="22"/>
      <c r="D2089" s="23" t="str" cm="1">
        <f t="array" aca="1" ref="D2089" ca="1">_xlfn.SWITCH(MID(Master[[#This Row],[Checklist]],1,4),"C - ","Civil","F - ","Foundation","ST -","Structure","FC -","Façade","PRE ","Pre-Line","POST","Post-Line","H - ","Handover","S - ","Services","CST ","Completion Docs", "I - ", "Inspection")</f>
        <v>Structure</v>
      </c>
      <c r="E20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89" s="24" t="str">
        <f ca="1">IF(OR(Master[[#This Row],[Type]]="checklist", Master[[#This Row],[Type]]="checklist-flat"), Master[[#This Row],[Name]], F2088)</f>
        <v>ST - S - Steel Handover Documents - Non-SFC Accredited Contractors Additional Requirements</v>
      </c>
      <c r="G2089" s="34" t="s">
        <v>831</v>
      </c>
      <c r="H2089" s="34" t="s">
        <v>1084</v>
      </c>
      <c r="I2089" s="35"/>
      <c r="J2089" s="21">
        <f ca="1">_xlfn.XLOOKUP(Master[[#This Row],[Checklist]],Ref!A:A,Ref!B:B)*1000</f>
        <v>185000</v>
      </c>
      <c r="K2089" s="21">
        <f ca="1">COUNTIF($J$2:Master[[#This Row],[ChecklistID]],Master[[#This Row],[ChecklistID]])-1</f>
        <v>4</v>
      </c>
      <c r="L2089" s="23" t="s">
        <v>6</v>
      </c>
    </row>
    <row r="2090" spans="1:12" ht="15.75">
      <c r="A2090" s="23">
        <f t="shared" si="32"/>
        <v>2077</v>
      </c>
      <c r="B2090" s="21">
        <f ca="1">Master[[#This Row],[ChecklistID]]+Master[[#This Row],[Checklist Order]]</f>
        <v>185005</v>
      </c>
      <c r="C2090" s="22"/>
      <c r="D2090" s="23" t="str" cm="1">
        <f t="array" aca="1" ref="D2090" ca="1">_xlfn.SWITCH(MID(Master[[#This Row],[Checklist]],1,4),"C - ","Civil","F - ","Foundation","ST -","Structure","FC -","Façade","PRE ","Pre-Line","POST","Post-Line","H - ","Handover","S - ","Services","CST ","Completion Docs", "I - ", "Inspection")</f>
        <v>Structure</v>
      </c>
      <c r="E20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0" s="24" t="str">
        <f ca="1">IF(OR(Master[[#This Row],[Type]]="checklist", Master[[#This Row],[Type]]="checklist-flat"), Master[[#This Row],[Name]], F2089)</f>
        <v>ST - S - Steel Handover Documents - Non-SFC Accredited Contractors Additional Requirements</v>
      </c>
      <c r="G2090" s="34" t="s">
        <v>831</v>
      </c>
      <c r="H2090" s="34" t="s">
        <v>1085</v>
      </c>
      <c r="I2090" s="35"/>
      <c r="J2090" s="21">
        <f ca="1">_xlfn.XLOOKUP(Master[[#This Row],[Checklist]],Ref!A:A,Ref!B:B)*1000</f>
        <v>185000</v>
      </c>
      <c r="K2090" s="21">
        <f ca="1">COUNTIF($J$2:Master[[#This Row],[ChecklistID]],Master[[#This Row],[ChecklistID]])-1</f>
        <v>5</v>
      </c>
      <c r="L2090" s="23" t="s">
        <v>6</v>
      </c>
    </row>
    <row r="2091" spans="1:12" ht="15.75">
      <c r="A2091" s="23">
        <f t="shared" si="32"/>
        <v>2078</v>
      </c>
      <c r="B2091" s="21">
        <f ca="1">Master[[#This Row],[ChecklistID]]+Master[[#This Row],[Checklist Order]]</f>
        <v>185006</v>
      </c>
      <c r="C2091" s="22"/>
      <c r="D2091" s="23" t="str" cm="1">
        <f t="array" aca="1" ref="D2091" ca="1">_xlfn.SWITCH(MID(Master[[#This Row],[Checklist]],1,4),"C - ","Civil","F - ","Foundation","ST -","Structure","FC -","Façade","PRE ","Pre-Line","POST","Post-Line","H - ","Handover","S - ","Services","CST ","Completion Docs", "I - ", "Inspection")</f>
        <v>Structure</v>
      </c>
      <c r="E20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1" s="24" t="str">
        <f ca="1">IF(OR(Master[[#This Row],[Type]]="checklist", Master[[#This Row],[Type]]="checklist-flat"), Master[[#This Row],[Name]], F2090)</f>
        <v>ST - S - Steel Handover Documents - Non-SFC Accredited Contractors Additional Requirements</v>
      </c>
      <c r="G2091" s="34" t="s">
        <v>831</v>
      </c>
      <c r="H2091" s="34" t="s">
        <v>1086</v>
      </c>
      <c r="I2091" s="35"/>
      <c r="J2091" s="21">
        <f ca="1">_xlfn.XLOOKUP(Master[[#This Row],[Checklist]],Ref!A:A,Ref!B:B)*1000</f>
        <v>185000</v>
      </c>
      <c r="K2091" s="21">
        <f ca="1">COUNTIF($J$2:Master[[#This Row],[ChecklistID]],Master[[#This Row],[ChecklistID]])-1</f>
        <v>6</v>
      </c>
      <c r="L2091" s="23" t="s">
        <v>6</v>
      </c>
    </row>
    <row r="2092" spans="1:12" ht="15.75">
      <c r="A2092" s="23">
        <f t="shared" si="32"/>
        <v>2079</v>
      </c>
      <c r="B2092" s="21">
        <f ca="1">Master[[#This Row],[ChecklistID]]+Master[[#This Row],[Checklist Order]]</f>
        <v>185007</v>
      </c>
      <c r="C2092" s="22"/>
      <c r="D2092" s="23" t="str" cm="1">
        <f t="array" aca="1" ref="D2092" ca="1">_xlfn.SWITCH(MID(Master[[#This Row],[Checklist]],1,4),"C - ","Civil","F - ","Foundation","ST -","Structure","FC -","Façade","PRE ","Pre-Line","POST","Post-Line","H - ","Handover","S - ","Services","CST ","Completion Docs", "I - ", "Inspection")</f>
        <v>Structure</v>
      </c>
      <c r="E20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2" s="24" t="str">
        <f ca="1">IF(OR(Master[[#This Row],[Type]]="checklist", Master[[#This Row],[Type]]="checklist-flat"), Master[[#This Row],[Name]], F2091)</f>
        <v>ST - S - Steel Handover Documents - Non-SFC Accredited Contractors Additional Requirements</v>
      </c>
      <c r="G2092" s="34" t="s">
        <v>831</v>
      </c>
      <c r="H2092" s="34" t="s">
        <v>1087</v>
      </c>
      <c r="I2092" s="35"/>
      <c r="J2092" s="21">
        <f ca="1">_xlfn.XLOOKUP(Master[[#This Row],[Checklist]],Ref!A:A,Ref!B:B)*1000</f>
        <v>185000</v>
      </c>
      <c r="K2092" s="21">
        <f ca="1">COUNTIF($J$2:Master[[#This Row],[ChecklistID]],Master[[#This Row],[ChecklistID]])-1</f>
        <v>7</v>
      </c>
      <c r="L2092" s="23" t="s">
        <v>6</v>
      </c>
    </row>
    <row r="2093" spans="1:12" ht="15.75">
      <c r="A2093" s="23">
        <f t="shared" si="32"/>
        <v>2080</v>
      </c>
      <c r="B2093" s="21">
        <f ca="1">Master[[#This Row],[ChecklistID]]+Master[[#This Row],[Checklist Order]]</f>
        <v>185008</v>
      </c>
      <c r="C2093" s="22"/>
      <c r="D2093" s="23" t="str" cm="1">
        <f t="array" aca="1" ref="D2093" ca="1">_xlfn.SWITCH(MID(Master[[#This Row],[Checklist]],1,4),"C - ","Civil","F - ","Foundation","ST -","Structure","FC -","Façade","PRE ","Pre-Line","POST","Post-Line","H - ","Handover","S - ","Services","CST ","Completion Docs", "I - ", "Inspection")</f>
        <v>Structure</v>
      </c>
      <c r="E20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3" s="24" t="str">
        <f ca="1">IF(OR(Master[[#This Row],[Type]]="checklist", Master[[#This Row],[Type]]="checklist-flat"), Master[[#This Row],[Name]], F2092)</f>
        <v>ST - S - Steel Handover Documents - Non-SFC Accredited Contractors Additional Requirements</v>
      </c>
      <c r="G2093" s="34" t="s">
        <v>831</v>
      </c>
      <c r="H2093" s="34" t="s">
        <v>1088</v>
      </c>
      <c r="I2093" s="35"/>
      <c r="J2093" s="21">
        <f ca="1">_xlfn.XLOOKUP(Master[[#This Row],[Checklist]],Ref!A:A,Ref!B:B)*1000</f>
        <v>185000</v>
      </c>
      <c r="K2093" s="21">
        <f ca="1">COUNTIF($J$2:Master[[#This Row],[ChecklistID]],Master[[#This Row],[ChecklistID]])-1</f>
        <v>8</v>
      </c>
      <c r="L2093" s="23" t="s">
        <v>6</v>
      </c>
    </row>
    <row r="2094" spans="1:12" ht="15.75">
      <c r="A2094" s="23">
        <f t="shared" si="32"/>
        <v>2081</v>
      </c>
      <c r="B2094" s="21">
        <f ca="1">Master[[#This Row],[ChecklistID]]+Master[[#This Row],[Checklist Order]]</f>
        <v>185009</v>
      </c>
      <c r="C2094" s="22"/>
      <c r="D2094" s="23" t="str" cm="1">
        <f t="array" aca="1" ref="D2094" ca="1">_xlfn.SWITCH(MID(Master[[#This Row],[Checklist]],1,4),"C - ","Civil","F - ","Foundation","ST -","Structure","FC -","Façade","PRE ","Pre-Line","POST","Post-Line","H - ","Handover","S - ","Services","CST ","Completion Docs", "I - ", "Inspection")</f>
        <v>Structure</v>
      </c>
      <c r="E20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4" s="24" t="str">
        <f ca="1">IF(OR(Master[[#This Row],[Type]]="checklist", Master[[#This Row],[Type]]="checklist-flat"), Master[[#This Row],[Name]], F2093)</f>
        <v>ST - S - Steel Handover Documents - Non-SFC Accredited Contractors Additional Requirements</v>
      </c>
      <c r="G2094" s="34" t="s">
        <v>831</v>
      </c>
      <c r="H2094" s="34" t="s">
        <v>1089</v>
      </c>
      <c r="I2094" s="35"/>
      <c r="J2094" s="21">
        <f ca="1">_xlfn.XLOOKUP(Master[[#This Row],[Checklist]],Ref!A:A,Ref!B:B)*1000</f>
        <v>185000</v>
      </c>
      <c r="K2094" s="21">
        <f ca="1">COUNTIF($J$2:Master[[#This Row],[ChecklistID]],Master[[#This Row],[ChecklistID]])-1</f>
        <v>9</v>
      </c>
      <c r="L2094" s="23" t="s">
        <v>6</v>
      </c>
    </row>
    <row r="2095" spans="1:12" ht="15.75">
      <c r="A2095" s="23">
        <f t="shared" si="32"/>
        <v>2082</v>
      </c>
      <c r="B2095" s="21">
        <f ca="1">Master[[#This Row],[ChecklistID]]+Master[[#This Row],[Checklist Order]]</f>
        <v>185010</v>
      </c>
      <c r="C2095" s="22"/>
      <c r="D2095" s="23" t="str" cm="1">
        <f t="array" aca="1" ref="D2095" ca="1">_xlfn.SWITCH(MID(Master[[#This Row],[Checklist]],1,4),"C - ","Civil","F - ","Foundation","ST -","Structure","FC -","Façade","PRE ","Pre-Line","POST","Post-Line","H - ","Handover","S - ","Services","CST ","Completion Docs", "I - ", "Inspection")</f>
        <v>Structure</v>
      </c>
      <c r="E20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5" s="24" t="str">
        <f ca="1">IF(OR(Master[[#This Row],[Type]]="checklist", Master[[#This Row],[Type]]="checklist-flat"), Master[[#This Row],[Name]], F2094)</f>
        <v>ST - S - Steel Handover Documents - Non-SFC Accredited Contractors Additional Requirements</v>
      </c>
      <c r="G2095" s="34" t="s">
        <v>49</v>
      </c>
      <c r="H2095" s="34" t="s">
        <v>57</v>
      </c>
      <c r="I2095" s="35"/>
      <c r="J2095" s="21">
        <f ca="1">_xlfn.XLOOKUP(Master[[#This Row],[Checklist]],Ref!A:A,Ref!B:B)*1000</f>
        <v>185000</v>
      </c>
      <c r="K2095" s="21">
        <f ca="1">COUNTIF($J$2:Master[[#This Row],[ChecklistID]],Master[[#This Row],[ChecklistID]])-1</f>
        <v>10</v>
      </c>
      <c r="L2095" s="23" t="s">
        <v>6</v>
      </c>
    </row>
    <row r="2096" spans="1:12" ht="15.75">
      <c r="A2096" s="23">
        <f t="shared" si="32"/>
        <v>2083</v>
      </c>
      <c r="B2096" s="21">
        <f ca="1">Master[[#This Row],[ChecklistID]]+Master[[#This Row],[Checklist Order]]</f>
        <v>185011</v>
      </c>
      <c r="C2096" s="22"/>
      <c r="D2096" s="23" t="str" cm="1">
        <f t="array" aca="1" ref="D2096" ca="1">_xlfn.SWITCH(MID(Master[[#This Row],[Checklist]],1,4),"C - ","Civil","F - ","Foundation","ST -","Structure","FC -","Façade","PRE ","Pre-Line","POST","Post-Line","H - ","Handover","S - ","Services","CST ","Completion Docs", "I - ", "Inspection")</f>
        <v>Structure</v>
      </c>
      <c r="E20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6" s="24" t="str">
        <f ca="1">IF(OR(Master[[#This Row],[Type]]="checklist", Master[[#This Row],[Type]]="checklist-flat"), Master[[#This Row],[Name]], F2095)</f>
        <v>ST - S - Steel Handover Documents - Non-SFC Accredited Contractors Additional Requirements</v>
      </c>
      <c r="G2096" s="34" t="s">
        <v>58</v>
      </c>
      <c r="H2096" s="34" t="s">
        <v>59</v>
      </c>
      <c r="I2096" s="35"/>
      <c r="J2096" s="21">
        <f ca="1">_xlfn.XLOOKUP(Master[[#This Row],[Checklist]],Ref!A:A,Ref!B:B)*1000</f>
        <v>185000</v>
      </c>
      <c r="K2096" s="21">
        <f ca="1">COUNTIF($J$2:Master[[#This Row],[ChecklistID]],Master[[#This Row],[ChecklistID]])-1</f>
        <v>11</v>
      </c>
      <c r="L2096" s="23" t="s">
        <v>6</v>
      </c>
    </row>
    <row r="2097" spans="1:12" ht="15.75">
      <c r="A2097" s="23">
        <f t="shared" si="32"/>
        <v>2084</v>
      </c>
      <c r="B2097" s="21">
        <f ca="1">Master[[#This Row],[ChecklistID]]+Master[[#This Row],[Checklist Order]]</f>
        <v>186000</v>
      </c>
      <c r="C2097" s="22"/>
      <c r="D2097" s="23" t="str" cm="1">
        <f t="array" aca="1" ref="D2097" ca="1">_xlfn.SWITCH(MID(Master[[#This Row],[Checklist]],1,4),"C - ","Civil","F - ","Foundation","ST -","Structure","FC -","Façade","PRE ","Pre-Line","POST","Post-Line","H - ","Handover","S - ","Services","CST ","Completion Docs", "I - ", "Inspection")</f>
        <v>Structure</v>
      </c>
      <c r="E20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7" s="24" t="str">
        <f ca="1">IF(OR(Master[[#This Row],[Type]]="checklist", Master[[#This Row],[Type]]="checklist-flat"), Master[[#This Row],[Name]], F2096)</f>
        <v>ST - S - Steel Site Install</v>
      </c>
      <c r="G2097" s="34" t="s">
        <v>119</v>
      </c>
      <c r="H2097" s="34" t="s">
        <v>1090</v>
      </c>
      <c r="I2097" s="35"/>
      <c r="J2097" s="21">
        <f ca="1">_xlfn.XLOOKUP(Master[[#This Row],[Checklist]],Ref!A:A,Ref!B:B)*1000</f>
        <v>186000</v>
      </c>
      <c r="K2097" s="21">
        <f ca="1">COUNTIF($J$2:Master[[#This Row],[ChecklistID]],Master[[#This Row],[ChecklistID]])-1</f>
        <v>0</v>
      </c>
      <c r="L2097" s="23" t="s">
        <v>6</v>
      </c>
    </row>
    <row r="2098" spans="1:12" ht="15.75">
      <c r="A2098" s="23">
        <f t="shared" si="32"/>
        <v>2085</v>
      </c>
      <c r="B2098" s="21">
        <f ca="1">Master[[#This Row],[ChecklistID]]+Master[[#This Row],[Checklist Order]]</f>
        <v>186001</v>
      </c>
      <c r="C2098" s="22"/>
      <c r="D2098" s="23" t="str" cm="1">
        <f t="array" aca="1" ref="D2098" ca="1">_xlfn.SWITCH(MID(Master[[#This Row],[Checklist]],1,4),"C - ","Civil","F - ","Foundation","ST -","Structure","FC -","Façade","PRE ","Pre-Line","POST","Post-Line","H - ","Handover","S - ","Services","CST ","Completion Docs", "I - ", "Inspection")</f>
        <v>Structure</v>
      </c>
      <c r="E20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8" s="24" t="str">
        <f ca="1">IF(OR(Master[[#This Row],[Type]]="checklist", Master[[#This Row],[Type]]="checklist-flat"), Master[[#This Row],[Name]], F2097)</f>
        <v>ST - S - Steel Site Install</v>
      </c>
      <c r="G2098" s="34" t="s">
        <v>120</v>
      </c>
      <c r="H2098" s="34" t="s">
        <v>950</v>
      </c>
      <c r="I2098" s="35"/>
      <c r="J2098" s="21">
        <f ca="1">_xlfn.XLOOKUP(Master[[#This Row],[Checklist]],Ref!A:A,Ref!B:B)*1000</f>
        <v>186000</v>
      </c>
      <c r="K2098" s="21">
        <f ca="1">COUNTIF($J$2:Master[[#This Row],[ChecklistID]],Master[[#This Row],[ChecklistID]])-1</f>
        <v>1</v>
      </c>
      <c r="L2098" s="23" t="s">
        <v>6</v>
      </c>
    </row>
    <row r="2099" spans="1:12" ht="15.75">
      <c r="A2099" s="23">
        <f t="shared" si="32"/>
        <v>2086</v>
      </c>
      <c r="B2099" s="21">
        <f ca="1">Master[[#This Row],[ChecklistID]]+Master[[#This Row],[Checklist Order]]</f>
        <v>186002</v>
      </c>
      <c r="C2099" s="22"/>
      <c r="D2099" s="23" t="str" cm="1">
        <f t="array" aca="1" ref="D2099" ca="1">_xlfn.SWITCH(MID(Master[[#This Row],[Checklist]],1,4),"C - ","Civil","F - ","Foundation","ST -","Structure","FC -","Façade","PRE ","Pre-Line","POST","Post-Line","H - ","Handover","S - ","Services","CST ","Completion Docs", "I - ", "Inspection")</f>
        <v>Structure</v>
      </c>
      <c r="E20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099" s="24" t="str">
        <f ca="1">IF(OR(Master[[#This Row],[Type]]="checklist", Master[[#This Row],[Type]]="checklist-flat"), Master[[#This Row],[Name]], F2098)</f>
        <v>ST - S - Steel Site Install</v>
      </c>
      <c r="G2099" s="34" t="s">
        <v>49</v>
      </c>
      <c r="H2099" s="34" t="s">
        <v>1091</v>
      </c>
      <c r="I2099" s="35"/>
      <c r="J2099" s="21">
        <f ca="1">_xlfn.XLOOKUP(Master[[#This Row],[Checklist]],Ref!A:A,Ref!B:B)*1000</f>
        <v>186000</v>
      </c>
      <c r="K2099" s="21">
        <f ca="1">COUNTIF($J$2:Master[[#This Row],[ChecklistID]],Master[[#This Row],[ChecklistID]])-1</f>
        <v>2</v>
      </c>
      <c r="L2099" s="23" t="s">
        <v>6</v>
      </c>
    </row>
    <row r="2100" spans="1:12" ht="15.75">
      <c r="A2100" s="23">
        <f t="shared" ref="A2100:A2163" si="33">IFERROR(A2099+1,1)</f>
        <v>2087</v>
      </c>
      <c r="B2100" s="21">
        <f ca="1">Master[[#This Row],[ChecklistID]]+Master[[#This Row],[Checklist Order]]</f>
        <v>186003</v>
      </c>
      <c r="C2100" s="22"/>
      <c r="D2100" s="23" t="str" cm="1">
        <f t="array" aca="1" ref="D2100" ca="1">_xlfn.SWITCH(MID(Master[[#This Row],[Checklist]],1,4),"C - ","Civil","F - ","Foundation","ST -","Structure","FC -","Façade","PRE ","Pre-Line","POST","Post-Line","H - ","Handover","S - ","Services","CST ","Completion Docs", "I - ", "Inspection")</f>
        <v>Structure</v>
      </c>
      <c r="E21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0" s="24" t="str">
        <f ca="1">IF(OR(Master[[#This Row],[Type]]="checklist", Master[[#This Row],[Type]]="checklist-flat"), Master[[#This Row],[Name]], F2099)</f>
        <v>ST - S - Steel Site Install</v>
      </c>
      <c r="G2100" s="34" t="s">
        <v>49</v>
      </c>
      <c r="H2100" s="34" t="s">
        <v>1092</v>
      </c>
      <c r="I2100" s="35"/>
      <c r="J2100" s="21">
        <f ca="1">_xlfn.XLOOKUP(Master[[#This Row],[Checklist]],Ref!A:A,Ref!B:B)*1000</f>
        <v>186000</v>
      </c>
      <c r="K2100" s="21">
        <f ca="1">COUNTIF($J$2:Master[[#This Row],[ChecklistID]],Master[[#This Row],[ChecklistID]])-1</f>
        <v>3</v>
      </c>
      <c r="L2100" s="23" t="s">
        <v>6</v>
      </c>
    </row>
    <row r="2101" spans="1:12" ht="15.75">
      <c r="A2101" s="23">
        <f t="shared" si="33"/>
        <v>2088</v>
      </c>
      <c r="B2101" s="21">
        <f ca="1">Master[[#This Row],[ChecklistID]]+Master[[#This Row],[Checklist Order]]</f>
        <v>186004</v>
      </c>
      <c r="C2101" s="22"/>
      <c r="D2101" s="23" t="str" cm="1">
        <f t="array" aca="1" ref="D2101" ca="1">_xlfn.SWITCH(MID(Master[[#This Row],[Checklist]],1,4),"C - ","Civil","F - ","Foundation","ST -","Structure","FC -","Façade","PRE ","Pre-Line","POST","Post-Line","H - ","Handover","S - ","Services","CST ","Completion Docs", "I - ", "Inspection")</f>
        <v>Structure</v>
      </c>
      <c r="E21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1" s="24" t="str">
        <f ca="1">IF(OR(Master[[#This Row],[Type]]="checklist", Master[[#This Row],[Type]]="checklist-flat"), Master[[#This Row],[Name]], F2100)</f>
        <v>ST - S - Steel Site Install</v>
      </c>
      <c r="G2101" s="34" t="s">
        <v>120</v>
      </c>
      <c r="H2101" s="34" t="s">
        <v>418</v>
      </c>
      <c r="I2101" s="35"/>
      <c r="J2101" s="21">
        <f ca="1">_xlfn.XLOOKUP(Master[[#This Row],[Checklist]],Ref!A:A,Ref!B:B)*1000</f>
        <v>186000</v>
      </c>
      <c r="K2101" s="21">
        <f ca="1">COUNTIF($J$2:Master[[#This Row],[ChecklistID]],Master[[#This Row],[ChecklistID]])-1</f>
        <v>4</v>
      </c>
      <c r="L2101" s="23" t="s">
        <v>6</v>
      </c>
    </row>
    <row r="2102" spans="1:12" ht="15.75">
      <c r="A2102" s="23">
        <f t="shared" si="33"/>
        <v>2089</v>
      </c>
      <c r="B2102" s="21">
        <f ca="1">Master[[#This Row],[ChecklistID]]+Master[[#This Row],[Checklist Order]]</f>
        <v>186005</v>
      </c>
      <c r="C2102" s="22"/>
      <c r="D2102" s="23" t="str" cm="1">
        <f t="array" aca="1" ref="D2102" ca="1">_xlfn.SWITCH(MID(Master[[#This Row],[Checklist]],1,4),"C - ","Civil","F - ","Foundation","ST -","Structure","FC -","Façade","PRE ","Pre-Line","POST","Post-Line","H - ","Handover","S - ","Services","CST ","Completion Docs", "I - ", "Inspection")</f>
        <v>Structure</v>
      </c>
      <c r="E21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2" s="24" t="str">
        <f ca="1">IF(OR(Master[[#This Row],[Type]]="checklist", Master[[#This Row],[Type]]="checklist-flat"), Master[[#This Row],[Name]], F2101)</f>
        <v>ST - S - Steel Site Install</v>
      </c>
      <c r="G2102" s="34" t="s">
        <v>49</v>
      </c>
      <c r="H2102" s="34" t="s">
        <v>1093</v>
      </c>
      <c r="I2102" s="35"/>
      <c r="J2102" s="21">
        <f ca="1">_xlfn.XLOOKUP(Master[[#This Row],[Checklist]],Ref!A:A,Ref!B:B)*1000</f>
        <v>186000</v>
      </c>
      <c r="K2102" s="21">
        <f ca="1">COUNTIF($J$2:Master[[#This Row],[ChecklistID]],Master[[#This Row],[ChecklistID]])-1</f>
        <v>5</v>
      </c>
      <c r="L2102" s="23" t="s">
        <v>6</v>
      </c>
    </row>
    <row r="2103" spans="1:12" ht="15.75">
      <c r="A2103" s="23">
        <f t="shared" si="33"/>
        <v>2090</v>
      </c>
      <c r="B2103" s="21">
        <f ca="1">Master[[#This Row],[ChecklistID]]+Master[[#This Row],[Checklist Order]]</f>
        <v>186006</v>
      </c>
      <c r="C2103" s="22"/>
      <c r="D2103" s="23" t="str" cm="1">
        <f t="array" aca="1" ref="D2103" ca="1">_xlfn.SWITCH(MID(Master[[#This Row],[Checklist]],1,4),"C - ","Civil","F - ","Foundation","ST -","Structure","FC -","Façade","PRE ","Pre-Line","POST","Post-Line","H - ","Handover","S - ","Services","CST ","Completion Docs", "I - ", "Inspection")</f>
        <v>Structure</v>
      </c>
      <c r="E21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3" s="24" t="str">
        <f ca="1">IF(OR(Master[[#This Row],[Type]]="checklist", Master[[#This Row],[Type]]="checklist-flat"), Master[[#This Row],[Name]], F2102)</f>
        <v>ST - S - Steel Site Install</v>
      </c>
      <c r="G2103" s="34" t="s">
        <v>49</v>
      </c>
      <c r="H2103" s="34" t="s">
        <v>1094</v>
      </c>
      <c r="I2103" s="35"/>
      <c r="J2103" s="21">
        <f ca="1">_xlfn.XLOOKUP(Master[[#This Row],[Checklist]],Ref!A:A,Ref!B:B)*1000</f>
        <v>186000</v>
      </c>
      <c r="K2103" s="21">
        <f ca="1">COUNTIF($J$2:Master[[#This Row],[ChecklistID]],Master[[#This Row],[ChecklistID]])-1</f>
        <v>6</v>
      </c>
      <c r="L2103" s="23" t="s">
        <v>6</v>
      </c>
    </row>
    <row r="2104" spans="1:12" ht="15.75">
      <c r="A2104" s="23">
        <f t="shared" si="33"/>
        <v>2091</v>
      </c>
      <c r="B2104" s="21">
        <f ca="1">Master[[#This Row],[ChecklistID]]+Master[[#This Row],[Checklist Order]]</f>
        <v>186007</v>
      </c>
      <c r="C2104" s="22"/>
      <c r="D2104" s="23" t="str" cm="1">
        <f t="array" aca="1" ref="D2104" ca="1">_xlfn.SWITCH(MID(Master[[#This Row],[Checklist]],1,4),"C - ","Civil","F - ","Foundation","ST -","Structure","FC -","Façade","PRE ","Pre-Line","POST","Post-Line","H - ","Handover","S - ","Services","CST ","Completion Docs", "I - ", "Inspection")</f>
        <v>Structure</v>
      </c>
      <c r="E21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4" s="24" t="str">
        <f ca="1">IF(OR(Master[[#This Row],[Type]]="checklist", Master[[#This Row],[Type]]="checklist-flat"), Master[[#This Row],[Name]], F2103)</f>
        <v>ST - S - Steel Site Install</v>
      </c>
      <c r="G2104" s="34" t="s">
        <v>120</v>
      </c>
      <c r="H2104" s="34" t="s">
        <v>1095</v>
      </c>
      <c r="I2104" s="35"/>
      <c r="J2104" s="21">
        <f ca="1">_xlfn.XLOOKUP(Master[[#This Row],[Checklist]],Ref!A:A,Ref!B:B)*1000</f>
        <v>186000</v>
      </c>
      <c r="K2104" s="21">
        <f ca="1">COUNTIF($J$2:Master[[#This Row],[ChecklistID]],Master[[#This Row],[ChecklistID]])-1</f>
        <v>7</v>
      </c>
      <c r="L2104" s="23" t="s">
        <v>6</v>
      </c>
    </row>
    <row r="2105" spans="1:12" ht="15.75">
      <c r="A2105" s="23">
        <f t="shared" si="33"/>
        <v>2092</v>
      </c>
      <c r="B2105" s="21">
        <f ca="1">Master[[#This Row],[ChecklistID]]+Master[[#This Row],[Checklist Order]]</f>
        <v>186008</v>
      </c>
      <c r="C2105" s="22"/>
      <c r="D2105" s="23" t="str" cm="1">
        <f t="array" aca="1" ref="D2105" ca="1">_xlfn.SWITCH(MID(Master[[#This Row],[Checklist]],1,4),"C - ","Civil","F - ","Foundation","ST -","Structure","FC -","Façade","PRE ","Pre-Line","POST","Post-Line","H - ","Handover","S - ","Services","CST ","Completion Docs", "I - ", "Inspection")</f>
        <v>Structure</v>
      </c>
      <c r="E21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5" s="24" t="str">
        <f ca="1">IF(OR(Master[[#This Row],[Type]]="checklist", Master[[#This Row],[Type]]="checklist-flat"), Master[[#This Row],[Name]], F2104)</f>
        <v>ST - S - Steel Site Install</v>
      </c>
      <c r="G2105" s="34" t="s">
        <v>49</v>
      </c>
      <c r="H2105" s="34" t="s">
        <v>1096</v>
      </c>
      <c r="I2105" s="35"/>
      <c r="J2105" s="21">
        <f ca="1">_xlfn.XLOOKUP(Master[[#This Row],[Checklist]],Ref!A:A,Ref!B:B)*1000</f>
        <v>186000</v>
      </c>
      <c r="K2105" s="21">
        <f ca="1">COUNTIF($J$2:Master[[#This Row],[ChecklistID]],Master[[#This Row],[ChecklistID]])-1</f>
        <v>8</v>
      </c>
      <c r="L2105" s="23" t="s">
        <v>6</v>
      </c>
    </row>
    <row r="2106" spans="1:12" ht="15.75">
      <c r="A2106" s="23">
        <f t="shared" si="33"/>
        <v>2093</v>
      </c>
      <c r="B2106" s="21">
        <f ca="1">Master[[#This Row],[ChecklistID]]+Master[[#This Row],[Checklist Order]]</f>
        <v>186009</v>
      </c>
      <c r="C2106" s="22"/>
      <c r="D2106" s="23" t="str" cm="1">
        <f t="array" aca="1" ref="D2106" ca="1">_xlfn.SWITCH(MID(Master[[#This Row],[Checklist]],1,4),"C - ","Civil","F - ","Foundation","ST -","Structure","FC -","Façade","PRE ","Pre-Line","POST","Post-Line","H - ","Handover","S - ","Services","CST ","Completion Docs", "I - ", "Inspection")</f>
        <v>Structure</v>
      </c>
      <c r="E21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6" s="24" t="str">
        <f ca="1">IF(OR(Master[[#This Row],[Type]]="checklist", Master[[#This Row],[Type]]="checklist-flat"), Master[[#This Row],[Name]], F2105)</f>
        <v>ST - S - Steel Site Install</v>
      </c>
      <c r="G2106" s="34" t="s">
        <v>49</v>
      </c>
      <c r="H2106" s="34" t="s">
        <v>1097</v>
      </c>
      <c r="I2106" s="35"/>
      <c r="J2106" s="21">
        <f ca="1">_xlfn.XLOOKUP(Master[[#This Row],[Checklist]],Ref!A:A,Ref!B:B)*1000</f>
        <v>186000</v>
      </c>
      <c r="K2106" s="21">
        <f ca="1">COUNTIF($J$2:Master[[#This Row],[ChecklistID]],Master[[#This Row],[ChecklistID]])-1</f>
        <v>9</v>
      </c>
      <c r="L2106" s="23" t="s">
        <v>6</v>
      </c>
    </row>
    <row r="2107" spans="1:12" ht="15.75">
      <c r="A2107" s="23">
        <f t="shared" si="33"/>
        <v>2094</v>
      </c>
      <c r="B2107" s="21">
        <f ca="1">Master[[#This Row],[ChecklistID]]+Master[[#This Row],[Checklist Order]]</f>
        <v>186010</v>
      </c>
      <c r="C2107" s="22"/>
      <c r="D2107" s="23" t="str" cm="1">
        <f t="array" aca="1" ref="D2107" ca="1">_xlfn.SWITCH(MID(Master[[#This Row],[Checklist]],1,4),"C - ","Civil","F - ","Foundation","ST -","Structure","FC -","Façade","PRE ","Pre-Line","POST","Post-Line","H - ","Handover","S - ","Services","CST ","Completion Docs", "I - ", "Inspection")</f>
        <v>Structure</v>
      </c>
      <c r="E21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7" s="24" t="str">
        <f ca="1">IF(OR(Master[[#This Row],[Type]]="checklist", Master[[#This Row],[Type]]="checklist-flat"), Master[[#This Row],[Name]], F2106)</f>
        <v>ST - S - Steel Site Install</v>
      </c>
      <c r="G2107" s="34" t="s">
        <v>49</v>
      </c>
      <c r="H2107" s="34" t="s">
        <v>1098</v>
      </c>
      <c r="I2107" s="35"/>
      <c r="J2107" s="21">
        <f ca="1">_xlfn.XLOOKUP(Master[[#This Row],[Checklist]],Ref!A:A,Ref!B:B)*1000</f>
        <v>186000</v>
      </c>
      <c r="K2107" s="21">
        <f ca="1">COUNTIF($J$2:Master[[#This Row],[ChecklistID]],Master[[#This Row],[ChecklistID]])-1</f>
        <v>10</v>
      </c>
      <c r="L2107" s="23" t="s">
        <v>6</v>
      </c>
    </row>
    <row r="2108" spans="1:12" ht="15.75">
      <c r="A2108" s="23">
        <f t="shared" si="33"/>
        <v>2095</v>
      </c>
      <c r="B2108" s="21">
        <f ca="1">Master[[#This Row],[ChecklistID]]+Master[[#This Row],[Checklist Order]]</f>
        <v>186011</v>
      </c>
      <c r="C2108" s="22"/>
      <c r="D2108" s="23" t="str" cm="1">
        <f t="array" aca="1" ref="D2108" ca="1">_xlfn.SWITCH(MID(Master[[#This Row],[Checklist]],1,4),"C - ","Civil","F - ","Foundation","ST -","Structure","FC -","Façade","PRE ","Pre-Line","POST","Post-Line","H - ","Handover","S - ","Services","CST ","Completion Docs", "I - ", "Inspection")</f>
        <v>Structure</v>
      </c>
      <c r="E21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8" s="24" t="str">
        <f ca="1">IF(OR(Master[[#This Row],[Type]]="checklist", Master[[#This Row],[Type]]="checklist-flat"), Master[[#This Row],[Name]], F2107)</f>
        <v>ST - S - Steel Site Install</v>
      </c>
      <c r="G2108" s="34" t="s">
        <v>49</v>
      </c>
      <c r="H2108" s="34" t="s">
        <v>1099</v>
      </c>
      <c r="I2108" s="35"/>
      <c r="J2108" s="21">
        <f ca="1">_xlfn.XLOOKUP(Master[[#This Row],[Checklist]],Ref!A:A,Ref!B:B)*1000</f>
        <v>186000</v>
      </c>
      <c r="K2108" s="21">
        <f ca="1">COUNTIF($J$2:Master[[#This Row],[ChecklistID]],Master[[#This Row],[ChecklistID]])-1</f>
        <v>11</v>
      </c>
      <c r="L2108" s="23" t="s">
        <v>6</v>
      </c>
    </row>
    <row r="2109" spans="1:12" ht="15.75">
      <c r="A2109" s="23">
        <f t="shared" si="33"/>
        <v>2096</v>
      </c>
      <c r="B2109" s="21">
        <f ca="1">Master[[#This Row],[ChecklistID]]+Master[[#This Row],[Checklist Order]]</f>
        <v>186012</v>
      </c>
      <c r="C2109" s="22"/>
      <c r="D2109" s="23" t="str" cm="1">
        <f t="array" aca="1" ref="D2109" ca="1">_xlfn.SWITCH(MID(Master[[#This Row],[Checklist]],1,4),"C - ","Civil","F - ","Foundation","ST -","Structure","FC -","Façade","PRE ","Pre-Line","POST","Post-Line","H - ","Handover","S - ","Services","CST ","Completion Docs", "I - ", "Inspection")</f>
        <v>Structure</v>
      </c>
      <c r="E21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09" s="24" t="str">
        <f ca="1">IF(OR(Master[[#This Row],[Type]]="checklist", Master[[#This Row],[Type]]="checklist-flat"), Master[[#This Row],[Name]], F2108)</f>
        <v>ST - S - Steel Site Install</v>
      </c>
      <c r="G2109" s="34" t="s">
        <v>49</v>
      </c>
      <c r="H2109" s="34" t="s">
        <v>57</v>
      </c>
      <c r="I2109" s="35"/>
      <c r="J2109" s="21">
        <f ca="1">_xlfn.XLOOKUP(Master[[#This Row],[Checklist]],Ref!A:A,Ref!B:B)*1000</f>
        <v>186000</v>
      </c>
      <c r="K2109" s="21">
        <f ca="1">COUNTIF($J$2:Master[[#This Row],[ChecklistID]],Master[[#This Row],[ChecklistID]])-1</f>
        <v>12</v>
      </c>
      <c r="L2109" s="23" t="s">
        <v>6</v>
      </c>
    </row>
    <row r="2110" spans="1:12" ht="15.75">
      <c r="A2110" s="23">
        <f t="shared" si="33"/>
        <v>2097</v>
      </c>
      <c r="B2110" s="21">
        <f ca="1">Master[[#This Row],[ChecklistID]]+Master[[#This Row],[Checklist Order]]</f>
        <v>186013</v>
      </c>
      <c r="C2110" s="22"/>
      <c r="D2110" s="23" t="str" cm="1">
        <f t="array" aca="1" ref="D2110" ca="1">_xlfn.SWITCH(MID(Master[[#This Row],[Checklist]],1,4),"C - ","Civil","F - ","Foundation","ST -","Structure","FC -","Façade","PRE ","Pre-Line","POST","Post-Line","H - ","Handover","S - ","Services","CST ","Completion Docs", "I - ", "Inspection")</f>
        <v>Structure</v>
      </c>
      <c r="E21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0" s="24" t="str">
        <f ca="1">IF(OR(Master[[#This Row],[Type]]="checklist", Master[[#This Row],[Type]]="checklist-flat"), Master[[#This Row],[Name]], F2109)</f>
        <v>ST - S - Steel Site Install</v>
      </c>
      <c r="G2110" s="34" t="s">
        <v>58</v>
      </c>
      <c r="H2110" s="34" t="s">
        <v>59</v>
      </c>
      <c r="I2110" s="35"/>
      <c r="J2110" s="21">
        <f ca="1">_xlfn.XLOOKUP(Master[[#This Row],[Checklist]],Ref!A:A,Ref!B:B)*1000</f>
        <v>186000</v>
      </c>
      <c r="K2110" s="21">
        <f ca="1">COUNTIF($J$2:Master[[#This Row],[ChecklistID]],Master[[#This Row],[ChecklistID]])-1</f>
        <v>13</v>
      </c>
      <c r="L2110" s="23" t="s">
        <v>6</v>
      </c>
    </row>
    <row r="2111" spans="1:12" ht="15.75">
      <c r="A2111" s="23">
        <f t="shared" si="33"/>
        <v>2098</v>
      </c>
      <c r="B2111" s="21">
        <f ca="1">Master[[#This Row],[ChecklistID]]+Master[[#This Row],[Checklist Order]]</f>
        <v>187000</v>
      </c>
      <c r="C2111" s="22"/>
      <c r="D2111" s="23" t="str" cm="1">
        <f t="array" aca="1" ref="D2111" ca="1">_xlfn.SWITCH(MID(Master[[#This Row],[Checklist]],1,4),"C - ","Civil","F - ","Foundation","ST -","Structure","FC -","Façade","PRE ","Pre-Line","POST","Post-Line","H - ","Handover","S - ","Services","CST ","Completion Docs", "I - ", "Inspection")</f>
        <v>Structure</v>
      </c>
      <c r="E21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1" s="24" t="str">
        <f ca="1">IF(OR(Master[[#This Row],[Type]]="checklist", Master[[#This Row],[Type]]="checklist-flat"), Master[[#This Row],[Name]], F2110)</f>
        <v>ST - S - Steel Overview QA Checklist</v>
      </c>
      <c r="G2111" s="34" t="s">
        <v>119</v>
      </c>
      <c r="H2111" s="34" t="s">
        <v>1100</v>
      </c>
      <c r="I2111" s="35"/>
      <c r="J2111" s="21">
        <f ca="1">_xlfn.XLOOKUP(Master[[#This Row],[Checklist]],Ref!A:A,Ref!B:B)*1000</f>
        <v>187000</v>
      </c>
      <c r="K2111" s="21">
        <f ca="1">COUNTIF($J$2:Master[[#This Row],[ChecklistID]],Master[[#This Row],[ChecklistID]])-1</f>
        <v>0</v>
      </c>
      <c r="L2111" s="23" t="s">
        <v>6</v>
      </c>
    </row>
    <row r="2112" spans="1:12" ht="15.75">
      <c r="A2112" s="23">
        <f t="shared" si="33"/>
        <v>2099</v>
      </c>
      <c r="B2112" s="21">
        <f ca="1">Master[[#This Row],[ChecklistID]]+Master[[#This Row],[Checklist Order]]</f>
        <v>187001</v>
      </c>
      <c r="C2112" s="22"/>
      <c r="D2112" s="23" t="str" cm="1">
        <f t="array" aca="1" ref="D2112" ca="1">_xlfn.SWITCH(MID(Master[[#This Row],[Checklist]],1,4),"C - ","Civil","F - ","Foundation","ST -","Structure","FC -","Façade","PRE ","Pre-Line","POST","Post-Line","H - ","Handover","S - ","Services","CST ","Completion Docs", "I - ", "Inspection")</f>
        <v>Structure</v>
      </c>
      <c r="E21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2" s="24" t="str">
        <f ca="1">IF(OR(Master[[#This Row],[Type]]="checklist", Master[[#This Row],[Type]]="checklist-flat"), Master[[#This Row],[Name]], F2111)</f>
        <v>ST - S - Steel Overview QA Checklist</v>
      </c>
      <c r="G2112" s="34" t="s">
        <v>120</v>
      </c>
      <c r="H2112" s="34" t="s">
        <v>1101</v>
      </c>
      <c r="I2112" s="35"/>
      <c r="J2112" s="21">
        <f ca="1">_xlfn.XLOOKUP(Master[[#This Row],[Checklist]],Ref!A:A,Ref!B:B)*1000</f>
        <v>187000</v>
      </c>
      <c r="K2112" s="21">
        <f ca="1">COUNTIF($J$2:Master[[#This Row],[ChecklistID]],Master[[#This Row],[ChecklistID]])-1</f>
        <v>1</v>
      </c>
      <c r="L2112" s="23" t="s">
        <v>6</v>
      </c>
    </row>
    <row r="2113" spans="1:12" ht="15.75">
      <c r="A2113" s="23">
        <f t="shared" si="33"/>
        <v>2100</v>
      </c>
      <c r="B2113" s="21">
        <f ca="1">Master[[#This Row],[ChecklistID]]+Master[[#This Row],[Checklist Order]]</f>
        <v>187002</v>
      </c>
      <c r="C2113" s="22"/>
      <c r="D2113" s="23" t="str" cm="1">
        <f t="array" aca="1" ref="D2113" ca="1">_xlfn.SWITCH(MID(Master[[#This Row],[Checklist]],1,4),"C - ","Civil","F - ","Foundation","ST -","Structure","FC -","Façade","PRE ","Pre-Line","POST","Post-Line","H - ","Handover","S - ","Services","CST ","Completion Docs", "I - ", "Inspection")</f>
        <v>Structure</v>
      </c>
      <c r="E21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3" s="24" t="str">
        <f ca="1">IF(OR(Master[[#This Row],[Type]]="checklist", Master[[#This Row],[Type]]="checklist-flat"), Master[[#This Row],[Name]], F2112)</f>
        <v>ST - S - Steel Overview QA Checklist</v>
      </c>
      <c r="G2113" s="34" t="s">
        <v>49</v>
      </c>
      <c r="H2113" s="34" t="s">
        <v>1102</v>
      </c>
      <c r="I2113" s="35"/>
      <c r="J2113" s="21">
        <f ca="1">_xlfn.XLOOKUP(Master[[#This Row],[Checklist]],Ref!A:A,Ref!B:B)*1000</f>
        <v>187000</v>
      </c>
      <c r="K2113" s="21">
        <f ca="1">COUNTIF($J$2:Master[[#This Row],[ChecklistID]],Master[[#This Row],[ChecklistID]])-1</f>
        <v>2</v>
      </c>
      <c r="L2113" s="23" t="s">
        <v>6</v>
      </c>
    </row>
    <row r="2114" spans="1:12" ht="15.75">
      <c r="A2114" s="23">
        <f t="shared" si="33"/>
        <v>2101</v>
      </c>
      <c r="B2114" s="21">
        <f ca="1">Master[[#This Row],[ChecklistID]]+Master[[#This Row],[Checklist Order]]</f>
        <v>187003</v>
      </c>
      <c r="C2114" s="22"/>
      <c r="D2114" s="23" t="str" cm="1">
        <f t="array" aca="1" ref="D2114" ca="1">_xlfn.SWITCH(MID(Master[[#This Row],[Checklist]],1,4),"C - ","Civil","F - ","Foundation","ST -","Structure","FC -","Façade","PRE ","Pre-Line","POST","Post-Line","H - ","Handover","S - ","Services","CST ","Completion Docs", "I - ", "Inspection")</f>
        <v>Structure</v>
      </c>
      <c r="E21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4" s="24" t="str">
        <f ca="1">IF(OR(Master[[#This Row],[Type]]="checklist", Master[[#This Row],[Type]]="checklist-flat"), Master[[#This Row],[Name]], F2113)</f>
        <v>ST - S - Steel Overview QA Checklist</v>
      </c>
      <c r="G2114" s="34" t="s">
        <v>49</v>
      </c>
      <c r="H2114" s="34" t="s">
        <v>1103</v>
      </c>
      <c r="I2114" s="35"/>
      <c r="J2114" s="21">
        <f ca="1">_xlfn.XLOOKUP(Master[[#This Row],[Checklist]],Ref!A:A,Ref!B:B)*1000</f>
        <v>187000</v>
      </c>
      <c r="K2114" s="21">
        <f ca="1">COUNTIF($J$2:Master[[#This Row],[ChecklistID]],Master[[#This Row],[ChecklistID]])-1</f>
        <v>3</v>
      </c>
      <c r="L2114" s="23" t="s">
        <v>6</v>
      </c>
    </row>
    <row r="2115" spans="1:12" ht="15.75">
      <c r="A2115" s="23">
        <f t="shared" si="33"/>
        <v>2102</v>
      </c>
      <c r="B2115" s="21">
        <f ca="1">Master[[#This Row],[ChecklistID]]+Master[[#This Row],[Checklist Order]]</f>
        <v>187004</v>
      </c>
      <c r="C2115" s="22"/>
      <c r="D2115" s="23" t="str" cm="1">
        <f t="array" aca="1" ref="D2115" ca="1">_xlfn.SWITCH(MID(Master[[#This Row],[Checklist]],1,4),"C - ","Civil","F - ","Foundation","ST -","Structure","FC -","Façade","PRE ","Pre-Line","POST","Post-Line","H - ","Handover","S - ","Services","CST ","Completion Docs", "I - ", "Inspection")</f>
        <v>Structure</v>
      </c>
      <c r="E21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5" s="24" t="str">
        <f ca="1">IF(OR(Master[[#This Row],[Type]]="checklist", Master[[#This Row],[Type]]="checklist-flat"), Master[[#This Row],[Name]], F2114)</f>
        <v>ST - S - Steel Overview QA Checklist</v>
      </c>
      <c r="G2115" s="34" t="s">
        <v>49</v>
      </c>
      <c r="H2115" s="34" t="s">
        <v>1104</v>
      </c>
      <c r="I2115" s="35"/>
      <c r="J2115" s="21">
        <f ca="1">_xlfn.XLOOKUP(Master[[#This Row],[Checklist]],Ref!A:A,Ref!B:B)*1000</f>
        <v>187000</v>
      </c>
      <c r="K2115" s="21">
        <f ca="1">COUNTIF($J$2:Master[[#This Row],[ChecklistID]],Master[[#This Row],[ChecklistID]])-1</f>
        <v>4</v>
      </c>
      <c r="L2115" s="23" t="s">
        <v>6</v>
      </c>
    </row>
    <row r="2116" spans="1:12" ht="15.75">
      <c r="A2116" s="23">
        <f t="shared" si="33"/>
        <v>2103</v>
      </c>
      <c r="B2116" s="21">
        <f ca="1">Master[[#This Row],[ChecklistID]]+Master[[#This Row],[Checklist Order]]</f>
        <v>187005</v>
      </c>
      <c r="C2116" s="22"/>
      <c r="D2116" s="23" t="str" cm="1">
        <f t="array" aca="1" ref="D2116" ca="1">_xlfn.SWITCH(MID(Master[[#This Row],[Checklist]],1,4),"C - ","Civil","F - ","Foundation","ST -","Structure","FC -","Façade","PRE ","Pre-Line","POST","Post-Line","H - ","Handover","S - ","Services","CST ","Completion Docs", "I - ", "Inspection")</f>
        <v>Structure</v>
      </c>
      <c r="E21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6" s="24" t="str">
        <f ca="1">IF(OR(Master[[#This Row],[Type]]="checklist", Master[[#This Row],[Type]]="checklist-flat"), Master[[#This Row],[Name]], F2115)</f>
        <v>ST - S - Steel Overview QA Checklist</v>
      </c>
      <c r="G2116" s="34" t="s">
        <v>49</v>
      </c>
      <c r="H2116" s="34" t="s">
        <v>1105</v>
      </c>
      <c r="I2116" s="35"/>
      <c r="J2116" s="21">
        <f ca="1">_xlfn.XLOOKUP(Master[[#This Row],[Checklist]],Ref!A:A,Ref!B:B)*1000</f>
        <v>187000</v>
      </c>
      <c r="K2116" s="21">
        <f ca="1">COUNTIF($J$2:Master[[#This Row],[ChecklistID]],Master[[#This Row],[ChecklistID]])-1</f>
        <v>5</v>
      </c>
      <c r="L2116" s="23" t="s">
        <v>6</v>
      </c>
    </row>
    <row r="2117" spans="1:12" ht="15.75">
      <c r="A2117" s="23">
        <f t="shared" si="33"/>
        <v>2104</v>
      </c>
      <c r="B2117" s="21">
        <f ca="1">Master[[#This Row],[ChecklistID]]+Master[[#This Row],[Checklist Order]]</f>
        <v>187006</v>
      </c>
      <c r="C2117" s="22"/>
      <c r="D2117" s="23" t="str" cm="1">
        <f t="array" aca="1" ref="D2117" ca="1">_xlfn.SWITCH(MID(Master[[#This Row],[Checklist]],1,4),"C - ","Civil","F - ","Foundation","ST -","Structure","FC -","Façade","PRE ","Pre-Line","POST","Post-Line","H - ","Handover","S - ","Services","CST ","Completion Docs", "I - ", "Inspection")</f>
        <v>Structure</v>
      </c>
      <c r="E21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7" s="24" t="str">
        <f ca="1">IF(OR(Master[[#This Row],[Type]]="checklist", Master[[#This Row],[Type]]="checklist-flat"), Master[[#This Row],[Name]], F2116)</f>
        <v>ST - S - Steel Overview QA Checklist</v>
      </c>
      <c r="G2117" s="34" t="s">
        <v>49</v>
      </c>
      <c r="H2117" s="34" t="s">
        <v>1106</v>
      </c>
      <c r="I2117" s="35"/>
      <c r="J2117" s="21">
        <f ca="1">_xlfn.XLOOKUP(Master[[#This Row],[Checklist]],Ref!A:A,Ref!B:B)*1000</f>
        <v>187000</v>
      </c>
      <c r="K2117" s="21">
        <f ca="1">COUNTIF($J$2:Master[[#This Row],[ChecklistID]],Master[[#This Row],[ChecklistID]])-1</f>
        <v>6</v>
      </c>
      <c r="L2117" s="23" t="s">
        <v>6</v>
      </c>
    </row>
    <row r="2118" spans="1:12" ht="15.75">
      <c r="A2118" s="23">
        <f t="shared" si="33"/>
        <v>2105</v>
      </c>
      <c r="B2118" s="21">
        <f ca="1">Master[[#This Row],[ChecklistID]]+Master[[#This Row],[Checklist Order]]</f>
        <v>187007</v>
      </c>
      <c r="C2118" s="22"/>
      <c r="D2118" s="23" t="str" cm="1">
        <f t="array" aca="1" ref="D2118" ca="1">_xlfn.SWITCH(MID(Master[[#This Row],[Checklist]],1,4),"C - ","Civil","F - ","Foundation","ST -","Structure","FC -","Façade","PRE ","Pre-Line","POST","Post-Line","H - ","Handover","S - ","Services","CST ","Completion Docs", "I - ", "Inspection")</f>
        <v>Structure</v>
      </c>
      <c r="E21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8" s="24" t="str">
        <f ca="1">IF(OR(Master[[#This Row],[Type]]="checklist", Master[[#This Row],[Type]]="checklist-flat"), Master[[#This Row],[Name]], F2117)</f>
        <v>ST - S - Steel Overview QA Checklist</v>
      </c>
      <c r="G2118" s="34" t="s">
        <v>49</v>
      </c>
      <c r="H2118" s="34" t="s">
        <v>1107</v>
      </c>
      <c r="I2118" s="35"/>
      <c r="J2118" s="21">
        <f ca="1">_xlfn.XLOOKUP(Master[[#This Row],[Checklist]],Ref!A:A,Ref!B:B)*1000</f>
        <v>187000</v>
      </c>
      <c r="K2118" s="21">
        <f ca="1">COUNTIF($J$2:Master[[#This Row],[ChecklistID]],Master[[#This Row],[ChecklistID]])-1</f>
        <v>7</v>
      </c>
      <c r="L2118" s="23" t="s">
        <v>6</v>
      </c>
    </row>
    <row r="2119" spans="1:12" ht="15.75">
      <c r="A2119" s="23">
        <f t="shared" si="33"/>
        <v>2106</v>
      </c>
      <c r="B2119" s="21">
        <f ca="1">Master[[#This Row],[ChecklistID]]+Master[[#This Row],[Checklist Order]]</f>
        <v>187008</v>
      </c>
      <c r="C2119" s="22"/>
      <c r="D2119" s="23" t="str" cm="1">
        <f t="array" aca="1" ref="D2119" ca="1">_xlfn.SWITCH(MID(Master[[#This Row],[Checklist]],1,4),"C - ","Civil","F - ","Foundation","ST -","Structure","FC -","Façade","PRE ","Pre-Line","POST","Post-Line","H - ","Handover","S - ","Services","CST ","Completion Docs", "I - ", "Inspection")</f>
        <v>Structure</v>
      </c>
      <c r="E21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19" s="24" t="str">
        <f ca="1">IF(OR(Master[[#This Row],[Type]]="checklist", Master[[#This Row],[Type]]="checklist-flat"), Master[[#This Row],[Name]], F2118)</f>
        <v>ST - S - Steel Overview QA Checklist</v>
      </c>
      <c r="G2119" s="34" t="s">
        <v>120</v>
      </c>
      <c r="H2119" s="34" t="s">
        <v>1108</v>
      </c>
      <c r="I2119" s="35"/>
      <c r="J2119" s="21">
        <f ca="1">_xlfn.XLOOKUP(Master[[#This Row],[Checklist]],Ref!A:A,Ref!B:B)*1000</f>
        <v>187000</v>
      </c>
      <c r="K2119" s="21">
        <f ca="1">COUNTIF($J$2:Master[[#This Row],[ChecklistID]],Master[[#This Row],[ChecklistID]])-1</f>
        <v>8</v>
      </c>
      <c r="L2119" s="23" t="s">
        <v>6</v>
      </c>
    </row>
    <row r="2120" spans="1:12" ht="15.75">
      <c r="A2120" s="23">
        <f t="shared" si="33"/>
        <v>2107</v>
      </c>
      <c r="B2120" s="21">
        <f ca="1">Master[[#This Row],[ChecklistID]]+Master[[#This Row],[Checklist Order]]</f>
        <v>187009</v>
      </c>
      <c r="C2120" s="22"/>
      <c r="D2120" s="23" t="str" cm="1">
        <f t="array" aca="1" ref="D2120" ca="1">_xlfn.SWITCH(MID(Master[[#This Row],[Checklist]],1,4),"C - ","Civil","F - ","Foundation","ST -","Structure","FC -","Façade","PRE ","Pre-Line","POST","Post-Line","H - ","Handover","S - ","Services","CST ","Completion Docs", "I - ", "Inspection")</f>
        <v>Structure</v>
      </c>
      <c r="E21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0" s="24" t="str">
        <f ca="1">IF(OR(Master[[#This Row],[Type]]="checklist", Master[[#This Row],[Type]]="checklist-flat"), Master[[#This Row],[Name]], F2119)</f>
        <v>ST - S - Steel Overview QA Checklist</v>
      </c>
      <c r="G2120" s="34" t="s">
        <v>49</v>
      </c>
      <c r="H2120" s="34" t="s">
        <v>1109</v>
      </c>
      <c r="I2120" s="35"/>
      <c r="J2120" s="21">
        <f ca="1">_xlfn.XLOOKUP(Master[[#This Row],[Checklist]],Ref!A:A,Ref!B:B)*1000</f>
        <v>187000</v>
      </c>
      <c r="K2120" s="21">
        <f ca="1">COUNTIF($J$2:Master[[#This Row],[ChecklistID]],Master[[#This Row],[ChecklistID]])-1</f>
        <v>9</v>
      </c>
      <c r="L2120" s="23" t="s">
        <v>6</v>
      </c>
    </row>
    <row r="2121" spans="1:12" ht="15.75">
      <c r="A2121" s="23">
        <f t="shared" si="33"/>
        <v>2108</v>
      </c>
      <c r="B2121" s="21">
        <f ca="1">Master[[#This Row],[ChecklistID]]+Master[[#This Row],[Checklist Order]]</f>
        <v>187010</v>
      </c>
      <c r="C2121" s="22"/>
      <c r="D2121" s="23" t="str" cm="1">
        <f t="array" aca="1" ref="D2121" ca="1">_xlfn.SWITCH(MID(Master[[#This Row],[Checklist]],1,4),"C - ","Civil","F - ","Foundation","ST -","Structure","FC -","Façade","PRE ","Pre-Line","POST","Post-Line","H - ","Handover","S - ","Services","CST ","Completion Docs", "I - ", "Inspection")</f>
        <v>Structure</v>
      </c>
      <c r="E21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1" s="24" t="str">
        <f ca="1">IF(OR(Master[[#This Row],[Type]]="checklist", Master[[#This Row],[Type]]="checklist-flat"), Master[[#This Row],[Name]], F2120)</f>
        <v>ST - S - Steel Overview QA Checklist</v>
      </c>
      <c r="G2121" s="34" t="s">
        <v>120</v>
      </c>
      <c r="H2121" s="34" t="s">
        <v>1110</v>
      </c>
      <c r="I2121" s="35"/>
      <c r="J2121" s="21">
        <f ca="1">_xlfn.XLOOKUP(Master[[#This Row],[Checklist]],Ref!A:A,Ref!B:B)*1000</f>
        <v>187000</v>
      </c>
      <c r="K2121" s="21">
        <f ca="1">COUNTIF($J$2:Master[[#This Row],[ChecklistID]],Master[[#This Row],[ChecklistID]])-1</f>
        <v>10</v>
      </c>
      <c r="L2121" s="23" t="s">
        <v>6</v>
      </c>
    </row>
    <row r="2122" spans="1:12" ht="15.75">
      <c r="A2122" s="23">
        <f t="shared" si="33"/>
        <v>2109</v>
      </c>
      <c r="B2122" s="21">
        <f ca="1">Master[[#This Row],[ChecklistID]]+Master[[#This Row],[Checklist Order]]</f>
        <v>187011</v>
      </c>
      <c r="C2122" s="22"/>
      <c r="D2122" s="23" t="str" cm="1">
        <f t="array" aca="1" ref="D2122" ca="1">_xlfn.SWITCH(MID(Master[[#This Row],[Checklist]],1,4),"C - ","Civil","F - ","Foundation","ST -","Structure","FC -","Façade","PRE ","Pre-Line","POST","Post-Line","H - ","Handover","S - ","Services","CST ","Completion Docs", "I - ", "Inspection")</f>
        <v>Structure</v>
      </c>
      <c r="E21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2" s="24" t="str">
        <f ca="1">IF(OR(Master[[#This Row],[Type]]="checklist", Master[[#This Row],[Type]]="checklist-flat"), Master[[#This Row],[Name]], F2121)</f>
        <v>ST - S - Steel Overview QA Checklist</v>
      </c>
      <c r="G2122" s="34" t="s">
        <v>49</v>
      </c>
      <c r="H2122" s="34" t="s">
        <v>1111</v>
      </c>
      <c r="I2122" s="35"/>
      <c r="J2122" s="21">
        <f ca="1">_xlfn.XLOOKUP(Master[[#This Row],[Checklist]],Ref!A:A,Ref!B:B)*1000</f>
        <v>187000</v>
      </c>
      <c r="K2122" s="21">
        <f ca="1">COUNTIF($J$2:Master[[#This Row],[ChecklistID]],Master[[#This Row],[ChecklistID]])-1</f>
        <v>11</v>
      </c>
      <c r="L2122" s="23" t="s">
        <v>6</v>
      </c>
    </row>
    <row r="2123" spans="1:12" ht="15.75">
      <c r="A2123" s="23">
        <f t="shared" si="33"/>
        <v>2110</v>
      </c>
      <c r="B2123" s="21">
        <f ca="1">Master[[#This Row],[ChecklistID]]+Master[[#This Row],[Checklist Order]]</f>
        <v>187012</v>
      </c>
      <c r="C2123" s="22"/>
      <c r="D2123" s="23" t="str" cm="1">
        <f t="array" aca="1" ref="D2123" ca="1">_xlfn.SWITCH(MID(Master[[#This Row],[Checklist]],1,4),"C - ","Civil","F - ","Foundation","ST -","Structure","FC -","Façade","PRE ","Pre-Line","POST","Post-Line","H - ","Handover","S - ","Services","CST ","Completion Docs", "I - ", "Inspection")</f>
        <v>Structure</v>
      </c>
      <c r="E21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3" s="24" t="str">
        <f ca="1">IF(OR(Master[[#This Row],[Type]]="checklist", Master[[#This Row],[Type]]="checklist-flat"), Master[[#This Row],[Name]], F2122)</f>
        <v>ST - S - Steel Overview QA Checklist</v>
      </c>
      <c r="G2123" s="34" t="s">
        <v>120</v>
      </c>
      <c r="H2123" s="34" t="s">
        <v>1112</v>
      </c>
      <c r="I2123" s="35"/>
      <c r="J2123" s="21">
        <f ca="1">_xlfn.XLOOKUP(Master[[#This Row],[Checklist]],Ref!A:A,Ref!B:B)*1000</f>
        <v>187000</v>
      </c>
      <c r="K2123" s="21">
        <f ca="1">COUNTIF($J$2:Master[[#This Row],[ChecklistID]],Master[[#This Row],[ChecklistID]])-1</f>
        <v>12</v>
      </c>
      <c r="L2123" s="23" t="s">
        <v>6</v>
      </c>
    </row>
    <row r="2124" spans="1:12" ht="15.75">
      <c r="A2124" s="23">
        <f t="shared" si="33"/>
        <v>2111</v>
      </c>
      <c r="B2124" s="21">
        <f ca="1">Master[[#This Row],[ChecklistID]]+Master[[#This Row],[Checklist Order]]</f>
        <v>187013</v>
      </c>
      <c r="C2124" s="22"/>
      <c r="D2124" s="23" t="str" cm="1">
        <f t="array" aca="1" ref="D2124" ca="1">_xlfn.SWITCH(MID(Master[[#This Row],[Checklist]],1,4),"C - ","Civil","F - ","Foundation","ST -","Structure","FC -","Façade","PRE ","Pre-Line","POST","Post-Line","H - ","Handover","S - ","Services","CST ","Completion Docs", "I - ", "Inspection")</f>
        <v>Structure</v>
      </c>
      <c r="E21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4" s="24" t="str">
        <f ca="1">IF(OR(Master[[#This Row],[Type]]="checklist", Master[[#This Row],[Type]]="checklist-flat"), Master[[#This Row],[Name]], F2123)</f>
        <v>ST - S - Steel Overview QA Checklist</v>
      </c>
      <c r="G2124" s="34" t="s">
        <v>49</v>
      </c>
      <c r="H2124" s="34" t="s">
        <v>1113</v>
      </c>
      <c r="I2124" s="35"/>
      <c r="J2124" s="21">
        <f ca="1">_xlfn.XLOOKUP(Master[[#This Row],[Checklist]],Ref!A:A,Ref!B:B)*1000</f>
        <v>187000</v>
      </c>
      <c r="K2124" s="21">
        <f ca="1">COUNTIF($J$2:Master[[#This Row],[ChecklistID]],Master[[#This Row],[ChecklistID]])-1</f>
        <v>13</v>
      </c>
      <c r="L2124" s="23" t="s">
        <v>6</v>
      </c>
    </row>
    <row r="2125" spans="1:12" ht="15.75">
      <c r="A2125" s="23">
        <f t="shared" si="33"/>
        <v>2112</v>
      </c>
      <c r="B2125" s="21">
        <f ca="1">Master[[#This Row],[ChecklistID]]+Master[[#This Row],[Checklist Order]]</f>
        <v>187014</v>
      </c>
      <c r="C2125" s="22"/>
      <c r="D2125" s="23" t="str" cm="1">
        <f t="array" aca="1" ref="D2125" ca="1">_xlfn.SWITCH(MID(Master[[#This Row],[Checklist]],1,4),"C - ","Civil","F - ","Foundation","ST -","Structure","FC -","Façade","PRE ","Pre-Line","POST","Post-Line","H - ","Handover","S - ","Services","CST ","Completion Docs", "I - ", "Inspection")</f>
        <v>Structure</v>
      </c>
      <c r="E21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5" s="24" t="str">
        <f ca="1">IF(OR(Master[[#This Row],[Type]]="checklist", Master[[#This Row],[Type]]="checklist-flat"), Master[[#This Row],[Name]], F2124)</f>
        <v>ST - S - Steel Overview QA Checklist</v>
      </c>
      <c r="G2125" s="34" t="s">
        <v>49</v>
      </c>
      <c r="H2125" s="34" t="s">
        <v>1114</v>
      </c>
      <c r="I2125" s="35"/>
      <c r="J2125" s="21">
        <f ca="1">_xlfn.XLOOKUP(Master[[#This Row],[Checklist]],Ref!A:A,Ref!B:B)*1000</f>
        <v>187000</v>
      </c>
      <c r="K2125" s="21">
        <f ca="1">COUNTIF($J$2:Master[[#This Row],[ChecklistID]],Master[[#This Row],[ChecklistID]])-1</f>
        <v>14</v>
      </c>
      <c r="L2125" s="23" t="s">
        <v>6</v>
      </c>
    </row>
    <row r="2126" spans="1:12" ht="15.75">
      <c r="A2126" s="23">
        <f t="shared" si="33"/>
        <v>2113</v>
      </c>
      <c r="B2126" s="21">
        <f ca="1">Master[[#This Row],[ChecklistID]]+Master[[#This Row],[Checklist Order]]</f>
        <v>187015</v>
      </c>
      <c r="C2126" s="22"/>
      <c r="D2126" s="23" t="str" cm="1">
        <f t="array" aca="1" ref="D2126" ca="1">_xlfn.SWITCH(MID(Master[[#This Row],[Checklist]],1,4),"C - ","Civil","F - ","Foundation","ST -","Structure","FC -","Façade","PRE ","Pre-Line","POST","Post-Line","H - ","Handover","S - ","Services","CST ","Completion Docs", "I - ", "Inspection")</f>
        <v>Structure</v>
      </c>
      <c r="E21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6" s="24" t="str">
        <f ca="1">IF(OR(Master[[#This Row],[Type]]="checklist", Master[[#This Row],[Type]]="checklist-flat"), Master[[#This Row],[Name]], F2125)</f>
        <v>ST - S - Steel Overview QA Checklist</v>
      </c>
      <c r="G2126" s="34" t="s">
        <v>120</v>
      </c>
      <c r="H2126" s="34" t="s">
        <v>34</v>
      </c>
      <c r="I2126" s="35"/>
      <c r="J2126" s="21">
        <f ca="1">_xlfn.XLOOKUP(Master[[#This Row],[Checklist]],Ref!A:A,Ref!B:B)*1000</f>
        <v>187000</v>
      </c>
      <c r="K2126" s="21">
        <f ca="1">COUNTIF($J$2:Master[[#This Row],[ChecklistID]],Master[[#This Row],[ChecklistID]])-1</f>
        <v>15</v>
      </c>
      <c r="L2126" s="23" t="s">
        <v>6</v>
      </c>
    </row>
    <row r="2127" spans="1:12" ht="15.75">
      <c r="A2127" s="23">
        <f t="shared" si="33"/>
        <v>2114</v>
      </c>
      <c r="B2127" s="21">
        <f ca="1">Master[[#This Row],[ChecklistID]]+Master[[#This Row],[Checklist Order]]</f>
        <v>187016</v>
      </c>
      <c r="C2127" s="22"/>
      <c r="D2127" s="23" t="str" cm="1">
        <f t="array" aca="1" ref="D2127" ca="1">_xlfn.SWITCH(MID(Master[[#This Row],[Checklist]],1,4),"C - ","Civil","F - ","Foundation","ST -","Structure","FC -","Façade","PRE ","Pre-Line","POST","Post-Line","H - ","Handover","S - ","Services","CST ","Completion Docs", "I - ", "Inspection")</f>
        <v>Structure</v>
      </c>
      <c r="E21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7" s="24" t="str">
        <f ca="1">IF(OR(Master[[#This Row],[Type]]="checklist", Master[[#This Row],[Type]]="checklist-flat"), Master[[#This Row],[Name]], F2126)</f>
        <v>ST - S - Steel Overview QA Checklist</v>
      </c>
      <c r="G2127" s="34" t="s">
        <v>49</v>
      </c>
      <c r="H2127" s="34" t="s">
        <v>1115</v>
      </c>
      <c r="I2127" s="35"/>
      <c r="J2127" s="21">
        <f ca="1">_xlfn.XLOOKUP(Master[[#This Row],[Checklist]],Ref!A:A,Ref!B:B)*1000</f>
        <v>187000</v>
      </c>
      <c r="K2127" s="21">
        <f ca="1">COUNTIF($J$2:Master[[#This Row],[ChecklistID]],Master[[#This Row],[ChecklistID]])-1</f>
        <v>16</v>
      </c>
      <c r="L2127" s="23" t="s">
        <v>6</v>
      </c>
    </row>
    <row r="2128" spans="1:12" ht="15.75">
      <c r="A2128" s="23">
        <f t="shared" si="33"/>
        <v>2115</v>
      </c>
      <c r="B2128" s="21">
        <f ca="1">Master[[#This Row],[ChecklistID]]+Master[[#This Row],[Checklist Order]]</f>
        <v>187017</v>
      </c>
      <c r="C2128" s="22"/>
      <c r="D2128" s="23" t="str" cm="1">
        <f t="array" aca="1" ref="D2128" ca="1">_xlfn.SWITCH(MID(Master[[#This Row],[Checklist]],1,4),"C - ","Civil","F - ","Foundation","ST -","Structure","FC -","Façade","PRE ","Pre-Line","POST","Post-Line","H - ","Handover","S - ","Services","CST ","Completion Docs", "I - ", "Inspection")</f>
        <v>Structure</v>
      </c>
      <c r="E21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8" s="24" t="str">
        <f ca="1">IF(OR(Master[[#This Row],[Type]]="checklist", Master[[#This Row],[Type]]="checklist-flat"), Master[[#This Row],[Name]], F2127)</f>
        <v>ST - S - Steel Overview QA Checklist</v>
      </c>
      <c r="G2128" s="34" t="s">
        <v>49</v>
      </c>
      <c r="H2128" s="34" t="s">
        <v>1116</v>
      </c>
      <c r="I2128" s="35"/>
      <c r="J2128" s="21">
        <f ca="1">_xlfn.XLOOKUP(Master[[#This Row],[Checklist]],Ref!A:A,Ref!B:B)*1000</f>
        <v>187000</v>
      </c>
      <c r="K2128" s="21">
        <f ca="1">COUNTIF($J$2:Master[[#This Row],[ChecklistID]],Master[[#This Row],[ChecklistID]])-1</f>
        <v>17</v>
      </c>
      <c r="L2128" s="23" t="s">
        <v>6</v>
      </c>
    </row>
    <row r="2129" spans="1:12" ht="15.75">
      <c r="A2129" s="23">
        <f t="shared" si="33"/>
        <v>2116</v>
      </c>
      <c r="B2129" s="21">
        <f ca="1">Master[[#This Row],[ChecklistID]]+Master[[#This Row],[Checklist Order]]</f>
        <v>187018</v>
      </c>
      <c r="C2129" s="22"/>
      <c r="D2129" s="23" t="str" cm="1">
        <f t="array" aca="1" ref="D2129" ca="1">_xlfn.SWITCH(MID(Master[[#This Row],[Checklist]],1,4),"C - ","Civil","F - ","Foundation","ST -","Structure","FC -","Façade","PRE ","Pre-Line","POST","Post-Line","H - ","Handover","S - ","Services","CST ","Completion Docs", "I - ", "Inspection")</f>
        <v>Structure</v>
      </c>
      <c r="E21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29" s="24" t="str">
        <f ca="1">IF(OR(Master[[#This Row],[Type]]="checklist", Master[[#This Row],[Type]]="checklist-flat"), Master[[#This Row],[Name]], F2128)</f>
        <v>ST - S - Steel Overview QA Checklist</v>
      </c>
      <c r="G2129" s="34" t="s">
        <v>49</v>
      </c>
      <c r="H2129" s="34" t="s">
        <v>57</v>
      </c>
      <c r="I2129" s="35"/>
      <c r="J2129" s="21">
        <f ca="1">_xlfn.XLOOKUP(Master[[#This Row],[Checklist]],Ref!A:A,Ref!B:B)*1000</f>
        <v>187000</v>
      </c>
      <c r="K2129" s="21">
        <f ca="1">COUNTIF($J$2:Master[[#This Row],[ChecklistID]],Master[[#This Row],[ChecklistID]])-1</f>
        <v>18</v>
      </c>
      <c r="L2129" s="23" t="s">
        <v>6</v>
      </c>
    </row>
    <row r="2130" spans="1:12" ht="15.75">
      <c r="A2130" s="23">
        <f t="shared" si="33"/>
        <v>2117</v>
      </c>
      <c r="B2130" s="21">
        <f ca="1">Master[[#This Row],[ChecklistID]]+Master[[#This Row],[Checklist Order]]</f>
        <v>187019</v>
      </c>
      <c r="C2130" s="22"/>
      <c r="D2130" s="23" t="str" cm="1">
        <f t="array" aca="1" ref="D2130" ca="1">_xlfn.SWITCH(MID(Master[[#This Row],[Checklist]],1,4),"C - ","Civil","F - ","Foundation","ST -","Structure","FC -","Façade","PRE ","Pre-Line","POST","Post-Line","H - ","Handover","S - ","Services","CST ","Completion Docs", "I - ", "Inspection")</f>
        <v>Structure</v>
      </c>
      <c r="E21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0" s="24" t="str">
        <f ca="1">IF(OR(Master[[#This Row],[Type]]="checklist", Master[[#This Row],[Type]]="checklist-flat"), Master[[#This Row],[Name]], F2129)</f>
        <v>ST - S - Steel Overview QA Checklist</v>
      </c>
      <c r="G2130" s="34" t="s">
        <v>58</v>
      </c>
      <c r="H2130" s="34" t="s">
        <v>59</v>
      </c>
      <c r="I2130" s="35"/>
      <c r="J2130" s="21">
        <f ca="1">_xlfn.XLOOKUP(Master[[#This Row],[Checklist]],Ref!A:A,Ref!B:B)*1000</f>
        <v>187000</v>
      </c>
      <c r="K2130" s="21">
        <f ca="1">COUNTIF($J$2:Master[[#This Row],[ChecklistID]],Master[[#This Row],[ChecklistID]])-1</f>
        <v>19</v>
      </c>
      <c r="L2130" s="23" t="s">
        <v>6</v>
      </c>
    </row>
    <row r="2131" spans="1:12" ht="15.75">
      <c r="A2131" s="23">
        <f t="shared" si="33"/>
        <v>2118</v>
      </c>
      <c r="B2131" s="21">
        <f ca="1">Master[[#This Row],[ChecklistID]]+Master[[#This Row],[Checklist Order]]</f>
        <v>188000</v>
      </c>
      <c r="C2131" s="22"/>
      <c r="D2131" s="23" t="str" cm="1">
        <f t="array" aca="1" ref="D2131" ca="1">_xlfn.SWITCH(MID(Master[[#This Row],[Checklist]],1,4),"C - ","Civil","F - ","Foundation","ST -","Structure","FC -","Façade","PRE ","Pre-Line","POST","Post-Line","H - ","Handover","S - ","Services","CST ","Completion Docs", "I - ", "Inspection")</f>
        <v>Structure</v>
      </c>
      <c r="E21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1" s="24" t="str">
        <f ca="1">IF(OR(Master[[#This Row],[Type]]="checklist", Master[[#This Row],[Type]]="checklist-flat"), Master[[#This Row],[Name]], F2130)</f>
        <v>ST - S - Steel Paint QA Documents</v>
      </c>
      <c r="G2131" s="34" t="s">
        <v>48</v>
      </c>
      <c r="H2131" s="34" t="s">
        <v>1117</v>
      </c>
      <c r="I2131" s="35"/>
      <c r="J2131" s="21">
        <f ca="1">_xlfn.XLOOKUP(Master[[#This Row],[Checklist]],Ref!A:A,Ref!B:B)*1000</f>
        <v>188000</v>
      </c>
      <c r="K2131" s="21">
        <f ca="1">COUNTIF($J$2:Master[[#This Row],[ChecklistID]],Master[[#This Row],[ChecklistID]])-1</f>
        <v>0</v>
      </c>
      <c r="L2131" s="23" t="s">
        <v>6</v>
      </c>
    </row>
    <row r="2132" spans="1:12" ht="15.75">
      <c r="A2132" s="23">
        <f t="shared" si="33"/>
        <v>2119</v>
      </c>
      <c r="B2132" s="21">
        <f ca="1">Master[[#This Row],[ChecklistID]]+Master[[#This Row],[Checklist Order]]</f>
        <v>188001</v>
      </c>
      <c r="C2132" s="22"/>
      <c r="D2132" s="23" t="str" cm="1">
        <f t="array" aca="1" ref="D2132" ca="1">_xlfn.SWITCH(MID(Master[[#This Row],[Checklist]],1,4),"C - ","Civil","F - ","Foundation","ST -","Structure","FC -","Façade","PRE ","Pre-Line","POST","Post-Line","H - ","Handover","S - ","Services","CST ","Completion Docs", "I - ", "Inspection")</f>
        <v>Structure</v>
      </c>
      <c r="E21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2" s="24" t="str">
        <f ca="1">IF(OR(Master[[#This Row],[Type]]="checklist", Master[[#This Row],[Type]]="checklist-flat"), Master[[#This Row],[Name]], F2131)</f>
        <v>ST - S - Steel Paint QA Documents</v>
      </c>
      <c r="G2132" s="34" t="s">
        <v>49</v>
      </c>
      <c r="H2132" s="34" t="s">
        <v>1118</v>
      </c>
      <c r="I2132" s="35"/>
      <c r="J2132" s="21">
        <f ca="1">_xlfn.XLOOKUP(Master[[#This Row],[Checklist]],Ref!A:A,Ref!B:B)*1000</f>
        <v>188000</v>
      </c>
      <c r="K2132" s="21">
        <f ca="1">COUNTIF($J$2:Master[[#This Row],[ChecklistID]],Master[[#This Row],[ChecklistID]])-1</f>
        <v>1</v>
      </c>
      <c r="L2132" s="23" t="s">
        <v>6</v>
      </c>
    </row>
    <row r="2133" spans="1:12" ht="15.75">
      <c r="A2133" s="23">
        <f t="shared" si="33"/>
        <v>2120</v>
      </c>
      <c r="B2133" s="21">
        <f ca="1">Master[[#This Row],[ChecklistID]]+Master[[#This Row],[Checklist Order]]</f>
        <v>188002</v>
      </c>
      <c r="C2133" s="22"/>
      <c r="D2133" s="23" t="str" cm="1">
        <f t="array" aca="1" ref="D2133" ca="1">_xlfn.SWITCH(MID(Master[[#This Row],[Checklist]],1,4),"C - ","Civil","F - ","Foundation","ST -","Structure","FC -","Façade","PRE ","Pre-Line","POST","Post-Line","H - ","Handover","S - ","Services","CST ","Completion Docs", "I - ", "Inspection")</f>
        <v>Structure</v>
      </c>
      <c r="E21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3" s="24" t="str">
        <f ca="1">IF(OR(Master[[#This Row],[Type]]="checklist", Master[[#This Row],[Type]]="checklist-flat"), Master[[#This Row],[Name]], F2132)</f>
        <v>ST - S - Steel Paint QA Documents</v>
      </c>
      <c r="G2133" s="34" t="s">
        <v>1119</v>
      </c>
      <c r="H2133" s="34" t="s">
        <v>1068</v>
      </c>
      <c r="I2133" s="35"/>
      <c r="J2133" s="21">
        <f ca="1">_xlfn.XLOOKUP(Master[[#This Row],[Checklist]],Ref!A:A,Ref!B:B)*1000</f>
        <v>188000</v>
      </c>
      <c r="K2133" s="21">
        <f ca="1">COUNTIF($J$2:Master[[#This Row],[ChecklistID]],Master[[#This Row],[ChecklistID]])-1</f>
        <v>2</v>
      </c>
      <c r="L2133" s="23" t="s">
        <v>6</v>
      </c>
    </row>
    <row r="2134" spans="1:12" ht="15.75">
      <c r="A2134" s="23">
        <f t="shared" si="33"/>
        <v>2121</v>
      </c>
      <c r="B2134" s="21">
        <f ca="1">Master[[#This Row],[ChecklistID]]+Master[[#This Row],[Checklist Order]]</f>
        <v>188003</v>
      </c>
      <c r="C2134" s="22"/>
      <c r="D2134" s="23" t="str" cm="1">
        <f t="array" aca="1" ref="D2134" ca="1">_xlfn.SWITCH(MID(Master[[#This Row],[Checklist]],1,4),"C - ","Civil","F - ","Foundation","ST -","Structure","FC -","Façade","PRE ","Pre-Line","POST","Post-Line","H - ","Handover","S - ","Services","CST ","Completion Docs", "I - ", "Inspection")</f>
        <v>Structure</v>
      </c>
      <c r="E21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4" s="24" t="str">
        <f ca="1">IF(OR(Master[[#This Row],[Type]]="checklist", Master[[#This Row],[Type]]="checklist-flat"), Master[[#This Row],[Name]], F2133)</f>
        <v>ST - S - Steel Paint QA Documents</v>
      </c>
      <c r="G2134" s="34" t="s">
        <v>49</v>
      </c>
      <c r="H2134" s="34" t="s">
        <v>57</v>
      </c>
      <c r="I2134" s="35"/>
      <c r="J2134" s="21">
        <f ca="1">_xlfn.XLOOKUP(Master[[#This Row],[Checklist]],Ref!A:A,Ref!B:B)*1000</f>
        <v>188000</v>
      </c>
      <c r="K2134" s="21">
        <f ca="1">COUNTIF($J$2:Master[[#This Row],[ChecklistID]],Master[[#This Row],[ChecklistID]])-1</f>
        <v>3</v>
      </c>
      <c r="L2134" s="23" t="s">
        <v>6</v>
      </c>
    </row>
    <row r="2135" spans="1:12" ht="15.75">
      <c r="A2135" s="23">
        <f t="shared" si="33"/>
        <v>2122</v>
      </c>
      <c r="B2135" s="21">
        <f ca="1">Master[[#This Row],[ChecklistID]]+Master[[#This Row],[Checklist Order]]</f>
        <v>188004</v>
      </c>
      <c r="C2135" s="22"/>
      <c r="D2135" s="23" t="str" cm="1">
        <f t="array" aca="1" ref="D2135" ca="1">_xlfn.SWITCH(MID(Master[[#This Row],[Checklist]],1,4),"C - ","Civil","F - ","Foundation","ST -","Structure","FC -","Façade","PRE ","Pre-Line","POST","Post-Line","H - ","Handover","S - ","Services","CST ","Completion Docs", "I - ", "Inspection")</f>
        <v>Structure</v>
      </c>
      <c r="E21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5" s="24" t="str">
        <f ca="1">IF(OR(Master[[#This Row],[Type]]="checklist", Master[[#This Row],[Type]]="checklist-flat"), Master[[#This Row],[Name]], F2134)</f>
        <v>ST - S - Steel Paint QA Documents</v>
      </c>
      <c r="G2135" s="34" t="s">
        <v>58</v>
      </c>
      <c r="H2135" s="34" t="s">
        <v>59</v>
      </c>
      <c r="I2135" s="35"/>
      <c r="J2135" s="21">
        <f ca="1">_xlfn.XLOOKUP(Master[[#This Row],[Checklist]],Ref!A:A,Ref!B:B)*1000</f>
        <v>188000</v>
      </c>
      <c r="K2135" s="21">
        <f ca="1">COUNTIF($J$2:Master[[#This Row],[ChecklistID]],Master[[#This Row],[ChecklistID]])-1</f>
        <v>4</v>
      </c>
      <c r="L2135" s="23" t="s">
        <v>6</v>
      </c>
    </row>
    <row r="2136" spans="1:12" ht="15.75">
      <c r="A2136" s="23">
        <f t="shared" si="33"/>
        <v>2123</v>
      </c>
      <c r="B2136" s="21">
        <f ca="1">Master[[#This Row],[ChecklistID]]+Master[[#This Row],[Checklist Order]]</f>
        <v>189000</v>
      </c>
      <c r="C2136" s="22"/>
      <c r="D2136" s="23" t="str" cm="1">
        <f t="array" aca="1" ref="D2136" ca="1">_xlfn.SWITCH(MID(Master[[#This Row],[Checklist]],1,4),"C - ","Civil","F - ","Foundation","ST -","Structure","FC -","Façade","PRE ","Pre-Line","POST","Post-Line","H - ","Handover","S - ","Services","CST ","Completion Docs", "I - ", "Inspection")</f>
        <v>Façade</v>
      </c>
      <c r="E21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6" s="24" t="str">
        <f ca="1">IF(OR(Master[[#This Row],[Type]]="checklist", Master[[#This Row],[Type]]="checklist-flat"), Master[[#This Row],[Name]], F2135)</f>
        <v>FC - S - Roofing</v>
      </c>
      <c r="G2136" s="34" t="s">
        <v>119</v>
      </c>
      <c r="H2136" s="34" t="s">
        <v>1120</v>
      </c>
      <c r="I2136" s="35"/>
      <c r="J2136" s="21">
        <f ca="1">_xlfn.XLOOKUP(Master[[#This Row],[Checklist]],Ref!A:A,Ref!B:B)*1000</f>
        <v>189000</v>
      </c>
      <c r="K2136" s="21">
        <f ca="1">COUNTIF($J$2:Master[[#This Row],[ChecklistID]],Master[[#This Row],[ChecklistID]])-1</f>
        <v>0</v>
      </c>
      <c r="L2136" s="23" t="s">
        <v>6</v>
      </c>
    </row>
    <row r="2137" spans="1:12" ht="15.75">
      <c r="A2137" s="23">
        <f t="shared" si="33"/>
        <v>2124</v>
      </c>
      <c r="B2137" s="21">
        <f ca="1">Master[[#This Row],[ChecklistID]]+Master[[#This Row],[Checklist Order]]</f>
        <v>189001</v>
      </c>
      <c r="C2137" s="22"/>
      <c r="D2137" s="23" t="str" cm="1">
        <f t="array" aca="1" ref="D2137" ca="1">_xlfn.SWITCH(MID(Master[[#This Row],[Checklist]],1,4),"C - ","Civil","F - ","Foundation","ST -","Structure","FC -","Façade","PRE ","Pre-Line","POST","Post-Line","H - ","Handover","S - ","Services","CST ","Completion Docs", "I - ", "Inspection")</f>
        <v>Façade</v>
      </c>
      <c r="E21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7" s="24" t="str">
        <f ca="1">IF(OR(Master[[#This Row],[Type]]="checklist", Master[[#This Row],[Type]]="checklist-flat"), Master[[#This Row],[Name]], F2136)</f>
        <v>FC - S - Roofing</v>
      </c>
      <c r="G2137" s="34" t="s">
        <v>120</v>
      </c>
      <c r="H2137" s="34" t="s">
        <v>1121</v>
      </c>
      <c r="I2137" s="35"/>
      <c r="J2137" s="21">
        <f ca="1">_xlfn.XLOOKUP(Master[[#This Row],[Checklist]],Ref!A:A,Ref!B:B)*1000</f>
        <v>189000</v>
      </c>
      <c r="K2137" s="21">
        <f ca="1">COUNTIF($J$2:Master[[#This Row],[ChecklistID]],Master[[#This Row],[ChecklistID]])-1</f>
        <v>1</v>
      </c>
      <c r="L2137" s="23" t="s">
        <v>6</v>
      </c>
    </row>
    <row r="2138" spans="1:12" ht="15.75">
      <c r="A2138" s="23">
        <f t="shared" si="33"/>
        <v>2125</v>
      </c>
      <c r="B2138" s="21">
        <f ca="1">Master[[#This Row],[ChecklistID]]+Master[[#This Row],[Checklist Order]]</f>
        <v>189002</v>
      </c>
      <c r="C2138" s="22"/>
      <c r="D2138" s="23" t="str" cm="1">
        <f t="array" aca="1" ref="D2138" ca="1">_xlfn.SWITCH(MID(Master[[#This Row],[Checklist]],1,4),"C - ","Civil","F - ","Foundation","ST -","Structure","FC -","Façade","PRE ","Pre-Line","POST","Post-Line","H - ","Handover","S - ","Services","CST ","Completion Docs", "I - ", "Inspection")</f>
        <v>Façade</v>
      </c>
      <c r="E21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8" s="24" t="str">
        <f ca="1">IF(OR(Master[[#This Row],[Type]]="checklist", Master[[#This Row],[Type]]="checklist-flat"), Master[[#This Row],[Name]], F2137)</f>
        <v>FC - S - Roofing</v>
      </c>
      <c r="G2138" s="34" t="s">
        <v>49</v>
      </c>
      <c r="H2138" s="34" t="s">
        <v>1122</v>
      </c>
      <c r="I2138" s="35"/>
      <c r="J2138" s="21">
        <f ca="1">_xlfn.XLOOKUP(Master[[#This Row],[Checklist]],Ref!A:A,Ref!B:B)*1000</f>
        <v>189000</v>
      </c>
      <c r="K2138" s="21">
        <f ca="1">COUNTIF($J$2:Master[[#This Row],[ChecklistID]],Master[[#This Row],[ChecklistID]])-1</f>
        <v>2</v>
      </c>
      <c r="L2138" s="23" t="s">
        <v>6</v>
      </c>
    </row>
    <row r="2139" spans="1:12" ht="15.75">
      <c r="A2139" s="23">
        <f t="shared" si="33"/>
        <v>2126</v>
      </c>
      <c r="B2139" s="21">
        <f ca="1">Master[[#This Row],[ChecklistID]]+Master[[#This Row],[Checklist Order]]</f>
        <v>189003</v>
      </c>
      <c r="C2139" s="22"/>
      <c r="D2139" s="23" t="str" cm="1">
        <f t="array" aca="1" ref="D2139" ca="1">_xlfn.SWITCH(MID(Master[[#This Row],[Checklist]],1,4),"C - ","Civil","F - ","Foundation","ST -","Structure","FC -","Façade","PRE ","Pre-Line","POST","Post-Line","H - ","Handover","S - ","Services","CST ","Completion Docs", "I - ", "Inspection")</f>
        <v>Façade</v>
      </c>
      <c r="E21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39" s="24" t="str">
        <f ca="1">IF(OR(Master[[#This Row],[Type]]="checklist", Master[[#This Row],[Type]]="checklist-flat"), Master[[#This Row],[Name]], F2138)</f>
        <v>FC - S - Roofing</v>
      </c>
      <c r="G2139" s="34" t="s">
        <v>49</v>
      </c>
      <c r="H2139" s="34" t="s">
        <v>1123</v>
      </c>
      <c r="I2139" s="35"/>
      <c r="J2139" s="21">
        <f ca="1">_xlfn.XLOOKUP(Master[[#This Row],[Checklist]],Ref!A:A,Ref!B:B)*1000</f>
        <v>189000</v>
      </c>
      <c r="K2139" s="21">
        <f ca="1">COUNTIF($J$2:Master[[#This Row],[ChecklistID]],Master[[#This Row],[ChecklistID]])-1</f>
        <v>3</v>
      </c>
      <c r="L2139" s="23" t="s">
        <v>6</v>
      </c>
    </row>
    <row r="2140" spans="1:12" ht="15.75">
      <c r="A2140" s="23">
        <f t="shared" si="33"/>
        <v>2127</v>
      </c>
      <c r="B2140" s="21">
        <f ca="1">Master[[#This Row],[ChecklistID]]+Master[[#This Row],[Checklist Order]]</f>
        <v>189004</v>
      </c>
      <c r="C2140" s="22"/>
      <c r="D2140" s="23" t="str" cm="1">
        <f t="array" aca="1" ref="D2140" ca="1">_xlfn.SWITCH(MID(Master[[#This Row],[Checklist]],1,4),"C - ","Civil","F - ","Foundation","ST -","Structure","FC -","Façade","PRE ","Pre-Line","POST","Post-Line","H - ","Handover","S - ","Services","CST ","Completion Docs", "I - ", "Inspection")</f>
        <v>Façade</v>
      </c>
      <c r="E21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0" s="24" t="str">
        <f ca="1">IF(OR(Master[[#This Row],[Type]]="checklist", Master[[#This Row],[Type]]="checklist-flat"), Master[[#This Row],[Name]], F2139)</f>
        <v>FC - S - Roofing</v>
      </c>
      <c r="G2140" s="34" t="s">
        <v>49</v>
      </c>
      <c r="H2140" s="34" t="s">
        <v>1124</v>
      </c>
      <c r="I2140" s="35"/>
      <c r="J2140" s="21">
        <f ca="1">_xlfn.XLOOKUP(Master[[#This Row],[Checklist]],Ref!A:A,Ref!B:B)*1000</f>
        <v>189000</v>
      </c>
      <c r="K2140" s="21">
        <f ca="1">COUNTIF($J$2:Master[[#This Row],[ChecklistID]],Master[[#This Row],[ChecklistID]])-1</f>
        <v>4</v>
      </c>
      <c r="L2140" s="23" t="s">
        <v>6</v>
      </c>
    </row>
    <row r="2141" spans="1:12" ht="15.75">
      <c r="A2141" s="23">
        <f t="shared" si="33"/>
        <v>2128</v>
      </c>
      <c r="B2141" s="21">
        <f ca="1">Master[[#This Row],[ChecklistID]]+Master[[#This Row],[Checklist Order]]</f>
        <v>189005</v>
      </c>
      <c r="C2141" s="22"/>
      <c r="D2141" s="23" t="str" cm="1">
        <f t="array" aca="1" ref="D2141" ca="1">_xlfn.SWITCH(MID(Master[[#This Row],[Checklist]],1,4),"C - ","Civil","F - ","Foundation","ST -","Structure","FC -","Façade","PRE ","Pre-Line","POST","Post-Line","H - ","Handover","S - ","Services","CST ","Completion Docs", "I - ", "Inspection")</f>
        <v>Façade</v>
      </c>
      <c r="E21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1" s="24" t="str">
        <f ca="1">IF(OR(Master[[#This Row],[Type]]="checklist", Master[[#This Row],[Type]]="checklist-flat"), Master[[#This Row],[Name]], F2140)</f>
        <v>FC - S - Roofing</v>
      </c>
      <c r="G2141" s="34" t="s">
        <v>49</v>
      </c>
      <c r="H2141" s="34" t="s">
        <v>1125</v>
      </c>
      <c r="I2141" s="35"/>
      <c r="J2141" s="21">
        <f ca="1">_xlfn.XLOOKUP(Master[[#This Row],[Checklist]],Ref!A:A,Ref!B:B)*1000</f>
        <v>189000</v>
      </c>
      <c r="K2141" s="21">
        <f ca="1">COUNTIF($J$2:Master[[#This Row],[ChecklistID]],Master[[#This Row],[ChecklistID]])-1</f>
        <v>5</v>
      </c>
      <c r="L2141" s="23" t="s">
        <v>6</v>
      </c>
    </row>
    <row r="2142" spans="1:12" ht="15.75">
      <c r="A2142" s="23">
        <f t="shared" si="33"/>
        <v>2129</v>
      </c>
      <c r="B2142" s="21">
        <f ca="1">Master[[#This Row],[ChecklistID]]+Master[[#This Row],[Checklist Order]]</f>
        <v>189006</v>
      </c>
      <c r="C2142" s="22"/>
      <c r="D2142" s="23" t="str" cm="1">
        <f t="array" aca="1" ref="D2142" ca="1">_xlfn.SWITCH(MID(Master[[#This Row],[Checklist]],1,4),"C - ","Civil","F - ","Foundation","ST -","Structure","FC -","Façade","PRE ","Pre-Line","POST","Post-Line","H - ","Handover","S - ","Services","CST ","Completion Docs", "I - ", "Inspection")</f>
        <v>Façade</v>
      </c>
      <c r="E21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2" s="24" t="str">
        <f ca="1">IF(OR(Master[[#This Row],[Type]]="checklist", Master[[#This Row],[Type]]="checklist-flat"), Master[[#This Row],[Name]], F2141)</f>
        <v>FC - S - Roofing</v>
      </c>
      <c r="G2142" s="34" t="s">
        <v>49</v>
      </c>
      <c r="H2142" s="34" t="s">
        <v>1126</v>
      </c>
      <c r="I2142" s="35"/>
      <c r="J2142" s="21">
        <f ca="1">_xlfn.XLOOKUP(Master[[#This Row],[Checklist]],Ref!A:A,Ref!B:B)*1000</f>
        <v>189000</v>
      </c>
      <c r="K2142" s="21">
        <f ca="1">COUNTIF($J$2:Master[[#This Row],[ChecklistID]],Master[[#This Row],[ChecklistID]])-1</f>
        <v>6</v>
      </c>
      <c r="L2142" s="23" t="s">
        <v>6</v>
      </c>
    </row>
    <row r="2143" spans="1:12" ht="15.75">
      <c r="A2143" s="23">
        <f t="shared" si="33"/>
        <v>2130</v>
      </c>
      <c r="B2143" s="21">
        <f ca="1">Master[[#This Row],[ChecklistID]]+Master[[#This Row],[Checklist Order]]</f>
        <v>189007</v>
      </c>
      <c r="C2143" s="22"/>
      <c r="D2143" s="23" t="str" cm="1">
        <f t="array" aca="1" ref="D2143" ca="1">_xlfn.SWITCH(MID(Master[[#This Row],[Checklist]],1,4),"C - ","Civil","F - ","Foundation","ST -","Structure","FC -","Façade","PRE ","Pre-Line","POST","Post-Line","H - ","Handover","S - ","Services","CST ","Completion Docs", "I - ", "Inspection")</f>
        <v>Façade</v>
      </c>
      <c r="E21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3" s="24" t="str">
        <f ca="1">IF(OR(Master[[#This Row],[Type]]="checklist", Master[[#This Row],[Type]]="checklist-flat"), Master[[#This Row],[Name]], F2142)</f>
        <v>FC - S - Roofing</v>
      </c>
      <c r="G2143" s="34" t="s">
        <v>120</v>
      </c>
      <c r="H2143" s="34" t="s">
        <v>1127</v>
      </c>
      <c r="I2143" s="35"/>
      <c r="J2143" s="21">
        <f ca="1">_xlfn.XLOOKUP(Master[[#This Row],[Checklist]],Ref!A:A,Ref!B:B)*1000</f>
        <v>189000</v>
      </c>
      <c r="K2143" s="21">
        <f ca="1">COUNTIF($J$2:Master[[#This Row],[ChecklistID]],Master[[#This Row],[ChecklistID]])-1</f>
        <v>7</v>
      </c>
      <c r="L2143" s="23" t="s">
        <v>6</v>
      </c>
    </row>
    <row r="2144" spans="1:12" ht="15.75">
      <c r="A2144" s="23">
        <f t="shared" si="33"/>
        <v>2131</v>
      </c>
      <c r="B2144" s="21">
        <f ca="1">Master[[#This Row],[ChecklistID]]+Master[[#This Row],[Checklist Order]]</f>
        <v>189008</v>
      </c>
      <c r="C2144" s="22"/>
      <c r="D2144" s="23" t="str" cm="1">
        <f t="array" aca="1" ref="D2144" ca="1">_xlfn.SWITCH(MID(Master[[#This Row],[Checklist]],1,4),"C - ","Civil","F - ","Foundation","ST -","Structure","FC -","Façade","PRE ","Pre-Line","POST","Post-Line","H - ","Handover","S - ","Services","CST ","Completion Docs", "I - ", "Inspection")</f>
        <v>Façade</v>
      </c>
      <c r="E21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4" s="24" t="str">
        <f ca="1">IF(OR(Master[[#This Row],[Type]]="checklist", Master[[#This Row],[Type]]="checklist-flat"), Master[[#This Row],[Name]], F2143)</f>
        <v>FC - S - Roofing</v>
      </c>
      <c r="G2144" s="34" t="s">
        <v>49</v>
      </c>
      <c r="H2144" s="34" t="s">
        <v>1128</v>
      </c>
      <c r="I2144" s="35"/>
      <c r="J2144" s="21">
        <f ca="1">_xlfn.XLOOKUP(Master[[#This Row],[Checklist]],Ref!A:A,Ref!B:B)*1000</f>
        <v>189000</v>
      </c>
      <c r="K2144" s="21">
        <f ca="1">COUNTIF($J$2:Master[[#This Row],[ChecklistID]],Master[[#This Row],[ChecklistID]])-1</f>
        <v>8</v>
      </c>
      <c r="L2144" s="23" t="s">
        <v>6</v>
      </c>
    </row>
    <row r="2145" spans="1:12" ht="15.75">
      <c r="A2145" s="23">
        <f t="shared" si="33"/>
        <v>2132</v>
      </c>
      <c r="B2145" s="21">
        <f ca="1">Master[[#This Row],[ChecklistID]]+Master[[#This Row],[Checklist Order]]</f>
        <v>189009</v>
      </c>
      <c r="C2145" s="22"/>
      <c r="D2145" s="23" t="str" cm="1">
        <f t="array" aca="1" ref="D2145" ca="1">_xlfn.SWITCH(MID(Master[[#This Row],[Checklist]],1,4),"C - ","Civil","F - ","Foundation","ST -","Structure","FC -","Façade","PRE ","Pre-Line","POST","Post-Line","H - ","Handover","S - ","Services","CST ","Completion Docs", "I - ", "Inspection")</f>
        <v>Façade</v>
      </c>
      <c r="E21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5" s="24" t="str">
        <f ca="1">IF(OR(Master[[#This Row],[Type]]="checklist", Master[[#This Row],[Type]]="checklist-flat"), Master[[#This Row],[Name]], F2144)</f>
        <v>FC - S - Roofing</v>
      </c>
      <c r="G2145" s="34" t="s">
        <v>49</v>
      </c>
      <c r="H2145" s="34" t="s">
        <v>1129</v>
      </c>
      <c r="I2145" s="35"/>
      <c r="J2145" s="21">
        <f ca="1">_xlfn.XLOOKUP(Master[[#This Row],[Checklist]],Ref!A:A,Ref!B:B)*1000</f>
        <v>189000</v>
      </c>
      <c r="K2145" s="21">
        <f ca="1">COUNTIF($J$2:Master[[#This Row],[ChecklistID]],Master[[#This Row],[ChecklistID]])-1</f>
        <v>9</v>
      </c>
      <c r="L2145" s="23" t="s">
        <v>6</v>
      </c>
    </row>
    <row r="2146" spans="1:12" ht="15.75">
      <c r="A2146" s="23">
        <f t="shared" si="33"/>
        <v>2133</v>
      </c>
      <c r="B2146" s="21">
        <f ca="1">Master[[#This Row],[ChecklistID]]+Master[[#This Row],[Checklist Order]]</f>
        <v>189010</v>
      </c>
      <c r="C2146" s="22"/>
      <c r="D2146" s="23" t="str" cm="1">
        <f t="array" aca="1" ref="D2146" ca="1">_xlfn.SWITCH(MID(Master[[#This Row],[Checklist]],1,4),"C - ","Civil","F - ","Foundation","ST -","Structure","FC -","Façade","PRE ","Pre-Line","POST","Post-Line","H - ","Handover","S - ","Services","CST ","Completion Docs", "I - ", "Inspection")</f>
        <v>Façade</v>
      </c>
      <c r="E21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6" s="24" t="str">
        <f ca="1">IF(OR(Master[[#This Row],[Type]]="checklist", Master[[#This Row],[Type]]="checklist-flat"), Master[[#This Row],[Name]], F2145)</f>
        <v>FC - S - Roofing</v>
      </c>
      <c r="G2146" s="34" t="s">
        <v>49</v>
      </c>
      <c r="H2146" s="34" t="s">
        <v>1130</v>
      </c>
      <c r="I2146" s="35"/>
      <c r="J2146" s="21">
        <f ca="1">_xlfn.XLOOKUP(Master[[#This Row],[Checklist]],Ref!A:A,Ref!B:B)*1000</f>
        <v>189000</v>
      </c>
      <c r="K2146" s="21">
        <f ca="1">COUNTIF($J$2:Master[[#This Row],[ChecklistID]],Master[[#This Row],[ChecklistID]])-1</f>
        <v>10</v>
      </c>
      <c r="L2146" s="23" t="s">
        <v>6</v>
      </c>
    </row>
    <row r="2147" spans="1:12" ht="15.75">
      <c r="A2147" s="23">
        <f t="shared" si="33"/>
        <v>2134</v>
      </c>
      <c r="B2147" s="21">
        <f ca="1">Master[[#This Row],[ChecklistID]]+Master[[#This Row],[Checklist Order]]</f>
        <v>189011</v>
      </c>
      <c r="C2147" s="22"/>
      <c r="D2147" s="23" t="str" cm="1">
        <f t="array" aca="1" ref="D2147" ca="1">_xlfn.SWITCH(MID(Master[[#This Row],[Checklist]],1,4),"C - ","Civil","F - ","Foundation","ST -","Structure","FC -","Façade","PRE ","Pre-Line","POST","Post-Line","H - ","Handover","S - ","Services","CST ","Completion Docs", "I - ", "Inspection")</f>
        <v>Façade</v>
      </c>
      <c r="E21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7" s="24" t="str">
        <f ca="1">IF(OR(Master[[#This Row],[Type]]="checklist", Master[[#This Row],[Type]]="checklist-flat"), Master[[#This Row],[Name]], F2146)</f>
        <v>FC - S - Roofing</v>
      </c>
      <c r="G2147" s="34" t="s">
        <v>49</v>
      </c>
      <c r="H2147" s="34" t="s">
        <v>1131</v>
      </c>
      <c r="I2147" s="35"/>
      <c r="J2147" s="21">
        <f ca="1">_xlfn.XLOOKUP(Master[[#This Row],[Checklist]],Ref!A:A,Ref!B:B)*1000</f>
        <v>189000</v>
      </c>
      <c r="K2147" s="21">
        <f ca="1">COUNTIF($J$2:Master[[#This Row],[ChecklistID]],Master[[#This Row],[ChecklistID]])-1</f>
        <v>11</v>
      </c>
      <c r="L2147" s="23" t="s">
        <v>6</v>
      </c>
    </row>
    <row r="2148" spans="1:12" ht="15.75">
      <c r="A2148" s="23">
        <f t="shared" si="33"/>
        <v>2135</v>
      </c>
      <c r="B2148" s="21">
        <f ca="1">Master[[#This Row],[ChecklistID]]+Master[[#This Row],[Checklist Order]]</f>
        <v>189012</v>
      </c>
      <c r="C2148" s="22"/>
      <c r="D2148" s="23" t="str" cm="1">
        <f t="array" aca="1" ref="D2148" ca="1">_xlfn.SWITCH(MID(Master[[#This Row],[Checklist]],1,4),"C - ","Civil","F - ","Foundation","ST -","Structure","FC -","Façade","PRE ","Pre-Line","POST","Post-Line","H - ","Handover","S - ","Services","CST ","Completion Docs", "I - ", "Inspection")</f>
        <v>Façade</v>
      </c>
      <c r="E21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8" s="24" t="str">
        <f ca="1">IF(OR(Master[[#This Row],[Type]]="checklist", Master[[#This Row],[Type]]="checklist-flat"), Master[[#This Row],[Name]], F2147)</f>
        <v>FC - S - Roofing</v>
      </c>
      <c r="G2148" s="34" t="s">
        <v>49</v>
      </c>
      <c r="H2148" s="34" t="s">
        <v>1132</v>
      </c>
      <c r="I2148" s="35"/>
      <c r="J2148" s="21">
        <f ca="1">_xlfn.XLOOKUP(Master[[#This Row],[Checklist]],Ref!A:A,Ref!B:B)*1000</f>
        <v>189000</v>
      </c>
      <c r="K2148" s="21">
        <f ca="1">COUNTIF($J$2:Master[[#This Row],[ChecklistID]],Master[[#This Row],[ChecklistID]])-1</f>
        <v>12</v>
      </c>
      <c r="L2148" s="23" t="s">
        <v>6</v>
      </c>
    </row>
    <row r="2149" spans="1:12" ht="15.75">
      <c r="A2149" s="23">
        <f t="shared" si="33"/>
        <v>2136</v>
      </c>
      <c r="B2149" s="21">
        <f ca="1">Master[[#This Row],[ChecklistID]]+Master[[#This Row],[Checklist Order]]</f>
        <v>189013</v>
      </c>
      <c r="C2149" s="22"/>
      <c r="D2149" s="23" t="str" cm="1">
        <f t="array" aca="1" ref="D2149" ca="1">_xlfn.SWITCH(MID(Master[[#This Row],[Checklist]],1,4),"C - ","Civil","F - ","Foundation","ST -","Structure","FC -","Façade","PRE ","Pre-Line","POST","Post-Line","H - ","Handover","S - ","Services","CST ","Completion Docs", "I - ", "Inspection")</f>
        <v>Façade</v>
      </c>
      <c r="E21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49" s="24" t="str">
        <f ca="1">IF(OR(Master[[#This Row],[Type]]="checklist", Master[[#This Row],[Type]]="checklist-flat"), Master[[#This Row],[Name]], F2148)</f>
        <v>FC - S - Roofing</v>
      </c>
      <c r="G2149" s="34" t="s">
        <v>49</v>
      </c>
      <c r="H2149" s="34" t="s">
        <v>1126</v>
      </c>
      <c r="I2149" s="35"/>
      <c r="J2149" s="21">
        <f ca="1">_xlfn.XLOOKUP(Master[[#This Row],[Checklist]],Ref!A:A,Ref!B:B)*1000</f>
        <v>189000</v>
      </c>
      <c r="K2149" s="21">
        <f ca="1">COUNTIF($J$2:Master[[#This Row],[ChecklistID]],Master[[#This Row],[ChecklistID]])-1</f>
        <v>13</v>
      </c>
      <c r="L2149" s="23" t="s">
        <v>6</v>
      </c>
    </row>
    <row r="2150" spans="1:12" ht="15.75">
      <c r="A2150" s="23">
        <f t="shared" si="33"/>
        <v>2137</v>
      </c>
      <c r="B2150" s="21">
        <f ca="1">Master[[#This Row],[ChecklistID]]+Master[[#This Row],[Checklist Order]]</f>
        <v>189014</v>
      </c>
      <c r="C2150" s="22"/>
      <c r="D2150" s="23" t="str" cm="1">
        <f t="array" aca="1" ref="D2150" ca="1">_xlfn.SWITCH(MID(Master[[#This Row],[Checklist]],1,4),"C - ","Civil","F - ","Foundation","ST -","Structure","FC -","Façade","PRE ","Pre-Line","POST","Post-Line","H - ","Handover","S - ","Services","CST ","Completion Docs", "I - ", "Inspection")</f>
        <v>Façade</v>
      </c>
      <c r="E21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0" s="24" t="str">
        <f ca="1">IF(OR(Master[[#This Row],[Type]]="checklist", Master[[#This Row],[Type]]="checklist-flat"), Master[[#This Row],[Name]], F2149)</f>
        <v>FC - S - Roofing</v>
      </c>
      <c r="G2150" s="34" t="s">
        <v>120</v>
      </c>
      <c r="H2150" s="34" t="s">
        <v>1133</v>
      </c>
      <c r="I2150" s="35"/>
      <c r="J2150" s="21">
        <f ca="1">_xlfn.XLOOKUP(Master[[#This Row],[Checklist]],Ref!A:A,Ref!B:B)*1000</f>
        <v>189000</v>
      </c>
      <c r="K2150" s="21">
        <f ca="1">COUNTIF($J$2:Master[[#This Row],[ChecklistID]],Master[[#This Row],[ChecklistID]])-1</f>
        <v>14</v>
      </c>
      <c r="L2150" s="23" t="s">
        <v>6</v>
      </c>
    </row>
    <row r="2151" spans="1:12" ht="15.75">
      <c r="A2151" s="23">
        <f t="shared" si="33"/>
        <v>2138</v>
      </c>
      <c r="B2151" s="21">
        <f ca="1">Master[[#This Row],[ChecklistID]]+Master[[#This Row],[Checklist Order]]</f>
        <v>189015</v>
      </c>
      <c r="C2151" s="22"/>
      <c r="D2151" s="23" t="str" cm="1">
        <f t="array" aca="1" ref="D2151" ca="1">_xlfn.SWITCH(MID(Master[[#This Row],[Checklist]],1,4),"C - ","Civil","F - ","Foundation","ST -","Structure","FC -","Façade","PRE ","Pre-Line","POST","Post-Line","H - ","Handover","S - ","Services","CST ","Completion Docs", "I - ", "Inspection")</f>
        <v>Façade</v>
      </c>
      <c r="E21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1" s="24" t="str">
        <f ca="1">IF(OR(Master[[#This Row],[Type]]="checklist", Master[[#This Row],[Type]]="checklist-flat"), Master[[#This Row],[Name]], F2150)</f>
        <v>FC - S - Roofing</v>
      </c>
      <c r="G2151" s="34" t="s">
        <v>49</v>
      </c>
      <c r="H2151" s="34" t="s">
        <v>1134</v>
      </c>
      <c r="I2151" s="35"/>
      <c r="J2151" s="21">
        <f ca="1">_xlfn.XLOOKUP(Master[[#This Row],[Checklist]],Ref!A:A,Ref!B:B)*1000</f>
        <v>189000</v>
      </c>
      <c r="K2151" s="21">
        <f ca="1">COUNTIF($J$2:Master[[#This Row],[ChecklistID]],Master[[#This Row],[ChecklistID]])-1</f>
        <v>15</v>
      </c>
      <c r="L2151" s="23" t="s">
        <v>6</v>
      </c>
    </row>
    <row r="2152" spans="1:12" ht="15.75">
      <c r="A2152" s="23">
        <f t="shared" si="33"/>
        <v>2139</v>
      </c>
      <c r="B2152" s="21">
        <f ca="1">Master[[#This Row],[ChecklistID]]+Master[[#This Row],[Checklist Order]]</f>
        <v>189016</v>
      </c>
      <c r="C2152" s="22"/>
      <c r="D2152" s="23" t="str" cm="1">
        <f t="array" aca="1" ref="D2152" ca="1">_xlfn.SWITCH(MID(Master[[#This Row],[Checklist]],1,4),"C - ","Civil","F - ","Foundation","ST -","Structure","FC -","Façade","PRE ","Pre-Line","POST","Post-Line","H - ","Handover","S - ","Services","CST ","Completion Docs", "I - ", "Inspection")</f>
        <v>Façade</v>
      </c>
      <c r="E21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2" s="24" t="str">
        <f ca="1">IF(OR(Master[[#This Row],[Type]]="checklist", Master[[#This Row],[Type]]="checklist-flat"), Master[[#This Row],[Name]], F2151)</f>
        <v>FC - S - Roofing</v>
      </c>
      <c r="G2152" s="34" t="s">
        <v>49</v>
      </c>
      <c r="H2152" s="34" t="s">
        <v>1135</v>
      </c>
      <c r="I2152" s="35"/>
      <c r="J2152" s="21">
        <f ca="1">_xlfn.XLOOKUP(Master[[#This Row],[Checklist]],Ref!A:A,Ref!B:B)*1000</f>
        <v>189000</v>
      </c>
      <c r="K2152" s="21">
        <f ca="1">COUNTIF($J$2:Master[[#This Row],[ChecklistID]],Master[[#This Row],[ChecklistID]])-1</f>
        <v>16</v>
      </c>
      <c r="L2152" s="23" t="s">
        <v>6</v>
      </c>
    </row>
    <row r="2153" spans="1:12" ht="15.75">
      <c r="A2153" s="23">
        <f t="shared" si="33"/>
        <v>2140</v>
      </c>
      <c r="B2153" s="21">
        <f ca="1">Master[[#This Row],[ChecklistID]]+Master[[#This Row],[Checklist Order]]</f>
        <v>189017</v>
      </c>
      <c r="C2153" s="22"/>
      <c r="D2153" s="23" t="str" cm="1">
        <f t="array" aca="1" ref="D2153" ca="1">_xlfn.SWITCH(MID(Master[[#This Row],[Checklist]],1,4),"C - ","Civil","F - ","Foundation","ST -","Structure","FC -","Façade","PRE ","Pre-Line","POST","Post-Line","H - ","Handover","S - ","Services","CST ","Completion Docs", "I - ", "Inspection")</f>
        <v>Façade</v>
      </c>
      <c r="E21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3" s="24" t="str">
        <f ca="1">IF(OR(Master[[#This Row],[Type]]="checklist", Master[[#This Row],[Type]]="checklist-flat"), Master[[#This Row],[Name]], F2152)</f>
        <v>FC - S - Roofing</v>
      </c>
      <c r="G2153" s="34" t="s">
        <v>49</v>
      </c>
      <c r="H2153" s="34" t="s">
        <v>1136</v>
      </c>
      <c r="I2153" s="35"/>
      <c r="J2153" s="21">
        <f ca="1">_xlfn.XLOOKUP(Master[[#This Row],[Checklist]],Ref!A:A,Ref!B:B)*1000</f>
        <v>189000</v>
      </c>
      <c r="K2153" s="21">
        <f ca="1">COUNTIF($J$2:Master[[#This Row],[ChecklistID]],Master[[#This Row],[ChecklistID]])-1</f>
        <v>17</v>
      </c>
      <c r="L2153" s="23" t="s">
        <v>6</v>
      </c>
    </row>
    <row r="2154" spans="1:12" ht="15.75">
      <c r="A2154" s="23">
        <f t="shared" si="33"/>
        <v>2141</v>
      </c>
      <c r="B2154" s="21">
        <f ca="1">Master[[#This Row],[ChecklistID]]+Master[[#This Row],[Checklist Order]]</f>
        <v>189018</v>
      </c>
      <c r="C2154" s="22"/>
      <c r="D2154" s="23" t="str" cm="1">
        <f t="array" aca="1" ref="D2154" ca="1">_xlfn.SWITCH(MID(Master[[#This Row],[Checklist]],1,4),"C - ","Civil","F - ","Foundation","ST -","Structure","FC -","Façade","PRE ","Pre-Line","POST","Post-Line","H - ","Handover","S - ","Services","CST ","Completion Docs", "I - ", "Inspection")</f>
        <v>Façade</v>
      </c>
      <c r="E21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4" s="24" t="str">
        <f ca="1">IF(OR(Master[[#This Row],[Type]]="checklist", Master[[#This Row],[Type]]="checklist-flat"), Master[[#This Row],[Name]], F2153)</f>
        <v>FC - S - Roofing</v>
      </c>
      <c r="G2154" s="34" t="s">
        <v>49</v>
      </c>
      <c r="H2154" s="34" t="s">
        <v>1137</v>
      </c>
      <c r="I2154" s="35"/>
      <c r="J2154" s="21">
        <f ca="1">_xlfn.XLOOKUP(Master[[#This Row],[Checklist]],Ref!A:A,Ref!B:B)*1000</f>
        <v>189000</v>
      </c>
      <c r="K2154" s="21">
        <f ca="1">COUNTIF($J$2:Master[[#This Row],[ChecklistID]],Master[[#This Row],[ChecklistID]])-1</f>
        <v>18</v>
      </c>
      <c r="L2154" s="23" t="s">
        <v>6</v>
      </c>
    </row>
    <row r="2155" spans="1:12" ht="15.75">
      <c r="A2155" s="23">
        <f t="shared" si="33"/>
        <v>2142</v>
      </c>
      <c r="B2155" s="21">
        <f ca="1">Master[[#This Row],[ChecklistID]]+Master[[#This Row],[Checklist Order]]</f>
        <v>189019</v>
      </c>
      <c r="C2155" s="22"/>
      <c r="D2155" s="23" t="str" cm="1">
        <f t="array" aca="1" ref="D2155" ca="1">_xlfn.SWITCH(MID(Master[[#This Row],[Checklist]],1,4),"C - ","Civil","F - ","Foundation","ST -","Structure","FC -","Façade","PRE ","Pre-Line","POST","Post-Line","H - ","Handover","S - ","Services","CST ","Completion Docs", "I - ", "Inspection")</f>
        <v>Façade</v>
      </c>
      <c r="E21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5" s="24" t="str">
        <f ca="1">IF(OR(Master[[#This Row],[Type]]="checklist", Master[[#This Row],[Type]]="checklist-flat"), Master[[#This Row],[Name]], F2154)</f>
        <v>FC - S - Roofing</v>
      </c>
      <c r="G2155" s="34" t="s">
        <v>49</v>
      </c>
      <c r="H2155" s="34" t="s">
        <v>1138</v>
      </c>
      <c r="I2155" s="35"/>
      <c r="J2155" s="21">
        <f ca="1">_xlfn.XLOOKUP(Master[[#This Row],[Checklist]],Ref!A:A,Ref!B:B)*1000</f>
        <v>189000</v>
      </c>
      <c r="K2155" s="21">
        <f ca="1">COUNTIF($J$2:Master[[#This Row],[ChecklistID]],Master[[#This Row],[ChecklistID]])-1</f>
        <v>19</v>
      </c>
      <c r="L2155" s="23" t="s">
        <v>6</v>
      </c>
    </row>
    <row r="2156" spans="1:12" ht="15.75">
      <c r="A2156" s="23">
        <f t="shared" si="33"/>
        <v>2143</v>
      </c>
      <c r="B2156" s="21">
        <f ca="1">Master[[#This Row],[ChecklistID]]+Master[[#This Row],[Checklist Order]]</f>
        <v>189020</v>
      </c>
      <c r="C2156" s="22"/>
      <c r="D2156" s="23" t="str" cm="1">
        <f t="array" aca="1" ref="D2156" ca="1">_xlfn.SWITCH(MID(Master[[#This Row],[Checklist]],1,4),"C - ","Civil","F - ","Foundation","ST -","Structure","FC -","Façade","PRE ","Pre-Line","POST","Post-Line","H - ","Handover","S - ","Services","CST ","Completion Docs", "I - ", "Inspection")</f>
        <v>Façade</v>
      </c>
      <c r="E21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6" s="24" t="str">
        <f ca="1">IF(OR(Master[[#This Row],[Type]]="checklist", Master[[#This Row],[Type]]="checklist-flat"), Master[[#This Row],[Name]], F2155)</f>
        <v>FC - S - Roofing</v>
      </c>
      <c r="G2156" s="34" t="s">
        <v>49</v>
      </c>
      <c r="H2156" s="34" t="s">
        <v>1126</v>
      </c>
      <c r="I2156" s="35"/>
      <c r="J2156" s="21">
        <f ca="1">_xlfn.XLOOKUP(Master[[#This Row],[Checklist]],Ref!A:A,Ref!B:B)*1000</f>
        <v>189000</v>
      </c>
      <c r="K2156" s="21">
        <f ca="1">COUNTIF($J$2:Master[[#This Row],[ChecklistID]],Master[[#This Row],[ChecklistID]])-1</f>
        <v>20</v>
      </c>
      <c r="L2156" s="23" t="s">
        <v>6</v>
      </c>
    </row>
    <row r="2157" spans="1:12" ht="15.75">
      <c r="A2157" s="23">
        <f t="shared" si="33"/>
        <v>2144</v>
      </c>
      <c r="B2157" s="21">
        <f ca="1">Master[[#This Row],[ChecklistID]]+Master[[#This Row],[Checklist Order]]</f>
        <v>189021</v>
      </c>
      <c r="C2157" s="22"/>
      <c r="D2157" s="23" t="str" cm="1">
        <f t="array" aca="1" ref="D2157" ca="1">_xlfn.SWITCH(MID(Master[[#This Row],[Checklist]],1,4),"C - ","Civil","F - ","Foundation","ST -","Structure","FC -","Façade","PRE ","Pre-Line","POST","Post-Line","H - ","Handover","S - ","Services","CST ","Completion Docs", "I - ", "Inspection")</f>
        <v>Façade</v>
      </c>
      <c r="E21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7" s="24" t="str">
        <f ca="1">IF(OR(Master[[#This Row],[Type]]="checklist", Master[[#This Row],[Type]]="checklist-flat"), Master[[#This Row],[Name]], F2156)</f>
        <v>FC - S - Roofing</v>
      </c>
      <c r="G2157" s="34" t="s">
        <v>120</v>
      </c>
      <c r="H2157" s="34" t="s">
        <v>1139</v>
      </c>
      <c r="I2157" s="35"/>
      <c r="J2157" s="21">
        <f ca="1">_xlfn.XLOOKUP(Master[[#This Row],[Checklist]],Ref!A:A,Ref!B:B)*1000</f>
        <v>189000</v>
      </c>
      <c r="K2157" s="21">
        <f ca="1">COUNTIF($J$2:Master[[#This Row],[ChecklistID]],Master[[#This Row],[ChecklistID]])-1</f>
        <v>21</v>
      </c>
      <c r="L2157" s="23" t="s">
        <v>6</v>
      </c>
    </row>
    <row r="2158" spans="1:12" ht="15.75">
      <c r="A2158" s="23">
        <f t="shared" si="33"/>
        <v>2145</v>
      </c>
      <c r="B2158" s="21">
        <f ca="1">Master[[#This Row],[ChecklistID]]+Master[[#This Row],[Checklist Order]]</f>
        <v>189022</v>
      </c>
      <c r="C2158" s="22"/>
      <c r="D2158" s="23" t="str" cm="1">
        <f t="array" aca="1" ref="D2158" ca="1">_xlfn.SWITCH(MID(Master[[#This Row],[Checklist]],1,4),"C - ","Civil","F - ","Foundation","ST -","Structure","FC -","Façade","PRE ","Pre-Line","POST","Post-Line","H - ","Handover","S - ","Services","CST ","Completion Docs", "I - ", "Inspection")</f>
        <v>Façade</v>
      </c>
      <c r="E21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8" s="24" t="str">
        <f ca="1">IF(OR(Master[[#This Row],[Type]]="checklist", Master[[#This Row],[Type]]="checklist-flat"), Master[[#This Row],[Name]], F2157)</f>
        <v>FC - S - Roofing</v>
      </c>
      <c r="G2158" s="34" t="s">
        <v>49</v>
      </c>
      <c r="H2158" s="34" t="s">
        <v>1140</v>
      </c>
      <c r="I2158" s="35"/>
      <c r="J2158" s="21">
        <f ca="1">_xlfn.XLOOKUP(Master[[#This Row],[Checklist]],Ref!A:A,Ref!B:B)*1000</f>
        <v>189000</v>
      </c>
      <c r="K2158" s="21">
        <f ca="1">COUNTIF($J$2:Master[[#This Row],[ChecklistID]],Master[[#This Row],[ChecklistID]])-1</f>
        <v>22</v>
      </c>
      <c r="L2158" s="23" t="s">
        <v>6</v>
      </c>
    </row>
    <row r="2159" spans="1:12" ht="15.75">
      <c r="A2159" s="23">
        <f t="shared" si="33"/>
        <v>2146</v>
      </c>
      <c r="B2159" s="21">
        <f ca="1">Master[[#This Row],[ChecklistID]]+Master[[#This Row],[Checklist Order]]</f>
        <v>189023</v>
      </c>
      <c r="C2159" s="22"/>
      <c r="D2159" s="23" t="str" cm="1">
        <f t="array" aca="1" ref="D2159" ca="1">_xlfn.SWITCH(MID(Master[[#This Row],[Checklist]],1,4),"C - ","Civil","F - ","Foundation","ST -","Structure","FC -","Façade","PRE ","Pre-Line","POST","Post-Line","H - ","Handover","S - ","Services","CST ","Completion Docs", "I - ", "Inspection")</f>
        <v>Façade</v>
      </c>
      <c r="E21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59" s="24" t="str">
        <f ca="1">IF(OR(Master[[#This Row],[Type]]="checklist", Master[[#This Row],[Type]]="checklist-flat"), Master[[#This Row],[Name]], F2158)</f>
        <v>FC - S - Roofing</v>
      </c>
      <c r="G2159" s="34" t="s">
        <v>49</v>
      </c>
      <c r="H2159" s="34" t="s">
        <v>1141</v>
      </c>
      <c r="I2159" s="35"/>
      <c r="J2159" s="21">
        <f ca="1">_xlfn.XLOOKUP(Master[[#This Row],[Checklist]],Ref!A:A,Ref!B:B)*1000</f>
        <v>189000</v>
      </c>
      <c r="K2159" s="21">
        <f ca="1">COUNTIF($J$2:Master[[#This Row],[ChecklistID]],Master[[#This Row],[ChecklistID]])-1</f>
        <v>23</v>
      </c>
      <c r="L2159" s="23" t="s">
        <v>6</v>
      </c>
    </row>
    <row r="2160" spans="1:12" ht="15.75">
      <c r="A2160" s="23">
        <f t="shared" si="33"/>
        <v>2147</v>
      </c>
      <c r="B2160" s="21">
        <f ca="1">Master[[#This Row],[ChecklistID]]+Master[[#This Row],[Checklist Order]]</f>
        <v>189024</v>
      </c>
      <c r="C2160" s="22"/>
      <c r="D2160" s="23" t="str" cm="1">
        <f t="array" aca="1" ref="D2160" ca="1">_xlfn.SWITCH(MID(Master[[#This Row],[Checklist]],1,4),"C - ","Civil","F - ","Foundation","ST -","Structure","FC -","Façade","PRE ","Pre-Line","POST","Post-Line","H - ","Handover","S - ","Services","CST ","Completion Docs", "I - ", "Inspection")</f>
        <v>Façade</v>
      </c>
      <c r="E21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0" s="24" t="str">
        <f ca="1">IF(OR(Master[[#This Row],[Type]]="checklist", Master[[#This Row],[Type]]="checklist-flat"), Master[[#This Row],[Name]], F2159)</f>
        <v>FC - S - Roofing</v>
      </c>
      <c r="G2160" s="34" t="s">
        <v>49</v>
      </c>
      <c r="H2160" s="34" t="s">
        <v>1142</v>
      </c>
      <c r="I2160" s="35"/>
      <c r="J2160" s="21">
        <f ca="1">_xlfn.XLOOKUP(Master[[#This Row],[Checklist]],Ref!A:A,Ref!B:B)*1000</f>
        <v>189000</v>
      </c>
      <c r="K2160" s="21">
        <f ca="1">COUNTIF($J$2:Master[[#This Row],[ChecklistID]],Master[[#This Row],[ChecklistID]])-1</f>
        <v>24</v>
      </c>
      <c r="L2160" s="23" t="s">
        <v>6</v>
      </c>
    </row>
    <row r="2161" spans="1:12" ht="15.75">
      <c r="A2161" s="23">
        <f t="shared" si="33"/>
        <v>2148</v>
      </c>
      <c r="B2161" s="21">
        <f ca="1">Master[[#This Row],[ChecklistID]]+Master[[#This Row],[Checklist Order]]</f>
        <v>189025</v>
      </c>
      <c r="C2161" s="22"/>
      <c r="D2161" s="23" t="str" cm="1">
        <f t="array" aca="1" ref="D2161" ca="1">_xlfn.SWITCH(MID(Master[[#This Row],[Checklist]],1,4),"C - ","Civil","F - ","Foundation","ST -","Structure","FC -","Façade","PRE ","Pre-Line","POST","Post-Line","H - ","Handover","S - ","Services","CST ","Completion Docs", "I - ", "Inspection")</f>
        <v>Façade</v>
      </c>
      <c r="E21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1" s="24" t="str">
        <f ca="1">IF(OR(Master[[#This Row],[Type]]="checklist", Master[[#This Row],[Type]]="checklist-flat"), Master[[#This Row],[Name]], F2160)</f>
        <v>FC - S - Roofing</v>
      </c>
      <c r="G2161" s="34" t="s">
        <v>49</v>
      </c>
      <c r="H2161" s="34" t="s">
        <v>1143</v>
      </c>
      <c r="I2161" s="35"/>
      <c r="J2161" s="21">
        <f ca="1">_xlfn.XLOOKUP(Master[[#This Row],[Checklist]],Ref!A:A,Ref!B:B)*1000</f>
        <v>189000</v>
      </c>
      <c r="K2161" s="21">
        <f ca="1">COUNTIF($J$2:Master[[#This Row],[ChecklistID]],Master[[#This Row],[ChecklistID]])-1</f>
        <v>25</v>
      </c>
      <c r="L2161" s="23" t="s">
        <v>6</v>
      </c>
    </row>
    <row r="2162" spans="1:12" ht="15.75">
      <c r="A2162" s="23">
        <f t="shared" si="33"/>
        <v>2149</v>
      </c>
      <c r="B2162" s="21">
        <f ca="1">Master[[#This Row],[ChecklistID]]+Master[[#This Row],[Checklist Order]]</f>
        <v>189026</v>
      </c>
      <c r="C2162" s="22"/>
      <c r="D2162" s="23" t="str" cm="1">
        <f t="array" aca="1" ref="D2162" ca="1">_xlfn.SWITCH(MID(Master[[#This Row],[Checklist]],1,4),"C - ","Civil","F - ","Foundation","ST -","Structure","FC -","Façade","PRE ","Pre-Line","POST","Post-Line","H - ","Handover","S - ","Services","CST ","Completion Docs", "I - ", "Inspection")</f>
        <v>Façade</v>
      </c>
      <c r="E21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2" s="24" t="str">
        <f ca="1">IF(OR(Master[[#This Row],[Type]]="checklist", Master[[#This Row],[Type]]="checklist-flat"), Master[[#This Row],[Name]], F2161)</f>
        <v>FC - S - Roofing</v>
      </c>
      <c r="G2162" s="34" t="s">
        <v>49</v>
      </c>
      <c r="H2162" s="34" t="s">
        <v>1144</v>
      </c>
      <c r="I2162" s="35"/>
      <c r="J2162" s="21">
        <f ca="1">_xlfn.XLOOKUP(Master[[#This Row],[Checklist]],Ref!A:A,Ref!B:B)*1000</f>
        <v>189000</v>
      </c>
      <c r="K2162" s="21">
        <f ca="1">COUNTIF($J$2:Master[[#This Row],[ChecklistID]],Master[[#This Row],[ChecklistID]])-1</f>
        <v>26</v>
      </c>
      <c r="L2162" s="23" t="s">
        <v>6</v>
      </c>
    </row>
    <row r="2163" spans="1:12" ht="15.75">
      <c r="A2163" s="23">
        <f t="shared" si="33"/>
        <v>2150</v>
      </c>
      <c r="B2163" s="21">
        <f ca="1">Master[[#This Row],[ChecklistID]]+Master[[#This Row],[Checklist Order]]</f>
        <v>189027</v>
      </c>
      <c r="C2163" s="22"/>
      <c r="D2163" s="23" t="str" cm="1">
        <f t="array" aca="1" ref="D2163" ca="1">_xlfn.SWITCH(MID(Master[[#This Row],[Checklist]],1,4),"C - ","Civil","F - ","Foundation","ST -","Structure","FC -","Façade","PRE ","Pre-Line","POST","Post-Line","H - ","Handover","S - ","Services","CST ","Completion Docs", "I - ", "Inspection")</f>
        <v>Façade</v>
      </c>
      <c r="E21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3" s="24" t="str">
        <f ca="1">IF(OR(Master[[#This Row],[Type]]="checklist", Master[[#This Row],[Type]]="checklist-flat"), Master[[#This Row],[Name]], F2162)</f>
        <v>FC - S - Roofing</v>
      </c>
      <c r="G2163" s="34" t="s">
        <v>49</v>
      </c>
      <c r="H2163" s="34" t="s">
        <v>1126</v>
      </c>
      <c r="I2163" s="35"/>
      <c r="J2163" s="21">
        <f ca="1">_xlfn.XLOOKUP(Master[[#This Row],[Checklist]],Ref!A:A,Ref!B:B)*1000</f>
        <v>189000</v>
      </c>
      <c r="K2163" s="21">
        <f ca="1">COUNTIF($J$2:Master[[#This Row],[ChecklistID]],Master[[#This Row],[ChecklistID]])-1</f>
        <v>27</v>
      </c>
      <c r="L2163" s="23" t="s">
        <v>6</v>
      </c>
    </row>
    <row r="2164" spans="1:12" ht="15.75">
      <c r="A2164" s="23">
        <f t="shared" ref="A2164:A2227" si="34">IFERROR(A2163+1,1)</f>
        <v>2151</v>
      </c>
      <c r="B2164" s="21">
        <f ca="1">Master[[#This Row],[ChecklistID]]+Master[[#This Row],[Checklist Order]]</f>
        <v>189028</v>
      </c>
      <c r="C2164" s="22"/>
      <c r="D2164" s="23" t="str" cm="1">
        <f t="array" aca="1" ref="D2164" ca="1">_xlfn.SWITCH(MID(Master[[#This Row],[Checklist]],1,4),"C - ","Civil","F - ","Foundation","ST -","Structure","FC -","Façade","PRE ","Pre-Line","POST","Post-Line","H - ","Handover","S - ","Services","CST ","Completion Docs", "I - ", "Inspection")</f>
        <v>Façade</v>
      </c>
      <c r="E21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4" s="24" t="str">
        <f ca="1">IF(OR(Master[[#This Row],[Type]]="checklist", Master[[#This Row],[Type]]="checklist-flat"), Master[[#This Row],[Name]], F2163)</f>
        <v>FC - S - Roofing</v>
      </c>
      <c r="G2164" s="34" t="s">
        <v>120</v>
      </c>
      <c r="H2164" s="34" t="s">
        <v>1145</v>
      </c>
      <c r="I2164" s="35"/>
      <c r="J2164" s="21">
        <f ca="1">_xlfn.XLOOKUP(Master[[#This Row],[Checklist]],Ref!A:A,Ref!B:B)*1000</f>
        <v>189000</v>
      </c>
      <c r="K2164" s="21">
        <f ca="1">COUNTIF($J$2:Master[[#This Row],[ChecklistID]],Master[[#This Row],[ChecklistID]])-1</f>
        <v>28</v>
      </c>
      <c r="L2164" s="23" t="s">
        <v>6</v>
      </c>
    </row>
    <row r="2165" spans="1:12" ht="15.75">
      <c r="A2165" s="23">
        <f t="shared" si="34"/>
        <v>2152</v>
      </c>
      <c r="B2165" s="21">
        <f ca="1">Master[[#This Row],[ChecklistID]]+Master[[#This Row],[Checklist Order]]</f>
        <v>189029</v>
      </c>
      <c r="C2165" s="22"/>
      <c r="D2165" s="23" t="str" cm="1">
        <f t="array" aca="1" ref="D2165" ca="1">_xlfn.SWITCH(MID(Master[[#This Row],[Checklist]],1,4),"C - ","Civil","F - ","Foundation","ST -","Structure","FC -","Façade","PRE ","Pre-Line","POST","Post-Line","H - ","Handover","S - ","Services","CST ","Completion Docs", "I - ", "Inspection")</f>
        <v>Façade</v>
      </c>
      <c r="E21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5" s="24" t="str">
        <f ca="1">IF(OR(Master[[#This Row],[Type]]="checklist", Master[[#This Row],[Type]]="checklist-flat"), Master[[#This Row],[Name]], F2164)</f>
        <v>FC - S - Roofing</v>
      </c>
      <c r="G2165" s="34" t="s">
        <v>49</v>
      </c>
      <c r="H2165" s="34" t="s">
        <v>1146</v>
      </c>
      <c r="I2165" s="35"/>
      <c r="J2165" s="21">
        <f ca="1">_xlfn.XLOOKUP(Master[[#This Row],[Checklist]],Ref!A:A,Ref!B:B)*1000</f>
        <v>189000</v>
      </c>
      <c r="K2165" s="21">
        <f ca="1">COUNTIF($J$2:Master[[#This Row],[ChecklistID]],Master[[#This Row],[ChecklistID]])-1</f>
        <v>29</v>
      </c>
      <c r="L2165" s="23" t="s">
        <v>6</v>
      </c>
    </row>
    <row r="2166" spans="1:12" ht="15.75">
      <c r="A2166" s="23">
        <f t="shared" si="34"/>
        <v>2153</v>
      </c>
      <c r="B2166" s="21">
        <f ca="1">Master[[#This Row],[ChecklistID]]+Master[[#This Row],[Checklist Order]]</f>
        <v>189030</v>
      </c>
      <c r="C2166" s="22"/>
      <c r="D2166" s="23" t="str" cm="1">
        <f t="array" aca="1" ref="D2166" ca="1">_xlfn.SWITCH(MID(Master[[#This Row],[Checklist]],1,4),"C - ","Civil","F - ","Foundation","ST -","Structure","FC -","Façade","PRE ","Pre-Line","POST","Post-Line","H - ","Handover","S - ","Services","CST ","Completion Docs", "I - ", "Inspection")</f>
        <v>Façade</v>
      </c>
      <c r="E21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6" s="24" t="str">
        <f ca="1">IF(OR(Master[[#This Row],[Type]]="checklist", Master[[#This Row],[Type]]="checklist-flat"), Master[[#This Row],[Name]], F2165)</f>
        <v>FC - S - Roofing</v>
      </c>
      <c r="G2166" s="34" t="s">
        <v>49</v>
      </c>
      <c r="H2166" s="34" t="s">
        <v>1716</v>
      </c>
      <c r="I2166" s="35"/>
      <c r="J2166" s="21">
        <f ca="1">_xlfn.XLOOKUP(Master[[#This Row],[Checklist]],Ref!A:A,Ref!B:B)*1000</f>
        <v>189000</v>
      </c>
      <c r="K2166" s="21">
        <f ca="1">COUNTIF($J$2:Master[[#This Row],[ChecklistID]],Master[[#This Row],[ChecklistID]])-1</f>
        <v>30</v>
      </c>
      <c r="L2166" s="23" t="s">
        <v>6</v>
      </c>
    </row>
    <row r="2167" spans="1:12" ht="15.75">
      <c r="A2167" s="23">
        <f t="shared" si="34"/>
        <v>2154</v>
      </c>
      <c r="B2167" s="21">
        <f ca="1">Master[[#This Row],[ChecklistID]]+Master[[#This Row],[Checklist Order]]</f>
        <v>189031</v>
      </c>
      <c r="C2167" s="22"/>
      <c r="D2167" s="23" t="str" cm="1">
        <f t="array" aca="1" ref="D2167" ca="1">_xlfn.SWITCH(MID(Master[[#This Row],[Checklist]],1,4),"C - ","Civil","F - ","Foundation","ST -","Structure","FC -","Façade","PRE ","Pre-Line","POST","Post-Line","H - ","Handover","S - ","Services","CST ","Completion Docs", "I - ", "Inspection")</f>
        <v>Façade</v>
      </c>
      <c r="E21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7" s="24" t="str">
        <f ca="1">IF(OR(Master[[#This Row],[Type]]="checklist", Master[[#This Row],[Type]]="checklist-flat"), Master[[#This Row],[Name]], F2166)</f>
        <v>FC - S - Roofing</v>
      </c>
      <c r="G2167" s="34" t="s">
        <v>49</v>
      </c>
      <c r="H2167" s="34" t="s">
        <v>1148</v>
      </c>
      <c r="I2167" s="35"/>
      <c r="J2167" s="21">
        <f ca="1">_xlfn.XLOOKUP(Master[[#This Row],[Checklist]],Ref!A:A,Ref!B:B)*1000</f>
        <v>189000</v>
      </c>
      <c r="K2167" s="21">
        <f ca="1">COUNTIF($J$2:Master[[#This Row],[ChecklistID]],Master[[#This Row],[ChecklistID]])-1</f>
        <v>31</v>
      </c>
      <c r="L2167" s="23" t="s">
        <v>6</v>
      </c>
    </row>
    <row r="2168" spans="1:12" ht="15.75">
      <c r="A2168" s="23">
        <f t="shared" si="34"/>
        <v>2155</v>
      </c>
      <c r="B2168" s="21">
        <f ca="1">Master[[#This Row],[ChecklistID]]+Master[[#This Row],[Checklist Order]]</f>
        <v>189032</v>
      </c>
      <c r="C2168" s="22"/>
      <c r="D2168" s="23" t="str" cm="1">
        <f t="array" aca="1" ref="D2168" ca="1">_xlfn.SWITCH(MID(Master[[#This Row],[Checklist]],1,4),"C - ","Civil","F - ","Foundation","ST -","Structure","FC -","Façade","PRE ","Pre-Line","POST","Post-Line","H - ","Handover","S - ","Services","CST ","Completion Docs", "I - ", "Inspection")</f>
        <v>Façade</v>
      </c>
      <c r="E21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8" s="24" t="str">
        <f ca="1">IF(OR(Master[[#This Row],[Type]]="checklist", Master[[#This Row],[Type]]="checklist-flat"), Master[[#This Row],[Name]], F2167)</f>
        <v>FC - S - Roofing</v>
      </c>
      <c r="G2168" s="34" t="s">
        <v>49</v>
      </c>
      <c r="H2168" s="34" t="s">
        <v>1149</v>
      </c>
      <c r="I2168" s="35"/>
      <c r="J2168" s="21">
        <f ca="1">_xlfn.XLOOKUP(Master[[#This Row],[Checklist]],Ref!A:A,Ref!B:B)*1000</f>
        <v>189000</v>
      </c>
      <c r="K2168" s="21">
        <f ca="1">COUNTIF($J$2:Master[[#This Row],[ChecklistID]],Master[[#This Row],[ChecklistID]])-1</f>
        <v>32</v>
      </c>
      <c r="L2168" s="23" t="s">
        <v>6</v>
      </c>
    </row>
    <row r="2169" spans="1:12" ht="15.75">
      <c r="A2169" s="23">
        <f t="shared" si="34"/>
        <v>2156</v>
      </c>
      <c r="B2169" s="21">
        <f ca="1">Master[[#This Row],[ChecklistID]]+Master[[#This Row],[Checklist Order]]</f>
        <v>189033</v>
      </c>
      <c r="C2169" s="22"/>
      <c r="D2169" s="23" t="str" cm="1">
        <f t="array" aca="1" ref="D2169" ca="1">_xlfn.SWITCH(MID(Master[[#This Row],[Checklist]],1,4),"C - ","Civil","F - ","Foundation","ST -","Structure","FC -","Façade","PRE ","Pre-Line","POST","Post-Line","H - ","Handover","S - ","Services","CST ","Completion Docs", "I - ", "Inspection")</f>
        <v>Façade</v>
      </c>
      <c r="E21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69" s="24" t="str">
        <f ca="1">IF(OR(Master[[#This Row],[Type]]="checklist", Master[[#This Row],[Type]]="checklist-flat"), Master[[#This Row],[Name]], F2168)</f>
        <v>FC - S - Roofing</v>
      </c>
      <c r="G2169" s="34" t="s">
        <v>49</v>
      </c>
      <c r="H2169" s="34" t="s">
        <v>1126</v>
      </c>
      <c r="I2169" s="35"/>
      <c r="J2169" s="21">
        <f ca="1">_xlfn.XLOOKUP(Master[[#This Row],[Checklist]],Ref!A:A,Ref!B:B)*1000</f>
        <v>189000</v>
      </c>
      <c r="K2169" s="21">
        <f ca="1">COUNTIF($J$2:Master[[#This Row],[ChecklistID]],Master[[#This Row],[ChecklistID]])-1</f>
        <v>33</v>
      </c>
      <c r="L2169" s="23" t="s">
        <v>6</v>
      </c>
    </row>
    <row r="2170" spans="1:12" ht="15.75">
      <c r="A2170" s="23">
        <f t="shared" si="34"/>
        <v>2157</v>
      </c>
      <c r="B2170" s="21">
        <f ca="1">Master[[#This Row],[ChecklistID]]+Master[[#This Row],[Checklist Order]]</f>
        <v>189034</v>
      </c>
      <c r="C2170" s="22"/>
      <c r="D2170" s="23" t="str" cm="1">
        <f t="array" aca="1" ref="D2170" ca="1">_xlfn.SWITCH(MID(Master[[#This Row],[Checklist]],1,4),"C - ","Civil","F - ","Foundation","ST -","Structure","FC -","Façade","PRE ","Pre-Line","POST","Post-Line","H - ","Handover","S - ","Services","CST ","Completion Docs", "I - ", "Inspection")</f>
        <v>Façade</v>
      </c>
      <c r="E21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0" s="24" t="str">
        <f ca="1">IF(OR(Master[[#This Row],[Type]]="checklist", Master[[#This Row],[Type]]="checklist-flat"), Master[[#This Row],[Name]], F2169)</f>
        <v>FC - S - Roofing</v>
      </c>
      <c r="G2170" s="34" t="s">
        <v>49</v>
      </c>
      <c r="H2170" s="34" t="s">
        <v>57</v>
      </c>
      <c r="I2170" s="35"/>
      <c r="J2170" s="21">
        <f ca="1">_xlfn.XLOOKUP(Master[[#This Row],[Checklist]],Ref!A:A,Ref!B:B)*1000</f>
        <v>189000</v>
      </c>
      <c r="K2170" s="21">
        <f ca="1">COUNTIF($J$2:Master[[#This Row],[ChecklistID]],Master[[#This Row],[ChecklistID]])-1</f>
        <v>34</v>
      </c>
      <c r="L2170" s="23" t="s">
        <v>6</v>
      </c>
    </row>
    <row r="2171" spans="1:12" ht="15.75">
      <c r="A2171" s="23">
        <f t="shared" si="34"/>
        <v>2158</v>
      </c>
      <c r="B2171" s="21">
        <f ca="1">Master[[#This Row],[ChecklistID]]+Master[[#This Row],[Checklist Order]]</f>
        <v>189035</v>
      </c>
      <c r="C2171" s="22"/>
      <c r="D2171" s="23" t="str" cm="1">
        <f t="array" aca="1" ref="D2171" ca="1">_xlfn.SWITCH(MID(Master[[#This Row],[Checklist]],1,4),"C - ","Civil","F - ","Foundation","ST -","Structure","FC -","Façade","PRE ","Pre-Line","POST","Post-Line","H - ","Handover","S - ","Services","CST ","Completion Docs", "I - ", "Inspection")</f>
        <v>Façade</v>
      </c>
      <c r="E21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1" s="24" t="str">
        <f ca="1">IF(OR(Master[[#This Row],[Type]]="checklist", Master[[#This Row],[Type]]="checklist-flat"), Master[[#This Row],[Name]], F2170)</f>
        <v>FC - S - Roofing</v>
      </c>
      <c r="G2171" s="34" t="s">
        <v>58</v>
      </c>
      <c r="H2171" s="34" t="s">
        <v>59</v>
      </c>
      <c r="I2171" s="35"/>
      <c r="J2171" s="21">
        <f ca="1">_xlfn.XLOOKUP(Master[[#This Row],[Checklist]],Ref!A:A,Ref!B:B)*1000</f>
        <v>189000</v>
      </c>
      <c r="K2171" s="21">
        <f ca="1">COUNTIF($J$2:Master[[#This Row],[ChecklistID]],Master[[#This Row],[ChecklistID]])-1</f>
        <v>35</v>
      </c>
      <c r="L2171" s="23" t="s">
        <v>6</v>
      </c>
    </row>
    <row r="2172" spans="1:12" ht="15.75">
      <c r="A2172" s="23">
        <f t="shared" si="34"/>
        <v>2159</v>
      </c>
      <c r="B2172" s="21">
        <f ca="1">Master[[#This Row],[ChecklistID]]+Master[[#This Row],[Checklist Order]]</f>
        <v>190000</v>
      </c>
      <c r="C2172" s="22"/>
      <c r="D2172" s="23" t="str" cm="1">
        <f t="array" aca="1" ref="D2172" ca="1">_xlfn.SWITCH(MID(Master[[#This Row],[Checklist]],1,4),"C - ","Civil","F - ","Foundation","ST -","Structure","FC -","Façade","PRE ","Pre-Line","POST","Post-Line","H - ","Handover","S - ","Services","CST ","Completion Docs", "I - ", "Inspection")</f>
        <v>Façade</v>
      </c>
      <c r="E21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2" s="24" t="str">
        <f ca="1">IF(OR(Master[[#This Row],[Type]]="checklist", Master[[#This Row],[Type]]="checklist-flat"), Master[[#This Row],[Name]], F2171)</f>
        <v>FC - S - Hatches</v>
      </c>
      <c r="G2172" s="34" t="s">
        <v>48</v>
      </c>
      <c r="H2172" s="34" t="s">
        <v>1150</v>
      </c>
      <c r="I2172" s="35"/>
      <c r="J2172" s="21">
        <f ca="1">_xlfn.XLOOKUP(Master[[#This Row],[Checklist]],Ref!A:A,Ref!B:B)*1000</f>
        <v>190000</v>
      </c>
      <c r="K2172" s="21">
        <f ca="1">COUNTIF($J$2:Master[[#This Row],[ChecklistID]],Master[[#This Row],[ChecklistID]])-1</f>
        <v>0</v>
      </c>
      <c r="L2172" s="23" t="s">
        <v>6</v>
      </c>
    </row>
    <row r="2173" spans="1:12" ht="15.75">
      <c r="A2173" s="23">
        <f t="shared" si="34"/>
        <v>2160</v>
      </c>
      <c r="B2173" s="21">
        <f ca="1">Master[[#This Row],[ChecklistID]]+Master[[#This Row],[Checklist Order]]</f>
        <v>190001</v>
      </c>
      <c r="C2173" s="22"/>
      <c r="D2173" s="23" t="str" cm="1">
        <f t="array" aca="1" ref="D2173" ca="1">_xlfn.SWITCH(MID(Master[[#This Row],[Checklist]],1,4),"C - ","Civil","F - ","Foundation","ST -","Structure","FC -","Façade","PRE ","Pre-Line","POST","Post-Line","H - ","Handover","S - ","Services","CST ","Completion Docs", "I - ", "Inspection")</f>
        <v>Façade</v>
      </c>
      <c r="E21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3" s="24" t="str">
        <f ca="1">IF(OR(Master[[#This Row],[Type]]="checklist", Master[[#This Row],[Type]]="checklist-flat"), Master[[#This Row],[Name]], F2172)</f>
        <v>FC - S - Hatches</v>
      </c>
      <c r="G2173" s="34" t="s">
        <v>49</v>
      </c>
      <c r="H2173" s="34" t="s">
        <v>540</v>
      </c>
      <c r="I2173" s="35"/>
      <c r="J2173" s="21">
        <f ca="1">_xlfn.XLOOKUP(Master[[#This Row],[Checklist]],Ref!A:A,Ref!B:B)*1000</f>
        <v>190000</v>
      </c>
      <c r="K2173" s="21">
        <f ca="1">COUNTIF($J$2:Master[[#This Row],[ChecklistID]],Master[[#This Row],[ChecklistID]])-1</f>
        <v>1</v>
      </c>
      <c r="L2173" s="23" t="s">
        <v>6</v>
      </c>
    </row>
    <row r="2174" spans="1:12" ht="15.75">
      <c r="A2174" s="23">
        <f t="shared" si="34"/>
        <v>2161</v>
      </c>
      <c r="B2174" s="21">
        <f ca="1">Master[[#This Row],[ChecklistID]]+Master[[#This Row],[Checklist Order]]</f>
        <v>190002</v>
      </c>
      <c r="C2174" s="22"/>
      <c r="D2174" s="23" t="str" cm="1">
        <f t="array" aca="1" ref="D2174" ca="1">_xlfn.SWITCH(MID(Master[[#This Row],[Checklist]],1,4),"C - ","Civil","F - ","Foundation","ST -","Structure","FC -","Façade","PRE ","Pre-Line","POST","Post-Line","H - ","Handover","S - ","Services","CST ","Completion Docs", "I - ", "Inspection")</f>
        <v>Façade</v>
      </c>
      <c r="E21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4" s="24" t="str">
        <f ca="1">IF(OR(Master[[#This Row],[Type]]="checklist", Master[[#This Row],[Type]]="checklist-flat"), Master[[#This Row],[Name]], F2173)</f>
        <v>FC - S - Hatches</v>
      </c>
      <c r="G2174" s="34" t="s">
        <v>49</v>
      </c>
      <c r="H2174" s="34" t="s">
        <v>541</v>
      </c>
      <c r="I2174" s="35"/>
      <c r="J2174" s="21">
        <f ca="1">_xlfn.XLOOKUP(Master[[#This Row],[Checklist]],Ref!A:A,Ref!B:B)*1000</f>
        <v>190000</v>
      </c>
      <c r="K2174" s="21">
        <f ca="1">COUNTIF($J$2:Master[[#This Row],[ChecklistID]],Master[[#This Row],[ChecklistID]])-1</f>
        <v>2</v>
      </c>
      <c r="L2174" s="23" t="s">
        <v>6</v>
      </c>
    </row>
    <row r="2175" spans="1:12" ht="15.75">
      <c r="A2175" s="23">
        <f t="shared" si="34"/>
        <v>2162</v>
      </c>
      <c r="B2175" s="21">
        <f ca="1">Master[[#This Row],[ChecklistID]]+Master[[#This Row],[Checklist Order]]</f>
        <v>190003</v>
      </c>
      <c r="C2175" s="22"/>
      <c r="D2175" s="23" t="str" cm="1">
        <f t="array" aca="1" ref="D2175" ca="1">_xlfn.SWITCH(MID(Master[[#This Row],[Checklist]],1,4),"C - ","Civil","F - ","Foundation","ST -","Structure","FC -","Façade","PRE ","Pre-Line","POST","Post-Line","H - ","Handover","S - ","Services","CST ","Completion Docs", "I - ", "Inspection")</f>
        <v>Façade</v>
      </c>
      <c r="E21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5" s="24" t="str">
        <f ca="1">IF(OR(Master[[#This Row],[Type]]="checklist", Master[[#This Row],[Type]]="checklist-flat"), Master[[#This Row],[Name]], F2174)</f>
        <v>FC - S - Hatches</v>
      </c>
      <c r="G2175" s="34" t="s">
        <v>49</v>
      </c>
      <c r="H2175" s="34" t="s">
        <v>542</v>
      </c>
      <c r="I2175" s="35"/>
      <c r="J2175" s="21">
        <f ca="1">_xlfn.XLOOKUP(Master[[#This Row],[Checklist]],Ref!A:A,Ref!B:B)*1000</f>
        <v>190000</v>
      </c>
      <c r="K2175" s="21">
        <f ca="1">COUNTIF($J$2:Master[[#This Row],[ChecklistID]],Master[[#This Row],[ChecklistID]])-1</f>
        <v>3</v>
      </c>
      <c r="L2175" s="23" t="s">
        <v>6</v>
      </c>
    </row>
    <row r="2176" spans="1:12" ht="15.75">
      <c r="A2176" s="23">
        <f t="shared" si="34"/>
        <v>2163</v>
      </c>
      <c r="B2176" s="21">
        <f ca="1">Master[[#This Row],[ChecklistID]]+Master[[#This Row],[Checklist Order]]</f>
        <v>190004</v>
      </c>
      <c r="C2176" s="22"/>
      <c r="D2176" s="23" t="str" cm="1">
        <f t="array" aca="1" ref="D2176" ca="1">_xlfn.SWITCH(MID(Master[[#This Row],[Checklist]],1,4),"C - ","Civil","F - ","Foundation","ST -","Structure","FC -","Façade","PRE ","Pre-Line","POST","Post-Line","H - ","Handover","S - ","Services","CST ","Completion Docs", "I - ", "Inspection")</f>
        <v>Façade</v>
      </c>
      <c r="E21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6" s="24" t="str">
        <f ca="1">IF(OR(Master[[#This Row],[Type]]="checklist", Master[[#This Row],[Type]]="checklist-flat"), Master[[#This Row],[Name]], F2175)</f>
        <v>FC - S - Hatches</v>
      </c>
      <c r="G2176" s="34" t="s">
        <v>49</v>
      </c>
      <c r="H2176" s="34" t="s">
        <v>543</v>
      </c>
      <c r="I2176" s="35"/>
      <c r="J2176" s="21">
        <f ca="1">_xlfn.XLOOKUP(Master[[#This Row],[Checklist]],Ref!A:A,Ref!B:B)*1000</f>
        <v>190000</v>
      </c>
      <c r="K2176" s="21">
        <f ca="1">COUNTIF($J$2:Master[[#This Row],[ChecklistID]],Master[[#This Row],[ChecklistID]])-1</f>
        <v>4</v>
      </c>
      <c r="L2176" s="23" t="s">
        <v>6</v>
      </c>
    </row>
    <row r="2177" spans="1:12" ht="15.75">
      <c r="A2177" s="23">
        <f t="shared" si="34"/>
        <v>2164</v>
      </c>
      <c r="B2177" s="21">
        <f ca="1">Master[[#This Row],[ChecklistID]]+Master[[#This Row],[Checklist Order]]</f>
        <v>190005</v>
      </c>
      <c r="C2177" s="22"/>
      <c r="D2177" s="23" t="str" cm="1">
        <f t="array" aca="1" ref="D2177" ca="1">_xlfn.SWITCH(MID(Master[[#This Row],[Checklist]],1,4),"C - ","Civil","F - ","Foundation","ST -","Structure","FC -","Façade","PRE ","Pre-Line","POST","Post-Line","H - ","Handover","S - ","Services","CST ","Completion Docs", "I - ", "Inspection")</f>
        <v>Façade</v>
      </c>
      <c r="E21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7" s="24" t="str">
        <f ca="1">IF(OR(Master[[#This Row],[Type]]="checklist", Master[[#This Row],[Type]]="checklist-flat"), Master[[#This Row],[Name]], F2176)</f>
        <v>FC - S - Hatches</v>
      </c>
      <c r="G2177" s="34" t="s">
        <v>49</v>
      </c>
      <c r="H2177" s="34" t="s">
        <v>544</v>
      </c>
      <c r="I2177" s="35"/>
      <c r="J2177" s="21">
        <f ca="1">_xlfn.XLOOKUP(Master[[#This Row],[Checklist]],Ref!A:A,Ref!B:B)*1000</f>
        <v>190000</v>
      </c>
      <c r="K2177" s="21">
        <f ca="1">COUNTIF($J$2:Master[[#This Row],[ChecklistID]],Master[[#This Row],[ChecklistID]])-1</f>
        <v>5</v>
      </c>
      <c r="L2177" s="23" t="s">
        <v>6</v>
      </c>
    </row>
    <row r="2178" spans="1:12" ht="15.75">
      <c r="A2178" s="23">
        <f t="shared" si="34"/>
        <v>2165</v>
      </c>
      <c r="B2178" s="21">
        <f ca="1">Master[[#This Row],[ChecklistID]]+Master[[#This Row],[Checklist Order]]</f>
        <v>190006</v>
      </c>
      <c r="C2178" s="22"/>
      <c r="D2178" s="23" t="str" cm="1">
        <f t="array" aca="1" ref="D2178" ca="1">_xlfn.SWITCH(MID(Master[[#This Row],[Checklist]],1,4),"C - ","Civil","F - ","Foundation","ST -","Structure","FC -","Façade","PRE ","Pre-Line","POST","Post-Line","H - ","Handover","S - ","Services","CST ","Completion Docs", "I - ", "Inspection")</f>
        <v>Façade</v>
      </c>
      <c r="E21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8" s="24" t="str">
        <f ca="1">IF(OR(Master[[#This Row],[Type]]="checklist", Master[[#This Row],[Type]]="checklist-flat"), Master[[#This Row],[Name]], F2177)</f>
        <v>FC - S - Hatches</v>
      </c>
      <c r="G2178" s="34" t="s">
        <v>49</v>
      </c>
      <c r="H2178" s="34" t="s">
        <v>545</v>
      </c>
      <c r="I2178" s="35"/>
      <c r="J2178" s="21">
        <f ca="1">_xlfn.XLOOKUP(Master[[#This Row],[Checklist]],Ref!A:A,Ref!B:B)*1000</f>
        <v>190000</v>
      </c>
      <c r="K2178" s="21">
        <f ca="1">COUNTIF($J$2:Master[[#This Row],[ChecklistID]],Master[[#This Row],[ChecklistID]])-1</f>
        <v>6</v>
      </c>
      <c r="L2178" s="23" t="s">
        <v>6</v>
      </c>
    </row>
    <row r="2179" spans="1:12" ht="15.75">
      <c r="A2179" s="23">
        <f t="shared" si="34"/>
        <v>2166</v>
      </c>
      <c r="B2179" s="21">
        <f ca="1">Master[[#This Row],[ChecklistID]]+Master[[#This Row],[Checklist Order]]</f>
        <v>190007</v>
      </c>
      <c r="C2179" s="22"/>
      <c r="D2179" s="23" t="str" cm="1">
        <f t="array" aca="1" ref="D2179" ca="1">_xlfn.SWITCH(MID(Master[[#This Row],[Checklist]],1,4),"C - ","Civil","F - ","Foundation","ST -","Structure","FC -","Façade","PRE ","Pre-Line","POST","Post-Line","H - ","Handover","S - ","Services","CST ","Completion Docs", "I - ", "Inspection")</f>
        <v>Façade</v>
      </c>
      <c r="E21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79" s="24" t="str">
        <f ca="1">IF(OR(Master[[#This Row],[Type]]="checklist", Master[[#This Row],[Type]]="checklist-flat"), Master[[#This Row],[Name]], F2178)</f>
        <v>FC - S - Hatches</v>
      </c>
      <c r="G2179" s="34" t="s">
        <v>49</v>
      </c>
      <c r="H2179" s="34" t="s">
        <v>546</v>
      </c>
      <c r="I2179" s="35"/>
      <c r="J2179" s="21">
        <f ca="1">_xlfn.XLOOKUP(Master[[#This Row],[Checklist]],Ref!A:A,Ref!B:B)*1000</f>
        <v>190000</v>
      </c>
      <c r="K2179" s="21">
        <f ca="1">COUNTIF($J$2:Master[[#This Row],[ChecklistID]],Master[[#This Row],[ChecklistID]])-1</f>
        <v>7</v>
      </c>
      <c r="L2179" s="23" t="s">
        <v>6</v>
      </c>
    </row>
    <row r="2180" spans="1:12" ht="15.75">
      <c r="A2180" s="23">
        <f t="shared" si="34"/>
        <v>2167</v>
      </c>
      <c r="B2180" s="21">
        <f ca="1">Master[[#This Row],[ChecklistID]]+Master[[#This Row],[Checklist Order]]</f>
        <v>190008</v>
      </c>
      <c r="C2180" s="22"/>
      <c r="D2180" s="23" t="str" cm="1">
        <f t="array" aca="1" ref="D2180" ca="1">_xlfn.SWITCH(MID(Master[[#This Row],[Checklist]],1,4),"C - ","Civil","F - ","Foundation","ST -","Structure","FC -","Façade","PRE ","Pre-Line","POST","Post-Line","H - ","Handover","S - ","Services","CST ","Completion Docs", "I - ", "Inspection")</f>
        <v>Façade</v>
      </c>
      <c r="E21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0" s="24" t="str">
        <f ca="1">IF(OR(Master[[#This Row],[Type]]="checklist", Master[[#This Row],[Type]]="checklist-flat"), Master[[#This Row],[Name]], F2179)</f>
        <v>FC - S - Hatches</v>
      </c>
      <c r="G2180" s="34" t="s">
        <v>49</v>
      </c>
      <c r="H2180" s="34" t="s">
        <v>57</v>
      </c>
      <c r="I2180" s="35"/>
      <c r="J2180" s="21">
        <f ca="1">_xlfn.XLOOKUP(Master[[#This Row],[Checklist]],Ref!A:A,Ref!B:B)*1000</f>
        <v>190000</v>
      </c>
      <c r="K2180" s="21">
        <f ca="1">COUNTIF($J$2:Master[[#This Row],[ChecklistID]],Master[[#This Row],[ChecklistID]])-1</f>
        <v>8</v>
      </c>
      <c r="L2180" s="23" t="s">
        <v>6</v>
      </c>
    </row>
    <row r="2181" spans="1:12" ht="15.75">
      <c r="A2181" s="23">
        <f t="shared" si="34"/>
        <v>2168</v>
      </c>
      <c r="B2181" s="21">
        <f ca="1">Master[[#This Row],[ChecklistID]]+Master[[#This Row],[Checklist Order]]</f>
        <v>190009</v>
      </c>
      <c r="C2181" s="22"/>
      <c r="D2181" s="23" t="str" cm="1">
        <f t="array" aca="1" ref="D2181" ca="1">_xlfn.SWITCH(MID(Master[[#This Row],[Checklist]],1,4),"C - ","Civil","F - ","Foundation","ST -","Structure","FC -","Façade","PRE ","Pre-Line","POST","Post-Line","H - ","Handover","S - ","Services","CST ","Completion Docs", "I - ", "Inspection")</f>
        <v>Façade</v>
      </c>
      <c r="E21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1" s="24" t="str">
        <f ca="1">IF(OR(Master[[#This Row],[Type]]="checklist", Master[[#This Row],[Type]]="checklist-flat"), Master[[#This Row],[Name]], F2180)</f>
        <v>FC - S - Hatches</v>
      </c>
      <c r="G2181" s="34" t="s">
        <v>58</v>
      </c>
      <c r="H2181" s="34" t="s">
        <v>59</v>
      </c>
      <c r="I2181" s="35"/>
      <c r="J2181" s="21">
        <f ca="1">_xlfn.XLOOKUP(Master[[#This Row],[Checklist]],Ref!A:A,Ref!B:B)*1000</f>
        <v>190000</v>
      </c>
      <c r="K2181" s="21">
        <f ca="1">COUNTIF($J$2:Master[[#This Row],[ChecklistID]],Master[[#This Row],[ChecklistID]])-1</f>
        <v>9</v>
      </c>
      <c r="L2181" s="23" t="s">
        <v>6</v>
      </c>
    </row>
    <row r="2182" spans="1:12" ht="15.75">
      <c r="A2182" s="23">
        <f t="shared" si="34"/>
        <v>2169</v>
      </c>
      <c r="B2182" s="21">
        <f ca="1">Master[[#This Row],[ChecklistID]]+Master[[#This Row],[Checklist Order]]</f>
        <v>191000</v>
      </c>
      <c r="C2182" s="22"/>
      <c r="D2182" s="23" t="str" cm="1">
        <f t="array" aca="1" ref="D2182" ca="1">_xlfn.SWITCH(MID(Master[[#This Row],[Checklist]],1,4),"C - ","Civil","F - ","Foundation","ST -","Structure","FC -","Façade","PRE ","Pre-Line","POST","Post-Line","H - ","Handover","S - ","Services","CST ","Completion Docs", "I - ", "Inspection")</f>
        <v>Façade</v>
      </c>
      <c r="E21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2" s="24" t="str">
        <f ca="1">IF(OR(Master[[#This Row],[Type]]="checklist", Master[[#This Row],[Type]]="checklist-flat"), Master[[#This Row],[Name]], F2181)</f>
        <v>FC - S - Gutters</v>
      </c>
      <c r="G2182" s="34" t="s">
        <v>48</v>
      </c>
      <c r="H2182" s="34" t="s">
        <v>1151</v>
      </c>
      <c r="I2182" s="35"/>
      <c r="J2182" s="21">
        <f ca="1">_xlfn.XLOOKUP(Master[[#This Row],[Checklist]],Ref!A:A,Ref!B:B)*1000</f>
        <v>191000</v>
      </c>
      <c r="K2182" s="21">
        <f ca="1">COUNTIF($J$2:Master[[#This Row],[ChecklistID]],Master[[#This Row],[ChecklistID]])-1</f>
        <v>0</v>
      </c>
      <c r="L2182" s="23" t="s">
        <v>6</v>
      </c>
    </row>
    <row r="2183" spans="1:12" ht="15.75">
      <c r="A2183" s="23">
        <f t="shared" si="34"/>
        <v>2170</v>
      </c>
      <c r="B2183" s="21">
        <f ca="1">Master[[#This Row],[ChecklistID]]+Master[[#This Row],[Checklist Order]]</f>
        <v>191001</v>
      </c>
      <c r="C2183" s="22"/>
      <c r="D2183" s="23" t="str" cm="1">
        <f t="array" aca="1" ref="D2183" ca="1">_xlfn.SWITCH(MID(Master[[#This Row],[Checklist]],1,4),"C - ","Civil","F - ","Foundation","ST -","Structure","FC -","Façade","PRE ","Pre-Line","POST","Post-Line","H - ","Handover","S - ","Services","CST ","Completion Docs", "I - ", "Inspection")</f>
        <v>Façade</v>
      </c>
      <c r="E21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3" s="24" t="str">
        <f ca="1">IF(OR(Master[[#This Row],[Type]]="checklist", Master[[#This Row],[Type]]="checklist-flat"), Master[[#This Row],[Name]], F2182)</f>
        <v>FC - S - Gutters</v>
      </c>
      <c r="G2183" s="34" t="s">
        <v>49</v>
      </c>
      <c r="H2183" s="34" t="s">
        <v>540</v>
      </c>
      <c r="I2183" s="35"/>
      <c r="J2183" s="21">
        <f ca="1">_xlfn.XLOOKUP(Master[[#This Row],[Checklist]],Ref!A:A,Ref!B:B)*1000</f>
        <v>191000</v>
      </c>
      <c r="K2183" s="21">
        <f ca="1">COUNTIF($J$2:Master[[#This Row],[ChecklistID]],Master[[#This Row],[ChecklistID]])-1</f>
        <v>1</v>
      </c>
      <c r="L2183" s="23" t="s">
        <v>6</v>
      </c>
    </row>
    <row r="2184" spans="1:12" ht="15.75">
      <c r="A2184" s="23">
        <f t="shared" si="34"/>
        <v>2171</v>
      </c>
      <c r="B2184" s="21">
        <f ca="1">Master[[#This Row],[ChecklistID]]+Master[[#This Row],[Checklist Order]]</f>
        <v>191002</v>
      </c>
      <c r="C2184" s="22"/>
      <c r="D2184" s="23" t="str" cm="1">
        <f t="array" aca="1" ref="D2184" ca="1">_xlfn.SWITCH(MID(Master[[#This Row],[Checklist]],1,4),"C - ","Civil","F - ","Foundation","ST -","Structure","FC -","Façade","PRE ","Pre-Line","POST","Post-Line","H - ","Handover","S - ","Services","CST ","Completion Docs", "I - ", "Inspection")</f>
        <v>Façade</v>
      </c>
      <c r="E21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4" s="24" t="str">
        <f ca="1">IF(OR(Master[[#This Row],[Type]]="checklist", Master[[#This Row],[Type]]="checklist-flat"), Master[[#This Row],[Name]], F2183)</f>
        <v>FC - S - Gutters</v>
      </c>
      <c r="G2184" s="34" t="s">
        <v>49</v>
      </c>
      <c r="H2184" s="34" t="s">
        <v>541</v>
      </c>
      <c r="I2184" s="35"/>
      <c r="J2184" s="21">
        <f ca="1">_xlfn.XLOOKUP(Master[[#This Row],[Checklist]],Ref!A:A,Ref!B:B)*1000</f>
        <v>191000</v>
      </c>
      <c r="K2184" s="21">
        <f ca="1">COUNTIF($J$2:Master[[#This Row],[ChecklistID]],Master[[#This Row],[ChecklistID]])-1</f>
        <v>2</v>
      </c>
      <c r="L2184" s="23" t="s">
        <v>6</v>
      </c>
    </row>
    <row r="2185" spans="1:12" ht="15.75">
      <c r="A2185" s="23">
        <f t="shared" si="34"/>
        <v>2172</v>
      </c>
      <c r="B2185" s="21">
        <f ca="1">Master[[#This Row],[ChecklistID]]+Master[[#This Row],[Checklist Order]]</f>
        <v>191003</v>
      </c>
      <c r="C2185" s="22"/>
      <c r="D2185" s="23" t="str" cm="1">
        <f t="array" aca="1" ref="D2185" ca="1">_xlfn.SWITCH(MID(Master[[#This Row],[Checklist]],1,4),"C - ","Civil","F - ","Foundation","ST -","Structure","FC -","Façade","PRE ","Pre-Line","POST","Post-Line","H - ","Handover","S - ","Services","CST ","Completion Docs", "I - ", "Inspection")</f>
        <v>Façade</v>
      </c>
      <c r="E21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5" s="24" t="str">
        <f ca="1">IF(OR(Master[[#This Row],[Type]]="checklist", Master[[#This Row],[Type]]="checklist-flat"), Master[[#This Row],[Name]], F2184)</f>
        <v>FC - S - Gutters</v>
      </c>
      <c r="G2185" s="34" t="s">
        <v>49</v>
      </c>
      <c r="H2185" s="34" t="s">
        <v>542</v>
      </c>
      <c r="I2185" s="35"/>
      <c r="J2185" s="21">
        <f ca="1">_xlfn.XLOOKUP(Master[[#This Row],[Checklist]],Ref!A:A,Ref!B:B)*1000</f>
        <v>191000</v>
      </c>
      <c r="K2185" s="21">
        <f ca="1">COUNTIF($J$2:Master[[#This Row],[ChecklistID]],Master[[#This Row],[ChecklistID]])-1</f>
        <v>3</v>
      </c>
      <c r="L2185" s="23" t="s">
        <v>6</v>
      </c>
    </row>
    <row r="2186" spans="1:12" ht="15.75">
      <c r="A2186" s="23">
        <f t="shared" si="34"/>
        <v>2173</v>
      </c>
      <c r="B2186" s="21">
        <f ca="1">Master[[#This Row],[ChecklistID]]+Master[[#This Row],[Checklist Order]]</f>
        <v>191004</v>
      </c>
      <c r="C2186" s="22"/>
      <c r="D2186" s="23" t="str" cm="1">
        <f t="array" aca="1" ref="D2186" ca="1">_xlfn.SWITCH(MID(Master[[#This Row],[Checklist]],1,4),"C - ","Civil","F - ","Foundation","ST -","Structure","FC -","Façade","PRE ","Pre-Line","POST","Post-Line","H - ","Handover","S - ","Services","CST ","Completion Docs", "I - ", "Inspection")</f>
        <v>Façade</v>
      </c>
      <c r="E21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6" s="24" t="str">
        <f ca="1">IF(OR(Master[[#This Row],[Type]]="checklist", Master[[#This Row],[Type]]="checklist-flat"), Master[[#This Row],[Name]], F2185)</f>
        <v>FC - S - Gutters</v>
      </c>
      <c r="G2186" s="34" t="s">
        <v>49</v>
      </c>
      <c r="H2186" s="34" t="s">
        <v>543</v>
      </c>
      <c r="I2186" s="35"/>
      <c r="J2186" s="21">
        <f ca="1">_xlfn.XLOOKUP(Master[[#This Row],[Checklist]],Ref!A:A,Ref!B:B)*1000</f>
        <v>191000</v>
      </c>
      <c r="K2186" s="21">
        <f ca="1">COUNTIF($J$2:Master[[#This Row],[ChecklistID]],Master[[#This Row],[ChecklistID]])-1</f>
        <v>4</v>
      </c>
      <c r="L2186" s="23" t="s">
        <v>6</v>
      </c>
    </row>
    <row r="2187" spans="1:12" ht="15.75">
      <c r="A2187" s="23">
        <f t="shared" si="34"/>
        <v>2174</v>
      </c>
      <c r="B2187" s="21">
        <f ca="1">Master[[#This Row],[ChecklistID]]+Master[[#This Row],[Checklist Order]]</f>
        <v>191005</v>
      </c>
      <c r="C2187" s="22"/>
      <c r="D2187" s="23" t="str" cm="1">
        <f t="array" aca="1" ref="D2187" ca="1">_xlfn.SWITCH(MID(Master[[#This Row],[Checklist]],1,4),"C - ","Civil","F - ","Foundation","ST -","Structure","FC -","Façade","PRE ","Pre-Line","POST","Post-Line","H - ","Handover","S - ","Services","CST ","Completion Docs", "I - ", "Inspection")</f>
        <v>Façade</v>
      </c>
      <c r="E21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7" s="24" t="str">
        <f ca="1">IF(OR(Master[[#This Row],[Type]]="checklist", Master[[#This Row],[Type]]="checklist-flat"), Master[[#This Row],[Name]], F2186)</f>
        <v>FC - S - Gutters</v>
      </c>
      <c r="G2187" s="34" t="s">
        <v>49</v>
      </c>
      <c r="H2187" s="34" t="s">
        <v>544</v>
      </c>
      <c r="I2187" s="35"/>
      <c r="J2187" s="21">
        <f ca="1">_xlfn.XLOOKUP(Master[[#This Row],[Checklist]],Ref!A:A,Ref!B:B)*1000</f>
        <v>191000</v>
      </c>
      <c r="K2187" s="21">
        <f ca="1">COUNTIF($J$2:Master[[#This Row],[ChecklistID]],Master[[#This Row],[ChecklistID]])-1</f>
        <v>5</v>
      </c>
      <c r="L2187" s="23" t="s">
        <v>6</v>
      </c>
    </row>
    <row r="2188" spans="1:12" ht="15.75">
      <c r="A2188" s="23">
        <f t="shared" si="34"/>
        <v>2175</v>
      </c>
      <c r="B2188" s="21">
        <f ca="1">Master[[#This Row],[ChecklistID]]+Master[[#This Row],[Checklist Order]]</f>
        <v>191006</v>
      </c>
      <c r="C2188" s="22"/>
      <c r="D2188" s="23" t="str" cm="1">
        <f t="array" aca="1" ref="D2188" ca="1">_xlfn.SWITCH(MID(Master[[#This Row],[Checklist]],1,4),"C - ","Civil","F - ","Foundation","ST -","Structure","FC -","Façade","PRE ","Pre-Line","POST","Post-Line","H - ","Handover","S - ","Services","CST ","Completion Docs", "I - ", "Inspection")</f>
        <v>Façade</v>
      </c>
      <c r="E21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8" s="24" t="str">
        <f ca="1">IF(OR(Master[[#This Row],[Type]]="checklist", Master[[#This Row],[Type]]="checklist-flat"), Master[[#This Row],[Name]], F2187)</f>
        <v>FC - S - Gutters</v>
      </c>
      <c r="G2188" s="34" t="s">
        <v>49</v>
      </c>
      <c r="H2188" s="34" t="s">
        <v>545</v>
      </c>
      <c r="I2188" s="35"/>
      <c r="J2188" s="21">
        <f ca="1">_xlfn.XLOOKUP(Master[[#This Row],[Checklist]],Ref!A:A,Ref!B:B)*1000</f>
        <v>191000</v>
      </c>
      <c r="K2188" s="21">
        <f ca="1">COUNTIF($J$2:Master[[#This Row],[ChecklistID]],Master[[#This Row],[ChecklistID]])-1</f>
        <v>6</v>
      </c>
      <c r="L2188" s="23" t="s">
        <v>6</v>
      </c>
    </row>
    <row r="2189" spans="1:12" ht="15.75">
      <c r="A2189" s="23">
        <f t="shared" si="34"/>
        <v>2176</v>
      </c>
      <c r="B2189" s="21">
        <f ca="1">Master[[#This Row],[ChecklistID]]+Master[[#This Row],[Checklist Order]]</f>
        <v>191007</v>
      </c>
      <c r="C2189" s="22"/>
      <c r="D2189" s="23" t="str" cm="1">
        <f t="array" aca="1" ref="D2189" ca="1">_xlfn.SWITCH(MID(Master[[#This Row],[Checklist]],1,4),"C - ","Civil","F - ","Foundation","ST -","Structure","FC -","Façade","PRE ","Pre-Line","POST","Post-Line","H - ","Handover","S - ","Services","CST ","Completion Docs", "I - ", "Inspection")</f>
        <v>Façade</v>
      </c>
      <c r="E21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89" s="24" t="str">
        <f ca="1">IF(OR(Master[[#This Row],[Type]]="checklist", Master[[#This Row],[Type]]="checklist-flat"), Master[[#This Row],[Name]], F2188)</f>
        <v>FC - S - Gutters</v>
      </c>
      <c r="G2189" s="34" t="s">
        <v>49</v>
      </c>
      <c r="H2189" s="34" t="s">
        <v>546</v>
      </c>
      <c r="I2189" s="35"/>
      <c r="J2189" s="21">
        <f ca="1">_xlfn.XLOOKUP(Master[[#This Row],[Checklist]],Ref!A:A,Ref!B:B)*1000</f>
        <v>191000</v>
      </c>
      <c r="K2189" s="21">
        <f ca="1">COUNTIF($J$2:Master[[#This Row],[ChecklistID]],Master[[#This Row],[ChecklistID]])-1</f>
        <v>7</v>
      </c>
      <c r="L2189" s="23" t="s">
        <v>6</v>
      </c>
    </row>
    <row r="2190" spans="1:12" ht="15.75">
      <c r="A2190" s="23">
        <f t="shared" si="34"/>
        <v>2177</v>
      </c>
      <c r="B2190" s="21">
        <f ca="1">Master[[#This Row],[ChecklistID]]+Master[[#This Row],[Checklist Order]]</f>
        <v>191008</v>
      </c>
      <c r="C2190" s="22"/>
      <c r="D2190" s="23" t="str" cm="1">
        <f t="array" aca="1" ref="D2190" ca="1">_xlfn.SWITCH(MID(Master[[#This Row],[Checklist]],1,4),"C - ","Civil","F - ","Foundation","ST -","Structure","FC -","Façade","PRE ","Pre-Line","POST","Post-Line","H - ","Handover","S - ","Services","CST ","Completion Docs", "I - ", "Inspection")</f>
        <v>Façade</v>
      </c>
      <c r="E21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0" s="24" t="str">
        <f ca="1">IF(OR(Master[[#This Row],[Type]]="checklist", Master[[#This Row],[Type]]="checklist-flat"), Master[[#This Row],[Name]], F2189)</f>
        <v>FC - S - Gutters</v>
      </c>
      <c r="G2190" s="34" t="s">
        <v>49</v>
      </c>
      <c r="H2190" s="34" t="s">
        <v>57</v>
      </c>
      <c r="I2190" s="35"/>
      <c r="J2190" s="21">
        <f ca="1">_xlfn.XLOOKUP(Master[[#This Row],[Checklist]],Ref!A:A,Ref!B:B)*1000</f>
        <v>191000</v>
      </c>
      <c r="K2190" s="21">
        <f ca="1">COUNTIF($J$2:Master[[#This Row],[ChecklistID]],Master[[#This Row],[ChecklistID]])-1</f>
        <v>8</v>
      </c>
      <c r="L2190" s="23" t="s">
        <v>6</v>
      </c>
    </row>
    <row r="2191" spans="1:12" ht="15.75">
      <c r="A2191" s="23">
        <f t="shared" si="34"/>
        <v>2178</v>
      </c>
      <c r="B2191" s="21">
        <f ca="1">Master[[#This Row],[ChecklistID]]+Master[[#This Row],[Checklist Order]]</f>
        <v>191009</v>
      </c>
      <c r="C2191" s="22"/>
      <c r="D2191" s="23" t="str" cm="1">
        <f t="array" aca="1" ref="D2191" ca="1">_xlfn.SWITCH(MID(Master[[#This Row],[Checklist]],1,4),"C - ","Civil","F - ","Foundation","ST -","Structure","FC -","Façade","PRE ","Pre-Line","POST","Post-Line","H - ","Handover","S - ","Services","CST ","Completion Docs", "I - ", "Inspection")</f>
        <v>Façade</v>
      </c>
      <c r="E21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1" s="24" t="str">
        <f ca="1">IF(OR(Master[[#This Row],[Type]]="checklist", Master[[#This Row],[Type]]="checklist-flat"), Master[[#This Row],[Name]], F2190)</f>
        <v>FC - S - Gutters</v>
      </c>
      <c r="G2191" s="34" t="s">
        <v>58</v>
      </c>
      <c r="H2191" s="34" t="s">
        <v>59</v>
      </c>
      <c r="I2191" s="35"/>
      <c r="J2191" s="21">
        <f ca="1">_xlfn.XLOOKUP(Master[[#This Row],[Checklist]],Ref!A:A,Ref!B:B)*1000</f>
        <v>191000</v>
      </c>
      <c r="K2191" s="21">
        <f ca="1">COUNTIF($J$2:Master[[#This Row],[ChecklistID]],Master[[#This Row],[ChecklistID]])-1</f>
        <v>9</v>
      </c>
      <c r="L2191" s="23" t="s">
        <v>6</v>
      </c>
    </row>
    <row r="2192" spans="1:12" ht="15.75">
      <c r="A2192" s="23">
        <f t="shared" si="34"/>
        <v>2179</v>
      </c>
      <c r="B2192" s="21">
        <f ca="1">Master[[#This Row],[ChecklistID]]+Master[[#This Row],[Checklist Order]]</f>
        <v>192000</v>
      </c>
      <c r="C2192" s="22"/>
      <c r="D2192" s="23" t="str" cm="1">
        <f t="array" aca="1" ref="D2192" ca="1">_xlfn.SWITCH(MID(Master[[#This Row],[Checklist]],1,4),"C - ","Civil","F - ","Foundation","ST -","Structure","FC -","Façade","PRE ","Pre-Line","POST","Post-Line","H - ","Handover","S - ","Services","CST ","Completion Docs", "I - ", "Inspection")</f>
        <v>Façade</v>
      </c>
      <c r="E21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2" s="24" t="str">
        <f ca="1">IF(OR(Master[[#This Row],[Type]]="checklist", Master[[#This Row],[Type]]="checklist-flat"), Master[[#This Row],[Name]], F2191)</f>
        <v>FC - S - Louvre Installation</v>
      </c>
      <c r="G2192" s="34" t="s">
        <v>119</v>
      </c>
      <c r="H2192" s="34" t="s">
        <v>1152</v>
      </c>
      <c r="I2192" s="35"/>
      <c r="J2192" s="21">
        <f ca="1">_xlfn.XLOOKUP(Master[[#This Row],[Checklist]],Ref!A:A,Ref!B:B)*1000</f>
        <v>192000</v>
      </c>
      <c r="K2192" s="21">
        <f ca="1">COUNTIF($J$2:Master[[#This Row],[ChecklistID]],Master[[#This Row],[ChecklistID]])-1</f>
        <v>0</v>
      </c>
      <c r="L2192" s="23" t="s">
        <v>6</v>
      </c>
    </row>
    <row r="2193" spans="1:12" ht="15.75">
      <c r="A2193" s="23">
        <f t="shared" si="34"/>
        <v>2180</v>
      </c>
      <c r="B2193" s="21">
        <f ca="1">Master[[#This Row],[ChecklistID]]+Master[[#This Row],[Checklist Order]]</f>
        <v>192001</v>
      </c>
      <c r="C2193" s="22"/>
      <c r="D2193" s="23" t="str" cm="1">
        <f t="array" aca="1" ref="D2193" ca="1">_xlfn.SWITCH(MID(Master[[#This Row],[Checklist]],1,4),"C - ","Civil","F - ","Foundation","ST -","Structure","FC -","Façade","PRE ","Pre-Line","POST","Post-Line","H - ","Handover","S - ","Services","CST ","Completion Docs", "I - ", "Inspection")</f>
        <v>Façade</v>
      </c>
      <c r="E21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3" s="24" t="str">
        <f ca="1">IF(OR(Master[[#This Row],[Type]]="checklist", Master[[#This Row],[Type]]="checklist-flat"), Master[[#This Row],[Name]], F2192)</f>
        <v>FC - S - Louvre Installation</v>
      </c>
      <c r="G2193" s="34" t="s">
        <v>120</v>
      </c>
      <c r="H2193" s="34" t="s">
        <v>491</v>
      </c>
      <c r="I2193" s="35"/>
      <c r="J2193" s="21">
        <f ca="1">_xlfn.XLOOKUP(Master[[#This Row],[Checklist]],Ref!A:A,Ref!B:B)*1000</f>
        <v>192000</v>
      </c>
      <c r="K2193" s="21">
        <f ca="1">COUNTIF($J$2:Master[[#This Row],[ChecklistID]],Master[[#This Row],[ChecklistID]])-1</f>
        <v>1</v>
      </c>
      <c r="L2193" s="23" t="s">
        <v>6</v>
      </c>
    </row>
    <row r="2194" spans="1:12" ht="15.75">
      <c r="A2194" s="23">
        <f t="shared" si="34"/>
        <v>2181</v>
      </c>
      <c r="B2194" s="21">
        <f ca="1">Master[[#This Row],[ChecklistID]]+Master[[#This Row],[Checklist Order]]</f>
        <v>192002</v>
      </c>
      <c r="C2194" s="22"/>
      <c r="D2194" s="23" t="str" cm="1">
        <f t="array" aca="1" ref="D2194" ca="1">_xlfn.SWITCH(MID(Master[[#This Row],[Checklist]],1,4),"C - ","Civil","F - ","Foundation","ST -","Structure","FC -","Façade","PRE ","Pre-Line","POST","Post-Line","H - ","Handover","S - ","Services","CST ","Completion Docs", "I - ", "Inspection")</f>
        <v>Façade</v>
      </c>
      <c r="E21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4" s="24" t="str">
        <f ca="1">IF(OR(Master[[#This Row],[Type]]="checklist", Master[[#This Row],[Type]]="checklist-flat"), Master[[#This Row],[Name]], F2193)</f>
        <v>FC - S - Louvre Installation</v>
      </c>
      <c r="G2194" s="34" t="s">
        <v>49</v>
      </c>
      <c r="H2194" s="34" t="s">
        <v>502</v>
      </c>
      <c r="I2194" s="35"/>
      <c r="J2194" s="21">
        <f ca="1">_xlfn.XLOOKUP(Master[[#This Row],[Checklist]],Ref!A:A,Ref!B:B)*1000</f>
        <v>192000</v>
      </c>
      <c r="K2194" s="21">
        <f ca="1">COUNTIF($J$2:Master[[#This Row],[ChecklistID]],Master[[#This Row],[ChecklistID]])-1</f>
        <v>2</v>
      </c>
      <c r="L2194" s="23" t="s">
        <v>6</v>
      </c>
    </row>
    <row r="2195" spans="1:12" ht="15.75">
      <c r="A2195" s="23">
        <f t="shared" si="34"/>
        <v>2182</v>
      </c>
      <c r="B2195" s="21">
        <f ca="1">Master[[#This Row],[ChecklistID]]+Master[[#This Row],[Checklist Order]]</f>
        <v>192003</v>
      </c>
      <c r="C2195" s="22"/>
      <c r="D2195" s="23" t="str" cm="1">
        <f t="array" aca="1" ref="D2195" ca="1">_xlfn.SWITCH(MID(Master[[#This Row],[Checklist]],1,4),"C - ","Civil","F - ","Foundation","ST -","Structure","FC -","Façade","PRE ","Pre-Line","POST","Post-Line","H - ","Handover","S - ","Services","CST ","Completion Docs", "I - ", "Inspection")</f>
        <v>Façade</v>
      </c>
      <c r="E21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5" s="24" t="str">
        <f ca="1">IF(OR(Master[[#This Row],[Type]]="checklist", Master[[#This Row],[Type]]="checklist-flat"), Master[[#This Row],[Name]], F2194)</f>
        <v>FC - S - Louvre Installation</v>
      </c>
      <c r="G2195" s="34" t="s">
        <v>49</v>
      </c>
      <c r="H2195" s="34" t="s">
        <v>503</v>
      </c>
      <c r="I2195" s="35"/>
      <c r="J2195" s="21">
        <f ca="1">_xlfn.XLOOKUP(Master[[#This Row],[Checklist]],Ref!A:A,Ref!B:B)*1000</f>
        <v>192000</v>
      </c>
      <c r="K2195" s="21">
        <f ca="1">COUNTIF($J$2:Master[[#This Row],[ChecklistID]],Master[[#This Row],[ChecklistID]])-1</f>
        <v>3</v>
      </c>
      <c r="L2195" s="23" t="s">
        <v>6</v>
      </c>
    </row>
    <row r="2196" spans="1:12" ht="15.75">
      <c r="A2196" s="23">
        <f t="shared" si="34"/>
        <v>2183</v>
      </c>
      <c r="B2196" s="21">
        <f ca="1">Master[[#This Row],[ChecklistID]]+Master[[#This Row],[Checklist Order]]</f>
        <v>192004</v>
      </c>
      <c r="C2196" s="22"/>
      <c r="D2196" s="23" t="str" cm="1">
        <f t="array" aca="1" ref="D2196" ca="1">_xlfn.SWITCH(MID(Master[[#This Row],[Checklist]],1,4),"C - ","Civil","F - ","Foundation","ST -","Structure","FC -","Façade","PRE ","Pre-Line","POST","Post-Line","H - ","Handover","S - ","Services","CST ","Completion Docs", "I - ", "Inspection")</f>
        <v>Façade</v>
      </c>
      <c r="E21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6" s="24" t="str">
        <f ca="1">IF(OR(Master[[#This Row],[Type]]="checklist", Master[[#This Row],[Type]]="checklist-flat"), Master[[#This Row],[Name]], F2195)</f>
        <v>FC - S - Louvre Installation</v>
      </c>
      <c r="G2196" s="34" t="s">
        <v>120</v>
      </c>
      <c r="H2196" s="34" t="s">
        <v>504</v>
      </c>
      <c r="I2196" s="35"/>
      <c r="J2196" s="21">
        <f ca="1">_xlfn.XLOOKUP(Master[[#This Row],[Checklist]],Ref!A:A,Ref!B:B)*1000</f>
        <v>192000</v>
      </c>
      <c r="K2196" s="21">
        <f ca="1">COUNTIF($J$2:Master[[#This Row],[ChecklistID]],Master[[#This Row],[ChecklistID]])-1</f>
        <v>4</v>
      </c>
      <c r="L2196" s="23" t="s">
        <v>6</v>
      </c>
    </row>
    <row r="2197" spans="1:12" ht="15.75">
      <c r="A2197" s="23">
        <f t="shared" si="34"/>
        <v>2184</v>
      </c>
      <c r="B2197" s="21">
        <f ca="1">Master[[#This Row],[ChecklistID]]+Master[[#This Row],[Checklist Order]]</f>
        <v>192005</v>
      </c>
      <c r="C2197" s="22"/>
      <c r="D2197" s="23" t="str" cm="1">
        <f t="array" aca="1" ref="D2197" ca="1">_xlfn.SWITCH(MID(Master[[#This Row],[Checklist]],1,4),"C - ","Civil","F - ","Foundation","ST -","Structure","FC -","Façade","PRE ","Pre-Line","POST","Post-Line","H - ","Handover","S - ","Services","CST ","Completion Docs", "I - ", "Inspection")</f>
        <v>Façade</v>
      </c>
      <c r="E21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7" s="24" t="str">
        <f ca="1">IF(OR(Master[[#This Row],[Type]]="checklist", Master[[#This Row],[Type]]="checklist-flat"), Master[[#This Row],[Name]], F2196)</f>
        <v>FC - S - Louvre Installation</v>
      </c>
      <c r="G2197" s="34" t="s">
        <v>49</v>
      </c>
      <c r="H2197" s="34" t="s">
        <v>1153</v>
      </c>
      <c r="I2197" s="35"/>
      <c r="J2197" s="21">
        <f ca="1">_xlfn.XLOOKUP(Master[[#This Row],[Checklist]],Ref!A:A,Ref!B:B)*1000</f>
        <v>192000</v>
      </c>
      <c r="K2197" s="21">
        <f ca="1">COUNTIF($J$2:Master[[#This Row],[ChecklistID]],Master[[#This Row],[ChecklistID]])-1</f>
        <v>5</v>
      </c>
      <c r="L2197" s="23" t="s">
        <v>6</v>
      </c>
    </row>
    <row r="2198" spans="1:12" ht="15.75">
      <c r="A2198" s="23">
        <f t="shared" si="34"/>
        <v>2185</v>
      </c>
      <c r="B2198" s="21">
        <f ca="1">Master[[#This Row],[ChecklistID]]+Master[[#This Row],[Checklist Order]]</f>
        <v>192006</v>
      </c>
      <c r="C2198" s="22"/>
      <c r="D2198" s="23" t="str" cm="1">
        <f t="array" aca="1" ref="D2198" ca="1">_xlfn.SWITCH(MID(Master[[#This Row],[Checklist]],1,4),"C - ","Civil","F - ","Foundation","ST -","Structure","FC -","Façade","PRE ","Pre-Line","POST","Post-Line","H - ","Handover","S - ","Services","CST ","Completion Docs", "I - ", "Inspection")</f>
        <v>Façade</v>
      </c>
      <c r="E21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8" s="24" t="str">
        <f ca="1">IF(OR(Master[[#This Row],[Type]]="checklist", Master[[#This Row],[Type]]="checklist-flat"), Master[[#This Row],[Name]], F2197)</f>
        <v>FC - S - Louvre Installation</v>
      </c>
      <c r="G2198" s="34" t="s">
        <v>49</v>
      </c>
      <c r="H2198" s="34" t="s">
        <v>1154</v>
      </c>
      <c r="I2198" s="35"/>
      <c r="J2198" s="21">
        <f ca="1">_xlfn.XLOOKUP(Master[[#This Row],[Checklist]],Ref!A:A,Ref!B:B)*1000</f>
        <v>192000</v>
      </c>
      <c r="K2198" s="21">
        <f ca="1">COUNTIF($J$2:Master[[#This Row],[ChecklistID]],Master[[#This Row],[ChecklistID]])-1</f>
        <v>6</v>
      </c>
      <c r="L2198" s="23" t="s">
        <v>6</v>
      </c>
    </row>
    <row r="2199" spans="1:12" ht="15.75">
      <c r="A2199" s="23">
        <f t="shared" si="34"/>
        <v>2186</v>
      </c>
      <c r="B2199" s="21">
        <f ca="1">Master[[#This Row],[ChecklistID]]+Master[[#This Row],[Checklist Order]]</f>
        <v>192007</v>
      </c>
      <c r="C2199" s="22"/>
      <c r="D2199" s="23" t="str" cm="1">
        <f t="array" aca="1" ref="D2199" ca="1">_xlfn.SWITCH(MID(Master[[#This Row],[Checklist]],1,4),"C - ","Civil","F - ","Foundation","ST -","Structure","FC -","Façade","PRE ","Pre-Line","POST","Post-Line","H - ","Handover","S - ","Services","CST ","Completion Docs", "I - ", "Inspection")</f>
        <v>Façade</v>
      </c>
      <c r="E21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199" s="24" t="str">
        <f ca="1">IF(OR(Master[[#This Row],[Type]]="checklist", Master[[#This Row],[Type]]="checklist-flat"), Master[[#This Row],[Name]], F2198)</f>
        <v>FC - S - Louvre Installation</v>
      </c>
      <c r="G2199" s="34" t="s">
        <v>49</v>
      </c>
      <c r="H2199" s="34" t="s">
        <v>1155</v>
      </c>
      <c r="I2199" s="35"/>
      <c r="J2199" s="21">
        <f ca="1">_xlfn.XLOOKUP(Master[[#This Row],[Checklist]],Ref!A:A,Ref!B:B)*1000</f>
        <v>192000</v>
      </c>
      <c r="K2199" s="21">
        <f ca="1">COUNTIF($J$2:Master[[#This Row],[ChecklistID]],Master[[#This Row],[ChecklistID]])-1</f>
        <v>7</v>
      </c>
      <c r="L2199" s="23" t="s">
        <v>6</v>
      </c>
    </row>
    <row r="2200" spans="1:12" ht="15.75">
      <c r="A2200" s="23">
        <f t="shared" si="34"/>
        <v>2187</v>
      </c>
      <c r="B2200" s="21">
        <f ca="1">Master[[#This Row],[ChecklistID]]+Master[[#This Row],[Checklist Order]]</f>
        <v>192008</v>
      </c>
      <c r="C2200" s="22"/>
      <c r="D2200" s="23" t="str" cm="1">
        <f t="array" aca="1" ref="D2200" ca="1">_xlfn.SWITCH(MID(Master[[#This Row],[Checklist]],1,4),"C - ","Civil","F - ","Foundation","ST -","Structure","FC -","Façade","PRE ","Pre-Line","POST","Post-Line","H - ","Handover","S - ","Services","CST ","Completion Docs", "I - ", "Inspection")</f>
        <v>Façade</v>
      </c>
      <c r="E22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0" s="24" t="str">
        <f ca="1">IF(OR(Master[[#This Row],[Type]]="checklist", Master[[#This Row],[Type]]="checklist-flat"), Master[[#This Row],[Name]], F2199)</f>
        <v>FC - S - Louvre Installation</v>
      </c>
      <c r="G2200" s="34" t="s">
        <v>49</v>
      </c>
      <c r="H2200" s="34" t="s">
        <v>507</v>
      </c>
      <c r="I2200" s="35"/>
      <c r="J2200" s="21">
        <f ca="1">_xlfn.XLOOKUP(Master[[#This Row],[Checklist]],Ref!A:A,Ref!B:B)*1000</f>
        <v>192000</v>
      </c>
      <c r="K2200" s="21">
        <f ca="1">COUNTIF($J$2:Master[[#This Row],[ChecklistID]],Master[[#This Row],[ChecklistID]])-1</f>
        <v>8</v>
      </c>
      <c r="L2200" s="23" t="s">
        <v>6</v>
      </c>
    </row>
    <row r="2201" spans="1:12" ht="15.75">
      <c r="A2201" s="23">
        <f t="shared" si="34"/>
        <v>2188</v>
      </c>
      <c r="B2201" s="21">
        <f ca="1">Master[[#This Row],[ChecklistID]]+Master[[#This Row],[Checklist Order]]</f>
        <v>192009</v>
      </c>
      <c r="C2201" s="22"/>
      <c r="D2201" s="23" t="str" cm="1">
        <f t="array" aca="1" ref="D2201" ca="1">_xlfn.SWITCH(MID(Master[[#This Row],[Checklist]],1,4),"C - ","Civil","F - ","Foundation","ST -","Structure","FC -","Façade","PRE ","Pre-Line","POST","Post-Line","H - ","Handover","S - ","Services","CST ","Completion Docs", "I - ", "Inspection")</f>
        <v>Façade</v>
      </c>
      <c r="E22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1" s="24" t="str">
        <f ca="1">IF(OR(Master[[#This Row],[Type]]="checklist", Master[[#This Row],[Type]]="checklist-flat"), Master[[#This Row],[Name]], F2200)</f>
        <v>FC - S - Louvre Installation</v>
      </c>
      <c r="G2201" s="34" t="s">
        <v>49</v>
      </c>
      <c r="H2201" s="34" t="s">
        <v>508</v>
      </c>
      <c r="I2201" s="35"/>
      <c r="J2201" s="21">
        <f ca="1">_xlfn.XLOOKUP(Master[[#This Row],[Checklist]],Ref!A:A,Ref!B:B)*1000</f>
        <v>192000</v>
      </c>
      <c r="K2201" s="21">
        <f ca="1">COUNTIF($J$2:Master[[#This Row],[ChecklistID]],Master[[#This Row],[ChecklistID]])-1</f>
        <v>9</v>
      </c>
      <c r="L2201" s="23" t="s">
        <v>6</v>
      </c>
    </row>
    <row r="2202" spans="1:12" ht="15.75">
      <c r="A2202" s="23">
        <f t="shared" si="34"/>
        <v>2189</v>
      </c>
      <c r="B2202" s="21">
        <f ca="1">Master[[#This Row],[ChecklistID]]+Master[[#This Row],[Checklist Order]]</f>
        <v>192010</v>
      </c>
      <c r="C2202" s="22"/>
      <c r="D2202" s="23" t="str" cm="1">
        <f t="array" aca="1" ref="D2202" ca="1">_xlfn.SWITCH(MID(Master[[#This Row],[Checklist]],1,4),"C - ","Civil","F - ","Foundation","ST -","Structure","FC -","Façade","PRE ","Pre-Line","POST","Post-Line","H - ","Handover","S - ","Services","CST ","Completion Docs", "I - ", "Inspection")</f>
        <v>Façade</v>
      </c>
      <c r="E22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2" s="24" t="str">
        <f ca="1">IF(OR(Master[[#This Row],[Type]]="checklist", Master[[#This Row],[Type]]="checklist-flat"), Master[[#This Row],[Name]], F2201)</f>
        <v>FC - S - Louvre Installation</v>
      </c>
      <c r="G2202" s="34" t="s">
        <v>49</v>
      </c>
      <c r="H2202" s="34" t="s">
        <v>509</v>
      </c>
      <c r="I2202" s="35"/>
      <c r="J2202" s="21">
        <f ca="1">_xlfn.XLOOKUP(Master[[#This Row],[Checklist]],Ref!A:A,Ref!B:B)*1000</f>
        <v>192000</v>
      </c>
      <c r="K2202" s="21">
        <f ca="1">COUNTIF($J$2:Master[[#This Row],[ChecklistID]],Master[[#This Row],[ChecklistID]])-1</f>
        <v>10</v>
      </c>
      <c r="L2202" s="23" t="s">
        <v>6</v>
      </c>
    </row>
    <row r="2203" spans="1:12" ht="15.75">
      <c r="A2203" s="23">
        <f t="shared" si="34"/>
        <v>2190</v>
      </c>
      <c r="B2203" s="21">
        <f ca="1">Master[[#This Row],[ChecklistID]]+Master[[#This Row],[Checklist Order]]</f>
        <v>192011</v>
      </c>
      <c r="C2203" s="22"/>
      <c r="D2203" s="23" t="str" cm="1">
        <f t="array" aca="1" ref="D2203" ca="1">_xlfn.SWITCH(MID(Master[[#This Row],[Checklist]],1,4),"C - ","Civil","F - ","Foundation","ST -","Structure","FC -","Façade","PRE ","Pre-Line","POST","Post-Line","H - ","Handover","S - ","Services","CST ","Completion Docs", "I - ", "Inspection")</f>
        <v>Façade</v>
      </c>
      <c r="E22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3" s="24" t="str">
        <f ca="1">IF(OR(Master[[#This Row],[Type]]="checklist", Master[[#This Row],[Type]]="checklist-flat"), Master[[#This Row],[Name]], F2202)</f>
        <v>FC - S - Louvre Installation</v>
      </c>
      <c r="G2203" s="34" t="s">
        <v>49</v>
      </c>
      <c r="H2203" s="34" t="s">
        <v>1156</v>
      </c>
      <c r="I2203" s="35"/>
      <c r="J2203" s="21">
        <f ca="1">_xlfn.XLOOKUP(Master[[#This Row],[Checklist]],Ref!A:A,Ref!B:B)*1000</f>
        <v>192000</v>
      </c>
      <c r="K2203" s="21">
        <f ca="1">COUNTIF($J$2:Master[[#This Row],[ChecklistID]],Master[[#This Row],[ChecklistID]])-1</f>
        <v>11</v>
      </c>
      <c r="L2203" s="23" t="s">
        <v>6</v>
      </c>
    </row>
    <row r="2204" spans="1:12" ht="15.75">
      <c r="A2204" s="23">
        <f t="shared" si="34"/>
        <v>2191</v>
      </c>
      <c r="B2204" s="21">
        <f ca="1">Master[[#This Row],[ChecklistID]]+Master[[#This Row],[Checklist Order]]</f>
        <v>192012</v>
      </c>
      <c r="C2204" s="22"/>
      <c r="D2204" s="23" t="str" cm="1">
        <f t="array" aca="1" ref="D2204" ca="1">_xlfn.SWITCH(MID(Master[[#This Row],[Checklist]],1,4),"C - ","Civil","F - ","Foundation","ST -","Structure","FC -","Façade","PRE ","Pre-Line","POST","Post-Line","H - ","Handover","S - ","Services","CST ","Completion Docs", "I - ", "Inspection")</f>
        <v>Façade</v>
      </c>
      <c r="E22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4" s="24" t="str">
        <f ca="1">IF(OR(Master[[#This Row],[Type]]="checklist", Master[[#This Row],[Type]]="checklist-flat"), Master[[#This Row],[Name]], F2203)</f>
        <v>FC - S - Louvre Installation</v>
      </c>
      <c r="G2204" s="34" t="s">
        <v>49</v>
      </c>
      <c r="H2204" s="34" t="s">
        <v>57</v>
      </c>
      <c r="I2204" s="35"/>
      <c r="J2204" s="21">
        <f ca="1">_xlfn.XLOOKUP(Master[[#This Row],[Checklist]],Ref!A:A,Ref!B:B)*1000</f>
        <v>192000</v>
      </c>
      <c r="K2204" s="21">
        <f ca="1">COUNTIF($J$2:Master[[#This Row],[ChecklistID]],Master[[#This Row],[ChecklistID]])-1</f>
        <v>12</v>
      </c>
      <c r="L2204" s="23" t="s">
        <v>6</v>
      </c>
    </row>
    <row r="2205" spans="1:12" ht="15.75">
      <c r="A2205" s="23">
        <f t="shared" si="34"/>
        <v>2192</v>
      </c>
      <c r="B2205" s="21">
        <f ca="1">Master[[#This Row],[ChecklistID]]+Master[[#This Row],[Checklist Order]]</f>
        <v>192013</v>
      </c>
      <c r="C2205" s="22"/>
      <c r="D2205" s="23" t="str" cm="1">
        <f t="array" aca="1" ref="D2205" ca="1">_xlfn.SWITCH(MID(Master[[#This Row],[Checklist]],1,4),"C - ","Civil","F - ","Foundation","ST -","Structure","FC -","Façade","PRE ","Pre-Line","POST","Post-Line","H - ","Handover","S - ","Services","CST ","Completion Docs", "I - ", "Inspection")</f>
        <v>Façade</v>
      </c>
      <c r="E22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5" s="24" t="str">
        <f ca="1">IF(OR(Master[[#This Row],[Type]]="checklist", Master[[#This Row],[Type]]="checklist-flat"), Master[[#This Row],[Name]], F2204)</f>
        <v>FC - S - Louvre Installation</v>
      </c>
      <c r="G2205" s="34" t="s">
        <v>58</v>
      </c>
      <c r="H2205" s="34" t="s">
        <v>59</v>
      </c>
      <c r="I2205" s="35"/>
      <c r="J2205" s="21">
        <f ca="1">_xlfn.XLOOKUP(Master[[#This Row],[Checklist]],Ref!A:A,Ref!B:B)*1000</f>
        <v>192000</v>
      </c>
      <c r="K2205" s="21">
        <f ca="1">COUNTIF($J$2:Master[[#This Row],[ChecklistID]],Master[[#This Row],[ChecklistID]])-1</f>
        <v>13</v>
      </c>
      <c r="L2205" s="23" t="s">
        <v>6</v>
      </c>
    </row>
    <row r="2206" spans="1:12" ht="15.75">
      <c r="A2206" s="23">
        <f t="shared" si="34"/>
        <v>2193</v>
      </c>
      <c r="B2206" s="21">
        <f ca="1">Master[[#This Row],[ChecklistID]]+Master[[#This Row],[Checklist Order]]</f>
        <v>193000</v>
      </c>
      <c r="C2206" s="22"/>
      <c r="D2206" s="23" t="str" cm="1">
        <f t="array" aca="1" ref="D2206" ca="1">_xlfn.SWITCH(MID(Master[[#This Row],[Checklist]],1,4),"C - ","Civil","F - ","Foundation","ST -","Structure","FC -","Façade","PRE ","Pre-Line","POST","Post-Line","H - ","Handover","S - ","Services","CST ","Completion Docs", "I - ", "Inspection")</f>
        <v>Façade</v>
      </c>
      <c r="E22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6" s="24" t="str">
        <f ca="1">IF(OR(Master[[#This Row],[Type]]="checklist", Master[[#This Row],[Type]]="checklist-flat"), Master[[#This Row],[Name]], F2205)</f>
        <v xml:space="preserve">FC - S - Air conditioning </v>
      </c>
      <c r="G2206" s="34" t="s">
        <v>48</v>
      </c>
      <c r="H2206" s="34" t="s">
        <v>1157</v>
      </c>
      <c r="I2206" s="35"/>
      <c r="J2206" s="21">
        <f ca="1">_xlfn.XLOOKUP(Master[[#This Row],[Checklist]],Ref!A:A,Ref!B:B)*1000</f>
        <v>193000</v>
      </c>
      <c r="K2206" s="21">
        <f ca="1">COUNTIF($J$2:Master[[#This Row],[ChecklistID]],Master[[#This Row],[ChecklistID]])-1</f>
        <v>0</v>
      </c>
      <c r="L2206" s="23" t="s">
        <v>6</v>
      </c>
    </row>
    <row r="2207" spans="1:12" ht="15.75">
      <c r="A2207" s="23">
        <f t="shared" si="34"/>
        <v>2194</v>
      </c>
      <c r="B2207" s="21">
        <f ca="1">Master[[#This Row],[ChecklistID]]+Master[[#This Row],[Checklist Order]]</f>
        <v>193001</v>
      </c>
      <c r="C2207" s="22"/>
      <c r="D2207" s="23" t="str" cm="1">
        <f t="array" aca="1" ref="D2207" ca="1">_xlfn.SWITCH(MID(Master[[#This Row],[Checklist]],1,4),"C - ","Civil","F - ","Foundation","ST -","Structure","FC -","Façade","PRE ","Pre-Line","POST","Post-Line","H - ","Handover","S - ","Services","CST ","Completion Docs", "I - ", "Inspection")</f>
        <v>Façade</v>
      </c>
      <c r="E22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7" s="24" t="str">
        <f ca="1">IF(OR(Master[[#This Row],[Type]]="checklist", Master[[#This Row],[Type]]="checklist-flat"), Master[[#This Row],[Name]], F2206)</f>
        <v xml:space="preserve">FC - S - Air conditioning </v>
      </c>
      <c r="G2207" s="34" t="s">
        <v>49</v>
      </c>
      <c r="H2207" s="34" t="s">
        <v>1158</v>
      </c>
      <c r="I2207" s="35"/>
      <c r="J2207" s="21">
        <f ca="1">_xlfn.XLOOKUP(Master[[#This Row],[Checklist]],Ref!A:A,Ref!B:B)*1000</f>
        <v>193000</v>
      </c>
      <c r="K2207" s="21">
        <f ca="1">COUNTIF($J$2:Master[[#This Row],[ChecklistID]],Master[[#This Row],[ChecklistID]])-1</f>
        <v>1</v>
      </c>
      <c r="L2207" s="23" t="s">
        <v>6</v>
      </c>
    </row>
    <row r="2208" spans="1:12" ht="15.75">
      <c r="A2208" s="23">
        <f t="shared" si="34"/>
        <v>2195</v>
      </c>
      <c r="B2208" s="21">
        <f ca="1">Master[[#This Row],[ChecklistID]]+Master[[#This Row],[Checklist Order]]</f>
        <v>193002</v>
      </c>
      <c r="C2208" s="22"/>
      <c r="D2208" s="23" t="str" cm="1">
        <f t="array" aca="1" ref="D2208" ca="1">_xlfn.SWITCH(MID(Master[[#This Row],[Checklist]],1,4),"C - ","Civil","F - ","Foundation","ST -","Structure","FC -","Façade","PRE ","Pre-Line","POST","Post-Line","H - ","Handover","S - ","Services","CST ","Completion Docs", "I - ", "Inspection")</f>
        <v>Façade</v>
      </c>
      <c r="E22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8" s="24" t="str">
        <f ca="1">IF(OR(Master[[#This Row],[Type]]="checklist", Master[[#This Row],[Type]]="checklist-flat"), Master[[#This Row],[Name]], F2207)</f>
        <v xml:space="preserve">FC - S - Air conditioning </v>
      </c>
      <c r="G2208" s="34" t="s">
        <v>49</v>
      </c>
      <c r="H2208" s="34" t="s">
        <v>1159</v>
      </c>
      <c r="I2208" s="35"/>
      <c r="J2208" s="21">
        <f ca="1">_xlfn.XLOOKUP(Master[[#This Row],[Checklist]],Ref!A:A,Ref!B:B)*1000</f>
        <v>193000</v>
      </c>
      <c r="K2208" s="21">
        <f ca="1">COUNTIF($J$2:Master[[#This Row],[ChecklistID]],Master[[#This Row],[ChecklistID]])-1</f>
        <v>2</v>
      </c>
      <c r="L2208" s="23" t="s">
        <v>6</v>
      </c>
    </row>
    <row r="2209" spans="1:12" ht="15.75">
      <c r="A2209" s="23">
        <f t="shared" si="34"/>
        <v>2196</v>
      </c>
      <c r="B2209" s="21">
        <f ca="1">Master[[#This Row],[ChecklistID]]+Master[[#This Row],[Checklist Order]]</f>
        <v>193003</v>
      </c>
      <c r="C2209" s="22"/>
      <c r="D2209" s="23" t="str" cm="1">
        <f t="array" aca="1" ref="D2209" ca="1">_xlfn.SWITCH(MID(Master[[#This Row],[Checklist]],1,4),"C - ","Civil","F - ","Foundation","ST -","Structure","FC -","Façade","PRE ","Pre-Line","POST","Post-Line","H - ","Handover","S - ","Services","CST ","Completion Docs", "I - ", "Inspection")</f>
        <v>Façade</v>
      </c>
      <c r="E22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09" s="24" t="str">
        <f ca="1">IF(OR(Master[[#This Row],[Type]]="checklist", Master[[#This Row],[Type]]="checklist-flat"), Master[[#This Row],[Name]], F2208)</f>
        <v xml:space="preserve">FC - S - Air conditioning </v>
      </c>
      <c r="G2209" s="34" t="s">
        <v>49</v>
      </c>
      <c r="H2209" s="34" t="s">
        <v>1160</v>
      </c>
      <c r="I2209" s="35"/>
      <c r="J2209" s="21">
        <f ca="1">_xlfn.XLOOKUP(Master[[#This Row],[Checklist]],Ref!A:A,Ref!B:B)*1000</f>
        <v>193000</v>
      </c>
      <c r="K2209" s="21">
        <f ca="1">COUNTIF($J$2:Master[[#This Row],[ChecklistID]],Master[[#This Row],[ChecklistID]])-1</f>
        <v>3</v>
      </c>
      <c r="L2209" s="23" t="s">
        <v>6</v>
      </c>
    </row>
    <row r="2210" spans="1:12" ht="15.75">
      <c r="A2210" s="23">
        <f t="shared" si="34"/>
        <v>2197</v>
      </c>
      <c r="B2210" s="21">
        <f ca="1">Master[[#This Row],[ChecklistID]]+Master[[#This Row],[Checklist Order]]</f>
        <v>193004</v>
      </c>
      <c r="C2210" s="22"/>
      <c r="D2210" s="23" t="str" cm="1">
        <f t="array" aca="1" ref="D2210" ca="1">_xlfn.SWITCH(MID(Master[[#This Row],[Checklist]],1,4),"C - ","Civil","F - ","Foundation","ST -","Structure","FC -","Façade","PRE ","Pre-Line","POST","Post-Line","H - ","Handover","S - ","Services","CST ","Completion Docs", "I - ", "Inspection")</f>
        <v>Façade</v>
      </c>
      <c r="E22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0" s="24" t="str">
        <f ca="1">IF(OR(Master[[#This Row],[Type]]="checklist", Master[[#This Row],[Type]]="checklist-flat"), Master[[#This Row],[Name]], F2209)</f>
        <v xml:space="preserve">FC - S - Air conditioning </v>
      </c>
      <c r="G2210" s="34" t="s">
        <v>49</v>
      </c>
      <c r="H2210" s="34" t="s">
        <v>1161</v>
      </c>
      <c r="I2210" s="35"/>
      <c r="J2210" s="21">
        <f ca="1">_xlfn.XLOOKUP(Master[[#This Row],[Checklist]],Ref!A:A,Ref!B:B)*1000</f>
        <v>193000</v>
      </c>
      <c r="K2210" s="21">
        <f ca="1">COUNTIF($J$2:Master[[#This Row],[ChecklistID]],Master[[#This Row],[ChecklistID]])-1</f>
        <v>4</v>
      </c>
      <c r="L2210" s="23" t="s">
        <v>6</v>
      </c>
    </row>
    <row r="2211" spans="1:12" ht="15.75">
      <c r="A2211" s="23">
        <f t="shared" si="34"/>
        <v>2198</v>
      </c>
      <c r="B2211" s="21">
        <f ca="1">Master[[#This Row],[ChecklistID]]+Master[[#This Row],[Checklist Order]]</f>
        <v>193005</v>
      </c>
      <c r="C2211" s="22"/>
      <c r="D2211" s="23" t="str" cm="1">
        <f t="array" aca="1" ref="D2211" ca="1">_xlfn.SWITCH(MID(Master[[#This Row],[Checklist]],1,4),"C - ","Civil","F - ","Foundation","ST -","Structure","FC -","Façade","PRE ","Pre-Line","POST","Post-Line","H - ","Handover","S - ","Services","CST ","Completion Docs", "I - ", "Inspection")</f>
        <v>Façade</v>
      </c>
      <c r="E22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1" s="24" t="str">
        <f ca="1">IF(OR(Master[[#This Row],[Type]]="checklist", Master[[#This Row],[Type]]="checklist-flat"), Master[[#This Row],[Name]], F2210)</f>
        <v xml:space="preserve">FC - S - Air conditioning </v>
      </c>
      <c r="G2211" s="34" t="s">
        <v>49</v>
      </c>
      <c r="H2211" s="34" t="s">
        <v>1162</v>
      </c>
      <c r="I2211" s="35"/>
      <c r="J2211" s="21">
        <f ca="1">_xlfn.XLOOKUP(Master[[#This Row],[Checklist]],Ref!A:A,Ref!B:B)*1000</f>
        <v>193000</v>
      </c>
      <c r="K2211" s="21">
        <f ca="1">COUNTIF($J$2:Master[[#This Row],[ChecklistID]],Master[[#This Row],[ChecklistID]])-1</f>
        <v>5</v>
      </c>
      <c r="L2211" s="23" t="s">
        <v>6</v>
      </c>
    </row>
    <row r="2212" spans="1:12" ht="15.75">
      <c r="A2212" s="23">
        <f t="shared" si="34"/>
        <v>2199</v>
      </c>
      <c r="B2212" s="21">
        <f ca="1">Master[[#This Row],[ChecklistID]]+Master[[#This Row],[Checklist Order]]</f>
        <v>193006</v>
      </c>
      <c r="C2212" s="22"/>
      <c r="D2212" s="23" t="str" cm="1">
        <f t="array" aca="1" ref="D2212" ca="1">_xlfn.SWITCH(MID(Master[[#This Row],[Checklist]],1,4),"C - ","Civil","F - ","Foundation","ST -","Structure","FC -","Façade","PRE ","Pre-Line","POST","Post-Line","H - ","Handover","S - ","Services","CST ","Completion Docs", "I - ", "Inspection")</f>
        <v>Façade</v>
      </c>
      <c r="E22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2" s="24" t="str">
        <f ca="1">IF(OR(Master[[#This Row],[Type]]="checklist", Master[[#This Row],[Type]]="checklist-flat"), Master[[#This Row],[Name]], F2211)</f>
        <v xml:space="preserve">FC - S - Air conditioning </v>
      </c>
      <c r="G2212" s="34" t="s">
        <v>49</v>
      </c>
      <c r="H2212" s="34" t="s">
        <v>57</v>
      </c>
      <c r="I2212" s="35"/>
      <c r="J2212" s="21">
        <f ca="1">_xlfn.XLOOKUP(Master[[#This Row],[Checklist]],Ref!A:A,Ref!B:B)*1000</f>
        <v>193000</v>
      </c>
      <c r="K2212" s="21">
        <f ca="1">COUNTIF($J$2:Master[[#This Row],[ChecklistID]],Master[[#This Row],[ChecklistID]])-1</f>
        <v>6</v>
      </c>
      <c r="L2212" s="23" t="s">
        <v>6</v>
      </c>
    </row>
    <row r="2213" spans="1:12" ht="15.75">
      <c r="A2213" s="23">
        <f t="shared" si="34"/>
        <v>2200</v>
      </c>
      <c r="B2213" s="21">
        <f ca="1">Master[[#This Row],[ChecklistID]]+Master[[#This Row],[Checklist Order]]</f>
        <v>193007</v>
      </c>
      <c r="C2213" s="22"/>
      <c r="D2213" s="23" t="str" cm="1">
        <f t="array" aca="1" ref="D2213" ca="1">_xlfn.SWITCH(MID(Master[[#This Row],[Checklist]],1,4),"C - ","Civil","F - ","Foundation","ST -","Structure","FC -","Façade","PRE ","Pre-Line","POST","Post-Line","H - ","Handover","S - ","Services","CST ","Completion Docs", "I - ", "Inspection")</f>
        <v>Façade</v>
      </c>
      <c r="E22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3" s="24" t="str">
        <f ca="1">IF(OR(Master[[#This Row],[Type]]="checklist", Master[[#This Row],[Type]]="checklist-flat"), Master[[#This Row],[Name]], F2212)</f>
        <v xml:space="preserve">FC - S - Air conditioning </v>
      </c>
      <c r="G2213" s="34" t="s">
        <v>58</v>
      </c>
      <c r="H2213" s="34" t="s">
        <v>59</v>
      </c>
      <c r="I2213" s="35"/>
      <c r="J2213" s="21">
        <f ca="1">_xlfn.XLOOKUP(Master[[#This Row],[Checklist]],Ref!A:A,Ref!B:B)*1000</f>
        <v>193000</v>
      </c>
      <c r="K2213" s="21">
        <f ca="1">COUNTIF($J$2:Master[[#This Row],[ChecklistID]],Master[[#This Row],[ChecklistID]])-1</f>
        <v>7</v>
      </c>
      <c r="L2213" s="23" t="s">
        <v>6</v>
      </c>
    </row>
    <row r="2214" spans="1:12" ht="15.75">
      <c r="A2214" s="23">
        <f t="shared" si="34"/>
        <v>2201</v>
      </c>
      <c r="B2214" s="21">
        <f ca="1">Master[[#This Row],[ChecklistID]]+Master[[#This Row],[Checklist Order]]</f>
        <v>194000</v>
      </c>
      <c r="C2214" s="22"/>
      <c r="D2214" s="23" t="str" cm="1">
        <f t="array" aca="1" ref="D2214" ca="1">_xlfn.SWITCH(MID(Master[[#This Row],[Checklist]],1,4),"C - ","Civil","F - ","Foundation","ST -","Structure","FC -","Façade","PRE ","Pre-Line","POST","Post-Line","H - ","Handover","S - ","Services","CST ","Completion Docs", "I - ", "Inspection")</f>
        <v>Post-Line</v>
      </c>
      <c r="E22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4" s="24" t="str">
        <f ca="1">IF(OR(Master[[#This Row],[Type]]="checklist", Master[[#This Row],[Type]]="checklist-flat"), Master[[#This Row],[Name]], F2213)</f>
        <v>Post - S - Mirror Installation</v>
      </c>
      <c r="G2214" s="34" t="s">
        <v>48</v>
      </c>
      <c r="H2214" s="34" t="s">
        <v>1163</v>
      </c>
      <c r="I2214" s="35"/>
      <c r="J2214" s="21">
        <f ca="1">_xlfn.XLOOKUP(Master[[#This Row],[Checklist]],Ref!A:A,Ref!B:B)*1000</f>
        <v>194000</v>
      </c>
      <c r="K2214" s="21">
        <f ca="1">COUNTIF($J$2:Master[[#This Row],[ChecklistID]],Master[[#This Row],[ChecklistID]])-1</f>
        <v>0</v>
      </c>
      <c r="L2214" s="23" t="s">
        <v>6</v>
      </c>
    </row>
    <row r="2215" spans="1:12" ht="15.75">
      <c r="A2215" s="23">
        <f t="shared" si="34"/>
        <v>2202</v>
      </c>
      <c r="B2215" s="21">
        <f ca="1">Master[[#This Row],[ChecklistID]]+Master[[#This Row],[Checklist Order]]</f>
        <v>194001</v>
      </c>
      <c r="C2215" s="22"/>
      <c r="D2215" s="23" t="str" cm="1">
        <f t="array" aca="1" ref="D2215" ca="1">_xlfn.SWITCH(MID(Master[[#This Row],[Checklist]],1,4),"C - ","Civil","F - ","Foundation","ST -","Structure","FC -","Façade","PRE ","Pre-Line","POST","Post-Line","H - ","Handover","S - ","Services","CST ","Completion Docs", "I - ", "Inspection")</f>
        <v>Post-Line</v>
      </c>
      <c r="E22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5" s="24" t="str">
        <f ca="1">IF(OR(Master[[#This Row],[Type]]="checklist", Master[[#This Row],[Type]]="checklist-flat"), Master[[#This Row],[Name]], F2214)</f>
        <v>Post - S - Mirror Installation</v>
      </c>
      <c r="G2215" s="34" t="s">
        <v>49</v>
      </c>
      <c r="H2215" s="34" t="s">
        <v>1164</v>
      </c>
      <c r="I2215" s="35"/>
      <c r="J2215" s="21">
        <f ca="1">_xlfn.XLOOKUP(Master[[#This Row],[Checklist]],Ref!A:A,Ref!B:B)*1000</f>
        <v>194000</v>
      </c>
      <c r="K2215" s="21">
        <f ca="1">COUNTIF($J$2:Master[[#This Row],[ChecklistID]],Master[[#This Row],[ChecklistID]])-1</f>
        <v>1</v>
      </c>
      <c r="L2215" s="23" t="s">
        <v>6</v>
      </c>
    </row>
    <row r="2216" spans="1:12" ht="15.75">
      <c r="A2216" s="23">
        <f t="shared" si="34"/>
        <v>2203</v>
      </c>
      <c r="B2216" s="21">
        <f ca="1">Master[[#This Row],[ChecklistID]]+Master[[#This Row],[Checklist Order]]</f>
        <v>194002</v>
      </c>
      <c r="C2216" s="22"/>
      <c r="D2216" s="23" t="str" cm="1">
        <f t="array" aca="1" ref="D2216" ca="1">_xlfn.SWITCH(MID(Master[[#This Row],[Checklist]],1,4),"C - ","Civil","F - ","Foundation","ST -","Structure","FC -","Façade","PRE ","Pre-Line","POST","Post-Line","H - ","Handover","S - ","Services","CST ","Completion Docs", "I - ", "Inspection")</f>
        <v>Post-Line</v>
      </c>
      <c r="E22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6" s="24" t="str">
        <f ca="1">IF(OR(Master[[#This Row],[Type]]="checklist", Master[[#This Row],[Type]]="checklist-flat"), Master[[#This Row],[Name]], F2215)</f>
        <v>Post - S - Mirror Installation</v>
      </c>
      <c r="G2216" s="34" t="s">
        <v>49</v>
      </c>
      <c r="H2216" s="34" t="s">
        <v>1165</v>
      </c>
      <c r="I2216" s="35"/>
      <c r="J2216" s="21">
        <f ca="1">_xlfn.XLOOKUP(Master[[#This Row],[Checklist]],Ref!A:A,Ref!B:B)*1000</f>
        <v>194000</v>
      </c>
      <c r="K2216" s="21">
        <f ca="1">COUNTIF($J$2:Master[[#This Row],[ChecklistID]],Master[[#This Row],[ChecklistID]])-1</f>
        <v>2</v>
      </c>
      <c r="L2216" s="23" t="s">
        <v>6</v>
      </c>
    </row>
    <row r="2217" spans="1:12" ht="15.75">
      <c r="A2217" s="23">
        <f t="shared" si="34"/>
        <v>2204</v>
      </c>
      <c r="B2217" s="21">
        <f ca="1">Master[[#This Row],[ChecklistID]]+Master[[#This Row],[Checklist Order]]</f>
        <v>194003</v>
      </c>
      <c r="C2217" s="22"/>
      <c r="D2217" s="23" t="str" cm="1">
        <f t="array" aca="1" ref="D2217" ca="1">_xlfn.SWITCH(MID(Master[[#This Row],[Checklist]],1,4),"C - ","Civil","F - ","Foundation","ST -","Structure","FC -","Façade","PRE ","Pre-Line","POST","Post-Line","H - ","Handover","S - ","Services","CST ","Completion Docs", "I - ", "Inspection")</f>
        <v>Post-Line</v>
      </c>
      <c r="E22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7" s="24" t="str">
        <f ca="1">IF(OR(Master[[#This Row],[Type]]="checklist", Master[[#This Row],[Type]]="checklist-flat"), Master[[#This Row],[Name]], F2216)</f>
        <v>Post - S - Mirror Installation</v>
      </c>
      <c r="G2217" s="34" t="s">
        <v>49</v>
      </c>
      <c r="H2217" s="34" t="s">
        <v>1166</v>
      </c>
      <c r="I2217" s="35"/>
      <c r="J2217" s="21">
        <f ca="1">_xlfn.XLOOKUP(Master[[#This Row],[Checklist]],Ref!A:A,Ref!B:B)*1000</f>
        <v>194000</v>
      </c>
      <c r="K2217" s="21">
        <f ca="1">COUNTIF($J$2:Master[[#This Row],[ChecklistID]],Master[[#This Row],[ChecklistID]])-1</f>
        <v>3</v>
      </c>
      <c r="L2217" s="23" t="s">
        <v>6</v>
      </c>
    </row>
    <row r="2218" spans="1:12" ht="15.75">
      <c r="A2218" s="23">
        <f t="shared" si="34"/>
        <v>2205</v>
      </c>
      <c r="B2218" s="21">
        <f ca="1">Master[[#This Row],[ChecklistID]]+Master[[#This Row],[Checklist Order]]</f>
        <v>194004</v>
      </c>
      <c r="C2218" s="22"/>
      <c r="D2218" s="23" t="str" cm="1">
        <f t="array" aca="1" ref="D2218" ca="1">_xlfn.SWITCH(MID(Master[[#This Row],[Checklist]],1,4),"C - ","Civil","F - ","Foundation","ST -","Structure","FC -","Façade","PRE ","Pre-Line","POST","Post-Line","H - ","Handover","S - ","Services","CST ","Completion Docs", "I - ", "Inspection")</f>
        <v>Post-Line</v>
      </c>
      <c r="E22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8" s="24" t="str">
        <f ca="1">IF(OR(Master[[#This Row],[Type]]="checklist", Master[[#This Row],[Type]]="checklist-flat"), Master[[#This Row],[Name]], F2217)</f>
        <v>Post - S - Mirror Installation</v>
      </c>
      <c r="G2218" s="34" t="s">
        <v>49</v>
      </c>
      <c r="H2218" s="34" t="s">
        <v>1167</v>
      </c>
      <c r="I2218" s="35"/>
      <c r="J2218" s="21">
        <f ca="1">_xlfn.XLOOKUP(Master[[#This Row],[Checklist]],Ref!A:A,Ref!B:B)*1000</f>
        <v>194000</v>
      </c>
      <c r="K2218" s="21">
        <f ca="1">COUNTIF($J$2:Master[[#This Row],[ChecklistID]],Master[[#This Row],[ChecklistID]])-1</f>
        <v>4</v>
      </c>
      <c r="L2218" s="23" t="s">
        <v>6</v>
      </c>
    </row>
    <row r="2219" spans="1:12" ht="15.75">
      <c r="A2219" s="23">
        <f t="shared" si="34"/>
        <v>2206</v>
      </c>
      <c r="B2219" s="21">
        <f ca="1">Master[[#This Row],[ChecklistID]]+Master[[#This Row],[Checklist Order]]</f>
        <v>194005</v>
      </c>
      <c r="C2219" s="22"/>
      <c r="D2219" s="23" t="str" cm="1">
        <f t="array" aca="1" ref="D2219" ca="1">_xlfn.SWITCH(MID(Master[[#This Row],[Checklist]],1,4),"C - ","Civil","F - ","Foundation","ST -","Structure","FC -","Façade","PRE ","Pre-Line","POST","Post-Line","H - ","Handover","S - ","Services","CST ","Completion Docs", "I - ", "Inspection")</f>
        <v>Post-Line</v>
      </c>
      <c r="E22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19" s="24" t="str">
        <f ca="1">IF(OR(Master[[#This Row],[Type]]="checklist", Master[[#This Row],[Type]]="checklist-flat"), Master[[#This Row],[Name]], F2218)</f>
        <v>Post - S - Mirror Installation</v>
      </c>
      <c r="G2219" s="34" t="s">
        <v>58</v>
      </c>
      <c r="H2219" s="34" t="s">
        <v>883</v>
      </c>
      <c r="I2219" s="35"/>
      <c r="J2219" s="21">
        <f ca="1">_xlfn.XLOOKUP(Master[[#This Row],[Checklist]],Ref!A:A,Ref!B:B)*1000</f>
        <v>194000</v>
      </c>
      <c r="K2219" s="21">
        <f ca="1">COUNTIF($J$2:Master[[#This Row],[ChecklistID]],Master[[#This Row],[ChecklistID]])-1</f>
        <v>5</v>
      </c>
      <c r="L2219" s="23" t="s">
        <v>6</v>
      </c>
    </row>
    <row r="2220" spans="1:12" ht="15.75">
      <c r="A2220" s="23">
        <f t="shared" si="34"/>
        <v>2207</v>
      </c>
      <c r="B2220" s="21">
        <f ca="1">Master[[#This Row],[ChecklistID]]+Master[[#This Row],[Checklist Order]]</f>
        <v>194006</v>
      </c>
      <c r="C2220" s="22"/>
      <c r="D2220" s="23" t="str" cm="1">
        <f t="array" aca="1" ref="D2220" ca="1">_xlfn.SWITCH(MID(Master[[#This Row],[Checklist]],1,4),"C - ","Civil","F - ","Foundation","ST -","Structure","FC -","Façade","PRE ","Pre-Line","POST","Post-Line","H - ","Handover","S - ","Services","CST ","Completion Docs", "I - ", "Inspection")</f>
        <v>Post-Line</v>
      </c>
      <c r="E22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0" s="24" t="str">
        <f ca="1">IF(OR(Master[[#This Row],[Type]]="checklist", Master[[#This Row],[Type]]="checklist-flat"), Master[[#This Row],[Name]], F2219)</f>
        <v>Post - S - Mirror Installation</v>
      </c>
      <c r="G2220" s="34" t="s">
        <v>49</v>
      </c>
      <c r="H2220" s="34" t="s">
        <v>57</v>
      </c>
      <c r="I2220" s="35"/>
      <c r="J2220" s="21">
        <f ca="1">_xlfn.XLOOKUP(Master[[#This Row],[Checklist]],Ref!A:A,Ref!B:B)*1000</f>
        <v>194000</v>
      </c>
      <c r="K2220" s="21">
        <f ca="1">COUNTIF($J$2:Master[[#This Row],[ChecklistID]],Master[[#This Row],[ChecklistID]])-1</f>
        <v>6</v>
      </c>
      <c r="L2220" s="23" t="s">
        <v>6</v>
      </c>
    </row>
    <row r="2221" spans="1:12" ht="15.75">
      <c r="A2221" s="23">
        <f t="shared" si="34"/>
        <v>2208</v>
      </c>
      <c r="B2221" s="21">
        <f ca="1">Master[[#This Row],[ChecklistID]]+Master[[#This Row],[Checklist Order]]</f>
        <v>194007</v>
      </c>
      <c r="C2221" s="22"/>
      <c r="D2221" s="23" t="str" cm="1">
        <f t="array" aca="1" ref="D2221" ca="1">_xlfn.SWITCH(MID(Master[[#This Row],[Checklist]],1,4),"C - ","Civil","F - ","Foundation","ST -","Structure","FC -","Façade","PRE ","Pre-Line","POST","Post-Line","H - ","Handover","S - ","Services","CST ","Completion Docs", "I - ", "Inspection")</f>
        <v>Post-Line</v>
      </c>
      <c r="E22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1" s="24" t="str">
        <f ca="1">IF(OR(Master[[#This Row],[Type]]="checklist", Master[[#This Row],[Type]]="checklist-flat"), Master[[#This Row],[Name]], F2220)</f>
        <v>Post - S - Mirror Installation</v>
      </c>
      <c r="G2221" s="34" t="s">
        <v>58</v>
      </c>
      <c r="H2221" s="34" t="s">
        <v>59</v>
      </c>
      <c r="I2221" s="35"/>
      <c r="J2221" s="21">
        <f ca="1">_xlfn.XLOOKUP(Master[[#This Row],[Checklist]],Ref!A:A,Ref!B:B)*1000</f>
        <v>194000</v>
      </c>
      <c r="K2221" s="21">
        <f ca="1">COUNTIF($J$2:Master[[#This Row],[ChecklistID]],Master[[#This Row],[ChecklistID]])-1</f>
        <v>7</v>
      </c>
      <c r="L2221" s="23" t="s">
        <v>6</v>
      </c>
    </row>
    <row r="2222" spans="1:12" ht="15.75">
      <c r="A2222" s="23">
        <f t="shared" si="34"/>
        <v>2209</v>
      </c>
      <c r="B2222" s="21">
        <f ca="1">Master[[#This Row],[ChecklistID]]+Master[[#This Row],[Checklist Order]]</f>
        <v>195000</v>
      </c>
      <c r="C2222" s="22"/>
      <c r="D2222" s="23" t="str" cm="1">
        <f t="array" aca="1" ref="D2222" ca="1">_xlfn.SWITCH(MID(Master[[#This Row],[Checklist]],1,4),"C - ","Civil","F - ","Foundation","ST -","Structure","FC -","Façade","PRE ","Pre-Line","POST","Post-Line","H - ","Handover","S - ","Services","CST ","Completion Docs", "I - ", "Inspection")</f>
        <v>Post-Line</v>
      </c>
      <c r="E22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2" s="24" t="str">
        <f ca="1">IF(OR(Master[[#This Row],[Type]]="checklist", Master[[#This Row],[Type]]="checklist-flat"), Master[[#This Row],[Name]], F2221)</f>
        <v>Post - S - Splashback Installation</v>
      </c>
      <c r="G2222" s="34" t="s">
        <v>48</v>
      </c>
      <c r="H2222" s="34" t="s">
        <v>1168</v>
      </c>
      <c r="I2222" s="35"/>
      <c r="J2222" s="21">
        <f ca="1">_xlfn.XLOOKUP(Master[[#This Row],[Checklist]],Ref!A:A,Ref!B:B)*1000</f>
        <v>195000</v>
      </c>
      <c r="K2222" s="21">
        <f ca="1">COUNTIF($J$2:Master[[#This Row],[ChecklistID]],Master[[#This Row],[ChecklistID]])-1</f>
        <v>0</v>
      </c>
      <c r="L2222" s="23" t="s">
        <v>6</v>
      </c>
    </row>
    <row r="2223" spans="1:12" ht="15.75">
      <c r="A2223" s="23">
        <f t="shared" si="34"/>
        <v>2210</v>
      </c>
      <c r="B2223" s="21">
        <f ca="1">Master[[#This Row],[ChecklistID]]+Master[[#This Row],[Checklist Order]]</f>
        <v>195001</v>
      </c>
      <c r="C2223" s="22"/>
      <c r="D2223" s="23" t="str" cm="1">
        <f t="array" aca="1" ref="D2223" ca="1">_xlfn.SWITCH(MID(Master[[#This Row],[Checklist]],1,4),"C - ","Civil","F - ","Foundation","ST -","Structure","FC -","Façade","PRE ","Pre-Line","POST","Post-Line","H - ","Handover","S - ","Services","CST ","Completion Docs", "I - ", "Inspection")</f>
        <v>Post-Line</v>
      </c>
      <c r="E22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3" s="24" t="str">
        <f ca="1">IF(OR(Master[[#This Row],[Type]]="checklist", Master[[#This Row],[Type]]="checklist-flat"), Master[[#This Row],[Name]], F2222)</f>
        <v>Post - S - Splashback Installation</v>
      </c>
      <c r="G2223" s="34" t="s">
        <v>49</v>
      </c>
      <c r="H2223" s="34" t="s">
        <v>1169</v>
      </c>
      <c r="I2223" s="35"/>
      <c r="J2223" s="21">
        <f ca="1">_xlfn.XLOOKUP(Master[[#This Row],[Checklist]],Ref!A:A,Ref!B:B)*1000</f>
        <v>195000</v>
      </c>
      <c r="K2223" s="21">
        <f ca="1">COUNTIF($J$2:Master[[#This Row],[ChecklistID]],Master[[#This Row],[ChecklistID]])-1</f>
        <v>1</v>
      </c>
      <c r="L2223" s="23" t="s">
        <v>6</v>
      </c>
    </row>
    <row r="2224" spans="1:12" ht="15.75">
      <c r="A2224" s="23">
        <f t="shared" si="34"/>
        <v>2211</v>
      </c>
      <c r="B2224" s="21">
        <f ca="1">Master[[#This Row],[ChecklistID]]+Master[[#This Row],[Checklist Order]]</f>
        <v>195002</v>
      </c>
      <c r="C2224" s="22"/>
      <c r="D2224" s="23" t="str" cm="1">
        <f t="array" aca="1" ref="D2224" ca="1">_xlfn.SWITCH(MID(Master[[#This Row],[Checklist]],1,4),"C - ","Civil","F - ","Foundation","ST -","Structure","FC -","Façade","PRE ","Pre-Line","POST","Post-Line","H - ","Handover","S - ","Services","CST ","Completion Docs", "I - ", "Inspection")</f>
        <v>Post-Line</v>
      </c>
      <c r="E22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4" s="24" t="str">
        <f ca="1">IF(OR(Master[[#This Row],[Type]]="checklist", Master[[#This Row],[Type]]="checklist-flat"), Master[[#This Row],[Name]], F2223)</f>
        <v>Post - S - Splashback Installation</v>
      </c>
      <c r="G2224" s="34" t="s">
        <v>49</v>
      </c>
      <c r="H2224" s="34" t="s">
        <v>1170</v>
      </c>
      <c r="I2224" s="35"/>
      <c r="J2224" s="21">
        <f ca="1">_xlfn.XLOOKUP(Master[[#This Row],[Checklist]],Ref!A:A,Ref!B:B)*1000</f>
        <v>195000</v>
      </c>
      <c r="K2224" s="21">
        <f ca="1">COUNTIF($J$2:Master[[#This Row],[ChecklistID]],Master[[#This Row],[ChecklistID]])-1</f>
        <v>2</v>
      </c>
      <c r="L2224" s="23" t="s">
        <v>6</v>
      </c>
    </row>
    <row r="2225" spans="1:12" ht="15.75">
      <c r="A2225" s="23">
        <f t="shared" si="34"/>
        <v>2212</v>
      </c>
      <c r="B2225" s="21">
        <f ca="1">Master[[#This Row],[ChecklistID]]+Master[[#This Row],[Checklist Order]]</f>
        <v>195003</v>
      </c>
      <c r="C2225" s="22"/>
      <c r="D2225" s="23" t="str" cm="1">
        <f t="array" aca="1" ref="D2225" ca="1">_xlfn.SWITCH(MID(Master[[#This Row],[Checklist]],1,4),"C - ","Civil","F - ","Foundation","ST -","Structure","FC -","Façade","PRE ","Pre-Line","POST","Post-Line","H - ","Handover","S - ","Services","CST ","Completion Docs", "I - ", "Inspection")</f>
        <v>Post-Line</v>
      </c>
      <c r="E22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5" s="24" t="str">
        <f ca="1">IF(OR(Master[[#This Row],[Type]]="checklist", Master[[#This Row],[Type]]="checklist-flat"), Master[[#This Row],[Name]], F2224)</f>
        <v>Post - S - Splashback Installation</v>
      </c>
      <c r="G2225" s="34" t="s">
        <v>49</v>
      </c>
      <c r="H2225" s="34" t="s">
        <v>1171</v>
      </c>
      <c r="I2225" s="35"/>
      <c r="J2225" s="21">
        <f ca="1">_xlfn.XLOOKUP(Master[[#This Row],[Checklist]],Ref!A:A,Ref!B:B)*1000</f>
        <v>195000</v>
      </c>
      <c r="K2225" s="21">
        <f ca="1">COUNTIF($J$2:Master[[#This Row],[ChecklistID]],Master[[#This Row],[ChecklistID]])-1</f>
        <v>3</v>
      </c>
      <c r="L2225" s="23" t="s">
        <v>6</v>
      </c>
    </row>
    <row r="2226" spans="1:12" ht="15.75">
      <c r="A2226" s="23">
        <f t="shared" si="34"/>
        <v>2213</v>
      </c>
      <c r="B2226" s="21">
        <f ca="1">Master[[#This Row],[ChecklistID]]+Master[[#This Row],[Checklist Order]]</f>
        <v>195004</v>
      </c>
      <c r="C2226" s="22"/>
      <c r="D2226" s="23" t="str" cm="1">
        <f t="array" aca="1" ref="D2226" ca="1">_xlfn.SWITCH(MID(Master[[#This Row],[Checklist]],1,4),"C - ","Civil","F - ","Foundation","ST -","Structure","FC -","Façade","PRE ","Pre-Line","POST","Post-Line","H - ","Handover","S - ","Services","CST ","Completion Docs", "I - ", "Inspection")</f>
        <v>Post-Line</v>
      </c>
      <c r="E22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6" s="24" t="str">
        <f ca="1">IF(OR(Master[[#This Row],[Type]]="checklist", Master[[#This Row],[Type]]="checklist-flat"), Master[[#This Row],[Name]], F2225)</f>
        <v>Post - S - Splashback Installation</v>
      </c>
      <c r="G2226" s="34" t="s">
        <v>49</v>
      </c>
      <c r="H2226" s="34" t="s">
        <v>1167</v>
      </c>
      <c r="I2226" s="35"/>
      <c r="J2226" s="21">
        <f ca="1">_xlfn.XLOOKUP(Master[[#This Row],[Checklist]],Ref!A:A,Ref!B:B)*1000</f>
        <v>195000</v>
      </c>
      <c r="K2226" s="21">
        <f ca="1">COUNTIF($J$2:Master[[#This Row],[ChecklistID]],Master[[#This Row],[ChecklistID]])-1</f>
        <v>4</v>
      </c>
      <c r="L2226" s="23" t="s">
        <v>6</v>
      </c>
    </row>
    <row r="2227" spans="1:12" ht="15.75">
      <c r="A2227" s="23">
        <f t="shared" si="34"/>
        <v>2214</v>
      </c>
      <c r="B2227" s="21">
        <f ca="1">Master[[#This Row],[ChecklistID]]+Master[[#This Row],[Checklist Order]]</f>
        <v>195005</v>
      </c>
      <c r="C2227" s="22"/>
      <c r="D2227" s="23" t="str" cm="1">
        <f t="array" aca="1" ref="D2227" ca="1">_xlfn.SWITCH(MID(Master[[#This Row],[Checklist]],1,4),"C - ","Civil","F - ","Foundation","ST -","Structure","FC -","Façade","PRE ","Pre-Line","POST","Post-Line","H - ","Handover","S - ","Services","CST ","Completion Docs", "I - ", "Inspection")</f>
        <v>Post-Line</v>
      </c>
      <c r="E22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7" s="24" t="str">
        <f ca="1">IF(OR(Master[[#This Row],[Type]]="checklist", Master[[#This Row],[Type]]="checklist-flat"), Master[[#This Row],[Name]], F2226)</f>
        <v>Post - S - Splashback Installation</v>
      </c>
      <c r="G2227" s="34" t="s">
        <v>49</v>
      </c>
      <c r="H2227" s="34" t="s">
        <v>1172</v>
      </c>
      <c r="I2227" s="35"/>
      <c r="J2227" s="21">
        <f ca="1">_xlfn.XLOOKUP(Master[[#This Row],[Checklist]],Ref!A:A,Ref!B:B)*1000</f>
        <v>195000</v>
      </c>
      <c r="K2227" s="21">
        <f ca="1">COUNTIF($J$2:Master[[#This Row],[ChecklistID]],Master[[#This Row],[ChecklistID]])-1</f>
        <v>5</v>
      </c>
      <c r="L2227" s="23" t="s">
        <v>6</v>
      </c>
    </row>
    <row r="2228" spans="1:12" ht="15.75">
      <c r="A2228" s="23">
        <f t="shared" ref="A2228:A2291" si="35">IFERROR(A2227+1,1)</f>
        <v>2215</v>
      </c>
      <c r="B2228" s="21">
        <f ca="1">Master[[#This Row],[ChecklistID]]+Master[[#This Row],[Checklist Order]]</f>
        <v>195006</v>
      </c>
      <c r="C2228" s="22"/>
      <c r="D2228" s="23" t="str" cm="1">
        <f t="array" aca="1" ref="D2228" ca="1">_xlfn.SWITCH(MID(Master[[#This Row],[Checklist]],1,4),"C - ","Civil","F - ","Foundation","ST -","Structure","FC -","Façade","PRE ","Pre-Line","POST","Post-Line","H - ","Handover","S - ","Services","CST ","Completion Docs", "I - ", "Inspection")</f>
        <v>Post-Line</v>
      </c>
      <c r="E22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8" s="24" t="str">
        <f ca="1">IF(OR(Master[[#This Row],[Type]]="checklist", Master[[#This Row],[Type]]="checklist-flat"), Master[[#This Row],[Name]], F2227)</f>
        <v>Post - S - Splashback Installation</v>
      </c>
      <c r="G2228" s="34" t="s">
        <v>58</v>
      </c>
      <c r="H2228" s="34" t="s">
        <v>883</v>
      </c>
      <c r="I2228" s="35"/>
      <c r="J2228" s="21">
        <f ca="1">_xlfn.XLOOKUP(Master[[#This Row],[Checklist]],Ref!A:A,Ref!B:B)*1000</f>
        <v>195000</v>
      </c>
      <c r="K2228" s="21">
        <f ca="1">COUNTIF($J$2:Master[[#This Row],[ChecklistID]],Master[[#This Row],[ChecklistID]])-1</f>
        <v>6</v>
      </c>
      <c r="L2228" s="23" t="s">
        <v>6</v>
      </c>
    </row>
    <row r="2229" spans="1:12" ht="15.75">
      <c r="A2229" s="23">
        <f t="shared" si="35"/>
        <v>2216</v>
      </c>
      <c r="B2229" s="21">
        <f ca="1">Master[[#This Row],[ChecklistID]]+Master[[#This Row],[Checklist Order]]</f>
        <v>195007</v>
      </c>
      <c r="C2229" s="22"/>
      <c r="D2229" s="23" t="str" cm="1">
        <f t="array" aca="1" ref="D2229" ca="1">_xlfn.SWITCH(MID(Master[[#This Row],[Checklist]],1,4),"C - ","Civil","F - ","Foundation","ST -","Structure","FC -","Façade","PRE ","Pre-Line","POST","Post-Line","H - ","Handover","S - ","Services","CST ","Completion Docs", "I - ", "Inspection")</f>
        <v>Post-Line</v>
      </c>
      <c r="E22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29" s="24" t="str">
        <f ca="1">IF(OR(Master[[#This Row],[Type]]="checklist", Master[[#This Row],[Type]]="checklist-flat"), Master[[#This Row],[Name]], F2228)</f>
        <v>Post - S - Splashback Installation</v>
      </c>
      <c r="G2229" s="34" t="s">
        <v>49</v>
      </c>
      <c r="H2229" s="34" t="s">
        <v>57</v>
      </c>
      <c r="I2229" s="35"/>
      <c r="J2229" s="21">
        <f ca="1">_xlfn.XLOOKUP(Master[[#This Row],[Checklist]],Ref!A:A,Ref!B:B)*1000</f>
        <v>195000</v>
      </c>
      <c r="K2229" s="21">
        <f ca="1">COUNTIF($J$2:Master[[#This Row],[ChecklistID]],Master[[#This Row],[ChecklistID]])-1</f>
        <v>7</v>
      </c>
      <c r="L2229" s="23" t="s">
        <v>6</v>
      </c>
    </row>
    <row r="2230" spans="1:12" ht="15.75">
      <c r="A2230" s="23">
        <f t="shared" si="35"/>
        <v>2217</v>
      </c>
      <c r="B2230" s="21">
        <f ca="1">Master[[#This Row],[ChecklistID]]+Master[[#This Row],[Checklist Order]]</f>
        <v>195008</v>
      </c>
      <c r="C2230" s="22"/>
      <c r="D2230" s="23" t="str" cm="1">
        <f t="array" aca="1" ref="D2230" ca="1">_xlfn.SWITCH(MID(Master[[#This Row],[Checklist]],1,4),"C - ","Civil","F - ","Foundation","ST -","Structure","FC -","Façade","PRE ","Pre-Line","POST","Post-Line","H - ","Handover","S - ","Services","CST ","Completion Docs", "I - ", "Inspection")</f>
        <v>Post-Line</v>
      </c>
      <c r="E22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0" s="24" t="str">
        <f ca="1">IF(OR(Master[[#This Row],[Type]]="checklist", Master[[#This Row],[Type]]="checklist-flat"), Master[[#This Row],[Name]], F2229)</f>
        <v>Post - S - Splashback Installation</v>
      </c>
      <c r="G2230" s="34" t="s">
        <v>58</v>
      </c>
      <c r="H2230" s="34" t="s">
        <v>59</v>
      </c>
      <c r="I2230" s="35"/>
      <c r="J2230" s="21">
        <f ca="1">_xlfn.XLOOKUP(Master[[#This Row],[Checklist]],Ref!A:A,Ref!B:B)*1000</f>
        <v>195000</v>
      </c>
      <c r="K2230" s="21">
        <f ca="1">COUNTIF($J$2:Master[[#This Row],[ChecklistID]],Master[[#This Row],[ChecklistID]])-1</f>
        <v>8</v>
      </c>
      <c r="L2230" s="23" t="s">
        <v>6</v>
      </c>
    </row>
    <row r="2231" spans="1:12" ht="15.75">
      <c r="A2231" s="23">
        <f t="shared" si="35"/>
        <v>2218</v>
      </c>
      <c r="B2231" s="21">
        <f ca="1">Master[[#This Row],[ChecklistID]]+Master[[#This Row],[Checklist Order]]</f>
        <v>196000</v>
      </c>
      <c r="C2231" s="22"/>
      <c r="D2231" s="23" t="str" cm="1">
        <f t="array" aca="1" ref="D2231" ca="1">_xlfn.SWITCH(MID(Master[[#This Row],[Checklist]],1,4),"C - ","Civil","F - ","Foundation","ST -","Structure","FC -","Façade","PRE ","Pre-Line","POST","Post-Line","H - ","Handover","S - ","Services","CST ","Completion Docs", "I - ", "Inspection")</f>
        <v>Post-Line</v>
      </c>
      <c r="E22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1" s="24" t="str">
        <f ca="1">IF(OR(Master[[#This Row],[Type]]="checklist", Master[[#This Row],[Type]]="checklist-flat"), Master[[#This Row],[Name]], F2230)</f>
        <v>POST - S - Screeding</v>
      </c>
      <c r="G2231" s="34" t="s">
        <v>48</v>
      </c>
      <c r="H2231" s="34" t="s">
        <v>1173</v>
      </c>
      <c r="I2231" s="35"/>
      <c r="J2231" s="21">
        <f ca="1">_xlfn.XLOOKUP(Master[[#This Row],[Checklist]],Ref!A:A,Ref!B:B)*1000</f>
        <v>196000</v>
      </c>
      <c r="K2231" s="21">
        <f ca="1">COUNTIF($J$2:Master[[#This Row],[ChecklistID]],Master[[#This Row],[ChecklistID]])-1</f>
        <v>0</v>
      </c>
      <c r="L2231" s="23" t="s">
        <v>6</v>
      </c>
    </row>
    <row r="2232" spans="1:12" ht="15.75">
      <c r="A2232" s="23">
        <f t="shared" si="35"/>
        <v>2219</v>
      </c>
      <c r="B2232" s="21">
        <f ca="1">Master[[#This Row],[ChecklistID]]+Master[[#This Row],[Checklist Order]]</f>
        <v>196001</v>
      </c>
      <c r="C2232" s="22"/>
      <c r="D2232" s="23" t="str" cm="1">
        <f t="array" aca="1" ref="D2232" ca="1">_xlfn.SWITCH(MID(Master[[#This Row],[Checklist]],1,4),"C - ","Civil","F - ","Foundation","ST -","Structure","FC -","Façade","PRE ","Pre-Line","POST","Post-Line","H - ","Handover","S - ","Services","CST ","Completion Docs", "I - ", "Inspection")</f>
        <v>Post-Line</v>
      </c>
      <c r="E22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2" s="24" t="str">
        <f ca="1">IF(OR(Master[[#This Row],[Type]]="checklist", Master[[#This Row],[Type]]="checklist-flat"), Master[[#This Row],[Name]], F2231)</f>
        <v>POST - S - Screeding</v>
      </c>
      <c r="G2232" s="34" t="s">
        <v>49</v>
      </c>
      <c r="H2232" s="34" t="s">
        <v>1174</v>
      </c>
      <c r="I2232" s="35"/>
      <c r="J2232" s="21">
        <f ca="1">_xlfn.XLOOKUP(Master[[#This Row],[Checklist]],Ref!A:A,Ref!B:B)*1000</f>
        <v>196000</v>
      </c>
      <c r="K2232" s="21">
        <f ca="1">COUNTIF($J$2:Master[[#This Row],[ChecklistID]],Master[[#This Row],[ChecklistID]])-1</f>
        <v>1</v>
      </c>
      <c r="L2232" s="23" t="s">
        <v>6</v>
      </c>
    </row>
    <row r="2233" spans="1:12" ht="15.75">
      <c r="A2233" s="23">
        <f t="shared" si="35"/>
        <v>2220</v>
      </c>
      <c r="B2233" s="21">
        <f ca="1">Master[[#This Row],[ChecklistID]]+Master[[#This Row],[Checklist Order]]</f>
        <v>196002</v>
      </c>
      <c r="C2233" s="22"/>
      <c r="D2233" s="23" t="str" cm="1">
        <f t="array" aca="1" ref="D2233" ca="1">_xlfn.SWITCH(MID(Master[[#This Row],[Checklist]],1,4),"C - ","Civil","F - ","Foundation","ST -","Structure","FC -","Façade","PRE ","Pre-Line","POST","Post-Line","H - ","Handover","S - ","Services","CST ","Completion Docs", "I - ", "Inspection")</f>
        <v>Post-Line</v>
      </c>
      <c r="E22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3" s="24" t="str">
        <f ca="1">IF(OR(Master[[#This Row],[Type]]="checklist", Master[[#This Row],[Type]]="checklist-flat"), Master[[#This Row],[Name]], F2232)</f>
        <v>POST - S - Screeding</v>
      </c>
      <c r="G2233" s="34" t="s">
        <v>49</v>
      </c>
      <c r="H2233" s="34" t="s">
        <v>1175</v>
      </c>
      <c r="I2233" s="35"/>
      <c r="J2233" s="21">
        <f ca="1">_xlfn.XLOOKUP(Master[[#This Row],[Checklist]],Ref!A:A,Ref!B:B)*1000</f>
        <v>196000</v>
      </c>
      <c r="K2233" s="21">
        <f ca="1">COUNTIF($J$2:Master[[#This Row],[ChecklistID]],Master[[#This Row],[ChecklistID]])-1</f>
        <v>2</v>
      </c>
      <c r="L2233" s="23" t="s">
        <v>6</v>
      </c>
    </row>
    <row r="2234" spans="1:12" ht="15.75">
      <c r="A2234" s="23">
        <f t="shared" si="35"/>
        <v>2221</v>
      </c>
      <c r="B2234" s="21">
        <f ca="1">Master[[#This Row],[ChecklistID]]+Master[[#This Row],[Checklist Order]]</f>
        <v>196003</v>
      </c>
      <c r="C2234" s="22"/>
      <c r="D2234" s="23" t="str" cm="1">
        <f t="array" aca="1" ref="D2234" ca="1">_xlfn.SWITCH(MID(Master[[#This Row],[Checklist]],1,4),"C - ","Civil","F - ","Foundation","ST -","Structure","FC -","Façade","PRE ","Pre-Line","POST","Post-Line","H - ","Handover","S - ","Services","CST ","Completion Docs", "I - ", "Inspection")</f>
        <v>Post-Line</v>
      </c>
      <c r="E22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4" s="24" t="str">
        <f ca="1">IF(OR(Master[[#This Row],[Type]]="checklist", Master[[#This Row],[Type]]="checklist-flat"), Master[[#This Row],[Name]], F2233)</f>
        <v>POST - S - Screeding</v>
      </c>
      <c r="G2234" s="34" t="s">
        <v>49</v>
      </c>
      <c r="H2234" s="34" t="s">
        <v>1176</v>
      </c>
      <c r="I2234" s="35"/>
      <c r="J2234" s="21">
        <f ca="1">_xlfn.XLOOKUP(Master[[#This Row],[Checklist]],Ref!A:A,Ref!B:B)*1000</f>
        <v>196000</v>
      </c>
      <c r="K2234" s="21">
        <f ca="1">COUNTIF($J$2:Master[[#This Row],[ChecklistID]],Master[[#This Row],[ChecklistID]])-1</f>
        <v>3</v>
      </c>
      <c r="L2234" s="23" t="s">
        <v>6</v>
      </c>
    </row>
    <row r="2235" spans="1:12" ht="15.75">
      <c r="A2235" s="23">
        <f t="shared" si="35"/>
        <v>2222</v>
      </c>
      <c r="B2235" s="21">
        <f ca="1">Master[[#This Row],[ChecklistID]]+Master[[#This Row],[Checklist Order]]</f>
        <v>196004</v>
      </c>
      <c r="C2235" s="22"/>
      <c r="D2235" s="23" t="str" cm="1">
        <f t="array" aca="1" ref="D2235" ca="1">_xlfn.SWITCH(MID(Master[[#This Row],[Checklist]],1,4),"C - ","Civil","F - ","Foundation","ST -","Structure","FC -","Façade","PRE ","Pre-Line","POST","Post-Line","H - ","Handover","S - ","Services","CST ","Completion Docs", "I - ", "Inspection")</f>
        <v>Post-Line</v>
      </c>
      <c r="E22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5" s="24" t="str">
        <f ca="1">IF(OR(Master[[#This Row],[Type]]="checklist", Master[[#This Row],[Type]]="checklist-flat"), Master[[#This Row],[Name]], F2234)</f>
        <v>POST - S - Screeding</v>
      </c>
      <c r="G2235" s="34" t="s">
        <v>49</v>
      </c>
      <c r="H2235" s="34" t="s">
        <v>1177</v>
      </c>
      <c r="I2235" s="35"/>
      <c r="J2235" s="21">
        <f ca="1">_xlfn.XLOOKUP(Master[[#This Row],[Checklist]],Ref!A:A,Ref!B:B)*1000</f>
        <v>196000</v>
      </c>
      <c r="K2235" s="21">
        <f ca="1">COUNTIF($J$2:Master[[#This Row],[ChecklistID]],Master[[#This Row],[ChecklistID]])-1</f>
        <v>4</v>
      </c>
      <c r="L2235" s="23" t="s">
        <v>6</v>
      </c>
    </row>
    <row r="2236" spans="1:12" ht="15.75">
      <c r="A2236" s="23">
        <f t="shared" si="35"/>
        <v>2223</v>
      </c>
      <c r="B2236" s="21">
        <f ca="1">Master[[#This Row],[ChecklistID]]+Master[[#This Row],[Checklist Order]]</f>
        <v>196005</v>
      </c>
      <c r="C2236" s="22"/>
      <c r="D2236" s="23" t="str" cm="1">
        <f t="array" aca="1" ref="D2236" ca="1">_xlfn.SWITCH(MID(Master[[#This Row],[Checklist]],1,4),"C - ","Civil","F - ","Foundation","ST -","Structure","FC -","Façade","PRE ","Pre-Line","POST","Post-Line","H - ","Handover","S - ","Services","CST ","Completion Docs", "I - ", "Inspection")</f>
        <v>Post-Line</v>
      </c>
      <c r="E22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6" s="24" t="str">
        <f ca="1">IF(OR(Master[[#This Row],[Type]]="checklist", Master[[#This Row],[Type]]="checklist-flat"), Master[[#This Row],[Name]], F2235)</f>
        <v>POST - S - Screeding</v>
      </c>
      <c r="G2236" s="34" t="s">
        <v>49</v>
      </c>
      <c r="H2236" s="34" t="s">
        <v>1178</v>
      </c>
      <c r="I2236" s="35"/>
      <c r="J2236" s="21">
        <f ca="1">_xlfn.XLOOKUP(Master[[#This Row],[Checklist]],Ref!A:A,Ref!B:B)*1000</f>
        <v>196000</v>
      </c>
      <c r="K2236" s="21">
        <f ca="1">COUNTIF($J$2:Master[[#This Row],[ChecklistID]],Master[[#This Row],[ChecklistID]])-1</f>
        <v>5</v>
      </c>
      <c r="L2236" s="23" t="s">
        <v>6</v>
      </c>
    </row>
    <row r="2237" spans="1:12" ht="15.75">
      <c r="A2237" s="23">
        <f t="shared" si="35"/>
        <v>2224</v>
      </c>
      <c r="B2237" s="21">
        <f ca="1">Master[[#This Row],[ChecklistID]]+Master[[#This Row],[Checklist Order]]</f>
        <v>196006</v>
      </c>
      <c r="C2237" s="22"/>
      <c r="D2237" s="23" t="str" cm="1">
        <f t="array" aca="1" ref="D2237" ca="1">_xlfn.SWITCH(MID(Master[[#This Row],[Checklist]],1,4),"C - ","Civil","F - ","Foundation","ST -","Structure","FC -","Façade","PRE ","Pre-Line","POST","Post-Line","H - ","Handover","S - ","Services","CST ","Completion Docs", "I - ", "Inspection")</f>
        <v>Post-Line</v>
      </c>
      <c r="E22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7" s="24" t="str">
        <f ca="1">IF(OR(Master[[#This Row],[Type]]="checklist", Master[[#This Row],[Type]]="checklist-flat"), Master[[#This Row],[Name]], F2236)</f>
        <v>POST - S - Screeding</v>
      </c>
      <c r="G2237" s="34" t="s">
        <v>49</v>
      </c>
      <c r="H2237" s="34" t="s">
        <v>57</v>
      </c>
      <c r="I2237" s="35"/>
      <c r="J2237" s="21">
        <f ca="1">_xlfn.XLOOKUP(Master[[#This Row],[Checklist]],Ref!A:A,Ref!B:B)*1000</f>
        <v>196000</v>
      </c>
      <c r="K2237" s="21">
        <f ca="1">COUNTIF($J$2:Master[[#This Row],[ChecklistID]],Master[[#This Row],[ChecklistID]])-1</f>
        <v>6</v>
      </c>
      <c r="L2237" s="23" t="s">
        <v>6</v>
      </c>
    </row>
    <row r="2238" spans="1:12" ht="15.75">
      <c r="A2238" s="23">
        <f t="shared" si="35"/>
        <v>2225</v>
      </c>
      <c r="B2238" s="21">
        <f ca="1">Master[[#This Row],[ChecklistID]]+Master[[#This Row],[Checklist Order]]</f>
        <v>196007</v>
      </c>
      <c r="C2238" s="22"/>
      <c r="D2238" s="23" t="str" cm="1">
        <f t="array" aca="1" ref="D2238" ca="1">_xlfn.SWITCH(MID(Master[[#This Row],[Checklist]],1,4),"C - ","Civil","F - ","Foundation","ST -","Structure","FC -","Façade","PRE ","Pre-Line","POST","Post-Line","H - ","Handover","S - ","Services","CST ","Completion Docs", "I - ", "Inspection")</f>
        <v>Post-Line</v>
      </c>
      <c r="E22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8" s="24" t="str">
        <f ca="1">IF(OR(Master[[#This Row],[Type]]="checklist", Master[[#This Row],[Type]]="checklist-flat"), Master[[#This Row],[Name]], F2237)</f>
        <v>POST - S - Screeding</v>
      </c>
      <c r="G2238" s="34" t="s">
        <v>58</v>
      </c>
      <c r="H2238" s="34" t="s">
        <v>59</v>
      </c>
      <c r="I2238" s="35"/>
      <c r="J2238" s="21">
        <f ca="1">_xlfn.XLOOKUP(Master[[#This Row],[Checklist]],Ref!A:A,Ref!B:B)*1000</f>
        <v>196000</v>
      </c>
      <c r="K2238" s="21">
        <f ca="1">COUNTIF($J$2:Master[[#This Row],[ChecklistID]],Master[[#This Row],[ChecklistID]])-1</f>
        <v>7</v>
      </c>
      <c r="L2238" s="23" t="s">
        <v>6</v>
      </c>
    </row>
    <row r="2239" spans="1:12" ht="15.75">
      <c r="A2239" s="23">
        <f t="shared" si="35"/>
        <v>2226</v>
      </c>
      <c r="B2239" s="21">
        <f ca="1">Master[[#This Row],[ChecklistID]]+Master[[#This Row],[Checklist Order]]</f>
        <v>197000</v>
      </c>
      <c r="C2239" s="22"/>
      <c r="D2239" s="23" t="str" cm="1">
        <f t="array" aca="1" ref="D2239" ca="1">_xlfn.SWITCH(MID(Master[[#This Row],[Checklist]],1,4),"C - ","Civil","F - ","Foundation","ST -","Structure","FC -","Façade","PRE ","Pre-Line","POST","Post-Line","H - ","Handover","S - ","Services","CST ","Completion Docs", "I - ", "Inspection")</f>
        <v>Services</v>
      </c>
      <c r="E22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39" s="24" t="str">
        <f ca="1">IF(OR(Master[[#This Row],[Type]]="checklist", Master[[#This Row],[Type]]="checklist-flat"), Master[[#This Row],[Name]], F2238)</f>
        <v>S - S - Lifts</v>
      </c>
      <c r="G2239" s="34" t="s">
        <v>119</v>
      </c>
      <c r="H2239" s="34" t="s">
        <v>1179</v>
      </c>
      <c r="I2239" s="35"/>
      <c r="J2239" s="21">
        <f ca="1">_xlfn.XLOOKUP(Master[[#This Row],[Checklist]],Ref!A:A,Ref!B:B)*1000</f>
        <v>197000</v>
      </c>
      <c r="K2239" s="21">
        <f ca="1">COUNTIF($J$2:Master[[#This Row],[ChecklistID]],Master[[#This Row],[ChecklistID]])-1</f>
        <v>0</v>
      </c>
      <c r="L2239" s="23" t="s">
        <v>6</v>
      </c>
    </row>
    <row r="2240" spans="1:12" ht="15.75">
      <c r="A2240" s="23">
        <f t="shared" si="35"/>
        <v>2227</v>
      </c>
      <c r="B2240" s="21">
        <f ca="1">Master[[#This Row],[ChecklistID]]+Master[[#This Row],[Checklist Order]]</f>
        <v>197001</v>
      </c>
      <c r="C2240" s="22"/>
      <c r="D2240" s="23" t="str" cm="1">
        <f t="array" aca="1" ref="D2240" ca="1">_xlfn.SWITCH(MID(Master[[#This Row],[Checklist]],1,4),"C - ","Civil","F - ","Foundation","ST -","Structure","FC -","Façade","PRE ","Pre-Line","POST","Post-Line","H - ","Handover","S - ","Services","CST ","Completion Docs", "I - ", "Inspection")</f>
        <v>Services</v>
      </c>
      <c r="E22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0" s="24" t="str">
        <f ca="1">IF(OR(Master[[#This Row],[Type]]="checklist", Master[[#This Row],[Type]]="checklist-flat"), Master[[#This Row],[Name]], F2239)</f>
        <v>S - S - Lifts</v>
      </c>
      <c r="G2240" s="34" t="s">
        <v>49</v>
      </c>
      <c r="H2240" s="34" t="s">
        <v>806</v>
      </c>
      <c r="I2240" s="35"/>
      <c r="J2240" s="21">
        <f ca="1">_xlfn.XLOOKUP(Master[[#This Row],[Checklist]],Ref!A:A,Ref!B:B)*1000</f>
        <v>197000</v>
      </c>
      <c r="K2240" s="21">
        <f ca="1">COUNTIF($J$2:Master[[#This Row],[ChecklistID]],Master[[#This Row],[ChecklistID]])-1</f>
        <v>1</v>
      </c>
      <c r="L2240" s="23" t="s">
        <v>6</v>
      </c>
    </row>
    <row r="2241" spans="1:12" ht="15.75">
      <c r="A2241" s="23">
        <f t="shared" si="35"/>
        <v>2228</v>
      </c>
      <c r="B2241" s="21">
        <f ca="1">Master[[#This Row],[ChecklistID]]+Master[[#This Row],[Checklist Order]]</f>
        <v>197002</v>
      </c>
      <c r="C2241" s="22"/>
      <c r="D2241" s="23" t="str" cm="1">
        <f t="array" aca="1" ref="D2241" ca="1">_xlfn.SWITCH(MID(Master[[#This Row],[Checklist]],1,4),"C - ","Civil","F - ","Foundation","ST -","Structure","FC -","Façade","PRE ","Pre-Line","POST","Post-Line","H - ","Handover","S - ","Services","CST ","Completion Docs", "I - ", "Inspection")</f>
        <v>Services</v>
      </c>
      <c r="E22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1" s="24" t="str">
        <f ca="1">IF(OR(Master[[#This Row],[Type]]="checklist", Master[[#This Row],[Type]]="checklist-flat"), Master[[#This Row],[Name]], F2240)</f>
        <v>S - S - Lifts</v>
      </c>
      <c r="G2241" s="34" t="s">
        <v>49</v>
      </c>
      <c r="H2241" s="34" t="s">
        <v>1181</v>
      </c>
      <c r="I2241" s="35"/>
      <c r="J2241" s="21">
        <f ca="1">_xlfn.XLOOKUP(Master[[#This Row],[Checklist]],Ref!A:A,Ref!B:B)*1000</f>
        <v>197000</v>
      </c>
      <c r="K2241" s="21">
        <f ca="1">COUNTIF($J$2:Master[[#This Row],[ChecklistID]],Master[[#This Row],[ChecklistID]])-1</f>
        <v>2</v>
      </c>
      <c r="L2241" s="23" t="s">
        <v>6</v>
      </c>
    </row>
    <row r="2242" spans="1:12" ht="15.75">
      <c r="A2242" s="23">
        <f t="shared" si="35"/>
        <v>2229</v>
      </c>
      <c r="B2242" s="21">
        <f ca="1">Master[[#This Row],[ChecklistID]]+Master[[#This Row],[Checklist Order]]</f>
        <v>197003</v>
      </c>
      <c r="C2242" s="22"/>
      <c r="D2242" s="23" t="str" cm="1">
        <f t="array" aca="1" ref="D2242" ca="1">_xlfn.SWITCH(MID(Master[[#This Row],[Checklist]],1,4),"C - ","Civil","F - ","Foundation","ST -","Structure","FC -","Façade","PRE ","Pre-Line","POST","Post-Line","H - ","Handover","S - ","Services","CST ","Completion Docs", "I - ", "Inspection")</f>
        <v>Services</v>
      </c>
      <c r="E22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2" s="24" t="str">
        <f ca="1">IF(OR(Master[[#This Row],[Type]]="checklist", Master[[#This Row],[Type]]="checklist-flat"), Master[[#This Row],[Name]], F2241)</f>
        <v>S - S - Lifts</v>
      </c>
      <c r="G2242" s="34" t="s">
        <v>49</v>
      </c>
      <c r="H2242" s="34" t="s">
        <v>1182</v>
      </c>
      <c r="I2242" s="35"/>
      <c r="J2242" s="21">
        <f ca="1">_xlfn.XLOOKUP(Master[[#This Row],[Checklist]],Ref!A:A,Ref!B:B)*1000</f>
        <v>197000</v>
      </c>
      <c r="K2242" s="21">
        <f ca="1">COUNTIF($J$2:Master[[#This Row],[ChecklistID]],Master[[#This Row],[ChecklistID]])-1</f>
        <v>3</v>
      </c>
      <c r="L2242" s="23" t="s">
        <v>6</v>
      </c>
    </row>
    <row r="2243" spans="1:12" ht="15.75">
      <c r="A2243" s="23">
        <f t="shared" si="35"/>
        <v>2230</v>
      </c>
      <c r="B2243" s="21">
        <f ca="1">Master[[#This Row],[ChecklistID]]+Master[[#This Row],[Checklist Order]]</f>
        <v>197004</v>
      </c>
      <c r="C2243" s="22"/>
      <c r="D2243" s="23" t="str" cm="1">
        <f t="array" aca="1" ref="D2243" ca="1">_xlfn.SWITCH(MID(Master[[#This Row],[Checklist]],1,4),"C - ","Civil","F - ","Foundation","ST -","Structure","FC -","Façade","PRE ","Pre-Line","POST","Post-Line","H - ","Handover","S - ","Services","CST ","Completion Docs", "I - ", "Inspection")</f>
        <v>Services</v>
      </c>
      <c r="E22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3" s="24" t="str">
        <f ca="1">IF(OR(Master[[#This Row],[Type]]="checklist", Master[[#This Row],[Type]]="checklist-flat"), Master[[#This Row],[Name]], F2242)</f>
        <v>S - S - Lifts</v>
      </c>
      <c r="G2243" s="34" t="s">
        <v>49</v>
      </c>
      <c r="H2243" s="34" t="s">
        <v>1183</v>
      </c>
      <c r="I2243" s="35"/>
      <c r="J2243" s="21">
        <f ca="1">_xlfn.XLOOKUP(Master[[#This Row],[Checklist]],Ref!A:A,Ref!B:B)*1000</f>
        <v>197000</v>
      </c>
      <c r="K2243" s="21">
        <f ca="1">COUNTIF($J$2:Master[[#This Row],[ChecklistID]],Master[[#This Row],[ChecklistID]])-1</f>
        <v>4</v>
      </c>
      <c r="L2243" s="23" t="s">
        <v>6</v>
      </c>
    </row>
    <row r="2244" spans="1:12" ht="15.75">
      <c r="A2244" s="23">
        <f t="shared" si="35"/>
        <v>2231</v>
      </c>
      <c r="B2244" s="21">
        <f ca="1">Master[[#This Row],[ChecklistID]]+Master[[#This Row],[Checklist Order]]</f>
        <v>197005</v>
      </c>
      <c r="C2244" s="22"/>
      <c r="D2244" s="23" t="str" cm="1">
        <f t="array" aca="1" ref="D2244" ca="1">_xlfn.SWITCH(MID(Master[[#This Row],[Checklist]],1,4),"C - ","Civil","F - ","Foundation","ST -","Structure","FC -","Façade","PRE ","Pre-Line","POST","Post-Line","H - ","Handover","S - ","Services","CST ","Completion Docs", "I - ", "Inspection")</f>
        <v>Services</v>
      </c>
      <c r="E22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4" s="24" t="str">
        <f ca="1">IF(OR(Master[[#This Row],[Type]]="checklist", Master[[#This Row],[Type]]="checklist-flat"), Master[[#This Row],[Name]], F2243)</f>
        <v>S - S - Lifts</v>
      </c>
      <c r="G2244" s="34" t="s">
        <v>49</v>
      </c>
      <c r="H2244" s="34" t="s">
        <v>1184</v>
      </c>
      <c r="I2244" s="35"/>
      <c r="J2244" s="21">
        <f ca="1">_xlfn.XLOOKUP(Master[[#This Row],[Checklist]],Ref!A:A,Ref!B:B)*1000</f>
        <v>197000</v>
      </c>
      <c r="K2244" s="21">
        <f ca="1">COUNTIF($J$2:Master[[#This Row],[ChecklistID]],Master[[#This Row],[ChecklistID]])-1</f>
        <v>5</v>
      </c>
      <c r="L2244" s="23" t="s">
        <v>6</v>
      </c>
    </row>
    <row r="2245" spans="1:12" ht="15.75">
      <c r="A2245" s="23">
        <f t="shared" si="35"/>
        <v>2232</v>
      </c>
      <c r="B2245" s="21">
        <f ca="1">Master[[#This Row],[ChecklistID]]+Master[[#This Row],[Checklist Order]]</f>
        <v>197006</v>
      </c>
      <c r="C2245" s="22"/>
      <c r="D2245" s="23" t="str" cm="1">
        <f t="array" aca="1" ref="D2245" ca="1">_xlfn.SWITCH(MID(Master[[#This Row],[Checklist]],1,4),"C - ","Civil","F - ","Foundation","ST -","Structure","FC -","Façade","PRE ","Pre-Line","POST","Post-Line","H - ","Handover","S - ","Services","CST ","Completion Docs", "I - ", "Inspection")</f>
        <v>Services</v>
      </c>
      <c r="E22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5" s="24" t="str">
        <f ca="1">IF(OR(Master[[#This Row],[Type]]="checklist", Master[[#This Row],[Type]]="checklist-flat"), Master[[#This Row],[Name]], F2244)</f>
        <v>S - S - Lifts</v>
      </c>
      <c r="G2245" s="34" t="s">
        <v>49</v>
      </c>
      <c r="H2245" s="34" t="s">
        <v>1185</v>
      </c>
      <c r="I2245" s="35"/>
      <c r="J2245" s="21">
        <f ca="1">_xlfn.XLOOKUP(Master[[#This Row],[Checklist]],Ref!A:A,Ref!B:B)*1000</f>
        <v>197000</v>
      </c>
      <c r="K2245" s="21">
        <f ca="1">COUNTIF($J$2:Master[[#This Row],[ChecklistID]],Master[[#This Row],[ChecklistID]])-1</f>
        <v>6</v>
      </c>
      <c r="L2245" s="23" t="s">
        <v>6</v>
      </c>
    </row>
    <row r="2246" spans="1:12" ht="15.75">
      <c r="A2246" s="23">
        <f t="shared" si="35"/>
        <v>2233</v>
      </c>
      <c r="B2246" s="21">
        <f ca="1">Master[[#This Row],[ChecklistID]]+Master[[#This Row],[Checklist Order]]</f>
        <v>197007</v>
      </c>
      <c r="C2246" s="22"/>
      <c r="D2246" s="23" t="str" cm="1">
        <f t="array" aca="1" ref="D2246" ca="1">_xlfn.SWITCH(MID(Master[[#This Row],[Checklist]],1,4),"C - ","Civil","F - ","Foundation","ST -","Structure","FC -","Façade","PRE ","Pre-Line","POST","Post-Line","H - ","Handover","S - ","Services","CST ","Completion Docs", "I - ", "Inspection")</f>
        <v>Services</v>
      </c>
      <c r="E22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6" s="24" t="str">
        <f ca="1">IF(OR(Master[[#This Row],[Type]]="checklist", Master[[#This Row],[Type]]="checklist-flat"), Master[[#This Row],[Name]], F2245)</f>
        <v>S - S - Lifts</v>
      </c>
      <c r="G2246" s="34" t="s">
        <v>49</v>
      </c>
      <c r="H2246" s="34" t="s">
        <v>1186</v>
      </c>
      <c r="I2246" s="35"/>
      <c r="J2246" s="21">
        <f ca="1">_xlfn.XLOOKUP(Master[[#This Row],[Checklist]],Ref!A:A,Ref!B:B)*1000</f>
        <v>197000</v>
      </c>
      <c r="K2246" s="21">
        <f ca="1">COUNTIF($J$2:Master[[#This Row],[ChecklistID]],Master[[#This Row],[ChecklistID]])-1</f>
        <v>7</v>
      </c>
      <c r="L2246" s="23" t="s">
        <v>6</v>
      </c>
    </row>
    <row r="2247" spans="1:12" ht="15.75">
      <c r="A2247" s="23">
        <f t="shared" si="35"/>
        <v>2234</v>
      </c>
      <c r="B2247" s="21">
        <f ca="1">Master[[#This Row],[ChecklistID]]+Master[[#This Row],[Checklist Order]]</f>
        <v>197008</v>
      </c>
      <c r="C2247" s="22"/>
      <c r="D2247" s="23" t="str" cm="1">
        <f t="array" aca="1" ref="D2247" ca="1">_xlfn.SWITCH(MID(Master[[#This Row],[Checklist]],1,4),"C - ","Civil","F - ","Foundation","ST -","Structure","FC -","Façade","PRE ","Pre-Line","POST","Post-Line","H - ","Handover","S - ","Services","CST ","Completion Docs", "I - ", "Inspection")</f>
        <v>Services</v>
      </c>
      <c r="E22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7" s="24" t="str">
        <f ca="1">IF(OR(Master[[#This Row],[Type]]="checklist", Master[[#This Row],[Type]]="checklist-flat"), Master[[#This Row],[Name]], F2246)</f>
        <v>S - S - Lifts</v>
      </c>
      <c r="G2247" s="34" t="s">
        <v>49</v>
      </c>
      <c r="H2247" s="34" t="s">
        <v>1187</v>
      </c>
      <c r="I2247" s="35"/>
      <c r="J2247" s="21">
        <f ca="1">_xlfn.XLOOKUP(Master[[#This Row],[Checklist]],Ref!A:A,Ref!B:B)*1000</f>
        <v>197000</v>
      </c>
      <c r="K2247" s="21">
        <f ca="1">COUNTIF($J$2:Master[[#This Row],[ChecklistID]],Master[[#This Row],[ChecklistID]])-1</f>
        <v>8</v>
      </c>
      <c r="L2247" s="23" t="s">
        <v>6</v>
      </c>
    </row>
    <row r="2248" spans="1:12" ht="15.75">
      <c r="A2248" s="23">
        <f t="shared" si="35"/>
        <v>2235</v>
      </c>
      <c r="B2248" s="21">
        <f ca="1">Master[[#This Row],[ChecklistID]]+Master[[#This Row],[Checklist Order]]</f>
        <v>197009</v>
      </c>
      <c r="C2248" s="22"/>
      <c r="D2248" s="23" t="str" cm="1">
        <f t="array" aca="1" ref="D2248" ca="1">_xlfn.SWITCH(MID(Master[[#This Row],[Checklist]],1,4),"C - ","Civil","F - ","Foundation","ST -","Structure","FC -","Façade","PRE ","Pre-Line","POST","Post-Line","H - ","Handover","S - ","Services","CST ","Completion Docs", "I - ", "Inspection")</f>
        <v>Services</v>
      </c>
      <c r="E22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8" s="24" t="str">
        <f ca="1">IF(OR(Master[[#This Row],[Type]]="checklist", Master[[#This Row],[Type]]="checklist-flat"), Master[[#This Row],[Name]], F2247)</f>
        <v>S - S - Lifts</v>
      </c>
      <c r="G2248" s="34" t="s">
        <v>49</v>
      </c>
      <c r="H2248" s="34" t="s">
        <v>1188</v>
      </c>
      <c r="I2248" s="35"/>
      <c r="J2248" s="21">
        <f ca="1">_xlfn.XLOOKUP(Master[[#This Row],[Checklist]],Ref!A:A,Ref!B:B)*1000</f>
        <v>197000</v>
      </c>
      <c r="K2248" s="21">
        <f ca="1">COUNTIF($J$2:Master[[#This Row],[ChecklistID]],Master[[#This Row],[ChecklistID]])-1</f>
        <v>9</v>
      </c>
      <c r="L2248" s="23" t="s">
        <v>6</v>
      </c>
    </row>
    <row r="2249" spans="1:12" ht="15.75">
      <c r="A2249" s="23">
        <f t="shared" si="35"/>
        <v>2236</v>
      </c>
      <c r="B2249" s="21">
        <f ca="1">Master[[#This Row],[ChecklistID]]+Master[[#This Row],[Checklist Order]]</f>
        <v>197010</v>
      </c>
      <c r="C2249" s="22"/>
      <c r="D2249" s="23" t="str" cm="1">
        <f t="array" aca="1" ref="D2249" ca="1">_xlfn.SWITCH(MID(Master[[#This Row],[Checklist]],1,4),"C - ","Civil","F - ","Foundation","ST -","Structure","FC -","Façade","PRE ","Pre-Line","POST","Post-Line","H - ","Handover","S - ","Services","CST ","Completion Docs", "I - ", "Inspection")</f>
        <v>Services</v>
      </c>
      <c r="E22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49" s="24" t="str">
        <f ca="1">IF(OR(Master[[#This Row],[Type]]="checklist", Master[[#This Row],[Type]]="checklist-flat"), Master[[#This Row],[Name]], F2248)</f>
        <v>S - S - Lifts</v>
      </c>
      <c r="G2249" s="34" t="s">
        <v>49</v>
      </c>
      <c r="H2249" s="34" t="s">
        <v>57</v>
      </c>
      <c r="I2249" s="35"/>
      <c r="J2249" s="21">
        <f ca="1">_xlfn.XLOOKUP(Master[[#This Row],[Checklist]],Ref!A:A,Ref!B:B)*1000</f>
        <v>197000</v>
      </c>
      <c r="K2249" s="21">
        <f ca="1">COUNTIF($J$2:Master[[#This Row],[ChecklistID]],Master[[#This Row],[ChecklistID]])-1</f>
        <v>10</v>
      </c>
      <c r="L2249" s="23" t="s">
        <v>6</v>
      </c>
    </row>
    <row r="2250" spans="1:12" ht="15.75">
      <c r="A2250" s="23">
        <f t="shared" si="35"/>
        <v>2237</v>
      </c>
      <c r="B2250" s="21">
        <f ca="1">Master[[#This Row],[ChecklistID]]+Master[[#This Row],[Checklist Order]]</f>
        <v>197011</v>
      </c>
      <c r="C2250" s="22"/>
      <c r="D2250" s="23" t="str" cm="1">
        <f t="array" aca="1" ref="D2250" ca="1">_xlfn.SWITCH(MID(Master[[#This Row],[Checklist]],1,4),"C - ","Civil","F - ","Foundation","ST -","Structure","FC -","Façade","PRE ","Pre-Line","POST","Post-Line","H - ","Handover","S - ","Services","CST ","Completion Docs", "I - ", "Inspection")</f>
        <v>Services</v>
      </c>
      <c r="E22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0" s="24" t="str">
        <f ca="1">IF(OR(Master[[#This Row],[Type]]="checklist", Master[[#This Row],[Type]]="checklist-flat"), Master[[#This Row],[Name]], F2249)</f>
        <v>S - S - Lifts</v>
      </c>
      <c r="G2250" s="34" t="s">
        <v>58</v>
      </c>
      <c r="H2250" s="34" t="s">
        <v>59</v>
      </c>
      <c r="I2250" s="35"/>
      <c r="J2250" s="21">
        <f ca="1">_xlfn.XLOOKUP(Master[[#This Row],[Checklist]],Ref!A:A,Ref!B:B)*1000</f>
        <v>197000</v>
      </c>
      <c r="K2250" s="21">
        <f ca="1">COUNTIF($J$2:Master[[#This Row],[ChecklistID]],Master[[#This Row],[ChecklistID]])-1</f>
        <v>11</v>
      </c>
      <c r="L2250" s="23" t="s">
        <v>6</v>
      </c>
    </row>
    <row r="2251" spans="1:12" ht="15.75">
      <c r="A2251" s="23">
        <f t="shared" si="35"/>
        <v>2238</v>
      </c>
      <c r="B2251" s="21">
        <f ca="1">Master[[#This Row],[ChecklistID]]+Master[[#This Row],[Checklist Order]]</f>
        <v>198000</v>
      </c>
      <c r="C2251" s="22"/>
      <c r="D2251" s="23" t="str" cm="1">
        <f t="array" aca="1" ref="D2251" ca="1">_xlfn.SWITCH(MID(Master[[#This Row],[Checklist]],1,4),"C - ","Civil","F - ","Foundation","ST -","Structure","FC -","Façade","PRE ","Pre-Line","POST","Post-Line","H - ","Handover","S - ","Services","CST ","Completion Docs", "I - ", "Inspection")</f>
        <v>Civil</v>
      </c>
      <c r="E22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1" s="24" t="str">
        <f ca="1">IF(OR(Master[[#This Row],[Type]]="checklist", Master[[#This Row],[Type]]="checklist-flat"), Master[[#This Row],[Name]], F2250)</f>
        <v>C - S - Subsoil Drainage</v>
      </c>
      <c r="G2251" s="34" t="s">
        <v>48</v>
      </c>
      <c r="H2251" s="34" t="s">
        <v>1189</v>
      </c>
      <c r="I2251" s="35"/>
      <c r="J2251" s="21">
        <f ca="1">_xlfn.XLOOKUP(Master[[#This Row],[Checklist]],Ref!A:A,Ref!B:B)*1000</f>
        <v>198000</v>
      </c>
      <c r="K2251" s="21">
        <f ca="1">COUNTIF($J$2:Master[[#This Row],[ChecklistID]],Master[[#This Row],[ChecklistID]])-1</f>
        <v>0</v>
      </c>
      <c r="L2251" s="23" t="s">
        <v>6</v>
      </c>
    </row>
    <row r="2252" spans="1:12" ht="15.75">
      <c r="A2252" s="23">
        <f t="shared" si="35"/>
        <v>2239</v>
      </c>
      <c r="B2252" s="21">
        <f ca="1">Master[[#This Row],[ChecklistID]]+Master[[#This Row],[Checklist Order]]</f>
        <v>198001</v>
      </c>
      <c r="C2252" s="22"/>
      <c r="D2252" s="23" t="str" cm="1">
        <f t="array" aca="1" ref="D2252" ca="1">_xlfn.SWITCH(MID(Master[[#This Row],[Checklist]],1,4),"C - ","Civil","F - ","Foundation","ST -","Structure","FC -","Façade","PRE ","Pre-Line","POST","Post-Line","H - ","Handover","S - ","Services","CST ","Completion Docs", "I - ", "Inspection")</f>
        <v>Civil</v>
      </c>
      <c r="E22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2" s="24" t="str">
        <f ca="1">IF(OR(Master[[#This Row],[Type]]="checklist", Master[[#This Row],[Type]]="checklist-flat"), Master[[#This Row],[Name]], F2251)</f>
        <v>C - S - Subsoil Drainage</v>
      </c>
      <c r="G2252" s="34" t="s">
        <v>49</v>
      </c>
      <c r="H2252" s="34" t="s">
        <v>74</v>
      </c>
      <c r="I2252" s="35"/>
      <c r="J2252" s="21">
        <f ca="1">_xlfn.XLOOKUP(Master[[#This Row],[Checklist]],Ref!A:A,Ref!B:B)*1000</f>
        <v>198000</v>
      </c>
      <c r="K2252" s="21">
        <f ca="1">COUNTIF($J$2:Master[[#This Row],[ChecklistID]],Master[[#This Row],[ChecklistID]])-1</f>
        <v>1</v>
      </c>
      <c r="L2252" s="23" t="s">
        <v>6</v>
      </c>
    </row>
    <row r="2253" spans="1:12" ht="15.75">
      <c r="A2253" s="23">
        <f t="shared" si="35"/>
        <v>2240</v>
      </c>
      <c r="B2253" s="21">
        <f ca="1">Master[[#This Row],[ChecklistID]]+Master[[#This Row],[Checklist Order]]</f>
        <v>198002</v>
      </c>
      <c r="C2253" s="22"/>
      <c r="D2253" s="23" t="str" cm="1">
        <f t="array" aca="1" ref="D2253" ca="1">_xlfn.SWITCH(MID(Master[[#This Row],[Checklist]],1,4),"C - ","Civil","F - ","Foundation","ST -","Structure","FC -","Façade","PRE ","Pre-Line","POST","Post-Line","H - ","Handover","S - ","Services","CST ","Completion Docs", "I - ", "Inspection")</f>
        <v>Civil</v>
      </c>
      <c r="E22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3" s="24" t="str">
        <f ca="1">IF(OR(Master[[#This Row],[Type]]="checklist", Master[[#This Row],[Type]]="checklist-flat"), Master[[#This Row],[Name]], F2252)</f>
        <v>C - S - Subsoil Drainage</v>
      </c>
      <c r="G2253" s="34" t="s">
        <v>49</v>
      </c>
      <c r="H2253" s="34" t="s">
        <v>1190</v>
      </c>
      <c r="I2253" s="35"/>
      <c r="J2253" s="21">
        <f ca="1">_xlfn.XLOOKUP(Master[[#This Row],[Checklist]],Ref!A:A,Ref!B:B)*1000</f>
        <v>198000</v>
      </c>
      <c r="K2253" s="21">
        <f ca="1">COUNTIF($J$2:Master[[#This Row],[ChecklistID]],Master[[#This Row],[ChecklistID]])-1</f>
        <v>2</v>
      </c>
      <c r="L2253" s="23" t="s">
        <v>6</v>
      </c>
    </row>
    <row r="2254" spans="1:12" ht="15.75">
      <c r="A2254" s="23">
        <f t="shared" si="35"/>
        <v>2241</v>
      </c>
      <c r="B2254" s="21">
        <f ca="1">Master[[#This Row],[ChecklistID]]+Master[[#This Row],[Checklist Order]]</f>
        <v>198003</v>
      </c>
      <c r="C2254" s="22"/>
      <c r="D2254" s="23" t="str" cm="1">
        <f t="array" aca="1" ref="D2254" ca="1">_xlfn.SWITCH(MID(Master[[#This Row],[Checklist]],1,4),"C - ","Civil","F - ","Foundation","ST -","Structure","FC -","Façade","PRE ","Pre-Line","POST","Post-Line","H - ","Handover","S - ","Services","CST ","Completion Docs", "I - ", "Inspection")</f>
        <v>Civil</v>
      </c>
      <c r="E22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4" s="24" t="str">
        <f ca="1">IF(OR(Master[[#This Row],[Type]]="checklist", Master[[#This Row],[Type]]="checklist-flat"), Master[[#This Row],[Name]], F2253)</f>
        <v>C - S - Subsoil Drainage</v>
      </c>
      <c r="G2254" s="34" t="s">
        <v>49</v>
      </c>
      <c r="H2254" s="34" t="s">
        <v>77</v>
      </c>
      <c r="I2254" s="35"/>
      <c r="J2254" s="21">
        <f ca="1">_xlfn.XLOOKUP(Master[[#This Row],[Checklist]],Ref!A:A,Ref!B:B)*1000</f>
        <v>198000</v>
      </c>
      <c r="K2254" s="21">
        <f ca="1">COUNTIF($J$2:Master[[#This Row],[ChecklistID]],Master[[#This Row],[ChecklistID]])-1</f>
        <v>3</v>
      </c>
      <c r="L2254" s="23" t="s">
        <v>6</v>
      </c>
    </row>
    <row r="2255" spans="1:12" ht="15.75">
      <c r="A2255" s="23">
        <f t="shared" si="35"/>
        <v>2242</v>
      </c>
      <c r="B2255" s="21">
        <f ca="1">Master[[#This Row],[ChecklistID]]+Master[[#This Row],[Checklist Order]]</f>
        <v>198004</v>
      </c>
      <c r="C2255" s="22"/>
      <c r="D2255" s="23" t="str" cm="1">
        <f t="array" aca="1" ref="D2255" ca="1">_xlfn.SWITCH(MID(Master[[#This Row],[Checklist]],1,4),"C - ","Civil","F - ","Foundation","ST -","Structure","FC -","Façade","PRE ","Pre-Line","POST","Post-Line","H - ","Handover","S - ","Services","CST ","Completion Docs", "I - ", "Inspection")</f>
        <v>Civil</v>
      </c>
      <c r="E22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5" s="24" t="str">
        <f ca="1">IF(OR(Master[[#This Row],[Type]]="checklist", Master[[#This Row],[Type]]="checklist-flat"), Master[[#This Row],[Name]], F2254)</f>
        <v>C - S - Subsoil Drainage</v>
      </c>
      <c r="G2255" s="34" t="s">
        <v>49</v>
      </c>
      <c r="H2255" s="34" t="s">
        <v>78</v>
      </c>
      <c r="I2255" s="35"/>
      <c r="J2255" s="21">
        <f ca="1">_xlfn.XLOOKUP(Master[[#This Row],[Checklist]],Ref!A:A,Ref!B:B)*1000</f>
        <v>198000</v>
      </c>
      <c r="K2255" s="21">
        <f ca="1">COUNTIF($J$2:Master[[#This Row],[ChecklistID]],Master[[#This Row],[ChecklistID]])-1</f>
        <v>4</v>
      </c>
      <c r="L2255" s="23" t="s">
        <v>6</v>
      </c>
    </row>
    <row r="2256" spans="1:12" ht="15.75">
      <c r="A2256" s="23">
        <f t="shared" si="35"/>
        <v>2243</v>
      </c>
      <c r="B2256" s="21">
        <f ca="1">Master[[#This Row],[ChecklistID]]+Master[[#This Row],[Checklist Order]]</f>
        <v>198005</v>
      </c>
      <c r="C2256" s="22"/>
      <c r="D2256" s="23" t="str" cm="1">
        <f t="array" aca="1" ref="D2256" ca="1">_xlfn.SWITCH(MID(Master[[#This Row],[Checklist]],1,4),"C - ","Civil","F - ","Foundation","ST -","Structure","FC -","Façade","PRE ","Pre-Line","POST","Post-Line","H - ","Handover","S - ","Services","CST ","Completion Docs", "I - ", "Inspection")</f>
        <v>Civil</v>
      </c>
      <c r="E22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6" s="24" t="str">
        <f ca="1">IF(OR(Master[[#This Row],[Type]]="checklist", Master[[#This Row],[Type]]="checklist-flat"), Master[[#This Row],[Name]], F2255)</f>
        <v>C - S - Subsoil Drainage</v>
      </c>
      <c r="G2256" s="34" t="s">
        <v>49</v>
      </c>
      <c r="H2256" s="34" t="s">
        <v>1191</v>
      </c>
      <c r="I2256" s="35"/>
      <c r="J2256" s="21">
        <f ca="1">_xlfn.XLOOKUP(Master[[#This Row],[Checklist]],Ref!A:A,Ref!B:B)*1000</f>
        <v>198000</v>
      </c>
      <c r="K2256" s="21">
        <f ca="1">COUNTIF($J$2:Master[[#This Row],[ChecklistID]],Master[[#This Row],[ChecklistID]])-1</f>
        <v>5</v>
      </c>
      <c r="L2256" s="23" t="s">
        <v>6</v>
      </c>
    </row>
    <row r="2257" spans="1:12" ht="15.75">
      <c r="A2257" s="23">
        <f t="shared" si="35"/>
        <v>2244</v>
      </c>
      <c r="B2257" s="21">
        <f ca="1">Master[[#This Row],[ChecklistID]]+Master[[#This Row],[Checklist Order]]</f>
        <v>198006</v>
      </c>
      <c r="C2257" s="22"/>
      <c r="D2257" s="23" t="str" cm="1">
        <f t="array" aca="1" ref="D2257" ca="1">_xlfn.SWITCH(MID(Master[[#This Row],[Checklist]],1,4),"C - ","Civil","F - ","Foundation","ST -","Structure","FC -","Façade","PRE ","Pre-Line","POST","Post-Line","H - ","Handover","S - ","Services","CST ","Completion Docs", "I - ", "Inspection")</f>
        <v>Civil</v>
      </c>
      <c r="E22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7" s="24" t="str">
        <f ca="1">IF(OR(Master[[#This Row],[Type]]="checklist", Master[[#This Row],[Type]]="checklist-flat"), Master[[#This Row],[Name]], F2256)</f>
        <v>C - S - Subsoil Drainage</v>
      </c>
      <c r="G2257" s="34" t="s">
        <v>49</v>
      </c>
      <c r="H2257" s="34" t="s">
        <v>435</v>
      </c>
      <c r="I2257" s="35"/>
      <c r="J2257" s="21">
        <f ca="1">_xlfn.XLOOKUP(Master[[#This Row],[Checklist]],Ref!A:A,Ref!B:B)*1000</f>
        <v>198000</v>
      </c>
      <c r="K2257" s="21">
        <f ca="1">COUNTIF($J$2:Master[[#This Row],[ChecklistID]],Master[[#This Row],[ChecklistID]])-1</f>
        <v>6</v>
      </c>
      <c r="L2257" s="23" t="s">
        <v>6</v>
      </c>
    </row>
    <row r="2258" spans="1:12" ht="15.75">
      <c r="A2258" s="23">
        <f t="shared" si="35"/>
        <v>2245</v>
      </c>
      <c r="B2258" s="21">
        <f ca="1">Master[[#This Row],[ChecklistID]]+Master[[#This Row],[Checklist Order]]</f>
        <v>198007</v>
      </c>
      <c r="C2258" s="22"/>
      <c r="D2258" s="23" t="str" cm="1">
        <f t="array" aca="1" ref="D2258" ca="1">_xlfn.SWITCH(MID(Master[[#This Row],[Checklist]],1,4),"C - ","Civil","F - ","Foundation","ST -","Structure","FC -","Façade","PRE ","Pre-Line","POST","Post-Line","H - ","Handover","S - ","Services","CST ","Completion Docs", "I - ", "Inspection")</f>
        <v>Civil</v>
      </c>
      <c r="E22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8" s="24" t="str">
        <f ca="1">IF(OR(Master[[#This Row],[Type]]="checklist", Master[[#This Row],[Type]]="checklist-flat"), Master[[#This Row],[Name]], F2257)</f>
        <v>C - S - Subsoil Drainage</v>
      </c>
      <c r="G2258" s="34" t="s">
        <v>49</v>
      </c>
      <c r="H2258" s="34" t="s">
        <v>57</v>
      </c>
      <c r="I2258" s="35"/>
      <c r="J2258" s="21">
        <f ca="1">_xlfn.XLOOKUP(Master[[#This Row],[Checklist]],Ref!A:A,Ref!B:B)*1000</f>
        <v>198000</v>
      </c>
      <c r="K2258" s="21">
        <f ca="1">COUNTIF($J$2:Master[[#This Row],[ChecklistID]],Master[[#This Row],[ChecklistID]])-1</f>
        <v>7</v>
      </c>
      <c r="L2258" s="23" t="s">
        <v>6</v>
      </c>
    </row>
    <row r="2259" spans="1:12" ht="15.75">
      <c r="A2259" s="23">
        <f t="shared" si="35"/>
        <v>2246</v>
      </c>
      <c r="B2259" s="21">
        <f ca="1">Master[[#This Row],[ChecklistID]]+Master[[#This Row],[Checklist Order]]</f>
        <v>198008</v>
      </c>
      <c r="C2259" s="22"/>
      <c r="D2259" s="23" t="str" cm="1">
        <f t="array" aca="1" ref="D2259" ca="1">_xlfn.SWITCH(MID(Master[[#This Row],[Checklist]],1,4),"C - ","Civil","F - ","Foundation","ST -","Structure","FC -","Façade","PRE ","Pre-Line","POST","Post-Line","H - ","Handover","S - ","Services","CST ","Completion Docs", "I - ", "Inspection")</f>
        <v>Civil</v>
      </c>
      <c r="E22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59" s="24" t="str">
        <f ca="1">IF(OR(Master[[#This Row],[Type]]="checklist", Master[[#This Row],[Type]]="checklist-flat"), Master[[#This Row],[Name]], F2258)</f>
        <v>C - S - Subsoil Drainage</v>
      </c>
      <c r="G2259" s="34" t="s">
        <v>58</v>
      </c>
      <c r="H2259" s="34" t="s">
        <v>59</v>
      </c>
      <c r="I2259" s="35"/>
      <c r="J2259" s="21">
        <f ca="1">_xlfn.XLOOKUP(Master[[#This Row],[Checklist]],Ref!A:A,Ref!B:B)*1000</f>
        <v>198000</v>
      </c>
      <c r="K2259" s="21">
        <f ca="1">COUNTIF($J$2:Master[[#This Row],[ChecklistID]],Master[[#This Row],[ChecklistID]])-1</f>
        <v>8</v>
      </c>
      <c r="L2259" s="23" t="s">
        <v>6</v>
      </c>
    </row>
    <row r="2260" spans="1:12" ht="15.75">
      <c r="A2260" s="23">
        <f t="shared" si="35"/>
        <v>2247</v>
      </c>
      <c r="B2260" s="21">
        <f ca="1">Master[[#This Row],[ChecklistID]]+Master[[#This Row],[Checklist Order]]</f>
        <v>199000</v>
      </c>
      <c r="C2260" s="22"/>
      <c r="D2260" s="23" t="str" cm="1">
        <f t="array" aca="1" ref="D2260" ca="1">_xlfn.SWITCH(MID(Master[[#This Row],[Checklist]],1,4),"C - ","Civil","F - ","Foundation","ST -","Structure","FC -","Façade","PRE ","Pre-Line","POST","Post-Line","H - ","Handover","S - ","Services","CST ","Completion Docs", "I - ", "Inspection")</f>
        <v>Civil</v>
      </c>
      <c r="E22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0" s="24" t="str">
        <f ca="1">IF(OR(Master[[#This Row],[Type]]="checklist", Master[[#This Row],[Type]]="checklist-flat"), Master[[#This Row],[Name]], F2259)</f>
        <v>C - S - Manhole Installation</v>
      </c>
      <c r="G2260" s="34" t="s">
        <v>48</v>
      </c>
      <c r="H2260" s="34" t="s">
        <v>1192</v>
      </c>
      <c r="I2260" s="35"/>
      <c r="J2260" s="21">
        <f ca="1">_xlfn.XLOOKUP(Master[[#This Row],[Checklist]],Ref!A:A,Ref!B:B)*1000</f>
        <v>199000</v>
      </c>
      <c r="K2260" s="21">
        <f ca="1">COUNTIF($J$2:Master[[#This Row],[ChecklistID]],Master[[#This Row],[ChecklistID]])-1</f>
        <v>0</v>
      </c>
      <c r="L2260" s="23" t="s">
        <v>6</v>
      </c>
    </row>
    <row r="2261" spans="1:12" ht="15.75">
      <c r="A2261" s="23">
        <f t="shared" si="35"/>
        <v>2248</v>
      </c>
      <c r="B2261" s="21">
        <f ca="1">Master[[#This Row],[ChecklistID]]+Master[[#This Row],[Checklist Order]]</f>
        <v>199001</v>
      </c>
      <c r="C2261" s="22"/>
      <c r="D2261" s="23" t="str" cm="1">
        <f t="array" aca="1" ref="D2261" ca="1">_xlfn.SWITCH(MID(Master[[#This Row],[Checklist]],1,4),"C - ","Civil","F - ","Foundation","ST -","Structure","FC -","Façade","PRE ","Pre-Line","POST","Post-Line","H - ","Handover","S - ","Services","CST ","Completion Docs", "I - ", "Inspection")</f>
        <v>Civil</v>
      </c>
      <c r="E22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1" s="24" t="str">
        <f ca="1">IF(OR(Master[[#This Row],[Type]]="checklist", Master[[#This Row],[Type]]="checklist-flat"), Master[[#This Row],[Name]], F2260)</f>
        <v>C - S - Manhole Installation</v>
      </c>
      <c r="G2261" s="34" t="s">
        <v>49</v>
      </c>
      <c r="H2261" s="34" t="s">
        <v>74</v>
      </c>
      <c r="I2261" s="35"/>
      <c r="J2261" s="21">
        <f ca="1">_xlfn.XLOOKUP(Master[[#This Row],[Checklist]],Ref!A:A,Ref!B:B)*1000</f>
        <v>199000</v>
      </c>
      <c r="K2261" s="21">
        <f ca="1">COUNTIF($J$2:Master[[#This Row],[ChecklistID]],Master[[#This Row],[ChecklistID]])-1</f>
        <v>1</v>
      </c>
      <c r="L2261" s="23" t="s">
        <v>6</v>
      </c>
    </row>
    <row r="2262" spans="1:12" ht="15.75">
      <c r="A2262" s="23">
        <f t="shared" si="35"/>
        <v>2249</v>
      </c>
      <c r="B2262" s="21">
        <f ca="1">Master[[#This Row],[ChecklistID]]+Master[[#This Row],[Checklist Order]]</f>
        <v>199002</v>
      </c>
      <c r="C2262" s="22"/>
      <c r="D2262" s="23" t="str" cm="1">
        <f t="array" aca="1" ref="D2262" ca="1">_xlfn.SWITCH(MID(Master[[#This Row],[Checklist]],1,4),"C - ","Civil","F - ","Foundation","ST -","Structure","FC -","Façade","PRE ","Pre-Line","POST","Post-Line","H - ","Handover","S - ","Services","CST ","Completion Docs", "I - ", "Inspection")</f>
        <v>Civil</v>
      </c>
      <c r="E22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2" s="24" t="str">
        <f ca="1">IF(OR(Master[[#This Row],[Type]]="checklist", Master[[#This Row],[Type]]="checklist-flat"), Master[[#This Row],[Name]], F2261)</f>
        <v>C - S - Manhole Installation</v>
      </c>
      <c r="G2262" s="34" t="s">
        <v>49</v>
      </c>
      <c r="H2262" s="34" t="s">
        <v>75</v>
      </c>
      <c r="I2262" s="35"/>
      <c r="J2262" s="21">
        <f ca="1">_xlfn.XLOOKUP(Master[[#This Row],[Checklist]],Ref!A:A,Ref!B:B)*1000</f>
        <v>199000</v>
      </c>
      <c r="K2262" s="21">
        <f ca="1">COUNTIF($J$2:Master[[#This Row],[ChecklistID]],Master[[#This Row],[ChecklistID]])-1</f>
        <v>2</v>
      </c>
      <c r="L2262" s="23" t="s">
        <v>6</v>
      </c>
    </row>
    <row r="2263" spans="1:12" ht="15.75">
      <c r="A2263" s="23">
        <f t="shared" si="35"/>
        <v>2250</v>
      </c>
      <c r="B2263" s="21">
        <f ca="1">Master[[#This Row],[ChecklistID]]+Master[[#This Row],[Checklist Order]]</f>
        <v>199003</v>
      </c>
      <c r="C2263" s="22"/>
      <c r="D2263" s="23" t="str" cm="1">
        <f t="array" aca="1" ref="D2263" ca="1">_xlfn.SWITCH(MID(Master[[#This Row],[Checklist]],1,4),"C - ","Civil","F - ","Foundation","ST -","Structure","FC -","Façade","PRE ","Pre-Line","POST","Post-Line","H - ","Handover","S - ","Services","CST ","Completion Docs", "I - ", "Inspection")</f>
        <v>Civil</v>
      </c>
      <c r="E22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3" s="24" t="str">
        <f ca="1">IF(OR(Master[[#This Row],[Type]]="checklist", Master[[#This Row],[Type]]="checklist-flat"), Master[[#This Row],[Name]], F2262)</f>
        <v>C - S - Manhole Installation</v>
      </c>
      <c r="G2263" s="34" t="s">
        <v>49</v>
      </c>
      <c r="H2263" s="34" t="s">
        <v>77</v>
      </c>
      <c r="I2263" s="35"/>
      <c r="J2263" s="21">
        <f ca="1">_xlfn.XLOOKUP(Master[[#This Row],[Checklist]],Ref!A:A,Ref!B:B)*1000</f>
        <v>199000</v>
      </c>
      <c r="K2263" s="21">
        <f ca="1">COUNTIF($J$2:Master[[#This Row],[ChecklistID]],Master[[#This Row],[ChecklistID]])-1</f>
        <v>3</v>
      </c>
      <c r="L2263" s="23" t="s">
        <v>6</v>
      </c>
    </row>
    <row r="2264" spans="1:12" ht="15.75">
      <c r="A2264" s="23">
        <f t="shared" si="35"/>
        <v>2251</v>
      </c>
      <c r="B2264" s="21">
        <f ca="1">Master[[#This Row],[ChecklistID]]+Master[[#This Row],[Checklist Order]]</f>
        <v>199004</v>
      </c>
      <c r="C2264" s="22"/>
      <c r="D2264" s="23" t="str" cm="1">
        <f t="array" aca="1" ref="D2264" ca="1">_xlfn.SWITCH(MID(Master[[#This Row],[Checklist]],1,4),"C - ","Civil","F - ","Foundation","ST -","Structure","FC -","Façade","PRE ","Pre-Line","POST","Post-Line","H - ","Handover","S - ","Services","CST ","Completion Docs", "I - ", "Inspection")</f>
        <v>Civil</v>
      </c>
      <c r="E22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4" s="24" t="str">
        <f ca="1">IF(OR(Master[[#This Row],[Type]]="checklist", Master[[#This Row],[Type]]="checklist-flat"), Master[[#This Row],[Name]], F2263)</f>
        <v>C - S - Manhole Installation</v>
      </c>
      <c r="G2264" s="34" t="s">
        <v>49</v>
      </c>
      <c r="H2264" s="34" t="s">
        <v>1193</v>
      </c>
      <c r="I2264" s="35"/>
      <c r="J2264" s="21">
        <f ca="1">_xlfn.XLOOKUP(Master[[#This Row],[Checklist]],Ref!A:A,Ref!B:B)*1000</f>
        <v>199000</v>
      </c>
      <c r="K2264" s="21">
        <f ca="1">COUNTIF($J$2:Master[[#This Row],[ChecklistID]],Master[[#This Row],[ChecklistID]])-1</f>
        <v>4</v>
      </c>
      <c r="L2264" s="23" t="s">
        <v>6</v>
      </c>
    </row>
    <row r="2265" spans="1:12" ht="15.75">
      <c r="A2265" s="23">
        <f t="shared" si="35"/>
        <v>2252</v>
      </c>
      <c r="B2265" s="21">
        <f ca="1">Master[[#This Row],[ChecklistID]]+Master[[#This Row],[Checklist Order]]</f>
        <v>199005</v>
      </c>
      <c r="C2265" s="22"/>
      <c r="D2265" s="23" t="str" cm="1">
        <f t="array" aca="1" ref="D2265" ca="1">_xlfn.SWITCH(MID(Master[[#This Row],[Checklist]],1,4),"C - ","Civil","F - ","Foundation","ST -","Structure","FC -","Façade","PRE ","Pre-Line","POST","Post-Line","H - ","Handover","S - ","Services","CST ","Completion Docs", "I - ", "Inspection")</f>
        <v>Civil</v>
      </c>
      <c r="E22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5" s="24" t="str">
        <f ca="1">IF(OR(Master[[#This Row],[Type]]="checklist", Master[[#This Row],[Type]]="checklist-flat"), Master[[#This Row],[Name]], F2264)</f>
        <v>C - S - Manhole Installation</v>
      </c>
      <c r="G2265" s="34" t="s">
        <v>49</v>
      </c>
      <c r="H2265" s="34" t="s">
        <v>1194</v>
      </c>
      <c r="I2265" s="35"/>
      <c r="J2265" s="21">
        <f ca="1">_xlfn.XLOOKUP(Master[[#This Row],[Checklist]],Ref!A:A,Ref!B:B)*1000</f>
        <v>199000</v>
      </c>
      <c r="K2265" s="21">
        <f ca="1">COUNTIF($J$2:Master[[#This Row],[ChecklistID]],Master[[#This Row],[ChecklistID]])-1</f>
        <v>5</v>
      </c>
      <c r="L2265" s="23" t="s">
        <v>6</v>
      </c>
    </row>
    <row r="2266" spans="1:12" ht="15.75">
      <c r="A2266" s="23">
        <f t="shared" si="35"/>
        <v>2253</v>
      </c>
      <c r="B2266" s="21">
        <f ca="1">Master[[#This Row],[ChecklistID]]+Master[[#This Row],[Checklist Order]]</f>
        <v>199006</v>
      </c>
      <c r="C2266" s="22"/>
      <c r="D2266" s="23" t="str" cm="1">
        <f t="array" aca="1" ref="D2266" ca="1">_xlfn.SWITCH(MID(Master[[#This Row],[Checklist]],1,4),"C - ","Civil","F - ","Foundation","ST -","Structure","FC -","Façade","PRE ","Pre-Line","POST","Post-Line","H - ","Handover","S - ","Services","CST ","Completion Docs", "I - ", "Inspection")</f>
        <v>Civil</v>
      </c>
      <c r="E22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6" s="24" t="str">
        <f ca="1">IF(OR(Master[[#This Row],[Type]]="checklist", Master[[#This Row],[Type]]="checklist-flat"), Master[[#This Row],[Name]], F2265)</f>
        <v>C - S - Manhole Installation</v>
      </c>
      <c r="G2266" s="34" t="s">
        <v>49</v>
      </c>
      <c r="H2266" s="34" t="s">
        <v>1195</v>
      </c>
      <c r="I2266" s="35"/>
      <c r="J2266" s="21">
        <f ca="1">_xlfn.XLOOKUP(Master[[#This Row],[Checklist]],Ref!A:A,Ref!B:B)*1000</f>
        <v>199000</v>
      </c>
      <c r="K2266" s="21">
        <f ca="1">COUNTIF($J$2:Master[[#This Row],[ChecklistID]],Master[[#This Row],[ChecklistID]])-1</f>
        <v>6</v>
      </c>
      <c r="L2266" s="23" t="s">
        <v>6</v>
      </c>
    </row>
    <row r="2267" spans="1:12" ht="15.75">
      <c r="A2267" s="23">
        <f t="shared" si="35"/>
        <v>2254</v>
      </c>
      <c r="B2267" s="21">
        <f ca="1">Master[[#This Row],[ChecklistID]]+Master[[#This Row],[Checklist Order]]</f>
        <v>199007</v>
      </c>
      <c r="C2267" s="22"/>
      <c r="D2267" s="23" t="str" cm="1">
        <f t="array" aca="1" ref="D2267" ca="1">_xlfn.SWITCH(MID(Master[[#This Row],[Checklist]],1,4),"C - ","Civil","F - ","Foundation","ST -","Structure","FC -","Façade","PRE ","Pre-Line","POST","Post-Line","H - ","Handover","S - ","Services","CST ","Completion Docs", "I - ", "Inspection")</f>
        <v>Civil</v>
      </c>
      <c r="E22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7" s="24" t="str">
        <f ca="1">IF(OR(Master[[#This Row],[Type]]="checklist", Master[[#This Row],[Type]]="checklist-flat"), Master[[#This Row],[Name]], F2266)</f>
        <v>C - S - Manhole Installation</v>
      </c>
      <c r="G2267" s="34" t="s">
        <v>49</v>
      </c>
      <c r="H2267" s="34" t="s">
        <v>1196</v>
      </c>
      <c r="I2267" s="35"/>
      <c r="J2267" s="21">
        <f ca="1">_xlfn.XLOOKUP(Master[[#This Row],[Checklist]],Ref!A:A,Ref!B:B)*1000</f>
        <v>199000</v>
      </c>
      <c r="K2267" s="21">
        <f ca="1">COUNTIF($J$2:Master[[#This Row],[ChecklistID]],Master[[#This Row],[ChecklistID]])-1</f>
        <v>7</v>
      </c>
      <c r="L2267" s="23" t="s">
        <v>6</v>
      </c>
    </row>
    <row r="2268" spans="1:12" ht="15.75">
      <c r="A2268" s="23">
        <f t="shared" si="35"/>
        <v>2255</v>
      </c>
      <c r="B2268" s="21">
        <f ca="1">Master[[#This Row],[ChecklistID]]+Master[[#This Row],[Checklist Order]]</f>
        <v>199008</v>
      </c>
      <c r="C2268" s="22"/>
      <c r="D2268" s="23" t="str" cm="1">
        <f t="array" aca="1" ref="D2268" ca="1">_xlfn.SWITCH(MID(Master[[#This Row],[Checklist]],1,4),"C - ","Civil","F - ","Foundation","ST -","Structure","FC -","Façade","PRE ","Pre-Line","POST","Post-Line","H - ","Handover","S - ","Services","CST ","Completion Docs", "I - ", "Inspection")</f>
        <v>Civil</v>
      </c>
      <c r="E22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8" s="24" t="str">
        <f ca="1">IF(OR(Master[[#This Row],[Type]]="checklist", Master[[#This Row],[Type]]="checklist-flat"), Master[[#This Row],[Name]], F2267)</f>
        <v>C - S - Manhole Installation</v>
      </c>
      <c r="G2268" s="34" t="s">
        <v>49</v>
      </c>
      <c r="H2268" s="34" t="s">
        <v>1197</v>
      </c>
      <c r="I2268" s="35"/>
      <c r="J2268" s="21">
        <f ca="1">_xlfn.XLOOKUP(Master[[#This Row],[Checklist]],Ref!A:A,Ref!B:B)*1000</f>
        <v>199000</v>
      </c>
      <c r="K2268" s="21">
        <f ca="1">COUNTIF($J$2:Master[[#This Row],[ChecklistID]],Master[[#This Row],[ChecklistID]])-1</f>
        <v>8</v>
      </c>
      <c r="L2268" s="23" t="s">
        <v>6</v>
      </c>
    </row>
    <row r="2269" spans="1:12" ht="15.75">
      <c r="A2269" s="23">
        <f t="shared" si="35"/>
        <v>2256</v>
      </c>
      <c r="B2269" s="21">
        <f ca="1">Master[[#This Row],[ChecklistID]]+Master[[#This Row],[Checklist Order]]</f>
        <v>199009</v>
      </c>
      <c r="C2269" s="22"/>
      <c r="D2269" s="23" t="str" cm="1">
        <f t="array" aca="1" ref="D2269" ca="1">_xlfn.SWITCH(MID(Master[[#This Row],[Checklist]],1,4),"C - ","Civil","F - ","Foundation","ST -","Structure","FC -","Façade","PRE ","Pre-Line","POST","Post-Line","H - ","Handover","S - ","Services","CST ","Completion Docs", "I - ", "Inspection")</f>
        <v>Civil</v>
      </c>
      <c r="E22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69" s="24" t="str">
        <f ca="1">IF(OR(Master[[#This Row],[Type]]="checklist", Master[[#This Row],[Type]]="checklist-flat"), Master[[#This Row],[Name]], F2268)</f>
        <v>C - S - Manhole Installation</v>
      </c>
      <c r="G2269" s="34" t="s">
        <v>49</v>
      </c>
      <c r="H2269" s="34" t="s">
        <v>1198</v>
      </c>
      <c r="I2269" s="35"/>
      <c r="J2269" s="21">
        <f ca="1">_xlfn.XLOOKUP(Master[[#This Row],[Checklist]],Ref!A:A,Ref!B:B)*1000</f>
        <v>199000</v>
      </c>
      <c r="K2269" s="21">
        <f ca="1">COUNTIF($J$2:Master[[#This Row],[ChecklistID]],Master[[#This Row],[ChecklistID]])-1</f>
        <v>9</v>
      </c>
      <c r="L2269" s="23" t="s">
        <v>6</v>
      </c>
    </row>
    <row r="2270" spans="1:12" ht="15.75">
      <c r="A2270" s="23">
        <f t="shared" si="35"/>
        <v>2257</v>
      </c>
      <c r="B2270" s="21">
        <f ca="1">Master[[#This Row],[ChecklistID]]+Master[[#This Row],[Checklist Order]]</f>
        <v>199010</v>
      </c>
      <c r="C2270" s="22"/>
      <c r="D2270" s="23" t="str" cm="1">
        <f t="array" aca="1" ref="D2270" ca="1">_xlfn.SWITCH(MID(Master[[#This Row],[Checklist]],1,4),"C - ","Civil","F - ","Foundation","ST -","Structure","FC -","Façade","PRE ","Pre-Line","POST","Post-Line","H - ","Handover","S - ","Services","CST ","Completion Docs", "I - ", "Inspection")</f>
        <v>Civil</v>
      </c>
      <c r="E22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0" s="24" t="str">
        <f ca="1">IF(OR(Master[[#This Row],[Type]]="checklist", Master[[#This Row],[Type]]="checklist-flat"), Master[[#This Row],[Name]], F2269)</f>
        <v>C - S - Manhole Installation</v>
      </c>
      <c r="G2270" s="34" t="s">
        <v>49</v>
      </c>
      <c r="H2270" s="34" t="s">
        <v>82</v>
      </c>
      <c r="I2270" s="35"/>
      <c r="J2270" s="21">
        <f ca="1">_xlfn.XLOOKUP(Master[[#This Row],[Checklist]],Ref!A:A,Ref!B:B)*1000</f>
        <v>199000</v>
      </c>
      <c r="K2270" s="21">
        <f ca="1">COUNTIF($J$2:Master[[#This Row],[ChecklistID]],Master[[#This Row],[ChecklistID]])-1</f>
        <v>10</v>
      </c>
      <c r="L2270" s="23" t="s">
        <v>6</v>
      </c>
    </row>
    <row r="2271" spans="1:12" ht="15.75">
      <c r="A2271" s="23">
        <f t="shared" si="35"/>
        <v>2258</v>
      </c>
      <c r="B2271" s="21">
        <f ca="1">Master[[#This Row],[ChecklistID]]+Master[[#This Row],[Checklist Order]]</f>
        <v>199011</v>
      </c>
      <c r="C2271" s="22"/>
      <c r="D2271" s="23" t="str" cm="1">
        <f t="array" aca="1" ref="D2271" ca="1">_xlfn.SWITCH(MID(Master[[#This Row],[Checklist]],1,4),"C - ","Civil","F - ","Foundation","ST -","Structure","FC -","Façade","PRE ","Pre-Line","POST","Post-Line","H - ","Handover","S - ","Services","CST ","Completion Docs", "I - ", "Inspection")</f>
        <v>Civil</v>
      </c>
      <c r="E22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1" s="24" t="str">
        <f ca="1">IF(OR(Master[[#This Row],[Type]]="checklist", Master[[#This Row],[Type]]="checklist-flat"), Master[[#This Row],[Name]], F2270)</f>
        <v>C - S - Manhole Installation</v>
      </c>
      <c r="G2271" s="34" t="s">
        <v>49</v>
      </c>
      <c r="H2271" s="34" t="s">
        <v>57</v>
      </c>
      <c r="I2271" s="35"/>
      <c r="J2271" s="21">
        <f ca="1">_xlfn.XLOOKUP(Master[[#This Row],[Checklist]],Ref!A:A,Ref!B:B)*1000</f>
        <v>199000</v>
      </c>
      <c r="K2271" s="21">
        <f ca="1">COUNTIF($J$2:Master[[#This Row],[ChecklistID]],Master[[#This Row],[ChecklistID]])-1</f>
        <v>11</v>
      </c>
      <c r="L2271" s="23" t="s">
        <v>6</v>
      </c>
    </row>
    <row r="2272" spans="1:12" ht="15.75">
      <c r="A2272" s="23">
        <f t="shared" si="35"/>
        <v>2259</v>
      </c>
      <c r="B2272" s="21">
        <f ca="1">Master[[#This Row],[ChecklistID]]+Master[[#This Row],[Checklist Order]]</f>
        <v>199012</v>
      </c>
      <c r="C2272" s="22"/>
      <c r="D2272" s="23" t="str" cm="1">
        <f t="array" aca="1" ref="D2272" ca="1">_xlfn.SWITCH(MID(Master[[#This Row],[Checklist]],1,4),"C - ","Civil","F - ","Foundation","ST -","Structure","FC -","Façade","PRE ","Pre-Line","POST","Post-Line","H - ","Handover","S - ","Services","CST ","Completion Docs", "I - ", "Inspection")</f>
        <v>Civil</v>
      </c>
      <c r="E22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2" s="24" t="str">
        <f ca="1">IF(OR(Master[[#This Row],[Type]]="checklist", Master[[#This Row],[Type]]="checklist-flat"), Master[[#This Row],[Name]], F2271)</f>
        <v>C - S - Manhole Installation</v>
      </c>
      <c r="G2272" s="34" t="s">
        <v>58</v>
      </c>
      <c r="H2272" s="34" t="s">
        <v>59</v>
      </c>
      <c r="I2272" s="35"/>
      <c r="J2272" s="21">
        <f ca="1">_xlfn.XLOOKUP(Master[[#This Row],[Checklist]],Ref!A:A,Ref!B:B)*1000</f>
        <v>199000</v>
      </c>
      <c r="K2272" s="21">
        <f ca="1">COUNTIF($J$2:Master[[#This Row],[ChecklistID]],Master[[#This Row],[ChecklistID]])-1</f>
        <v>12</v>
      </c>
      <c r="L2272" s="23" t="s">
        <v>6</v>
      </c>
    </row>
    <row r="2273" spans="1:12" ht="15.75">
      <c r="A2273" s="23">
        <f t="shared" si="35"/>
        <v>2260</v>
      </c>
      <c r="B2273" s="21">
        <f ca="1">Master[[#This Row],[ChecklistID]]+Master[[#This Row],[Checklist Order]]</f>
        <v>200000</v>
      </c>
      <c r="C2273" s="22"/>
      <c r="D2273" s="23" t="str" cm="1">
        <f t="array" aca="1" ref="D2273" ca="1">_xlfn.SWITCH(MID(Master[[#This Row],[Checklist]],1,4),"C - ","Civil","F - ","Foundation","ST -","Structure","FC -","Façade","PRE ","Pre-Line","POST","Post-Line","H - ","Handover","S - ","Services","CST ","Completion Docs", "I - ", "Inspection")</f>
        <v>Civil</v>
      </c>
      <c r="E22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3" s="24" t="str">
        <f ca="1">IF(OR(Master[[#This Row],[Type]]="checklist", Master[[#This Row],[Type]]="checklist-flat"), Master[[#This Row],[Name]], F2272)</f>
        <v>C - S - Lift Pit Installation</v>
      </c>
      <c r="G2273" s="34" t="s">
        <v>48</v>
      </c>
      <c r="H2273" s="34" t="s">
        <v>1199</v>
      </c>
      <c r="I2273" s="35"/>
      <c r="J2273" s="21">
        <f ca="1">_xlfn.XLOOKUP(Master[[#This Row],[Checklist]],Ref!A:A,Ref!B:B)*1000</f>
        <v>200000</v>
      </c>
      <c r="K2273" s="21">
        <f ca="1">COUNTIF($J$2:Master[[#This Row],[ChecklistID]],Master[[#This Row],[ChecklistID]])-1</f>
        <v>0</v>
      </c>
      <c r="L2273" s="23" t="s">
        <v>6</v>
      </c>
    </row>
    <row r="2274" spans="1:12" ht="15.75">
      <c r="A2274" s="23">
        <f t="shared" si="35"/>
        <v>2261</v>
      </c>
      <c r="B2274" s="21">
        <f ca="1">Master[[#This Row],[ChecklistID]]+Master[[#This Row],[Checklist Order]]</f>
        <v>200001</v>
      </c>
      <c r="C2274" s="22"/>
      <c r="D2274" s="23" t="str" cm="1">
        <f t="array" aca="1" ref="D2274" ca="1">_xlfn.SWITCH(MID(Master[[#This Row],[Checklist]],1,4),"C - ","Civil","F - ","Foundation","ST -","Structure","FC -","Façade","PRE ","Pre-Line","POST","Post-Line","H - ","Handover","S - ","Services","CST ","Completion Docs", "I - ", "Inspection")</f>
        <v>Civil</v>
      </c>
      <c r="E22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4" s="24" t="str">
        <f ca="1">IF(OR(Master[[#This Row],[Type]]="checklist", Master[[#This Row],[Type]]="checklist-flat"), Master[[#This Row],[Name]], F2273)</f>
        <v>C - S - Lift Pit Installation</v>
      </c>
      <c r="G2274" s="34" t="s">
        <v>49</v>
      </c>
      <c r="H2274" s="34" t="s">
        <v>74</v>
      </c>
      <c r="I2274" s="35"/>
      <c r="J2274" s="21">
        <f ca="1">_xlfn.XLOOKUP(Master[[#This Row],[Checklist]],Ref!A:A,Ref!B:B)*1000</f>
        <v>200000</v>
      </c>
      <c r="K2274" s="21">
        <f ca="1">COUNTIF($J$2:Master[[#This Row],[ChecklistID]],Master[[#This Row],[ChecklistID]])-1</f>
        <v>1</v>
      </c>
      <c r="L2274" s="23" t="s">
        <v>6</v>
      </c>
    </row>
    <row r="2275" spans="1:12" ht="15.75">
      <c r="A2275" s="23">
        <f t="shared" si="35"/>
        <v>2262</v>
      </c>
      <c r="B2275" s="21">
        <f ca="1">Master[[#This Row],[ChecklistID]]+Master[[#This Row],[Checklist Order]]</f>
        <v>200002</v>
      </c>
      <c r="C2275" s="22"/>
      <c r="D2275" s="23" t="str" cm="1">
        <f t="array" aca="1" ref="D2275" ca="1">_xlfn.SWITCH(MID(Master[[#This Row],[Checklist]],1,4),"C - ","Civil","F - ","Foundation","ST -","Structure","FC -","Façade","PRE ","Pre-Line","POST","Post-Line","H - ","Handover","S - ","Services","CST ","Completion Docs", "I - ", "Inspection")</f>
        <v>Civil</v>
      </c>
      <c r="E22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5" s="24" t="str">
        <f ca="1">IF(OR(Master[[#This Row],[Type]]="checklist", Master[[#This Row],[Type]]="checklist-flat"), Master[[#This Row],[Name]], F2274)</f>
        <v>C - S - Lift Pit Installation</v>
      </c>
      <c r="G2275" s="34" t="s">
        <v>49</v>
      </c>
      <c r="H2275" s="34" t="s">
        <v>75</v>
      </c>
      <c r="I2275" s="35"/>
      <c r="J2275" s="21">
        <f ca="1">_xlfn.XLOOKUP(Master[[#This Row],[Checklist]],Ref!A:A,Ref!B:B)*1000</f>
        <v>200000</v>
      </c>
      <c r="K2275" s="21">
        <f ca="1">COUNTIF($J$2:Master[[#This Row],[ChecklistID]],Master[[#This Row],[ChecklistID]])-1</f>
        <v>2</v>
      </c>
      <c r="L2275" s="23" t="s">
        <v>6</v>
      </c>
    </row>
    <row r="2276" spans="1:12" ht="15.75">
      <c r="A2276" s="23">
        <f t="shared" si="35"/>
        <v>2263</v>
      </c>
      <c r="B2276" s="21">
        <f ca="1">Master[[#This Row],[ChecklistID]]+Master[[#This Row],[Checklist Order]]</f>
        <v>200003</v>
      </c>
      <c r="C2276" s="22"/>
      <c r="D2276" s="23" t="str" cm="1">
        <f t="array" aca="1" ref="D2276" ca="1">_xlfn.SWITCH(MID(Master[[#This Row],[Checklist]],1,4),"C - ","Civil","F - ","Foundation","ST -","Structure","FC -","Façade","PRE ","Pre-Line","POST","Post-Line","H - ","Handover","S - ","Services","CST ","Completion Docs", "I - ", "Inspection")</f>
        <v>Civil</v>
      </c>
      <c r="E22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6" s="24" t="str">
        <f ca="1">IF(OR(Master[[#This Row],[Type]]="checklist", Master[[#This Row],[Type]]="checklist-flat"), Master[[#This Row],[Name]], F2275)</f>
        <v>C - S - Lift Pit Installation</v>
      </c>
      <c r="G2276" s="34" t="s">
        <v>49</v>
      </c>
      <c r="H2276" s="34" t="s">
        <v>77</v>
      </c>
      <c r="I2276" s="35"/>
      <c r="J2276" s="21">
        <f ca="1">_xlfn.XLOOKUP(Master[[#This Row],[Checklist]],Ref!A:A,Ref!B:B)*1000</f>
        <v>200000</v>
      </c>
      <c r="K2276" s="21">
        <f ca="1">COUNTIF($J$2:Master[[#This Row],[ChecklistID]],Master[[#This Row],[ChecklistID]])-1</f>
        <v>3</v>
      </c>
      <c r="L2276" s="23" t="s">
        <v>6</v>
      </c>
    </row>
    <row r="2277" spans="1:12" ht="15.75">
      <c r="A2277" s="23">
        <f t="shared" si="35"/>
        <v>2264</v>
      </c>
      <c r="B2277" s="21">
        <f ca="1">Master[[#This Row],[ChecklistID]]+Master[[#This Row],[Checklist Order]]</f>
        <v>200004</v>
      </c>
      <c r="C2277" s="22"/>
      <c r="D2277" s="23" t="str" cm="1">
        <f t="array" aca="1" ref="D2277" ca="1">_xlfn.SWITCH(MID(Master[[#This Row],[Checklist]],1,4),"C - ","Civil","F - ","Foundation","ST -","Structure","FC -","Façade","PRE ","Pre-Line","POST","Post-Line","H - ","Handover","S - ","Services","CST ","Completion Docs", "I - ", "Inspection")</f>
        <v>Civil</v>
      </c>
      <c r="E22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7" s="24" t="str">
        <f ca="1">IF(OR(Master[[#This Row],[Type]]="checklist", Master[[#This Row],[Type]]="checklist-flat"), Master[[#This Row],[Name]], F2276)</f>
        <v>C - S - Lift Pit Installation</v>
      </c>
      <c r="G2277" s="34" t="s">
        <v>49</v>
      </c>
      <c r="H2277" s="34" t="s">
        <v>1717</v>
      </c>
      <c r="I2277" s="35"/>
      <c r="J2277" s="21">
        <f ca="1">_xlfn.XLOOKUP(Master[[#This Row],[Checklist]],Ref!A:A,Ref!B:B)*1000</f>
        <v>200000</v>
      </c>
      <c r="K2277" s="21">
        <f ca="1">COUNTIF($J$2:Master[[#This Row],[ChecklistID]],Master[[#This Row],[ChecklistID]])-1</f>
        <v>4</v>
      </c>
      <c r="L2277" s="23" t="s">
        <v>6</v>
      </c>
    </row>
    <row r="2278" spans="1:12" ht="15.75">
      <c r="A2278" s="23">
        <f t="shared" si="35"/>
        <v>2265</v>
      </c>
      <c r="B2278" s="21">
        <f ca="1">Master[[#This Row],[ChecklistID]]+Master[[#This Row],[Checklist Order]]</f>
        <v>200005</v>
      </c>
      <c r="C2278" s="22"/>
      <c r="D2278" s="23" t="str" cm="1">
        <f t="array" aca="1" ref="D2278" ca="1">_xlfn.SWITCH(MID(Master[[#This Row],[Checklist]],1,4),"C - ","Civil","F - ","Foundation","ST -","Structure","FC -","Façade","PRE ","Pre-Line","POST","Post-Line","H - ","Handover","S - ","Services","CST ","Completion Docs", "I - ", "Inspection")</f>
        <v>Civil</v>
      </c>
      <c r="E22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8" s="24" t="str">
        <f ca="1">IF(OR(Master[[#This Row],[Type]]="checklist", Master[[#This Row],[Type]]="checklist-flat"), Master[[#This Row],[Name]], F2277)</f>
        <v>C - S - Lift Pit Installation</v>
      </c>
      <c r="G2278" s="34" t="s">
        <v>49</v>
      </c>
      <c r="H2278" s="34" t="s">
        <v>1201</v>
      </c>
      <c r="I2278" s="35"/>
      <c r="J2278" s="21">
        <f ca="1">_xlfn.XLOOKUP(Master[[#This Row],[Checklist]],Ref!A:A,Ref!B:B)*1000</f>
        <v>200000</v>
      </c>
      <c r="K2278" s="21">
        <f ca="1">COUNTIF($J$2:Master[[#This Row],[ChecklistID]],Master[[#This Row],[ChecklistID]])-1</f>
        <v>5</v>
      </c>
      <c r="L2278" s="23" t="s">
        <v>6</v>
      </c>
    </row>
    <row r="2279" spans="1:12" ht="15.75">
      <c r="A2279" s="23">
        <f t="shared" si="35"/>
        <v>2266</v>
      </c>
      <c r="B2279" s="21">
        <f ca="1">Master[[#This Row],[ChecklistID]]+Master[[#This Row],[Checklist Order]]</f>
        <v>200006</v>
      </c>
      <c r="C2279" s="22"/>
      <c r="D2279" s="23" t="str" cm="1">
        <f t="array" aca="1" ref="D2279" ca="1">_xlfn.SWITCH(MID(Master[[#This Row],[Checklist]],1,4),"C - ","Civil","F - ","Foundation","ST -","Structure","FC -","Façade","PRE ","Pre-Line","POST","Post-Line","H - ","Handover","S - ","Services","CST ","Completion Docs", "I - ", "Inspection")</f>
        <v>Civil</v>
      </c>
      <c r="E22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79" s="24" t="str">
        <f ca="1">IF(OR(Master[[#This Row],[Type]]="checklist", Master[[#This Row],[Type]]="checklist-flat"), Master[[#This Row],[Name]], F2278)</f>
        <v>C - S - Lift Pit Installation</v>
      </c>
      <c r="G2279" s="34" t="s">
        <v>49</v>
      </c>
      <c r="H2279" s="34" t="s">
        <v>57</v>
      </c>
      <c r="I2279" s="35"/>
      <c r="J2279" s="21">
        <f ca="1">_xlfn.XLOOKUP(Master[[#This Row],[Checklist]],Ref!A:A,Ref!B:B)*1000</f>
        <v>200000</v>
      </c>
      <c r="K2279" s="21">
        <f ca="1">COUNTIF($J$2:Master[[#This Row],[ChecklistID]],Master[[#This Row],[ChecklistID]])-1</f>
        <v>6</v>
      </c>
      <c r="L2279" s="23" t="s">
        <v>6</v>
      </c>
    </row>
    <row r="2280" spans="1:12" ht="15.75">
      <c r="A2280" s="23">
        <f t="shared" si="35"/>
        <v>2267</v>
      </c>
      <c r="B2280" s="21">
        <f ca="1">Master[[#This Row],[ChecklistID]]+Master[[#This Row],[Checklist Order]]</f>
        <v>200007</v>
      </c>
      <c r="C2280" s="22"/>
      <c r="D2280" s="23" t="str" cm="1">
        <f t="array" aca="1" ref="D2280" ca="1">_xlfn.SWITCH(MID(Master[[#This Row],[Checklist]],1,4),"C - ","Civil","F - ","Foundation","ST -","Structure","FC -","Façade","PRE ","Pre-Line","POST","Post-Line","H - ","Handover","S - ","Services","CST ","Completion Docs", "I - ", "Inspection")</f>
        <v>Civil</v>
      </c>
      <c r="E22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0" s="24" t="str">
        <f ca="1">IF(OR(Master[[#This Row],[Type]]="checklist", Master[[#This Row],[Type]]="checklist-flat"), Master[[#This Row],[Name]], F2279)</f>
        <v>C - S - Lift Pit Installation</v>
      </c>
      <c r="G2280" s="34" t="s">
        <v>58</v>
      </c>
      <c r="H2280" s="34" t="s">
        <v>59</v>
      </c>
      <c r="I2280" s="35"/>
      <c r="J2280" s="21">
        <f ca="1">_xlfn.XLOOKUP(Master[[#This Row],[Checklist]],Ref!A:A,Ref!B:B)*1000</f>
        <v>200000</v>
      </c>
      <c r="K2280" s="21">
        <f ca="1">COUNTIF($J$2:Master[[#This Row],[ChecklistID]],Master[[#This Row],[ChecklistID]])-1</f>
        <v>7</v>
      </c>
      <c r="L2280" s="23" t="s">
        <v>6</v>
      </c>
    </row>
    <row r="2281" spans="1:12" ht="15.75">
      <c r="A2281" s="23">
        <f t="shared" si="35"/>
        <v>2268</v>
      </c>
      <c r="B2281" s="21">
        <f ca="1">Master[[#This Row],[ChecklistID]]+Master[[#This Row],[Checklist Order]]</f>
        <v>201000</v>
      </c>
      <c r="C2281" s="22"/>
      <c r="D2281" s="23" t="str" cm="1">
        <f t="array" aca="1" ref="D2281" ca="1">_xlfn.SWITCH(MID(Master[[#This Row],[Checklist]],1,4),"C - ","Civil","F - ","Foundation","ST -","Structure","FC -","Façade","PRE ","Pre-Line","POST","Post-Line","H - ","Handover","S - ","Services","CST ","Completion Docs", "I - ", "Inspection")</f>
        <v>Foundation</v>
      </c>
      <c r="E22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1" s="24" t="str">
        <f ca="1">IF(OR(Master[[#This Row],[Type]]="checklist", Master[[#This Row],[Type]]="checklist-flat"), Master[[#This Row],[Name]], F2280)</f>
        <v>F - S - Backfilling</v>
      </c>
      <c r="G2281" s="34" t="s">
        <v>48</v>
      </c>
      <c r="H2281" s="34" t="s">
        <v>1202</v>
      </c>
      <c r="I2281" s="35"/>
      <c r="J2281" s="21">
        <f ca="1">_xlfn.XLOOKUP(Master[[#This Row],[Checklist]],Ref!A:A,Ref!B:B)*1000</f>
        <v>201000</v>
      </c>
      <c r="K2281" s="21">
        <f ca="1">COUNTIF($J$2:Master[[#This Row],[ChecklistID]],Master[[#This Row],[ChecklistID]])-1</f>
        <v>0</v>
      </c>
      <c r="L2281" s="23" t="s">
        <v>6</v>
      </c>
    </row>
    <row r="2282" spans="1:12" ht="15.75">
      <c r="A2282" s="23">
        <f t="shared" si="35"/>
        <v>2269</v>
      </c>
      <c r="B2282" s="21">
        <f ca="1">Master[[#This Row],[ChecklistID]]+Master[[#This Row],[Checklist Order]]</f>
        <v>201001</v>
      </c>
      <c r="C2282" s="22"/>
      <c r="D2282" s="23" t="str" cm="1">
        <f t="array" aca="1" ref="D2282" ca="1">_xlfn.SWITCH(MID(Master[[#This Row],[Checklist]],1,4),"C - ","Civil","F - ","Foundation","ST -","Structure","FC -","Façade","PRE ","Pre-Line","POST","Post-Line","H - ","Handover","S - ","Services","CST ","Completion Docs", "I - ", "Inspection")</f>
        <v>Foundation</v>
      </c>
      <c r="E22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2" s="24" t="str">
        <f ca="1">IF(OR(Master[[#This Row],[Type]]="checklist", Master[[#This Row],[Type]]="checklist-flat"), Master[[#This Row],[Name]], F2281)</f>
        <v>F - S - Backfilling</v>
      </c>
      <c r="G2282" s="34" t="s">
        <v>49</v>
      </c>
      <c r="H2282" s="34" t="s">
        <v>1203</v>
      </c>
      <c r="I2282" s="35"/>
      <c r="J2282" s="21">
        <f ca="1">_xlfn.XLOOKUP(Master[[#This Row],[Checklist]],Ref!A:A,Ref!B:B)*1000</f>
        <v>201000</v>
      </c>
      <c r="K2282" s="21">
        <f ca="1">COUNTIF($J$2:Master[[#This Row],[ChecklistID]],Master[[#This Row],[ChecklistID]])-1</f>
        <v>1</v>
      </c>
      <c r="L2282" s="23" t="s">
        <v>6</v>
      </c>
    </row>
    <row r="2283" spans="1:12" ht="15.75">
      <c r="A2283" s="23">
        <f t="shared" si="35"/>
        <v>2270</v>
      </c>
      <c r="B2283" s="21">
        <f ca="1">Master[[#This Row],[ChecklistID]]+Master[[#This Row],[Checklist Order]]</f>
        <v>201002</v>
      </c>
      <c r="C2283" s="22"/>
      <c r="D2283" s="23" t="str" cm="1">
        <f t="array" aca="1" ref="D2283" ca="1">_xlfn.SWITCH(MID(Master[[#This Row],[Checklist]],1,4),"C - ","Civil","F - ","Foundation","ST -","Structure","FC -","Façade","PRE ","Pre-Line","POST","Post-Line","H - ","Handover","S - ","Services","CST ","Completion Docs", "I - ", "Inspection")</f>
        <v>Foundation</v>
      </c>
      <c r="E22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3" s="24" t="str">
        <f ca="1">IF(OR(Master[[#This Row],[Type]]="checklist", Master[[#This Row],[Type]]="checklist-flat"), Master[[#This Row],[Name]], F2282)</f>
        <v>F - S - Backfilling</v>
      </c>
      <c r="G2283" s="34" t="s">
        <v>49</v>
      </c>
      <c r="H2283" s="34" t="s">
        <v>1204</v>
      </c>
      <c r="I2283" s="35"/>
      <c r="J2283" s="21">
        <f ca="1">_xlfn.XLOOKUP(Master[[#This Row],[Checklist]],Ref!A:A,Ref!B:B)*1000</f>
        <v>201000</v>
      </c>
      <c r="K2283" s="21">
        <f ca="1">COUNTIF($J$2:Master[[#This Row],[ChecklistID]],Master[[#This Row],[ChecklistID]])-1</f>
        <v>2</v>
      </c>
      <c r="L2283" s="23" t="s">
        <v>6</v>
      </c>
    </row>
    <row r="2284" spans="1:12" ht="15.75">
      <c r="A2284" s="23">
        <f t="shared" si="35"/>
        <v>2271</v>
      </c>
      <c r="B2284" s="21">
        <f ca="1">Master[[#This Row],[ChecklistID]]+Master[[#This Row],[Checklist Order]]</f>
        <v>201003</v>
      </c>
      <c r="C2284" s="22"/>
      <c r="D2284" s="23" t="str" cm="1">
        <f t="array" aca="1" ref="D2284" ca="1">_xlfn.SWITCH(MID(Master[[#This Row],[Checklist]],1,4),"C - ","Civil","F - ","Foundation","ST -","Structure","FC -","Façade","PRE ","Pre-Line","POST","Post-Line","H - ","Handover","S - ","Services","CST ","Completion Docs", "I - ", "Inspection")</f>
        <v>Foundation</v>
      </c>
      <c r="E22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4" s="24" t="str">
        <f ca="1">IF(OR(Master[[#This Row],[Type]]="checklist", Master[[#This Row],[Type]]="checklist-flat"), Master[[#This Row],[Name]], F2283)</f>
        <v>F - S - Backfilling</v>
      </c>
      <c r="G2284" s="34" t="s">
        <v>49</v>
      </c>
      <c r="H2284" s="34" t="s">
        <v>1205</v>
      </c>
      <c r="I2284" s="35"/>
      <c r="J2284" s="21">
        <f ca="1">_xlfn.XLOOKUP(Master[[#This Row],[Checklist]],Ref!A:A,Ref!B:B)*1000</f>
        <v>201000</v>
      </c>
      <c r="K2284" s="21">
        <f ca="1">COUNTIF($J$2:Master[[#This Row],[ChecklistID]],Master[[#This Row],[ChecklistID]])-1</f>
        <v>3</v>
      </c>
      <c r="L2284" s="23" t="s">
        <v>6</v>
      </c>
    </row>
    <row r="2285" spans="1:12" ht="15.75">
      <c r="A2285" s="23">
        <f t="shared" si="35"/>
        <v>2272</v>
      </c>
      <c r="B2285" s="21">
        <f ca="1">Master[[#This Row],[ChecklistID]]+Master[[#This Row],[Checklist Order]]</f>
        <v>201004</v>
      </c>
      <c r="C2285" s="22"/>
      <c r="D2285" s="23" t="str" cm="1">
        <f t="array" aca="1" ref="D2285" ca="1">_xlfn.SWITCH(MID(Master[[#This Row],[Checklist]],1,4),"C - ","Civil","F - ","Foundation","ST -","Structure","FC -","Façade","PRE ","Pre-Line","POST","Post-Line","H - ","Handover","S - ","Services","CST ","Completion Docs", "I - ", "Inspection")</f>
        <v>Foundation</v>
      </c>
      <c r="E22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5" s="24" t="str">
        <f ca="1">IF(OR(Master[[#This Row],[Type]]="checklist", Master[[#This Row],[Type]]="checklist-flat"), Master[[#This Row],[Name]], F2284)</f>
        <v>F - S - Backfilling</v>
      </c>
      <c r="G2285" s="34" t="s">
        <v>49</v>
      </c>
      <c r="H2285" s="34" t="s">
        <v>57</v>
      </c>
      <c r="I2285" s="35"/>
      <c r="J2285" s="21">
        <f ca="1">_xlfn.XLOOKUP(Master[[#This Row],[Checklist]],Ref!A:A,Ref!B:B)*1000</f>
        <v>201000</v>
      </c>
      <c r="K2285" s="21">
        <f ca="1">COUNTIF($J$2:Master[[#This Row],[ChecklistID]],Master[[#This Row],[ChecklistID]])-1</f>
        <v>4</v>
      </c>
      <c r="L2285" s="23" t="s">
        <v>6</v>
      </c>
    </row>
    <row r="2286" spans="1:12" ht="15.75">
      <c r="A2286" s="23">
        <f t="shared" si="35"/>
        <v>2273</v>
      </c>
      <c r="B2286" s="21">
        <f ca="1">Master[[#This Row],[ChecklistID]]+Master[[#This Row],[Checklist Order]]</f>
        <v>201005</v>
      </c>
      <c r="C2286" s="22"/>
      <c r="D2286" s="23" t="str" cm="1">
        <f t="array" aca="1" ref="D2286" ca="1">_xlfn.SWITCH(MID(Master[[#This Row],[Checklist]],1,4),"C - ","Civil","F - ","Foundation","ST -","Structure","FC -","Façade","PRE ","Pre-Line","POST","Post-Line","H - ","Handover","S - ","Services","CST ","Completion Docs", "I - ", "Inspection")</f>
        <v>Foundation</v>
      </c>
      <c r="E22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6" s="24" t="str">
        <f ca="1">IF(OR(Master[[#This Row],[Type]]="checklist", Master[[#This Row],[Type]]="checklist-flat"), Master[[#This Row],[Name]], F2285)</f>
        <v>F - S - Backfilling</v>
      </c>
      <c r="G2286" s="34" t="s">
        <v>58</v>
      </c>
      <c r="H2286" s="34" t="s">
        <v>59</v>
      </c>
      <c r="I2286" s="35"/>
      <c r="J2286" s="21">
        <f ca="1">_xlfn.XLOOKUP(Master[[#This Row],[Checklist]],Ref!A:A,Ref!B:B)*1000</f>
        <v>201000</v>
      </c>
      <c r="K2286" s="21">
        <f ca="1">COUNTIF($J$2:Master[[#This Row],[ChecklistID]],Master[[#This Row],[ChecklistID]])-1</f>
        <v>5</v>
      </c>
      <c r="L2286" s="23" t="s">
        <v>6</v>
      </c>
    </row>
    <row r="2287" spans="1:12" ht="15.75">
      <c r="A2287" s="23">
        <f t="shared" si="35"/>
        <v>2274</v>
      </c>
      <c r="B2287" s="21">
        <f ca="1">Master[[#This Row],[ChecklistID]]+Master[[#This Row],[Checklist Order]]</f>
        <v>202000</v>
      </c>
      <c r="C2287" s="22"/>
      <c r="D2287" s="23" t="str" cm="1">
        <f t="array" aca="1" ref="D2287" ca="1">_xlfn.SWITCH(MID(Master[[#This Row],[Checklist]],1,4),"C - ","Civil","F - ","Foundation","ST -","Structure","FC -","Façade","PRE ","Pre-Line","POST","Post-Line","H - ","Handover","S - ","Services","CST ","Completion Docs", "I - ", "Inspection")</f>
        <v>Completion Docs</v>
      </c>
      <c r="E22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7" s="24" t="str">
        <f ca="1">IF(OR(Master[[#This Row],[Type]]="checklist", Master[[#This Row],[Type]]="checklist-flat"), Master[[#This Row],[Name]], F2286)</f>
        <v>CST - S - Completion Documents</v>
      </c>
      <c r="G2287" s="34" t="s">
        <v>48</v>
      </c>
      <c r="H2287" s="34" t="s">
        <v>1207</v>
      </c>
      <c r="I2287" s="35"/>
      <c r="J2287" s="21">
        <f ca="1">_xlfn.XLOOKUP(Master[[#This Row],[Checklist]],Ref!A:A,Ref!B:B)*1000</f>
        <v>202000</v>
      </c>
      <c r="K2287" s="21">
        <f ca="1">COUNTIF($J$2:Master[[#This Row],[ChecklistID]],Master[[#This Row],[ChecklistID]])-1</f>
        <v>0</v>
      </c>
      <c r="L2287" s="23" t="s">
        <v>6</v>
      </c>
    </row>
    <row r="2288" spans="1:12" ht="15.75">
      <c r="A2288" s="23">
        <f t="shared" si="35"/>
        <v>2275</v>
      </c>
      <c r="B2288" s="21">
        <f ca="1">Master[[#This Row],[ChecklistID]]+Master[[#This Row],[Checklist Order]]</f>
        <v>202001</v>
      </c>
      <c r="C2288" s="22"/>
      <c r="D2288" s="23" t="str" cm="1">
        <f t="array" aca="1" ref="D2288" ca="1">_xlfn.SWITCH(MID(Master[[#This Row],[Checklist]],1,4),"C - ","Civil","F - ","Foundation","ST -","Structure","FC -","Façade","PRE ","Pre-Line","POST","Post-Line","H - ","Handover","S - ","Services","CST ","Completion Docs", "I - ", "Inspection")</f>
        <v>Completion Docs</v>
      </c>
      <c r="E22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8" s="24" t="str">
        <f ca="1">IF(OR(Master[[#This Row],[Type]]="checklist", Master[[#This Row],[Type]]="checklist-flat"), Master[[#This Row],[Name]], F2287)</f>
        <v>CST - S - Completion Documents</v>
      </c>
      <c r="G2288" s="34" t="s">
        <v>49</v>
      </c>
      <c r="H2288" s="34" t="s">
        <v>1208</v>
      </c>
      <c r="I2288" s="35"/>
      <c r="J2288" s="21">
        <f ca="1">_xlfn.XLOOKUP(Master[[#This Row],[Checklist]],Ref!A:A,Ref!B:B)*1000</f>
        <v>202000</v>
      </c>
      <c r="K2288" s="21">
        <f ca="1">COUNTIF($J$2:Master[[#This Row],[ChecklistID]],Master[[#This Row],[ChecklistID]])-1</f>
        <v>1</v>
      </c>
      <c r="L2288" s="23" t="s">
        <v>6</v>
      </c>
    </row>
    <row r="2289" spans="1:12" ht="15.75">
      <c r="A2289" s="23">
        <f t="shared" si="35"/>
        <v>2276</v>
      </c>
      <c r="B2289" s="21">
        <f ca="1">Master[[#This Row],[ChecklistID]]+Master[[#This Row],[Checklist Order]]</f>
        <v>202002</v>
      </c>
      <c r="C2289" s="22"/>
      <c r="D2289" s="23" t="str" cm="1">
        <f t="array" aca="1" ref="D2289" ca="1">_xlfn.SWITCH(MID(Master[[#This Row],[Checklist]],1,4),"C - ","Civil","F - ","Foundation","ST -","Structure","FC -","Façade","PRE ","Pre-Line","POST","Post-Line","H - ","Handover","S - ","Services","CST ","Completion Docs", "I - ", "Inspection")</f>
        <v>Completion Docs</v>
      </c>
      <c r="E22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89" s="24" t="str">
        <f ca="1">IF(OR(Master[[#This Row],[Type]]="checklist", Master[[#This Row],[Type]]="checklist-flat"), Master[[#This Row],[Name]], F2288)</f>
        <v>CST - S - Completion Documents</v>
      </c>
      <c r="G2289" s="34" t="s">
        <v>66</v>
      </c>
      <c r="H2289" s="34" t="s">
        <v>1209</v>
      </c>
      <c r="I2289" s="35"/>
      <c r="J2289" s="21">
        <f ca="1">_xlfn.XLOOKUP(Master[[#This Row],[Checklist]],Ref!A:A,Ref!B:B)*1000</f>
        <v>202000</v>
      </c>
      <c r="K2289" s="21">
        <f ca="1">COUNTIF($J$2:Master[[#This Row],[ChecklistID]],Master[[#This Row],[ChecklistID]])-1</f>
        <v>2</v>
      </c>
      <c r="L2289" s="23" t="s">
        <v>6</v>
      </c>
    </row>
    <row r="2290" spans="1:12" ht="15.75">
      <c r="A2290" s="23">
        <f t="shared" si="35"/>
        <v>2277</v>
      </c>
      <c r="B2290" s="21">
        <f ca="1">Master[[#This Row],[ChecklistID]]+Master[[#This Row],[Checklist Order]]</f>
        <v>202003</v>
      </c>
      <c r="C2290" s="22"/>
      <c r="D2290" s="23" t="str" cm="1">
        <f t="array" aca="1" ref="D2290" ca="1">_xlfn.SWITCH(MID(Master[[#This Row],[Checklist]],1,4),"C - ","Civil","F - ","Foundation","ST -","Structure","FC -","Façade","PRE ","Pre-Line","POST","Post-Line","H - ","Handover","S - ","Services","CST ","Completion Docs", "I - ", "Inspection")</f>
        <v>Completion Docs</v>
      </c>
      <c r="E229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0" s="24" t="str">
        <f ca="1">IF(OR(Master[[#This Row],[Type]]="checklist", Master[[#This Row],[Type]]="checklist-flat"), Master[[#This Row],[Name]], F2289)</f>
        <v>CST - S - Completion Documents</v>
      </c>
      <c r="G2290" s="34" t="s">
        <v>901</v>
      </c>
      <c r="H2290" s="34" t="s">
        <v>1210</v>
      </c>
      <c r="I2290" s="35"/>
      <c r="J2290" s="21">
        <f ca="1">_xlfn.XLOOKUP(Master[[#This Row],[Checklist]],Ref!A:A,Ref!B:B)*1000</f>
        <v>202000</v>
      </c>
      <c r="K2290" s="21">
        <f ca="1">COUNTIF($J$2:Master[[#This Row],[ChecklistID]],Master[[#This Row],[ChecklistID]])-1</f>
        <v>3</v>
      </c>
      <c r="L2290" s="23" t="s">
        <v>6</v>
      </c>
    </row>
    <row r="2291" spans="1:12" ht="15.75">
      <c r="A2291" s="23">
        <f t="shared" si="35"/>
        <v>2278</v>
      </c>
      <c r="B2291" s="21">
        <f ca="1">Master[[#This Row],[ChecklistID]]+Master[[#This Row],[Checklist Order]]</f>
        <v>202004</v>
      </c>
      <c r="C2291" s="22"/>
      <c r="D2291" s="23" t="str" cm="1">
        <f t="array" aca="1" ref="D2291" ca="1">_xlfn.SWITCH(MID(Master[[#This Row],[Checklist]],1,4),"C - ","Civil","F - ","Foundation","ST -","Structure","FC -","Façade","PRE ","Pre-Line","POST","Post-Line","H - ","Handover","S - ","Services","CST ","Completion Docs", "I - ", "Inspection")</f>
        <v>Completion Docs</v>
      </c>
      <c r="E229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1" s="24" t="str">
        <f ca="1">IF(OR(Master[[#This Row],[Type]]="checklist", Master[[#This Row],[Type]]="checklist-flat"), Master[[#This Row],[Name]], F2290)</f>
        <v>CST - S - Completion Documents</v>
      </c>
      <c r="G2291" s="34" t="s">
        <v>58</v>
      </c>
      <c r="H2291" s="34" t="s">
        <v>209</v>
      </c>
      <c r="I2291" s="35"/>
      <c r="J2291" s="21">
        <f ca="1">_xlfn.XLOOKUP(Master[[#This Row],[Checklist]],Ref!A:A,Ref!B:B)*1000</f>
        <v>202000</v>
      </c>
      <c r="K2291" s="21">
        <f ca="1">COUNTIF($J$2:Master[[#This Row],[ChecklistID]],Master[[#This Row],[ChecklistID]])-1</f>
        <v>4</v>
      </c>
      <c r="L2291" s="23" t="s">
        <v>6</v>
      </c>
    </row>
    <row r="2292" spans="1:12" ht="15.75">
      <c r="A2292" s="23">
        <f t="shared" ref="A2292:A2355" si="36">IFERROR(A2291+1,1)</f>
        <v>2279</v>
      </c>
      <c r="B2292" s="21">
        <f ca="1">Master[[#This Row],[ChecklistID]]+Master[[#This Row],[Checklist Order]]</f>
        <v>202005</v>
      </c>
      <c r="C2292" s="22"/>
      <c r="D2292" s="23" t="str" cm="1">
        <f t="array" aca="1" ref="D2292" ca="1">_xlfn.SWITCH(MID(Master[[#This Row],[Checklist]],1,4),"C - ","Civil","F - ","Foundation","ST -","Structure","FC -","Façade","PRE ","Pre-Line","POST","Post-Line","H - ","Handover","S - ","Services","CST ","Completion Docs", "I - ", "Inspection")</f>
        <v>Completion Docs</v>
      </c>
      <c r="E229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2" s="24" t="str">
        <f ca="1">IF(OR(Master[[#This Row],[Type]]="checklist", Master[[#This Row],[Type]]="checklist-flat"), Master[[#This Row],[Name]], F2291)</f>
        <v>CST - S - Completion Documents</v>
      </c>
      <c r="G2292" s="34" t="s">
        <v>49</v>
      </c>
      <c r="H2292" s="34" t="s">
        <v>57</v>
      </c>
      <c r="I2292" s="35"/>
      <c r="J2292" s="21">
        <f ca="1">_xlfn.XLOOKUP(Master[[#This Row],[Checklist]],Ref!A:A,Ref!B:B)*1000</f>
        <v>202000</v>
      </c>
      <c r="K2292" s="21">
        <f ca="1">COUNTIF($J$2:Master[[#This Row],[ChecklistID]],Master[[#This Row],[ChecklistID]])-1</f>
        <v>5</v>
      </c>
      <c r="L2292" s="23" t="s">
        <v>6</v>
      </c>
    </row>
    <row r="2293" spans="1:12" ht="15.75">
      <c r="A2293" s="23">
        <f t="shared" si="36"/>
        <v>2280</v>
      </c>
      <c r="B2293" s="21">
        <f ca="1">Master[[#This Row],[ChecklistID]]+Master[[#This Row],[Checklist Order]]</f>
        <v>202006</v>
      </c>
      <c r="C2293" s="22"/>
      <c r="D2293" s="23" t="str" cm="1">
        <f t="array" aca="1" ref="D2293" ca="1">_xlfn.SWITCH(MID(Master[[#This Row],[Checklist]],1,4),"C - ","Civil","F - ","Foundation","ST -","Structure","FC -","Façade","PRE ","Pre-Line","POST","Post-Line","H - ","Handover","S - ","Services","CST ","Completion Docs", "I - ", "Inspection")</f>
        <v>Completion Docs</v>
      </c>
      <c r="E229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3" s="24" t="str">
        <f ca="1">IF(OR(Master[[#This Row],[Type]]="checklist", Master[[#This Row],[Type]]="checklist-flat"), Master[[#This Row],[Name]], F2292)</f>
        <v>CST - S - Completion Documents</v>
      </c>
      <c r="G2293" s="34" t="s">
        <v>58</v>
      </c>
      <c r="H2293" s="34" t="s">
        <v>59</v>
      </c>
      <c r="I2293" s="35"/>
      <c r="J2293" s="21">
        <f ca="1">_xlfn.XLOOKUP(Master[[#This Row],[Checklist]],Ref!A:A,Ref!B:B)*1000</f>
        <v>202000</v>
      </c>
      <c r="K2293" s="21">
        <f ca="1">COUNTIF($J$2:Master[[#This Row],[ChecklistID]],Master[[#This Row],[ChecklistID]])-1</f>
        <v>6</v>
      </c>
      <c r="L2293" s="23" t="s">
        <v>6</v>
      </c>
    </row>
    <row r="2294" spans="1:12" ht="15.75">
      <c r="A2294" s="23">
        <f t="shared" si="36"/>
        <v>2281</v>
      </c>
      <c r="B2294" s="21">
        <f ca="1">Master[[#This Row],[ChecklistID]]+Master[[#This Row],[Checklist Order]]</f>
        <v>203000</v>
      </c>
      <c r="C2294" s="22"/>
      <c r="D2294" s="23" t="str" cm="1">
        <f t="array" aca="1" ref="D2294" ca="1">_xlfn.SWITCH(MID(Master[[#This Row],[Checklist]],1,4),"C - ","Civil","F - ","Foundation","ST -","Structure","FC -","Façade","PRE ","Pre-Line","POST","Post-Line","H - ","Handover","S - ","Services","CST ","Completion Docs", "I - ", "Inspection")</f>
        <v>Structure</v>
      </c>
      <c r="E229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4" s="24" t="str">
        <f ca="1">IF(OR(Master[[#This Row],[Type]]="checklist", Master[[#This Row],[Type]]="checklist-flat"), Master[[#This Row],[Name]], F2293)</f>
        <v xml:space="preserve">ST - S - Timber Framing Receival </v>
      </c>
      <c r="G2294" s="34" t="s">
        <v>48</v>
      </c>
      <c r="H2294" s="34" t="s">
        <v>1211</v>
      </c>
      <c r="I2294" s="35"/>
      <c r="J2294" s="21">
        <f ca="1">_xlfn.XLOOKUP(Master[[#This Row],[Checklist]],Ref!A:A,Ref!B:B)*1000</f>
        <v>203000</v>
      </c>
      <c r="K2294" s="21">
        <f ca="1">COUNTIF($J$2:Master[[#This Row],[ChecklistID]],Master[[#This Row],[ChecklistID]])-1</f>
        <v>0</v>
      </c>
      <c r="L2294" s="23" t="s">
        <v>6</v>
      </c>
    </row>
    <row r="2295" spans="1:12" ht="15.75">
      <c r="A2295" s="23">
        <f t="shared" si="36"/>
        <v>2282</v>
      </c>
      <c r="B2295" s="21">
        <f ca="1">Master[[#This Row],[ChecklistID]]+Master[[#This Row],[Checklist Order]]</f>
        <v>203001</v>
      </c>
      <c r="C2295" s="22"/>
      <c r="D2295" s="23" t="str" cm="1">
        <f t="array" aca="1" ref="D2295" ca="1">_xlfn.SWITCH(MID(Master[[#This Row],[Checklist]],1,4),"C - ","Civil","F - ","Foundation","ST -","Structure","FC -","Façade","PRE ","Pre-Line","POST","Post-Line","H - ","Handover","S - ","Services","CST ","Completion Docs", "I - ", "Inspection")</f>
        <v>Structure</v>
      </c>
      <c r="E229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5" s="24" t="str">
        <f ca="1">IF(OR(Master[[#This Row],[Type]]="checklist", Master[[#This Row],[Type]]="checklist-flat"), Master[[#This Row],[Name]], F2294)</f>
        <v xml:space="preserve">ST - S - Timber Framing Receival </v>
      </c>
      <c r="G2295" s="34" t="s">
        <v>49</v>
      </c>
      <c r="H2295" s="34" t="s">
        <v>1212</v>
      </c>
      <c r="I2295" s="35"/>
      <c r="J2295" s="21">
        <f ca="1">_xlfn.XLOOKUP(Master[[#This Row],[Checklist]],Ref!A:A,Ref!B:B)*1000</f>
        <v>203000</v>
      </c>
      <c r="K2295" s="21">
        <f ca="1">COUNTIF($J$2:Master[[#This Row],[ChecklistID]],Master[[#This Row],[ChecklistID]])-1</f>
        <v>1</v>
      </c>
      <c r="L2295" s="23" t="s">
        <v>6</v>
      </c>
    </row>
    <row r="2296" spans="1:12" ht="15.75">
      <c r="A2296" s="23">
        <f t="shared" si="36"/>
        <v>2283</v>
      </c>
      <c r="B2296" s="21">
        <f ca="1">Master[[#This Row],[ChecklistID]]+Master[[#This Row],[Checklist Order]]</f>
        <v>203002</v>
      </c>
      <c r="C2296" s="22"/>
      <c r="D2296" s="23" t="str" cm="1">
        <f t="array" aca="1" ref="D2296" ca="1">_xlfn.SWITCH(MID(Master[[#This Row],[Checklist]],1,4),"C - ","Civil","F - ","Foundation","ST -","Structure","FC -","Façade","PRE ","Pre-Line","POST","Post-Line","H - ","Handover","S - ","Services","CST ","Completion Docs", "I - ", "Inspection")</f>
        <v>Structure</v>
      </c>
      <c r="E229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6" s="24" t="str">
        <f ca="1">IF(OR(Master[[#This Row],[Type]]="checklist", Master[[#This Row],[Type]]="checklist-flat"), Master[[#This Row],[Name]], F2295)</f>
        <v xml:space="preserve">ST - S - Timber Framing Receival </v>
      </c>
      <c r="G2296" s="34" t="s">
        <v>49</v>
      </c>
      <c r="H2296" s="34" t="s">
        <v>1213</v>
      </c>
      <c r="I2296" s="35"/>
      <c r="J2296" s="21">
        <f ca="1">_xlfn.XLOOKUP(Master[[#This Row],[Checklist]],Ref!A:A,Ref!B:B)*1000</f>
        <v>203000</v>
      </c>
      <c r="K2296" s="21">
        <f ca="1">COUNTIF($J$2:Master[[#This Row],[ChecklistID]],Master[[#This Row],[ChecklistID]])-1</f>
        <v>2</v>
      </c>
      <c r="L2296" s="23" t="s">
        <v>6</v>
      </c>
    </row>
    <row r="2297" spans="1:12" ht="15.75">
      <c r="A2297" s="23">
        <f t="shared" si="36"/>
        <v>2284</v>
      </c>
      <c r="B2297" s="21">
        <f ca="1">Master[[#This Row],[ChecklistID]]+Master[[#This Row],[Checklist Order]]</f>
        <v>203003</v>
      </c>
      <c r="C2297" s="22"/>
      <c r="D2297" s="23" t="str" cm="1">
        <f t="array" aca="1" ref="D2297" ca="1">_xlfn.SWITCH(MID(Master[[#This Row],[Checklist]],1,4),"C - ","Civil","F - ","Foundation","ST -","Structure","FC -","Façade","PRE ","Pre-Line","POST","Post-Line","H - ","Handover","S - ","Services","CST ","Completion Docs", "I - ", "Inspection")</f>
        <v>Structure</v>
      </c>
      <c r="E229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7" s="24" t="str">
        <f ca="1">IF(OR(Master[[#This Row],[Type]]="checklist", Master[[#This Row],[Type]]="checklist-flat"), Master[[#This Row],[Name]], F2296)</f>
        <v xml:space="preserve">ST - S - Timber Framing Receival </v>
      </c>
      <c r="G2297" s="34" t="s">
        <v>49</v>
      </c>
      <c r="H2297" s="34" t="s">
        <v>1214</v>
      </c>
      <c r="I2297" s="35"/>
      <c r="J2297" s="21">
        <f ca="1">_xlfn.XLOOKUP(Master[[#This Row],[Checklist]],Ref!A:A,Ref!B:B)*1000</f>
        <v>203000</v>
      </c>
      <c r="K2297" s="21">
        <f ca="1">COUNTIF($J$2:Master[[#This Row],[ChecklistID]],Master[[#This Row],[ChecklistID]])-1</f>
        <v>3</v>
      </c>
      <c r="L2297" s="23" t="s">
        <v>6</v>
      </c>
    </row>
    <row r="2298" spans="1:12" ht="15.75">
      <c r="A2298" s="23">
        <f t="shared" si="36"/>
        <v>2285</v>
      </c>
      <c r="B2298" s="21">
        <f ca="1">Master[[#This Row],[ChecklistID]]+Master[[#This Row],[Checklist Order]]</f>
        <v>203004</v>
      </c>
      <c r="C2298" s="22"/>
      <c r="D2298" s="23" t="str" cm="1">
        <f t="array" aca="1" ref="D2298" ca="1">_xlfn.SWITCH(MID(Master[[#This Row],[Checklist]],1,4),"C - ","Civil","F - ","Foundation","ST -","Structure","FC -","Façade","PRE ","Pre-Line","POST","Post-Line","H - ","Handover","S - ","Services","CST ","Completion Docs", "I - ", "Inspection")</f>
        <v>Structure</v>
      </c>
      <c r="E229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8" s="24" t="str">
        <f ca="1">IF(OR(Master[[#This Row],[Type]]="checklist", Master[[#This Row],[Type]]="checklist-flat"), Master[[#This Row],[Name]], F2297)</f>
        <v xml:space="preserve">ST - S - Timber Framing Receival </v>
      </c>
      <c r="G2298" s="34" t="s">
        <v>49</v>
      </c>
      <c r="H2298" s="34" t="s">
        <v>57</v>
      </c>
      <c r="I2298" s="35"/>
      <c r="J2298" s="21">
        <f ca="1">_xlfn.XLOOKUP(Master[[#This Row],[Checklist]],Ref!A:A,Ref!B:B)*1000</f>
        <v>203000</v>
      </c>
      <c r="K2298" s="21">
        <f ca="1">COUNTIF($J$2:Master[[#This Row],[ChecklistID]],Master[[#This Row],[ChecklistID]])-1</f>
        <v>4</v>
      </c>
      <c r="L2298" s="23" t="s">
        <v>6</v>
      </c>
    </row>
    <row r="2299" spans="1:12" ht="15.75">
      <c r="A2299" s="23">
        <f t="shared" si="36"/>
        <v>2286</v>
      </c>
      <c r="B2299" s="21">
        <f ca="1">Master[[#This Row],[ChecklistID]]+Master[[#This Row],[Checklist Order]]</f>
        <v>203005</v>
      </c>
      <c r="C2299" s="22"/>
      <c r="D2299" s="23" t="str" cm="1">
        <f t="array" aca="1" ref="D2299" ca="1">_xlfn.SWITCH(MID(Master[[#This Row],[Checklist]],1,4),"C - ","Civil","F - ","Foundation","ST -","Structure","FC -","Façade","PRE ","Pre-Line","POST","Post-Line","H - ","Handover","S - ","Services","CST ","Completion Docs", "I - ", "Inspection")</f>
        <v>Structure</v>
      </c>
      <c r="E229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299" s="24" t="str">
        <f ca="1">IF(OR(Master[[#This Row],[Type]]="checklist", Master[[#This Row],[Type]]="checklist-flat"), Master[[#This Row],[Name]], F2298)</f>
        <v xml:space="preserve">ST - S - Timber Framing Receival </v>
      </c>
      <c r="G2299" s="34" t="s">
        <v>58</v>
      </c>
      <c r="H2299" s="34" t="s">
        <v>59</v>
      </c>
      <c r="I2299" s="35"/>
      <c r="J2299" s="21">
        <f ca="1">_xlfn.XLOOKUP(Master[[#This Row],[Checklist]],Ref!A:A,Ref!B:B)*1000</f>
        <v>203000</v>
      </c>
      <c r="K2299" s="21">
        <f ca="1">COUNTIF($J$2:Master[[#This Row],[ChecklistID]],Master[[#This Row],[ChecklistID]])-1</f>
        <v>5</v>
      </c>
      <c r="L2299" s="23" t="s">
        <v>6</v>
      </c>
    </row>
    <row r="2300" spans="1:12" ht="15.75">
      <c r="A2300" s="23">
        <f t="shared" si="36"/>
        <v>2287</v>
      </c>
      <c r="B2300" s="21">
        <f ca="1">Master[[#This Row],[ChecklistID]]+Master[[#This Row],[Checklist Order]]</f>
        <v>204000</v>
      </c>
      <c r="C2300" s="22"/>
      <c r="D2300" s="23" t="str" cm="1">
        <f t="array" aca="1" ref="D2300" ca="1">_xlfn.SWITCH(MID(Master[[#This Row],[Checklist]],1,4),"C - ","Civil","F - ","Foundation","ST -","Structure","FC -","Façade","PRE ","Pre-Line","POST","Post-Line","H - ","Handover","S - ","Services","CST ","Completion Docs", "I - ", "Inspection")</f>
        <v>Post-Line</v>
      </c>
      <c r="E230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0" s="24" t="str">
        <f ca="1">IF(OR(Master[[#This Row],[Type]]="checklist", Master[[#This Row],[Type]]="checklist-flat"), Master[[#This Row],[Name]], F2299)</f>
        <v>POST - S - Fire Door Receival</v>
      </c>
      <c r="G2300" s="34" t="s">
        <v>48</v>
      </c>
      <c r="H2300" s="34" t="s">
        <v>1215</v>
      </c>
      <c r="I2300" s="35"/>
      <c r="J2300" s="21">
        <f ca="1">_xlfn.XLOOKUP(Master[[#This Row],[Checklist]],Ref!A:A,Ref!B:B)*1000</f>
        <v>204000</v>
      </c>
      <c r="K2300" s="21">
        <f ca="1">COUNTIF($J$2:Master[[#This Row],[ChecklistID]],Master[[#This Row],[ChecklistID]])-1</f>
        <v>0</v>
      </c>
      <c r="L2300" s="23" t="s">
        <v>6</v>
      </c>
    </row>
    <row r="2301" spans="1:12" ht="15.75">
      <c r="A2301" s="23">
        <f t="shared" si="36"/>
        <v>2288</v>
      </c>
      <c r="B2301" s="21">
        <f ca="1">Master[[#This Row],[ChecklistID]]+Master[[#This Row],[Checklist Order]]</f>
        <v>204001</v>
      </c>
      <c r="C2301" s="22"/>
      <c r="D2301" s="23" t="str" cm="1">
        <f t="array" aca="1" ref="D2301" ca="1">_xlfn.SWITCH(MID(Master[[#This Row],[Checklist]],1,4),"C - ","Civil","F - ","Foundation","ST -","Structure","FC -","Façade","PRE ","Pre-Line","POST","Post-Line","H - ","Handover","S - ","Services","CST ","Completion Docs", "I - ", "Inspection")</f>
        <v>Post-Line</v>
      </c>
      <c r="E230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1" s="24" t="str">
        <f ca="1">IF(OR(Master[[#This Row],[Type]]="checklist", Master[[#This Row],[Type]]="checklist-flat"), Master[[#This Row],[Name]], F2300)</f>
        <v>POST - S - Fire Door Receival</v>
      </c>
      <c r="G2301" s="34" t="s">
        <v>49</v>
      </c>
      <c r="H2301" s="34" t="s">
        <v>1216</v>
      </c>
      <c r="I2301" s="35"/>
      <c r="J2301" s="21">
        <f ca="1">_xlfn.XLOOKUP(Master[[#This Row],[Checklist]],Ref!A:A,Ref!B:B)*1000</f>
        <v>204000</v>
      </c>
      <c r="K2301" s="21">
        <f ca="1">COUNTIF($J$2:Master[[#This Row],[ChecklistID]],Master[[#This Row],[ChecklistID]])-1</f>
        <v>1</v>
      </c>
      <c r="L2301" s="23" t="s">
        <v>6</v>
      </c>
    </row>
    <row r="2302" spans="1:12" ht="15.75">
      <c r="A2302" s="23">
        <f t="shared" si="36"/>
        <v>2289</v>
      </c>
      <c r="B2302" s="21">
        <f ca="1">Master[[#This Row],[ChecklistID]]+Master[[#This Row],[Checklist Order]]</f>
        <v>204002</v>
      </c>
      <c r="C2302" s="22"/>
      <c r="D2302" s="23" t="str" cm="1">
        <f t="array" aca="1" ref="D2302" ca="1">_xlfn.SWITCH(MID(Master[[#This Row],[Checklist]],1,4),"C - ","Civil","F - ","Foundation","ST -","Structure","FC -","Façade","PRE ","Pre-Line","POST","Post-Line","H - ","Handover","S - ","Services","CST ","Completion Docs", "I - ", "Inspection")</f>
        <v>Post-Line</v>
      </c>
      <c r="E230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2" s="24" t="str">
        <f ca="1">IF(OR(Master[[#This Row],[Type]]="checklist", Master[[#This Row],[Type]]="checklist-flat"), Master[[#This Row],[Name]], F2301)</f>
        <v>POST - S - Fire Door Receival</v>
      </c>
      <c r="G2302" s="34" t="s">
        <v>49</v>
      </c>
      <c r="H2302" s="34" t="s">
        <v>1213</v>
      </c>
      <c r="I2302" s="35"/>
      <c r="J2302" s="21">
        <f ca="1">_xlfn.XLOOKUP(Master[[#This Row],[Checklist]],Ref!A:A,Ref!B:B)*1000</f>
        <v>204000</v>
      </c>
      <c r="K2302" s="21">
        <f ca="1">COUNTIF($J$2:Master[[#This Row],[ChecklistID]],Master[[#This Row],[ChecklistID]])-1</f>
        <v>2</v>
      </c>
      <c r="L2302" s="23" t="s">
        <v>6</v>
      </c>
    </row>
    <row r="2303" spans="1:12" ht="15.75">
      <c r="A2303" s="23">
        <f t="shared" si="36"/>
        <v>2290</v>
      </c>
      <c r="B2303" s="21">
        <f ca="1">Master[[#This Row],[ChecklistID]]+Master[[#This Row],[Checklist Order]]</f>
        <v>204003</v>
      </c>
      <c r="C2303" s="22"/>
      <c r="D2303" s="23" t="str" cm="1">
        <f t="array" aca="1" ref="D2303" ca="1">_xlfn.SWITCH(MID(Master[[#This Row],[Checklist]],1,4),"C - ","Civil","F - ","Foundation","ST -","Structure","FC -","Façade","PRE ","Pre-Line","POST","Post-Line","H - ","Handover","S - ","Services","CST ","Completion Docs", "I - ", "Inspection")</f>
        <v>Post-Line</v>
      </c>
      <c r="E230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3" s="24" t="str">
        <f ca="1">IF(OR(Master[[#This Row],[Type]]="checklist", Master[[#This Row],[Type]]="checklist-flat"), Master[[#This Row],[Name]], F2302)</f>
        <v>POST - S - Fire Door Receival</v>
      </c>
      <c r="G2303" s="34" t="s">
        <v>49</v>
      </c>
      <c r="H2303" s="34" t="s">
        <v>1214</v>
      </c>
      <c r="I2303" s="35"/>
      <c r="J2303" s="21">
        <f ca="1">_xlfn.XLOOKUP(Master[[#This Row],[Checklist]],Ref!A:A,Ref!B:B)*1000</f>
        <v>204000</v>
      </c>
      <c r="K2303" s="21">
        <f ca="1">COUNTIF($J$2:Master[[#This Row],[ChecklistID]],Master[[#This Row],[ChecklistID]])-1</f>
        <v>3</v>
      </c>
      <c r="L2303" s="23" t="s">
        <v>6</v>
      </c>
    </row>
    <row r="2304" spans="1:12" ht="15.75">
      <c r="A2304" s="23">
        <f t="shared" si="36"/>
        <v>2291</v>
      </c>
      <c r="B2304" s="21">
        <f ca="1">Master[[#This Row],[ChecklistID]]+Master[[#This Row],[Checklist Order]]</f>
        <v>204004</v>
      </c>
      <c r="C2304" s="22"/>
      <c r="D2304" s="23" t="str" cm="1">
        <f t="array" aca="1" ref="D2304" ca="1">_xlfn.SWITCH(MID(Master[[#This Row],[Checklist]],1,4),"C - ","Civil","F - ","Foundation","ST -","Structure","FC -","Façade","PRE ","Pre-Line","POST","Post-Line","H - ","Handover","S - ","Services","CST ","Completion Docs", "I - ", "Inspection")</f>
        <v>Post-Line</v>
      </c>
      <c r="E230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4" s="24" t="str">
        <f ca="1">IF(OR(Master[[#This Row],[Type]]="checklist", Master[[#This Row],[Type]]="checklist-flat"), Master[[#This Row],[Name]], F2303)</f>
        <v>POST - S - Fire Door Receival</v>
      </c>
      <c r="G2304" s="34" t="s">
        <v>49</v>
      </c>
      <c r="H2304" s="34" t="s">
        <v>645</v>
      </c>
      <c r="I2304" s="35"/>
      <c r="J2304" s="21">
        <f ca="1">_xlfn.XLOOKUP(Master[[#This Row],[Checklist]],Ref!A:A,Ref!B:B)*1000</f>
        <v>204000</v>
      </c>
      <c r="K2304" s="21">
        <f ca="1">COUNTIF($J$2:Master[[#This Row],[ChecklistID]],Master[[#This Row],[ChecklistID]])-1</f>
        <v>4</v>
      </c>
      <c r="L2304" s="23" t="s">
        <v>6</v>
      </c>
    </row>
    <row r="2305" spans="1:12" ht="15.75">
      <c r="A2305" s="23">
        <f t="shared" si="36"/>
        <v>2292</v>
      </c>
      <c r="B2305" s="21">
        <f ca="1">Master[[#This Row],[ChecklistID]]+Master[[#This Row],[Checklist Order]]</f>
        <v>204005</v>
      </c>
      <c r="C2305" s="22"/>
      <c r="D2305" s="23" t="str" cm="1">
        <f t="array" aca="1" ref="D2305" ca="1">_xlfn.SWITCH(MID(Master[[#This Row],[Checklist]],1,4),"C - ","Civil","F - ","Foundation","ST -","Structure","FC -","Façade","PRE ","Pre-Line","POST","Post-Line","H - ","Handover","S - ","Services","CST ","Completion Docs", "I - ", "Inspection")</f>
        <v>Post-Line</v>
      </c>
      <c r="E230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5" s="24" t="str">
        <f ca="1">IF(OR(Master[[#This Row],[Type]]="checklist", Master[[#This Row],[Type]]="checklist-flat"), Master[[#This Row],[Name]], F2304)</f>
        <v>POST - S - Fire Door Receival</v>
      </c>
      <c r="G2305" s="34" t="s">
        <v>49</v>
      </c>
      <c r="H2305" s="34" t="s">
        <v>1217</v>
      </c>
      <c r="I2305" s="35"/>
      <c r="J2305" s="21">
        <f ca="1">_xlfn.XLOOKUP(Master[[#This Row],[Checklist]],Ref!A:A,Ref!B:B)*1000</f>
        <v>204000</v>
      </c>
      <c r="K2305" s="21">
        <f ca="1">COUNTIF($J$2:Master[[#This Row],[ChecklistID]],Master[[#This Row],[ChecklistID]])-1</f>
        <v>5</v>
      </c>
      <c r="L2305" s="23" t="s">
        <v>6</v>
      </c>
    </row>
    <row r="2306" spans="1:12" ht="15.75">
      <c r="A2306" s="23">
        <f t="shared" si="36"/>
        <v>2293</v>
      </c>
      <c r="B2306" s="21">
        <f ca="1">Master[[#This Row],[ChecklistID]]+Master[[#This Row],[Checklist Order]]</f>
        <v>204006</v>
      </c>
      <c r="C2306" s="22"/>
      <c r="D2306" s="23" t="str" cm="1">
        <f t="array" aca="1" ref="D2306" ca="1">_xlfn.SWITCH(MID(Master[[#This Row],[Checklist]],1,4),"C - ","Civil","F - ","Foundation","ST -","Structure","FC -","Façade","PRE ","Pre-Line","POST","Post-Line","H - ","Handover","S - ","Services","CST ","Completion Docs", "I - ", "Inspection")</f>
        <v>Post-Line</v>
      </c>
      <c r="E230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6" s="24" t="str">
        <f ca="1">IF(OR(Master[[#This Row],[Type]]="checklist", Master[[#This Row],[Type]]="checklist-flat"), Master[[#This Row],[Name]], F2305)</f>
        <v>POST - S - Fire Door Receival</v>
      </c>
      <c r="G2306" s="34" t="s">
        <v>49</v>
      </c>
      <c r="H2306" s="34" t="s">
        <v>57</v>
      </c>
      <c r="I2306" s="35"/>
      <c r="J2306" s="21">
        <f ca="1">_xlfn.XLOOKUP(Master[[#This Row],[Checklist]],Ref!A:A,Ref!B:B)*1000</f>
        <v>204000</v>
      </c>
      <c r="K2306" s="21">
        <f ca="1">COUNTIF($J$2:Master[[#This Row],[ChecklistID]],Master[[#This Row],[ChecklistID]])-1</f>
        <v>6</v>
      </c>
      <c r="L2306" s="23" t="s">
        <v>6</v>
      </c>
    </row>
    <row r="2307" spans="1:12" ht="15.75">
      <c r="A2307" s="23">
        <f t="shared" si="36"/>
        <v>2294</v>
      </c>
      <c r="B2307" s="21">
        <f ca="1">Master[[#This Row],[ChecklistID]]+Master[[#This Row],[Checklist Order]]</f>
        <v>204007</v>
      </c>
      <c r="C2307" s="22"/>
      <c r="D2307" s="23" t="str" cm="1">
        <f t="array" aca="1" ref="D2307" ca="1">_xlfn.SWITCH(MID(Master[[#This Row],[Checklist]],1,4),"C - ","Civil","F - ","Foundation","ST -","Structure","FC -","Façade","PRE ","Pre-Line","POST","Post-Line","H - ","Handover","S - ","Services","CST ","Completion Docs", "I - ", "Inspection")</f>
        <v>Post-Line</v>
      </c>
      <c r="E230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7" s="24" t="str">
        <f ca="1">IF(OR(Master[[#This Row],[Type]]="checklist", Master[[#This Row],[Type]]="checklist-flat"), Master[[#This Row],[Name]], F2306)</f>
        <v>POST - S - Fire Door Receival</v>
      </c>
      <c r="G2307" s="34" t="s">
        <v>58</v>
      </c>
      <c r="H2307" s="34" t="s">
        <v>59</v>
      </c>
      <c r="I2307" s="35"/>
      <c r="J2307" s="21">
        <f ca="1">_xlfn.XLOOKUP(Master[[#This Row],[Checklist]],Ref!A:A,Ref!B:B)*1000</f>
        <v>204000</v>
      </c>
      <c r="K2307" s="21">
        <f ca="1">COUNTIF($J$2:Master[[#This Row],[ChecklistID]],Master[[#This Row],[ChecklistID]])-1</f>
        <v>7</v>
      </c>
      <c r="L2307" s="23" t="s">
        <v>6</v>
      </c>
    </row>
    <row r="2308" spans="1:12" ht="15.75">
      <c r="A2308" s="23">
        <f t="shared" si="36"/>
        <v>2295</v>
      </c>
      <c r="B2308" s="21">
        <f ca="1">Master[[#This Row],[ChecklistID]]+Master[[#This Row],[Checklist Order]]</f>
        <v>205000</v>
      </c>
      <c r="C2308" s="22"/>
      <c r="D2308" s="23" t="str" cm="1">
        <f t="array" aca="1" ref="D2308" ca="1">_xlfn.SWITCH(MID(Master[[#This Row],[Checklist]],1,4),"C - ","Civil","F - ","Foundation","ST -","Structure","FC -","Façade","PRE ","Pre-Line","POST","Post-Line","H - ","Handover","S - ","Services","CST ","Completion Docs", "I - ", "Inspection")</f>
        <v>Post-Line</v>
      </c>
      <c r="E230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8" s="24" t="str">
        <f ca="1">IF(OR(Master[[#This Row],[Type]]="checklist", Master[[#This Row],[Type]]="checklist-flat"), Master[[#This Row],[Name]], F2307)</f>
        <v>POST - S - Glue-Down/Floating Timber Flooring</v>
      </c>
      <c r="G2308" s="34" t="s">
        <v>119</v>
      </c>
      <c r="H2308" s="34" t="s">
        <v>1218</v>
      </c>
      <c r="I2308" s="35"/>
      <c r="J2308" s="21">
        <f ca="1">_xlfn.XLOOKUP(Master[[#This Row],[Checklist]],Ref!A:A,Ref!B:B)*1000</f>
        <v>205000</v>
      </c>
      <c r="K2308" s="21">
        <f ca="1">COUNTIF($J$2:Master[[#This Row],[ChecklistID]],Master[[#This Row],[ChecklistID]])-1</f>
        <v>0</v>
      </c>
      <c r="L2308" s="23" t="s">
        <v>6</v>
      </c>
    </row>
    <row r="2309" spans="1:12" ht="15.75">
      <c r="A2309" s="23">
        <f t="shared" si="36"/>
        <v>2296</v>
      </c>
      <c r="B2309" s="21">
        <f ca="1">Master[[#This Row],[ChecklistID]]+Master[[#This Row],[Checklist Order]]</f>
        <v>205001</v>
      </c>
      <c r="C2309" s="22"/>
      <c r="D2309" s="23" t="str" cm="1">
        <f t="array" aca="1" ref="D2309" ca="1">_xlfn.SWITCH(MID(Master[[#This Row],[Checklist]],1,4),"C - ","Civil","F - ","Foundation","ST -","Structure","FC -","Façade","PRE ","Pre-Line","POST","Post-Line","H - ","Handover","S - ","Services","CST ","Completion Docs", "I - ", "Inspection")</f>
        <v>Post-Line</v>
      </c>
      <c r="E230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09" s="24" t="str">
        <f ca="1">IF(OR(Master[[#This Row],[Type]]="checklist", Master[[#This Row],[Type]]="checklist-flat"), Master[[#This Row],[Name]], F2308)</f>
        <v>POST - S - Glue-Down/Floating Timber Flooring</v>
      </c>
      <c r="G2309" s="34" t="s">
        <v>49</v>
      </c>
      <c r="H2309" s="34" t="s">
        <v>1219</v>
      </c>
      <c r="I2309" s="35"/>
      <c r="J2309" s="21">
        <f ca="1">_xlfn.XLOOKUP(Master[[#This Row],[Checklist]],Ref!A:A,Ref!B:B)*1000</f>
        <v>205000</v>
      </c>
      <c r="K2309" s="21">
        <f ca="1">COUNTIF($J$2:Master[[#This Row],[ChecklistID]],Master[[#This Row],[ChecklistID]])-1</f>
        <v>1</v>
      </c>
      <c r="L2309" s="23" t="s">
        <v>6</v>
      </c>
    </row>
    <row r="2310" spans="1:12" ht="15.75">
      <c r="A2310" s="23">
        <f t="shared" si="36"/>
        <v>2297</v>
      </c>
      <c r="B2310" s="21">
        <f ca="1">Master[[#This Row],[ChecklistID]]+Master[[#This Row],[Checklist Order]]</f>
        <v>205002</v>
      </c>
      <c r="C2310" s="22"/>
      <c r="D2310" s="23" t="str" cm="1">
        <f t="array" aca="1" ref="D2310" ca="1">_xlfn.SWITCH(MID(Master[[#This Row],[Checklist]],1,4),"C - ","Civil","F - ","Foundation","ST -","Structure","FC -","Façade","PRE ","Pre-Line","POST","Post-Line","H - ","Handover","S - ","Services","CST ","Completion Docs", "I - ", "Inspection")</f>
        <v>Post-Line</v>
      </c>
      <c r="E231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0" s="24" t="str">
        <f ca="1">IF(OR(Master[[#This Row],[Type]]="checklist", Master[[#This Row],[Type]]="checklist-flat"), Master[[#This Row],[Name]], F2309)</f>
        <v>POST - S - Glue-Down/Floating Timber Flooring</v>
      </c>
      <c r="G2310" s="34" t="s">
        <v>49</v>
      </c>
      <c r="H2310" s="34" t="s">
        <v>1220</v>
      </c>
      <c r="I2310" s="35"/>
      <c r="J2310" s="21">
        <f ca="1">_xlfn.XLOOKUP(Master[[#This Row],[Checklist]],Ref!A:A,Ref!B:B)*1000</f>
        <v>205000</v>
      </c>
      <c r="K2310" s="21">
        <f ca="1">COUNTIF($J$2:Master[[#This Row],[ChecklistID]],Master[[#This Row],[ChecklistID]])-1</f>
        <v>2</v>
      </c>
      <c r="L2310" s="23" t="s">
        <v>6</v>
      </c>
    </row>
    <row r="2311" spans="1:12" ht="15.75">
      <c r="A2311" s="23">
        <f t="shared" si="36"/>
        <v>2298</v>
      </c>
      <c r="B2311" s="21">
        <f ca="1">Master[[#This Row],[ChecklistID]]+Master[[#This Row],[Checklist Order]]</f>
        <v>205003</v>
      </c>
      <c r="C2311" s="22"/>
      <c r="D2311" s="23" t="str" cm="1">
        <f t="array" aca="1" ref="D2311" ca="1">_xlfn.SWITCH(MID(Master[[#This Row],[Checklist]],1,4),"C - ","Civil","F - ","Foundation","ST -","Structure","FC -","Façade","PRE ","Pre-Line","POST","Post-Line","H - ","Handover","S - ","Services","CST ","Completion Docs", "I - ", "Inspection")</f>
        <v>Post-Line</v>
      </c>
      <c r="E231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1" s="24" t="str">
        <f ca="1">IF(OR(Master[[#This Row],[Type]]="checklist", Master[[#This Row],[Type]]="checklist-flat"), Master[[#This Row],[Name]], F2310)</f>
        <v>POST - S - Glue-Down/Floating Timber Flooring</v>
      </c>
      <c r="G2311" s="34" t="s">
        <v>49</v>
      </c>
      <c r="H2311" s="34" t="s">
        <v>1221</v>
      </c>
      <c r="I2311" s="35"/>
      <c r="J2311" s="21">
        <f ca="1">_xlfn.XLOOKUP(Master[[#This Row],[Checklist]],Ref!A:A,Ref!B:B)*1000</f>
        <v>205000</v>
      </c>
      <c r="K2311" s="21">
        <f ca="1">COUNTIF($J$2:Master[[#This Row],[ChecklistID]],Master[[#This Row],[ChecklistID]])-1</f>
        <v>3</v>
      </c>
      <c r="L2311" s="23" t="s">
        <v>6</v>
      </c>
    </row>
    <row r="2312" spans="1:12" ht="15.75">
      <c r="A2312" s="23">
        <f t="shared" si="36"/>
        <v>2299</v>
      </c>
      <c r="B2312" s="21">
        <f ca="1">Master[[#This Row],[ChecklistID]]+Master[[#This Row],[Checklist Order]]</f>
        <v>205004</v>
      </c>
      <c r="C2312" s="22"/>
      <c r="D2312" s="23" t="str" cm="1">
        <f t="array" aca="1" ref="D2312" ca="1">_xlfn.SWITCH(MID(Master[[#This Row],[Checklist]],1,4),"C - ","Civil","F - ","Foundation","ST -","Structure","FC -","Façade","PRE ","Pre-Line","POST","Post-Line","H - ","Handover","S - ","Services","CST ","Completion Docs", "I - ", "Inspection")</f>
        <v>Post-Line</v>
      </c>
      <c r="E231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2" s="24" t="str">
        <f ca="1">IF(OR(Master[[#This Row],[Type]]="checklist", Master[[#This Row],[Type]]="checklist-flat"), Master[[#This Row],[Name]], F2311)</f>
        <v>POST - S - Glue-Down/Floating Timber Flooring</v>
      </c>
      <c r="G2312" s="34" t="s">
        <v>49</v>
      </c>
      <c r="H2312" s="34" t="s">
        <v>1222</v>
      </c>
      <c r="I2312" s="35"/>
      <c r="J2312" s="21">
        <f ca="1">_xlfn.XLOOKUP(Master[[#This Row],[Checklist]],Ref!A:A,Ref!B:B)*1000</f>
        <v>205000</v>
      </c>
      <c r="K2312" s="21">
        <f ca="1">COUNTIF($J$2:Master[[#This Row],[ChecklistID]],Master[[#This Row],[ChecklistID]])-1</f>
        <v>4</v>
      </c>
      <c r="L2312" s="23" t="s">
        <v>6</v>
      </c>
    </row>
    <row r="2313" spans="1:12" ht="15.75">
      <c r="A2313" s="23">
        <f t="shared" si="36"/>
        <v>2300</v>
      </c>
      <c r="B2313" s="21">
        <f ca="1">Master[[#This Row],[ChecklistID]]+Master[[#This Row],[Checklist Order]]</f>
        <v>205005</v>
      </c>
      <c r="C2313" s="22"/>
      <c r="D2313" s="23" t="str" cm="1">
        <f t="array" aca="1" ref="D2313" ca="1">_xlfn.SWITCH(MID(Master[[#This Row],[Checklist]],1,4),"C - ","Civil","F - ","Foundation","ST -","Structure","FC -","Façade","PRE ","Pre-Line","POST","Post-Line","H - ","Handover","S - ","Services","CST ","Completion Docs", "I - ", "Inspection")</f>
        <v>Post-Line</v>
      </c>
      <c r="E231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3" s="24" t="str">
        <f ca="1">IF(OR(Master[[#This Row],[Type]]="checklist", Master[[#This Row],[Type]]="checklist-flat"), Master[[#This Row],[Name]], F2312)</f>
        <v>POST - S - Glue-Down/Floating Timber Flooring</v>
      </c>
      <c r="G2313" s="34" t="s">
        <v>49</v>
      </c>
      <c r="H2313" s="34" t="s">
        <v>1223</v>
      </c>
      <c r="I2313" s="35"/>
      <c r="J2313" s="21">
        <f ca="1">_xlfn.XLOOKUP(Master[[#This Row],[Checklist]],Ref!A:A,Ref!B:B)*1000</f>
        <v>205000</v>
      </c>
      <c r="K2313" s="21">
        <f ca="1">COUNTIF($J$2:Master[[#This Row],[ChecklistID]],Master[[#This Row],[ChecklistID]])-1</f>
        <v>5</v>
      </c>
      <c r="L2313" s="23" t="s">
        <v>6</v>
      </c>
    </row>
    <row r="2314" spans="1:12" ht="15.75">
      <c r="A2314" s="23">
        <f t="shared" si="36"/>
        <v>2301</v>
      </c>
      <c r="B2314" s="21">
        <f ca="1">Master[[#This Row],[ChecklistID]]+Master[[#This Row],[Checklist Order]]</f>
        <v>205006</v>
      </c>
      <c r="C2314" s="22"/>
      <c r="D2314" s="23" t="str" cm="1">
        <f t="array" aca="1" ref="D2314" ca="1">_xlfn.SWITCH(MID(Master[[#This Row],[Checklist]],1,4),"C - ","Civil","F - ","Foundation","ST -","Structure","FC -","Façade","PRE ","Pre-Line","POST","Post-Line","H - ","Handover","S - ","Services","CST ","Completion Docs", "I - ", "Inspection")</f>
        <v>Post-Line</v>
      </c>
      <c r="E231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4" s="24" t="str">
        <f ca="1">IF(OR(Master[[#This Row],[Type]]="checklist", Master[[#This Row],[Type]]="checklist-flat"), Master[[#This Row],[Name]], F2313)</f>
        <v>POST - S - Glue-Down/Floating Timber Flooring</v>
      </c>
      <c r="G2314" s="34" t="s">
        <v>49</v>
      </c>
      <c r="H2314" s="34" t="s">
        <v>1224</v>
      </c>
      <c r="I2314" s="35"/>
      <c r="J2314" s="21">
        <f ca="1">_xlfn.XLOOKUP(Master[[#This Row],[Checklist]],Ref!A:A,Ref!B:B)*1000</f>
        <v>205000</v>
      </c>
      <c r="K2314" s="21">
        <f ca="1">COUNTIF($J$2:Master[[#This Row],[ChecklistID]],Master[[#This Row],[ChecklistID]])-1</f>
        <v>6</v>
      </c>
      <c r="L2314" s="23" t="s">
        <v>6</v>
      </c>
    </row>
    <row r="2315" spans="1:12" ht="15.75">
      <c r="A2315" s="23">
        <f t="shared" si="36"/>
        <v>2302</v>
      </c>
      <c r="B2315" s="21">
        <f ca="1">Master[[#This Row],[ChecklistID]]+Master[[#This Row],[Checklist Order]]</f>
        <v>205007</v>
      </c>
      <c r="C2315" s="22"/>
      <c r="D2315" s="23" t="str" cm="1">
        <f t="array" aca="1" ref="D2315" ca="1">_xlfn.SWITCH(MID(Master[[#This Row],[Checklist]],1,4),"C - ","Civil","F - ","Foundation","ST -","Structure","FC -","Façade","PRE ","Pre-Line","POST","Post-Line","H - ","Handover","S - ","Services","CST ","Completion Docs", "I - ", "Inspection")</f>
        <v>Post-Line</v>
      </c>
      <c r="E23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5" s="24" t="str">
        <f ca="1">IF(OR(Master[[#This Row],[Type]]="checklist", Master[[#This Row],[Type]]="checklist-flat"), Master[[#This Row],[Name]], F2314)</f>
        <v>POST - S - Glue-Down/Floating Timber Flooring</v>
      </c>
      <c r="G2315" s="34" t="s">
        <v>49</v>
      </c>
      <c r="H2315" s="34" t="s">
        <v>57</v>
      </c>
      <c r="I2315" s="35"/>
      <c r="J2315" s="21">
        <f ca="1">_xlfn.XLOOKUP(Master[[#This Row],[Checklist]],Ref!A:A,Ref!B:B)*1000</f>
        <v>205000</v>
      </c>
      <c r="K2315" s="21">
        <f ca="1">COUNTIF($J$2:Master[[#This Row],[ChecklistID]],Master[[#This Row],[ChecklistID]])-1</f>
        <v>7</v>
      </c>
      <c r="L2315" s="23" t="s">
        <v>6</v>
      </c>
    </row>
    <row r="2316" spans="1:12" ht="15.75">
      <c r="A2316" s="23">
        <f t="shared" si="36"/>
        <v>2303</v>
      </c>
      <c r="B2316" s="21">
        <f ca="1">Master[[#This Row],[ChecklistID]]+Master[[#This Row],[Checklist Order]]</f>
        <v>205008</v>
      </c>
      <c r="C2316" s="22"/>
      <c r="D2316" s="23" t="str" cm="1">
        <f t="array" aca="1" ref="D2316" ca="1">_xlfn.SWITCH(MID(Master[[#This Row],[Checklist]],1,4),"C - ","Civil","F - ","Foundation","ST -","Structure","FC -","Façade","PRE ","Pre-Line","POST","Post-Line","H - ","Handover","S - ","Services","CST ","Completion Docs", "I - ", "Inspection")</f>
        <v>Post-Line</v>
      </c>
      <c r="E23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6" s="24" t="str">
        <f ca="1">IF(OR(Master[[#This Row],[Type]]="checklist", Master[[#This Row],[Type]]="checklist-flat"), Master[[#This Row],[Name]], F2315)</f>
        <v>POST - S - Glue-Down/Floating Timber Flooring</v>
      </c>
      <c r="G2316" s="34" t="s">
        <v>58</v>
      </c>
      <c r="H2316" s="34" t="s">
        <v>59</v>
      </c>
      <c r="I2316" s="35"/>
      <c r="J2316" s="21">
        <f ca="1">_xlfn.XLOOKUP(Master[[#This Row],[Checklist]],Ref!A:A,Ref!B:B)*1000</f>
        <v>205000</v>
      </c>
      <c r="K2316" s="21">
        <f ca="1">COUNTIF($J$2:Master[[#This Row],[ChecklistID]],Master[[#This Row],[ChecklistID]])-1</f>
        <v>8</v>
      </c>
      <c r="L2316" s="23" t="s">
        <v>6</v>
      </c>
    </row>
    <row r="2317" spans="1:12" ht="15.75">
      <c r="A2317" s="23">
        <f t="shared" si="36"/>
        <v>2304</v>
      </c>
      <c r="B2317" s="21">
        <f ca="1">Master[[#This Row],[ChecklistID]]+Master[[#This Row],[Checklist Order]]</f>
        <v>206000</v>
      </c>
      <c r="C2317" s="22"/>
      <c r="D2317" s="23" t="str" cm="1">
        <f t="array" aca="1" ref="D2317" ca="1">_xlfn.SWITCH(MID(Master[[#This Row],[Checklist]],1,4),"C - ","Civil","F - ","Foundation","ST -","Structure","FC -","Façade","PRE ","Pre-Line","POST","Post-Line","H - ","Handover","S - ","Services","CST ","Completion Docs", "I - ", "Inspection")</f>
        <v>Post-Line</v>
      </c>
      <c r="E23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7" s="24" t="str">
        <f ca="1">IF(OR(Master[[#This Row],[Type]]="checklist", Master[[#This Row],[Type]]="checklist-flat"), Master[[#This Row],[Name]], F2316)</f>
        <v>POST - S - Joinery Receival</v>
      </c>
      <c r="G2317" s="34" t="s">
        <v>48</v>
      </c>
      <c r="H2317" s="34" t="s">
        <v>1225</v>
      </c>
      <c r="I2317" s="35"/>
      <c r="J2317" s="21">
        <f ca="1">_xlfn.XLOOKUP(Master[[#This Row],[Checklist]],Ref!A:A,Ref!B:B)*1000</f>
        <v>206000</v>
      </c>
      <c r="K2317" s="21">
        <f ca="1">COUNTIF($J$2:Master[[#This Row],[ChecklistID]],Master[[#This Row],[ChecklistID]])-1</f>
        <v>0</v>
      </c>
      <c r="L2317" s="23" t="s">
        <v>6</v>
      </c>
    </row>
    <row r="2318" spans="1:12" ht="15.75">
      <c r="A2318" s="23">
        <f t="shared" si="36"/>
        <v>2305</v>
      </c>
      <c r="B2318" s="21">
        <f ca="1">Master[[#This Row],[ChecklistID]]+Master[[#This Row],[Checklist Order]]</f>
        <v>206001</v>
      </c>
      <c r="C2318" s="22"/>
      <c r="D2318" s="23" t="str" cm="1">
        <f t="array" aca="1" ref="D2318" ca="1">_xlfn.SWITCH(MID(Master[[#This Row],[Checklist]],1,4),"C - ","Civil","F - ","Foundation","ST -","Structure","FC -","Façade","PRE ","Pre-Line","POST","Post-Line","H - ","Handover","S - ","Services","CST ","Completion Docs", "I - ", "Inspection")</f>
        <v>Post-Line</v>
      </c>
      <c r="E23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8" s="24" t="str">
        <f ca="1">IF(OR(Master[[#This Row],[Type]]="checklist", Master[[#This Row],[Type]]="checklist-flat"), Master[[#This Row],[Name]], F2317)</f>
        <v>POST - S - Joinery Receival</v>
      </c>
      <c r="G2318" s="34" t="s">
        <v>49</v>
      </c>
      <c r="H2318" s="34" t="s">
        <v>1226</v>
      </c>
      <c r="I2318" s="35"/>
      <c r="J2318" s="21">
        <f ca="1">_xlfn.XLOOKUP(Master[[#This Row],[Checklist]],Ref!A:A,Ref!B:B)*1000</f>
        <v>206000</v>
      </c>
      <c r="K2318" s="21">
        <f ca="1">COUNTIF($J$2:Master[[#This Row],[ChecklistID]],Master[[#This Row],[ChecklistID]])-1</f>
        <v>1</v>
      </c>
      <c r="L2318" s="23" t="s">
        <v>6</v>
      </c>
    </row>
    <row r="2319" spans="1:12" ht="15.75">
      <c r="A2319" s="23">
        <f t="shared" si="36"/>
        <v>2306</v>
      </c>
      <c r="B2319" s="21">
        <f ca="1">Master[[#This Row],[ChecklistID]]+Master[[#This Row],[Checklist Order]]</f>
        <v>206002</v>
      </c>
      <c r="C2319" s="22"/>
      <c r="D2319" s="23" t="str" cm="1">
        <f t="array" aca="1" ref="D2319" ca="1">_xlfn.SWITCH(MID(Master[[#This Row],[Checklist]],1,4),"C - ","Civil","F - ","Foundation","ST -","Structure","FC -","Façade","PRE ","Pre-Line","POST","Post-Line","H - ","Handover","S - ","Services","CST ","Completion Docs", "I - ", "Inspection")</f>
        <v>Post-Line</v>
      </c>
      <c r="E23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19" s="24" t="str">
        <f ca="1">IF(OR(Master[[#This Row],[Type]]="checklist", Master[[#This Row],[Type]]="checklist-flat"), Master[[#This Row],[Name]], F2318)</f>
        <v>POST - S - Joinery Receival</v>
      </c>
      <c r="G2319" s="34" t="s">
        <v>49</v>
      </c>
      <c r="H2319" s="34" t="s">
        <v>1213</v>
      </c>
      <c r="I2319" s="35"/>
      <c r="J2319" s="21">
        <f ca="1">_xlfn.XLOOKUP(Master[[#This Row],[Checklist]],Ref!A:A,Ref!B:B)*1000</f>
        <v>206000</v>
      </c>
      <c r="K2319" s="21">
        <f ca="1">COUNTIF($J$2:Master[[#This Row],[ChecklistID]],Master[[#This Row],[ChecklistID]])-1</f>
        <v>2</v>
      </c>
      <c r="L2319" s="23" t="s">
        <v>6</v>
      </c>
    </row>
    <row r="2320" spans="1:12" ht="15.75">
      <c r="A2320" s="23">
        <f t="shared" si="36"/>
        <v>2307</v>
      </c>
      <c r="B2320" s="21">
        <f ca="1">Master[[#This Row],[ChecklistID]]+Master[[#This Row],[Checklist Order]]</f>
        <v>206003</v>
      </c>
      <c r="C2320" s="22"/>
      <c r="D2320" s="23" t="str" cm="1">
        <f t="array" aca="1" ref="D2320" ca="1">_xlfn.SWITCH(MID(Master[[#This Row],[Checklist]],1,4),"C - ","Civil","F - ","Foundation","ST -","Structure","FC -","Façade","PRE ","Pre-Line","POST","Post-Line","H - ","Handover","S - ","Services","CST ","Completion Docs", "I - ", "Inspection")</f>
        <v>Post-Line</v>
      </c>
      <c r="E23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0" s="24" t="str">
        <f ca="1">IF(OR(Master[[#This Row],[Type]]="checklist", Master[[#This Row],[Type]]="checklist-flat"), Master[[#This Row],[Name]], F2319)</f>
        <v>POST - S - Joinery Receival</v>
      </c>
      <c r="G2320" s="34" t="s">
        <v>49</v>
      </c>
      <c r="H2320" s="34" t="s">
        <v>1214</v>
      </c>
      <c r="I2320" s="35"/>
      <c r="J2320" s="21">
        <f ca="1">_xlfn.XLOOKUP(Master[[#This Row],[Checklist]],Ref!A:A,Ref!B:B)*1000</f>
        <v>206000</v>
      </c>
      <c r="K2320" s="21">
        <f ca="1">COUNTIF($J$2:Master[[#This Row],[ChecklistID]],Master[[#This Row],[ChecklistID]])-1</f>
        <v>3</v>
      </c>
      <c r="L2320" s="23" t="s">
        <v>6</v>
      </c>
    </row>
    <row r="2321" spans="1:12" ht="15.75">
      <c r="A2321" s="23">
        <f t="shared" si="36"/>
        <v>2308</v>
      </c>
      <c r="B2321" s="21">
        <f ca="1">Master[[#This Row],[ChecklistID]]+Master[[#This Row],[Checklist Order]]</f>
        <v>206004</v>
      </c>
      <c r="C2321" s="22"/>
      <c r="D2321" s="23" t="str" cm="1">
        <f t="array" aca="1" ref="D2321" ca="1">_xlfn.SWITCH(MID(Master[[#This Row],[Checklist]],1,4),"C - ","Civil","F - ","Foundation","ST -","Structure","FC -","Façade","PRE ","Pre-Line","POST","Post-Line","H - ","Handover","S - ","Services","CST ","Completion Docs", "I - ", "Inspection")</f>
        <v>Post-Line</v>
      </c>
      <c r="E23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1" s="24" t="str">
        <f ca="1">IF(OR(Master[[#This Row],[Type]]="checklist", Master[[#This Row],[Type]]="checklist-flat"), Master[[#This Row],[Name]], F2320)</f>
        <v>POST - S - Joinery Receival</v>
      </c>
      <c r="G2321" s="34" t="s">
        <v>49</v>
      </c>
      <c r="H2321" s="34" t="s">
        <v>57</v>
      </c>
      <c r="I2321" s="35"/>
      <c r="J2321" s="21">
        <f ca="1">_xlfn.XLOOKUP(Master[[#This Row],[Checklist]],Ref!A:A,Ref!B:B)*1000</f>
        <v>206000</v>
      </c>
      <c r="K2321" s="21">
        <f ca="1">COUNTIF($J$2:Master[[#This Row],[ChecklistID]],Master[[#This Row],[ChecklistID]])-1</f>
        <v>4</v>
      </c>
      <c r="L2321" s="23" t="s">
        <v>6</v>
      </c>
    </row>
    <row r="2322" spans="1:12" ht="15.75">
      <c r="A2322" s="23">
        <f t="shared" si="36"/>
        <v>2309</v>
      </c>
      <c r="B2322" s="21">
        <f ca="1">Master[[#This Row],[ChecklistID]]+Master[[#This Row],[Checklist Order]]</f>
        <v>206005</v>
      </c>
      <c r="C2322" s="22"/>
      <c r="D2322" s="23" t="str" cm="1">
        <f t="array" aca="1" ref="D2322" ca="1">_xlfn.SWITCH(MID(Master[[#This Row],[Checklist]],1,4),"C - ","Civil","F - ","Foundation","ST -","Structure","FC -","Façade","PRE ","Pre-Line","POST","Post-Line","H - ","Handover","S - ","Services","CST ","Completion Docs", "I - ", "Inspection")</f>
        <v>Post-Line</v>
      </c>
      <c r="E23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2" s="24" t="str">
        <f ca="1">IF(OR(Master[[#This Row],[Type]]="checklist", Master[[#This Row],[Type]]="checklist-flat"), Master[[#This Row],[Name]], F2321)</f>
        <v>POST - S - Joinery Receival</v>
      </c>
      <c r="G2322" s="34" t="s">
        <v>58</v>
      </c>
      <c r="H2322" s="34" t="s">
        <v>59</v>
      </c>
      <c r="I2322" s="35"/>
      <c r="J2322" s="21">
        <f ca="1">_xlfn.XLOOKUP(Master[[#This Row],[Checklist]],Ref!A:A,Ref!B:B)*1000</f>
        <v>206000</v>
      </c>
      <c r="K2322" s="21">
        <f ca="1">COUNTIF($J$2:Master[[#This Row],[ChecklistID]],Master[[#This Row],[ChecklistID]])-1</f>
        <v>5</v>
      </c>
      <c r="L2322" s="23" t="s">
        <v>6</v>
      </c>
    </row>
    <row r="2323" spans="1:12" ht="15.75">
      <c r="A2323" s="23">
        <f t="shared" si="36"/>
        <v>2310</v>
      </c>
      <c r="B2323" s="21">
        <f ca="1">Master[[#This Row],[ChecklistID]]+Master[[#This Row],[Checklist Order]]</f>
        <v>207000</v>
      </c>
      <c r="C2323" s="22"/>
      <c r="D2323" s="23" t="str" cm="1">
        <f t="array" aca="1" ref="D2323" ca="1">_xlfn.SWITCH(MID(Master[[#This Row],[Checklist]],1,4),"C - ","Civil","F - ","Foundation","ST -","Structure","FC -","Façade","PRE ","Pre-Line","POST","Post-Line","H - ","Handover","S - ","Services","CST ","Completion Docs", "I - ", "Inspection")</f>
        <v>Structure</v>
      </c>
      <c r="E23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3" s="24" t="str">
        <f ca="1">IF(OR(Master[[#This Row],[Type]]="checklist", Master[[#This Row],[Type]]="checklist-flat"), Master[[#This Row],[Name]], F2322)</f>
        <v>ST - S - Epoxy</v>
      </c>
      <c r="G2323" s="34" t="s">
        <v>48</v>
      </c>
      <c r="H2323" s="34" t="s">
        <v>1227</v>
      </c>
      <c r="I2323" s="35"/>
      <c r="J2323" s="21">
        <f ca="1">_xlfn.XLOOKUP(Master[[#This Row],[Checklist]],Ref!A:A,Ref!B:B)*1000</f>
        <v>207000</v>
      </c>
      <c r="K2323" s="21">
        <f ca="1">COUNTIF($J$2:Master[[#This Row],[ChecklistID]],Master[[#This Row],[ChecklistID]])-1</f>
        <v>0</v>
      </c>
      <c r="L2323" s="23" t="s">
        <v>6</v>
      </c>
    </row>
    <row r="2324" spans="1:12" ht="15.75">
      <c r="A2324" s="23">
        <f t="shared" si="36"/>
        <v>2311</v>
      </c>
      <c r="B2324" s="21">
        <f ca="1">Master[[#This Row],[ChecklistID]]+Master[[#This Row],[Checklist Order]]</f>
        <v>207001</v>
      </c>
      <c r="C2324" s="22"/>
      <c r="D2324" s="23" t="str" cm="1">
        <f t="array" aca="1" ref="D2324" ca="1">_xlfn.SWITCH(MID(Master[[#This Row],[Checklist]],1,4),"C - ","Civil","F - ","Foundation","ST -","Structure","FC -","Façade","PRE ","Pre-Line","POST","Post-Line","H - ","Handover","S - ","Services","CST ","Completion Docs", "I - ", "Inspection")</f>
        <v>Structure</v>
      </c>
      <c r="E23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4" s="24" t="str">
        <f ca="1">IF(OR(Master[[#This Row],[Type]]="checklist", Master[[#This Row],[Type]]="checklist-flat"), Master[[#This Row],[Name]], F2323)</f>
        <v>ST - S - Epoxy</v>
      </c>
      <c r="G2324" s="34" t="s">
        <v>49</v>
      </c>
      <c r="H2324" s="34" t="s">
        <v>1228</v>
      </c>
      <c r="I2324" s="35"/>
      <c r="J2324" s="21">
        <f ca="1">_xlfn.XLOOKUP(Master[[#This Row],[Checklist]],Ref!A:A,Ref!B:B)*1000</f>
        <v>207000</v>
      </c>
      <c r="K2324" s="21">
        <f ca="1">COUNTIF($J$2:Master[[#This Row],[ChecklistID]],Master[[#This Row],[ChecklistID]])-1</f>
        <v>1</v>
      </c>
      <c r="L2324" s="23" t="s">
        <v>6</v>
      </c>
    </row>
    <row r="2325" spans="1:12" ht="15.75">
      <c r="A2325" s="23">
        <f t="shared" si="36"/>
        <v>2312</v>
      </c>
      <c r="B2325" s="21">
        <f ca="1">Master[[#This Row],[ChecklistID]]+Master[[#This Row],[Checklist Order]]</f>
        <v>207002</v>
      </c>
      <c r="C2325" s="22"/>
      <c r="D2325" s="23" t="str" cm="1">
        <f t="array" aca="1" ref="D2325" ca="1">_xlfn.SWITCH(MID(Master[[#This Row],[Checklist]],1,4),"C - ","Civil","F - ","Foundation","ST -","Structure","FC -","Façade","PRE ","Pre-Line","POST","Post-Line","H - ","Handover","S - ","Services","CST ","Completion Docs", "I - ", "Inspection")</f>
        <v>Structure</v>
      </c>
      <c r="E23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5" s="24" t="str">
        <f ca="1">IF(OR(Master[[#This Row],[Type]]="checklist", Master[[#This Row],[Type]]="checklist-flat"), Master[[#This Row],[Name]], F2324)</f>
        <v>ST - S - Epoxy</v>
      </c>
      <c r="G2325" s="34" t="s">
        <v>124</v>
      </c>
      <c r="H2325" s="34" t="s">
        <v>1229</v>
      </c>
      <c r="I2325" s="35"/>
      <c r="J2325" s="21">
        <f ca="1">_xlfn.XLOOKUP(Master[[#This Row],[Checklist]],Ref!A:A,Ref!B:B)*1000</f>
        <v>207000</v>
      </c>
      <c r="K2325" s="21">
        <f ca="1">COUNTIF($J$2:Master[[#This Row],[ChecklistID]],Master[[#This Row],[ChecklistID]])-1</f>
        <v>2</v>
      </c>
      <c r="L2325" s="23" t="s">
        <v>6</v>
      </c>
    </row>
    <row r="2326" spans="1:12" ht="15.75">
      <c r="A2326" s="23">
        <f t="shared" si="36"/>
        <v>2313</v>
      </c>
      <c r="B2326" s="21">
        <f ca="1">Master[[#This Row],[ChecklistID]]+Master[[#This Row],[Checklist Order]]</f>
        <v>207003</v>
      </c>
      <c r="C2326" s="22"/>
      <c r="D2326" s="23" t="str" cm="1">
        <f t="array" aca="1" ref="D2326" ca="1">_xlfn.SWITCH(MID(Master[[#This Row],[Checklist]],1,4),"C - ","Civil","F - ","Foundation","ST -","Structure","FC -","Façade","PRE ","Pre-Line","POST","Post-Line","H - ","Handover","S - ","Services","CST ","Completion Docs", "I - ", "Inspection")</f>
        <v>Structure</v>
      </c>
      <c r="E23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6" s="24" t="str">
        <f ca="1">IF(OR(Master[[#This Row],[Type]]="checklist", Master[[#This Row],[Type]]="checklist-flat"), Master[[#This Row],[Name]], F2325)</f>
        <v>ST - S - Epoxy</v>
      </c>
      <c r="G2326" s="34" t="s">
        <v>49</v>
      </c>
      <c r="H2326" s="34" t="s">
        <v>1230</v>
      </c>
      <c r="I2326" s="35"/>
      <c r="J2326" s="21">
        <f ca="1">_xlfn.XLOOKUP(Master[[#This Row],[Checklist]],Ref!A:A,Ref!B:B)*1000</f>
        <v>207000</v>
      </c>
      <c r="K2326" s="21">
        <f ca="1">COUNTIF($J$2:Master[[#This Row],[ChecklistID]],Master[[#This Row],[ChecklistID]])-1</f>
        <v>3</v>
      </c>
      <c r="L2326" s="23" t="s">
        <v>6</v>
      </c>
    </row>
    <row r="2327" spans="1:12" ht="15.75">
      <c r="A2327" s="23">
        <f t="shared" si="36"/>
        <v>2314</v>
      </c>
      <c r="B2327" s="21">
        <f ca="1">Master[[#This Row],[ChecklistID]]+Master[[#This Row],[Checklist Order]]</f>
        <v>207004</v>
      </c>
      <c r="C2327" s="22"/>
      <c r="D2327" s="23" t="str" cm="1">
        <f t="array" aca="1" ref="D2327" ca="1">_xlfn.SWITCH(MID(Master[[#This Row],[Checklist]],1,4),"C - ","Civil","F - ","Foundation","ST -","Structure","FC -","Façade","PRE ","Pre-Line","POST","Post-Line","H - ","Handover","S - ","Services","CST ","Completion Docs", "I - ", "Inspection")</f>
        <v>Structure</v>
      </c>
      <c r="E23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7" s="24" t="str">
        <f ca="1">IF(OR(Master[[#This Row],[Type]]="checklist", Master[[#This Row],[Type]]="checklist-flat"), Master[[#This Row],[Name]], F2326)</f>
        <v>ST - S - Epoxy</v>
      </c>
      <c r="G2327" s="34" t="s">
        <v>49</v>
      </c>
      <c r="H2327" s="34" t="s">
        <v>1231</v>
      </c>
      <c r="I2327" s="35"/>
      <c r="J2327" s="21">
        <f ca="1">_xlfn.XLOOKUP(Master[[#This Row],[Checklist]],Ref!A:A,Ref!B:B)*1000</f>
        <v>207000</v>
      </c>
      <c r="K2327" s="21">
        <f ca="1">COUNTIF($J$2:Master[[#This Row],[ChecklistID]],Master[[#This Row],[ChecklistID]])-1</f>
        <v>4</v>
      </c>
      <c r="L2327" s="23" t="s">
        <v>6</v>
      </c>
    </row>
    <row r="2328" spans="1:12" ht="15.75">
      <c r="A2328" s="23">
        <f t="shared" si="36"/>
        <v>2315</v>
      </c>
      <c r="B2328" s="21">
        <f ca="1">Master[[#This Row],[ChecklistID]]+Master[[#This Row],[Checklist Order]]</f>
        <v>207005</v>
      </c>
      <c r="C2328" s="22"/>
      <c r="D2328" s="23" t="str" cm="1">
        <f t="array" aca="1" ref="D2328" ca="1">_xlfn.SWITCH(MID(Master[[#This Row],[Checklist]],1,4),"C - ","Civil","F - ","Foundation","ST -","Structure","FC -","Façade","PRE ","Pre-Line","POST","Post-Line","H - ","Handover","S - ","Services","CST ","Completion Docs", "I - ", "Inspection")</f>
        <v>Structure</v>
      </c>
      <c r="E23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8" s="24" t="str">
        <f ca="1">IF(OR(Master[[#This Row],[Type]]="checklist", Master[[#This Row],[Type]]="checklist-flat"), Master[[#This Row],[Name]], F2327)</f>
        <v>ST - S - Epoxy</v>
      </c>
      <c r="G2328" s="34" t="s">
        <v>49</v>
      </c>
      <c r="H2328" s="34" t="s">
        <v>1232</v>
      </c>
      <c r="I2328" s="35"/>
      <c r="J2328" s="21">
        <f ca="1">_xlfn.XLOOKUP(Master[[#This Row],[Checklist]],Ref!A:A,Ref!B:B)*1000</f>
        <v>207000</v>
      </c>
      <c r="K2328" s="21">
        <f ca="1">COUNTIF($J$2:Master[[#This Row],[ChecklistID]],Master[[#This Row],[ChecklistID]])-1</f>
        <v>5</v>
      </c>
      <c r="L2328" s="23" t="s">
        <v>6</v>
      </c>
    </row>
    <row r="2329" spans="1:12" ht="15.75">
      <c r="A2329" s="23">
        <f t="shared" si="36"/>
        <v>2316</v>
      </c>
      <c r="B2329" s="21">
        <f ca="1">Master[[#This Row],[ChecklistID]]+Master[[#This Row],[Checklist Order]]</f>
        <v>207006</v>
      </c>
      <c r="C2329" s="22"/>
      <c r="D2329" s="23" t="str" cm="1">
        <f t="array" aca="1" ref="D2329" ca="1">_xlfn.SWITCH(MID(Master[[#This Row],[Checklist]],1,4),"C - ","Civil","F - ","Foundation","ST -","Structure","FC -","Façade","PRE ","Pre-Line","POST","Post-Line","H - ","Handover","S - ","Services","CST ","Completion Docs", "I - ", "Inspection")</f>
        <v>Structure</v>
      </c>
      <c r="E23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29" s="24" t="str">
        <f ca="1">IF(OR(Master[[#This Row],[Type]]="checklist", Master[[#This Row],[Type]]="checklist-flat"), Master[[#This Row],[Name]], F2328)</f>
        <v>ST - S - Epoxy</v>
      </c>
      <c r="G2329" s="34" t="s">
        <v>49</v>
      </c>
      <c r="H2329" s="34" t="s">
        <v>1233</v>
      </c>
      <c r="I2329" s="35"/>
      <c r="J2329" s="21">
        <f ca="1">_xlfn.XLOOKUP(Master[[#This Row],[Checklist]],Ref!A:A,Ref!B:B)*1000</f>
        <v>207000</v>
      </c>
      <c r="K2329" s="21">
        <f ca="1">COUNTIF($J$2:Master[[#This Row],[ChecklistID]],Master[[#This Row],[ChecklistID]])-1</f>
        <v>6</v>
      </c>
      <c r="L2329" s="23" t="s">
        <v>6</v>
      </c>
    </row>
    <row r="2330" spans="1:12" ht="15.75">
      <c r="A2330" s="23">
        <f t="shared" si="36"/>
        <v>2317</v>
      </c>
      <c r="B2330" s="21">
        <f ca="1">Master[[#This Row],[ChecklistID]]+Master[[#This Row],[Checklist Order]]</f>
        <v>207007</v>
      </c>
      <c r="C2330" s="22"/>
      <c r="D2330" s="23" t="str" cm="1">
        <f t="array" aca="1" ref="D2330" ca="1">_xlfn.SWITCH(MID(Master[[#This Row],[Checklist]],1,4),"C - ","Civil","F - ","Foundation","ST -","Structure","FC -","Façade","PRE ","Pre-Line","POST","Post-Line","H - ","Handover","S - ","Services","CST ","Completion Docs", "I - ", "Inspection")</f>
        <v>Structure</v>
      </c>
      <c r="E23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0" s="24" t="str">
        <f ca="1">IF(OR(Master[[#This Row],[Type]]="checklist", Master[[#This Row],[Type]]="checklist-flat"), Master[[#This Row],[Name]], F2329)</f>
        <v>ST - S - Epoxy</v>
      </c>
      <c r="G2330" s="34" t="s">
        <v>49</v>
      </c>
      <c r="H2330" s="34" t="s">
        <v>1234</v>
      </c>
      <c r="I2330" s="35"/>
      <c r="J2330" s="21">
        <f ca="1">_xlfn.XLOOKUP(Master[[#This Row],[Checklist]],Ref!A:A,Ref!B:B)*1000</f>
        <v>207000</v>
      </c>
      <c r="K2330" s="21">
        <f ca="1">COUNTIF($J$2:Master[[#This Row],[ChecklistID]],Master[[#This Row],[ChecklistID]])-1</f>
        <v>7</v>
      </c>
      <c r="L2330" s="23" t="s">
        <v>6</v>
      </c>
    </row>
    <row r="2331" spans="1:12" ht="15.75">
      <c r="A2331" s="23">
        <f t="shared" si="36"/>
        <v>2318</v>
      </c>
      <c r="B2331" s="21">
        <f ca="1">Master[[#This Row],[ChecklistID]]+Master[[#This Row],[Checklist Order]]</f>
        <v>207008</v>
      </c>
      <c r="C2331" s="22"/>
      <c r="D2331" s="23" t="str" cm="1">
        <f t="array" aca="1" ref="D2331" ca="1">_xlfn.SWITCH(MID(Master[[#This Row],[Checklist]],1,4),"C - ","Civil","F - ","Foundation","ST -","Structure","FC -","Façade","PRE ","Pre-Line","POST","Post-Line","H - ","Handover","S - ","Services","CST ","Completion Docs", "I - ", "Inspection")</f>
        <v>Structure</v>
      </c>
      <c r="E23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1" s="24" t="str">
        <f ca="1">IF(OR(Master[[#This Row],[Type]]="checklist", Master[[#This Row],[Type]]="checklist-flat"), Master[[#This Row],[Name]], F2330)</f>
        <v>ST - S - Epoxy</v>
      </c>
      <c r="G2331" s="34" t="s">
        <v>124</v>
      </c>
      <c r="H2331" s="34" t="s">
        <v>1235</v>
      </c>
      <c r="I2331" s="35"/>
      <c r="J2331" s="21">
        <f ca="1">_xlfn.XLOOKUP(Master[[#This Row],[Checklist]],Ref!A:A,Ref!B:B)*1000</f>
        <v>207000</v>
      </c>
      <c r="K2331" s="21">
        <f ca="1">COUNTIF($J$2:Master[[#This Row],[ChecklistID]],Master[[#This Row],[ChecklistID]])-1</f>
        <v>8</v>
      </c>
      <c r="L2331" s="23" t="s">
        <v>6</v>
      </c>
    </row>
    <row r="2332" spans="1:12" ht="15.75">
      <c r="A2332" s="23">
        <f t="shared" si="36"/>
        <v>2319</v>
      </c>
      <c r="B2332" s="21">
        <f ca="1">Master[[#This Row],[ChecklistID]]+Master[[#This Row],[Checklist Order]]</f>
        <v>207009</v>
      </c>
      <c r="C2332" s="22"/>
      <c r="D2332" s="23" t="str" cm="1">
        <f t="array" aca="1" ref="D2332" ca="1">_xlfn.SWITCH(MID(Master[[#This Row],[Checklist]],1,4),"C - ","Civil","F - ","Foundation","ST -","Structure","FC -","Façade","PRE ","Pre-Line","POST","Post-Line","H - ","Handover","S - ","Services","CST ","Completion Docs", "I - ", "Inspection")</f>
        <v>Structure</v>
      </c>
      <c r="E23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2" s="24" t="str">
        <f ca="1">IF(OR(Master[[#This Row],[Type]]="checklist", Master[[#This Row],[Type]]="checklist-flat"), Master[[#This Row],[Name]], F2331)</f>
        <v>ST - S - Epoxy</v>
      </c>
      <c r="G2332" s="34" t="s">
        <v>49</v>
      </c>
      <c r="H2332" s="34" t="s">
        <v>1236</v>
      </c>
      <c r="I2332" s="35"/>
      <c r="J2332" s="21">
        <f ca="1">_xlfn.XLOOKUP(Master[[#This Row],[Checklist]],Ref!A:A,Ref!B:B)*1000</f>
        <v>207000</v>
      </c>
      <c r="K2332" s="21">
        <f ca="1">COUNTIF($J$2:Master[[#This Row],[ChecklistID]],Master[[#This Row],[ChecklistID]])-1</f>
        <v>9</v>
      </c>
      <c r="L2332" s="23" t="s">
        <v>6</v>
      </c>
    </row>
    <row r="2333" spans="1:12" ht="15.75">
      <c r="A2333" s="23">
        <f t="shared" si="36"/>
        <v>2320</v>
      </c>
      <c r="B2333" s="21">
        <f ca="1">Master[[#This Row],[ChecklistID]]+Master[[#This Row],[Checklist Order]]</f>
        <v>207010</v>
      </c>
      <c r="C2333" s="22"/>
      <c r="D2333" s="23" t="str" cm="1">
        <f t="array" aca="1" ref="D2333" ca="1">_xlfn.SWITCH(MID(Master[[#This Row],[Checklist]],1,4),"C - ","Civil","F - ","Foundation","ST -","Structure","FC -","Façade","PRE ","Pre-Line","POST","Post-Line","H - ","Handover","S - ","Services","CST ","Completion Docs", "I - ", "Inspection")</f>
        <v>Structure</v>
      </c>
      <c r="E23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3" s="24" t="str">
        <f ca="1">IF(OR(Master[[#This Row],[Type]]="checklist", Master[[#This Row],[Type]]="checklist-flat"), Master[[#This Row],[Name]], F2332)</f>
        <v>ST - S - Epoxy</v>
      </c>
      <c r="G2333" s="34" t="s">
        <v>124</v>
      </c>
      <c r="H2333" s="34" t="s">
        <v>1237</v>
      </c>
      <c r="I2333" s="35"/>
      <c r="J2333" s="21">
        <f ca="1">_xlfn.XLOOKUP(Master[[#This Row],[Checklist]],Ref!A:A,Ref!B:B)*1000</f>
        <v>207000</v>
      </c>
      <c r="K2333" s="21">
        <f ca="1">COUNTIF($J$2:Master[[#This Row],[ChecklistID]],Master[[#This Row],[ChecklistID]])-1</f>
        <v>10</v>
      </c>
      <c r="L2333" s="23" t="s">
        <v>6</v>
      </c>
    </row>
    <row r="2334" spans="1:12" ht="15.75">
      <c r="A2334" s="23">
        <f t="shared" si="36"/>
        <v>2321</v>
      </c>
      <c r="B2334" s="21">
        <f ca="1">Master[[#This Row],[ChecklistID]]+Master[[#This Row],[Checklist Order]]</f>
        <v>207011</v>
      </c>
      <c r="C2334" s="22"/>
      <c r="D2334" s="23" t="str" cm="1">
        <f t="array" aca="1" ref="D2334" ca="1">_xlfn.SWITCH(MID(Master[[#This Row],[Checklist]],1,4),"C - ","Civil","F - ","Foundation","ST -","Structure","FC -","Façade","PRE ","Pre-Line","POST","Post-Line","H - ","Handover","S - ","Services","CST ","Completion Docs", "I - ", "Inspection")</f>
        <v>Structure</v>
      </c>
      <c r="E23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4" s="24" t="str">
        <f ca="1">IF(OR(Master[[#This Row],[Type]]="checklist", Master[[#This Row],[Type]]="checklist-flat"), Master[[#This Row],[Name]], F2333)</f>
        <v>ST - S - Epoxy</v>
      </c>
      <c r="G2334" s="34" t="s">
        <v>49</v>
      </c>
      <c r="H2334" s="34" t="s">
        <v>1238</v>
      </c>
      <c r="I2334" s="35"/>
      <c r="J2334" s="21">
        <f ca="1">_xlfn.XLOOKUP(Master[[#This Row],[Checklist]],Ref!A:A,Ref!B:B)*1000</f>
        <v>207000</v>
      </c>
      <c r="K2334" s="21">
        <f ca="1">COUNTIF($J$2:Master[[#This Row],[ChecklistID]],Master[[#This Row],[ChecklistID]])-1</f>
        <v>11</v>
      </c>
      <c r="L2334" s="23" t="s">
        <v>6</v>
      </c>
    </row>
    <row r="2335" spans="1:12" ht="15.75">
      <c r="A2335" s="23">
        <f t="shared" si="36"/>
        <v>2322</v>
      </c>
      <c r="B2335" s="21">
        <f ca="1">Master[[#This Row],[ChecklistID]]+Master[[#This Row],[Checklist Order]]</f>
        <v>207012</v>
      </c>
      <c r="C2335" s="22"/>
      <c r="D2335" s="23" t="str" cm="1">
        <f t="array" aca="1" ref="D2335" ca="1">_xlfn.SWITCH(MID(Master[[#This Row],[Checklist]],1,4),"C - ","Civil","F - ","Foundation","ST -","Structure","FC -","Façade","PRE ","Pre-Line","POST","Post-Line","H - ","Handover","S - ","Services","CST ","Completion Docs", "I - ", "Inspection")</f>
        <v>Structure</v>
      </c>
      <c r="E23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5" s="24" t="str">
        <f ca="1">IF(OR(Master[[#This Row],[Type]]="checklist", Master[[#This Row],[Type]]="checklist-flat"), Master[[#This Row],[Name]], F2334)</f>
        <v>ST - S - Epoxy</v>
      </c>
      <c r="G2335" s="34" t="s">
        <v>49</v>
      </c>
      <c r="H2335" s="34" t="s">
        <v>57</v>
      </c>
      <c r="I2335" s="35"/>
      <c r="J2335" s="21">
        <f ca="1">_xlfn.XLOOKUP(Master[[#This Row],[Checklist]],Ref!A:A,Ref!B:B)*1000</f>
        <v>207000</v>
      </c>
      <c r="K2335" s="21">
        <f ca="1">COUNTIF($J$2:Master[[#This Row],[ChecklistID]],Master[[#This Row],[ChecklistID]])-1</f>
        <v>12</v>
      </c>
      <c r="L2335" s="23" t="s">
        <v>6</v>
      </c>
    </row>
    <row r="2336" spans="1:12" ht="15.75">
      <c r="A2336" s="23">
        <f t="shared" si="36"/>
        <v>2323</v>
      </c>
      <c r="B2336" s="21">
        <f ca="1">Master[[#This Row],[ChecklistID]]+Master[[#This Row],[Checklist Order]]</f>
        <v>207013</v>
      </c>
      <c r="C2336" s="22"/>
      <c r="D2336" s="23" t="str" cm="1">
        <f t="array" aca="1" ref="D2336" ca="1">_xlfn.SWITCH(MID(Master[[#This Row],[Checklist]],1,4),"C - ","Civil","F - ","Foundation","ST -","Structure","FC -","Façade","PRE ","Pre-Line","POST","Post-Line","H - ","Handover","S - ","Services","CST ","Completion Docs", "I - ", "Inspection")</f>
        <v>Structure</v>
      </c>
      <c r="E23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6" s="24" t="str">
        <f ca="1">IF(OR(Master[[#This Row],[Type]]="checklist", Master[[#This Row],[Type]]="checklist-flat"), Master[[#This Row],[Name]], F2335)</f>
        <v>ST - S - Epoxy</v>
      </c>
      <c r="G2336" s="34" t="s">
        <v>58</v>
      </c>
      <c r="H2336" s="34" t="s">
        <v>59</v>
      </c>
      <c r="I2336" s="35"/>
      <c r="J2336" s="21">
        <f ca="1">_xlfn.XLOOKUP(Master[[#This Row],[Checklist]],Ref!A:A,Ref!B:B)*1000</f>
        <v>207000</v>
      </c>
      <c r="K2336" s="21">
        <f ca="1">COUNTIF($J$2:Master[[#This Row],[ChecklistID]],Master[[#This Row],[ChecklistID]])-1</f>
        <v>13</v>
      </c>
      <c r="L2336" s="23" t="s">
        <v>6</v>
      </c>
    </row>
    <row r="2337" spans="1:12" ht="15.75">
      <c r="A2337" s="23">
        <f t="shared" si="36"/>
        <v>2324</v>
      </c>
      <c r="B2337" s="21">
        <f ca="1">Master[[#This Row],[ChecklistID]]+Master[[#This Row],[Checklist Order]]</f>
        <v>208000</v>
      </c>
      <c r="C2337" s="22"/>
      <c r="D2337" s="23" t="str" cm="1">
        <f t="array" aca="1" ref="D2337" ca="1">_xlfn.SWITCH(MID(Master[[#This Row],[Checklist]],1,4),"C - ","Civil","F - ","Foundation","ST -","Structure","FC -","Façade","PRE ","Pre-Line","POST","Post-Line","H - ","Handover","S - ","Services","CST ","Completion Docs", "I - ", "Inspection")</f>
        <v>Foundation</v>
      </c>
      <c r="E23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7" s="24" t="str">
        <f ca="1">IF(OR(Master[[#This Row],[Type]]="checklist", Master[[#This Row],[Type]]="checklist-flat"), Master[[#This Row],[Name]], F2336)</f>
        <v>F - S - Precast Fire Joint Sealant</v>
      </c>
      <c r="G2337" s="34" t="s">
        <v>48</v>
      </c>
      <c r="H2337" s="34" t="s">
        <v>1239</v>
      </c>
      <c r="I2337" s="35"/>
      <c r="J2337" s="21">
        <f ca="1">_xlfn.XLOOKUP(Master[[#This Row],[Checklist]],Ref!A:A,Ref!B:B)*1000</f>
        <v>208000</v>
      </c>
      <c r="K2337" s="21">
        <f ca="1">COUNTIF($J$2:Master[[#This Row],[ChecklistID]],Master[[#This Row],[ChecklistID]])-1</f>
        <v>0</v>
      </c>
      <c r="L2337" s="23" t="s">
        <v>6</v>
      </c>
    </row>
    <row r="2338" spans="1:12" ht="15.75">
      <c r="A2338" s="23">
        <f t="shared" si="36"/>
        <v>2325</v>
      </c>
      <c r="B2338" s="21">
        <f ca="1">Master[[#This Row],[ChecklistID]]+Master[[#This Row],[Checklist Order]]</f>
        <v>208001</v>
      </c>
      <c r="C2338" s="22"/>
      <c r="D2338" s="23" t="str" cm="1">
        <f t="array" aca="1" ref="D2338" ca="1">_xlfn.SWITCH(MID(Master[[#This Row],[Checklist]],1,4),"C - ","Civil","F - ","Foundation","ST -","Structure","FC -","Façade","PRE ","Pre-Line","POST","Post-Line","H - ","Handover","S - ","Services","CST ","Completion Docs", "I - ", "Inspection")</f>
        <v>Foundation</v>
      </c>
      <c r="E23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8" s="24" t="str">
        <f ca="1">IF(OR(Master[[#This Row],[Type]]="checklist", Master[[#This Row],[Type]]="checklist-flat"), Master[[#This Row],[Name]], F2337)</f>
        <v>F - S - Precast Fire Joint Sealant</v>
      </c>
      <c r="G2338" s="34" t="s">
        <v>49</v>
      </c>
      <c r="H2338" s="34" t="s">
        <v>1240</v>
      </c>
      <c r="I2338" s="35"/>
      <c r="J2338" s="21">
        <f ca="1">_xlfn.XLOOKUP(Master[[#This Row],[Checklist]],Ref!A:A,Ref!B:B)*1000</f>
        <v>208000</v>
      </c>
      <c r="K2338" s="21">
        <f ca="1">COUNTIF($J$2:Master[[#This Row],[ChecklistID]],Master[[#This Row],[ChecklistID]])-1</f>
        <v>1</v>
      </c>
      <c r="L2338" s="23" t="s">
        <v>6</v>
      </c>
    </row>
    <row r="2339" spans="1:12" ht="15.75">
      <c r="A2339" s="23">
        <f t="shared" si="36"/>
        <v>2326</v>
      </c>
      <c r="B2339" s="21">
        <f ca="1">Master[[#This Row],[ChecklistID]]+Master[[#This Row],[Checklist Order]]</f>
        <v>208002</v>
      </c>
      <c r="C2339" s="22"/>
      <c r="D2339" s="23" t="str" cm="1">
        <f t="array" aca="1" ref="D2339" ca="1">_xlfn.SWITCH(MID(Master[[#This Row],[Checklist]],1,4),"C - ","Civil","F - ","Foundation","ST -","Structure","FC -","Façade","PRE ","Pre-Line","POST","Post-Line","H - ","Handover","S - ","Services","CST ","Completion Docs", "I - ", "Inspection")</f>
        <v>Foundation</v>
      </c>
      <c r="E23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39" s="24" t="str">
        <f ca="1">IF(OR(Master[[#This Row],[Type]]="checklist", Master[[#This Row],[Type]]="checklist-flat"), Master[[#This Row],[Name]], F2338)</f>
        <v>F - S - Precast Fire Joint Sealant</v>
      </c>
      <c r="G2339" s="34" t="s">
        <v>124</v>
      </c>
      <c r="H2339" s="34" t="s">
        <v>1241</v>
      </c>
      <c r="I2339" s="35"/>
      <c r="J2339" s="21">
        <f ca="1">_xlfn.XLOOKUP(Master[[#This Row],[Checklist]],Ref!A:A,Ref!B:B)*1000</f>
        <v>208000</v>
      </c>
      <c r="K2339" s="21">
        <f ca="1">COUNTIF($J$2:Master[[#This Row],[ChecklistID]],Master[[#This Row],[ChecklistID]])-1</f>
        <v>2</v>
      </c>
      <c r="L2339" s="23" t="s">
        <v>6</v>
      </c>
    </row>
    <row r="2340" spans="1:12" ht="15.75">
      <c r="A2340" s="23">
        <f t="shared" si="36"/>
        <v>2327</v>
      </c>
      <c r="B2340" s="21">
        <f ca="1">Master[[#This Row],[ChecklistID]]+Master[[#This Row],[Checklist Order]]</f>
        <v>208003</v>
      </c>
      <c r="C2340" s="22"/>
      <c r="D2340" s="23" t="str" cm="1">
        <f t="array" aca="1" ref="D2340" ca="1">_xlfn.SWITCH(MID(Master[[#This Row],[Checklist]],1,4),"C - ","Civil","F - ","Foundation","ST -","Structure","FC -","Façade","PRE ","Pre-Line","POST","Post-Line","H - ","Handover","S - ","Services","CST ","Completion Docs", "I - ", "Inspection")</f>
        <v>Foundation</v>
      </c>
      <c r="E23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0" s="24" t="str">
        <f ca="1">IF(OR(Master[[#This Row],[Type]]="checklist", Master[[#This Row],[Type]]="checklist-flat"), Master[[#This Row],[Name]], F2339)</f>
        <v>F - S - Precast Fire Joint Sealant</v>
      </c>
      <c r="G2340" s="34" t="s">
        <v>124</v>
      </c>
      <c r="H2340" s="34" t="s">
        <v>1229</v>
      </c>
      <c r="I2340" s="35"/>
      <c r="J2340" s="21">
        <f ca="1">_xlfn.XLOOKUP(Master[[#This Row],[Checklist]],Ref!A:A,Ref!B:B)*1000</f>
        <v>208000</v>
      </c>
      <c r="K2340" s="21">
        <f ca="1">COUNTIF($J$2:Master[[#This Row],[ChecklistID]],Master[[#This Row],[ChecklistID]])-1</f>
        <v>3</v>
      </c>
      <c r="L2340" s="23" t="s">
        <v>6</v>
      </c>
    </row>
    <row r="2341" spans="1:12" ht="15.75">
      <c r="A2341" s="23">
        <f t="shared" si="36"/>
        <v>2328</v>
      </c>
      <c r="B2341" s="21">
        <f ca="1">Master[[#This Row],[ChecklistID]]+Master[[#This Row],[Checklist Order]]</f>
        <v>208004</v>
      </c>
      <c r="C2341" s="22"/>
      <c r="D2341" s="23" t="str" cm="1">
        <f t="array" aca="1" ref="D2341" ca="1">_xlfn.SWITCH(MID(Master[[#This Row],[Checklist]],1,4),"C - ","Civil","F - ","Foundation","ST -","Structure","FC -","Façade","PRE ","Pre-Line","POST","Post-Line","H - ","Handover","S - ","Services","CST ","Completion Docs", "I - ", "Inspection")</f>
        <v>Foundation</v>
      </c>
      <c r="E23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1" s="24" t="str">
        <f ca="1">IF(OR(Master[[#This Row],[Type]]="checklist", Master[[#This Row],[Type]]="checklist-flat"), Master[[#This Row],[Name]], F2340)</f>
        <v>F - S - Precast Fire Joint Sealant</v>
      </c>
      <c r="G2341" s="34" t="s">
        <v>124</v>
      </c>
      <c r="H2341" s="34" t="s">
        <v>1242</v>
      </c>
      <c r="I2341" s="35"/>
      <c r="J2341" s="21">
        <f ca="1">_xlfn.XLOOKUP(Master[[#This Row],[Checklist]],Ref!A:A,Ref!B:B)*1000</f>
        <v>208000</v>
      </c>
      <c r="K2341" s="21">
        <f ca="1">COUNTIF($J$2:Master[[#This Row],[ChecklistID]],Master[[#This Row],[ChecklistID]])-1</f>
        <v>4</v>
      </c>
      <c r="L2341" s="23" t="s">
        <v>6</v>
      </c>
    </row>
    <row r="2342" spans="1:12" ht="15.75">
      <c r="A2342" s="23">
        <f t="shared" si="36"/>
        <v>2329</v>
      </c>
      <c r="B2342" s="21">
        <f ca="1">Master[[#This Row],[ChecklistID]]+Master[[#This Row],[Checklist Order]]</f>
        <v>208005</v>
      </c>
      <c r="C2342" s="22"/>
      <c r="D2342" s="23" t="str" cm="1">
        <f t="array" aca="1" ref="D2342" ca="1">_xlfn.SWITCH(MID(Master[[#This Row],[Checklist]],1,4),"C - ","Civil","F - ","Foundation","ST -","Structure","FC -","Façade","PRE ","Pre-Line","POST","Post-Line","H - ","Handover","S - ","Services","CST ","Completion Docs", "I - ", "Inspection")</f>
        <v>Foundation</v>
      </c>
      <c r="E23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2" s="24" t="str">
        <f ca="1">IF(OR(Master[[#This Row],[Type]]="checklist", Master[[#This Row],[Type]]="checklist-flat"), Master[[#This Row],[Name]], F2341)</f>
        <v>F - S - Precast Fire Joint Sealant</v>
      </c>
      <c r="G2342" s="34" t="s">
        <v>124</v>
      </c>
      <c r="H2342" s="34" t="s">
        <v>793</v>
      </c>
      <c r="I2342" s="35"/>
      <c r="J2342" s="21">
        <f ca="1">_xlfn.XLOOKUP(Master[[#This Row],[Checklist]],Ref!A:A,Ref!B:B)*1000</f>
        <v>208000</v>
      </c>
      <c r="K2342" s="21">
        <f ca="1">COUNTIF($J$2:Master[[#This Row],[ChecklistID]],Master[[#This Row],[ChecklistID]])-1</f>
        <v>5</v>
      </c>
      <c r="L2342" s="23" t="s">
        <v>6</v>
      </c>
    </row>
    <row r="2343" spans="1:12" ht="15.75">
      <c r="A2343" s="23">
        <f t="shared" si="36"/>
        <v>2330</v>
      </c>
      <c r="B2343" s="21">
        <f ca="1">Master[[#This Row],[ChecklistID]]+Master[[#This Row],[Checklist Order]]</f>
        <v>208006</v>
      </c>
      <c r="C2343" s="22"/>
      <c r="D2343" s="23" t="str" cm="1">
        <f t="array" aca="1" ref="D2343" ca="1">_xlfn.SWITCH(MID(Master[[#This Row],[Checklist]],1,4),"C - ","Civil","F - ","Foundation","ST -","Structure","FC -","Façade","PRE ","Pre-Line","POST","Post-Line","H - ","Handover","S - ","Services","CST ","Completion Docs", "I - ", "Inspection")</f>
        <v>Foundation</v>
      </c>
      <c r="E23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3" s="24" t="str">
        <f ca="1">IF(OR(Master[[#This Row],[Type]]="checklist", Master[[#This Row],[Type]]="checklist-flat"), Master[[#This Row],[Name]], F2342)</f>
        <v>F - S - Precast Fire Joint Sealant</v>
      </c>
      <c r="G2343" s="34" t="s">
        <v>124</v>
      </c>
      <c r="H2343" s="34" t="s">
        <v>1243</v>
      </c>
      <c r="I2343" s="35"/>
      <c r="J2343" s="21">
        <f ca="1">_xlfn.XLOOKUP(Master[[#This Row],[Checklist]],Ref!A:A,Ref!B:B)*1000</f>
        <v>208000</v>
      </c>
      <c r="K2343" s="21">
        <f ca="1">COUNTIF($J$2:Master[[#This Row],[ChecklistID]],Master[[#This Row],[ChecklistID]])-1</f>
        <v>6</v>
      </c>
      <c r="L2343" s="23" t="s">
        <v>6</v>
      </c>
    </row>
    <row r="2344" spans="1:12" ht="15.75">
      <c r="A2344" s="23">
        <f t="shared" si="36"/>
        <v>2331</v>
      </c>
      <c r="B2344" s="21">
        <f ca="1">Master[[#This Row],[ChecklistID]]+Master[[#This Row],[Checklist Order]]</f>
        <v>208007</v>
      </c>
      <c r="C2344" s="22"/>
      <c r="D2344" s="23" t="str" cm="1">
        <f t="array" aca="1" ref="D2344" ca="1">_xlfn.SWITCH(MID(Master[[#This Row],[Checklist]],1,4),"C - ","Civil","F - ","Foundation","ST -","Structure","FC -","Façade","PRE ","Pre-Line","POST","Post-Line","H - ","Handover","S - ","Services","CST ","Completion Docs", "I - ", "Inspection")</f>
        <v>Foundation</v>
      </c>
      <c r="E23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4" s="24" t="str">
        <f ca="1">IF(OR(Master[[#This Row],[Type]]="checklist", Master[[#This Row],[Type]]="checklist-flat"), Master[[#This Row],[Name]], F2343)</f>
        <v>F - S - Precast Fire Joint Sealant</v>
      </c>
      <c r="G2344" s="34" t="s">
        <v>124</v>
      </c>
      <c r="H2344" s="34" t="s">
        <v>1244</v>
      </c>
      <c r="I2344" s="35"/>
      <c r="J2344" s="21">
        <f ca="1">_xlfn.XLOOKUP(Master[[#This Row],[Checklist]],Ref!A:A,Ref!B:B)*1000</f>
        <v>208000</v>
      </c>
      <c r="K2344" s="21">
        <f ca="1">COUNTIF($J$2:Master[[#This Row],[ChecklistID]],Master[[#This Row],[ChecklistID]])-1</f>
        <v>7</v>
      </c>
      <c r="L2344" s="23" t="s">
        <v>6</v>
      </c>
    </row>
    <row r="2345" spans="1:12" ht="15.75">
      <c r="A2345" s="23">
        <f t="shared" si="36"/>
        <v>2332</v>
      </c>
      <c r="B2345" s="21">
        <f ca="1">Master[[#This Row],[ChecklistID]]+Master[[#This Row],[Checklist Order]]</f>
        <v>208008</v>
      </c>
      <c r="C2345" s="22"/>
      <c r="D2345" s="23" t="str" cm="1">
        <f t="array" aca="1" ref="D2345" ca="1">_xlfn.SWITCH(MID(Master[[#This Row],[Checklist]],1,4),"C - ","Civil","F - ","Foundation","ST -","Structure","FC -","Façade","PRE ","Pre-Line","POST","Post-Line","H - ","Handover","S - ","Services","CST ","Completion Docs", "I - ", "Inspection")</f>
        <v>Foundation</v>
      </c>
      <c r="E23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5" s="24" t="str">
        <f ca="1">IF(OR(Master[[#This Row],[Type]]="checklist", Master[[#This Row],[Type]]="checklist-flat"), Master[[#This Row],[Name]], F2344)</f>
        <v>F - S - Precast Fire Joint Sealant</v>
      </c>
      <c r="G2345" s="34" t="s">
        <v>49</v>
      </c>
      <c r="H2345" s="34" t="s">
        <v>1245</v>
      </c>
      <c r="I2345" s="35"/>
      <c r="J2345" s="21">
        <f ca="1">_xlfn.XLOOKUP(Master[[#This Row],[Checklist]],Ref!A:A,Ref!B:B)*1000</f>
        <v>208000</v>
      </c>
      <c r="K2345" s="21">
        <f ca="1">COUNTIF($J$2:Master[[#This Row],[ChecklistID]],Master[[#This Row],[ChecklistID]])-1</f>
        <v>8</v>
      </c>
      <c r="L2345" s="23" t="s">
        <v>6</v>
      </c>
    </row>
    <row r="2346" spans="1:12" ht="15.75">
      <c r="A2346" s="23">
        <f t="shared" si="36"/>
        <v>2333</v>
      </c>
      <c r="B2346" s="21">
        <f ca="1">Master[[#This Row],[ChecklistID]]+Master[[#This Row],[Checklist Order]]</f>
        <v>208009</v>
      </c>
      <c r="C2346" s="22"/>
      <c r="D2346" s="23" t="str" cm="1">
        <f t="array" aca="1" ref="D2346" ca="1">_xlfn.SWITCH(MID(Master[[#This Row],[Checklist]],1,4),"C - ","Civil","F - ","Foundation","ST -","Structure","FC -","Façade","PRE ","Pre-Line","POST","Post-Line","H - ","Handover","S - ","Services","CST ","Completion Docs", "I - ", "Inspection")</f>
        <v>Foundation</v>
      </c>
      <c r="E23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6" s="24" t="str">
        <f ca="1">IF(OR(Master[[#This Row],[Type]]="checklist", Master[[#This Row],[Type]]="checklist-flat"), Master[[#This Row],[Name]], F2345)</f>
        <v>F - S - Precast Fire Joint Sealant</v>
      </c>
      <c r="G2346" s="34" t="s">
        <v>49</v>
      </c>
      <c r="H2346" s="34" t="s">
        <v>1246</v>
      </c>
      <c r="I2346" s="35"/>
      <c r="J2346" s="21">
        <f ca="1">_xlfn.XLOOKUP(Master[[#This Row],[Checklist]],Ref!A:A,Ref!B:B)*1000</f>
        <v>208000</v>
      </c>
      <c r="K2346" s="21">
        <f ca="1">COUNTIF($J$2:Master[[#This Row],[ChecklistID]],Master[[#This Row],[ChecklistID]])-1</f>
        <v>9</v>
      </c>
      <c r="L2346" s="23" t="s">
        <v>6</v>
      </c>
    </row>
    <row r="2347" spans="1:12" ht="15.75">
      <c r="A2347" s="23">
        <f t="shared" si="36"/>
        <v>2334</v>
      </c>
      <c r="B2347" s="21">
        <f ca="1">Master[[#This Row],[ChecklistID]]+Master[[#This Row],[Checklist Order]]</f>
        <v>208010</v>
      </c>
      <c r="C2347" s="22"/>
      <c r="D2347" s="23" t="str" cm="1">
        <f t="array" aca="1" ref="D2347" ca="1">_xlfn.SWITCH(MID(Master[[#This Row],[Checklist]],1,4),"C - ","Civil","F - ","Foundation","ST -","Structure","FC -","Façade","PRE ","Pre-Line","POST","Post-Line","H - ","Handover","S - ","Services","CST ","Completion Docs", "I - ", "Inspection")</f>
        <v>Foundation</v>
      </c>
      <c r="E23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7" s="24" t="str">
        <f ca="1">IF(OR(Master[[#This Row],[Type]]="checklist", Master[[#This Row],[Type]]="checklist-flat"), Master[[#This Row],[Name]], F2346)</f>
        <v>F - S - Precast Fire Joint Sealant</v>
      </c>
      <c r="G2347" s="34" t="s">
        <v>49</v>
      </c>
      <c r="H2347" s="34" t="s">
        <v>1718</v>
      </c>
      <c r="I2347" s="35"/>
      <c r="J2347" s="21">
        <f ca="1">_xlfn.XLOOKUP(Master[[#This Row],[Checklist]],Ref!A:A,Ref!B:B)*1000</f>
        <v>208000</v>
      </c>
      <c r="K2347" s="21">
        <f ca="1">COUNTIF($J$2:Master[[#This Row],[ChecklistID]],Master[[#This Row],[ChecklistID]])-1</f>
        <v>10</v>
      </c>
      <c r="L2347" s="23" t="s">
        <v>6</v>
      </c>
    </row>
    <row r="2348" spans="1:12" ht="15.75">
      <c r="A2348" s="23">
        <f t="shared" si="36"/>
        <v>2335</v>
      </c>
      <c r="B2348" s="21">
        <f ca="1">Master[[#This Row],[ChecklistID]]+Master[[#This Row],[Checklist Order]]</f>
        <v>208011</v>
      </c>
      <c r="C2348" s="22"/>
      <c r="D2348" s="23" t="str" cm="1">
        <f t="array" aca="1" ref="D2348" ca="1">_xlfn.SWITCH(MID(Master[[#This Row],[Checklist]],1,4),"C - ","Civil","F - ","Foundation","ST -","Structure","FC -","Façade","PRE ","Pre-Line","POST","Post-Line","H - ","Handover","S - ","Services","CST ","Completion Docs", "I - ", "Inspection")</f>
        <v>Foundation</v>
      </c>
      <c r="E23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8" s="24" t="str">
        <f ca="1">IF(OR(Master[[#This Row],[Type]]="checklist", Master[[#This Row],[Type]]="checklist-flat"), Master[[#This Row],[Name]], F2347)</f>
        <v>F - S - Precast Fire Joint Sealant</v>
      </c>
      <c r="G2348" s="34" t="s">
        <v>49</v>
      </c>
      <c r="H2348" s="34" t="s">
        <v>1248</v>
      </c>
      <c r="I2348" s="35"/>
      <c r="J2348" s="21">
        <f ca="1">_xlfn.XLOOKUP(Master[[#This Row],[Checklist]],Ref!A:A,Ref!B:B)*1000</f>
        <v>208000</v>
      </c>
      <c r="K2348" s="21">
        <f ca="1">COUNTIF($J$2:Master[[#This Row],[ChecklistID]],Master[[#This Row],[ChecklistID]])-1</f>
        <v>11</v>
      </c>
      <c r="L2348" s="23" t="s">
        <v>6</v>
      </c>
    </row>
    <row r="2349" spans="1:12" ht="15.75">
      <c r="A2349" s="23">
        <f t="shared" si="36"/>
        <v>2336</v>
      </c>
      <c r="B2349" s="21">
        <f ca="1">Master[[#This Row],[ChecklistID]]+Master[[#This Row],[Checklist Order]]</f>
        <v>208012</v>
      </c>
      <c r="C2349" s="22"/>
      <c r="D2349" s="23" t="str" cm="1">
        <f t="array" aca="1" ref="D2349" ca="1">_xlfn.SWITCH(MID(Master[[#This Row],[Checklist]],1,4),"C - ","Civil","F - ","Foundation","ST -","Structure","FC -","Façade","PRE ","Pre-Line","POST","Post-Line","H - ","Handover","S - ","Services","CST ","Completion Docs", "I - ", "Inspection")</f>
        <v>Foundation</v>
      </c>
      <c r="E23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49" s="24" t="str">
        <f ca="1">IF(OR(Master[[#This Row],[Type]]="checklist", Master[[#This Row],[Type]]="checklist-flat"), Master[[#This Row],[Name]], F2348)</f>
        <v>F - S - Precast Fire Joint Sealant</v>
      </c>
      <c r="G2349" s="34" t="s">
        <v>49</v>
      </c>
      <c r="H2349" s="34" t="s">
        <v>57</v>
      </c>
      <c r="I2349" s="35"/>
      <c r="J2349" s="21">
        <f ca="1">_xlfn.XLOOKUP(Master[[#This Row],[Checklist]],Ref!A:A,Ref!B:B)*1000</f>
        <v>208000</v>
      </c>
      <c r="K2349" s="21">
        <f ca="1">COUNTIF($J$2:Master[[#This Row],[ChecklistID]],Master[[#This Row],[ChecklistID]])-1</f>
        <v>12</v>
      </c>
      <c r="L2349" s="23" t="s">
        <v>6</v>
      </c>
    </row>
    <row r="2350" spans="1:12" ht="15.75">
      <c r="A2350" s="23">
        <f t="shared" si="36"/>
        <v>2337</v>
      </c>
      <c r="B2350" s="21">
        <f ca="1">Master[[#This Row],[ChecklistID]]+Master[[#This Row],[Checklist Order]]</f>
        <v>208013</v>
      </c>
      <c r="C2350" s="22"/>
      <c r="D2350" s="23" t="str" cm="1">
        <f t="array" aca="1" ref="D2350" ca="1">_xlfn.SWITCH(MID(Master[[#This Row],[Checklist]],1,4),"C - ","Civil","F - ","Foundation","ST -","Structure","FC -","Façade","PRE ","Pre-Line","POST","Post-Line","H - ","Handover","S - ","Services","CST ","Completion Docs", "I - ", "Inspection")</f>
        <v>Foundation</v>
      </c>
      <c r="E23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0" s="24" t="str">
        <f ca="1">IF(OR(Master[[#This Row],[Type]]="checklist", Master[[#This Row],[Type]]="checklist-flat"), Master[[#This Row],[Name]], F2349)</f>
        <v>F - S - Precast Fire Joint Sealant</v>
      </c>
      <c r="G2350" s="34" t="s">
        <v>58</v>
      </c>
      <c r="H2350" s="34" t="s">
        <v>59</v>
      </c>
      <c r="I2350" s="35"/>
      <c r="J2350" s="21">
        <f ca="1">_xlfn.XLOOKUP(Master[[#This Row],[Checklist]],Ref!A:A,Ref!B:B)*1000</f>
        <v>208000</v>
      </c>
      <c r="K2350" s="21">
        <f ca="1">COUNTIF($J$2:Master[[#This Row],[ChecklistID]],Master[[#This Row],[ChecklistID]])-1</f>
        <v>13</v>
      </c>
      <c r="L2350" s="23" t="s">
        <v>6</v>
      </c>
    </row>
    <row r="2351" spans="1:12" ht="15.75">
      <c r="A2351" s="23">
        <f t="shared" si="36"/>
        <v>2338</v>
      </c>
      <c r="B2351" s="21">
        <f ca="1">Master[[#This Row],[ChecklistID]]+Master[[#This Row],[Checklist Order]]</f>
        <v>209000</v>
      </c>
      <c r="C2351" s="22"/>
      <c r="D2351" s="23" t="str" cm="1">
        <f t="array" aca="1" ref="D2351" ca="1">_xlfn.SWITCH(MID(Master[[#This Row],[Checklist]],1,4),"C - ","Civil","F - ","Foundation","ST -","Structure","FC -","Façade","PRE ","Pre-Line","POST","Post-Line","H - ","Handover","S - ","Services","CST ","Completion Docs", "I - ", "Inspection")</f>
        <v>Structure</v>
      </c>
      <c r="E23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1" s="24" t="str">
        <f ca="1">IF(OR(Master[[#This Row],[Type]]="checklist", Master[[#This Row],[Type]]="checklist-flat"), Master[[#This Row],[Name]], F2350)</f>
        <v>ST - S - Precast Compliance Documents</v>
      </c>
      <c r="G2351" s="34" t="s">
        <v>48</v>
      </c>
      <c r="H2351" s="34" t="s">
        <v>1249</v>
      </c>
      <c r="I2351" s="35"/>
      <c r="J2351" s="21">
        <f ca="1">_xlfn.XLOOKUP(Master[[#This Row],[Checklist]],Ref!A:A,Ref!B:B)*1000</f>
        <v>209000</v>
      </c>
      <c r="K2351" s="21">
        <f ca="1">COUNTIF($J$2:Master[[#This Row],[ChecklistID]],Master[[#This Row],[ChecklistID]])-1</f>
        <v>0</v>
      </c>
      <c r="L2351" s="23" t="s">
        <v>6</v>
      </c>
    </row>
    <row r="2352" spans="1:12" ht="15.75">
      <c r="A2352" s="23">
        <f t="shared" si="36"/>
        <v>2339</v>
      </c>
      <c r="B2352" s="21">
        <f ca="1">Master[[#This Row],[ChecklistID]]+Master[[#This Row],[Checklist Order]]</f>
        <v>209001</v>
      </c>
      <c r="C2352" s="22"/>
      <c r="D2352" s="23" t="str" cm="1">
        <f t="array" aca="1" ref="D2352" ca="1">_xlfn.SWITCH(MID(Master[[#This Row],[Checklist]],1,4),"C - ","Civil","F - ","Foundation","ST -","Structure","FC -","Façade","PRE ","Pre-Line","POST","Post-Line","H - ","Handover","S - ","Services","CST ","Completion Docs", "I - ", "Inspection")</f>
        <v>Structure</v>
      </c>
      <c r="E23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2" s="24" t="str">
        <f ca="1">IF(OR(Master[[#This Row],[Type]]="checklist", Master[[#This Row],[Type]]="checklist-flat"), Master[[#This Row],[Name]], F2351)</f>
        <v>ST - S - Precast Compliance Documents</v>
      </c>
      <c r="G2352" s="34" t="s">
        <v>49</v>
      </c>
      <c r="H2352" s="34" t="s">
        <v>1250</v>
      </c>
      <c r="I2352" s="35"/>
      <c r="J2352" s="21">
        <f ca="1">_xlfn.XLOOKUP(Master[[#This Row],[Checklist]],Ref!A:A,Ref!B:B)*1000</f>
        <v>209000</v>
      </c>
      <c r="K2352" s="21">
        <f ca="1">COUNTIF($J$2:Master[[#This Row],[ChecklistID]],Master[[#This Row],[ChecklistID]])-1</f>
        <v>1</v>
      </c>
      <c r="L2352" s="23" t="s">
        <v>6</v>
      </c>
    </row>
    <row r="2353" spans="1:12" ht="15.75">
      <c r="A2353" s="23">
        <f t="shared" si="36"/>
        <v>2340</v>
      </c>
      <c r="B2353" s="21">
        <f ca="1">Master[[#This Row],[ChecklistID]]+Master[[#This Row],[Checklist Order]]</f>
        <v>209002</v>
      </c>
      <c r="C2353" s="22"/>
      <c r="D2353" s="23" t="str" cm="1">
        <f t="array" aca="1" ref="D2353" ca="1">_xlfn.SWITCH(MID(Master[[#This Row],[Checklist]],1,4),"C - ","Civil","F - ","Foundation","ST -","Structure","FC -","Façade","PRE ","Pre-Line","POST","Post-Line","H - ","Handover","S - ","Services","CST ","Completion Docs", "I - ", "Inspection")</f>
        <v>Structure</v>
      </c>
      <c r="E23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3" s="24" t="str">
        <f ca="1">IF(OR(Master[[#This Row],[Type]]="checklist", Master[[#This Row],[Type]]="checklist-flat"), Master[[#This Row],[Name]], F2352)</f>
        <v>ST - S - Precast Compliance Documents</v>
      </c>
      <c r="G2353" s="34" t="s">
        <v>49</v>
      </c>
      <c r="H2353" s="34" t="s">
        <v>1251</v>
      </c>
      <c r="I2353" s="35"/>
      <c r="J2353" s="21">
        <f ca="1">_xlfn.XLOOKUP(Master[[#This Row],[Checklist]],Ref!A:A,Ref!B:B)*1000</f>
        <v>209000</v>
      </c>
      <c r="K2353" s="21">
        <f ca="1">COUNTIF($J$2:Master[[#This Row],[ChecklistID]],Master[[#This Row],[ChecklistID]])-1</f>
        <v>2</v>
      </c>
      <c r="L2353" s="23" t="s">
        <v>6</v>
      </c>
    </row>
    <row r="2354" spans="1:12" ht="15.75">
      <c r="A2354" s="23">
        <f t="shared" si="36"/>
        <v>2341</v>
      </c>
      <c r="B2354" s="21">
        <f ca="1">Master[[#This Row],[ChecklistID]]+Master[[#This Row],[Checklist Order]]</f>
        <v>209003</v>
      </c>
      <c r="C2354" s="22"/>
      <c r="D2354" s="23" t="str" cm="1">
        <f t="array" aca="1" ref="D2354" ca="1">_xlfn.SWITCH(MID(Master[[#This Row],[Checklist]],1,4),"C - ","Civil","F - ","Foundation","ST -","Structure","FC -","Façade","PRE ","Pre-Line","POST","Post-Line","H - ","Handover","S - ","Services","CST ","Completion Docs", "I - ", "Inspection")</f>
        <v>Structure</v>
      </c>
      <c r="E23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4" s="24" t="str">
        <f ca="1">IF(OR(Master[[#This Row],[Type]]="checklist", Master[[#This Row],[Type]]="checklist-flat"), Master[[#This Row],[Name]], F2353)</f>
        <v>ST - S - Precast Compliance Documents</v>
      </c>
      <c r="G2354" s="34" t="s">
        <v>49</v>
      </c>
      <c r="H2354" s="34" t="s">
        <v>1252</v>
      </c>
      <c r="I2354" s="35"/>
      <c r="J2354" s="21">
        <f ca="1">_xlfn.XLOOKUP(Master[[#This Row],[Checklist]],Ref!A:A,Ref!B:B)*1000</f>
        <v>209000</v>
      </c>
      <c r="K2354" s="21">
        <f ca="1">COUNTIF($J$2:Master[[#This Row],[ChecklistID]],Master[[#This Row],[ChecklistID]])-1</f>
        <v>3</v>
      </c>
      <c r="L2354" s="23" t="s">
        <v>6</v>
      </c>
    </row>
    <row r="2355" spans="1:12" ht="15.75">
      <c r="A2355" s="23">
        <f t="shared" si="36"/>
        <v>2342</v>
      </c>
      <c r="B2355" s="21">
        <f ca="1">Master[[#This Row],[ChecklistID]]+Master[[#This Row],[Checklist Order]]</f>
        <v>209004</v>
      </c>
      <c r="C2355" s="22"/>
      <c r="D2355" s="23" t="str" cm="1">
        <f t="array" aca="1" ref="D2355" ca="1">_xlfn.SWITCH(MID(Master[[#This Row],[Checklist]],1,4),"C - ","Civil","F - ","Foundation","ST -","Structure","FC -","Façade","PRE ","Pre-Line","POST","Post-Line","H - ","Handover","S - ","Services","CST ","Completion Docs", "I - ", "Inspection")</f>
        <v>Structure</v>
      </c>
      <c r="E23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5" s="24" t="str">
        <f ca="1">IF(OR(Master[[#This Row],[Type]]="checklist", Master[[#This Row],[Type]]="checklist-flat"), Master[[#This Row],[Name]], F2354)</f>
        <v>ST - S - Precast Compliance Documents</v>
      </c>
      <c r="G2355" s="34" t="s">
        <v>49</v>
      </c>
      <c r="H2355" s="34" t="s">
        <v>1253</v>
      </c>
      <c r="I2355" s="35"/>
      <c r="J2355" s="21">
        <f ca="1">_xlfn.XLOOKUP(Master[[#This Row],[Checklist]],Ref!A:A,Ref!B:B)*1000</f>
        <v>209000</v>
      </c>
      <c r="K2355" s="21">
        <f ca="1">COUNTIF($J$2:Master[[#This Row],[ChecklistID]],Master[[#This Row],[ChecklistID]])-1</f>
        <v>4</v>
      </c>
      <c r="L2355" s="23" t="s">
        <v>6</v>
      </c>
    </row>
    <row r="2356" spans="1:12" ht="15.75">
      <c r="A2356" s="23">
        <f t="shared" ref="A2356:A2419" si="37">IFERROR(A2355+1,1)</f>
        <v>2343</v>
      </c>
      <c r="B2356" s="21">
        <f ca="1">Master[[#This Row],[ChecklistID]]+Master[[#This Row],[Checklist Order]]</f>
        <v>209005</v>
      </c>
      <c r="C2356" s="22"/>
      <c r="D2356" s="23" t="str" cm="1">
        <f t="array" aca="1" ref="D2356" ca="1">_xlfn.SWITCH(MID(Master[[#This Row],[Checklist]],1,4),"C - ","Civil","F - ","Foundation","ST -","Structure","FC -","Façade","PRE ","Pre-Line","POST","Post-Line","H - ","Handover","S - ","Services","CST ","Completion Docs", "I - ", "Inspection")</f>
        <v>Structure</v>
      </c>
      <c r="E23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6" s="24" t="str">
        <f ca="1">IF(OR(Master[[#This Row],[Type]]="checklist", Master[[#This Row],[Type]]="checklist-flat"), Master[[#This Row],[Name]], F2355)</f>
        <v>ST - S - Precast Compliance Documents</v>
      </c>
      <c r="G2356" s="34" t="s">
        <v>49</v>
      </c>
      <c r="H2356" s="34" t="s">
        <v>57</v>
      </c>
      <c r="I2356" s="35"/>
      <c r="J2356" s="21">
        <f ca="1">_xlfn.XLOOKUP(Master[[#This Row],[Checklist]],Ref!A:A,Ref!B:B)*1000</f>
        <v>209000</v>
      </c>
      <c r="K2356" s="21">
        <f ca="1">COUNTIF($J$2:Master[[#This Row],[ChecklistID]],Master[[#This Row],[ChecklistID]])-1</f>
        <v>5</v>
      </c>
      <c r="L2356" s="23" t="s">
        <v>6</v>
      </c>
    </row>
    <row r="2357" spans="1:12" ht="15.75">
      <c r="A2357" s="23">
        <f t="shared" si="37"/>
        <v>2344</v>
      </c>
      <c r="B2357" s="21">
        <f ca="1">Master[[#This Row],[ChecklistID]]+Master[[#This Row],[Checklist Order]]</f>
        <v>209006</v>
      </c>
      <c r="C2357" s="22"/>
      <c r="D2357" s="23" t="str" cm="1">
        <f t="array" aca="1" ref="D2357" ca="1">_xlfn.SWITCH(MID(Master[[#This Row],[Checklist]],1,4),"C - ","Civil","F - ","Foundation","ST -","Structure","FC -","Façade","PRE ","Pre-Line","POST","Post-Line","H - ","Handover","S - ","Services","CST ","Completion Docs", "I - ", "Inspection")</f>
        <v>Structure</v>
      </c>
      <c r="E23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7" s="24" t="str">
        <f ca="1">IF(OR(Master[[#This Row],[Type]]="checklist", Master[[#This Row],[Type]]="checklist-flat"), Master[[#This Row],[Name]], F2356)</f>
        <v>ST - S - Precast Compliance Documents</v>
      </c>
      <c r="G2357" s="34" t="s">
        <v>58</v>
      </c>
      <c r="H2357" s="34" t="s">
        <v>59</v>
      </c>
      <c r="I2357" s="35"/>
      <c r="J2357" s="21">
        <f ca="1">_xlfn.XLOOKUP(Master[[#This Row],[Checklist]],Ref!A:A,Ref!B:B)*1000</f>
        <v>209000</v>
      </c>
      <c r="K2357" s="21">
        <f ca="1">COUNTIF($J$2:Master[[#This Row],[ChecklistID]],Master[[#This Row],[ChecklistID]])-1</f>
        <v>6</v>
      </c>
      <c r="L2357" s="23" t="s">
        <v>6</v>
      </c>
    </row>
    <row r="2358" spans="1:12" ht="15.75">
      <c r="A2358" s="23">
        <f t="shared" si="37"/>
        <v>2345</v>
      </c>
      <c r="B2358" s="21">
        <f ca="1">Master[[#This Row],[ChecklistID]]+Master[[#This Row],[Checklist Order]]</f>
        <v>210000</v>
      </c>
      <c r="C2358" s="22"/>
      <c r="D2358" s="23" t="str" cm="1">
        <f t="array" aca="1" ref="D2358" ca="1">_xlfn.SWITCH(MID(Master[[#This Row],[Checklist]],1,4),"C - ","Civil","F - ","Foundation","ST -","Structure","FC -","Façade","PRE ","Pre-Line","POST","Post-Line","H - ","Handover","S - ","Services","CST ","Completion Docs", "I - ", "Inspection")</f>
        <v>Structure</v>
      </c>
      <c r="E23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8" s="24" t="str">
        <f ca="1">IF(OR(Master[[#This Row],[Type]]="checklist", Master[[#This Row],[Type]]="checklist-flat"), Master[[#This Row],[Name]], F2357)</f>
        <v>ST - S - Steel Deck Concrete Topping</v>
      </c>
      <c r="G2358" s="34" t="s">
        <v>48</v>
      </c>
      <c r="H2358" s="34" t="s">
        <v>1254</v>
      </c>
      <c r="I2358" s="35"/>
      <c r="J2358" s="21">
        <f ca="1">_xlfn.XLOOKUP(Master[[#This Row],[Checklist]],Ref!A:A,Ref!B:B)*1000</f>
        <v>210000</v>
      </c>
      <c r="K2358" s="21">
        <f ca="1">COUNTIF($J$2:Master[[#This Row],[ChecklistID]],Master[[#This Row],[ChecklistID]])-1</f>
        <v>0</v>
      </c>
      <c r="L2358" s="23" t="s">
        <v>6</v>
      </c>
    </row>
    <row r="2359" spans="1:12" ht="15.75">
      <c r="A2359" s="23">
        <f t="shared" si="37"/>
        <v>2346</v>
      </c>
      <c r="B2359" s="21">
        <f ca="1">Master[[#This Row],[ChecklistID]]+Master[[#This Row],[Checklist Order]]</f>
        <v>210001</v>
      </c>
      <c r="C2359" s="22"/>
      <c r="D2359" s="23" t="str" cm="1">
        <f t="array" aca="1" ref="D2359" ca="1">_xlfn.SWITCH(MID(Master[[#This Row],[Checklist]],1,4),"C - ","Civil","F - ","Foundation","ST -","Structure","FC -","Façade","PRE ","Pre-Line","POST","Post-Line","H - ","Handover","S - ","Services","CST ","Completion Docs", "I - ", "Inspection")</f>
        <v>Structure</v>
      </c>
      <c r="E23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59" s="24" t="str">
        <f ca="1">IF(OR(Master[[#This Row],[Type]]="checklist", Master[[#This Row],[Type]]="checklist-flat"), Master[[#This Row],[Name]], F2358)</f>
        <v>ST - S - Steel Deck Concrete Topping</v>
      </c>
      <c r="G2359" s="34" t="s">
        <v>49</v>
      </c>
      <c r="H2359" s="34" t="s">
        <v>806</v>
      </c>
      <c r="I2359" s="35"/>
      <c r="J2359" s="21">
        <f ca="1">_xlfn.XLOOKUP(Master[[#This Row],[Checklist]],Ref!A:A,Ref!B:B)*1000</f>
        <v>210000</v>
      </c>
      <c r="K2359" s="21">
        <f ca="1">COUNTIF($J$2:Master[[#This Row],[ChecklistID]],Master[[#This Row],[ChecklistID]])-1</f>
        <v>1</v>
      </c>
      <c r="L2359" s="23" t="s">
        <v>6</v>
      </c>
    </row>
    <row r="2360" spans="1:12" ht="15.75">
      <c r="A2360" s="23">
        <f t="shared" si="37"/>
        <v>2347</v>
      </c>
      <c r="B2360" s="21">
        <f ca="1">Master[[#This Row],[ChecklistID]]+Master[[#This Row],[Checklist Order]]</f>
        <v>210002</v>
      </c>
      <c r="C2360" s="22"/>
      <c r="D2360" s="23" t="str" cm="1">
        <f t="array" aca="1" ref="D2360" ca="1">_xlfn.SWITCH(MID(Master[[#This Row],[Checklist]],1,4),"C - ","Civil","F - ","Foundation","ST -","Structure","FC -","Façade","PRE ","Pre-Line","POST","Post-Line","H - ","Handover","S - ","Services","CST ","Completion Docs", "I - ", "Inspection")</f>
        <v>Structure</v>
      </c>
      <c r="E23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60" s="24" t="str">
        <f ca="1">IF(OR(Master[[#This Row],[Type]]="checklist", Master[[#This Row],[Type]]="checklist-flat"), Master[[#This Row],[Name]], F2359)</f>
        <v>ST - S - Steel Deck Concrete Topping</v>
      </c>
      <c r="G2360" s="34" t="s">
        <v>49</v>
      </c>
      <c r="H2360" s="34" t="s">
        <v>1255</v>
      </c>
      <c r="I2360" s="35"/>
      <c r="J2360" s="21">
        <f ca="1">_xlfn.XLOOKUP(Master[[#This Row],[Checklist]],Ref!A:A,Ref!B:B)*1000</f>
        <v>210000</v>
      </c>
      <c r="K2360" s="21">
        <f ca="1">COUNTIF($J$2:Master[[#This Row],[ChecklistID]],Master[[#This Row],[ChecklistID]])-1</f>
        <v>2</v>
      </c>
      <c r="L2360" s="23" t="s">
        <v>6</v>
      </c>
    </row>
    <row r="2361" spans="1:12" ht="15.75">
      <c r="A2361" s="23">
        <f t="shared" si="37"/>
        <v>2348</v>
      </c>
      <c r="B2361" s="21">
        <f ca="1">Master[[#This Row],[ChecklistID]]+Master[[#This Row],[Checklist Order]]</f>
        <v>210003</v>
      </c>
      <c r="C2361" s="22"/>
      <c r="D2361" s="23" t="str" cm="1">
        <f t="array" aca="1" ref="D2361" ca="1">_xlfn.SWITCH(MID(Master[[#This Row],[Checklist]],1,4),"C - ","Civil","F - ","Foundation","ST -","Structure","FC -","Façade","PRE ","Pre-Line","POST","Post-Line","H - ","Handover","S - ","Services","CST ","Completion Docs", "I - ", "Inspection")</f>
        <v>Structure</v>
      </c>
      <c r="E23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61" s="24" t="str">
        <f ca="1">IF(OR(Master[[#This Row],[Type]]="checklist", Master[[#This Row],[Type]]="checklist-flat"), Master[[#This Row],[Name]], F2360)</f>
        <v>ST - S - Steel Deck Concrete Topping</v>
      </c>
      <c r="G2361" s="34" t="s">
        <v>49</v>
      </c>
      <c r="H2361" s="34" t="s">
        <v>377</v>
      </c>
      <c r="I2361" s="35"/>
      <c r="J2361" s="21">
        <f ca="1">_xlfn.XLOOKUP(Master[[#This Row],[Checklist]],Ref!A:A,Ref!B:B)*1000</f>
        <v>210000</v>
      </c>
      <c r="K2361" s="21">
        <f ca="1">COUNTIF($J$2:Master[[#This Row],[ChecklistID]],Master[[#This Row],[ChecklistID]])-1</f>
        <v>3</v>
      </c>
      <c r="L2361" s="23" t="s">
        <v>6</v>
      </c>
    </row>
    <row r="2362" spans="1:12" ht="15.75">
      <c r="A2362" s="23">
        <f t="shared" si="37"/>
        <v>2349</v>
      </c>
      <c r="B2362" s="21">
        <f ca="1">Master[[#This Row],[ChecklistID]]+Master[[#This Row],[Checklist Order]]</f>
        <v>210004</v>
      </c>
      <c r="C2362" s="22"/>
      <c r="D2362" s="23" t="str" cm="1">
        <f t="array" aca="1" ref="D2362" ca="1">_xlfn.SWITCH(MID(Master[[#This Row],[Checklist]],1,4),"C - ","Civil","F - ","Foundation","ST -","Structure","FC -","Façade","PRE ","Pre-Line","POST","Post-Line","H - ","Handover","S - ","Services","CST ","Completion Docs", "I - ", "Inspection")</f>
        <v>Structure</v>
      </c>
      <c r="E23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62" s="24" t="str">
        <f ca="1">IF(OR(Master[[#This Row],[Type]]="checklist", Master[[#This Row],[Type]]="checklist-flat"), Master[[#This Row],[Name]], F2361)</f>
        <v>ST - S - Steel Deck Concrete Topping</v>
      </c>
      <c r="G2362" s="34" t="s">
        <v>49</v>
      </c>
      <c r="H2362" s="34" t="s">
        <v>1256</v>
      </c>
      <c r="I2362" s="35"/>
      <c r="J2362" s="21">
        <f ca="1">_xlfn.XLOOKUP(Master[[#This Row],[Checklist]],Ref!A:A,Ref!B:B)*1000</f>
        <v>210000</v>
      </c>
      <c r="K2362" s="21">
        <f ca="1">COUNTIF($J$2:Master[[#This Row],[ChecklistID]],Master[[#This Row],[ChecklistID]])-1</f>
        <v>4</v>
      </c>
      <c r="L2362" s="23" t="s">
        <v>6</v>
      </c>
    </row>
    <row r="2363" spans="1:12" ht="15.75">
      <c r="A2363" s="23">
        <f t="shared" si="37"/>
        <v>2350</v>
      </c>
      <c r="B2363" s="21">
        <f ca="1">Master[[#This Row],[ChecklistID]]+Master[[#This Row],[Checklist Order]]</f>
        <v>210005</v>
      </c>
      <c r="C2363" s="22"/>
      <c r="D2363" s="23" t="str" cm="1">
        <f t="array" aca="1" ref="D2363" ca="1">_xlfn.SWITCH(MID(Master[[#This Row],[Checklist]],1,4),"C - ","Civil","F - ","Foundation","ST -","Structure","FC -","Façade","PRE ","Pre-Line","POST","Post-Line","H - ","Handover","S - ","Services","CST ","Completion Docs", "I - ", "Inspection")</f>
        <v>Structure</v>
      </c>
      <c r="E23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63" s="24" t="str">
        <f ca="1">IF(OR(Master[[#This Row],[Type]]="checklist", Master[[#This Row],[Type]]="checklist-flat"), Master[[#This Row],[Name]], F2362)</f>
        <v>ST - S - Steel Deck Concrete Topping</v>
      </c>
      <c r="G2363" s="34" t="s">
        <v>49</v>
      </c>
      <c r="H2363" s="34" t="s">
        <v>1257</v>
      </c>
      <c r="I2363" s="35"/>
      <c r="J2363" s="21">
        <f ca="1">_xlfn.XLOOKUP(Master[[#This Row],[Checklist]],Ref!A:A,Ref!B:B)*1000</f>
        <v>210000</v>
      </c>
      <c r="K2363" s="21">
        <f ca="1">COUNTIF($J$2:Master[[#This Row],[ChecklistID]],Master[[#This Row],[ChecklistID]])-1</f>
        <v>5</v>
      </c>
      <c r="L2363" s="23" t="s">
        <v>6</v>
      </c>
    </row>
    <row r="2364" spans="1:12" ht="15.75">
      <c r="A2364" s="23">
        <f t="shared" si="37"/>
        <v>2351</v>
      </c>
      <c r="B2364" s="21">
        <f ca="1">Master[[#This Row],[ChecklistID]]+Master[[#This Row],[Checklist Order]]</f>
        <v>210006</v>
      </c>
      <c r="C2364" s="22"/>
      <c r="D2364" s="23" t="str" cm="1">
        <f t="array" aca="1" ref="D2364" ca="1">_xlfn.SWITCH(MID(Master[[#This Row],[Checklist]],1,4),"C - ","Civil","F - ","Foundation","ST -","Structure","FC -","Façade","PRE ","Pre-Line","POST","Post-Line","H - ","Handover","S - ","Services","CST ","Completion Docs", "I - ", "Inspection")</f>
        <v>Structure</v>
      </c>
      <c r="E23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64" s="24" t="str">
        <f ca="1">IF(OR(Master[[#This Row],[Type]]="checklist", Master[[#This Row],[Type]]="checklist-flat"), Master[[#This Row],[Name]], F2363)</f>
        <v>ST - S - Steel Deck Concrete Topping</v>
      </c>
      <c r="G2364" s="34" t="s">
        <v>49</v>
      </c>
      <c r="H2364" s="34" t="s">
        <v>57</v>
      </c>
      <c r="I2364" s="35"/>
      <c r="J2364" s="21">
        <f ca="1">_xlfn.XLOOKUP(Master[[#This Row],[Checklist]],Ref!A:A,Ref!B:B)*1000</f>
        <v>210000</v>
      </c>
      <c r="K2364" s="21">
        <f ca="1">COUNTIF($J$2:Master[[#This Row],[ChecklistID]],Master[[#This Row],[ChecklistID]])-1</f>
        <v>6</v>
      </c>
      <c r="L2364" s="23" t="s">
        <v>6</v>
      </c>
    </row>
    <row r="2365" spans="1:12" ht="15.75">
      <c r="A2365" s="23">
        <f t="shared" si="37"/>
        <v>2352</v>
      </c>
      <c r="B2365" s="21">
        <f ca="1">Master[[#This Row],[ChecklistID]]+Master[[#This Row],[Checklist Order]]</f>
        <v>210007</v>
      </c>
      <c r="C2365" s="22"/>
      <c r="D2365" s="23" t="str" cm="1">
        <f t="array" aca="1" ref="D2365" ca="1">_xlfn.SWITCH(MID(Master[[#This Row],[Checklist]],1,4),"C - ","Civil","F - ","Foundation","ST -","Structure","FC -","Façade","PRE ","Pre-Line","POST","Post-Line","H - ","Handover","S - ","Services","CST ","Completion Docs", "I - ", "Inspection")</f>
        <v>Structure</v>
      </c>
      <c r="E23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365" s="24" t="str">
        <f ca="1">IF(OR(Master[[#This Row],[Type]]="checklist", Master[[#This Row],[Type]]="checklist-flat"), Master[[#This Row],[Name]], F2364)</f>
        <v>ST - S - Steel Deck Concrete Topping</v>
      </c>
      <c r="G2365" s="36" t="s">
        <v>58</v>
      </c>
      <c r="H2365" s="36" t="s">
        <v>59</v>
      </c>
      <c r="I2365" s="37"/>
      <c r="J2365" s="21">
        <f ca="1">_xlfn.XLOOKUP(Master[[#This Row],[Checklist]],Ref!A:A,Ref!B:B)*1000</f>
        <v>210000</v>
      </c>
      <c r="K2365" s="21">
        <f ca="1">COUNTIF($J$2:Master[[#This Row],[ChecklistID]],Master[[#This Row],[ChecklistID]])-1</f>
        <v>7</v>
      </c>
      <c r="L2365" s="23" t="s">
        <v>6</v>
      </c>
    </row>
    <row r="2366" spans="1:12" ht="15.75">
      <c r="A2366" s="23">
        <f t="shared" si="37"/>
        <v>2353</v>
      </c>
      <c r="B2366" s="21">
        <f ca="1">Master[[#This Row],[ChecklistID]]+Master[[#This Row],[Checklist Order]]</f>
        <v>211000</v>
      </c>
      <c r="C2366" s="22"/>
      <c r="D2366" s="23" t="str" cm="1">
        <f t="array" aca="1" ref="D2366" ca="1">_xlfn.SWITCH(MID(Master[[#This Row],[Checklist]],1,4),"C - ","Civil","F - ","Foundation","ST -","Structure","FC -","Façade","PRE ","Pre-Line","POST","Post-Line","H - ","Handover","S - ","Services","CST ","Completion Docs", "I - ", "Inspection")</f>
        <v>Inspection</v>
      </c>
      <c r="E236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66" s="24" t="str">
        <f ca="1">IF(OR(Master[[#This Row],[Type]]="checklist", Master[[#This Row],[Type]]="checklist-flat"), Master[[#This Row],[Name]], F2365)</f>
        <v>I - C - MV Consultant Site Visit Report</v>
      </c>
      <c r="G2366" s="30" t="s">
        <v>119</v>
      </c>
      <c r="H2366" s="38" t="s">
        <v>1719</v>
      </c>
      <c r="I2366" s="39"/>
      <c r="J2366" s="21">
        <f ca="1">_xlfn.XLOOKUP(Master[[#This Row],[Checklist]],Ref!A:A,Ref!B:B)*1000</f>
        <v>211000</v>
      </c>
      <c r="K2366" s="21">
        <f ca="1">COUNTIF($J$2:Master[[#This Row],[ChecklistID]],Master[[#This Row],[ChecklistID]])-1</f>
        <v>0</v>
      </c>
      <c r="L2366" s="23" t="s">
        <v>6</v>
      </c>
    </row>
    <row r="2367" spans="1:12" ht="15.75">
      <c r="A2367" s="23">
        <f t="shared" si="37"/>
        <v>2354</v>
      </c>
      <c r="B2367" s="21">
        <f ca="1">Master[[#This Row],[ChecklistID]]+Master[[#This Row],[Checklist Order]]</f>
        <v>211001</v>
      </c>
      <c r="C2367" s="22"/>
      <c r="D2367" s="23" t="str" cm="1">
        <f t="array" aca="1" ref="D2367" ca="1">_xlfn.SWITCH(MID(Master[[#This Row],[Checklist]],1,4),"C - ","Civil","F - ","Foundation","ST -","Structure","FC -","Façade","PRE ","Pre-Line","POST","Post-Line","H - ","Handover","S - ","Services","CST ","Completion Docs", "I - ", "Inspection")</f>
        <v>Inspection</v>
      </c>
      <c r="E236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67" s="24" t="str">
        <f ca="1">IF(OR(Master[[#This Row],[Type]]="checklist", Master[[#This Row],[Type]]="checklist-flat"), Master[[#This Row],[Name]], F2366)</f>
        <v>I - C - MV Consultant Site Visit Report</v>
      </c>
      <c r="G2367" s="3" t="s">
        <v>120</v>
      </c>
      <c r="H2367" s="24" t="s">
        <v>1720</v>
      </c>
      <c r="I2367" s="40"/>
      <c r="J2367" s="21">
        <f ca="1">_xlfn.XLOOKUP(Master[[#This Row],[Checklist]],Ref!A:A,Ref!B:B)*1000</f>
        <v>211000</v>
      </c>
      <c r="K2367" s="21">
        <f ca="1">COUNTIF($J$2:Master[[#This Row],[ChecklistID]],Master[[#This Row],[ChecklistID]])-1</f>
        <v>1</v>
      </c>
      <c r="L2367" s="23" t="s">
        <v>6</v>
      </c>
    </row>
    <row r="2368" spans="1:12" ht="15.75">
      <c r="A2368" s="23">
        <f t="shared" si="37"/>
        <v>2355</v>
      </c>
      <c r="B2368" s="21">
        <f ca="1">Master[[#This Row],[ChecklistID]]+Master[[#This Row],[Checklist Order]]</f>
        <v>211002</v>
      </c>
      <c r="C2368" s="22"/>
      <c r="D2368" s="23" t="str" cm="1">
        <f t="array" aca="1" ref="D2368" ca="1">_xlfn.SWITCH(MID(Master[[#This Row],[Checklist]],1,4),"C - ","Civil","F - ","Foundation","ST -","Structure","FC -","Façade","PRE ","Pre-Line","POST","Post-Line","H - ","Handover","S - ","Services","CST ","Completion Docs", "I - ", "Inspection")</f>
        <v>Inspection</v>
      </c>
      <c r="E236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68" s="24" t="str">
        <f ca="1">IF(OR(Master[[#This Row],[Type]]="checklist", Master[[#This Row],[Type]]="checklist-flat"), Master[[#This Row],[Name]], F2367)</f>
        <v>I - C - MV Consultant Site Visit Report</v>
      </c>
      <c r="G2368" s="3" t="s">
        <v>49</v>
      </c>
      <c r="H2368" s="24" t="s">
        <v>1721</v>
      </c>
      <c r="I2368" s="40"/>
      <c r="J2368" s="21">
        <f ca="1">_xlfn.XLOOKUP(Master[[#This Row],[Checklist]],Ref!A:A,Ref!B:B)*1000</f>
        <v>211000</v>
      </c>
      <c r="K2368" s="21">
        <f ca="1">COUNTIF($J$2:Master[[#This Row],[ChecklistID]],Master[[#This Row],[ChecklistID]])-1</f>
        <v>2</v>
      </c>
      <c r="L2368" s="23" t="s">
        <v>6</v>
      </c>
    </row>
    <row r="2369" spans="1:12" ht="15.75">
      <c r="A2369" s="23">
        <f t="shared" si="37"/>
        <v>2356</v>
      </c>
      <c r="B2369" s="21">
        <f ca="1">Master[[#This Row],[ChecklistID]]+Master[[#This Row],[Checklist Order]]</f>
        <v>211003</v>
      </c>
      <c r="C2369" s="22"/>
      <c r="D2369" s="23" t="str" cm="1">
        <f t="array" aca="1" ref="D2369" ca="1">_xlfn.SWITCH(MID(Master[[#This Row],[Checklist]],1,4),"C - ","Civil","F - ","Foundation","ST -","Structure","FC -","Façade","PRE ","Pre-Line","POST","Post-Line","H - ","Handover","S - ","Services","CST ","Completion Docs", "I - ", "Inspection")</f>
        <v>Inspection</v>
      </c>
      <c r="E236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69" s="24" t="str">
        <f ca="1">IF(OR(Master[[#This Row],[Type]]="checklist", Master[[#This Row],[Type]]="checklist-flat"), Master[[#This Row],[Name]], F2368)</f>
        <v>I - C - MV Consultant Site Visit Report</v>
      </c>
      <c r="G2369" s="3" t="s">
        <v>124</v>
      </c>
      <c r="H2369" s="24" t="s">
        <v>1722</v>
      </c>
      <c r="I2369" s="40"/>
      <c r="J2369" s="21">
        <f ca="1">_xlfn.XLOOKUP(Master[[#This Row],[Checklist]],Ref!A:A,Ref!B:B)*1000</f>
        <v>211000</v>
      </c>
      <c r="K2369" s="21">
        <f ca="1">COUNTIF($J$2:Master[[#This Row],[ChecklistID]],Master[[#This Row],[ChecklistID]])-1</f>
        <v>3</v>
      </c>
      <c r="L2369" s="23" t="s">
        <v>6</v>
      </c>
    </row>
    <row r="2370" spans="1:12" ht="15.75">
      <c r="A2370" s="23">
        <f t="shared" si="37"/>
        <v>2357</v>
      </c>
      <c r="B2370" s="21">
        <f ca="1">Master[[#This Row],[ChecklistID]]+Master[[#This Row],[Checklist Order]]</f>
        <v>211004</v>
      </c>
      <c r="C2370" s="22"/>
      <c r="D2370" s="23" t="str" cm="1">
        <f t="array" aca="1" ref="D2370" ca="1">_xlfn.SWITCH(MID(Master[[#This Row],[Checklist]],1,4),"C - ","Civil","F - ","Foundation","ST -","Structure","FC -","Façade","PRE ","Pre-Line","POST","Post-Line","H - ","Handover","S - ","Services","CST ","Completion Docs", "I - ", "Inspection")</f>
        <v>Inspection</v>
      </c>
      <c r="E237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0" s="24" t="str">
        <f ca="1">IF(OR(Master[[#This Row],[Type]]="checklist", Master[[#This Row],[Type]]="checklist-flat"), Master[[#This Row],[Name]], F2369)</f>
        <v>I - C - MV Consultant Site Visit Report</v>
      </c>
      <c r="G2370" s="3" t="s">
        <v>124</v>
      </c>
      <c r="H2370" s="24" t="s">
        <v>1723</v>
      </c>
      <c r="I2370" s="40"/>
      <c r="J2370" s="21">
        <f ca="1">_xlfn.XLOOKUP(Master[[#This Row],[Checklist]],Ref!A:A,Ref!B:B)*1000</f>
        <v>211000</v>
      </c>
      <c r="K2370" s="21">
        <f ca="1">COUNTIF($J$2:Master[[#This Row],[ChecklistID]],Master[[#This Row],[ChecklistID]])-1</f>
        <v>4</v>
      </c>
      <c r="L2370" s="23" t="s">
        <v>6</v>
      </c>
    </row>
    <row r="2371" spans="1:12" ht="15.75">
      <c r="A2371" s="23">
        <f t="shared" si="37"/>
        <v>2358</v>
      </c>
      <c r="B2371" s="21">
        <f ca="1">Master[[#This Row],[ChecklistID]]+Master[[#This Row],[Checklist Order]]</f>
        <v>211005</v>
      </c>
      <c r="C2371" s="22"/>
      <c r="D2371" s="23" t="str" cm="1">
        <f t="array" aca="1" ref="D2371" ca="1">_xlfn.SWITCH(MID(Master[[#This Row],[Checklist]],1,4),"C - ","Civil","F - ","Foundation","ST -","Structure","FC -","Façade","PRE ","Pre-Line","POST","Post-Line","H - ","Handover","S - ","Services","CST ","Completion Docs", "I - ", "Inspection")</f>
        <v>Inspection</v>
      </c>
      <c r="E237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1" s="24" t="str">
        <f ca="1">IF(OR(Master[[#This Row],[Type]]="checklist", Master[[#This Row],[Type]]="checklist-flat"), Master[[#This Row],[Name]], F2370)</f>
        <v>I - C - MV Consultant Site Visit Report</v>
      </c>
      <c r="G2371" s="3" t="s">
        <v>124</v>
      </c>
      <c r="H2371" s="24" t="s">
        <v>1724</v>
      </c>
      <c r="I2371" s="40"/>
      <c r="J2371" s="21">
        <f ca="1">_xlfn.XLOOKUP(Master[[#This Row],[Checklist]],Ref!A:A,Ref!B:B)*1000</f>
        <v>211000</v>
      </c>
      <c r="K2371" s="21">
        <f ca="1">COUNTIF($J$2:Master[[#This Row],[ChecklistID]],Master[[#This Row],[ChecklistID]])-1</f>
        <v>5</v>
      </c>
      <c r="L2371" s="23" t="s">
        <v>6</v>
      </c>
    </row>
    <row r="2372" spans="1:12" ht="15.75">
      <c r="A2372" s="23">
        <f t="shared" si="37"/>
        <v>2359</v>
      </c>
      <c r="B2372" s="21">
        <f ca="1">Master[[#This Row],[ChecklistID]]+Master[[#This Row],[Checklist Order]]</f>
        <v>211006</v>
      </c>
      <c r="C2372" s="22"/>
      <c r="D2372" s="23" t="str" cm="1">
        <f t="array" aca="1" ref="D2372" ca="1">_xlfn.SWITCH(MID(Master[[#This Row],[Checklist]],1,4),"C - ","Civil","F - ","Foundation","ST -","Structure","FC -","Façade","PRE ","Pre-Line","POST","Post-Line","H - ","Handover","S - ","Services","CST ","Completion Docs", "I - ", "Inspection")</f>
        <v>Inspection</v>
      </c>
      <c r="E237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2" s="24" t="str">
        <f ca="1">IF(OR(Master[[#This Row],[Type]]="checklist", Master[[#This Row],[Type]]="checklist-flat"), Master[[#This Row],[Name]], F2371)</f>
        <v>I - C - MV Consultant Site Visit Report</v>
      </c>
      <c r="G2372" s="3" t="s">
        <v>124</v>
      </c>
      <c r="H2372" s="24" t="s">
        <v>1725</v>
      </c>
      <c r="I2372" s="40"/>
      <c r="J2372" s="21">
        <f ca="1">_xlfn.XLOOKUP(Master[[#This Row],[Checklist]],Ref!A:A,Ref!B:B)*1000</f>
        <v>211000</v>
      </c>
      <c r="K2372" s="21">
        <f ca="1">COUNTIF($J$2:Master[[#This Row],[ChecklistID]],Master[[#This Row],[ChecklistID]])-1</f>
        <v>6</v>
      </c>
      <c r="L2372" s="23" t="s">
        <v>6</v>
      </c>
    </row>
    <row r="2373" spans="1:12" ht="15.75">
      <c r="A2373" s="23">
        <f t="shared" si="37"/>
        <v>2360</v>
      </c>
      <c r="B2373" s="21">
        <f ca="1">Master[[#This Row],[ChecklistID]]+Master[[#This Row],[Checklist Order]]</f>
        <v>211007</v>
      </c>
      <c r="C2373" s="22"/>
      <c r="D2373" s="23" t="str" cm="1">
        <f t="array" aca="1" ref="D2373" ca="1">_xlfn.SWITCH(MID(Master[[#This Row],[Checklist]],1,4),"C - ","Civil","F - ","Foundation","ST -","Structure","FC -","Façade","PRE ","Pre-Line","POST","Post-Line","H - ","Handover","S - ","Services","CST ","Completion Docs", "I - ", "Inspection")</f>
        <v>Inspection</v>
      </c>
      <c r="E237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3" s="24" t="str">
        <f ca="1">IF(OR(Master[[#This Row],[Type]]="checklist", Master[[#This Row],[Type]]="checklist-flat"), Master[[#This Row],[Name]], F2372)</f>
        <v>I - C - MV Consultant Site Visit Report</v>
      </c>
      <c r="G2373" s="3" t="s">
        <v>124</v>
      </c>
      <c r="H2373" s="24" t="s">
        <v>1726</v>
      </c>
      <c r="I2373" s="40"/>
      <c r="J2373" s="21">
        <f ca="1">_xlfn.XLOOKUP(Master[[#This Row],[Checklist]],Ref!A:A,Ref!B:B)*1000</f>
        <v>211000</v>
      </c>
      <c r="K2373" s="21">
        <f ca="1">COUNTIF($J$2:Master[[#This Row],[ChecklistID]],Master[[#This Row],[ChecklistID]])-1</f>
        <v>7</v>
      </c>
      <c r="L2373" s="23" t="s">
        <v>6</v>
      </c>
    </row>
    <row r="2374" spans="1:12" ht="15.75">
      <c r="A2374" s="23">
        <f t="shared" si="37"/>
        <v>2361</v>
      </c>
      <c r="B2374" s="21">
        <f ca="1">Master[[#This Row],[ChecklistID]]+Master[[#This Row],[Checklist Order]]</f>
        <v>211008</v>
      </c>
      <c r="C2374" s="22"/>
      <c r="D2374" s="23" t="str" cm="1">
        <f t="array" aca="1" ref="D2374" ca="1">_xlfn.SWITCH(MID(Master[[#This Row],[Checklist]],1,4),"C - ","Civil","F - ","Foundation","ST -","Structure","FC -","Façade","PRE ","Pre-Line","POST","Post-Line","H - ","Handover","S - ","Services","CST ","Completion Docs", "I - ", "Inspection")</f>
        <v>Inspection</v>
      </c>
      <c r="E237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4" s="24" t="str">
        <f ca="1">IF(OR(Master[[#This Row],[Type]]="checklist", Master[[#This Row],[Type]]="checklist-flat"), Master[[#This Row],[Name]], F2373)</f>
        <v>I - C - MV Consultant Site Visit Report</v>
      </c>
      <c r="G2374" s="3" t="s">
        <v>131</v>
      </c>
      <c r="H2374" s="24" t="s">
        <v>1727</v>
      </c>
      <c r="I2374" s="40" t="s">
        <v>153</v>
      </c>
      <c r="J2374" s="21">
        <f ca="1">_xlfn.XLOOKUP(Master[[#This Row],[Checklist]],Ref!A:A,Ref!B:B)*1000</f>
        <v>211000</v>
      </c>
      <c r="K2374" s="21">
        <f ca="1">COUNTIF($J$2:Master[[#This Row],[ChecklistID]],Master[[#This Row],[ChecklistID]])-1</f>
        <v>8</v>
      </c>
      <c r="L2374" s="23" t="s">
        <v>6</v>
      </c>
    </row>
    <row r="2375" spans="1:12" ht="15.75">
      <c r="A2375" s="23">
        <f t="shared" si="37"/>
        <v>2362</v>
      </c>
      <c r="B2375" s="21">
        <f ca="1">Master[[#This Row],[ChecklistID]]+Master[[#This Row],[Checklist Order]]</f>
        <v>211009</v>
      </c>
      <c r="C2375" s="22"/>
      <c r="D2375" s="23" t="str" cm="1">
        <f t="array" aca="1" ref="D2375" ca="1">_xlfn.SWITCH(MID(Master[[#This Row],[Checklist]],1,4),"C - ","Civil","F - ","Foundation","ST -","Structure","FC -","Façade","PRE ","Pre-Line","POST","Post-Line","H - ","Handover","S - ","Services","CST ","Completion Docs", "I - ", "Inspection")</f>
        <v>Inspection</v>
      </c>
      <c r="E237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5" s="24" t="str">
        <f ca="1">IF(OR(Master[[#This Row],[Type]]="checklist", Master[[#This Row],[Type]]="checklist-flat"), Master[[#This Row],[Name]], F2374)</f>
        <v>I - C - MV Consultant Site Visit Report</v>
      </c>
      <c r="G2375" s="3" t="s">
        <v>901</v>
      </c>
      <c r="H2375" s="24" t="s">
        <v>1728</v>
      </c>
      <c r="I2375" s="40"/>
      <c r="J2375" s="21">
        <f ca="1">_xlfn.XLOOKUP(Master[[#This Row],[Checklist]],Ref!A:A,Ref!B:B)*1000</f>
        <v>211000</v>
      </c>
      <c r="K2375" s="21">
        <f ca="1">COUNTIF($J$2:Master[[#This Row],[ChecklistID]],Master[[#This Row],[ChecklistID]])-1</f>
        <v>9</v>
      </c>
      <c r="L2375" s="23" t="s">
        <v>6</v>
      </c>
    </row>
    <row r="2376" spans="1:12" ht="15.75">
      <c r="A2376" s="23">
        <f t="shared" si="37"/>
        <v>2363</v>
      </c>
      <c r="B2376" s="21">
        <f ca="1">Master[[#This Row],[ChecklistID]]+Master[[#This Row],[Checklist Order]]</f>
        <v>211010</v>
      </c>
      <c r="C2376" s="22"/>
      <c r="D2376" s="23" t="str" cm="1">
        <f t="array" aca="1" ref="D2376" ca="1">_xlfn.SWITCH(MID(Master[[#This Row],[Checklist]],1,4),"C - ","Civil","F - ","Foundation","ST -","Structure","FC -","Façade","PRE ","Pre-Line","POST","Post-Line","H - ","Handover","S - ","Services","CST ","Completion Docs", "I - ", "Inspection")</f>
        <v>Inspection</v>
      </c>
      <c r="E237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6" s="24" t="str">
        <f ca="1">IF(OR(Master[[#This Row],[Type]]="checklist", Master[[#This Row],[Type]]="checklist-flat"), Master[[#This Row],[Name]], F2375)</f>
        <v>I - C - MV Consultant Site Visit Report</v>
      </c>
      <c r="G2376" s="3" t="s">
        <v>901</v>
      </c>
      <c r="H2376" s="24" t="s">
        <v>1729</v>
      </c>
      <c r="I2376" s="40"/>
      <c r="J2376" s="21">
        <f ca="1">_xlfn.XLOOKUP(Master[[#This Row],[Checklist]],Ref!A:A,Ref!B:B)*1000</f>
        <v>211000</v>
      </c>
      <c r="K2376" s="21">
        <f ca="1">COUNTIF($J$2:Master[[#This Row],[ChecklistID]],Master[[#This Row],[ChecklistID]])-1</f>
        <v>10</v>
      </c>
      <c r="L2376" s="23" t="s">
        <v>6</v>
      </c>
    </row>
    <row r="2377" spans="1:12" ht="15.75">
      <c r="A2377" s="23">
        <f t="shared" si="37"/>
        <v>2364</v>
      </c>
      <c r="B2377" s="21">
        <f ca="1">Master[[#This Row],[ChecklistID]]+Master[[#This Row],[Checklist Order]]</f>
        <v>211011</v>
      </c>
      <c r="C2377" s="22"/>
      <c r="D2377" s="23" t="str" cm="1">
        <f t="array" aca="1" ref="D2377" ca="1">_xlfn.SWITCH(MID(Master[[#This Row],[Checklist]],1,4),"C - ","Civil","F - ","Foundation","ST -","Structure","FC -","Façade","PRE ","Pre-Line","POST","Post-Line","H - ","Handover","S - ","Services","CST ","Completion Docs", "I - ", "Inspection")</f>
        <v>Inspection</v>
      </c>
      <c r="E237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7" s="24" t="str">
        <f ca="1">IF(OR(Master[[#This Row],[Type]]="checklist", Master[[#This Row],[Type]]="checklist-flat"), Master[[#This Row],[Name]], F2376)</f>
        <v>I - C - MV Consultant Site Visit Report</v>
      </c>
      <c r="G2377" s="3" t="s">
        <v>120</v>
      </c>
      <c r="H2377" s="24" t="s">
        <v>1730</v>
      </c>
      <c r="I2377" s="40"/>
      <c r="J2377" s="21">
        <f ca="1">_xlfn.XLOOKUP(Master[[#This Row],[Checklist]],Ref!A:A,Ref!B:B)*1000</f>
        <v>211000</v>
      </c>
      <c r="K2377" s="21">
        <f ca="1">COUNTIF($J$2:Master[[#This Row],[ChecklistID]],Master[[#This Row],[ChecklistID]])-1</f>
        <v>11</v>
      </c>
      <c r="L2377" s="23" t="s">
        <v>6</v>
      </c>
    </row>
    <row r="2378" spans="1:12" ht="15.75">
      <c r="A2378" s="23">
        <f t="shared" si="37"/>
        <v>2365</v>
      </c>
      <c r="B2378" s="21">
        <f ca="1">Master[[#This Row],[ChecklistID]]+Master[[#This Row],[Checklist Order]]</f>
        <v>211012</v>
      </c>
      <c r="C2378" s="22"/>
      <c r="D2378" s="23" t="str" cm="1">
        <f t="array" aca="1" ref="D2378" ca="1">_xlfn.SWITCH(MID(Master[[#This Row],[Checklist]],1,4),"C - ","Civil","F - ","Foundation","ST -","Structure","FC -","Façade","PRE ","Pre-Line","POST","Post-Line","H - ","Handover","S - ","Services","CST ","Completion Docs", "I - ", "Inspection")</f>
        <v>Inspection</v>
      </c>
      <c r="E237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8" s="24" t="str">
        <f ca="1">IF(OR(Master[[#This Row],[Type]]="checklist", Master[[#This Row],[Type]]="checklist-flat"), Master[[#This Row],[Name]], F2377)</f>
        <v>I - C - MV Consultant Site Visit Report</v>
      </c>
      <c r="G2378" s="3" t="s">
        <v>49</v>
      </c>
      <c r="H2378" s="24" t="s">
        <v>1731</v>
      </c>
      <c r="I2378" s="40"/>
      <c r="J2378" s="21">
        <f ca="1">_xlfn.XLOOKUP(Master[[#This Row],[Checklist]],Ref!A:A,Ref!B:B)*1000</f>
        <v>211000</v>
      </c>
      <c r="K2378" s="21">
        <f ca="1">COUNTIF($J$2:Master[[#This Row],[ChecklistID]],Master[[#This Row],[ChecklistID]])-1</f>
        <v>12</v>
      </c>
      <c r="L2378" s="23" t="s">
        <v>6</v>
      </c>
    </row>
    <row r="2379" spans="1:12" ht="15.75">
      <c r="A2379" s="23">
        <f t="shared" si="37"/>
        <v>2366</v>
      </c>
      <c r="B2379" s="21">
        <f ca="1">Master[[#This Row],[ChecklistID]]+Master[[#This Row],[Checklist Order]]</f>
        <v>211013</v>
      </c>
      <c r="C2379" s="22"/>
      <c r="D2379" s="23" t="str" cm="1">
        <f t="array" aca="1" ref="D2379" ca="1">_xlfn.SWITCH(MID(Master[[#This Row],[Checklist]],1,4),"C - ","Civil","F - ","Foundation","ST -","Structure","FC -","Façade","PRE ","Pre-Line","POST","Post-Line","H - ","Handover","S - ","Services","CST ","Completion Docs", "I - ", "Inspection")</f>
        <v>Inspection</v>
      </c>
      <c r="E237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79" s="24" t="str">
        <f ca="1">IF(OR(Master[[#This Row],[Type]]="checklist", Master[[#This Row],[Type]]="checklist-flat"), Master[[#This Row],[Name]], F2378)</f>
        <v>I - C - MV Consultant Site Visit Report</v>
      </c>
      <c r="G2379" s="3" t="s">
        <v>49</v>
      </c>
      <c r="H2379" s="24" t="s">
        <v>1732</v>
      </c>
      <c r="I2379" s="40"/>
      <c r="J2379" s="21">
        <f ca="1">_xlfn.XLOOKUP(Master[[#This Row],[Checklist]],Ref!A:A,Ref!B:B)*1000</f>
        <v>211000</v>
      </c>
      <c r="K2379" s="21">
        <f ca="1">COUNTIF($J$2:Master[[#This Row],[ChecklistID]],Master[[#This Row],[ChecklistID]])-1</f>
        <v>13</v>
      </c>
      <c r="L2379" s="23" t="s">
        <v>6</v>
      </c>
    </row>
    <row r="2380" spans="1:12" ht="15.75">
      <c r="A2380" s="23">
        <f t="shared" si="37"/>
        <v>2367</v>
      </c>
      <c r="B2380" s="21">
        <f ca="1">Master[[#This Row],[ChecklistID]]+Master[[#This Row],[Checklist Order]]</f>
        <v>211014</v>
      </c>
      <c r="C2380" s="22"/>
      <c r="D2380" s="23" t="str" cm="1">
        <f t="array" aca="1" ref="D2380" ca="1">_xlfn.SWITCH(MID(Master[[#This Row],[Checklist]],1,4),"C - ","Civil","F - ","Foundation","ST -","Structure","FC -","Façade","PRE ","Pre-Line","POST","Post-Line","H - ","Handover","S - ","Services","CST ","Completion Docs", "I - ", "Inspection")</f>
        <v>Inspection</v>
      </c>
      <c r="E238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0" s="24" t="str">
        <f ca="1">IF(OR(Master[[#This Row],[Type]]="checklist", Master[[#This Row],[Type]]="checklist-flat"), Master[[#This Row],[Name]], F2379)</f>
        <v>I - C - MV Consultant Site Visit Report</v>
      </c>
      <c r="G2380" s="3" t="s">
        <v>120</v>
      </c>
      <c r="H2380" s="24" t="s">
        <v>1733</v>
      </c>
      <c r="I2380" s="40"/>
      <c r="J2380" s="21">
        <f ca="1">_xlfn.XLOOKUP(Master[[#This Row],[Checklist]],Ref!A:A,Ref!B:B)*1000</f>
        <v>211000</v>
      </c>
      <c r="K2380" s="21">
        <f ca="1">COUNTIF($J$2:Master[[#This Row],[ChecklistID]],Master[[#This Row],[ChecklistID]])-1</f>
        <v>14</v>
      </c>
      <c r="L2380" s="23" t="s">
        <v>6</v>
      </c>
    </row>
    <row r="2381" spans="1:12" ht="15.75">
      <c r="A2381" s="23">
        <f t="shared" si="37"/>
        <v>2368</v>
      </c>
      <c r="B2381" s="21">
        <f ca="1">Master[[#This Row],[ChecklistID]]+Master[[#This Row],[Checklist Order]]</f>
        <v>211015</v>
      </c>
      <c r="C2381" s="22"/>
      <c r="D2381" s="23" t="str" cm="1">
        <f t="array" aca="1" ref="D2381" ca="1">_xlfn.SWITCH(MID(Master[[#This Row],[Checklist]],1,4),"C - ","Civil","F - ","Foundation","ST -","Structure","FC -","Façade","PRE ","Pre-Line","POST","Post-Line","H - ","Handover","S - ","Services","CST ","Completion Docs", "I - ", "Inspection")</f>
        <v>Inspection</v>
      </c>
      <c r="E238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1" s="24" t="str">
        <f ca="1">IF(OR(Master[[#This Row],[Type]]="checklist", Master[[#This Row],[Type]]="checklist-flat"), Master[[#This Row],[Name]], F2380)</f>
        <v>I - C - MV Consultant Site Visit Report</v>
      </c>
      <c r="G2381" s="3" t="s">
        <v>49</v>
      </c>
      <c r="H2381" s="24" t="s">
        <v>1734</v>
      </c>
      <c r="I2381" s="40"/>
      <c r="J2381" s="21">
        <f ca="1">_xlfn.XLOOKUP(Master[[#This Row],[Checklist]],Ref!A:A,Ref!B:B)*1000</f>
        <v>211000</v>
      </c>
      <c r="K2381" s="21">
        <f ca="1">COUNTIF($J$2:Master[[#This Row],[ChecklistID]],Master[[#This Row],[ChecklistID]])-1</f>
        <v>15</v>
      </c>
      <c r="L2381" s="23" t="s">
        <v>6</v>
      </c>
    </row>
    <row r="2382" spans="1:12" ht="15.75">
      <c r="A2382" s="23">
        <f t="shared" si="37"/>
        <v>2369</v>
      </c>
      <c r="B2382" s="21">
        <f ca="1">Master[[#This Row],[ChecklistID]]+Master[[#This Row],[Checklist Order]]</f>
        <v>211016</v>
      </c>
      <c r="C2382" s="22"/>
      <c r="D2382" s="23" t="str" cm="1">
        <f t="array" aca="1" ref="D2382" ca="1">_xlfn.SWITCH(MID(Master[[#This Row],[Checklist]],1,4),"C - ","Civil","F - ","Foundation","ST -","Structure","FC -","Façade","PRE ","Pre-Line","POST","Post-Line","H - ","Handover","S - ","Services","CST ","Completion Docs", "I - ", "Inspection")</f>
        <v>Inspection</v>
      </c>
      <c r="E238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2" s="24" t="str">
        <f ca="1">IF(OR(Master[[#This Row],[Type]]="checklist", Master[[#This Row],[Type]]="checklist-flat"), Master[[#This Row],[Name]], F2381)</f>
        <v>I - C - MV Consultant Site Visit Report</v>
      </c>
      <c r="G2382" s="3" t="s">
        <v>58</v>
      </c>
      <c r="H2382" s="24" t="s">
        <v>1735</v>
      </c>
      <c r="I2382" s="40"/>
      <c r="J2382" s="21">
        <f ca="1">_xlfn.XLOOKUP(Master[[#This Row],[Checklist]],Ref!A:A,Ref!B:B)*1000</f>
        <v>211000</v>
      </c>
      <c r="K2382" s="21">
        <f ca="1">COUNTIF($J$2:Master[[#This Row],[ChecklistID]],Master[[#This Row],[ChecklistID]])-1</f>
        <v>16</v>
      </c>
      <c r="L2382" s="23" t="s">
        <v>6</v>
      </c>
    </row>
    <row r="2383" spans="1:12" ht="15.75">
      <c r="A2383" s="23">
        <f t="shared" si="37"/>
        <v>2370</v>
      </c>
      <c r="B2383" s="21">
        <f ca="1">Master[[#This Row],[ChecklistID]]+Master[[#This Row],[Checklist Order]]</f>
        <v>211017</v>
      </c>
      <c r="C2383" s="22"/>
      <c r="D2383" s="23" t="str" cm="1">
        <f t="array" aca="1" ref="D2383" ca="1">_xlfn.SWITCH(MID(Master[[#This Row],[Checklist]],1,4),"C - ","Civil","F - ","Foundation","ST -","Structure","FC -","Façade","PRE ","Pre-Line","POST","Post-Line","H - ","Handover","S - ","Services","CST ","Completion Docs", "I - ", "Inspection")</f>
        <v>Inspection</v>
      </c>
      <c r="E238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3" s="24" t="str">
        <f ca="1">IF(OR(Master[[#This Row],[Type]]="checklist", Master[[#This Row],[Type]]="checklist-flat"), Master[[#This Row],[Name]], F2382)</f>
        <v>I - C - MV Consultant Site Visit Report</v>
      </c>
      <c r="G2383" s="3" t="s">
        <v>124</v>
      </c>
      <c r="H2383" s="24" t="s">
        <v>1736</v>
      </c>
      <c r="I2383" s="40"/>
      <c r="J2383" s="21">
        <f ca="1">_xlfn.XLOOKUP(Master[[#This Row],[Checklist]],Ref!A:A,Ref!B:B)*1000</f>
        <v>211000</v>
      </c>
      <c r="K2383" s="21">
        <f ca="1">COUNTIF($J$2:Master[[#This Row],[ChecklistID]],Master[[#This Row],[ChecklistID]])-1</f>
        <v>17</v>
      </c>
      <c r="L2383" s="23" t="s">
        <v>6</v>
      </c>
    </row>
    <row r="2384" spans="1:12" ht="15.75">
      <c r="A2384" s="23">
        <f t="shared" si="37"/>
        <v>2371</v>
      </c>
      <c r="B2384" s="21">
        <f ca="1">Master[[#This Row],[ChecklistID]]+Master[[#This Row],[Checklist Order]]</f>
        <v>212000</v>
      </c>
      <c r="C2384" s="22"/>
      <c r="D2384" s="23" t="str" cm="1">
        <f t="array" aca="1" ref="D2384" ca="1">_xlfn.SWITCH(MID(Master[[#This Row],[Checklist]],1,4),"C - ","Civil","F - ","Foundation","ST -","Structure","FC -","Façade","PRE ","Pre-Line","POST","Post-Line","H - ","Handover","S - ","Services","CST ","Completion Docs", "I - ", "Inspection")</f>
        <v>Inspection</v>
      </c>
      <c r="E238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4" s="24" t="str">
        <f ca="1">IF(OR(Master[[#This Row],[Type]]="checklist", Master[[#This Row],[Type]]="checklist-flat"), Master[[#This Row],[Name]], F2383)</f>
        <v>I - C - MV Compliance Documents</v>
      </c>
      <c r="G2384" t="s">
        <v>48</v>
      </c>
      <c r="H2384" t="s">
        <v>1737</v>
      </c>
      <c r="I2384" s="40"/>
      <c r="J2384" s="21">
        <f ca="1">_xlfn.XLOOKUP(Master[[#This Row],[Checklist]],Ref!A:A,Ref!B:B)*1000</f>
        <v>212000</v>
      </c>
      <c r="K2384" s="21">
        <f ca="1">COUNTIF($J$2:Master[[#This Row],[ChecklistID]],Master[[#This Row],[ChecklistID]])-1</f>
        <v>0</v>
      </c>
      <c r="L2384" s="23" t="s">
        <v>6</v>
      </c>
    </row>
    <row r="2385" spans="1:12" ht="15.75">
      <c r="A2385" s="23">
        <f t="shared" si="37"/>
        <v>2372</v>
      </c>
      <c r="B2385" s="21">
        <f ca="1">Master[[#This Row],[ChecklistID]]+Master[[#This Row],[Checklist Order]]</f>
        <v>212001</v>
      </c>
      <c r="C2385" s="22"/>
      <c r="D2385" s="23" t="str" cm="1">
        <f t="array" aca="1" ref="D2385" ca="1">_xlfn.SWITCH(MID(Master[[#This Row],[Checklist]],1,4),"C - ","Civil","F - ","Foundation","ST -","Structure","FC -","Façade","PRE ","Pre-Line","POST","Post-Line","H - ","Handover","S - ","Services","CST ","Completion Docs", "I - ", "Inspection")</f>
        <v>Inspection</v>
      </c>
      <c r="E238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5" s="24" t="str">
        <f ca="1">IF(OR(Master[[#This Row],[Type]]="checklist", Master[[#This Row],[Type]]="checklist-flat"), Master[[#This Row],[Name]], F2384)</f>
        <v>I - C - MV Compliance Documents</v>
      </c>
      <c r="G2385" t="s">
        <v>49</v>
      </c>
      <c r="H2385" t="s">
        <v>1738</v>
      </c>
      <c r="I2385" s="40"/>
      <c r="J2385" s="21">
        <f ca="1">_xlfn.XLOOKUP(Master[[#This Row],[Checklist]],Ref!A:A,Ref!B:B)*1000</f>
        <v>212000</v>
      </c>
      <c r="K2385" s="21">
        <f ca="1">COUNTIF($J$2:Master[[#This Row],[ChecklistID]],Master[[#This Row],[ChecklistID]])-1</f>
        <v>1</v>
      </c>
      <c r="L2385" s="23" t="s">
        <v>6</v>
      </c>
    </row>
    <row r="2386" spans="1:12" ht="15.75">
      <c r="A2386" s="23">
        <f t="shared" si="37"/>
        <v>2373</v>
      </c>
      <c r="B2386" s="21">
        <f ca="1">Master[[#This Row],[ChecklistID]]+Master[[#This Row],[Checklist Order]]</f>
        <v>212002</v>
      </c>
      <c r="C2386" s="22"/>
      <c r="D2386" s="23" t="str" cm="1">
        <f t="array" aca="1" ref="D2386" ca="1">_xlfn.SWITCH(MID(Master[[#This Row],[Checklist]],1,4),"C - ","Civil","F - ","Foundation","ST -","Structure","FC -","Façade","PRE ","Pre-Line","POST","Post-Line","H - ","Handover","S - ","Services","CST ","Completion Docs", "I - ", "Inspection")</f>
        <v>Inspection</v>
      </c>
      <c r="E238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6" s="24" t="str">
        <f ca="1">IF(OR(Master[[#This Row],[Type]]="checklist", Master[[#This Row],[Type]]="checklist-flat"), Master[[#This Row],[Name]], F2385)</f>
        <v>I - C - MV Compliance Documents</v>
      </c>
      <c r="G2386" t="s">
        <v>1739</v>
      </c>
      <c r="H2386" t="s">
        <v>1740</v>
      </c>
      <c r="I2386" s="39"/>
      <c r="J2386" s="21">
        <f ca="1">_xlfn.XLOOKUP(Master[[#This Row],[Checklist]],Ref!A:A,Ref!B:B)*1000</f>
        <v>212000</v>
      </c>
      <c r="K2386" s="21">
        <f ca="1">COUNTIF($J$2:Master[[#This Row],[ChecklistID]],Master[[#This Row],[ChecklistID]])-1</f>
        <v>2</v>
      </c>
      <c r="L2386" s="23" t="s">
        <v>6</v>
      </c>
    </row>
    <row r="2387" spans="1:12" ht="15.75">
      <c r="A2387" s="23">
        <f t="shared" si="37"/>
        <v>2374</v>
      </c>
      <c r="B2387" s="21">
        <f ca="1">Master[[#This Row],[ChecklistID]]+Master[[#This Row],[Checklist Order]]</f>
        <v>212003</v>
      </c>
      <c r="C2387" s="22"/>
      <c r="D2387" s="23" t="str" cm="1">
        <f t="array" aca="1" ref="D2387" ca="1">_xlfn.SWITCH(MID(Master[[#This Row],[Checklist]],1,4),"C - ","Civil","F - ","Foundation","ST -","Structure","FC -","Façade","PRE ","Pre-Line","POST","Post-Line","H - ","Handover","S - ","Services","CST ","Completion Docs", "I - ", "Inspection")</f>
        <v>Inspection</v>
      </c>
      <c r="E238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7" s="24" t="str">
        <f ca="1">IF(OR(Master[[#This Row],[Type]]="checklist", Master[[#This Row],[Type]]="checklist-flat"), Master[[#This Row],[Name]], F2386)</f>
        <v>I - C - MV Compliance Documents</v>
      </c>
      <c r="G2387" t="s">
        <v>1739</v>
      </c>
      <c r="H2387" s="38" t="s">
        <v>1252</v>
      </c>
      <c r="I2387" s="39"/>
      <c r="J2387" s="21">
        <f ca="1">_xlfn.XLOOKUP(Master[[#This Row],[Checklist]],Ref!A:A,Ref!B:B)*1000</f>
        <v>212000</v>
      </c>
      <c r="K2387" s="21">
        <f ca="1">COUNTIF($J$2:Master[[#This Row],[ChecklistID]],Master[[#This Row],[ChecklistID]])-1</f>
        <v>3</v>
      </c>
      <c r="L2387" s="23" t="s">
        <v>6</v>
      </c>
    </row>
    <row r="2388" spans="1:12" ht="15.75">
      <c r="A2388" s="23">
        <f t="shared" si="37"/>
        <v>2375</v>
      </c>
      <c r="B2388" s="21">
        <f ca="1">Master[[#This Row],[ChecklistID]]+Master[[#This Row],[Checklist Order]]</f>
        <v>212004</v>
      </c>
      <c r="C2388" s="22"/>
      <c r="D2388" s="23" t="str" cm="1">
        <f t="array" aca="1" ref="D2388" ca="1">_xlfn.SWITCH(MID(Master[[#This Row],[Checklist]],1,4),"C - ","Civil","F - ","Foundation","ST -","Structure","FC -","Façade","PRE ","Pre-Line","POST","Post-Line","H - ","Handover","S - ","Services","CST ","Completion Docs", "I - ", "Inspection")</f>
        <v>Inspection</v>
      </c>
      <c r="E238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8" s="24" t="str">
        <f ca="1">IF(OR(Master[[#This Row],[Type]]="checklist", Master[[#This Row],[Type]]="checklist-flat"), Master[[#This Row],[Name]], F2387)</f>
        <v>I - C - MV Compliance Documents</v>
      </c>
      <c r="G2388" t="s">
        <v>1739</v>
      </c>
      <c r="H2388" s="38" t="s">
        <v>1250</v>
      </c>
      <c r="I2388" s="39"/>
      <c r="J2388" s="21">
        <f ca="1">_xlfn.XLOOKUP(Master[[#This Row],[Checklist]],Ref!A:A,Ref!B:B)*1000</f>
        <v>212000</v>
      </c>
      <c r="K2388" s="21">
        <f ca="1">COUNTIF($J$2:Master[[#This Row],[ChecklistID]],Master[[#This Row],[ChecklistID]])-1</f>
        <v>4</v>
      </c>
      <c r="L2388" s="23" t="s">
        <v>6</v>
      </c>
    </row>
    <row r="2389" spans="1:12" ht="15.75">
      <c r="A2389" s="23">
        <f t="shared" si="37"/>
        <v>2376</v>
      </c>
      <c r="B2389" s="21">
        <f ca="1">Master[[#This Row],[ChecklistID]]+Master[[#This Row],[Checklist Order]]</f>
        <v>212005</v>
      </c>
      <c r="C2389" s="22"/>
      <c r="D2389" s="23" t="str" cm="1">
        <f t="array" aca="1" ref="D2389" ca="1">_xlfn.SWITCH(MID(Master[[#This Row],[Checklist]],1,4),"C - ","Civil","F - ","Foundation","ST -","Structure","FC -","Façade","PRE ","Pre-Line","POST","Post-Line","H - ","Handover","S - ","Services","CST ","Completion Docs", "I - ", "Inspection")</f>
        <v>Inspection</v>
      </c>
      <c r="E238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89" s="24" t="str">
        <f ca="1">IF(OR(Master[[#This Row],[Type]]="checklist", Master[[#This Row],[Type]]="checklist-flat"), Master[[#This Row],[Name]], F2388)</f>
        <v>I - C - MV Compliance Documents</v>
      </c>
      <c r="G2389" t="s">
        <v>1739</v>
      </c>
      <c r="H2389" s="38" t="s">
        <v>1741</v>
      </c>
      <c r="I2389" s="39"/>
      <c r="J2389" s="21">
        <f ca="1">_xlfn.XLOOKUP(Master[[#This Row],[Checklist]],Ref!A:A,Ref!B:B)*1000</f>
        <v>212000</v>
      </c>
      <c r="K2389" s="21">
        <f ca="1">COUNTIF($J$2:Master[[#This Row],[ChecklistID]],Master[[#This Row],[ChecklistID]])-1</f>
        <v>5</v>
      </c>
      <c r="L2389" s="23" t="s">
        <v>6</v>
      </c>
    </row>
    <row r="2390" spans="1:12" ht="15.75">
      <c r="A2390" s="23">
        <f t="shared" si="37"/>
        <v>2377</v>
      </c>
      <c r="B2390" s="21">
        <f ca="1">Master[[#This Row],[ChecklistID]]+Master[[#This Row],[Checklist Order]]</f>
        <v>212006</v>
      </c>
      <c r="C2390" s="22"/>
      <c r="D2390" s="23" t="str" cm="1">
        <f t="array" aca="1" ref="D2390" ca="1">_xlfn.SWITCH(MID(Master[[#This Row],[Checklist]],1,4),"C - ","Civil","F - ","Foundation","ST -","Structure","FC -","Façade","PRE ","Pre-Line","POST","Post-Line","H - ","Handover","S - ","Services","CST ","Completion Docs", "I - ", "Inspection")</f>
        <v>Inspection</v>
      </c>
      <c r="E239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0" s="24" t="str">
        <f ca="1">IF(OR(Master[[#This Row],[Type]]="checklist", Master[[#This Row],[Type]]="checklist-flat"), Master[[#This Row],[Name]], F2389)</f>
        <v>I - C - MV Compliance Documents</v>
      </c>
      <c r="G2390" t="s">
        <v>49</v>
      </c>
      <c r="H2390" t="s">
        <v>1742</v>
      </c>
      <c r="I2390" s="40"/>
      <c r="J2390" s="21">
        <f ca="1">_xlfn.XLOOKUP(Master[[#This Row],[Checklist]],Ref!A:A,Ref!B:B)*1000</f>
        <v>212000</v>
      </c>
      <c r="K2390" s="21">
        <f ca="1">COUNTIF($J$2:Master[[#This Row],[ChecklistID]],Master[[#This Row],[ChecklistID]])-1</f>
        <v>6</v>
      </c>
      <c r="L2390" s="23" t="s">
        <v>6</v>
      </c>
    </row>
    <row r="2391" spans="1:12" ht="15.75">
      <c r="A2391" s="23">
        <f t="shared" si="37"/>
        <v>2378</v>
      </c>
      <c r="B2391" s="21">
        <f ca="1">Master[[#This Row],[ChecklistID]]+Master[[#This Row],[Checklist Order]]</f>
        <v>213000</v>
      </c>
      <c r="C2391" s="22"/>
      <c r="D2391" s="23" t="str" cm="1">
        <f t="array" aca="1" ref="D2391" ca="1">_xlfn.SWITCH(MID(Master[[#This Row],[Checklist]],1,4),"C - ","Civil","F - ","Foundation","ST -","Structure","FC -","Façade","PRE ","Pre-Line","POST","Post-Line","H - ","Handover","S - ","Services","CST ","Completion Docs", "I - ", "Inspection")</f>
        <v>Inspection</v>
      </c>
      <c r="E239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1" s="24" t="str">
        <f ca="1">IF(OR(Master[[#This Row],[Type]]="checklist", Master[[#This Row],[Type]]="checklist-flat"), Master[[#This Row],[Name]], F2390)</f>
        <v>I - C - MV Remedial Item Checklist</v>
      </c>
      <c r="G2391" s="3" t="s">
        <v>48</v>
      </c>
      <c r="H2391" s="24" t="s">
        <v>1743</v>
      </c>
      <c r="I2391" s="40"/>
      <c r="J2391" s="21">
        <f ca="1">_xlfn.XLOOKUP(Master[[#This Row],[Checklist]],Ref!A:A,Ref!B:B)*1000</f>
        <v>213000</v>
      </c>
      <c r="K2391" s="21">
        <f ca="1">COUNTIF($J$2:Master[[#This Row],[ChecklistID]],Master[[#This Row],[ChecklistID]])-1</f>
        <v>0</v>
      </c>
      <c r="L2391" s="23" t="s">
        <v>6</v>
      </c>
    </row>
    <row r="2392" spans="1:12" ht="15.75">
      <c r="A2392" s="23">
        <f t="shared" si="37"/>
        <v>2379</v>
      </c>
      <c r="B2392" s="21">
        <f ca="1">Master[[#This Row],[ChecklistID]]+Master[[#This Row],[Checklist Order]]</f>
        <v>213001</v>
      </c>
      <c r="C2392" s="22"/>
      <c r="D2392" s="23" t="str" cm="1">
        <f t="array" aca="1" ref="D2392" ca="1">_xlfn.SWITCH(MID(Master[[#This Row],[Checklist]],1,4),"C - ","Civil","F - ","Foundation","ST -","Structure","FC -","Façade","PRE ","Pre-Line","POST","Post-Line","H - ","Handover","S - ","Services","CST ","Completion Docs", "I - ", "Inspection")</f>
        <v>Inspection</v>
      </c>
      <c r="E239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2" s="24" t="str">
        <f ca="1">IF(OR(Master[[#This Row],[Type]]="checklist", Master[[#This Row],[Type]]="checklist-flat"), Master[[#This Row],[Name]], F2391)</f>
        <v>I - C - MV Remedial Item Checklist</v>
      </c>
      <c r="G2392" s="3" t="s">
        <v>49</v>
      </c>
      <c r="H2392" s="24" t="s">
        <v>1744</v>
      </c>
      <c r="I2392" s="40"/>
      <c r="J2392" s="21">
        <f ca="1">_xlfn.XLOOKUP(Master[[#This Row],[Checklist]],Ref!A:A,Ref!B:B)*1000</f>
        <v>213000</v>
      </c>
      <c r="K2392" s="21">
        <f ca="1">COUNTIF($J$2:Master[[#This Row],[ChecklistID]],Master[[#This Row],[ChecklistID]])-1</f>
        <v>1</v>
      </c>
      <c r="L2392" s="23" t="s">
        <v>6</v>
      </c>
    </row>
    <row r="2393" spans="1:12" ht="15.75">
      <c r="A2393" s="23">
        <f t="shared" si="37"/>
        <v>2380</v>
      </c>
      <c r="B2393" s="21">
        <f ca="1">Master[[#This Row],[ChecklistID]]+Master[[#This Row],[Checklist Order]]</f>
        <v>213002</v>
      </c>
      <c r="C2393" s="22"/>
      <c r="D2393" s="23" t="str" cm="1">
        <f t="array" aca="1" ref="D2393" ca="1">_xlfn.SWITCH(MID(Master[[#This Row],[Checklist]],1,4),"C - ","Civil","F - ","Foundation","ST -","Structure","FC -","Façade","PRE ","Pre-Line","POST","Post-Line","H - ","Handover","S - ","Services","CST ","Completion Docs", "I - ", "Inspection")</f>
        <v>Inspection</v>
      </c>
      <c r="E239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3" s="24" t="str">
        <f ca="1">IF(OR(Master[[#This Row],[Type]]="checklist", Master[[#This Row],[Type]]="checklist-flat"), Master[[#This Row],[Name]], F2392)</f>
        <v>I - C - MV Remedial Item Checklist</v>
      </c>
      <c r="G2393" s="3" t="s">
        <v>124</v>
      </c>
      <c r="H2393" s="24" t="s">
        <v>1745</v>
      </c>
      <c r="I2393" s="40"/>
      <c r="J2393" s="21">
        <f ca="1">_xlfn.XLOOKUP(Master[[#This Row],[Checklist]],Ref!A:A,Ref!B:B)*1000</f>
        <v>213000</v>
      </c>
      <c r="K2393" s="21">
        <f ca="1">COUNTIF($J$2:Master[[#This Row],[ChecklistID]],Master[[#This Row],[ChecklistID]])-1</f>
        <v>2</v>
      </c>
      <c r="L2393" s="23" t="s">
        <v>6</v>
      </c>
    </row>
    <row r="2394" spans="1:12" ht="15.75">
      <c r="A2394" s="23">
        <f t="shared" si="37"/>
        <v>2381</v>
      </c>
      <c r="B2394" s="21">
        <f ca="1">Master[[#This Row],[ChecklistID]]+Master[[#This Row],[Checklist Order]]</f>
        <v>213003</v>
      </c>
      <c r="C2394" s="22"/>
      <c r="D2394" s="23" t="str" cm="1">
        <f t="array" aca="1" ref="D2394" ca="1">_xlfn.SWITCH(MID(Master[[#This Row],[Checklist]],1,4),"C - ","Civil","F - ","Foundation","ST -","Structure","FC -","Façade","PRE ","Pre-Line","POST","Post-Line","H - ","Handover","S - ","Services","CST ","Completion Docs", "I - ", "Inspection")</f>
        <v>Inspection</v>
      </c>
      <c r="E239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4" s="24" t="str">
        <f ca="1">IF(OR(Master[[#This Row],[Type]]="checklist", Master[[#This Row],[Type]]="checklist-flat"), Master[[#This Row],[Name]], F2393)</f>
        <v>I - C - MV Remedial Item Checklist</v>
      </c>
      <c r="G2394" s="3" t="s">
        <v>124</v>
      </c>
      <c r="H2394" s="24" t="s">
        <v>1746</v>
      </c>
      <c r="I2394" s="40"/>
      <c r="J2394" s="21">
        <f ca="1">_xlfn.XLOOKUP(Master[[#This Row],[Checklist]],Ref!A:A,Ref!B:B)*1000</f>
        <v>213000</v>
      </c>
      <c r="K2394" s="21">
        <f ca="1">COUNTIF($J$2:Master[[#This Row],[ChecklistID]],Master[[#This Row],[ChecklistID]])-1</f>
        <v>3</v>
      </c>
      <c r="L2394" s="23" t="s">
        <v>6</v>
      </c>
    </row>
    <row r="2395" spans="1:12" ht="15.75">
      <c r="A2395" s="23">
        <f t="shared" si="37"/>
        <v>2382</v>
      </c>
      <c r="B2395" s="21">
        <f ca="1">Master[[#This Row],[ChecklistID]]+Master[[#This Row],[Checklist Order]]</f>
        <v>213004</v>
      </c>
      <c r="C2395" s="22"/>
      <c r="D2395" s="23" t="str" cm="1">
        <f t="array" aca="1" ref="D2395" ca="1">_xlfn.SWITCH(MID(Master[[#This Row],[Checklist]],1,4),"C - ","Civil","F - ","Foundation","ST -","Structure","FC -","Façade","PRE ","Pre-Line","POST","Post-Line","H - ","Handover","S - ","Services","CST ","Completion Docs", "I - ", "Inspection")</f>
        <v>Inspection</v>
      </c>
      <c r="E239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5" s="24" t="str">
        <f ca="1">IF(OR(Master[[#This Row],[Type]]="checklist", Master[[#This Row],[Type]]="checklist-flat"), Master[[#This Row],[Name]], F2394)</f>
        <v>I - C - MV Remedial Item Checklist</v>
      </c>
      <c r="G2395" s="3" t="s">
        <v>124</v>
      </c>
      <c r="H2395" s="24" t="s">
        <v>1747</v>
      </c>
      <c r="I2395" s="40"/>
      <c r="J2395" s="21">
        <f ca="1">_xlfn.XLOOKUP(Master[[#This Row],[Checklist]],Ref!A:A,Ref!B:B)*1000</f>
        <v>213000</v>
      </c>
      <c r="K2395" s="21">
        <f ca="1">COUNTIF($J$2:Master[[#This Row],[ChecklistID]],Master[[#This Row],[ChecklistID]])-1</f>
        <v>4</v>
      </c>
      <c r="L2395" s="23" t="s">
        <v>6</v>
      </c>
    </row>
    <row r="2396" spans="1:12" ht="15.75">
      <c r="A2396" s="23">
        <f t="shared" si="37"/>
        <v>2383</v>
      </c>
      <c r="B2396" s="21">
        <f ca="1">Master[[#This Row],[ChecklistID]]+Master[[#This Row],[Checklist Order]]</f>
        <v>213005</v>
      </c>
      <c r="C2396" s="22"/>
      <c r="D2396" s="23" t="str" cm="1">
        <f t="array" aca="1" ref="D2396" ca="1">_xlfn.SWITCH(MID(Master[[#This Row],[Checklist]],1,4),"C - ","Civil","F - ","Foundation","ST -","Structure","FC -","Façade","PRE ","Pre-Line","POST","Post-Line","H - ","Handover","S - ","Services","CST ","Completion Docs", "I - ", "Inspection")</f>
        <v>Inspection</v>
      </c>
      <c r="E239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6" s="24" t="str">
        <f ca="1">IF(OR(Master[[#This Row],[Type]]="checklist", Master[[#This Row],[Type]]="checklist-flat"), Master[[#This Row],[Name]], F2395)</f>
        <v>I - C - MV Remedial Item Checklist</v>
      </c>
      <c r="G2396" s="3" t="s">
        <v>58</v>
      </c>
      <c r="H2396" s="24" t="s">
        <v>1748</v>
      </c>
      <c r="I2396" s="40"/>
      <c r="J2396" s="21">
        <f ca="1">_xlfn.XLOOKUP(Master[[#This Row],[Checklist]],Ref!A:A,Ref!B:B)*1000</f>
        <v>213000</v>
      </c>
      <c r="K2396" s="21">
        <f ca="1">COUNTIF($J$2:Master[[#This Row],[ChecklistID]],Master[[#This Row],[ChecklistID]])-1</f>
        <v>5</v>
      </c>
      <c r="L2396" s="23" t="s">
        <v>6</v>
      </c>
    </row>
    <row r="2397" spans="1:12" ht="15.75">
      <c r="A2397" s="23">
        <f t="shared" si="37"/>
        <v>2384</v>
      </c>
      <c r="B2397" s="21">
        <f ca="1">Master[[#This Row],[ChecklistID]]+Master[[#This Row],[Checklist Order]]</f>
        <v>214000</v>
      </c>
      <c r="C2397" s="22"/>
      <c r="D2397" s="23" t="str" cm="1">
        <f t="array" aca="1" ref="D2397" ca="1">_xlfn.SWITCH(MID(Master[[#This Row],[Checklist]],1,4),"C - ","Civil","F - ","Foundation","ST -","Structure","FC -","Façade","PRE ","Pre-Line","POST","Post-Line","H - ","Handover","S - ","Services","CST ","Completion Docs", "I - ", "Inspection")</f>
        <v>Inspection</v>
      </c>
      <c r="E239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7" s="24" t="str">
        <f ca="1">IF(OR(Master[[#This Row],[Type]]="checklist", Master[[#This Row],[Type]]="checklist-flat"), Master[[#This Row],[Name]], F2396)</f>
        <v>I - C - T+T Consultant Site Visit Report</v>
      </c>
      <c r="G2397" s="3" t="s">
        <v>119</v>
      </c>
      <c r="H2397" s="24" t="s">
        <v>1749</v>
      </c>
      <c r="I2397" s="40"/>
      <c r="J2397" s="21">
        <f ca="1">_xlfn.XLOOKUP(Master[[#This Row],[Checklist]],Ref!A:A,Ref!B:B)*1000</f>
        <v>214000</v>
      </c>
      <c r="K2397" s="21">
        <f ca="1">COUNTIF($J$2:Master[[#This Row],[ChecklistID]],Master[[#This Row],[ChecklistID]])-1</f>
        <v>0</v>
      </c>
      <c r="L2397" s="23" t="s">
        <v>6</v>
      </c>
    </row>
    <row r="2398" spans="1:12" ht="15.75">
      <c r="A2398" s="23">
        <f t="shared" si="37"/>
        <v>2385</v>
      </c>
      <c r="B2398" s="21">
        <f ca="1">Master[[#This Row],[ChecklistID]]+Master[[#This Row],[Checklist Order]]</f>
        <v>214001</v>
      </c>
      <c r="C2398" s="22"/>
      <c r="D2398" s="23" t="str" cm="1">
        <f t="array" aca="1" ref="D2398" ca="1">_xlfn.SWITCH(MID(Master[[#This Row],[Checklist]],1,4),"C - ","Civil","F - ","Foundation","ST -","Structure","FC -","Façade","PRE ","Pre-Line","POST","Post-Line","H - ","Handover","S - ","Services","CST ","Completion Docs", "I - ", "Inspection")</f>
        <v>Inspection</v>
      </c>
      <c r="E239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8" s="24" t="str">
        <f ca="1">IF(OR(Master[[#This Row],[Type]]="checklist", Master[[#This Row],[Type]]="checklist-flat"), Master[[#This Row],[Name]], F2397)</f>
        <v>I - C - T+T Consultant Site Visit Report</v>
      </c>
      <c r="G2398" s="3" t="s">
        <v>120</v>
      </c>
      <c r="H2398" s="24" t="s">
        <v>1750</v>
      </c>
      <c r="I2398" s="40"/>
      <c r="J2398" s="21">
        <f ca="1">_xlfn.XLOOKUP(Master[[#This Row],[Checklist]],Ref!A:A,Ref!B:B)*1000</f>
        <v>214000</v>
      </c>
      <c r="K2398" s="21">
        <f ca="1">COUNTIF($J$2:Master[[#This Row],[ChecklistID]],Master[[#This Row],[ChecklistID]])-1</f>
        <v>1</v>
      </c>
      <c r="L2398" s="23" t="s">
        <v>6</v>
      </c>
    </row>
    <row r="2399" spans="1:12" ht="15.75">
      <c r="A2399" s="23">
        <f t="shared" si="37"/>
        <v>2386</v>
      </c>
      <c r="B2399" s="21">
        <f ca="1">Master[[#This Row],[ChecklistID]]+Master[[#This Row],[Checklist Order]]</f>
        <v>214002</v>
      </c>
      <c r="C2399" s="22"/>
      <c r="D2399" s="23" t="str" cm="1">
        <f t="array" aca="1" ref="D2399" ca="1">_xlfn.SWITCH(MID(Master[[#This Row],[Checklist]],1,4),"C - ","Civil","F - ","Foundation","ST -","Structure","FC -","Façade","PRE ","Pre-Line","POST","Post-Line","H - ","Handover","S - ","Services","CST ","Completion Docs", "I - ", "Inspection")</f>
        <v>Inspection</v>
      </c>
      <c r="E239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399" s="24" t="str">
        <f ca="1">IF(OR(Master[[#This Row],[Type]]="checklist", Master[[#This Row],[Type]]="checklist-flat"), Master[[#This Row],[Name]], F2398)</f>
        <v>I - C - T+T Consultant Site Visit Report</v>
      </c>
      <c r="G2399" s="3" t="s">
        <v>49</v>
      </c>
      <c r="H2399" s="24" t="s">
        <v>1751</v>
      </c>
      <c r="I2399" s="40"/>
      <c r="J2399" s="21">
        <f ca="1">_xlfn.XLOOKUP(Master[[#This Row],[Checklist]],Ref!A:A,Ref!B:B)*1000</f>
        <v>214000</v>
      </c>
      <c r="K2399" s="21">
        <f ca="1">COUNTIF($J$2:Master[[#This Row],[ChecklistID]],Master[[#This Row],[ChecklistID]])-1</f>
        <v>2</v>
      </c>
      <c r="L2399" s="23" t="s">
        <v>6</v>
      </c>
    </row>
    <row r="2400" spans="1:12" ht="15.75">
      <c r="A2400" s="23">
        <f t="shared" si="37"/>
        <v>2387</v>
      </c>
      <c r="B2400" s="21">
        <f ca="1">Master[[#This Row],[ChecklistID]]+Master[[#This Row],[Checklist Order]]</f>
        <v>214003</v>
      </c>
      <c r="C2400" s="22"/>
      <c r="D2400" s="23" t="str" cm="1">
        <f t="array" aca="1" ref="D2400" ca="1">_xlfn.SWITCH(MID(Master[[#This Row],[Checklist]],1,4),"C - ","Civil","F - ","Foundation","ST -","Structure","FC -","Façade","PRE ","Pre-Line","POST","Post-Line","H - ","Handover","S - ","Services","CST ","Completion Docs", "I - ", "Inspection")</f>
        <v>Inspection</v>
      </c>
      <c r="E240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0" s="24" t="str">
        <f ca="1">IF(OR(Master[[#This Row],[Type]]="checklist", Master[[#This Row],[Type]]="checklist-flat"), Master[[#This Row],[Name]], F2399)</f>
        <v>I - C - T+T Consultant Site Visit Report</v>
      </c>
      <c r="G2400" s="3" t="s">
        <v>124</v>
      </c>
      <c r="H2400" s="24" t="s">
        <v>1752</v>
      </c>
      <c r="I2400" s="40"/>
      <c r="J2400" s="21">
        <f ca="1">_xlfn.XLOOKUP(Master[[#This Row],[Checklist]],Ref!A:A,Ref!B:B)*1000</f>
        <v>214000</v>
      </c>
      <c r="K2400" s="21">
        <f ca="1">COUNTIF($J$2:Master[[#This Row],[ChecklistID]],Master[[#This Row],[ChecklistID]])-1</f>
        <v>3</v>
      </c>
      <c r="L2400" s="23" t="s">
        <v>6</v>
      </c>
    </row>
    <row r="2401" spans="1:12" ht="15.75">
      <c r="A2401" s="23">
        <f t="shared" si="37"/>
        <v>2388</v>
      </c>
      <c r="B2401" s="21">
        <f ca="1">Master[[#This Row],[ChecklistID]]+Master[[#This Row],[Checklist Order]]</f>
        <v>214004</v>
      </c>
      <c r="C2401" s="22"/>
      <c r="D2401" s="23" t="str" cm="1">
        <f t="array" aca="1" ref="D2401" ca="1">_xlfn.SWITCH(MID(Master[[#This Row],[Checklist]],1,4),"C - ","Civil","F - ","Foundation","ST -","Structure","FC -","Façade","PRE ","Pre-Line","POST","Post-Line","H - ","Handover","S - ","Services","CST ","Completion Docs", "I - ", "Inspection")</f>
        <v>Inspection</v>
      </c>
      <c r="E240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1" s="24" t="str">
        <f ca="1">IF(OR(Master[[#This Row],[Type]]="checklist", Master[[#This Row],[Type]]="checklist-flat"), Master[[#This Row],[Name]], F2400)</f>
        <v>I - C - T+T Consultant Site Visit Report</v>
      </c>
      <c r="G2401" s="3" t="s">
        <v>124</v>
      </c>
      <c r="H2401" s="24" t="s">
        <v>1753</v>
      </c>
      <c r="I2401" s="40"/>
      <c r="J2401" s="21">
        <f ca="1">_xlfn.XLOOKUP(Master[[#This Row],[Checklist]],Ref!A:A,Ref!B:B)*1000</f>
        <v>214000</v>
      </c>
      <c r="K2401" s="21">
        <f ca="1">COUNTIF($J$2:Master[[#This Row],[ChecklistID]],Master[[#This Row],[ChecklistID]])-1</f>
        <v>4</v>
      </c>
      <c r="L2401" s="23" t="s">
        <v>6</v>
      </c>
    </row>
    <row r="2402" spans="1:12" ht="15.75">
      <c r="A2402" s="23">
        <f t="shared" si="37"/>
        <v>2389</v>
      </c>
      <c r="B2402" s="21">
        <f ca="1">Master[[#This Row],[ChecklistID]]+Master[[#This Row],[Checklist Order]]</f>
        <v>214005</v>
      </c>
      <c r="C2402" s="22"/>
      <c r="D2402" s="23" t="str" cm="1">
        <f t="array" aca="1" ref="D2402" ca="1">_xlfn.SWITCH(MID(Master[[#This Row],[Checklist]],1,4),"C - ","Civil","F - ","Foundation","ST -","Structure","FC -","Façade","PRE ","Pre-Line","POST","Post-Line","H - ","Handover","S - ","Services","CST ","Completion Docs", "I - ", "Inspection")</f>
        <v>Inspection</v>
      </c>
      <c r="E240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2" s="24" t="str">
        <f ca="1">IF(OR(Master[[#This Row],[Type]]="checklist", Master[[#This Row],[Type]]="checklist-flat"), Master[[#This Row],[Name]], F2401)</f>
        <v>I - C - T+T Consultant Site Visit Report</v>
      </c>
      <c r="G2402" s="3" t="s">
        <v>124</v>
      </c>
      <c r="H2402" s="24" t="s">
        <v>793</v>
      </c>
      <c r="I2402" s="40"/>
      <c r="J2402" s="21">
        <f ca="1">_xlfn.XLOOKUP(Master[[#This Row],[Checklist]],Ref!A:A,Ref!B:B)*1000</f>
        <v>214000</v>
      </c>
      <c r="K2402" s="21">
        <f ca="1">COUNTIF($J$2:Master[[#This Row],[ChecklistID]],Master[[#This Row],[ChecklistID]])-1</f>
        <v>5</v>
      </c>
      <c r="L2402" s="23" t="s">
        <v>6</v>
      </c>
    </row>
    <row r="2403" spans="1:12" ht="15.75">
      <c r="A2403" s="23">
        <f t="shared" si="37"/>
        <v>2390</v>
      </c>
      <c r="B2403" s="21">
        <f ca="1">Master[[#This Row],[ChecklistID]]+Master[[#This Row],[Checklist Order]]</f>
        <v>214006</v>
      </c>
      <c r="C2403" s="22"/>
      <c r="D2403" s="23" t="str" cm="1">
        <f t="array" aca="1" ref="D2403" ca="1">_xlfn.SWITCH(MID(Master[[#This Row],[Checklist]],1,4),"C - ","Civil","F - ","Foundation","ST -","Structure","FC -","Façade","PRE ","Pre-Line","POST","Post-Line","H - ","Handover","S - ","Services","CST ","Completion Docs", "I - ", "Inspection")</f>
        <v>Inspection</v>
      </c>
      <c r="E240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3" s="24" t="str">
        <f ca="1">IF(OR(Master[[#This Row],[Type]]="checklist", Master[[#This Row],[Type]]="checklist-flat"), Master[[#This Row],[Name]], F2402)</f>
        <v>I - C - T+T Consultant Site Visit Report</v>
      </c>
      <c r="G2403" s="3" t="s">
        <v>124</v>
      </c>
      <c r="H2403" s="24" t="s">
        <v>1754</v>
      </c>
      <c r="I2403" s="40"/>
      <c r="J2403" s="21">
        <f ca="1">_xlfn.XLOOKUP(Master[[#This Row],[Checklist]],Ref!A:A,Ref!B:B)*1000</f>
        <v>214000</v>
      </c>
      <c r="K2403" s="21">
        <f ca="1">COUNTIF($J$2:Master[[#This Row],[ChecklistID]],Master[[#This Row],[ChecklistID]])-1</f>
        <v>6</v>
      </c>
      <c r="L2403" s="23" t="s">
        <v>6</v>
      </c>
    </row>
    <row r="2404" spans="1:12" ht="15.75">
      <c r="A2404" s="23">
        <f t="shared" si="37"/>
        <v>2391</v>
      </c>
      <c r="B2404" s="21">
        <f ca="1">Master[[#This Row],[ChecklistID]]+Master[[#This Row],[Checklist Order]]</f>
        <v>214007</v>
      </c>
      <c r="C2404" s="22"/>
      <c r="D2404" s="23" t="str" cm="1">
        <f t="array" aca="1" ref="D2404" ca="1">_xlfn.SWITCH(MID(Master[[#This Row],[Checklist]],1,4),"C - ","Civil","F - ","Foundation","ST -","Structure","FC -","Façade","PRE ","Pre-Line","POST","Post-Line","H - ","Handover","S - ","Services","CST ","Completion Docs", "I - ", "Inspection")</f>
        <v>Inspection</v>
      </c>
      <c r="E240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4" s="24" t="str">
        <f ca="1">IF(OR(Master[[#This Row],[Type]]="checklist", Master[[#This Row],[Type]]="checklist-flat"), Master[[#This Row],[Name]], F2403)</f>
        <v>I - C - T+T Consultant Site Visit Report</v>
      </c>
      <c r="G2404" s="3" t="s">
        <v>124</v>
      </c>
      <c r="H2404" s="24" t="s">
        <v>1755</v>
      </c>
      <c r="I2404" s="40"/>
      <c r="J2404" s="21">
        <f ca="1">_xlfn.XLOOKUP(Master[[#This Row],[Checklist]],Ref!A:A,Ref!B:B)*1000</f>
        <v>214000</v>
      </c>
      <c r="K2404" s="21">
        <f ca="1">COUNTIF($J$2:Master[[#This Row],[ChecklistID]],Master[[#This Row],[ChecklistID]])-1</f>
        <v>7</v>
      </c>
      <c r="L2404" s="23" t="s">
        <v>6</v>
      </c>
    </row>
    <row r="2405" spans="1:12" ht="15.75">
      <c r="A2405" s="23">
        <f t="shared" si="37"/>
        <v>2392</v>
      </c>
      <c r="B2405" s="21">
        <f ca="1">Master[[#This Row],[ChecklistID]]+Master[[#This Row],[Checklist Order]]</f>
        <v>214008</v>
      </c>
      <c r="C2405" s="22"/>
      <c r="D2405" s="23" t="str" cm="1">
        <f t="array" aca="1" ref="D2405" ca="1">_xlfn.SWITCH(MID(Master[[#This Row],[Checklist]],1,4),"C - ","Civil","F - ","Foundation","ST -","Structure","FC -","Façade","PRE ","Pre-Line","POST","Post-Line","H - ","Handover","S - ","Services","CST ","Completion Docs", "I - ", "Inspection")</f>
        <v>Inspection</v>
      </c>
      <c r="E240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5" s="24" t="str">
        <f ca="1">IF(OR(Master[[#This Row],[Type]]="checklist", Master[[#This Row],[Type]]="checklist-flat"), Master[[#This Row],[Name]], F2404)</f>
        <v>I - C - T+T Consultant Site Visit Report</v>
      </c>
      <c r="G2405" s="3" t="s">
        <v>124</v>
      </c>
      <c r="H2405" s="24" t="s">
        <v>1756</v>
      </c>
      <c r="I2405" s="40"/>
      <c r="J2405" s="21">
        <f ca="1">_xlfn.XLOOKUP(Master[[#This Row],[Checklist]],Ref!A:A,Ref!B:B)*1000</f>
        <v>214000</v>
      </c>
      <c r="K2405" s="21">
        <f ca="1">COUNTIF($J$2:Master[[#This Row],[ChecklistID]],Master[[#This Row],[ChecklistID]])-1</f>
        <v>8</v>
      </c>
      <c r="L2405" s="23" t="s">
        <v>6</v>
      </c>
    </row>
    <row r="2406" spans="1:12" ht="15.75">
      <c r="A2406" s="23">
        <f t="shared" si="37"/>
        <v>2393</v>
      </c>
      <c r="B2406" s="21">
        <f ca="1">Master[[#This Row],[ChecklistID]]+Master[[#This Row],[Checklist Order]]</f>
        <v>214009</v>
      </c>
      <c r="C2406" s="22"/>
      <c r="D2406" s="23" t="str" cm="1">
        <f t="array" aca="1" ref="D2406" ca="1">_xlfn.SWITCH(MID(Master[[#This Row],[Checklist]],1,4),"C - ","Civil","F - ","Foundation","ST -","Structure","FC -","Façade","PRE ","Pre-Line","POST","Post-Line","H - ","Handover","S - ","Services","CST ","Completion Docs", "I - ", "Inspection")</f>
        <v>Inspection</v>
      </c>
      <c r="E240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6" s="24" t="str">
        <f ca="1">IF(OR(Master[[#This Row],[Type]]="checklist", Master[[#This Row],[Type]]="checklist-flat"), Master[[#This Row],[Name]], F2405)</f>
        <v>I - C - T+T Consultant Site Visit Report</v>
      </c>
      <c r="G2406" s="3" t="s">
        <v>124</v>
      </c>
      <c r="H2406" s="24" t="s">
        <v>1757</v>
      </c>
      <c r="I2406" s="40"/>
      <c r="J2406" s="21">
        <f ca="1">_xlfn.XLOOKUP(Master[[#This Row],[Checklist]],Ref!A:A,Ref!B:B)*1000</f>
        <v>214000</v>
      </c>
      <c r="K2406" s="21">
        <f ca="1">COUNTIF($J$2:Master[[#This Row],[ChecklistID]],Master[[#This Row],[ChecklistID]])-1</f>
        <v>9</v>
      </c>
      <c r="L2406" s="23" t="s">
        <v>6</v>
      </c>
    </row>
    <row r="2407" spans="1:12" ht="15.75">
      <c r="A2407" s="23">
        <f t="shared" si="37"/>
        <v>2394</v>
      </c>
      <c r="B2407" s="21">
        <f ca="1">Master[[#This Row],[ChecklistID]]+Master[[#This Row],[Checklist Order]]</f>
        <v>214010</v>
      </c>
      <c r="C2407" s="22"/>
      <c r="D2407" s="23" t="str" cm="1">
        <f t="array" aca="1" ref="D2407" ca="1">_xlfn.SWITCH(MID(Master[[#This Row],[Checklist]],1,4),"C - ","Civil","F - ","Foundation","ST -","Structure","FC -","Façade","PRE ","Pre-Line","POST","Post-Line","H - ","Handover","S - ","Services","CST ","Completion Docs", "I - ", "Inspection")</f>
        <v>Inspection</v>
      </c>
      <c r="E240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7" s="24" t="str">
        <f ca="1">IF(OR(Master[[#This Row],[Type]]="checklist", Master[[#This Row],[Type]]="checklist-flat"), Master[[#This Row],[Name]], F2406)</f>
        <v>I - C - T+T Consultant Site Visit Report</v>
      </c>
      <c r="G2407" s="3" t="s">
        <v>124</v>
      </c>
      <c r="H2407" s="24" t="s">
        <v>1758</v>
      </c>
      <c r="I2407" s="40"/>
      <c r="J2407" s="21">
        <f ca="1">_xlfn.XLOOKUP(Master[[#This Row],[Checklist]],Ref!A:A,Ref!B:B)*1000</f>
        <v>214000</v>
      </c>
      <c r="K2407" s="21">
        <f ca="1">COUNTIF($J$2:Master[[#This Row],[ChecklistID]],Master[[#This Row],[ChecklistID]])-1</f>
        <v>10</v>
      </c>
      <c r="L2407" s="23" t="s">
        <v>6</v>
      </c>
    </row>
    <row r="2408" spans="1:12" ht="15.75">
      <c r="A2408" s="23">
        <f t="shared" si="37"/>
        <v>2395</v>
      </c>
      <c r="B2408" s="21">
        <f ca="1">Master[[#This Row],[ChecklistID]]+Master[[#This Row],[Checklist Order]]</f>
        <v>214011</v>
      </c>
      <c r="C2408" s="22"/>
      <c r="D2408" s="23" t="str" cm="1">
        <f t="array" aca="1" ref="D2408" ca="1">_xlfn.SWITCH(MID(Master[[#This Row],[Checklist]],1,4),"C - ","Civil","F - ","Foundation","ST -","Structure","FC -","Façade","PRE ","Pre-Line","POST","Post-Line","H - ","Handover","S - ","Services","CST ","Completion Docs", "I - ", "Inspection")</f>
        <v>Inspection</v>
      </c>
      <c r="E240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8" s="24" t="str">
        <f ca="1">IF(OR(Master[[#This Row],[Type]]="checklist", Master[[#This Row],[Type]]="checklist-flat"), Master[[#This Row],[Name]], F2407)</f>
        <v>I - C - T+T Consultant Site Visit Report</v>
      </c>
      <c r="G2408" s="3" t="s">
        <v>49</v>
      </c>
      <c r="H2408" s="24" t="s">
        <v>1759</v>
      </c>
      <c r="I2408" s="40"/>
      <c r="J2408" s="21">
        <f ca="1">_xlfn.XLOOKUP(Master[[#This Row],[Checklist]],Ref!A:A,Ref!B:B)*1000</f>
        <v>214000</v>
      </c>
      <c r="K2408" s="21">
        <f ca="1">COUNTIF($J$2:Master[[#This Row],[ChecklistID]],Master[[#This Row],[ChecklistID]])-1</f>
        <v>11</v>
      </c>
      <c r="L2408" s="23" t="s">
        <v>6</v>
      </c>
    </row>
    <row r="2409" spans="1:12" ht="15.75">
      <c r="A2409" s="23">
        <f t="shared" si="37"/>
        <v>2396</v>
      </c>
      <c r="B2409" s="21">
        <f ca="1">Master[[#This Row],[ChecklistID]]+Master[[#This Row],[Checklist Order]]</f>
        <v>214012</v>
      </c>
      <c r="C2409" s="22"/>
      <c r="D2409" s="23" t="str" cm="1">
        <f t="array" aca="1" ref="D2409" ca="1">_xlfn.SWITCH(MID(Master[[#This Row],[Checklist]],1,4),"C - ","Civil","F - ","Foundation","ST -","Structure","FC -","Façade","PRE ","Pre-Line","POST","Post-Line","H - ","Handover","S - ","Services","CST ","Completion Docs", "I - ", "Inspection")</f>
        <v>Inspection</v>
      </c>
      <c r="E240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09" s="24" t="str">
        <f ca="1">IF(OR(Master[[#This Row],[Type]]="checklist", Master[[#This Row],[Type]]="checklist-flat"), Master[[#This Row],[Name]], F2408)</f>
        <v>I - C - T+T Consultant Site Visit Report</v>
      </c>
      <c r="G2409" s="3" t="s">
        <v>120</v>
      </c>
      <c r="H2409" s="24" t="s">
        <v>1760</v>
      </c>
      <c r="I2409" s="40"/>
      <c r="J2409" s="21">
        <f ca="1">_xlfn.XLOOKUP(Master[[#This Row],[Checklist]],Ref!A:A,Ref!B:B)*1000</f>
        <v>214000</v>
      </c>
      <c r="K2409" s="21">
        <f ca="1">COUNTIF($J$2:Master[[#This Row],[ChecklistID]],Master[[#This Row],[ChecklistID]])-1</f>
        <v>12</v>
      </c>
      <c r="L2409" s="23" t="s">
        <v>6</v>
      </c>
    </row>
    <row r="2410" spans="1:12" ht="15.75">
      <c r="A2410" s="23">
        <f t="shared" si="37"/>
        <v>2397</v>
      </c>
      <c r="B2410" s="21">
        <f ca="1">Master[[#This Row],[ChecklistID]]+Master[[#This Row],[Checklist Order]]</f>
        <v>214013</v>
      </c>
      <c r="C2410" s="22"/>
      <c r="D2410" s="23" t="str" cm="1">
        <f t="array" aca="1" ref="D2410" ca="1">_xlfn.SWITCH(MID(Master[[#This Row],[Checklist]],1,4),"C - ","Civil","F - ","Foundation","ST -","Structure","FC -","Façade","PRE ","Pre-Line","POST","Post-Line","H - ","Handover","S - ","Services","CST ","Completion Docs", "I - ", "Inspection")</f>
        <v>Inspection</v>
      </c>
      <c r="E241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0" s="24" t="str">
        <f ca="1">IF(OR(Master[[#This Row],[Type]]="checklist", Master[[#This Row],[Type]]="checklist-flat"), Master[[#This Row],[Name]], F2409)</f>
        <v>I - C - T+T Consultant Site Visit Report</v>
      </c>
      <c r="G2410" s="3" t="s">
        <v>49</v>
      </c>
      <c r="H2410" s="24" t="s">
        <v>1761</v>
      </c>
      <c r="I2410" s="40"/>
      <c r="J2410" s="21">
        <f ca="1">_xlfn.XLOOKUP(Master[[#This Row],[Checklist]],Ref!A:A,Ref!B:B)*1000</f>
        <v>214000</v>
      </c>
      <c r="K2410" s="21">
        <f ca="1">COUNTIF($J$2:Master[[#This Row],[ChecklistID]],Master[[#This Row],[ChecklistID]])-1</f>
        <v>13</v>
      </c>
      <c r="L2410" s="23" t="s">
        <v>6</v>
      </c>
    </row>
    <row r="2411" spans="1:12" ht="15.75">
      <c r="A2411" s="23">
        <f t="shared" si="37"/>
        <v>2398</v>
      </c>
      <c r="B2411" s="21">
        <f ca="1">Master[[#This Row],[ChecklistID]]+Master[[#This Row],[Checklist Order]]</f>
        <v>214014</v>
      </c>
      <c r="C2411" s="22"/>
      <c r="D2411" s="23" t="str" cm="1">
        <f t="array" aca="1" ref="D2411" ca="1">_xlfn.SWITCH(MID(Master[[#This Row],[Checklist]],1,4),"C - ","Civil","F - ","Foundation","ST -","Structure","FC -","Façade","PRE ","Pre-Line","POST","Post-Line","H - ","Handover","S - ","Services","CST ","Completion Docs", "I - ", "Inspection")</f>
        <v>Inspection</v>
      </c>
      <c r="E241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1" s="24" t="str">
        <f ca="1">IF(OR(Master[[#This Row],[Type]]="checklist", Master[[#This Row],[Type]]="checklist-flat"), Master[[#This Row],[Name]], F2410)</f>
        <v>I - C - T+T Consultant Site Visit Report</v>
      </c>
      <c r="G2411" s="3" t="s">
        <v>1739</v>
      </c>
      <c r="H2411" s="24" t="s">
        <v>1762</v>
      </c>
      <c r="I2411" s="40"/>
      <c r="J2411" s="21">
        <f ca="1">_xlfn.XLOOKUP(Master[[#This Row],[Checklist]],Ref!A:A,Ref!B:B)*1000</f>
        <v>214000</v>
      </c>
      <c r="K2411" s="21">
        <f ca="1">COUNTIF($J$2:Master[[#This Row],[ChecklistID]],Master[[#This Row],[ChecklistID]])-1</f>
        <v>14</v>
      </c>
      <c r="L2411" s="23" t="s">
        <v>6</v>
      </c>
    </row>
    <row r="2412" spans="1:12" ht="15.75">
      <c r="A2412" s="23">
        <f t="shared" si="37"/>
        <v>2399</v>
      </c>
      <c r="B2412" s="21">
        <f ca="1">Master[[#This Row],[ChecklistID]]+Master[[#This Row],[Checklist Order]]</f>
        <v>214015</v>
      </c>
      <c r="C2412" s="22"/>
      <c r="D2412" s="23" t="str" cm="1">
        <f t="array" aca="1" ref="D2412" ca="1">_xlfn.SWITCH(MID(Master[[#This Row],[Checklist]],1,4),"C - ","Civil","F - ","Foundation","ST -","Structure","FC -","Façade","PRE ","Pre-Line","POST","Post-Line","H - ","Handover","S - ","Services","CST ","Completion Docs", "I - ", "Inspection")</f>
        <v>Inspection</v>
      </c>
      <c r="E241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2" s="24" t="str">
        <f ca="1">IF(OR(Master[[#This Row],[Type]]="checklist", Master[[#This Row],[Type]]="checklist-flat"), Master[[#This Row],[Name]], F2411)</f>
        <v>I - C - T+T Consultant Site Visit Report</v>
      </c>
      <c r="G2412" s="3" t="s">
        <v>1739</v>
      </c>
      <c r="H2412" s="24" t="s">
        <v>1763</v>
      </c>
      <c r="I2412" s="40"/>
      <c r="J2412" s="21">
        <f ca="1">_xlfn.XLOOKUP(Master[[#This Row],[Checklist]],Ref!A:A,Ref!B:B)*1000</f>
        <v>214000</v>
      </c>
      <c r="K2412" s="21">
        <f ca="1">COUNTIF($J$2:Master[[#This Row],[ChecklistID]],Master[[#This Row],[ChecklistID]])-1</f>
        <v>15</v>
      </c>
      <c r="L2412" s="23" t="s">
        <v>6</v>
      </c>
    </row>
    <row r="2413" spans="1:12" ht="15.75">
      <c r="A2413" s="23">
        <f t="shared" si="37"/>
        <v>2400</v>
      </c>
      <c r="B2413" s="21">
        <f ca="1">Master[[#This Row],[ChecklistID]]+Master[[#This Row],[Checklist Order]]</f>
        <v>214016</v>
      </c>
      <c r="C2413" s="22"/>
      <c r="D2413" s="23" t="str" cm="1">
        <f t="array" aca="1" ref="D2413" ca="1">_xlfn.SWITCH(MID(Master[[#This Row],[Checklist]],1,4),"C - ","Civil","F - ","Foundation","ST -","Structure","FC -","Façade","PRE ","Pre-Line","POST","Post-Line","H - ","Handover","S - ","Services","CST ","Completion Docs", "I - ", "Inspection")</f>
        <v>Inspection</v>
      </c>
      <c r="E241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3" s="24" t="str">
        <f ca="1">IF(OR(Master[[#This Row],[Type]]="checklist", Master[[#This Row],[Type]]="checklist-flat"), Master[[#This Row],[Name]], F2412)</f>
        <v>I - C - T+T Consultant Site Visit Report</v>
      </c>
      <c r="G2413" s="3" t="s">
        <v>1739</v>
      </c>
      <c r="H2413" s="24" t="s">
        <v>1764</v>
      </c>
      <c r="I2413" s="40"/>
      <c r="J2413" s="21">
        <f ca="1">_xlfn.XLOOKUP(Master[[#This Row],[Checklist]],Ref!A:A,Ref!B:B)*1000</f>
        <v>214000</v>
      </c>
      <c r="K2413" s="21">
        <f ca="1">COUNTIF($J$2:Master[[#This Row],[ChecklistID]],Master[[#This Row],[ChecklistID]])-1</f>
        <v>16</v>
      </c>
      <c r="L2413" s="23" t="s">
        <v>6</v>
      </c>
    </row>
    <row r="2414" spans="1:12" ht="15.75">
      <c r="A2414" s="23">
        <f t="shared" si="37"/>
        <v>2401</v>
      </c>
      <c r="B2414" s="21">
        <f ca="1">Master[[#This Row],[ChecklistID]]+Master[[#This Row],[Checklist Order]]</f>
        <v>214017</v>
      </c>
      <c r="C2414" s="22"/>
      <c r="D2414" s="23" t="str" cm="1">
        <f t="array" aca="1" ref="D2414" ca="1">_xlfn.SWITCH(MID(Master[[#This Row],[Checklist]],1,4),"C - ","Civil","F - ","Foundation","ST -","Structure","FC -","Façade","PRE ","Pre-Line","POST","Post-Line","H - ","Handover","S - ","Services","CST ","Completion Docs", "I - ", "Inspection")</f>
        <v>Inspection</v>
      </c>
      <c r="E241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4" s="24" t="str">
        <f ca="1">IF(OR(Master[[#This Row],[Type]]="checklist", Master[[#This Row],[Type]]="checklist-flat"), Master[[#This Row],[Name]], F2413)</f>
        <v>I - C - T+T Consultant Site Visit Report</v>
      </c>
      <c r="G2414" s="3" t="s">
        <v>124</v>
      </c>
      <c r="H2414" s="24" t="s">
        <v>1765</v>
      </c>
      <c r="I2414" s="40"/>
      <c r="J2414" s="21">
        <f ca="1">_xlfn.XLOOKUP(Master[[#This Row],[Checklist]],Ref!A:A,Ref!B:B)*1000</f>
        <v>214000</v>
      </c>
      <c r="K2414" s="21">
        <f ca="1">COUNTIF($J$2:Master[[#This Row],[ChecklistID]],Master[[#This Row],[ChecklistID]])-1</f>
        <v>17</v>
      </c>
      <c r="L2414" s="23" t="s">
        <v>6</v>
      </c>
    </row>
    <row r="2415" spans="1:12" ht="15.75">
      <c r="A2415" s="23">
        <f t="shared" si="37"/>
        <v>2402</v>
      </c>
      <c r="B2415" s="21">
        <f ca="1">Master[[#This Row],[ChecklistID]]+Master[[#This Row],[Checklist Order]]</f>
        <v>214018</v>
      </c>
      <c r="C2415" s="22"/>
      <c r="D2415" s="23" t="str" cm="1">
        <f t="array" aca="1" ref="D2415" ca="1">_xlfn.SWITCH(MID(Master[[#This Row],[Checklist]],1,4),"C - ","Civil","F - ","Foundation","ST -","Structure","FC -","Façade","PRE ","Pre-Line","POST","Post-Line","H - ","Handover","S - ","Services","CST ","Completion Docs", "I - ", "Inspection")</f>
        <v>Inspection</v>
      </c>
      <c r="E241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5" s="24" t="str">
        <f ca="1">IF(OR(Master[[#This Row],[Type]]="checklist", Master[[#This Row],[Type]]="checklist-flat"), Master[[#This Row],[Name]], F2414)</f>
        <v>I - C - T+T Consultant Site Visit Report</v>
      </c>
      <c r="G2415" s="3" t="s">
        <v>124</v>
      </c>
      <c r="H2415" s="24" t="s">
        <v>1766</v>
      </c>
      <c r="I2415" s="40"/>
      <c r="J2415" s="21">
        <f ca="1">_xlfn.XLOOKUP(Master[[#This Row],[Checklist]],Ref!A:A,Ref!B:B)*1000</f>
        <v>214000</v>
      </c>
      <c r="K2415" s="21">
        <f ca="1">COUNTIF($J$2:Master[[#This Row],[ChecklistID]],Master[[#This Row],[ChecklistID]])-1</f>
        <v>18</v>
      </c>
      <c r="L2415" s="23" t="s">
        <v>6</v>
      </c>
    </row>
    <row r="2416" spans="1:12" ht="15.75">
      <c r="A2416" s="23">
        <f t="shared" si="37"/>
        <v>2403</v>
      </c>
      <c r="B2416" s="21">
        <f ca="1">Master[[#This Row],[ChecklistID]]+Master[[#This Row],[Checklist Order]]</f>
        <v>214019</v>
      </c>
      <c r="C2416" s="22"/>
      <c r="D2416" s="23" t="str" cm="1">
        <f t="array" aca="1" ref="D2416" ca="1">_xlfn.SWITCH(MID(Master[[#This Row],[Checklist]],1,4),"C - ","Civil","F - ","Foundation","ST -","Structure","FC -","Façade","PRE ","Pre-Line","POST","Post-Line","H - ","Handover","S - ","Services","CST ","Completion Docs", "I - ", "Inspection")</f>
        <v>Inspection</v>
      </c>
      <c r="E241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6" s="24" t="str">
        <f ca="1">IF(OR(Master[[#This Row],[Type]]="checklist", Master[[#This Row],[Type]]="checklist-flat"), Master[[#This Row],[Name]], F2415)</f>
        <v>I - C - T+T Consultant Site Visit Report</v>
      </c>
      <c r="G2416" s="3" t="s">
        <v>124</v>
      </c>
      <c r="H2416" s="24" t="s">
        <v>1767</v>
      </c>
      <c r="I2416" s="40"/>
      <c r="J2416" s="21">
        <f ca="1">_xlfn.XLOOKUP(Master[[#This Row],[Checklist]],Ref!A:A,Ref!B:B)*1000</f>
        <v>214000</v>
      </c>
      <c r="K2416" s="21">
        <f ca="1">COUNTIF($J$2:Master[[#This Row],[ChecklistID]],Master[[#This Row],[ChecklistID]])-1</f>
        <v>19</v>
      </c>
      <c r="L2416" s="23" t="s">
        <v>6</v>
      </c>
    </row>
    <row r="2417" spans="1:12" ht="15.75">
      <c r="A2417" s="23">
        <f t="shared" si="37"/>
        <v>2404</v>
      </c>
      <c r="B2417" s="21">
        <f ca="1">Master[[#This Row],[ChecklistID]]+Master[[#This Row],[Checklist Order]]</f>
        <v>214020</v>
      </c>
      <c r="C2417" s="22"/>
      <c r="D2417" s="23" t="str" cm="1">
        <f t="array" aca="1" ref="D2417" ca="1">_xlfn.SWITCH(MID(Master[[#This Row],[Checklist]],1,4),"C - ","Civil","F - ","Foundation","ST -","Structure","FC -","Façade","PRE ","Pre-Line","POST","Post-Line","H - ","Handover","S - ","Services","CST ","Completion Docs", "I - ", "Inspection")</f>
        <v>Inspection</v>
      </c>
      <c r="E241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7" s="24" t="str">
        <f ca="1">IF(OR(Master[[#This Row],[Type]]="checklist", Master[[#This Row],[Type]]="checklist-flat"), Master[[#This Row],[Name]], F2416)</f>
        <v>I - C - T+T Consultant Site Visit Report</v>
      </c>
      <c r="G2417" s="3" t="s">
        <v>120</v>
      </c>
      <c r="H2417" s="24" t="s">
        <v>1768</v>
      </c>
      <c r="I2417" s="40"/>
      <c r="J2417" s="21">
        <f ca="1">_xlfn.XLOOKUP(Master[[#This Row],[Checklist]],Ref!A:A,Ref!B:B)*1000</f>
        <v>214000</v>
      </c>
      <c r="K2417" s="21">
        <f ca="1">COUNTIF($J$2:Master[[#This Row],[ChecklistID]],Master[[#This Row],[ChecklistID]])-1</f>
        <v>20</v>
      </c>
      <c r="L2417" s="23" t="s">
        <v>6</v>
      </c>
    </row>
    <row r="2418" spans="1:12" ht="15.75">
      <c r="A2418" s="23">
        <f t="shared" si="37"/>
        <v>2405</v>
      </c>
      <c r="B2418" s="21">
        <f ca="1">Master[[#This Row],[ChecklistID]]+Master[[#This Row],[Checklist Order]]</f>
        <v>214021</v>
      </c>
      <c r="C2418" s="22"/>
      <c r="D2418" s="23" t="str" cm="1">
        <f t="array" aca="1" ref="D2418" ca="1">_xlfn.SWITCH(MID(Master[[#This Row],[Checklist]],1,4),"C - ","Civil","F - ","Foundation","ST -","Structure","FC -","Façade","PRE ","Pre-Line","POST","Post-Line","H - ","Handover","S - ","Services","CST ","Completion Docs", "I - ", "Inspection")</f>
        <v>Inspection</v>
      </c>
      <c r="E241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8" s="24" t="str">
        <f ca="1">IF(OR(Master[[#This Row],[Type]]="checklist", Master[[#This Row],[Type]]="checklist-flat"), Master[[#This Row],[Name]], F2417)</f>
        <v>I - C - T+T Consultant Site Visit Report</v>
      </c>
      <c r="G2418" s="3" t="s">
        <v>49</v>
      </c>
      <c r="H2418" s="24" t="s">
        <v>1769</v>
      </c>
      <c r="I2418" s="40"/>
      <c r="J2418" s="21">
        <f ca="1">_xlfn.XLOOKUP(Master[[#This Row],[Checklist]],Ref!A:A,Ref!B:B)*1000</f>
        <v>214000</v>
      </c>
      <c r="K2418" s="21">
        <f ca="1">COUNTIF($J$2:Master[[#This Row],[ChecklistID]],Master[[#This Row],[ChecklistID]])-1</f>
        <v>21</v>
      </c>
      <c r="L2418" s="23" t="s">
        <v>6</v>
      </c>
    </row>
    <row r="2419" spans="1:12" ht="15.75">
      <c r="A2419" s="23">
        <f t="shared" si="37"/>
        <v>2406</v>
      </c>
      <c r="B2419" s="21">
        <f ca="1">Master[[#This Row],[ChecklistID]]+Master[[#This Row],[Checklist Order]]</f>
        <v>214022</v>
      </c>
      <c r="C2419" s="22"/>
      <c r="D2419" s="23" t="str" cm="1">
        <f t="array" aca="1" ref="D2419" ca="1">_xlfn.SWITCH(MID(Master[[#This Row],[Checklist]],1,4),"C - ","Civil","F - ","Foundation","ST -","Structure","FC -","Façade","PRE ","Pre-Line","POST","Post-Line","H - ","Handover","S - ","Services","CST ","Completion Docs", "I - ", "Inspection")</f>
        <v>Inspection</v>
      </c>
      <c r="E241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19" s="24" t="str">
        <f ca="1">IF(OR(Master[[#This Row],[Type]]="checklist", Master[[#This Row],[Type]]="checklist-flat"), Master[[#This Row],[Name]], F2418)</f>
        <v>I - C - T+T Consultant Site Visit Report</v>
      </c>
      <c r="G2419" s="3" t="s">
        <v>124</v>
      </c>
      <c r="H2419" s="24" t="s">
        <v>1770</v>
      </c>
      <c r="I2419" s="40"/>
      <c r="J2419" s="21">
        <f ca="1">_xlfn.XLOOKUP(Master[[#This Row],[Checklist]],Ref!A:A,Ref!B:B)*1000</f>
        <v>214000</v>
      </c>
      <c r="K2419" s="21">
        <f ca="1">COUNTIF($J$2:Master[[#This Row],[ChecklistID]],Master[[#This Row],[ChecklistID]])-1</f>
        <v>22</v>
      </c>
      <c r="L2419" s="23" t="s">
        <v>6</v>
      </c>
    </row>
    <row r="2420" spans="1:12" ht="15.75">
      <c r="A2420" s="23">
        <f t="shared" ref="A2420:A2483" si="38">IFERROR(A2419+1,1)</f>
        <v>2407</v>
      </c>
      <c r="B2420" s="21">
        <f ca="1">Master[[#This Row],[ChecklistID]]+Master[[#This Row],[Checklist Order]]</f>
        <v>214023</v>
      </c>
      <c r="C2420" s="22"/>
      <c r="D2420" s="23" t="str" cm="1">
        <f t="array" aca="1" ref="D2420" ca="1">_xlfn.SWITCH(MID(Master[[#This Row],[Checklist]],1,4),"C - ","Civil","F - ","Foundation","ST -","Structure","FC -","Façade","PRE ","Pre-Line","POST","Post-Line","H - ","Handover","S - ","Services","CST ","Completion Docs", "I - ", "Inspection")</f>
        <v>Inspection</v>
      </c>
      <c r="E242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0" s="24" t="str">
        <f ca="1">IF(OR(Master[[#This Row],[Type]]="checklist", Master[[#This Row],[Type]]="checklist-flat"), Master[[#This Row],[Name]], F2419)</f>
        <v>I - C - T+T Consultant Site Visit Report</v>
      </c>
      <c r="G2420" s="3" t="s">
        <v>131</v>
      </c>
      <c r="H2420" s="24" t="s">
        <v>1771</v>
      </c>
      <c r="I2420" s="40" t="s">
        <v>1772</v>
      </c>
      <c r="J2420" s="21">
        <f ca="1">_xlfn.XLOOKUP(Master[[#This Row],[Checklist]],Ref!A:A,Ref!B:B)*1000</f>
        <v>214000</v>
      </c>
      <c r="K2420" s="21">
        <f ca="1">COUNTIF($J$2:Master[[#This Row],[ChecklistID]],Master[[#This Row],[ChecklistID]])-1</f>
        <v>23</v>
      </c>
      <c r="L2420" s="23" t="s">
        <v>6</v>
      </c>
    </row>
    <row r="2421" spans="1:12" ht="15.75">
      <c r="A2421" s="23">
        <f t="shared" si="38"/>
        <v>2408</v>
      </c>
      <c r="B2421" s="21">
        <f ca="1">Master[[#This Row],[ChecklistID]]+Master[[#This Row],[Checklist Order]]</f>
        <v>214024</v>
      </c>
      <c r="C2421" s="22"/>
      <c r="D2421" s="23" t="str" cm="1">
        <f t="array" aca="1" ref="D2421" ca="1">_xlfn.SWITCH(MID(Master[[#This Row],[Checklist]],1,4),"C - ","Civil","F - ","Foundation","ST -","Structure","FC -","Façade","PRE ","Pre-Line","POST","Post-Line","H - ","Handover","S - ","Services","CST ","Completion Docs", "I - ", "Inspection")</f>
        <v>Inspection</v>
      </c>
      <c r="E242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1" s="24" t="str">
        <f ca="1">IF(OR(Master[[#This Row],[Type]]="checklist", Master[[#This Row],[Type]]="checklist-flat"), Master[[#This Row],[Name]], F2420)</f>
        <v>I - C - T+T Consultant Site Visit Report</v>
      </c>
      <c r="G2421" s="3" t="s">
        <v>124</v>
      </c>
      <c r="H2421" s="24" t="s">
        <v>1773</v>
      </c>
      <c r="I2421" s="40"/>
      <c r="J2421" s="21">
        <f ca="1">_xlfn.XLOOKUP(Master[[#This Row],[Checklist]],Ref!A:A,Ref!B:B)*1000</f>
        <v>214000</v>
      </c>
      <c r="K2421" s="21">
        <f ca="1">COUNTIF($J$2:Master[[#This Row],[ChecklistID]],Master[[#This Row],[ChecklistID]])-1</f>
        <v>24</v>
      </c>
      <c r="L2421" s="23" t="s">
        <v>6</v>
      </c>
    </row>
    <row r="2422" spans="1:12" ht="15.75">
      <c r="A2422" s="23">
        <f t="shared" si="38"/>
        <v>2409</v>
      </c>
      <c r="B2422" s="21">
        <f ca="1">Master[[#This Row],[ChecklistID]]+Master[[#This Row],[Checklist Order]]</f>
        <v>214025</v>
      </c>
      <c r="C2422" s="22"/>
      <c r="D2422" s="23" t="str" cm="1">
        <f t="array" aca="1" ref="D2422" ca="1">_xlfn.SWITCH(MID(Master[[#This Row],[Checklist]],1,4),"C - ","Civil","F - ","Foundation","ST -","Structure","FC -","Façade","PRE ","Pre-Line","POST","Post-Line","H - ","Handover","S - ","Services","CST ","Completion Docs", "I - ", "Inspection")</f>
        <v>Inspection</v>
      </c>
      <c r="E242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2" s="24" t="str">
        <f ca="1">IF(OR(Master[[#This Row],[Type]]="checklist", Master[[#This Row],[Type]]="checklist-flat"), Master[[#This Row],[Name]], F2421)</f>
        <v>I - C - T+T Consultant Site Visit Report</v>
      </c>
      <c r="G2422" s="3" t="s">
        <v>124</v>
      </c>
      <c r="H2422" s="24" t="s">
        <v>1774</v>
      </c>
      <c r="I2422" s="40"/>
      <c r="J2422" s="21">
        <f ca="1">_xlfn.XLOOKUP(Master[[#This Row],[Checklist]],Ref!A:A,Ref!B:B)*1000</f>
        <v>214000</v>
      </c>
      <c r="K2422" s="21">
        <f ca="1">COUNTIF($J$2:Master[[#This Row],[ChecklistID]],Master[[#This Row],[ChecklistID]])-1</f>
        <v>25</v>
      </c>
      <c r="L2422" s="23" t="s">
        <v>6</v>
      </c>
    </row>
    <row r="2423" spans="1:12" ht="15.75">
      <c r="A2423" s="23">
        <f t="shared" si="38"/>
        <v>2410</v>
      </c>
      <c r="B2423" s="21">
        <f ca="1">Master[[#This Row],[ChecklistID]]+Master[[#This Row],[Checklist Order]]</f>
        <v>214026</v>
      </c>
      <c r="C2423" s="22"/>
      <c r="D2423" s="23" t="str" cm="1">
        <f t="array" aca="1" ref="D2423" ca="1">_xlfn.SWITCH(MID(Master[[#This Row],[Checklist]],1,4),"C - ","Civil","F - ","Foundation","ST -","Structure","FC -","Façade","PRE ","Pre-Line","POST","Post-Line","H - ","Handover","S - ","Services","CST ","Completion Docs", "I - ", "Inspection")</f>
        <v>Inspection</v>
      </c>
      <c r="E242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3" s="24" t="str">
        <f ca="1">IF(OR(Master[[#This Row],[Type]]="checklist", Master[[#This Row],[Type]]="checklist-flat"), Master[[#This Row],[Name]], F2422)</f>
        <v>I - C - T+T Consultant Site Visit Report</v>
      </c>
      <c r="G2423" s="3" t="s">
        <v>49</v>
      </c>
      <c r="H2423" s="24" t="s">
        <v>1775</v>
      </c>
      <c r="I2423" s="40"/>
      <c r="J2423" s="21">
        <f ca="1">_xlfn.XLOOKUP(Master[[#This Row],[Checklist]],Ref!A:A,Ref!B:B)*1000</f>
        <v>214000</v>
      </c>
      <c r="K2423" s="21">
        <f ca="1">COUNTIF($J$2:Master[[#This Row],[ChecklistID]],Master[[#This Row],[ChecklistID]])-1</f>
        <v>26</v>
      </c>
      <c r="L2423" s="23" t="s">
        <v>6</v>
      </c>
    </row>
    <row r="2424" spans="1:12" ht="15.75">
      <c r="A2424" s="23">
        <f t="shared" si="38"/>
        <v>2411</v>
      </c>
      <c r="B2424" s="21">
        <f ca="1">Master[[#This Row],[ChecklistID]]+Master[[#This Row],[Checklist Order]]</f>
        <v>214027</v>
      </c>
      <c r="C2424" s="22"/>
      <c r="D2424" s="23" t="str" cm="1">
        <f t="array" aca="1" ref="D2424" ca="1">_xlfn.SWITCH(MID(Master[[#This Row],[Checklist]],1,4),"C - ","Civil","F - ","Foundation","ST -","Structure","FC -","Façade","PRE ","Pre-Line","POST","Post-Line","H - ","Handover","S - ","Services","CST ","Completion Docs", "I - ", "Inspection")</f>
        <v>Inspection</v>
      </c>
      <c r="E242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4" s="24" t="str">
        <f ca="1">IF(OR(Master[[#This Row],[Type]]="checklist", Master[[#This Row],[Type]]="checklist-flat"), Master[[#This Row],[Name]], F2423)</f>
        <v>I - C - T+T Consultant Site Visit Report</v>
      </c>
      <c r="G2424" s="3" t="s">
        <v>49</v>
      </c>
      <c r="H2424" s="24" t="s">
        <v>1776</v>
      </c>
      <c r="I2424" s="40"/>
      <c r="J2424" s="21">
        <f ca="1">_xlfn.XLOOKUP(Master[[#This Row],[Checklist]],Ref!A:A,Ref!B:B)*1000</f>
        <v>214000</v>
      </c>
      <c r="K2424" s="21">
        <f ca="1">COUNTIF($J$2:Master[[#This Row],[ChecklistID]],Master[[#This Row],[ChecklistID]])-1</f>
        <v>27</v>
      </c>
      <c r="L2424" s="23" t="s">
        <v>6</v>
      </c>
    </row>
    <row r="2425" spans="1:12" ht="15.75">
      <c r="A2425" s="23">
        <f t="shared" si="38"/>
        <v>2412</v>
      </c>
      <c r="B2425" s="21">
        <f ca="1">Master[[#This Row],[ChecklistID]]+Master[[#This Row],[Checklist Order]]</f>
        <v>214028</v>
      </c>
      <c r="C2425" s="22"/>
      <c r="D2425" s="23" t="str" cm="1">
        <f t="array" aca="1" ref="D2425" ca="1">_xlfn.SWITCH(MID(Master[[#This Row],[Checklist]],1,4),"C - ","Civil","F - ","Foundation","ST -","Structure","FC -","Façade","PRE ","Pre-Line","POST","Post-Line","H - ","Handover","S - ","Services","CST ","Completion Docs", "I - ", "Inspection")</f>
        <v>Inspection</v>
      </c>
      <c r="E242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5" s="24" t="str">
        <f ca="1">IF(OR(Master[[#This Row],[Type]]="checklist", Master[[#This Row],[Type]]="checklist-flat"), Master[[#This Row],[Name]], F2424)</f>
        <v>I - C - T+T Consultant Site Visit Report</v>
      </c>
      <c r="G2425" s="3" t="s">
        <v>901</v>
      </c>
      <c r="H2425" s="24" t="s">
        <v>1777</v>
      </c>
      <c r="I2425" s="40"/>
      <c r="J2425" s="21">
        <f ca="1">_xlfn.XLOOKUP(Master[[#This Row],[Checklist]],Ref!A:A,Ref!B:B)*1000</f>
        <v>214000</v>
      </c>
      <c r="K2425" s="21">
        <f ca="1">COUNTIF($J$2:Master[[#This Row],[ChecklistID]],Master[[#This Row],[ChecklistID]])-1</f>
        <v>28</v>
      </c>
      <c r="L2425" s="23" t="s">
        <v>6</v>
      </c>
    </row>
    <row r="2426" spans="1:12" ht="15.75">
      <c r="A2426" s="23">
        <f t="shared" si="38"/>
        <v>2413</v>
      </c>
      <c r="B2426" s="21">
        <f ca="1">Master[[#This Row],[ChecklistID]]+Master[[#This Row],[Checklist Order]]</f>
        <v>214029</v>
      </c>
      <c r="C2426" s="22"/>
      <c r="D2426" s="23" t="str" cm="1">
        <f t="array" aca="1" ref="D2426" ca="1">_xlfn.SWITCH(MID(Master[[#This Row],[Checklist]],1,4),"C - ","Civil","F - ","Foundation","ST -","Structure","FC -","Façade","PRE ","Pre-Line","POST","Post-Line","H - ","Handover","S - ","Services","CST ","Completion Docs", "I - ", "Inspection")</f>
        <v>Inspection</v>
      </c>
      <c r="E242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6" s="24" t="str">
        <f ca="1">IF(OR(Master[[#This Row],[Type]]="checklist", Master[[#This Row],[Type]]="checklist-flat"), Master[[#This Row],[Name]], F2425)</f>
        <v>I - C - T+T Consultant Site Visit Report</v>
      </c>
      <c r="G2426" s="3" t="s">
        <v>901</v>
      </c>
      <c r="H2426" s="24" t="s">
        <v>1778</v>
      </c>
      <c r="I2426" s="40"/>
      <c r="J2426" s="21">
        <f ca="1">_xlfn.XLOOKUP(Master[[#This Row],[Checklist]],Ref!A:A,Ref!B:B)*1000</f>
        <v>214000</v>
      </c>
      <c r="K2426" s="21">
        <f ca="1">COUNTIF($J$2:Master[[#This Row],[ChecklistID]],Master[[#This Row],[ChecklistID]])-1</f>
        <v>29</v>
      </c>
      <c r="L2426" s="23" t="s">
        <v>6</v>
      </c>
    </row>
    <row r="2427" spans="1:12" ht="15.75">
      <c r="A2427" s="23">
        <f t="shared" si="38"/>
        <v>2414</v>
      </c>
      <c r="B2427" s="21">
        <f ca="1">Master[[#This Row],[ChecklistID]]+Master[[#This Row],[Checklist Order]]</f>
        <v>214030</v>
      </c>
      <c r="C2427" s="22"/>
      <c r="D2427" s="23" t="str" cm="1">
        <f t="array" aca="1" ref="D2427" ca="1">_xlfn.SWITCH(MID(Master[[#This Row],[Checklist]],1,4),"C - ","Civil","F - ","Foundation","ST -","Structure","FC -","Façade","PRE ","Pre-Line","POST","Post-Line","H - ","Handover","S - ","Services","CST ","Completion Docs", "I - ", "Inspection")</f>
        <v>Inspection</v>
      </c>
      <c r="E242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7" s="24" t="str">
        <f ca="1">IF(OR(Master[[#This Row],[Type]]="checklist", Master[[#This Row],[Type]]="checklist-flat"), Master[[#This Row],[Name]], F2426)</f>
        <v>I - C - T+T Consultant Site Visit Report</v>
      </c>
      <c r="G2427" s="3" t="s">
        <v>124</v>
      </c>
      <c r="H2427" s="24" t="s">
        <v>1779</v>
      </c>
      <c r="I2427" s="40"/>
      <c r="J2427" s="21">
        <f ca="1">_xlfn.XLOOKUP(Master[[#This Row],[Checklist]],Ref!A:A,Ref!B:B)*1000</f>
        <v>214000</v>
      </c>
      <c r="K2427" s="21">
        <f ca="1">COUNTIF($J$2:Master[[#This Row],[ChecklistID]],Master[[#This Row],[ChecklistID]])-1</f>
        <v>30</v>
      </c>
      <c r="L2427" s="23" t="s">
        <v>6</v>
      </c>
    </row>
    <row r="2428" spans="1:12" ht="15.75">
      <c r="A2428" s="23">
        <f t="shared" si="38"/>
        <v>2415</v>
      </c>
      <c r="B2428" s="21">
        <f ca="1">Master[[#This Row],[ChecklistID]]+Master[[#This Row],[Checklist Order]]</f>
        <v>214031</v>
      </c>
      <c r="C2428" s="22"/>
      <c r="D2428" s="23" t="str" cm="1">
        <f t="array" aca="1" ref="D2428" ca="1">_xlfn.SWITCH(MID(Master[[#This Row],[Checklist]],1,4),"C - ","Civil","F - ","Foundation","ST -","Structure","FC -","Façade","PRE ","Pre-Line","POST","Post-Line","H - ","Handover","S - ","Services","CST ","Completion Docs", "I - ", "Inspection")</f>
        <v>Inspection</v>
      </c>
      <c r="E242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8" s="24" t="str">
        <f ca="1">IF(OR(Master[[#This Row],[Type]]="checklist", Master[[#This Row],[Type]]="checklist-flat"), Master[[#This Row],[Name]], F2427)</f>
        <v>I - C - T+T Consultant Site Visit Report</v>
      </c>
      <c r="G2428" s="3" t="s">
        <v>124</v>
      </c>
      <c r="H2428" s="24" t="s">
        <v>1780</v>
      </c>
      <c r="I2428" s="40"/>
      <c r="J2428" s="21">
        <f ca="1">_xlfn.XLOOKUP(Master[[#This Row],[Checklist]],Ref!A:A,Ref!B:B)*1000</f>
        <v>214000</v>
      </c>
      <c r="K2428" s="21">
        <f ca="1">COUNTIF($J$2:Master[[#This Row],[ChecklistID]],Master[[#This Row],[ChecklistID]])-1</f>
        <v>31</v>
      </c>
      <c r="L2428" s="23" t="s">
        <v>6</v>
      </c>
    </row>
    <row r="2429" spans="1:12" ht="15.75">
      <c r="A2429" s="23">
        <f t="shared" si="38"/>
        <v>2416</v>
      </c>
      <c r="B2429" s="21">
        <f ca="1">Master[[#This Row],[ChecklistID]]+Master[[#This Row],[Checklist Order]]</f>
        <v>214032</v>
      </c>
      <c r="C2429" s="22"/>
      <c r="D2429" s="23" t="str" cm="1">
        <f t="array" aca="1" ref="D2429" ca="1">_xlfn.SWITCH(MID(Master[[#This Row],[Checklist]],1,4),"C - ","Civil","F - ","Foundation","ST -","Structure","FC -","Façade","PRE ","Pre-Line","POST","Post-Line","H - ","Handover","S - ","Services","CST ","Completion Docs", "I - ", "Inspection")</f>
        <v>Inspection</v>
      </c>
      <c r="E242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29" s="24" t="str">
        <f ca="1">IF(OR(Master[[#This Row],[Type]]="checklist", Master[[#This Row],[Type]]="checklist-flat"), Master[[#This Row],[Name]], F2428)</f>
        <v>I - C - T+T Consultant Site Visit Report</v>
      </c>
      <c r="G2429" s="3" t="s">
        <v>58</v>
      </c>
      <c r="H2429" s="24" t="s">
        <v>1735</v>
      </c>
      <c r="I2429" s="40"/>
      <c r="J2429" s="21">
        <f ca="1">_xlfn.XLOOKUP(Master[[#This Row],[Checklist]],Ref!A:A,Ref!B:B)*1000</f>
        <v>214000</v>
      </c>
      <c r="K2429" s="21">
        <f ca="1">COUNTIF($J$2:Master[[#This Row],[ChecklistID]],Master[[#This Row],[ChecklistID]])-1</f>
        <v>32</v>
      </c>
      <c r="L2429" s="23" t="s">
        <v>6</v>
      </c>
    </row>
    <row r="2430" spans="1:12" ht="15.75">
      <c r="A2430" s="23">
        <f t="shared" si="38"/>
        <v>2417</v>
      </c>
      <c r="B2430" s="21">
        <f ca="1">Master[[#This Row],[ChecklistID]]+Master[[#This Row],[Checklist Order]]</f>
        <v>215000</v>
      </c>
      <c r="C2430" s="22"/>
      <c r="D2430" s="23" t="str" cm="1">
        <f t="array" aca="1" ref="D2430" ca="1">_xlfn.SWITCH(MID(Master[[#This Row],[Checklist]],1,4),"C - ","Civil","F - ","Foundation","ST -","Structure","FC -","Façade","PRE ","Pre-Line","POST","Post-Line","H - ","Handover","S - ","Services","CST ","Completion Docs", "I - ", "Inspection")</f>
        <v>Inspection</v>
      </c>
      <c r="E243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0" s="24" t="str">
        <f ca="1">IF(OR(Master[[#This Row],[Type]]="checklist", Master[[#This Row],[Type]]="checklist-flat"), Master[[#This Row],[Name]], F2429)</f>
        <v>I - C - T+T Remedial Item Checklist</v>
      </c>
      <c r="G2430" s="3" t="s">
        <v>48</v>
      </c>
      <c r="H2430" s="24" t="s">
        <v>1781</v>
      </c>
      <c r="I2430" s="40"/>
      <c r="J2430" s="21">
        <f ca="1">_xlfn.XLOOKUP(Master[[#This Row],[Checklist]],Ref!A:A,Ref!B:B)*1000</f>
        <v>215000</v>
      </c>
      <c r="K2430" s="21">
        <f ca="1">COUNTIF($J$2:Master[[#This Row],[ChecklistID]],Master[[#This Row],[ChecklistID]])-1</f>
        <v>0</v>
      </c>
      <c r="L2430" s="23" t="s">
        <v>6</v>
      </c>
    </row>
    <row r="2431" spans="1:12" ht="15.75">
      <c r="A2431" s="23">
        <f t="shared" si="38"/>
        <v>2418</v>
      </c>
      <c r="B2431" s="21">
        <f ca="1">Master[[#This Row],[ChecklistID]]+Master[[#This Row],[Checklist Order]]</f>
        <v>215001</v>
      </c>
      <c r="C2431" s="22"/>
      <c r="D2431" s="23" t="str" cm="1">
        <f t="array" aca="1" ref="D2431" ca="1">_xlfn.SWITCH(MID(Master[[#This Row],[Checklist]],1,4),"C - ","Civil","F - ","Foundation","ST -","Structure","FC -","Façade","PRE ","Pre-Line","POST","Post-Line","H - ","Handover","S - ","Services","CST ","Completion Docs", "I - ", "Inspection")</f>
        <v>Inspection</v>
      </c>
      <c r="E243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1" s="24" t="str">
        <f ca="1">IF(OR(Master[[#This Row],[Type]]="checklist", Master[[#This Row],[Type]]="checklist-flat"), Master[[#This Row],[Name]], F2430)</f>
        <v>I - C - T+T Remedial Item Checklist</v>
      </c>
      <c r="G2431" s="3" t="s">
        <v>49</v>
      </c>
      <c r="H2431" s="24" t="s">
        <v>1782</v>
      </c>
      <c r="I2431" s="40"/>
      <c r="J2431" s="21">
        <f ca="1">_xlfn.XLOOKUP(Master[[#This Row],[Checklist]],Ref!A:A,Ref!B:B)*1000</f>
        <v>215000</v>
      </c>
      <c r="K2431" s="21">
        <f ca="1">COUNTIF($J$2:Master[[#This Row],[ChecklistID]],Master[[#This Row],[ChecklistID]])-1</f>
        <v>1</v>
      </c>
      <c r="L2431" s="23" t="s">
        <v>6</v>
      </c>
    </row>
    <row r="2432" spans="1:12" ht="15.75">
      <c r="A2432" s="23">
        <f t="shared" si="38"/>
        <v>2419</v>
      </c>
      <c r="B2432" s="21">
        <f ca="1">Master[[#This Row],[ChecklistID]]+Master[[#This Row],[Checklist Order]]</f>
        <v>215002</v>
      </c>
      <c r="C2432" s="22"/>
      <c r="D2432" s="23" t="str" cm="1">
        <f t="array" aca="1" ref="D2432" ca="1">_xlfn.SWITCH(MID(Master[[#This Row],[Checklist]],1,4),"C - ","Civil","F - ","Foundation","ST -","Structure","FC -","Façade","PRE ","Pre-Line","POST","Post-Line","H - ","Handover","S - ","Services","CST ","Completion Docs", "I - ", "Inspection")</f>
        <v>Inspection</v>
      </c>
      <c r="E243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2" s="24" t="str">
        <f ca="1">IF(OR(Master[[#This Row],[Type]]="checklist", Master[[#This Row],[Type]]="checklist-flat"), Master[[#This Row],[Name]], F2431)</f>
        <v>I - C - T+T Remedial Item Checklist</v>
      </c>
      <c r="G2432" s="3" t="s">
        <v>124</v>
      </c>
      <c r="H2432" s="24" t="s">
        <v>1745</v>
      </c>
      <c r="I2432" s="40"/>
      <c r="J2432" s="21">
        <f ca="1">_xlfn.XLOOKUP(Master[[#This Row],[Checklist]],Ref!A:A,Ref!B:B)*1000</f>
        <v>215000</v>
      </c>
      <c r="K2432" s="21">
        <f ca="1">COUNTIF($J$2:Master[[#This Row],[ChecklistID]],Master[[#This Row],[ChecklistID]])-1</f>
        <v>2</v>
      </c>
      <c r="L2432" s="23" t="s">
        <v>6</v>
      </c>
    </row>
    <row r="2433" spans="1:12" ht="15.75">
      <c r="A2433" s="23">
        <f t="shared" si="38"/>
        <v>2420</v>
      </c>
      <c r="B2433" s="21">
        <f ca="1">Master[[#This Row],[ChecklistID]]+Master[[#This Row],[Checklist Order]]</f>
        <v>215003</v>
      </c>
      <c r="C2433" s="22"/>
      <c r="D2433" s="23" t="str" cm="1">
        <f t="array" aca="1" ref="D2433" ca="1">_xlfn.SWITCH(MID(Master[[#This Row],[Checklist]],1,4),"C - ","Civil","F - ","Foundation","ST -","Structure","FC -","Façade","PRE ","Pre-Line","POST","Post-Line","H - ","Handover","S - ","Services","CST ","Completion Docs", "I - ", "Inspection")</f>
        <v>Inspection</v>
      </c>
      <c r="E243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3" s="24" t="str">
        <f ca="1">IF(OR(Master[[#This Row],[Type]]="checklist", Master[[#This Row],[Type]]="checklist-flat"), Master[[#This Row],[Name]], F2432)</f>
        <v>I - C - T+T Remedial Item Checklist</v>
      </c>
      <c r="G2433" s="3" t="s">
        <v>124</v>
      </c>
      <c r="H2433" s="24" t="s">
        <v>1746</v>
      </c>
      <c r="I2433" s="40"/>
      <c r="J2433" s="21">
        <f ca="1">_xlfn.XLOOKUP(Master[[#This Row],[Checklist]],Ref!A:A,Ref!B:B)*1000</f>
        <v>215000</v>
      </c>
      <c r="K2433" s="21">
        <f ca="1">COUNTIF($J$2:Master[[#This Row],[ChecklistID]],Master[[#This Row],[ChecklistID]])-1</f>
        <v>3</v>
      </c>
      <c r="L2433" s="23" t="s">
        <v>6</v>
      </c>
    </row>
    <row r="2434" spans="1:12" ht="15.75">
      <c r="A2434" s="23">
        <f t="shared" si="38"/>
        <v>2421</v>
      </c>
      <c r="B2434" s="21">
        <f ca="1">Master[[#This Row],[ChecklistID]]+Master[[#This Row],[Checklist Order]]</f>
        <v>215004</v>
      </c>
      <c r="C2434" s="22"/>
      <c r="D2434" s="23" t="str" cm="1">
        <f t="array" aca="1" ref="D2434" ca="1">_xlfn.SWITCH(MID(Master[[#This Row],[Checklist]],1,4),"C - ","Civil","F - ","Foundation","ST -","Structure","FC -","Façade","PRE ","Pre-Line","POST","Post-Line","H - ","Handover","S - ","Services","CST ","Completion Docs", "I - ", "Inspection")</f>
        <v>Inspection</v>
      </c>
      <c r="E243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4" s="24" t="str">
        <f ca="1">IF(OR(Master[[#This Row],[Type]]="checklist", Master[[#This Row],[Type]]="checklist-flat"), Master[[#This Row],[Name]], F2433)</f>
        <v>I - C - T+T Remedial Item Checklist</v>
      </c>
      <c r="G2434" s="3" t="s">
        <v>124</v>
      </c>
      <c r="H2434" s="24" t="s">
        <v>1747</v>
      </c>
      <c r="I2434" s="40"/>
      <c r="J2434" s="21">
        <f ca="1">_xlfn.XLOOKUP(Master[[#This Row],[Checklist]],Ref!A:A,Ref!B:B)*1000</f>
        <v>215000</v>
      </c>
      <c r="K2434" s="21">
        <f ca="1">COUNTIF($J$2:Master[[#This Row],[ChecklistID]],Master[[#This Row],[ChecklistID]])-1</f>
        <v>4</v>
      </c>
      <c r="L2434" s="23" t="s">
        <v>6</v>
      </c>
    </row>
    <row r="2435" spans="1:12" ht="15.75">
      <c r="A2435" s="23">
        <f t="shared" si="38"/>
        <v>2422</v>
      </c>
      <c r="B2435" s="21">
        <f ca="1">Master[[#This Row],[ChecklistID]]+Master[[#This Row],[Checklist Order]]</f>
        <v>215005</v>
      </c>
      <c r="C2435" s="22"/>
      <c r="D2435" s="23" t="str" cm="1">
        <f t="array" aca="1" ref="D2435" ca="1">_xlfn.SWITCH(MID(Master[[#This Row],[Checklist]],1,4),"C - ","Civil","F - ","Foundation","ST -","Structure","FC -","Façade","PRE ","Pre-Line","POST","Post-Line","H - ","Handover","S - ","Services","CST ","Completion Docs", "I - ", "Inspection")</f>
        <v>Inspection</v>
      </c>
      <c r="E243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5" s="24" t="str">
        <f ca="1">IF(OR(Master[[#This Row],[Type]]="checklist", Master[[#This Row],[Type]]="checklist-flat"), Master[[#This Row],[Name]], F2434)</f>
        <v>I - C - T+T Remedial Item Checklist</v>
      </c>
      <c r="G2435" s="3" t="s">
        <v>58</v>
      </c>
      <c r="H2435" s="24" t="s">
        <v>1783</v>
      </c>
      <c r="I2435" s="40"/>
      <c r="J2435" s="21">
        <f ca="1">_xlfn.XLOOKUP(Master[[#This Row],[Checklist]],Ref!A:A,Ref!B:B)*1000</f>
        <v>215000</v>
      </c>
      <c r="K2435" s="21">
        <f ca="1">COUNTIF($J$2:Master[[#This Row],[ChecklistID]],Master[[#This Row],[ChecklistID]])-1</f>
        <v>5</v>
      </c>
      <c r="L2435" s="23" t="s">
        <v>6</v>
      </c>
    </row>
    <row r="2436" spans="1:12" ht="15.75">
      <c r="A2436" s="23">
        <f t="shared" si="38"/>
        <v>2423</v>
      </c>
      <c r="B2436" s="21">
        <f ca="1">Master[[#This Row],[ChecklistID]]+Master[[#This Row],[Checklist Order]]</f>
        <v>216000</v>
      </c>
      <c r="C2436" s="22"/>
      <c r="D2436" s="23" t="str" cm="1">
        <f t="array" aca="1" ref="D2436" ca="1">_xlfn.SWITCH(MID(Master[[#This Row],[Checklist]],1,4),"C - ","Civil","F - ","Foundation","ST -","Structure","FC -","Façade","PRE ","Pre-Line","POST","Post-Line","H - ","Handover","S - ","Services","CST ","Completion Docs", "I - ", "Inspection")</f>
        <v>Inspection</v>
      </c>
      <c r="E243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6" s="24" t="str">
        <f ca="1">IF(OR(Master[[#This Row],[Type]]="checklist", Master[[#This Row],[Type]]="checklist-flat"), Master[[#This Row],[Name]], F2435)</f>
        <v>I - C - T+T Vibration Monitoring Report</v>
      </c>
      <c r="G2436" s="3" t="s">
        <v>48</v>
      </c>
      <c r="H2436" s="24" t="s">
        <v>1784</v>
      </c>
      <c r="I2436" s="40"/>
      <c r="J2436" s="21">
        <f ca="1">_xlfn.XLOOKUP(Master[[#This Row],[Checklist]],Ref!A:A,Ref!B:B)*1000</f>
        <v>216000</v>
      </c>
      <c r="K2436" s="21">
        <f ca="1">COUNTIF($J$2:Master[[#This Row],[ChecklistID]],Master[[#This Row],[ChecklistID]])-1</f>
        <v>0</v>
      </c>
      <c r="L2436" s="23" t="s">
        <v>6</v>
      </c>
    </row>
    <row r="2437" spans="1:12" ht="15.75">
      <c r="A2437" s="23">
        <f t="shared" si="38"/>
        <v>2424</v>
      </c>
      <c r="B2437" s="21">
        <f ca="1">Master[[#This Row],[ChecklistID]]+Master[[#This Row],[Checklist Order]]</f>
        <v>216001</v>
      </c>
      <c r="C2437" s="22"/>
      <c r="D2437" s="23" t="str" cm="1">
        <f t="array" aca="1" ref="D2437" ca="1">_xlfn.SWITCH(MID(Master[[#This Row],[Checklist]],1,4),"C - ","Civil","F - ","Foundation","ST -","Structure","FC -","Façade","PRE ","Pre-Line","POST","Post-Line","H - ","Handover","S - ","Services","CST ","Completion Docs", "I - ", "Inspection")</f>
        <v>Inspection</v>
      </c>
      <c r="E243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7" s="24" t="str">
        <f ca="1">IF(OR(Master[[#This Row],[Type]]="checklist", Master[[#This Row],[Type]]="checklist-flat"), Master[[#This Row],[Name]], F2436)</f>
        <v>I - C - T+T Vibration Monitoring Report</v>
      </c>
      <c r="G2437" s="3" t="s">
        <v>49</v>
      </c>
      <c r="H2437" s="24" t="s">
        <v>1785</v>
      </c>
      <c r="I2437" s="40"/>
      <c r="J2437" s="21">
        <f ca="1">_xlfn.XLOOKUP(Master[[#This Row],[Checklist]],Ref!A:A,Ref!B:B)*1000</f>
        <v>216000</v>
      </c>
      <c r="K2437" s="21">
        <f ca="1">COUNTIF($J$2:Master[[#This Row],[ChecklistID]],Master[[#This Row],[ChecklistID]])-1</f>
        <v>1</v>
      </c>
      <c r="L2437" s="23" t="s">
        <v>6</v>
      </c>
    </row>
    <row r="2438" spans="1:12" ht="15.75">
      <c r="A2438" s="23">
        <f t="shared" si="38"/>
        <v>2425</v>
      </c>
      <c r="B2438" s="21">
        <f ca="1">Master[[#This Row],[ChecklistID]]+Master[[#This Row],[Checklist Order]]</f>
        <v>217000</v>
      </c>
      <c r="C2438" s="22"/>
      <c r="D2438" s="23" t="str" cm="1">
        <f t="array" aca="1" ref="D2438" ca="1">_xlfn.SWITCH(MID(Master[[#This Row],[Checklist]],1,4),"C - ","Civil","F - ","Foundation","ST -","Structure","FC -","Façade","PRE ","Pre-Line","POST","Post-Line","H - ","Handover","S - ","Services","CST ","Completion Docs", "I - ", "Inspection")</f>
        <v>Inspection</v>
      </c>
      <c r="E243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8" s="24" t="str">
        <f ca="1">IF(OR(Master[[#This Row],[Type]]="checklist", Master[[#This Row],[Type]]="checklist-flat"), Master[[#This Row],[Name]], F2437)</f>
        <v>I - C - Inhabit Consultant Site Visit Report</v>
      </c>
      <c r="G2438" s="3" t="s">
        <v>119</v>
      </c>
      <c r="H2438" s="24" t="s">
        <v>1786</v>
      </c>
      <c r="I2438" s="40"/>
      <c r="J2438" s="21">
        <f ca="1">_xlfn.XLOOKUP(Master[[#This Row],[Checklist]],Ref!A:A,Ref!B:B)*1000</f>
        <v>217000</v>
      </c>
      <c r="K2438" s="21">
        <f ca="1">COUNTIF($J$2:Master[[#This Row],[ChecklistID]],Master[[#This Row],[ChecklistID]])-1</f>
        <v>0</v>
      </c>
      <c r="L2438" s="23" t="s">
        <v>6</v>
      </c>
    </row>
    <row r="2439" spans="1:12" ht="15.75">
      <c r="A2439" s="23">
        <f t="shared" si="38"/>
        <v>2426</v>
      </c>
      <c r="B2439" s="21">
        <f ca="1">Master[[#This Row],[ChecklistID]]+Master[[#This Row],[Checklist Order]]</f>
        <v>217001</v>
      </c>
      <c r="C2439" s="22"/>
      <c r="D2439" s="23" t="str" cm="1">
        <f t="array" aca="1" ref="D2439" ca="1">_xlfn.SWITCH(MID(Master[[#This Row],[Checklist]],1,4),"C - ","Civil","F - ","Foundation","ST -","Structure","FC -","Façade","PRE ","Pre-Line","POST","Post-Line","H - ","Handover","S - ","Services","CST ","Completion Docs", "I - ", "Inspection")</f>
        <v>Inspection</v>
      </c>
      <c r="E243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39" s="24" t="str">
        <f ca="1">IF(OR(Master[[#This Row],[Type]]="checklist", Master[[#This Row],[Type]]="checklist-flat"), Master[[#This Row],[Name]], F2438)</f>
        <v>I - C - Inhabit Consultant Site Visit Report</v>
      </c>
      <c r="G2439" s="3" t="s">
        <v>120</v>
      </c>
      <c r="H2439" s="24" t="s">
        <v>1787</v>
      </c>
      <c r="I2439" s="40"/>
      <c r="J2439" s="21">
        <f ca="1">_xlfn.XLOOKUP(Master[[#This Row],[Checklist]],Ref!A:A,Ref!B:B)*1000</f>
        <v>217000</v>
      </c>
      <c r="K2439" s="21">
        <f ca="1">COUNTIF($J$2:Master[[#This Row],[ChecklistID]],Master[[#This Row],[ChecklistID]])-1</f>
        <v>1</v>
      </c>
      <c r="L2439" s="23" t="s">
        <v>6</v>
      </c>
    </row>
    <row r="2440" spans="1:12" ht="15.75">
      <c r="A2440" s="23">
        <f t="shared" si="38"/>
        <v>2427</v>
      </c>
      <c r="B2440" s="21">
        <f ca="1">Master[[#This Row],[ChecklistID]]+Master[[#This Row],[Checklist Order]]</f>
        <v>217002</v>
      </c>
      <c r="C2440" s="22"/>
      <c r="D2440" s="23" t="str" cm="1">
        <f t="array" aca="1" ref="D2440" ca="1">_xlfn.SWITCH(MID(Master[[#This Row],[Checklist]],1,4),"C - ","Civil","F - ","Foundation","ST -","Structure","FC -","Façade","PRE ","Pre-Line","POST","Post-Line","H - ","Handover","S - ","Services","CST ","Completion Docs", "I - ", "Inspection")</f>
        <v>Inspection</v>
      </c>
      <c r="E244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0" s="24" t="str">
        <f ca="1">IF(OR(Master[[#This Row],[Type]]="checklist", Master[[#This Row],[Type]]="checklist-flat"), Master[[#This Row],[Name]], F2439)</f>
        <v>I - C - Inhabit Consultant Site Visit Report</v>
      </c>
      <c r="G2440" s="3" t="s">
        <v>49</v>
      </c>
      <c r="H2440" s="24" t="s">
        <v>1788</v>
      </c>
      <c r="I2440" s="40"/>
      <c r="J2440" s="21">
        <f ca="1">_xlfn.XLOOKUP(Master[[#This Row],[Checklist]],Ref!A:A,Ref!B:B)*1000</f>
        <v>217000</v>
      </c>
      <c r="K2440" s="21">
        <f ca="1">COUNTIF($J$2:Master[[#This Row],[ChecklistID]],Master[[#This Row],[ChecklistID]])-1</f>
        <v>2</v>
      </c>
      <c r="L2440" s="23" t="s">
        <v>6</v>
      </c>
    </row>
    <row r="2441" spans="1:12" ht="15.75">
      <c r="A2441" s="23">
        <f t="shared" si="38"/>
        <v>2428</v>
      </c>
      <c r="B2441" s="21">
        <f ca="1">Master[[#This Row],[ChecklistID]]+Master[[#This Row],[Checklist Order]]</f>
        <v>217003</v>
      </c>
      <c r="C2441" s="22"/>
      <c r="D2441" s="23" t="str" cm="1">
        <f t="array" aca="1" ref="D2441" ca="1">_xlfn.SWITCH(MID(Master[[#This Row],[Checklist]],1,4),"C - ","Civil","F - ","Foundation","ST -","Structure","FC -","Façade","PRE ","Pre-Line","POST","Post-Line","H - ","Handover","S - ","Services","CST ","Completion Docs", "I - ", "Inspection")</f>
        <v>Inspection</v>
      </c>
      <c r="E244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1" s="24" t="str">
        <f ca="1">IF(OR(Master[[#This Row],[Type]]="checklist", Master[[#This Row],[Type]]="checklist-flat"), Master[[#This Row],[Name]], F2440)</f>
        <v>I - C - Inhabit Consultant Site Visit Report</v>
      </c>
      <c r="G2441" s="3" t="s">
        <v>124</v>
      </c>
      <c r="H2441" s="24" t="s">
        <v>1789</v>
      </c>
      <c r="I2441" s="40"/>
      <c r="J2441" s="21">
        <f ca="1">_xlfn.XLOOKUP(Master[[#This Row],[Checklist]],Ref!A:A,Ref!B:B)*1000</f>
        <v>217000</v>
      </c>
      <c r="K2441" s="21">
        <f ca="1">COUNTIF($J$2:Master[[#This Row],[ChecklistID]],Master[[#This Row],[ChecklistID]])-1</f>
        <v>3</v>
      </c>
      <c r="L2441" s="23" t="s">
        <v>6</v>
      </c>
    </row>
    <row r="2442" spans="1:12" ht="15.75">
      <c r="A2442" s="23">
        <f t="shared" si="38"/>
        <v>2429</v>
      </c>
      <c r="B2442" s="21">
        <f ca="1">Master[[#This Row],[ChecklistID]]+Master[[#This Row],[Checklist Order]]</f>
        <v>217004</v>
      </c>
      <c r="C2442" s="22"/>
      <c r="D2442" s="23" t="str" cm="1">
        <f t="array" aca="1" ref="D2442" ca="1">_xlfn.SWITCH(MID(Master[[#This Row],[Checklist]],1,4),"C - ","Civil","F - ","Foundation","ST -","Structure","FC -","Façade","PRE ","Pre-Line","POST","Post-Line","H - ","Handover","S - ","Services","CST ","Completion Docs", "I - ", "Inspection")</f>
        <v>Inspection</v>
      </c>
      <c r="E244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2" s="24" t="str">
        <f ca="1">IF(OR(Master[[#This Row],[Type]]="checklist", Master[[#This Row],[Type]]="checklist-flat"), Master[[#This Row],[Name]], F2441)</f>
        <v>I - C - Inhabit Consultant Site Visit Report</v>
      </c>
      <c r="G2442" s="3" t="s">
        <v>124</v>
      </c>
      <c r="H2442" s="24" t="s">
        <v>1790</v>
      </c>
      <c r="I2442" s="40"/>
      <c r="J2442" s="21">
        <f ca="1">_xlfn.XLOOKUP(Master[[#This Row],[Checklist]],Ref!A:A,Ref!B:B)*1000</f>
        <v>217000</v>
      </c>
      <c r="K2442" s="21">
        <f ca="1">COUNTIF($J$2:Master[[#This Row],[ChecklistID]],Master[[#This Row],[ChecklistID]])-1</f>
        <v>4</v>
      </c>
      <c r="L2442" s="23" t="s">
        <v>6</v>
      </c>
    </row>
    <row r="2443" spans="1:12" ht="15.75">
      <c r="A2443" s="23">
        <f t="shared" si="38"/>
        <v>2430</v>
      </c>
      <c r="B2443" s="21">
        <f ca="1">Master[[#This Row],[ChecklistID]]+Master[[#This Row],[Checklist Order]]</f>
        <v>217005</v>
      </c>
      <c r="C2443" s="22"/>
      <c r="D2443" s="23" t="str" cm="1">
        <f t="array" aca="1" ref="D2443" ca="1">_xlfn.SWITCH(MID(Master[[#This Row],[Checklist]],1,4),"C - ","Civil","F - ","Foundation","ST -","Structure","FC -","Façade","PRE ","Pre-Line","POST","Post-Line","H - ","Handover","S - ","Services","CST ","Completion Docs", "I - ", "Inspection")</f>
        <v>Inspection</v>
      </c>
      <c r="E244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3" s="24" t="str">
        <f ca="1">IF(OR(Master[[#This Row],[Type]]="checklist", Master[[#This Row],[Type]]="checklist-flat"), Master[[#This Row],[Name]], F2442)</f>
        <v>I - C - Inhabit Consultant Site Visit Report</v>
      </c>
      <c r="G2443" s="3" t="s">
        <v>124</v>
      </c>
      <c r="H2443" s="24" t="s">
        <v>1791</v>
      </c>
      <c r="I2443" s="40"/>
      <c r="J2443" s="21">
        <f ca="1">_xlfn.XLOOKUP(Master[[#This Row],[Checklist]],Ref!A:A,Ref!B:B)*1000</f>
        <v>217000</v>
      </c>
      <c r="K2443" s="21">
        <f ca="1">COUNTIF($J$2:Master[[#This Row],[ChecklistID]],Master[[#This Row],[ChecklistID]])-1</f>
        <v>5</v>
      </c>
      <c r="L2443" s="23" t="s">
        <v>6</v>
      </c>
    </row>
    <row r="2444" spans="1:12" ht="15.75">
      <c r="A2444" s="23">
        <f t="shared" si="38"/>
        <v>2431</v>
      </c>
      <c r="B2444" s="21">
        <f ca="1">Master[[#This Row],[ChecklistID]]+Master[[#This Row],[Checklist Order]]</f>
        <v>217006</v>
      </c>
      <c r="C2444" s="22"/>
      <c r="D2444" s="23" t="str" cm="1">
        <f t="array" aca="1" ref="D2444" ca="1">_xlfn.SWITCH(MID(Master[[#This Row],[Checklist]],1,4),"C - ","Civil","F - ","Foundation","ST -","Structure","FC -","Façade","PRE ","Pre-Line","POST","Post-Line","H - ","Handover","S - ","Services","CST ","Completion Docs", "I - ", "Inspection")</f>
        <v>Inspection</v>
      </c>
      <c r="E244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4" s="24" t="str">
        <f ca="1">IF(OR(Master[[#This Row],[Type]]="checklist", Master[[#This Row],[Type]]="checklist-flat"), Master[[#This Row],[Name]], F2443)</f>
        <v>I - C - Inhabit Consultant Site Visit Report</v>
      </c>
      <c r="G2444" s="3" t="s">
        <v>124</v>
      </c>
      <c r="H2444" s="24" t="s">
        <v>1792</v>
      </c>
      <c r="I2444" s="40"/>
      <c r="J2444" s="21">
        <f ca="1">_xlfn.XLOOKUP(Master[[#This Row],[Checklist]],Ref!A:A,Ref!B:B)*1000</f>
        <v>217000</v>
      </c>
      <c r="K2444" s="21">
        <f ca="1">COUNTIF($J$2:Master[[#This Row],[ChecklistID]],Master[[#This Row],[ChecklistID]])-1</f>
        <v>6</v>
      </c>
      <c r="L2444" s="23" t="s">
        <v>6</v>
      </c>
    </row>
    <row r="2445" spans="1:12" ht="15.75">
      <c r="A2445" s="23">
        <f t="shared" si="38"/>
        <v>2432</v>
      </c>
      <c r="B2445" s="21">
        <f ca="1">Master[[#This Row],[ChecklistID]]+Master[[#This Row],[Checklist Order]]</f>
        <v>217007</v>
      </c>
      <c r="C2445" s="22"/>
      <c r="D2445" s="23" t="str" cm="1">
        <f t="array" aca="1" ref="D2445" ca="1">_xlfn.SWITCH(MID(Master[[#This Row],[Checklist]],1,4),"C - ","Civil","F - ","Foundation","ST -","Structure","FC -","Façade","PRE ","Pre-Line","POST","Post-Line","H - ","Handover","S - ","Services","CST ","Completion Docs", "I - ", "Inspection")</f>
        <v>Inspection</v>
      </c>
      <c r="E244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5" s="24" t="str">
        <f ca="1">IF(OR(Master[[#This Row],[Type]]="checklist", Master[[#This Row],[Type]]="checklist-flat"), Master[[#This Row],[Name]], F2444)</f>
        <v>I - C - Inhabit Consultant Site Visit Report</v>
      </c>
      <c r="G2445" s="3" t="s">
        <v>124</v>
      </c>
      <c r="H2445" s="24" t="s">
        <v>1793</v>
      </c>
      <c r="I2445" s="40"/>
      <c r="J2445" s="21">
        <f ca="1">_xlfn.XLOOKUP(Master[[#This Row],[Checklist]],Ref!A:A,Ref!B:B)*1000</f>
        <v>217000</v>
      </c>
      <c r="K2445" s="21">
        <f ca="1">COUNTIF($J$2:Master[[#This Row],[ChecklistID]],Master[[#This Row],[ChecklistID]])-1</f>
        <v>7</v>
      </c>
      <c r="L2445" s="23" t="s">
        <v>6</v>
      </c>
    </row>
    <row r="2446" spans="1:12" ht="15.75">
      <c r="A2446" s="23">
        <f t="shared" si="38"/>
        <v>2433</v>
      </c>
      <c r="B2446" s="21">
        <f ca="1">Master[[#This Row],[ChecklistID]]+Master[[#This Row],[Checklist Order]]</f>
        <v>217008</v>
      </c>
      <c r="C2446" s="22"/>
      <c r="D2446" s="23" t="str" cm="1">
        <f t="array" aca="1" ref="D2446" ca="1">_xlfn.SWITCH(MID(Master[[#This Row],[Checklist]],1,4),"C - ","Civil","F - ","Foundation","ST -","Structure","FC -","Façade","PRE ","Pre-Line","POST","Post-Line","H - ","Handover","S - ","Services","CST ","Completion Docs", "I - ", "Inspection")</f>
        <v>Inspection</v>
      </c>
      <c r="E244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6" s="24" t="str">
        <f ca="1">IF(OR(Master[[#This Row],[Type]]="checklist", Master[[#This Row],[Type]]="checklist-flat"), Master[[#This Row],[Name]], F2445)</f>
        <v>I - C - Inhabit Consultant Site Visit Report</v>
      </c>
      <c r="G2446" s="3" t="s">
        <v>124</v>
      </c>
      <c r="H2446" s="24" t="s">
        <v>1794</v>
      </c>
      <c r="I2446" s="40"/>
      <c r="J2446" s="21">
        <f ca="1">_xlfn.XLOOKUP(Master[[#This Row],[Checklist]],Ref!A:A,Ref!B:B)*1000</f>
        <v>217000</v>
      </c>
      <c r="K2446" s="21">
        <f ca="1">COUNTIF($J$2:Master[[#This Row],[ChecklistID]],Master[[#This Row],[ChecklistID]])-1</f>
        <v>8</v>
      </c>
      <c r="L2446" s="23" t="s">
        <v>6</v>
      </c>
    </row>
    <row r="2447" spans="1:12" ht="15.75">
      <c r="A2447" s="23">
        <f t="shared" si="38"/>
        <v>2434</v>
      </c>
      <c r="B2447" s="21">
        <f ca="1">Master[[#This Row],[ChecklistID]]+Master[[#This Row],[Checklist Order]]</f>
        <v>217009</v>
      </c>
      <c r="C2447" s="22"/>
      <c r="D2447" s="23" t="str" cm="1">
        <f t="array" aca="1" ref="D2447" ca="1">_xlfn.SWITCH(MID(Master[[#This Row],[Checklist]],1,4),"C - ","Civil","F - ","Foundation","ST -","Structure","FC -","Façade","PRE ","Pre-Line","POST","Post-Line","H - ","Handover","S - ","Services","CST ","Completion Docs", "I - ", "Inspection")</f>
        <v>Inspection</v>
      </c>
      <c r="E244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7" s="24" t="str">
        <f ca="1">IF(OR(Master[[#This Row],[Type]]="checklist", Master[[#This Row],[Type]]="checklist-flat"), Master[[#This Row],[Name]], F2446)</f>
        <v>I - C - Inhabit Consultant Site Visit Report</v>
      </c>
      <c r="G2447" s="3" t="s">
        <v>131</v>
      </c>
      <c r="H2447" s="24" t="s">
        <v>793</v>
      </c>
      <c r="I2447" s="40" t="s">
        <v>1795</v>
      </c>
      <c r="J2447" s="21">
        <f ca="1">_xlfn.XLOOKUP(Master[[#This Row],[Checklist]],Ref!A:A,Ref!B:B)*1000</f>
        <v>217000</v>
      </c>
      <c r="K2447" s="21">
        <f ca="1">COUNTIF($J$2:Master[[#This Row],[ChecklistID]],Master[[#This Row],[ChecklistID]])-1</f>
        <v>9</v>
      </c>
      <c r="L2447" s="23" t="s">
        <v>6</v>
      </c>
    </row>
    <row r="2448" spans="1:12" ht="15.75">
      <c r="A2448" s="23">
        <f t="shared" si="38"/>
        <v>2435</v>
      </c>
      <c r="B2448" s="21">
        <f ca="1">Master[[#This Row],[ChecklistID]]+Master[[#This Row],[Checklist Order]]</f>
        <v>217010</v>
      </c>
      <c r="C2448" s="22"/>
      <c r="D2448" s="23" t="str" cm="1">
        <f t="array" aca="1" ref="D2448" ca="1">_xlfn.SWITCH(MID(Master[[#This Row],[Checklist]],1,4),"C - ","Civil","F - ","Foundation","ST -","Structure","FC -","Façade","PRE ","Pre-Line","POST","Post-Line","H - ","Handover","S - ","Services","CST ","Completion Docs", "I - ", "Inspection")</f>
        <v>Inspection</v>
      </c>
      <c r="E244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8" s="24" t="str">
        <f ca="1">IF(OR(Master[[#This Row],[Type]]="checklist", Master[[#This Row],[Type]]="checklist-flat"), Master[[#This Row],[Name]], F2447)</f>
        <v>I - C - Inhabit Consultant Site Visit Report</v>
      </c>
      <c r="G2448" s="3" t="s">
        <v>49</v>
      </c>
      <c r="H2448" s="24" t="s">
        <v>1796</v>
      </c>
      <c r="I2448" s="40"/>
      <c r="J2448" s="21">
        <f ca="1">_xlfn.XLOOKUP(Master[[#This Row],[Checklist]],Ref!A:A,Ref!B:B)*1000</f>
        <v>217000</v>
      </c>
      <c r="K2448" s="21">
        <f ca="1">COUNTIF($J$2:Master[[#This Row],[ChecklistID]],Master[[#This Row],[ChecklistID]])-1</f>
        <v>10</v>
      </c>
      <c r="L2448" s="23" t="s">
        <v>6</v>
      </c>
    </row>
    <row r="2449" spans="1:12" ht="15.75">
      <c r="A2449" s="23">
        <f t="shared" si="38"/>
        <v>2436</v>
      </c>
      <c r="B2449" s="21">
        <f ca="1">Master[[#This Row],[ChecklistID]]+Master[[#This Row],[Checklist Order]]</f>
        <v>217011</v>
      </c>
      <c r="C2449" s="22"/>
      <c r="D2449" s="23" t="str" cm="1">
        <f t="array" aca="1" ref="D2449" ca="1">_xlfn.SWITCH(MID(Master[[#This Row],[Checklist]],1,4),"C - ","Civil","F - ","Foundation","ST -","Structure","FC -","Façade","PRE ","Pre-Line","POST","Post-Line","H - ","Handover","S - ","Services","CST ","Completion Docs", "I - ", "Inspection")</f>
        <v>Inspection</v>
      </c>
      <c r="E244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49" s="24" t="str">
        <f ca="1">IF(OR(Master[[#This Row],[Type]]="checklist", Master[[#This Row],[Type]]="checklist-flat"), Master[[#This Row],[Name]], F2448)</f>
        <v>I - C - Inhabit Consultant Site Visit Report</v>
      </c>
      <c r="G2449" s="3" t="s">
        <v>49</v>
      </c>
      <c r="H2449" s="24" t="s">
        <v>1797</v>
      </c>
      <c r="I2449" s="40"/>
      <c r="J2449" s="21">
        <f ca="1">_xlfn.XLOOKUP(Master[[#This Row],[Checklist]],Ref!A:A,Ref!B:B)*1000</f>
        <v>217000</v>
      </c>
      <c r="K2449" s="21">
        <f ca="1">COUNTIF($J$2:Master[[#This Row],[ChecklistID]],Master[[#This Row],[ChecklistID]])-1</f>
        <v>11</v>
      </c>
      <c r="L2449" s="23" t="s">
        <v>6</v>
      </c>
    </row>
    <row r="2450" spans="1:12" ht="15.75">
      <c r="A2450" s="23">
        <f t="shared" si="38"/>
        <v>2437</v>
      </c>
      <c r="B2450" s="21">
        <f ca="1">Master[[#This Row],[ChecklistID]]+Master[[#This Row],[Checklist Order]]</f>
        <v>217012</v>
      </c>
      <c r="C2450" s="22"/>
      <c r="D2450" s="23" t="str" cm="1">
        <f t="array" aca="1" ref="D2450" ca="1">_xlfn.SWITCH(MID(Master[[#This Row],[Checklist]],1,4),"C - ","Civil","F - ","Foundation","ST -","Structure","FC -","Façade","PRE ","Pre-Line","POST","Post-Line","H - ","Handover","S - ","Services","CST ","Completion Docs", "I - ", "Inspection")</f>
        <v>Inspection</v>
      </c>
      <c r="E245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0" s="24" t="str">
        <f ca="1">IF(OR(Master[[#This Row],[Type]]="checklist", Master[[#This Row],[Type]]="checklist-flat"), Master[[#This Row],[Name]], F2449)</f>
        <v>I - C - Inhabit Consultant Site Visit Report</v>
      </c>
      <c r="G2450" s="3" t="s">
        <v>901</v>
      </c>
      <c r="H2450" s="24" t="s">
        <v>1798</v>
      </c>
      <c r="I2450" s="40"/>
      <c r="J2450" s="21">
        <f ca="1">_xlfn.XLOOKUP(Master[[#This Row],[Checklist]],Ref!A:A,Ref!B:B)*1000</f>
        <v>217000</v>
      </c>
      <c r="K2450" s="21">
        <f ca="1">COUNTIF($J$2:Master[[#This Row],[ChecklistID]],Master[[#This Row],[ChecklistID]])-1</f>
        <v>12</v>
      </c>
      <c r="L2450" s="23" t="s">
        <v>6</v>
      </c>
    </row>
    <row r="2451" spans="1:12" ht="15.75">
      <c r="A2451" s="23">
        <f t="shared" si="38"/>
        <v>2438</v>
      </c>
      <c r="B2451" s="21">
        <f ca="1">Master[[#This Row],[ChecklistID]]+Master[[#This Row],[Checklist Order]]</f>
        <v>217013</v>
      </c>
      <c r="C2451" s="22"/>
      <c r="D2451" s="23" t="str" cm="1">
        <f t="array" aca="1" ref="D2451" ca="1">_xlfn.SWITCH(MID(Master[[#This Row],[Checklist]],1,4),"C - ","Civil","F - ","Foundation","ST -","Structure","FC -","Façade","PRE ","Pre-Line","POST","Post-Line","H - ","Handover","S - ","Services","CST ","Completion Docs", "I - ", "Inspection")</f>
        <v>Inspection</v>
      </c>
      <c r="E245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1" s="24" t="str">
        <f ca="1">IF(OR(Master[[#This Row],[Type]]="checklist", Master[[#This Row],[Type]]="checklist-flat"), Master[[#This Row],[Name]], F2450)</f>
        <v>I - C - Inhabit Consultant Site Visit Report</v>
      </c>
      <c r="G2451" s="3" t="s">
        <v>901</v>
      </c>
      <c r="H2451" s="24" t="s">
        <v>1799</v>
      </c>
      <c r="I2451" s="40"/>
      <c r="J2451" s="21">
        <f ca="1">_xlfn.XLOOKUP(Master[[#This Row],[Checklist]],Ref!A:A,Ref!B:B)*1000</f>
        <v>217000</v>
      </c>
      <c r="K2451" s="21">
        <f ca="1">COUNTIF($J$2:Master[[#This Row],[ChecklistID]],Master[[#This Row],[ChecklistID]])-1</f>
        <v>13</v>
      </c>
      <c r="L2451" s="23" t="s">
        <v>6</v>
      </c>
    </row>
    <row r="2452" spans="1:12" ht="15.75">
      <c r="A2452" s="23">
        <f t="shared" si="38"/>
        <v>2439</v>
      </c>
      <c r="B2452" s="21">
        <f ca="1">Master[[#This Row],[ChecklistID]]+Master[[#This Row],[Checklist Order]]</f>
        <v>217014</v>
      </c>
      <c r="C2452" s="22"/>
      <c r="D2452" s="23" t="str" cm="1">
        <f t="array" aca="1" ref="D2452" ca="1">_xlfn.SWITCH(MID(Master[[#This Row],[Checklist]],1,4),"C - ","Civil","F - ","Foundation","ST -","Structure","FC -","Façade","PRE ","Pre-Line","POST","Post-Line","H - ","Handover","S - ","Services","CST ","Completion Docs", "I - ", "Inspection")</f>
        <v>Inspection</v>
      </c>
      <c r="E245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2" s="24" t="str">
        <f ca="1">IF(OR(Master[[#This Row],[Type]]="checklist", Master[[#This Row],[Type]]="checklist-flat"), Master[[#This Row],[Name]], F2451)</f>
        <v>I - C - Inhabit Consultant Site Visit Report</v>
      </c>
      <c r="G2452" s="3" t="s">
        <v>120</v>
      </c>
      <c r="H2452" s="24" t="s">
        <v>1736</v>
      </c>
      <c r="I2452" s="40"/>
      <c r="J2452" s="21">
        <f ca="1">_xlfn.XLOOKUP(Master[[#This Row],[Checklist]],Ref!A:A,Ref!B:B)*1000</f>
        <v>217000</v>
      </c>
      <c r="K2452" s="21">
        <f ca="1">COUNTIF($J$2:Master[[#This Row],[ChecklistID]],Master[[#This Row],[ChecklistID]])-1</f>
        <v>14</v>
      </c>
      <c r="L2452" s="23" t="s">
        <v>6</v>
      </c>
    </row>
    <row r="2453" spans="1:12" ht="15.75">
      <c r="A2453" s="23">
        <f t="shared" si="38"/>
        <v>2440</v>
      </c>
      <c r="B2453" s="21">
        <f ca="1">Master[[#This Row],[ChecklistID]]+Master[[#This Row],[Checklist Order]]</f>
        <v>217015</v>
      </c>
      <c r="C2453" s="22"/>
      <c r="D2453" s="23" t="str" cm="1">
        <f t="array" aca="1" ref="D2453" ca="1">_xlfn.SWITCH(MID(Master[[#This Row],[Checklist]],1,4),"C - ","Civil","F - ","Foundation","ST -","Structure","FC -","Façade","PRE ","Pre-Line","POST","Post-Line","H - ","Handover","S - ","Services","CST ","Completion Docs", "I - ", "Inspection")</f>
        <v>Inspection</v>
      </c>
      <c r="E245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3" s="24" t="str">
        <f ca="1">IF(OR(Master[[#This Row],[Type]]="checklist", Master[[#This Row],[Type]]="checklist-flat"), Master[[#This Row],[Name]], F2452)</f>
        <v>I - C - Inhabit Consultant Site Visit Report</v>
      </c>
      <c r="G2453" s="3" t="s">
        <v>49</v>
      </c>
      <c r="H2453" s="24" t="s">
        <v>1800</v>
      </c>
      <c r="I2453" s="40"/>
      <c r="J2453" s="21">
        <f ca="1">_xlfn.XLOOKUP(Master[[#This Row],[Checklist]],Ref!A:A,Ref!B:B)*1000</f>
        <v>217000</v>
      </c>
      <c r="K2453" s="21">
        <f ca="1">COUNTIF($J$2:Master[[#This Row],[ChecklistID]],Master[[#This Row],[ChecklistID]])-1</f>
        <v>15</v>
      </c>
      <c r="L2453" s="23" t="s">
        <v>6</v>
      </c>
    </row>
    <row r="2454" spans="1:12" ht="15.75">
      <c r="A2454" s="23">
        <f t="shared" si="38"/>
        <v>2441</v>
      </c>
      <c r="B2454" s="21">
        <f ca="1">Master[[#This Row],[ChecklistID]]+Master[[#This Row],[Checklist Order]]</f>
        <v>217016</v>
      </c>
      <c r="C2454" s="22"/>
      <c r="D2454" s="23" t="str" cm="1">
        <f t="array" aca="1" ref="D2454" ca="1">_xlfn.SWITCH(MID(Master[[#This Row],[Checklist]],1,4),"C - ","Civil","F - ","Foundation","ST -","Structure","FC -","Façade","PRE ","Pre-Line","POST","Post-Line","H - ","Handover","S - ","Services","CST ","Completion Docs", "I - ", "Inspection")</f>
        <v>Inspection</v>
      </c>
      <c r="E245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4" s="24" t="str">
        <f ca="1">IF(OR(Master[[#This Row],[Type]]="checklist", Master[[#This Row],[Type]]="checklist-flat"), Master[[#This Row],[Name]], F2453)</f>
        <v>I - C - Inhabit Consultant Site Visit Report</v>
      </c>
      <c r="G2454" s="3" t="s">
        <v>58</v>
      </c>
      <c r="H2454" s="24" t="s">
        <v>1801</v>
      </c>
      <c r="I2454" s="40"/>
      <c r="J2454" s="21">
        <f ca="1">_xlfn.XLOOKUP(Master[[#This Row],[Checklist]],Ref!A:A,Ref!B:B)*1000</f>
        <v>217000</v>
      </c>
      <c r="K2454" s="21">
        <f ca="1">COUNTIF($J$2:Master[[#This Row],[ChecklistID]],Master[[#This Row],[ChecklistID]])-1</f>
        <v>16</v>
      </c>
      <c r="L2454" s="23" t="s">
        <v>6</v>
      </c>
    </row>
    <row r="2455" spans="1:12" ht="15.75">
      <c r="A2455" s="23">
        <f t="shared" si="38"/>
        <v>2442</v>
      </c>
      <c r="B2455" s="21">
        <f ca="1">Master[[#This Row],[ChecklistID]]+Master[[#This Row],[Checklist Order]]</f>
        <v>218000</v>
      </c>
      <c r="C2455" s="22"/>
      <c r="D2455" s="23" t="str" cm="1">
        <f t="array" aca="1" ref="D2455" ca="1">_xlfn.SWITCH(MID(Master[[#This Row],[Checklist]],1,4),"C - ","Civil","F - ","Foundation","ST -","Structure","FC -","Façade","PRE ","Pre-Line","POST","Post-Line","H - ","Handover","S - ","Services","CST ","Completion Docs", "I - ", "Inspection")</f>
        <v>Inspection</v>
      </c>
      <c r="E245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5" s="24" t="str">
        <f ca="1">IF(OR(Master[[#This Row],[Type]]="checklist", Master[[#This Row],[Type]]="checklist-flat"), Master[[#This Row],[Name]], F2454)</f>
        <v>I - C - Inhabit Consultant Observation/Remedial Item Checklist</v>
      </c>
      <c r="G2455" s="3" t="s">
        <v>48</v>
      </c>
      <c r="H2455" s="24" t="s">
        <v>1802</v>
      </c>
      <c r="I2455" s="40"/>
      <c r="J2455" s="21">
        <f ca="1">_xlfn.XLOOKUP(Master[[#This Row],[Checklist]],Ref!A:A,Ref!B:B)*1000</f>
        <v>218000</v>
      </c>
      <c r="K2455" s="21">
        <f ca="1">COUNTIF($J$2:Master[[#This Row],[ChecklistID]],Master[[#This Row],[ChecklistID]])-1</f>
        <v>0</v>
      </c>
      <c r="L2455" s="23" t="s">
        <v>6</v>
      </c>
    </row>
    <row r="2456" spans="1:12" ht="15.75">
      <c r="A2456" s="23">
        <f t="shared" si="38"/>
        <v>2443</v>
      </c>
      <c r="B2456" s="21">
        <f ca="1">Master[[#This Row],[ChecklistID]]+Master[[#This Row],[Checklist Order]]</f>
        <v>218001</v>
      </c>
      <c r="C2456" s="22"/>
      <c r="D2456" s="23" t="str" cm="1">
        <f t="array" aca="1" ref="D2456" ca="1">_xlfn.SWITCH(MID(Master[[#This Row],[Checklist]],1,4),"C - ","Civil","F - ","Foundation","ST -","Structure","FC -","Façade","PRE ","Pre-Line","POST","Post-Line","H - ","Handover","S - ","Services","CST ","Completion Docs", "I - ", "Inspection")</f>
        <v>Inspection</v>
      </c>
      <c r="E245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6" s="24" t="str">
        <f ca="1">IF(OR(Master[[#This Row],[Type]]="checklist", Master[[#This Row],[Type]]="checklist-flat"), Master[[#This Row],[Name]], F2455)</f>
        <v>I - C - Inhabit Consultant Observation/Remedial Item Checklist</v>
      </c>
      <c r="G2456" s="3" t="s">
        <v>49</v>
      </c>
      <c r="H2456" s="24" t="s">
        <v>1803</v>
      </c>
      <c r="I2456" s="40"/>
      <c r="J2456" s="21">
        <f ca="1">_xlfn.XLOOKUP(Master[[#This Row],[Checklist]],Ref!A:A,Ref!B:B)*1000</f>
        <v>218000</v>
      </c>
      <c r="K2456" s="21">
        <f ca="1">COUNTIF($J$2:Master[[#This Row],[ChecklistID]],Master[[#This Row],[ChecklistID]])-1</f>
        <v>1</v>
      </c>
      <c r="L2456" s="23" t="s">
        <v>6</v>
      </c>
    </row>
    <row r="2457" spans="1:12" ht="15.75">
      <c r="A2457" s="23">
        <f t="shared" si="38"/>
        <v>2444</v>
      </c>
      <c r="B2457" s="21">
        <f ca="1">Master[[#This Row],[ChecklistID]]+Master[[#This Row],[Checklist Order]]</f>
        <v>218002</v>
      </c>
      <c r="C2457" s="22"/>
      <c r="D2457" s="23" t="str" cm="1">
        <f t="array" aca="1" ref="D2457" ca="1">_xlfn.SWITCH(MID(Master[[#This Row],[Checklist]],1,4),"C - ","Civil","F - ","Foundation","ST -","Structure","FC -","Façade","PRE ","Pre-Line","POST","Post-Line","H - ","Handover","S - ","Services","CST ","Completion Docs", "I - ", "Inspection")</f>
        <v>Inspection</v>
      </c>
      <c r="E245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7" s="24" t="str">
        <f ca="1">IF(OR(Master[[#This Row],[Type]]="checklist", Master[[#This Row],[Type]]="checklist-flat"), Master[[#This Row],[Name]], F2456)</f>
        <v>I - C - Inhabit Consultant Observation/Remedial Item Checklist</v>
      </c>
      <c r="G2457" s="3" t="s">
        <v>124</v>
      </c>
      <c r="H2457" s="24" t="s">
        <v>1745</v>
      </c>
      <c r="I2457" s="40"/>
      <c r="J2457" s="21">
        <f ca="1">_xlfn.XLOOKUP(Master[[#This Row],[Checklist]],Ref!A:A,Ref!B:B)*1000</f>
        <v>218000</v>
      </c>
      <c r="K2457" s="21">
        <f ca="1">COUNTIF($J$2:Master[[#This Row],[ChecklistID]],Master[[#This Row],[ChecklistID]])-1</f>
        <v>2</v>
      </c>
      <c r="L2457" s="23" t="s">
        <v>6</v>
      </c>
    </row>
    <row r="2458" spans="1:12" ht="15.75">
      <c r="A2458" s="23">
        <f t="shared" si="38"/>
        <v>2445</v>
      </c>
      <c r="B2458" s="21">
        <f ca="1">Master[[#This Row],[ChecklistID]]+Master[[#This Row],[Checklist Order]]</f>
        <v>218003</v>
      </c>
      <c r="C2458" s="22"/>
      <c r="D2458" s="23" t="str" cm="1">
        <f t="array" aca="1" ref="D2458" ca="1">_xlfn.SWITCH(MID(Master[[#This Row],[Checklist]],1,4),"C - ","Civil","F - ","Foundation","ST -","Structure","FC -","Façade","PRE ","Pre-Line","POST","Post-Line","H - ","Handover","S - ","Services","CST ","Completion Docs", "I - ", "Inspection")</f>
        <v>Inspection</v>
      </c>
      <c r="E245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8" s="24" t="str">
        <f ca="1">IF(OR(Master[[#This Row],[Type]]="checklist", Master[[#This Row],[Type]]="checklist-flat"), Master[[#This Row],[Name]], F2457)</f>
        <v>I - C - Inhabit Consultant Observation/Remedial Item Checklist</v>
      </c>
      <c r="G2458" s="3" t="s">
        <v>124</v>
      </c>
      <c r="H2458" s="24" t="s">
        <v>1804</v>
      </c>
      <c r="I2458" s="40"/>
      <c r="J2458" s="21">
        <f ca="1">_xlfn.XLOOKUP(Master[[#This Row],[Checklist]],Ref!A:A,Ref!B:B)*1000</f>
        <v>218000</v>
      </c>
      <c r="K2458" s="21">
        <f ca="1">COUNTIF($J$2:Master[[#This Row],[ChecklistID]],Master[[#This Row],[ChecklistID]])-1</f>
        <v>3</v>
      </c>
      <c r="L2458" s="23" t="s">
        <v>6</v>
      </c>
    </row>
    <row r="2459" spans="1:12" ht="15.75">
      <c r="A2459" s="23">
        <f t="shared" si="38"/>
        <v>2446</v>
      </c>
      <c r="B2459" s="21">
        <f ca="1">Master[[#This Row],[ChecklistID]]+Master[[#This Row],[Checklist Order]]</f>
        <v>218004</v>
      </c>
      <c r="C2459" s="22"/>
      <c r="D2459" s="23" t="str" cm="1">
        <f t="array" aca="1" ref="D2459" ca="1">_xlfn.SWITCH(MID(Master[[#This Row],[Checklist]],1,4),"C - ","Civil","F - ","Foundation","ST -","Structure","FC -","Façade","PRE ","Pre-Line","POST","Post-Line","H - ","Handover","S - ","Services","CST ","Completion Docs", "I - ", "Inspection")</f>
        <v>Inspection</v>
      </c>
      <c r="E245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59" s="24" t="str">
        <f ca="1">IF(OR(Master[[#This Row],[Type]]="checklist", Master[[#This Row],[Type]]="checklist-flat"), Master[[#This Row],[Name]], F2458)</f>
        <v>I - C - Inhabit Consultant Observation/Remedial Item Checklist</v>
      </c>
      <c r="G2459" s="3" t="s">
        <v>124</v>
      </c>
      <c r="H2459" s="24" t="s">
        <v>1747</v>
      </c>
      <c r="I2459" s="40"/>
      <c r="J2459" s="21">
        <f ca="1">_xlfn.XLOOKUP(Master[[#This Row],[Checklist]],Ref!A:A,Ref!B:B)*1000</f>
        <v>218000</v>
      </c>
      <c r="K2459" s="21">
        <f ca="1">COUNTIF($J$2:Master[[#This Row],[ChecklistID]],Master[[#This Row],[ChecklistID]])-1</f>
        <v>4</v>
      </c>
      <c r="L2459" s="23" t="s">
        <v>6</v>
      </c>
    </row>
    <row r="2460" spans="1:12" ht="15.75">
      <c r="A2460" s="23">
        <f t="shared" si="38"/>
        <v>2447</v>
      </c>
      <c r="B2460" s="21">
        <f ca="1">Master[[#This Row],[ChecklistID]]+Master[[#This Row],[Checklist Order]]</f>
        <v>218005</v>
      </c>
      <c r="C2460" s="22"/>
      <c r="D2460" s="23" t="str" cm="1">
        <f t="array" aca="1" ref="D2460" ca="1">_xlfn.SWITCH(MID(Master[[#This Row],[Checklist]],1,4),"C - ","Civil","F - ","Foundation","ST -","Structure","FC -","Façade","PRE ","Pre-Line","POST","Post-Line","H - ","Handover","S - ","Services","CST ","Completion Docs", "I - ", "Inspection")</f>
        <v>Inspection</v>
      </c>
      <c r="E246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0" s="24" t="str">
        <f ca="1">IF(OR(Master[[#This Row],[Type]]="checklist", Master[[#This Row],[Type]]="checklist-flat"), Master[[#This Row],[Name]], F2459)</f>
        <v>I - C - Inhabit Consultant Observation/Remedial Item Checklist</v>
      </c>
      <c r="G2460" s="3" t="s">
        <v>58</v>
      </c>
      <c r="H2460" s="24" t="s">
        <v>1805</v>
      </c>
      <c r="I2460" s="40"/>
      <c r="J2460" s="21">
        <f ca="1">_xlfn.XLOOKUP(Master[[#This Row],[Checklist]],Ref!A:A,Ref!B:B)*1000</f>
        <v>218000</v>
      </c>
      <c r="K2460" s="21">
        <f ca="1">COUNTIF($J$2:Master[[#This Row],[ChecklistID]],Master[[#This Row],[ChecklistID]])-1</f>
        <v>5</v>
      </c>
      <c r="L2460" s="23" t="s">
        <v>6</v>
      </c>
    </row>
    <row r="2461" spans="1:12" ht="15.75">
      <c r="A2461" s="23">
        <f t="shared" si="38"/>
        <v>2448</v>
      </c>
      <c r="B2461" s="21">
        <f ca="1">Master[[#This Row],[ChecklistID]]+Master[[#This Row],[Checklist Order]]</f>
        <v>219000</v>
      </c>
      <c r="C2461" s="22"/>
      <c r="D2461" s="23" t="str" cm="1">
        <f t="array" aca="1" ref="D2461" ca="1">_xlfn.SWITCH(MID(Master[[#This Row],[Checklist]],1,4),"C - ","Civil","F - ","Foundation","ST -","Structure","FC -","Façade","PRE ","Pre-Line","POST","Post-Line","H - ","Handover","S - ","Services","CST ","Completion Docs", "I - ", "Inspection")</f>
        <v>Inspection</v>
      </c>
      <c r="E246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1" s="24" t="str">
        <f ca="1">IF(OR(Master[[#This Row],[Type]]="checklist", Master[[#This Row],[Type]]="checklist-flat"), Master[[#This Row],[Name]], F2460)</f>
        <v>I - C - Enlighten Fire Solutions Consultant Site Visit Report</v>
      </c>
      <c r="G2461" s="3" t="s">
        <v>119</v>
      </c>
      <c r="H2461" s="24" t="s">
        <v>1806</v>
      </c>
      <c r="I2461" s="40"/>
      <c r="J2461" s="21">
        <f ca="1">_xlfn.XLOOKUP(Master[[#This Row],[Checklist]],Ref!A:A,Ref!B:B)*1000</f>
        <v>219000</v>
      </c>
      <c r="K2461" s="21">
        <f ca="1">COUNTIF($J$2:Master[[#This Row],[ChecklistID]],Master[[#This Row],[ChecklistID]])-1</f>
        <v>0</v>
      </c>
      <c r="L2461" s="23" t="s">
        <v>6</v>
      </c>
    </row>
    <row r="2462" spans="1:12" ht="15.75">
      <c r="A2462" s="23">
        <f t="shared" si="38"/>
        <v>2449</v>
      </c>
      <c r="B2462" s="21">
        <f ca="1">Master[[#This Row],[ChecklistID]]+Master[[#This Row],[Checklist Order]]</f>
        <v>219001</v>
      </c>
      <c r="C2462" s="22"/>
      <c r="D2462" s="23" t="str" cm="1">
        <f t="array" aca="1" ref="D2462" ca="1">_xlfn.SWITCH(MID(Master[[#This Row],[Checklist]],1,4),"C - ","Civil","F - ","Foundation","ST -","Structure","FC -","Façade","PRE ","Pre-Line","POST","Post-Line","H - ","Handover","S - ","Services","CST ","Completion Docs", "I - ", "Inspection")</f>
        <v>Inspection</v>
      </c>
      <c r="E246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2" s="24" t="str">
        <f ca="1">IF(OR(Master[[#This Row],[Type]]="checklist", Master[[#This Row],[Type]]="checklist-flat"), Master[[#This Row],[Name]], F2461)</f>
        <v>I - C - Enlighten Fire Solutions Consultant Site Visit Report</v>
      </c>
      <c r="G2462" s="3" t="s">
        <v>120</v>
      </c>
      <c r="H2462" s="24" t="s">
        <v>1750</v>
      </c>
      <c r="I2462" s="40"/>
      <c r="J2462" s="21">
        <f ca="1">_xlfn.XLOOKUP(Master[[#This Row],[Checklist]],Ref!A:A,Ref!B:B)*1000</f>
        <v>219000</v>
      </c>
      <c r="K2462" s="21">
        <f ca="1">COUNTIF($J$2:Master[[#This Row],[ChecklistID]],Master[[#This Row],[ChecklistID]])-1</f>
        <v>1</v>
      </c>
      <c r="L2462" s="23" t="s">
        <v>6</v>
      </c>
    </row>
    <row r="2463" spans="1:12" ht="15.75">
      <c r="A2463" s="23">
        <f t="shared" si="38"/>
        <v>2450</v>
      </c>
      <c r="B2463" s="21">
        <f ca="1">Master[[#This Row],[ChecklistID]]+Master[[#This Row],[Checklist Order]]</f>
        <v>219002</v>
      </c>
      <c r="C2463" s="22"/>
      <c r="D2463" s="23" t="str" cm="1">
        <f t="array" aca="1" ref="D2463" ca="1">_xlfn.SWITCH(MID(Master[[#This Row],[Checklist]],1,4),"C - ","Civil","F - ","Foundation","ST -","Structure","FC -","Façade","PRE ","Pre-Line","POST","Post-Line","H - ","Handover","S - ","Services","CST ","Completion Docs", "I - ", "Inspection")</f>
        <v>Inspection</v>
      </c>
      <c r="E246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3" s="24" t="str">
        <f ca="1">IF(OR(Master[[#This Row],[Type]]="checklist", Master[[#This Row],[Type]]="checklist-flat"), Master[[#This Row],[Name]], F2462)</f>
        <v>I - C - Enlighten Fire Solutions Consultant Site Visit Report</v>
      </c>
      <c r="G2463" s="3" t="s">
        <v>49</v>
      </c>
      <c r="H2463" s="24" t="s">
        <v>1769</v>
      </c>
      <c r="I2463" s="40"/>
      <c r="J2463" s="21">
        <f ca="1">_xlfn.XLOOKUP(Master[[#This Row],[Checklist]],Ref!A:A,Ref!B:B)*1000</f>
        <v>219000</v>
      </c>
      <c r="K2463" s="21">
        <f ca="1">COUNTIF($J$2:Master[[#This Row],[ChecklistID]],Master[[#This Row],[ChecklistID]])-1</f>
        <v>2</v>
      </c>
      <c r="L2463" s="23" t="s">
        <v>6</v>
      </c>
    </row>
    <row r="2464" spans="1:12" ht="15.75">
      <c r="A2464" s="23">
        <f t="shared" si="38"/>
        <v>2451</v>
      </c>
      <c r="B2464" s="21">
        <f ca="1">Master[[#This Row],[ChecklistID]]+Master[[#This Row],[Checklist Order]]</f>
        <v>219003</v>
      </c>
      <c r="C2464" s="22"/>
      <c r="D2464" s="23" t="str" cm="1">
        <f t="array" aca="1" ref="D2464" ca="1">_xlfn.SWITCH(MID(Master[[#This Row],[Checklist]],1,4),"C - ","Civil","F - ","Foundation","ST -","Structure","FC -","Façade","PRE ","Pre-Line","POST","Post-Line","H - ","Handover","S - ","Services","CST ","Completion Docs", "I - ", "Inspection")</f>
        <v>Inspection</v>
      </c>
      <c r="E246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4" s="24" t="str">
        <f ca="1">IF(OR(Master[[#This Row],[Type]]="checklist", Master[[#This Row],[Type]]="checklist-flat"), Master[[#This Row],[Name]], F2463)</f>
        <v>I - C - Enlighten Fire Solutions Consultant Site Visit Report</v>
      </c>
      <c r="G2464" s="3" t="s">
        <v>124</v>
      </c>
      <c r="H2464" s="24" t="s">
        <v>1789</v>
      </c>
      <c r="I2464" s="40"/>
      <c r="J2464" s="21">
        <f ca="1">_xlfn.XLOOKUP(Master[[#This Row],[Checklist]],Ref!A:A,Ref!B:B)*1000</f>
        <v>219000</v>
      </c>
      <c r="K2464" s="21">
        <f ca="1">COUNTIF($J$2:Master[[#This Row],[ChecklistID]],Master[[#This Row],[ChecklistID]])-1</f>
        <v>3</v>
      </c>
      <c r="L2464" s="23" t="s">
        <v>6</v>
      </c>
    </row>
    <row r="2465" spans="1:12" ht="15.75">
      <c r="A2465" s="23">
        <f t="shared" si="38"/>
        <v>2452</v>
      </c>
      <c r="B2465" s="21">
        <f ca="1">Master[[#This Row],[ChecklistID]]+Master[[#This Row],[Checklist Order]]</f>
        <v>219004</v>
      </c>
      <c r="C2465" s="22"/>
      <c r="D2465" s="23" t="str" cm="1">
        <f t="array" aca="1" ref="D2465" ca="1">_xlfn.SWITCH(MID(Master[[#This Row],[Checklist]],1,4),"C - ","Civil","F - ","Foundation","ST -","Structure","FC -","Façade","PRE ","Pre-Line","POST","Post-Line","H - ","Handover","S - ","Services","CST ","Completion Docs", "I - ", "Inspection")</f>
        <v>Inspection</v>
      </c>
      <c r="E246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5" s="24" t="str">
        <f ca="1">IF(OR(Master[[#This Row],[Type]]="checklist", Master[[#This Row],[Type]]="checklist-flat"), Master[[#This Row],[Name]], F2464)</f>
        <v>I - C - Enlighten Fire Solutions Consultant Site Visit Report</v>
      </c>
      <c r="G2465" s="3" t="s">
        <v>124</v>
      </c>
      <c r="H2465" s="24" t="s">
        <v>1790</v>
      </c>
      <c r="I2465" s="40"/>
      <c r="J2465" s="21">
        <f ca="1">_xlfn.XLOOKUP(Master[[#This Row],[Checklist]],Ref!A:A,Ref!B:B)*1000</f>
        <v>219000</v>
      </c>
      <c r="K2465" s="21">
        <f ca="1">COUNTIF($J$2:Master[[#This Row],[ChecklistID]],Master[[#This Row],[ChecklistID]])-1</f>
        <v>4</v>
      </c>
      <c r="L2465" s="23" t="s">
        <v>6</v>
      </c>
    </row>
    <row r="2466" spans="1:12" ht="15.75">
      <c r="A2466" s="23">
        <f t="shared" si="38"/>
        <v>2453</v>
      </c>
      <c r="B2466" s="21">
        <f ca="1">Master[[#This Row],[ChecklistID]]+Master[[#This Row],[Checklist Order]]</f>
        <v>219005</v>
      </c>
      <c r="C2466" s="22"/>
      <c r="D2466" s="23" t="str" cm="1">
        <f t="array" aca="1" ref="D2466" ca="1">_xlfn.SWITCH(MID(Master[[#This Row],[Checklist]],1,4),"C - ","Civil","F - ","Foundation","ST -","Structure","FC -","Façade","PRE ","Pre-Line","POST","Post-Line","H - ","Handover","S - ","Services","CST ","Completion Docs", "I - ", "Inspection")</f>
        <v>Inspection</v>
      </c>
      <c r="E246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6" s="24" t="str">
        <f ca="1">IF(OR(Master[[#This Row],[Type]]="checklist", Master[[#This Row],[Type]]="checklist-flat"), Master[[#This Row],[Name]], F2465)</f>
        <v>I - C - Enlighten Fire Solutions Consultant Site Visit Report</v>
      </c>
      <c r="G2466" s="3" t="s">
        <v>124</v>
      </c>
      <c r="H2466" s="24" t="s">
        <v>1791</v>
      </c>
      <c r="I2466" s="40"/>
      <c r="J2466" s="21">
        <f ca="1">_xlfn.XLOOKUP(Master[[#This Row],[Checklist]],Ref!A:A,Ref!B:B)*1000</f>
        <v>219000</v>
      </c>
      <c r="K2466" s="21">
        <f ca="1">COUNTIF($J$2:Master[[#This Row],[ChecklistID]],Master[[#This Row],[ChecklistID]])-1</f>
        <v>5</v>
      </c>
      <c r="L2466" s="23" t="s">
        <v>6</v>
      </c>
    </row>
    <row r="2467" spans="1:12" ht="15.75">
      <c r="A2467" s="23">
        <f t="shared" si="38"/>
        <v>2454</v>
      </c>
      <c r="B2467" s="21">
        <f ca="1">Master[[#This Row],[ChecklistID]]+Master[[#This Row],[Checklist Order]]</f>
        <v>219006</v>
      </c>
      <c r="C2467" s="22"/>
      <c r="D2467" s="23" t="str" cm="1">
        <f t="array" aca="1" ref="D2467" ca="1">_xlfn.SWITCH(MID(Master[[#This Row],[Checklist]],1,4),"C - ","Civil","F - ","Foundation","ST -","Structure","FC -","Façade","PRE ","Pre-Line","POST","Post-Line","H - ","Handover","S - ","Services","CST ","Completion Docs", "I - ", "Inspection")</f>
        <v>Inspection</v>
      </c>
      <c r="E246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7" s="24" t="str">
        <f ca="1">IF(OR(Master[[#This Row],[Type]]="checklist", Master[[#This Row],[Type]]="checklist-flat"), Master[[#This Row],[Name]], F2466)</f>
        <v>I - C - Enlighten Fire Solutions Consultant Site Visit Report</v>
      </c>
      <c r="G2467" s="3" t="s">
        <v>124</v>
      </c>
      <c r="H2467" s="24" t="s">
        <v>1792</v>
      </c>
      <c r="I2467" s="40"/>
      <c r="J2467" s="21">
        <f ca="1">_xlfn.XLOOKUP(Master[[#This Row],[Checklist]],Ref!A:A,Ref!B:B)*1000</f>
        <v>219000</v>
      </c>
      <c r="K2467" s="21">
        <f ca="1">COUNTIF($J$2:Master[[#This Row],[ChecklistID]],Master[[#This Row],[ChecklistID]])-1</f>
        <v>6</v>
      </c>
      <c r="L2467" s="23" t="s">
        <v>6</v>
      </c>
    </row>
    <row r="2468" spans="1:12" ht="15.75">
      <c r="A2468" s="23">
        <f t="shared" si="38"/>
        <v>2455</v>
      </c>
      <c r="B2468" s="21">
        <f ca="1">Master[[#This Row],[ChecklistID]]+Master[[#This Row],[Checklist Order]]</f>
        <v>219007</v>
      </c>
      <c r="C2468" s="22"/>
      <c r="D2468" s="23" t="str" cm="1">
        <f t="array" aca="1" ref="D2468" ca="1">_xlfn.SWITCH(MID(Master[[#This Row],[Checklist]],1,4),"C - ","Civil","F - ","Foundation","ST -","Structure","FC -","Façade","PRE ","Pre-Line","POST","Post-Line","H - ","Handover","S - ","Services","CST ","Completion Docs", "I - ", "Inspection")</f>
        <v>Inspection</v>
      </c>
      <c r="E246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8" s="24" t="str">
        <f ca="1">IF(OR(Master[[#This Row],[Type]]="checklist", Master[[#This Row],[Type]]="checklist-flat"), Master[[#This Row],[Name]], F2467)</f>
        <v>I - C - Enlighten Fire Solutions Consultant Site Visit Report</v>
      </c>
      <c r="G2468" s="3" t="s">
        <v>124</v>
      </c>
      <c r="H2468" s="24" t="s">
        <v>1807</v>
      </c>
      <c r="I2468" s="40"/>
      <c r="J2468" s="21">
        <f ca="1">_xlfn.XLOOKUP(Master[[#This Row],[Checklist]],Ref!A:A,Ref!B:B)*1000</f>
        <v>219000</v>
      </c>
      <c r="K2468" s="21">
        <f ca="1">COUNTIF($J$2:Master[[#This Row],[ChecklistID]],Master[[#This Row],[ChecklistID]])-1</f>
        <v>7</v>
      </c>
      <c r="L2468" s="23" t="s">
        <v>6</v>
      </c>
    </row>
    <row r="2469" spans="1:12" ht="15.75">
      <c r="A2469" s="23">
        <f t="shared" si="38"/>
        <v>2456</v>
      </c>
      <c r="B2469" s="21">
        <f ca="1">Master[[#This Row],[ChecklistID]]+Master[[#This Row],[Checklist Order]]</f>
        <v>219008</v>
      </c>
      <c r="C2469" s="22"/>
      <c r="D2469" s="23" t="str" cm="1">
        <f t="array" aca="1" ref="D2469" ca="1">_xlfn.SWITCH(MID(Master[[#This Row],[Checklist]],1,4),"C - ","Civil","F - ","Foundation","ST -","Structure","FC -","Façade","PRE ","Pre-Line","POST","Post-Line","H - ","Handover","S - ","Services","CST ","Completion Docs", "I - ", "Inspection")</f>
        <v>Inspection</v>
      </c>
      <c r="E246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69" s="24" t="str">
        <f ca="1">IF(OR(Master[[#This Row],[Type]]="checklist", Master[[#This Row],[Type]]="checklist-flat"), Master[[#This Row],[Name]], F2468)</f>
        <v>I - C - Enlighten Fire Solutions Consultant Site Visit Report</v>
      </c>
      <c r="G2469" s="3" t="s">
        <v>124</v>
      </c>
      <c r="H2469" s="24" t="s">
        <v>1794</v>
      </c>
      <c r="I2469" s="40"/>
      <c r="J2469" s="21">
        <f ca="1">_xlfn.XLOOKUP(Master[[#This Row],[Checklist]],Ref!A:A,Ref!B:B)*1000</f>
        <v>219000</v>
      </c>
      <c r="K2469" s="21">
        <f ca="1">COUNTIF($J$2:Master[[#This Row],[ChecklistID]],Master[[#This Row],[ChecklistID]])-1</f>
        <v>8</v>
      </c>
      <c r="L2469" s="23" t="s">
        <v>6</v>
      </c>
    </row>
    <row r="2470" spans="1:12" ht="15.75">
      <c r="A2470" s="23">
        <f t="shared" si="38"/>
        <v>2457</v>
      </c>
      <c r="B2470" s="21">
        <f ca="1">Master[[#This Row],[ChecklistID]]+Master[[#This Row],[Checklist Order]]</f>
        <v>219009</v>
      </c>
      <c r="C2470" s="22"/>
      <c r="D2470" s="23" t="str" cm="1">
        <f t="array" aca="1" ref="D2470" ca="1">_xlfn.SWITCH(MID(Master[[#This Row],[Checklist]],1,4),"C - ","Civil","F - ","Foundation","ST -","Structure","FC -","Façade","PRE ","Pre-Line","POST","Post-Line","H - ","Handover","S - ","Services","CST ","Completion Docs", "I - ", "Inspection")</f>
        <v>Inspection</v>
      </c>
      <c r="E247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0" s="24" t="str">
        <f ca="1">IF(OR(Master[[#This Row],[Type]]="checklist", Master[[#This Row],[Type]]="checklist-flat"), Master[[#This Row],[Name]], F2469)</f>
        <v>I - C - Enlighten Fire Solutions Consultant Site Visit Report</v>
      </c>
      <c r="G2470" s="3" t="s">
        <v>124</v>
      </c>
      <c r="H2470" s="24" t="s">
        <v>1808</v>
      </c>
      <c r="I2470" s="40"/>
      <c r="J2470" s="21">
        <f ca="1">_xlfn.XLOOKUP(Master[[#This Row],[Checklist]],Ref!A:A,Ref!B:B)*1000</f>
        <v>219000</v>
      </c>
      <c r="K2470" s="21">
        <f ca="1">COUNTIF($J$2:Master[[#This Row],[ChecklistID]],Master[[#This Row],[ChecklistID]])-1</f>
        <v>9</v>
      </c>
      <c r="L2470" s="23" t="s">
        <v>6</v>
      </c>
    </row>
    <row r="2471" spans="1:12" ht="15.75">
      <c r="A2471" s="23">
        <f t="shared" si="38"/>
        <v>2458</v>
      </c>
      <c r="B2471" s="21">
        <f ca="1">Master[[#This Row],[ChecklistID]]+Master[[#This Row],[Checklist Order]]</f>
        <v>219010</v>
      </c>
      <c r="C2471" s="22"/>
      <c r="D2471" s="23" t="str" cm="1">
        <f t="array" aca="1" ref="D2471" ca="1">_xlfn.SWITCH(MID(Master[[#This Row],[Checklist]],1,4),"C - ","Civil","F - ","Foundation","ST -","Structure","FC -","Façade","PRE ","Pre-Line","POST","Post-Line","H - ","Handover","S - ","Services","CST ","Completion Docs", "I - ", "Inspection")</f>
        <v>Inspection</v>
      </c>
      <c r="E247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1" s="24" t="str">
        <f ca="1">IF(OR(Master[[#This Row],[Type]]="checklist", Master[[#This Row],[Type]]="checklist-flat"), Master[[#This Row],[Name]], F2470)</f>
        <v>I - C - Enlighten Fire Solutions Consultant Site Visit Report</v>
      </c>
      <c r="G2471" s="3" t="s">
        <v>49</v>
      </c>
      <c r="H2471" s="24" t="s">
        <v>1809</v>
      </c>
      <c r="I2471" s="40"/>
      <c r="J2471" s="21">
        <f ca="1">_xlfn.XLOOKUP(Master[[#This Row],[Checklist]],Ref!A:A,Ref!B:B)*1000</f>
        <v>219000</v>
      </c>
      <c r="K2471" s="21">
        <f ca="1">COUNTIF($J$2:Master[[#This Row],[ChecklistID]],Master[[#This Row],[ChecklistID]])-1</f>
        <v>10</v>
      </c>
      <c r="L2471" s="23" t="s">
        <v>6</v>
      </c>
    </row>
    <row r="2472" spans="1:12" ht="15.75">
      <c r="A2472" s="23">
        <f t="shared" si="38"/>
        <v>2459</v>
      </c>
      <c r="B2472" s="21">
        <f ca="1">Master[[#This Row],[ChecklistID]]+Master[[#This Row],[Checklist Order]]</f>
        <v>219011</v>
      </c>
      <c r="C2472" s="22"/>
      <c r="D2472" s="23" t="str" cm="1">
        <f t="array" aca="1" ref="D2472" ca="1">_xlfn.SWITCH(MID(Master[[#This Row],[Checklist]],1,4),"C - ","Civil","F - ","Foundation","ST -","Structure","FC -","Façade","PRE ","Pre-Line","POST","Post-Line","H - ","Handover","S - ","Services","CST ","Completion Docs", "I - ", "Inspection")</f>
        <v>Inspection</v>
      </c>
      <c r="E247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2" s="24" t="str">
        <f ca="1">IF(OR(Master[[#This Row],[Type]]="checklist", Master[[#This Row],[Type]]="checklist-flat"), Master[[#This Row],[Name]], F2471)</f>
        <v>I - C - Enlighten Fire Solutions Consultant Site Visit Report</v>
      </c>
      <c r="G2472" s="3" t="s">
        <v>49</v>
      </c>
      <c r="H2472" s="24" t="s">
        <v>1732</v>
      </c>
      <c r="I2472" s="40"/>
      <c r="J2472" s="21">
        <f ca="1">_xlfn.XLOOKUP(Master[[#This Row],[Checklist]],Ref!A:A,Ref!B:B)*1000</f>
        <v>219000</v>
      </c>
      <c r="K2472" s="21">
        <f ca="1">COUNTIF($J$2:Master[[#This Row],[ChecklistID]],Master[[#This Row],[ChecklistID]])-1</f>
        <v>11</v>
      </c>
      <c r="L2472" s="23" t="s">
        <v>6</v>
      </c>
    </row>
    <row r="2473" spans="1:12" ht="15.75">
      <c r="A2473" s="23">
        <f t="shared" si="38"/>
        <v>2460</v>
      </c>
      <c r="B2473" s="21">
        <f ca="1">Master[[#This Row],[ChecklistID]]+Master[[#This Row],[Checklist Order]]</f>
        <v>219012</v>
      </c>
      <c r="C2473" s="22"/>
      <c r="D2473" s="23" t="str" cm="1">
        <f t="array" aca="1" ref="D2473" ca="1">_xlfn.SWITCH(MID(Master[[#This Row],[Checklist]],1,4),"C - ","Civil","F - ","Foundation","ST -","Structure","FC -","Façade","PRE ","Pre-Line","POST","Post-Line","H - ","Handover","S - ","Services","CST ","Completion Docs", "I - ", "Inspection")</f>
        <v>Inspection</v>
      </c>
      <c r="E247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3" s="24" t="str">
        <f ca="1">IF(OR(Master[[#This Row],[Type]]="checklist", Master[[#This Row],[Type]]="checklist-flat"), Master[[#This Row],[Name]], F2472)</f>
        <v>I - C - Enlighten Fire Solutions Consultant Site Visit Report</v>
      </c>
      <c r="G2473" s="3" t="s">
        <v>120</v>
      </c>
      <c r="H2473" s="24" t="s">
        <v>1736</v>
      </c>
      <c r="I2473" s="40"/>
      <c r="J2473" s="21">
        <f ca="1">_xlfn.XLOOKUP(Master[[#This Row],[Checklist]],Ref!A:A,Ref!B:B)*1000</f>
        <v>219000</v>
      </c>
      <c r="K2473" s="21">
        <f ca="1">COUNTIF($J$2:Master[[#This Row],[ChecklistID]],Master[[#This Row],[ChecklistID]])-1</f>
        <v>12</v>
      </c>
      <c r="L2473" s="23" t="s">
        <v>6</v>
      </c>
    </row>
    <row r="2474" spans="1:12" ht="15.75">
      <c r="A2474" s="23">
        <f t="shared" si="38"/>
        <v>2461</v>
      </c>
      <c r="B2474" s="21">
        <f ca="1">Master[[#This Row],[ChecklistID]]+Master[[#This Row],[Checklist Order]]</f>
        <v>219013</v>
      </c>
      <c r="C2474" s="22"/>
      <c r="D2474" s="23" t="str" cm="1">
        <f t="array" aca="1" ref="D2474" ca="1">_xlfn.SWITCH(MID(Master[[#This Row],[Checklist]],1,4),"C - ","Civil","F - ","Foundation","ST -","Structure","FC -","Façade","PRE ","Pre-Line","POST","Post-Line","H - ","Handover","S - ","Services","CST ","Completion Docs", "I - ", "Inspection")</f>
        <v>Inspection</v>
      </c>
      <c r="E247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4" s="24" t="str">
        <f ca="1">IF(OR(Master[[#This Row],[Type]]="checklist", Master[[#This Row],[Type]]="checklist-flat"), Master[[#This Row],[Name]], F2473)</f>
        <v>I - C - Enlighten Fire Solutions Consultant Site Visit Report</v>
      </c>
      <c r="G2474" s="3" t="s">
        <v>49</v>
      </c>
      <c r="H2474" s="24" t="s">
        <v>1800</v>
      </c>
      <c r="I2474" s="40"/>
      <c r="J2474" s="21">
        <f ca="1">_xlfn.XLOOKUP(Master[[#This Row],[Checklist]],Ref!A:A,Ref!B:B)*1000</f>
        <v>219000</v>
      </c>
      <c r="K2474" s="21">
        <f ca="1">COUNTIF($J$2:Master[[#This Row],[ChecklistID]],Master[[#This Row],[ChecklistID]])-1</f>
        <v>13</v>
      </c>
      <c r="L2474" s="23" t="s">
        <v>6</v>
      </c>
    </row>
    <row r="2475" spans="1:12" ht="15.75">
      <c r="A2475" s="23">
        <f t="shared" si="38"/>
        <v>2462</v>
      </c>
      <c r="B2475" s="21">
        <f ca="1">Master[[#This Row],[ChecklistID]]+Master[[#This Row],[Checklist Order]]</f>
        <v>219014</v>
      </c>
      <c r="C2475" s="22"/>
      <c r="D2475" s="23" t="str" cm="1">
        <f t="array" aca="1" ref="D2475" ca="1">_xlfn.SWITCH(MID(Master[[#This Row],[Checklist]],1,4),"C - ","Civil","F - ","Foundation","ST -","Structure","FC -","Façade","PRE ","Pre-Line","POST","Post-Line","H - ","Handover","S - ","Services","CST ","Completion Docs", "I - ", "Inspection")</f>
        <v>Inspection</v>
      </c>
      <c r="E247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5" s="24" t="str">
        <f ca="1">IF(OR(Master[[#This Row],[Type]]="checklist", Master[[#This Row],[Type]]="checklist-flat"), Master[[#This Row],[Name]], F2474)</f>
        <v>I - C - Enlighten Fire Solutions Consultant Site Visit Report</v>
      </c>
      <c r="G2475" s="3" t="s">
        <v>58</v>
      </c>
      <c r="H2475" s="24" t="s">
        <v>1801</v>
      </c>
      <c r="I2475" s="40"/>
      <c r="J2475" s="21">
        <f ca="1">_xlfn.XLOOKUP(Master[[#This Row],[Checklist]],Ref!A:A,Ref!B:B)*1000</f>
        <v>219000</v>
      </c>
      <c r="K2475" s="21">
        <f ca="1">COUNTIF($J$2:Master[[#This Row],[ChecklistID]],Master[[#This Row],[ChecklistID]])-1</f>
        <v>14</v>
      </c>
      <c r="L2475" s="23" t="s">
        <v>6</v>
      </c>
    </row>
    <row r="2476" spans="1:12" ht="15.75">
      <c r="A2476" s="23">
        <f t="shared" si="38"/>
        <v>2463</v>
      </c>
      <c r="B2476" s="21">
        <f ca="1">Master[[#This Row],[ChecklistID]]+Master[[#This Row],[Checklist Order]]</f>
        <v>220000</v>
      </c>
      <c r="C2476" s="22"/>
      <c r="D2476" s="23" t="str" cm="1">
        <f t="array" aca="1" ref="D2476" ca="1">_xlfn.SWITCH(MID(Master[[#This Row],[Checklist]],1,4),"C - ","Civil","F - ","Foundation","ST -","Structure","FC -","Façade","PRE ","Pre-Line","POST","Post-Line","H - ","Handover","S - ","Services","CST ","Completion Docs", "I - ", "Inspection")</f>
        <v>Inspection</v>
      </c>
      <c r="E247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6" s="24" t="str">
        <f ca="1">IF(OR(Master[[#This Row],[Type]]="checklist", Master[[#This Row],[Type]]="checklist-flat"), Master[[#This Row],[Name]], F2475)</f>
        <v>I - C - Woods Consultant Site Visit Report</v>
      </c>
      <c r="G2476" s="3" t="s">
        <v>119</v>
      </c>
      <c r="H2476" s="24" t="s">
        <v>1810</v>
      </c>
      <c r="I2476" s="40"/>
      <c r="J2476" s="21">
        <f ca="1">_xlfn.XLOOKUP(Master[[#This Row],[Checklist]],Ref!A:A,Ref!B:B)*1000</f>
        <v>220000</v>
      </c>
      <c r="K2476" s="21">
        <f ca="1">COUNTIF($J$2:Master[[#This Row],[ChecklistID]],Master[[#This Row],[ChecklistID]])-1</f>
        <v>0</v>
      </c>
      <c r="L2476" s="23" t="s">
        <v>6</v>
      </c>
    </row>
    <row r="2477" spans="1:12" ht="15.75">
      <c r="A2477" s="23">
        <f t="shared" si="38"/>
        <v>2464</v>
      </c>
      <c r="B2477" s="21">
        <f ca="1">Master[[#This Row],[ChecklistID]]+Master[[#This Row],[Checklist Order]]</f>
        <v>220001</v>
      </c>
      <c r="C2477" s="22"/>
      <c r="D2477" s="23" t="str" cm="1">
        <f t="array" aca="1" ref="D2477" ca="1">_xlfn.SWITCH(MID(Master[[#This Row],[Checklist]],1,4),"C - ","Civil","F - ","Foundation","ST -","Structure","FC -","Façade","PRE ","Pre-Line","POST","Post-Line","H - ","Handover","S - ","Services","CST ","Completion Docs", "I - ", "Inspection")</f>
        <v>Inspection</v>
      </c>
      <c r="E247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7" s="24" t="str">
        <f ca="1">IF(OR(Master[[#This Row],[Type]]="checklist", Master[[#This Row],[Type]]="checklist-flat"), Master[[#This Row],[Name]], F2476)</f>
        <v>I - C - Woods Consultant Site Visit Report</v>
      </c>
      <c r="G2477" s="3" t="s">
        <v>120</v>
      </c>
      <c r="H2477" s="24" t="s">
        <v>1811</v>
      </c>
      <c r="I2477" s="40"/>
      <c r="J2477" s="21">
        <f ca="1">_xlfn.XLOOKUP(Master[[#This Row],[Checklist]],Ref!A:A,Ref!B:B)*1000</f>
        <v>220000</v>
      </c>
      <c r="K2477" s="21">
        <f ca="1">COUNTIF($J$2:Master[[#This Row],[ChecklistID]],Master[[#This Row],[ChecklistID]])-1</f>
        <v>1</v>
      </c>
      <c r="L2477" s="23" t="s">
        <v>6</v>
      </c>
    </row>
    <row r="2478" spans="1:12" ht="15.75">
      <c r="A2478" s="23">
        <f t="shared" si="38"/>
        <v>2465</v>
      </c>
      <c r="B2478" s="21">
        <f ca="1">Master[[#This Row],[ChecklistID]]+Master[[#This Row],[Checklist Order]]</f>
        <v>220002</v>
      </c>
      <c r="C2478" s="22"/>
      <c r="D2478" s="23" t="str" cm="1">
        <f t="array" aca="1" ref="D2478" ca="1">_xlfn.SWITCH(MID(Master[[#This Row],[Checklist]],1,4),"C - ","Civil","F - ","Foundation","ST -","Structure","FC -","Façade","PRE ","Pre-Line","POST","Post-Line","H - ","Handover","S - ","Services","CST ","Completion Docs", "I - ", "Inspection")</f>
        <v>Inspection</v>
      </c>
      <c r="E247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8" s="24" t="str">
        <f ca="1">IF(OR(Master[[#This Row],[Type]]="checklist", Master[[#This Row],[Type]]="checklist-flat"), Master[[#This Row],[Name]], F2477)</f>
        <v>I - C - Woods Consultant Site Visit Report</v>
      </c>
      <c r="G2478" s="3" t="s">
        <v>49</v>
      </c>
      <c r="H2478" s="24" t="s">
        <v>1721</v>
      </c>
      <c r="I2478" s="40"/>
      <c r="J2478" s="21">
        <f ca="1">_xlfn.XLOOKUP(Master[[#This Row],[Checklist]],Ref!A:A,Ref!B:B)*1000</f>
        <v>220000</v>
      </c>
      <c r="K2478" s="21">
        <f ca="1">COUNTIF($J$2:Master[[#This Row],[ChecklistID]],Master[[#This Row],[ChecklistID]])-1</f>
        <v>2</v>
      </c>
      <c r="L2478" s="23" t="s">
        <v>6</v>
      </c>
    </row>
    <row r="2479" spans="1:12" ht="15.75">
      <c r="A2479" s="23">
        <f t="shared" si="38"/>
        <v>2466</v>
      </c>
      <c r="B2479" s="21">
        <f ca="1">Master[[#This Row],[ChecklistID]]+Master[[#This Row],[Checklist Order]]</f>
        <v>220003</v>
      </c>
      <c r="C2479" s="22"/>
      <c r="D2479" s="23" t="str" cm="1">
        <f t="array" aca="1" ref="D2479" ca="1">_xlfn.SWITCH(MID(Master[[#This Row],[Checklist]],1,4),"C - ","Civil","F - ","Foundation","ST -","Structure","FC -","Façade","PRE ","Pre-Line","POST","Post-Line","H - ","Handover","S - ","Services","CST ","Completion Docs", "I - ", "Inspection")</f>
        <v>Inspection</v>
      </c>
      <c r="E247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79" s="24" t="str">
        <f ca="1">IF(OR(Master[[#This Row],[Type]]="checklist", Master[[#This Row],[Type]]="checklist-flat"), Master[[#This Row],[Name]], F2478)</f>
        <v>I - C - Woods Consultant Site Visit Report</v>
      </c>
      <c r="G2479" s="3" t="s">
        <v>124</v>
      </c>
      <c r="H2479" s="24" t="s">
        <v>1812</v>
      </c>
      <c r="I2479" s="40"/>
      <c r="J2479" s="21">
        <f ca="1">_xlfn.XLOOKUP(Master[[#This Row],[Checklist]],Ref!A:A,Ref!B:B)*1000</f>
        <v>220000</v>
      </c>
      <c r="K2479" s="21">
        <f ca="1">COUNTIF($J$2:Master[[#This Row],[ChecklistID]],Master[[#This Row],[ChecklistID]])-1</f>
        <v>3</v>
      </c>
      <c r="L2479" s="23" t="s">
        <v>6</v>
      </c>
    </row>
    <row r="2480" spans="1:12" ht="15.75">
      <c r="A2480" s="23">
        <f t="shared" si="38"/>
        <v>2467</v>
      </c>
      <c r="B2480" s="21">
        <f ca="1">Master[[#This Row],[ChecklistID]]+Master[[#This Row],[Checklist Order]]</f>
        <v>220004</v>
      </c>
      <c r="C2480" s="22"/>
      <c r="D2480" s="23" t="str" cm="1">
        <f t="array" aca="1" ref="D2480" ca="1">_xlfn.SWITCH(MID(Master[[#This Row],[Checklist]],1,4),"C - ","Civil","F - ","Foundation","ST -","Structure","FC -","Façade","PRE ","Pre-Line","POST","Post-Line","H - ","Handover","S - ","Services","CST ","Completion Docs", "I - ", "Inspection")</f>
        <v>Inspection</v>
      </c>
      <c r="E248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0" s="24" t="str">
        <f ca="1">IF(OR(Master[[#This Row],[Type]]="checklist", Master[[#This Row],[Type]]="checklist-flat"), Master[[#This Row],[Name]], F2479)</f>
        <v>I - C - Woods Consultant Site Visit Report</v>
      </c>
      <c r="G2480" s="3" t="s">
        <v>124</v>
      </c>
      <c r="H2480" s="24" t="s">
        <v>1813</v>
      </c>
      <c r="I2480" s="40"/>
      <c r="J2480" s="21">
        <f ca="1">_xlfn.XLOOKUP(Master[[#This Row],[Checklist]],Ref!A:A,Ref!B:B)*1000</f>
        <v>220000</v>
      </c>
      <c r="K2480" s="21">
        <f ca="1">COUNTIF($J$2:Master[[#This Row],[ChecklistID]],Master[[#This Row],[ChecklistID]])-1</f>
        <v>4</v>
      </c>
      <c r="L2480" s="23" t="s">
        <v>6</v>
      </c>
    </row>
    <row r="2481" spans="1:12" ht="15.75">
      <c r="A2481" s="23">
        <f t="shared" si="38"/>
        <v>2468</v>
      </c>
      <c r="B2481" s="21">
        <f ca="1">Master[[#This Row],[ChecklistID]]+Master[[#This Row],[Checklist Order]]</f>
        <v>220005</v>
      </c>
      <c r="C2481" s="22"/>
      <c r="D2481" s="23" t="str" cm="1">
        <f t="array" aca="1" ref="D2481" ca="1">_xlfn.SWITCH(MID(Master[[#This Row],[Checklist]],1,4),"C - ","Civil","F - ","Foundation","ST -","Structure","FC -","Façade","PRE ","Pre-Line","POST","Post-Line","H - ","Handover","S - ","Services","CST ","Completion Docs", "I - ", "Inspection")</f>
        <v>Inspection</v>
      </c>
      <c r="E248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1" s="24" t="str">
        <f ca="1">IF(OR(Master[[#This Row],[Type]]="checklist", Master[[#This Row],[Type]]="checklist-flat"), Master[[#This Row],[Name]], F2480)</f>
        <v>I - C - Woods Consultant Site Visit Report</v>
      </c>
      <c r="G2481" s="3" t="s">
        <v>124</v>
      </c>
      <c r="H2481" s="24" t="s">
        <v>1814</v>
      </c>
      <c r="I2481" s="40"/>
      <c r="J2481" s="21">
        <f ca="1">_xlfn.XLOOKUP(Master[[#This Row],[Checklist]],Ref!A:A,Ref!B:B)*1000</f>
        <v>220000</v>
      </c>
      <c r="K2481" s="21">
        <f ca="1">COUNTIF($J$2:Master[[#This Row],[ChecklistID]],Master[[#This Row],[ChecklistID]])-1</f>
        <v>5</v>
      </c>
      <c r="L2481" s="23" t="s">
        <v>6</v>
      </c>
    </row>
    <row r="2482" spans="1:12" ht="15.75">
      <c r="A2482" s="23">
        <f t="shared" si="38"/>
        <v>2469</v>
      </c>
      <c r="B2482" s="21">
        <f ca="1">Master[[#This Row],[ChecklistID]]+Master[[#This Row],[Checklist Order]]</f>
        <v>220006</v>
      </c>
      <c r="C2482" s="22"/>
      <c r="D2482" s="23" t="str" cm="1">
        <f t="array" aca="1" ref="D2482" ca="1">_xlfn.SWITCH(MID(Master[[#This Row],[Checklist]],1,4),"C - ","Civil","F - ","Foundation","ST -","Structure","FC -","Façade","PRE ","Pre-Line","POST","Post-Line","H - ","Handover","S - ","Services","CST ","Completion Docs", "I - ", "Inspection")</f>
        <v>Inspection</v>
      </c>
      <c r="E248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2" s="24" t="str">
        <f ca="1">IF(OR(Master[[#This Row],[Type]]="checklist", Master[[#This Row],[Type]]="checklist-flat"), Master[[#This Row],[Name]], F2481)</f>
        <v>I - C - Woods Consultant Site Visit Report</v>
      </c>
      <c r="G2482" s="3" t="s">
        <v>124</v>
      </c>
      <c r="H2482" s="24" t="s">
        <v>1723</v>
      </c>
      <c r="I2482" s="40"/>
      <c r="J2482" s="21">
        <f ca="1">_xlfn.XLOOKUP(Master[[#This Row],[Checklist]],Ref!A:A,Ref!B:B)*1000</f>
        <v>220000</v>
      </c>
      <c r="K2482" s="21">
        <f ca="1">COUNTIF($J$2:Master[[#This Row],[ChecklistID]],Master[[#This Row],[ChecklistID]])-1</f>
        <v>6</v>
      </c>
      <c r="L2482" s="23" t="s">
        <v>6</v>
      </c>
    </row>
    <row r="2483" spans="1:12" ht="15.75">
      <c r="A2483" s="23">
        <f t="shared" si="38"/>
        <v>2470</v>
      </c>
      <c r="B2483" s="21">
        <f ca="1">Master[[#This Row],[ChecklistID]]+Master[[#This Row],[Checklist Order]]</f>
        <v>220007</v>
      </c>
      <c r="C2483" s="22"/>
      <c r="D2483" s="23" t="str" cm="1">
        <f t="array" aca="1" ref="D2483" ca="1">_xlfn.SWITCH(MID(Master[[#This Row],[Checklist]],1,4),"C - ","Civil","F - ","Foundation","ST -","Structure","FC -","Façade","PRE ","Pre-Line","POST","Post-Line","H - ","Handover","S - ","Services","CST ","Completion Docs", "I - ", "Inspection")</f>
        <v>Inspection</v>
      </c>
      <c r="E248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3" s="24" t="str">
        <f ca="1">IF(OR(Master[[#This Row],[Type]]="checklist", Master[[#This Row],[Type]]="checklist-flat"), Master[[#This Row],[Name]], F2482)</f>
        <v>I - C - Woods Consultant Site Visit Report</v>
      </c>
      <c r="G2483" s="3" t="s">
        <v>124</v>
      </c>
      <c r="H2483" s="24" t="s">
        <v>1815</v>
      </c>
      <c r="I2483" s="40"/>
      <c r="J2483" s="21">
        <f ca="1">_xlfn.XLOOKUP(Master[[#This Row],[Checklist]],Ref!A:A,Ref!B:B)*1000</f>
        <v>220000</v>
      </c>
      <c r="K2483" s="21">
        <f ca="1">COUNTIF($J$2:Master[[#This Row],[ChecklistID]],Master[[#This Row],[ChecklistID]])-1</f>
        <v>7</v>
      </c>
      <c r="L2483" s="23" t="s">
        <v>6</v>
      </c>
    </row>
    <row r="2484" spans="1:12" ht="15.75">
      <c r="A2484" s="23">
        <f t="shared" ref="A2484:A2544" si="39">IFERROR(A2483+1,1)</f>
        <v>2471</v>
      </c>
      <c r="B2484" s="21">
        <f ca="1">Master[[#This Row],[ChecklistID]]+Master[[#This Row],[Checklist Order]]</f>
        <v>220008</v>
      </c>
      <c r="C2484" s="22"/>
      <c r="D2484" s="23" t="str" cm="1">
        <f t="array" aca="1" ref="D2484" ca="1">_xlfn.SWITCH(MID(Master[[#This Row],[Checklist]],1,4),"C - ","Civil","F - ","Foundation","ST -","Structure","FC -","Façade","PRE ","Pre-Line","POST","Post-Line","H - ","Handover","S - ","Services","CST ","Completion Docs", "I - ", "Inspection")</f>
        <v>Inspection</v>
      </c>
      <c r="E248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4" s="24" t="str">
        <f ca="1">IF(OR(Master[[#This Row],[Type]]="checklist", Master[[#This Row],[Type]]="checklist-flat"), Master[[#This Row],[Name]], F2483)</f>
        <v>I - C - Woods Consultant Site Visit Report</v>
      </c>
      <c r="G2484" s="3" t="s">
        <v>124</v>
      </c>
      <c r="H2484" s="24" t="s">
        <v>1816</v>
      </c>
      <c r="I2484" s="40"/>
      <c r="J2484" s="21">
        <f ca="1">_xlfn.XLOOKUP(Master[[#This Row],[Checklist]],Ref!A:A,Ref!B:B)*1000</f>
        <v>220000</v>
      </c>
      <c r="K2484" s="21">
        <f ca="1">COUNTIF($J$2:Master[[#This Row],[ChecklistID]],Master[[#This Row],[ChecklistID]])-1</f>
        <v>8</v>
      </c>
      <c r="L2484" s="23" t="s">
        <v>6</v>
      </c>
    </row>
    <row r="2485" spans="1:12" ht="15.75">
      <c r="A2485" s="23">
        <f t="shared" si="39"/>
        <v>2472</v>
      </c>
      <c r="B2485" s="21">
        <f ca="1">Master[[#This Row],[ChecklistID]]+Master[[#This Row],[Checklist Order]]</f>
        <v>220009</v>
      </c>
      <c r="C2485" s="22"/>
      <c r="D2485" s="23" t="str" cm="1">
        <f t="array" aca="1" ref="D2485" ca="1">_xlfn.SWITCH(MID(Master[[#This Row],[Checklist]],1,4),"C - ","Civil","F - ","Foundation","ST -","Structure","FC -","Façade","PRE ","Pre-Line","POST","Post-Line","H - ","Handover","S - ","Services","CST ","Completion Docs", "I - ", "Inspection")</f>
        <v>Inspection</v>
      </c>
      <c r="E248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5" s="24" t="str">
        <f ca="1">IF(OR(Master[[#This Row],[Type]]="checklist", Master[[#This Row],[Type]]="checklist-flat"), Master[[#This Row],[Name]], F2484)</f>
        <v>I - C - Woods Consultant Site Visit Report</v>
      </c>
      <c r="G2485" s="3" t="s">
        <v>124</v>
      </c>
      <c r="H2485" s="24" t="s">
        <v>1725</v>
      </c>
      <c r="I2485" s="40"/>
      <c r="J2485" s="21">
        <f ca="1">_xlfn.XLOOKUP(Master[[#This Row],[Checklist]],Ref!A:A,Ref!B:B)*1000</f>
        <v>220000</v>
      </c>
      <c r="K2485" s="21">
        <f ca="1">COUNTIF($J$2:Master[[#This Row],[ChecklistID]],Master[[#This Row],[ChecklistID]])-1</f>
        <v>9</v>
      </c>
      <c r="L2485" s="23" t="s">
        <v>6</v>
      </c>
    </row>
    <row r="2486" spans="1:12" ht="15.75">
      <c r="A2486" s="23">
        <f t="shared" si="39"/>
        <v>2473</v>
      </c>
      <c r="B2486" s="21">
        <f ca="1">Master[[#This Row],[ChecklistID]]+Master[[#This Row],[Checklist Order]]</f>
        <v>220010</v>
      </c>
      <c r="C2486" s="22"/>
      <c r="D2486" s="23" t="str" cm="1">
        <f t="array" aca="1" ref="D2486" ca="1">_xlfn.SWITCH(MID(Master[[#This Row],[Checklist]],1,4),"C - ","Civil","F - ","Foundation","ST -","Structure","FC -","Façade","PRE ","Pre-Line","POST","Post-Line","H - ","Handover","S - ","Services","CST ","Completion Docs", "I - ", "Inspection")</f>
        <v>Inspection</v>
      </c>
      <c r="E248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6" s="24" t="str">
        <f ca="1">IF(OR(Master[[#This Row],[Type]]="checklist", Master[[#This Row],[Type]]="checklist-flat"), Master[[#This Row],[Name]], F2485)</f>
        <v>I - C - Woods Consultant Site Visit Report</v>
      </c>
      <c r="G2486" s="3" t="s">
        <v>124</v>
      </c>
      <c r="H2486" s="24" t="s">
        <v>1726</v>
      </c>
      <c r="I2486" s="40"/>
      <c r="J2486" s="21">
        <f ca="1">_xlfn.XLOOKUP(Master[[#This Row],[Checklist]],Ref!A:A,Ref!B:B)*1000</f>
        <v>220000</v>
      </c>
      <c r="K2486" s="21">
        <f ca="1">COUNTIF($J$2:Master[[#This Row],[ChecklistID]],Master[[#This Row],[ChecklistID]])-1</f>
        <v>10</v>
      </c>
      <c r="L2486" s="23" t="s">
        <v>6</v>
      </c>
    </row>
    <row r="2487" spans="1:12" ht="15.75">
      <c r="A2487" s="23">
        <f t="shared" si="39"/>
        <v>2474</v>
      </c>
      <c r="B2487" s="21">
        <f ca="1">Master[[#This Row],[ChecklistID]]+Master[[#This Row],[Checklist Order]]</f>
        <v>220011</v>
      </c>
      <c r="C2487" s="22"/>
      <c r="D2487" s="23" t="str" cm="1">
        <f t="array" aca="1" ref="D2487" ca="1">_xlfn.SWITCH(MID(Master[[#This Row],[Checklist]],1,4),"C - ","Civil","F - ","Foundation","ST -","Structure","FC -","Façade","PRE ","Pre-Line","POST","Post-Line","H - ","Handover","S - ","Services","CST ","Completion Docs", "I - ", "Inspection")</f>
        <v>Inspection</v>
      </c>
      <c r="E248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7" s="24" t="str">
        <f ca="1">IF(OR(Master[[#This Row],[Type]]="checklist", Master[[#This Row],[Type]]="checklist-flat"), Master[[#This Row],[Name]], F2486)</f>
        <v>I - C - Woods Consultant Site Visit Report</v>
      </c>
      <c r="G2487" s="3" t="s">
        <v>49</v>
      </c>
      <c r="H2487" s="24" t="s">
        <v>1817</v>
      </c>
      <c r="I2487" s="40"/>
      <c r="J2487" s="21">
        <f ca="1">_xlfn.XLOOKUP(Master[[#This Row],[Checklist]],Ref!A:A,Ref!B:B)*1000</f>
        <v>220000</v>
      </c>
      <c r="K2487" s="21">
        <f ca="1">COUNTIF($J$2:Master[[#This Row],[ChecklistID]],Master[[#This Row],[ChecklistID]])-1</f>
        <v>11</v>
      </c>
      <c r="L2487" s="23" t="s">
        <v>6</v>
      </c>
    </row>
    <row r="2488" spans="1:12" ht="15.75">
      <c r="A2488" s="23">
        <f t="shared" si="39"/>
        <v>2475</v>
      </c>
      <c r="B2488" s="21">
        <f ca="1">Master[[#This Row],[ChecklistID]]+Master[[#This Row],[Checklist Order]]</f>
        <v>220012</v>
      </c>
      <c r="C2488" s="22"/>
      <c r="D2488" s="23" t="str" cm="1">
        <f t="array" aca="1" ref="D2488" ca="1">_xlfn.SWITCH(MID(Master[[#This Row],[Checklist]],1,4),"C - ","Civil","F - ","Foundation","ST -","Structure","FC -","Façade","PRE ","Pre-Line","POST","Post-Line","H - ","Handover","S - ","Services","CST ","Completion Docs", "I - ", "Inspection")</f>
        <v>Inspection</v>
      </c>
      <c r="E248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8" s="24" t="str">
        <f ca="1">IF(OR(Master[[#This Row],[Type]]="checklist", Master[[#This Row],[Type]]="checklist-flat"), Master[[#This Row],[Name]], F2487)</f>
        <v>I - C - Woods Consultant Site Visit Report</v>
      </c>
      <c r="G2488" s="3" t="s">
        <v>49</v>
      </c>
      <c r="H2488" s="24" t="s">
        <v>1818</v>
      </c>
      <c r="I2488" s="40"/>
      <c r="J2488" s="21">
        <f ca="1">_xlfn.XLOOKUP(Master[[#This Row],[Checklist]],Ref!A:A,Ref!B:B)*1000</f>
        <v>220000</v>
      </c>
      <c r="K2488" s="21">
        <f ca="1">COUNTIF($J$2:Master[[#This Row],[ChecklistID]],Master[[#This Row],[ChecklistID]])-1</f>
        <v>12</v>
      </c>
      <c r="L2488" s="23" t="s">
        <v>6</v>
      </c>
    </row>
    <row r="2489" spans="1:12" ht="15.75">
      <c r="A2489" s="23">
        <f t="shared" si="39"/>
        <v>2476</v>
      </c>
      <c r="B2489" s="21">
        <f ca="1">Master[[#This Row],[ChecklistID]]+Master[[#This Row],[Checklist Order]]</f>
        <v>220013</v>
      </c>
      <c r="C2489" s="22"/>
      <c r="D2489" s="23" t="str" cm="1">
        <f t="array" aca="1" ref="D2489" ca="1">_xlfn.SWITCH(MID(Master[[#This Row],[Checklist]],1,4),"C - ","Civil","F - ","Foundation","ST -","Structure","FC -","Façade","PRE ","Pre-Line","POST","Post-Line","H - ","Handover","S - ","Services","CST ","Completion Docs", "I - ", "Inspection")</f>
        <v>Inspection</v>
      </c>
      <c r="E248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89" s="24" t="str">
        <f ca="1">IF(OR(Master[[#This Row],[Type]]="checklist", Master[[#This Row],[Type]]="checklist-flat"), Master[[#This Row],[Name]], F2488)</f>
        <v>I - C - Woods Consultant Site Visit Report</v>
      </c>
      <c r="G2489" s="3" t="s">
        <v>49</v>
      </c>
      <c r="H2489" s="24" t="s">
        <v>1731</v>
      </c>
      <c r="I2489" s="40"/>
      <c r="J2489" s="21">
        <f ca="1">_xlfn.XLOOKUP(Master[[#This Row],[Checklist]],Ref!A:A,Ref!B:B)*1000</f>
        <v>220000</v>
      </c>
      <c r="K2489" s="21">
        <f ca="1">COUNTIF($J$2:Master[[#This Row],[ChecklistID]],Master[[#This Row],[ChecklistID]])-1</f>
        <v>13</v>
      </c>
      <c r="L2489" s="23" t="s">
        <v>6</v>
      </c>
    </row>
    <row r="2490" spans="1:12" ht="15.75">
      <c r="A2490" s="23">
        <f t="shared" si="39"/>
        <v>2477</v>
      </c>
      <c r="B2490" s="21">
        <f ca="1">Master[[#This Row],[ChecklistID]]+Master[[#This Row],[Checklist Order]]</f>
        <v>220014</v>
      </c>
      <c r="C2490" s="22"/>
      <c r="D2490" s="23" t="str" cm="1">
        <f t="array" aca="1" ref="D2490" ca="1">_xlfn.SWITCH(MID(Master[[#This Row],[Checklist]],1,4),"C - ","Civil","F - ","Foundation","ST -","Structure","FC -","Façade","PRE ","Pre-Line","POST","Post-Line","H - ","Handover","S - ","Services","CST ","Completion Docs", "I - ", "Inspection")</f>
        <v>Inspection</v>
      </c>
      <c r="E249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0" s="24" t="str">
        <f ca="1">IF(OR(Master[[#This Row],[Type]]="checklist", Master[[#This Row],[Type]]="checklist-flat"), Master[[#This Row],[Name]], F2489)</f>
        <v>I - C - Woods Consultant Site Visit Report</v>
      </c>
      <c r="G2490" s="3" t="s">
        <v>124</v>
      </c>
      <c r="H2490" s="24" t="s">
        <v>1819</v>
      </c>
      <c r="I2490" s="40"/>
      <c r="J2490" s="21">
        <f ca="1">_xlfn.XLOOKUP(Master[[#This Row],[Checklist]],Ref!A:A,Ref!B:B)*1000</f>
        <v>220000</v>
      </c>
      <c r="K2490" s="21">
        <f ca="1">COUNTIF($J$2:Master[[#This Row],[ChecklistID]],Master[[#This Row],[ChecklistID]])-1</f>
        <v>14</v>
      </c>
      <c r="L2490" s="23" t="s">
        <v>6</v>
      </c>
    </row>
    <row r="2491" spans="1:12" ht="15.75">
      <c r="A2491" s="23">
        <f t="shared" si="39"/>
        <v>2478</v>
      </c>
      <c r="B2491" s="21">
        <f ca="1">Master[[#This Row],[ChecklistID]]+Master[[#This Row],[Checklist Order]]</f>
        <v>220015</v>
      </c>
      <c r="C2491" s="22"/>
      <c r="D2491" s="23" t="str" cm="1">
        <f t="array" aca="1" ref="D2491" ca="1">_xlfn.SWITCH(MID(Master[[#This Row],[Checklist]],1,4),"C - ","Civil","F - ","Foundation","ST -","Structure","FC -","Façade","PRE ","Pre-Line","POST","Post-Line","H - ","Handover","S - ","Services","CST ","Completion Docs", "I - ", "Inspection")</f>
        <v>Inspection</v>
      </c>
      <c r="E249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1" s="24" t="str">
        <f ca="1">IF(OR(Master[[#This Row],[Type]]="checklist", Master[[#This Row],[Type]]="checklist-flat"), Master[[#This Row],[Name]], F2490)</f>
        <v>I - C - Woods Consultant Site Visit Report</v>
      </c>
      <c r="G2491" s="3" t="s">
        <v>49</v>
      </c>
      <c r="H2491" s="24" t="s">
        <v>1732</v>
      </c>
      <c r="I2491" s="40"/>
      <c r="J2491" s="21">
        <f ca="1">_xlfn.XLOOKUP(Master[[#This Row],[Checklist]],Ref!A:A,Ref!B:B)*1000</f>
        <v>220000</v>
      </c>
      <c r="K2491" s="21">
        <f ca="1">COUNTIF($J$2:Master[[#This Row],[ChecklistID]],Master[[#This Row],[ChecklistID]])-1</f>
        <v>15</v>
      </c>
      <c r="L2491" s="23" t="s">
        <v>6</v>
      </c>
    </row>
    <row r="2492" spans="1:12" ht="15.75">
      <c r="A2492" s="23">
        <f t="shared" si="39"/>
        <v>2479</v>
      </c>
      <c r="B2492" s="21">
        <f ca="1">Master[[#This Row],[ChecklistID]]+Master[[#This Row],[Checklist Order]]</f>
        <v>220016</v>
      </c>
      <c r="C2492" s="22"/>
      <c r="D2492" s="23" t="str" cm="1">
        <f t="array" aca="1" ref="D2492" ca="1">_xlfn.SWITCH(MID(Master[[#This Row],[Checklist]],1,4),"C - ","Civil","F - ","Foundation","ST -","Structure","FC -","Façade","PRE ","Pre-Line","POST","Post-Line","H - ","Handover","S - ","Services","CST ","Completion Docs", "I - ", "Inspection")</f>
        <v>Inspection</v>
      </c>
      <c r="E249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2" s="24" t="str">
        <f ca="1">IF(OR(Master[[#This Row],[Type]]="checklist", Master[[#This Row],[Type]]="checklist-flat"), Master[[#This Row],[Name]], F2491)</f>
        <v>I - C - Woods Consultant Site Visit Report</v>
      </c>
      <c r="G2492" s="3" t="s">
        <v>901</v>
      </c>
      <c r="H2492" s="24" t="s">
        <v>1820</v>
      </c>
      <c r="I2492" s="40"/>
      <c r="J2492" s="21">
        <f ca="1">_xlfn.XLOOKUP(Master[[#This Row],[Checklist]],Ref!A:A,Ref!B:B)*1000</f>
        <v>220000</v>
      </c>
      <c r="K2492" s="21">
        <f ca="1">COUNTIF($J$2:Master[[#This Row],[ChecklistID]],Master[[#This Row],[ChecklistID]])-1</f>
        <v>16</v>
      </c>
      <c r="L2492" s="23" t="s">
        <v>6</v>
      </c>
    </row>
    <row r="2493" spans="1:12" ht="15.75">
      <c r="A2493" s="23">
        <f t="shared" si="39"/>
        <v>2480</v>
      </c>
      <c r="B2493" s="21">
        <f ca="1">Master[[#This Row],[ChecklistID]]+Master[[#This Row],[Checklist Order]]</f>
        <v>220017</v>
      </c>
      <c r="C2493" s="22"/>
      <c r="D2493" s="23" t="str" cm="1">
        <f t="array" aca="1" ref="D2493" ca="1">_xlfn.SWITCH(MID(Master[[#This Row],[Checklist]],1,4),"C - ","Civil","F - ","Foundation","ST -","Structure","FC -","Façade","PRE ","Pre-Line","POST","Post-Line","H - ","Handover","S - ","Services","CST ","Completion Docs", "I - ", "Inspection")</f>
        <v>Inspection</v>
      </c>
      <c r="E249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3" s="24" t="str">
        <f ca="1">IF(OR(Master[[#This Row],[Type]]="checklist", Master[[#This Row],[Type]]="checklist-flat"), Master[[#This Row],[Name]], F2492)</f>
        <v>I - C - Woods Consultant Site Visit Report</v>
      </c>
      <c r="G2493" s="3" t="s">
        <v>131</v>
      </c>
      <c r="H2493" s="24" t="s">
        <v>1727</v>
      </c>
      <c r="I2493" s="40" t="s">
        <v>153</v>
      </c>
      <c r="J2493" s="21">
        <f ca="1">_xlfn.XLOOKUP(Master[[#This Row],[Checklist]],Ref!A:A,Ref!B:B)*1000</f>
        <v>220000</v>
      </c>
      <c r="K2493" s="21">
        <f ca="1">COUNTIF($J$2:Master[[#This Row],[ChecklistID]],Master[[#This Row],[ChecklistID]])-1</f>
        <v>17</v>
      </c>
      <c r="L2493" s="23" t="s">
        <v>6</v>
      </c>
    </row>
    <row r="2494" spans="1:12" ht="15.75">
      <c r="A2494" s="23">
        <f t="shared" si="39"/>
        <v>2481</v>
      </c>
      <c r="B2494" s="21">
        <f ca="1">Master[[#This Row],[ChecklistID]]+Master[[#This Row],[Checklist Order]]</f>
        <v>220018</v>
      </c>
      <c r="C2494" s="22"/>
      <c r="D2494" s="23" t="str" cm="1">
        <f t="array" aca="1" ref="D2494" ca="1">_xlfn.SWITCH(MID(Master[[#This Row],[Checklist]],1,4),"C - ","Civil","F - ","Foundation","ST -","Structure","FC -","Façade","PRE ","Pre-Line","POST","Post-Line","H - ","Handover","S - ","Services","CST ","Completion Docs", "I - ", "Inspection")</f>
        <v>Inspection</v>
      </c>
      <c r="E249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4" s="24" t="str">
        <f ca="1">IF(OR(Master[[#This Row],[Type]]="checklist", Master[[#This Row],[Type]]="checklist-flat"), Master[[#This Row],[Name]], F2493)</f>
        <v>I - C - Woods Consultant Site Visit Report</v>
      </c>
      <c r="G2494" s="3" t="s">
        <v>901</v>
      </c>
      <c r="H2494" s="24" t="s">
        <v>1728</v>
      </c>
      <c r="I2494" s="40"/>
      <c r="J2494" s="21">
        <f ca="1">_xlfn.XLOOKUP(Master[[#This Row],[Checklist]],Ref!A:A,Ref!B:B)*1000</f>
        <v>220000</v>
      </c>
      <c r="K2494" s="21">
        <f ca="1">COUNTIF($J$2:Master[[#This Row],[ChecklistID]],Master[[#This Row],[ChecklistID]])-1</f>
        <v>18</v>
      </c>
      <c r="L2494" s="23" t="s">
        <v>6</v>
      </c>
    </row>
    <row r="2495" spans="1:12" ht="15.75">
      <c r="A2495" s="23">
        <f t="shared" si="39"/>
        <v>2482</v>
      </c>
      <c r="B2495" s="21">
        <f ca="1">Master[[#This Row],[ChecklistID]]+Master[[#This Row],[Checklist Order]]</f>
        <v>220019</v>
      </c>
      <c r="C2495" s="22"/>
      <c r="D2495" s="23" t="str" cm="1">
        <f t="array" aca="1" ref="D2495" ca="1">_xlfn.SWITCH(MID(Master[[#This Row],[Checklist]],1,4),"C - ","Civil","F - ","Foundation","ST -","Structure","FC -","Façade","PRE ","Pre-Line","POST","Post-Line","H - ","Handover","S - ","Services","CST ","Completion Docs", "I - ", "Inspection")</f>
        <v>Inspection</v>
      </c>
      <c r="E249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5" s="24" t="str">
        <f ca="1">IF(OR(Master[[#This Row],[Type]]="checklist", Master[[#This Row],[Type]]="checklist-flat"), Master[[#This Row],[Name]], F2494)</f>
        <v>I - C - Woods Consultant Site Visit Report</v>
      </c>
      <c r="G2495" s="3" t="s">
        <v>901</v>
      </c>
      <c r="H2495" s="24" t="s">
        <v>1729</v>
      </c>
      <c r="I2495" s="40"/>
      <c r="J2495" s="21">
        <f ca="1">_xlfn.XLOOKUP(Master[[#This Row],[Checklist]],Ref!A:A,Ref!B:B)*1000</f>
        <v>220000</v>
      </c>
      <c r="K2495" s="21">
        <f ca="1">COUNTIF($J$2:Master[[#This Row],[ChecklistID]],Master[[#This Row],[ChecklistID]])-1</f>
        <v>19</v>
      </c>
      <c r="L2495" s="23" t="s">
        <v>6</v>
      </c>
    </row>
    <row r="2496" spans="1:12" ht="15.75">
      <c r="A2496" s="23">
        <f t="shared" si="39"/>
        <v>2483</v>
      </c>
      <c r="B2496" s="21">
        <f ca="1">Master[[#This Row],[ChecklistID]]+Master[[#This Row],[Checklist Order]]</f>
        <v>220020</v>
      </c>
      <c r="C2496" s="22"/>
      <c r="D2496" s="23" t="str" cm="1">
        <f t="array" aca="1" ref="D2496" ca="1">_xlfn.SWITCH(MID(Master[[#This Row],[Checklist]],1,4),"C - ","Civil","F - ","Foundation","ST -","Structure","FC -","Façade","PRE ","Pre-Line","POST","Post-Line","H - ","Handover","S - ","Services","CST ","Completion Docs", "I - ", "Inspection")</f>
        <v>Inspection</v>
      </c>
      <c r="E249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6" s="24" t="str">
        <f ca="1">IF(OR(Master[[#This Row],[Type]]="checklist", Master[[#This Row],[Type]]="checklist-flat"), Master[[#This Row],[Name]], F2495)</f>
        <v>I - C - Woods Consultant Site Visit Report</v>
      </c>
      <c r="G2496" s="3" t="s">
        <v>49</v>
      </c>
      <c r="H2496" s="24" t="s">
        <v>1821</v>
      </c>
      <c r="I2496" s="40"/>
      <c r="J2496" s="21">
        <f ca="1">_xlfn.XLOOKUP(Master[[#This Row],[Checklist]],Ref!A:A,Ref!B:B)*1000</f>
        <v>220000</v>
      </c>
      <c r="K2496" s="21">
        <f ca="1">COUNTIF($J$2:Master[[#This Row],[ChecklistID]],Master[[#This Row],[ChecklistID]])-1</f>
        <v>20</v>
      </c>
      <c r="L2496" s="23" t="s">
        <v>6</v>
      </c>
    </row>
    <row r="2497" spans="1:12" ht="15.75">
      <c r="A2497" s="23">
        <f t="shared" si="39"/>
        <v>2484</v>
      </c>
      <c r="B2497" s="21">
        <f ca="1">Master[[#This Row],[ChecklistID]]+Master[[#This Row],[Checklist Order]]</f>
        <v>220021</v>
      </c>
      <c r="C2497" s="22"/>
      <c r="D2497" s="23" t="str" cm="1">
        <f t="array" aca="1" ref="D2497" ca="1">_xlfn.SWITCH(MID(Master[[#This Row],[Checklist]],1,4),"C - ","Civil","F - ","Foundation","ST -","Structure","FC -","Façade","PRE ","Pre-Line","POST","Post-Line","H - ","Handover","S - ","Services","CST ","Completion Docs", "I - ", "Inspection")</f>
        <v>Inspection</v>
      </c>
      <c r="E249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7" s="24" t="str">
        <f ca="1">IF(OR(Master[[#This Row],[Type]]="checklist", Master[[#This Row],[Type]]="checklist-flat"), Master[[#This Row],[Name]], F2496)</f>
        <v>I - C - Woods Consultant Site Visit Report</v>
      </c>
      <c r="G2497" s="3" t="s">
        <v>796</v>
      </c>
      <c r="H2497" s="24" t="s">
        <v>1822</v>
      </c>
      <c r="I2497" s="40" t="s">
        <v>1823</v>
      </c>
      <c r="J2497" s="21">
        <f ca="1">_xlfn.XLOOKUP(Master[[#This Row],[Checklist]],Ref!A:A,Ref!B:B)*1000</f>
        <v>220000</v>
      </c>
      <c r="K2497" s="21">
        <f ca="1">COUNTIF($J$2:Master[[#This Row],[ChecklistID]],Master[[#This Row],[ChecklistID]])-1</f>
        <v>21</v>
      </c>
      <c r="L2497" s="23" t="s">
        <v>6</v>
      </c>
    </row>
    <row r="2498" spans="1:12" ht="15.75">
      <c r="A2498" s="23">
        <f t="shared" si="39"/>
        <v>2485</v>
      </c>
      <c r="B2498" s="21">
        <f ca="1">Master[[#This Row],[ChecklistID]]+Master[[#This Row],[Checklist Order]]</f>
        <v>220022</v>
      </c>
      <c r="C2498" s="22"/>
      <c r="D2498" s="23" t="str" cm="1">
        <f t="array" aca="1" ref="D2498" ca="1">_xlfn.SWITCH(MID(Master[[#This Row],[Checklist]],1,4),"C - ","Civil","F - ","Foundation","ST -","Structure","FC -","Façade","PRE ","Pre-Line","POST","Post-Line","H - ","Handover","S - ","Services","CST ","Completion Docs", "I - ", "Inspection")</f>
        <v>Inspection</v>
      </c>
      <c r="E249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8" s="24" t="str">
        <f ca="1">IF(OR(Master[[#This Row],[Type]]="checklist", Master[[#This Row],[Type]]="checklist-flat"), Master[[#This Row],[Name]], F2497)</f>
        <v>I - C - Woods Consultant Site Visit Report</v>
      </c>
      <c r="G2498" s="3" t="s">
        <v>1824</v>
      </c>
      <c r="H2498" s="24" t="s">
        <v>1778</v>
      </c>
      <c r="I2498" s="40"/>
      <c r="J2498" s="21">
        <f ca="1">_xlfn.XLOOKUP(Master[[#This Row],[Checklist]],Ref!A:A,Ref!B:B)*1000</f>
        <v>220000</v>
      </c>
      <c r="K2498" s="21">
        <f ca="1">COUNTIF($J$2:Master[[#This Row],[ChecklistID]],Master[[#This Row],[ChecklistID]])-1</f>
        <v>22</v>
      </c>
      <c r="L2498" s="23" t="s">
        <v>6</v>
      </c>
    </row>
    <row r="2499" spans="1:12" ht="15.75">
      <c r="A2499" s="23">
        <f t="shared" si="39"/>
        <v>2486</v>
      </c>
      <c r="B2499" s="21">
        <f ca="1">Master[[#This Row],[ChecklistID]]+Master[[#This Row],[Checklist Order]]</f>
        <v>220023</v>
      </c>
      <c r="C2499" s="22"/>
      <c r="D2499" s="23" t="str" cm="1">
        <f t="array" aca="1" ref="D2499" ca="1">_xlfn.SWITCH(MID(Master[[#This Row],[Checklist]],1,4),"C - ","Civil","F - ","Foundation","ST -","Structure","FC -","Façade","PRE ","Pre-Line","POST","Post-Line","H - ","Handover","S - ","Services","CST ","Completion Docs", "I - ", "Inspection")</f>
        <v>Inspection</v>
      </c>
      <c r="E249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499" s="24" t="str">
        <f ca="1">IF(OR(Master[[#This Row],[Type]]="checklist", Master[[#This Row],[Type]]="checklist-flat"), Master[[#This Row],[Name]], F2498)</f>
        <v>I - C - Woods Consultant Site Visit Report</v>
      </c>
      <c r="G2499" s="3" t="s">
        <v>49</v>
      </c>
      <c r="H2499" s="24" t="s">
        <v>1825</v>
      </c>
      <c r="I2499" s="40"/>
      <c r="J2499" s="21">
        <f ca="1">_xlfn.XLOOKUP(Master[[#This Row],[Checklist]],Ref!A:A,Ref!B:B)*1000</f>
        <v>220000</v>
      </c>
      <c r="K2499" s="21">
        <f ca="1">COUNTIF($J$2:Master[[#This Row],[ChecklistID]],Master[[#This Row],[ChecklistID]])-1</f>
        <v>23</v>
      </c>
      <c r="L2499" s="23" t="s">
        <v>6</v>
      </c>
    </row>
    <row r="2500" spans="1:12" ht="15.75">
      <c r="A2500" s="23">
        <f t="shared" si="39"/>
        <v>2487</v>
      </c>
      <c r="B2500" s="21">
        <f ca="1">Master[[#This Row],[ChecklistID]]+Master[[#This Row],[Checklist Order]]</f>
        <v>220024</v>
      </c>
      <c r="C2500" s="22"/>
      <c r="D2500" s="23" t="str" cm="1">
        <f t="array" aca="1" ref="D2500" ca="1">_xlfn.SWITCH(MID(Master[[#This Row],[Checklist]],1,4),"C - ","Civil","F - ","Foundation","ST -","Structure","FC -","Façade","PRE ","Pre-Line","POST","Post-Line","H - ","Handover","S - ","Services","CST ","Completion Docs", "I - ", "Inspection")</f>
        <v>Inspection</v>
      </c>
      <c r="E250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0" s="24" t="str">
        <f ca="1">IF(OR(Master[[#This Row],[Type]]="checklist", Master[[#This Row],[Type]]="checklist-flat"), Master[[#This Row],[Name]], F2499)</f>
        <v>I - C - Woods Consultant Site Visit Report</v>
      </c>
      <c r="G2500" s="3" t="s">
        <v>58</v>
      </c>
      <c r="H2500" s="24" t="s">
        <v>1801</v>
      </c>
      <c r="I2500" s="40"/>
      <c r="J2500" s="21">
        <f ca="1">_xlfn.XLOOKUP(Master[[#This Row],[Checklist]],Ref!A:A,Ref!B:B)*1000</f>
        <v>220000</v>
      </c>
      <c r="K2500" s="21">
        <f ca="1">COUNTIF($J$2:Master[[#This Row],[ChecklistID]],Master[[#This Row],[ChecklistID]])-1</f>
        <v>24</v>
      </c>
      <c r="L2500" s="23" t="s">
        <v>6</v>
      </c>
    </row>
    <row r="2501" spans="1:12" ht="15.75">
      <c r="A2501" s="23">
        <f t="shared" si="39"/>
        <v>2488</v>
      </c>
      <c r="B2501" s="21">
        <f ca="1">Master[[#This Row],[ChecklistID]]+Master[[#This Row],[Checklist Order]]</f>
        <v>221000</v>
      </c>
      <c r="C2501" s="22"/>
      <c r="D2501" s="23" t="str" cm="1">
        <f t="array" aca="1" ref="D2501" ca="1">_xlfn.SWITCH(MID(Master[[#This Row],[Checklist]],1,4),"C - ","Civil","F - ","Foundation","ST -","Structure","FC -","Façade","PRE ","Pre-Line","POST","Post-Line","H - ","Handover","S - ","Services","CST ","Completion Docs", "I - ", "Inspection")</f>
        <v>Inspection</v>
      </c>
      <c r="E250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1" s="24" t="str">
        <f ca="1">IF(OR(Master[[#This Row],[Type]]="checklist", Master[[#This Row],[Type]]="checklist-flat"), Master[[#This Row],[Name]], F2500)</f>
        <v>I - C - Woods Consultant Remedial Item Checklist</v>
      </c>
      <c r="G2501" s="3" t="s">
        <v>48</v>
      </c>
      <c r="H2501" s="24" t="s">
        <v>1826</v>
      </c>
      <c r="I2501" s="40"/>
      <c r="J2501" s="21">
        <f ca="1">_xlfn.XLOOKUP(Master[[#This Row],[Checklist]],Ref!A:A,Ref!B:B)*1000</f>
        <v>221000</v>
      </c>
      <c r="K2501" s="21">
        <f ca="1">COUNTIF($J$2:Master[[#This Row],[ChecklistID]],Master[[#This Row],[ChecklistID]])-1</f>
        <v>0</v>
      </c>
      <c r="L2501" s="23" t="s">
        <v>6</v>
      </c>
    </row>
    <row r="2502" spans="1:12" ht="15.75">
      <c r="A2502" s="23">
        <f t="shared" si="39"/>
        <v>2489</v>
      </c>
      <c r="B2502" s="21">
        <f ca="1">Master[[#This Row],[ChecklistID]]+Master[[#This Row],[Checklist Order]]</f>
        <v>221001</v>
      </c>
      <c r="C2502" s="22"/>
      <c r="D2502" s="23" t="str" cm="1">
        <f t="array" aca="1" ref="D2502" ca="1">_xlfn.SWITCH(MID(Master[[#This Row],[Checklist]],1,4),"C - ","Civil","F - ","Foundation","ST -","Structure","FC -","Façade","PRE ","Pre-Line","POST","Post-Line","H - ","Handover","S - ","Services","CST ","Completion Docs", "I - ", "Inspection")</f>
        <v>Inspection</v>
      </c>
      <c r="E250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2" s="24" t="str">
        <f ca="1">IF(OR(Master[[#This Row],[Type]]="checklist", Master[[#This Row],[Type]]="checklist-flat"), Master[[#This Row],[Name]], F2501)</f>
        <v>I - C - Woods Consultant Remedial Item Checklist</v>
      </c>
      <c r="G2502" s="3" t="s">
        <v>49</v>
      </c>
      <c r="H2502" s="24" t="s">
        <v>1827</v>
      </c>
      <c r="I2502" s="40"/>
      <c r="J2502" s="21">
        <f ca="1">_xlfn.XLOOKUP(Master[[#This Row],[Checklist]],Ref!A:A,Ref!B:B)*1000</f>
        <v>221000</v>
      </c>
      <c r="K2502" s="21">
        <f ca="1">COUNTIF($J$2:Master[[#This Row],[ChecklistID]],Master[[#This Row],[ChecklistID]])-1</f>
        <v>1</v>
      </c>
      <c r="L2502" s="23" t="s">
        <v>6</v>
      </c>
    </row>
    <row r="2503" spans="1:12" ht="15.75">
      <c r="A2503" s="23">
        <f t="shared" si="39"/>
        <v>2490</v>
      </c>
      <c r="B2503" s="21">
        <f ca="1">Master[[#This Row],[ChecklistID]]+Master[[#This Row],[Checklist Order]]</f>
        <v>221002</v>
      </c>
      <c r="C2503" s="22"/>
      <c r="D2503" s="23" t="str" cm="1">
        <f t="array" aca="1" ref="D2503" ca="1">_xlfn.SWITCH(MID(Master[[#This Row],[Checklist]],1,4),"C - ","Civil","F - ","Foundation","ST -","Structure","FC -","Façade","PRE ","Pre-Line","POST","Post-Line","H - ","Handover","S - ","Services","CST ","Completion Docs", "I - ", "Inspection")</f>
        <v>Inspection</v>
      </c>
      <c r="E250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3" s="24" t="str">
        <f ca="1">IF(OR(Master[[#This Row],[Type]]="checklist", Master[[#This Row],[Type]]="checklist-flat"), Master[[#This Row],[Name]], F2502)</f>
        <v>I - C - Woods Consultant Remedial Item Checklist</v>
      </c>
      <c r="G2503" s="3" t="s">
        <v>124</v>
      </c>
      <c r="H2503" s="24" t="s">
        <v>1745</v>
      </c>
      <c r="I2503" s="40"/>
      <c r="J2503" s="21">
        <f ca="1">_xlfn.XLOOKUP(Master[[#This Row],[Checklist]],Ref!A:A,Ref!B:B)*1000</f>
        <v>221000</v>
      </c>
      <c r="K2503" s="21">
        <f ca="1">COUNTIF($J$2:Master[[#This Row],[ChecklistID]],Master[[#This Row],[ChecklistID]])-1</f>
        <v>2</v>
      </c>
      <c r="L2503" s="23" t="s">
        <v>6</v>
      </c>
    </row>
    <row r="2504" spans="1:12" ht="15.75">
      <c r="A2504" s="23">
        <f t="shared" si="39"/>
        <v>2491</v>
      </c>
      <c r="B2504" s="21">
        <f ca="1">Master[[#This Row],[ChecklistID]]+Master[[#This Row],[Checklist Order]]</f>
        <v>221003</v>
      </c>
      <c r="C2504" s="22"/>
      <c r="D2504" s="23" t="str" cm="1">
        <f t="array" aca="1" ref="D2504" ca="1">_xlfn.SWITCH(MID(Master[[#This Row],[Checklist]],1,4),"C - ","Civil","F - ","Foundation","ST -","Structure","FC -","Façade","PRE ","Pre-Line","POST","Post-Line","H - ","Handover","S - ","Services","CST ","Completion Docs", "I - ", "Inspection")</f>
        <v>Inspection</v>
      </c>
      <c r="E250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4" s="24" t="str">
        <f ca="1">IF(OR(Master[[#This Row],[Type]]="checklist", Master[[#This Row],[Type]]="checklist-flat"), Master[[#This Row],[Name]], F2503)</f>
        <v>I - C - Woods Consultant Remedial Item Checklist</v>
      </c>
      <c r="G2504" s="3" t="s">
        <v>124</v>
      </c>
      <c r="H2504" s="24" t="s">
        <v>1746</v>
      </c>
      <c r="I2504" s="40"/>
      <c r="J2504" s="21">
        <f ca="1">_xlfn.XLOOKUP(Master[[#This Row],[Checklist]],Ref!A:A,Ref!B:B)*1000</f>
        <v>221000</v>
      </c>
      <c r="K2504" s="21">
        <f ca="1">COUNTIF($J$2:Master[[#This Row],[ChecklistID]],Master[[#This Row],[ChecklistID]])-1</f>
        <v>3</v>
      </c>
      <c r="L2504" s="23" t="s">
        <v>6</v>
      </c>
    </row>
    <row r="2505" spans="1:12" ht="15.75">
      <c r="A2505" s="23">
        <f t="shared" si="39"/>
        <v>2492</v>
      </c>
      <c r="B2505" s="21">
        <f ca="1">Master[[#This Row],[ChecklistID]]+Master[[#This Row],[Checklist Order]]</f>
        <v>221004</v>
      </c>
      <c r="C2505" s="22"/>
      <c r="D2505" s="23" t="str" cm="1">
        <f t="array" aca="1" ref="D2505" ca="1">_xlfn.SWITCH(MID(Master[[#This Row],[Checklist]],1,4),"C - ","Civil","F - ","Foundation","ST -","Structure","FC -","Façade","PRE ","Pre-Line","POST","Post-Line","H - ","Handover","S - ","Services","CST ","Completion Docs", "I - ", "Inspection")</f>
        <v>Inspection</v>
      </c>
      <c r="E250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5" s="24" t="str">
        <f ca="1">IF(OR(Master[[#This Row],[Type]]="checklist", Master[[#This Row],[Type]]="checklist-flat"), Master[[#This Row],[Name]], F2504)</f>
        <v>I - C - Woods Consultant Remedial Item Checklist</v>
      </c>
      <c r="G2505" s="3" t="s">
        <v>124</v>
      </c>
      <c r="H2505" s="24" t="s">
        <v>1747</v>
      </c>
      <c r="I2505" s="40"/>
      <c r="J2505" s="21">
        <f ca="1">_xlfn.XLOOKUP(Master[[#This Row],[Checklist]],Ref!A:A,Ref!B:B)*1000</f>
        <v>221000</v>
      </c>
      <c r="K2505" s="21">
        <f ca="1">COUNTIF($J$2:Master[[#This Row],[ChecklistID]],Master[[#This Row],[ChecklistID]])-1</f>
        <v>4</v>
      </c>
      <c r="L2505" s="23" t="s">
        <v>6</v>
      </c>
    </row>
    <row r="2506" spans="1:12" ht="15.75">
      <c r="A2506" s="23">
        <f t="shared" si="39"/>
        <v>2493</v>
      </c>
      <c r="B2506" s="21">
        <f ca="1">Master[[#This Row],[ChecklistID]]+Master[[#This Row],[Checklist Order]]</f>
        <v>221005</v>
      </c>
      <c r="C2506" s="22"/>
      <c r="D2506" s="23" t="str" cm="1">
        <f t="array" aca="1" ref="D2506" ca="1">_xlfn.SWITCH(MID(Master[[#This Row],[Checklist]],1,4),"C - ","Civil","F - ","Foundation","ST -","Structure","FC -","Façade","PRE ","Pre-Line","POST","Post-Line","H - ","Handover","S - ","Services","CST ","Completion Docs", "I - ", "Inspection")</f>
        <v>Inspection</v>
      </c>
      <c r="E250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6" s="24" t="str">
        <f ca="1">IF(OR(Master[[#This Row],[Type]]="checklist", Master[[#This Row],[Type]]="checklist-flat"), Master[[#This Row],[Name]], F2505)</f>
        <v>I - C - Woods Consultant Remedial Item Checklist</v>
      </c>
      <c r="G2506" s="3" t="s">
        <v>58</v>
      </c>
      <c r="H2506" s="24" t="s">
        <v>1828</v>
      </c>
      <c r="I2506" s="40"/>
      <c r="J2506" s="21">
        <f ca="1">_xlfn.XLOOKUP(Master[[#This Row],[Checklist]],Ref!A:A,Ref!B:B)*1000</f>
        <v>221000</v>
      </c>
      <c r="K2506" s="21">
        <f ca="1">COUNTIF($J$2:Master[[#This Row],[ChecklistID]],Master[[#This Row],[ChecklistID]])-1</f>
        <v>5</v>
      </c>
      <c r="L2506" s="23" t="s">
        <v>6</v>
      </c>
    </row>
    <row r="2507" spans="1:12" ht="15.75">
      <c r="A2507" s="23">
        <f t="shared" si="39"/>
        <v>2494</v>
      </c>
      <c r="B2507" s="21">
        <f ca="1">Master[[#This Row],[ChecklistID]]+Master[[#This Row],[Checklist Order]]</f>
        <v>222000</v>
      </c>
      <c r="C2507" s="22"/>
      <c r="D2507" s="23" t="str" cm="1">
        <f t="array" aca="1" ref="D2507" ca="1">_xlfn.SWITCH(MID(Master[[#This Row],[Checklist]],1,4),"C - ","Civil","F - ","Foundation","ST -","Structure","FC -","Façade","PRE ","Pre-Line","POST","Post-Line","H - ","Handover","S - ","Services","CST ","Completion Docs", "I - ", "Inspection")</f>
        <v>Inspection</v>
      </c>
      <c r="E250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7" s="24" t="str">
        <f ca="1">IF(OR(Master[[#This Row],[Type]]="checklist", Master[[#This Row],[Type]]="checklist-flat"), Master[[#This Row],[Name]], F2506)</f>
        <v>I - C - Woods Survey Set-Out Checklist</v>
      </c>
      <c r="G2507" t="s">
        <v>48</v>
      </c>
      <c r="H2507" t="s">
        <v>1829</v>
      </c>
      <c r="I2507" s="40"/>
      <c r="J2507" s="21">
        <f ca="1">_xlfn.XLOOKUP(Master[[#This Row],[Checklist]],Ref!A:A,Ref!B:B)*1000</f>
        <v>222000</v>
      </c>
      <c r="K2507" s="21">
        <f ca="1">COUNTIF($J$2:Master[[#This Row],[ChecklistID]],Master[[#This Row],[ChecklistID]])-1</f>
        <v>0</v>
      </c>
      <c r="L2507" s="23" t="s">
        <v>6</v>
      </c>
    </row>
    <row r="2508" spans="1:12" ht="15.75">
      <c r="A2508" s="23">
        <f t="shared" si="39"/>
        <v>2495</v>
      </c>
      <c r="B2508" s="21">
        <f ca="1">Master[[#This Row],[ChecklistID]]+Master[[#This Row],[Checklist Order]]</f>
        <v>222001</v>
      </c>
      <c r="C2508" s="22"/>
      <c r="D2508" s="23" t="str" cm="1">
        <f t="array" aca="1" ref="D2508" ca="1">_xlfn.SWITCH(MID(Master[[#This Row],[Checklist]],1,4),"C - ","Civil","F - ","Foundation","ST -","Structure","FC -","Façade","PRE ","Pre-Line","POST","Post-Line","H - ","Handover","S - ","Services","CST ","Completion Docs", "I - ", "Inspection")</f>
        <v>Inspection</v>
      </c>
      <c r="E250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8" s="24" t="str">
        <f ca="1">IF(OR(Master[[#This Row],[Type]]="checklist", Master[[#This Row],[Type]]="checklist-flat"), Master[[#This Row],[Name]], F2507)</f>
        <v>I - C - Woods Survey Set-Out Checklist</v>
      </c>
      <c r="G2508" t="s">
        <v>49</v>
      </c>
      <c r="H2508" t="s">
        <v>1721</v>
      </c>
      <c r="I2508" s="40"/>
      <c r="J2508" s="21">
        <f ca="1">_xlfn.XLOOKUP(Master[[#This Row],[Checklist]],Ref!A:A,Ref!B:B)*1000</f>
        <v>222000</v>
      </c>
      <c r="K2508" s="21">
        <f ca="1">COUNTIF($J$2:Master[[#This Row],[ChecklistID]],Master[[#This Row],[ChecklistID]])-1</f>
        <v>1</v>
      </c>
      <c r="L2508" s="23" t="s">
        <v>6</v>
      </c>
    </row>
    <row r="2509" spans="1:12" ht="15.75">
      <c r="A2509" s="23">
        <f t="shared" si="39"/>
        <v>2496</v>
      </c>
      <c r="B2509" s="21">
        <f ca="1">Master[[#This Row],[ChecklistID]]+Master[[#This Row],[Checklist Order]]</f>
        <v>222002</v>
      </c>
      <c r="C2509" s="22"/>
      <c r="D2509" s="23" t="str" cm="1">
        <f t="array" aca="1" ref="D2509" ca="1">_xlfn.SWITCH(MID(Master[[#This Row],[Checklist]],1,4),"C - ","Civil","F - ","Foundation","ST -","Structure","FC -","Façade","PRE ","Pre-Line","POST","Post-Line","H - ","Handover","S - ","Services","CST ","Completion Docs", "I - ", "Inspection")</f>
        <v>Inspection</v>
      </c>
      <c r="E250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09" s="24" t="str">
        <f ca="1">IF(OR(Master[[#This Row],[Type]]="checklist", Master[[#This Row],[Type]]="checklist-flat"), Master[[#This Row],[Name]], F2508)</f>
        <v>I - C - Woods Survey Set-Out Checklist</v>
      </c>
      <c r="G2509" t="s">
        <v>124</v>
      </c>
      <c r="H2509" t="s">
        <v>1830</v>
      </c>
      <c r="I2509" s="40"/>
      <c r="J2509" s="21">
        <f ca="1">_xlfn.XLOOKUP(Master[[#This Row],[Checklist]],Ref!A:A,Ref!B:B)*1000</f>
        <v>222000</v>
      </c>
      <c r="K2509" s="21">
        <f ca="1">COUNTIF($J$2:Master[[#This Row],[ChecklistID]],Master[[#This Row],[ChecklistID]])-1</f>
        <v>2</v>
      </c>
      <c r="L2509" s="23" t="s">
        <v>6</v>
      </c>
    </row>
    <row r="2510" spans="1:12" ht="15.75">
      <c r="A2510" s="23">
        <f t="shared" si="39"/>
        <v>2497</v>
      </c>
      <c r="B2510" s="21">
        <f ca="1">Master[[#This Row],[ChecklistID]]+Master[[#This Row],[Checklist Order]]</f>
        <v>222003</v>
      </c>
      <c r="C2510" s="22"/>
      <c r="D2510" s="23" t="str" cm="1">
        <f t="array" aca="1" ref="D2510" ca="1">_xlfn.SWITCH(MID(Master[[#This Row],[Checklist]],1,4),"C - ","Civil","F - ","Foundation","ST -","Structure","FC -","Façade","PRE ","Pre-Line","POST","Post-Line","H - ","Handover","S - ","Services","CST ","Completion Docs", "I - ", "Inspection")</f>
        <v>Inspection</v>
      </c>
      <c r="E251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0" s="24" t="str">
        <f ca="1">IF(OR(Master[[#This Row],[Type]]="checklist", Master[[#This Row],[Type]]="checklist-flat"), Master[[#This Row],[Name]], F2509)</f>
        <v>I - C - Woods Survey Set-Out Checklist</v>
      </c>
      <c r="G2510" t="s">
        <v>124</v>
      </c>
      <c r="H2510" t="s">
        <v>1831</v>
      </c>
      <c r="I2510" s="40"/>
      <c r="J2510" s="21">
        <f ca="1">_xlfn.XLOOKUP(Master[[#This Row],[Checklist]],Ref!A:A,Ref!B:B)*1000</f>
        <v>222000</v>
      </c>
      <c r="K2510" s="21">
        <f ca="1">COUNTIF($J$2:Master[[#This Row],[ChecklistID]],Master[[#This Row],[ChecklistID]])-1</f>
        <v>3</v>
      </c>
      <c r="L2510" s="23" t="s">
        <v>6</v>
      </c>
    </row>
    <row r="2511" spans="1:12" ht="15.75">
      <c r="A2511" s="23">
        <f t="shared" si="39"/>
        <v>2498</v>
      </c>
      <c r="B2511" s="21">
        <f ca="1">Master[[#This Row],[ChecklistID]]+Master[[#This Row],[Checklist Order]]</f>
        <v>222004</v>
      </c>
      <c r="C2511" s="22"/>
      <c r="D2511" s="23" t="str" cm="1">
        <f t="array" aca="1" ref="D2511" ca="1">_xlfn.SWITCH(MID(Master[[#This Row],[Checklist]],1,4),"C - ","Civil","F - ","Foundation","ST -","Structure","FC -","Façade","PRE ","Pre-Line","POST","Post-Line","H - ","Handover","S - ","Services","CST ","Completion Docs", "I - ", "Inspection")</f>
        <v>Inspection</v>
      </c>
      <c r="E251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1" s="24" t="str">
        <f ca="1">IF(OR(Master[[#This Row],[Type]]="checklist", Master[[#This Row],[Type]]="checklist-flat"), Master[[#This Row],[Name]], F2510)</f>
        <v>I - C - Woods Survey Set-Out Checklist</v>
      </c>
      <c r="G2511" t="s">
        <v>124</v>
      </c>
      <c r="H2511" t="s">
        <v>1832</v>
      </c>
      <c r="I2511" s="40"/>
      <c r="J2511" s="21">
        <f ca="1">_xlfn.XLOOKUP(Master[[#This Row],[Checklist]],Ref!A:A,Ref!B:B)*1000</f>
        <v>222000</v>
      </c>
      <c r="K2511" s="21">
        <f ca="1">COUNTIF($J$2:Master[[#This Row],[ChecklistID]],Master[[#This Row],[ChecklistID]])-1</f>
        <v>4</v>
      </c>
      <c r="L2511" s="23" t="s">
        <v>6</v>
      </c>
    </row>
    <row r="2512" spans="1:12" ht="15.75">
      <c r="A2512" s="23">
        <f t="shared" si="39"/>
        <v>2499</v>
      </c>
      <c r="B2512" s="21">
        <f ca="1">Master[[#This Row],[ChecklistID]]+Master[[#This Row],[Checklist Order]]</f>
        <v>222005</v>
      </c>
      <c r="C2512" s="22"/>
      <c r="D2512" s="23" t="str" cm="1">
        <f t="array" aca="1" ref="D2512" ca="1">_xlfn.SWITCH(MID(Master[[#This Row],[Checklist]],1,4),"C - ","Civil","F - ","Foundation","ST -","Structure","FC -","Façade","PRE ","Pre-Line","POST","Post-Line","H - ","Handover","S - ","Services","CST ","Completion Docs", "I - ", "Inspection")</f>
        <v>Inspection</v>
      </c>
      <c r="E251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2" s="24" t="str">
        <f ca="1">IF(OR(Master[[#This Row],[Type]]="checklist", Master[[#This Row],[Type]]="checklist-flat"), Master[[#This Row],[Name]], F2511)</f>
        <v>I - C - Woods Survey Set-Out Checklist</v>
      </c>
      <c r="G2512" t="s">
        <v>49</v>
      </c>
      <c r="H2512" t="s">
        <v>1833</v>
      </c>
      <c r="I2512" s="40"/>
      <c r="J2512" s="21">
        <f ca="1">_xlfn.XLOOKUP(Master[[#This Row],[Checklist]],Ref!A:A,Ref!B:B)*1000</f>
        <v>222000</v>
      </c>
      <c r="K2512" s="21">
        <f ca="1">COUNTIF($J$2:Master[[#This Row],[ChecklistID]],Master[[#This Row],[ChecklistID]])-1</f>
        <v>5</v>
      </c>
      <c r="L2512" s="23" t="s">
        <v>6</v>
      </c>
    </row>
    <row r="2513" spans="1:12" ht="15.75">
      <c r="A2513" s="23">
        <f t="shared" si="39"/>
        <v>2500</v>
      </c>
      <c r="B2513" s="21">
        <f ca="1">Master[[#This Row],[ChecklistID]]+Master[[#This Row],[Checklist Order]]</f>
        <v>222006</v>
      </c>
      <c r="C2513" s="22"/>
      <c r="D2513" s="23" t="str" cm="1">
        <f t="array" aca="1" ref="D2513" ca="1">_xlfn.SWITCH(MID(Master[[#This Row],[Checklist]],1,4),"C - ","Civil","F - ","Foundation","ST -","Structure","FC -","Façade","PRE ","Pre-Line","POST","Post-Line","H - ","Handover","S - ","Services","CST ","Completion Docs", "I - ", "Inspection")</f>
        <v>Inspection</v>
      </c>
      <c r="E251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3" s="24" t="str">
        <f ca="1">IF(OR(Master[[#This Row],[Type]]="checklist", Master[[#This Row],[Type]]="checklist-flat"), Master[[#This Row],[Name]], F2512)</f>
        <v>I - C - Woods Survey Set-Out Checklist</v>
      </c>
      <c r="G2513" t="s">
        <v>1739</v>
      </c>
      <c r="H2513" t="s">
        <v>1834</v>
      </c>
      <c r="I2513" s="40"/>
      <c r="J2513" s="21">
        <f ca="1">_xlfn.XLOOKUP(Master[[#This Row],[Checklist]],Ref!A:A,Ref!B:B)*1000</f>
        <v>222000</v>
      </c>
      <c r="K2513" s="21">
        <f ca="1">COUNTIF($J$2:Master[[#This Row],[ChecklistID]],Master[[#This Row],[ChecklistID]])-1</f>
        <v>6</v>
      </c>
      <c r="L2513" s="23" t="s">
        <v>6</v>
      </c>
    </row>
    <row r="2514" spans="1:12" ht="15.75">
      <c r="A2514" s="23">
        <f t="shared" si="39"/>
        <v>2501</v>
      </c>
      <c r="B2514" s="21">
        <f ca="1">Master[[#This Row],[ChecklistID]]+Master[[#This Row],[Checklist Order]]</f>
        <v>222007</v>
      </c>
      <c r="C2514" s="22"/>
      <c r="D2514" s="23" t="str" cm="1">
        <f t="array" aca="1" ref="D2514" ca="1">_xlfn.SWITCH(MID(Master[[#This Row],[Checklist]],1,4),"C - ","Civil","F - ","Foundation","ST -","Structure","FC -","Façade","PRE ","Pre-Line","POST","Post-Line","H - ","Handover","S - ","Services","CST ","Completion Docs", "I - ", "Inspection")</f>
        <v>Inspection</v>
      </c>
      <c r="E251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4" s="24" t="str">
        <f ca="1">IF(OR(Master[[#This Row],[Type]]="checklist", Master[[#This Row],[Type]]="checklist-flat"), Master[[#This Row],[Name]], F2513)</f>
        <v>I - C - Woods Survey Set-Out Checklist</v>
      </c>
      <c r="G2514" t="s">
        <v>1739</v>
      </c>
      <c r="H2514" t="s">
        <v>1835</v>
      </c>
      <c r="I2514" s="40"/>
      <c r="J2514" s="21">
        <f ca="1">_xlfn.XLOOKUP(Master[[#This Row],[Checklist]],Ref!A:A,Ref!B:B)*1000</f>
        <v>222000</v>
      </c>
      <c r="K2514" s="21">
        <f ca="1">COUNTIF($J$2:Master[[#This Row],[ChecklistID]],Master[[#This Row],[ChecklistID]])-1</f>
        <v>7</v>
      </c>
      <c r="L2514" s="23" t="s">
        <v>6</v>
      </c>
    </row>
    <row r="2515" spans="1:12" ht="15.75">
      <c r="A2515" s="23">
        <f t="shared" si="39"/>
        <v>2502</v>
      </c>
      <c r="B2515" s="21">
        <f ca="1">Master[[#This Row],[ChecklistID]]+Master[[#This Row],[Checklist Order]]</f>
        <v>222008</v>
      </c>
      <c r="C2515" s="22"/>
      <c r="D2515" s="23" t="str" cm="1">
        <f t="array" aca="1" ref="D2515" ca="1">_xlfn.SWITCH(MID(Master[[#This Row],[Checklist]],1,4),"C - ","Civil","F - ","Foundation","ST -","Structure","FC -","Façade","PRE ","Pre-Line","POST","Post-Line","H - ","Handover","S - ","Services","CST ","Completion Docs", "I - ", "Inspection")</f>
        <v>Inspection</v>
      </c>
      <c r="E251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5" s="24" t="str">
        <f ca="1">IF(OR(Master[[#This Row],[Type]]="checklist", Master[[#This Row],[Type]]="checklist-flat"), Master[[#This Row],[Name]], F2514)</f>
        <v>I - C - Woods Survey Set-Out Checklist</v>
      </c>
      <c r="G2515" t="s">
        <v>1739</v>
      </c>
      <c r="H2515" t="s">
        <v>1836</v>
      </c>
      <c r="I2515" s="40"/>
      <c r="J2515" s="21">
        <f ca="1">_xlfn.XLOOKUP(Master[[#This Row],[Checklist]],Ref!A:A,Ref!B:B)*1000</f>
        <v>222000</v>
      </c>
      <c r="K2515" s="21">
        <f ca="1">COUNTIF($J$2:Master[[#This Row],[ChecklistID]],Master[[#This Row],[ChecklistID]])-1</f>
        <v>8</v>
      </c>
      <c r="L2515" s="23" t="s">
        <v>6</v>
      </c>
    </row>
    <row r="2516" spans="1:12" ht="15.75">
      <c r="A2516" s="23">
        <f t="shared" si="39"/>
        <v>2503</v>
      </c>
      <c r="B2516" s="21">
        <f ca="1">Master[[#This Row],[ChecklistID]]+Master[[#This Row],[Checklist Order]]</f>
        <v>222009</v>
      </c>
      <c r="C2516" s="22"/>
      <c r="D2516" s="23" t="str" cm="1">
        <f t="array" aca="1" ref="D2516" ca="1">_xlfn.SWITCH(MID(Master[[#This Row],[Checklist]],1,4),"C - ","Civil","F - ","Foundation","ST -","Structure","FC -","Façade","PRE ","Pre-Line","POST","Post-Line","H - ","Handover","S - ","Services","CST ","Completion Docs", "I - ", "Inspection")</f>
        <v>Inspection</v>
      </c>
      <c r="E251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6" s="24" t="str">
        <f ca="1">IF(OR(Master[[#This Row],[Type]]="checklist", Master[[#This Row],[Type]]="checklist-flat"), Master[[#This Row],[Name]], F2515)</f>
        <v>I - C - Woods Survey Set-Out Checklist</v>
      </c>
      <c r="G2516" t="s">
        <v>1739</v>
      </c>
      <c r="H2516" t="s">
        <v>1837</v>
      </c>
      <c r="I2516" s="40"/>
      <c r="J2516" s="21">
        <f ca="1">_xlfn.XLOOKUP(Master[[#This Row],[Checklist]],Ref!A:A,Ref!B:B)*1000</f>
        <v>222000</v>
      </c>
      <c r="K2516" s="21">
        <f ca="1">COUNTIF($J$2:Master[[#This Row],[ChecklistID]],Master[[#This Row],[ChecklistID]])-1</f>
        <v>9</v>
      </c>
      <c r="L2516" s="23" t="s">
        <v>6</v>
      </c>
    </row>
    <row r="2517" spans="1:12" ht="15.75">
      <c r="A2517" s="23">
        <f t="shared" si="39"/>
        <v>2504</v>
      </c>
      <c r="B2517" s="21">
        <f ca="1">Master[[#This Row],[ChecklistID]]+Master[[#This Row],[Checklist Order]]</f>
        <v>222010</v>
      </c>
      <c r="C2517" s="22"/>
      <c r="D2517" s="23" t="str" cm="1">
        <f t="array" aca="1" ref="D2517" ca="1">_xlfn.SWITCH(MID(Master[[#This Row],[Checklist]],1,4),"C - ","Civil","F - ","Foundation","ST -","Structure","FC -","Façade","PRE ","Pre-Line","POST","Post-Line","H - ","Handover","S - ","Services","CST ","Completion Docs", "I - ", "Inspection")</f>
        <v>Inspection</v>
      </c>
      <c r="E251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7" s="24" t="str">
        <f ca="1">IF(OR(Master[[#This Row],[Type]]="checklist", Master[[#This Row],[Type]]="checklist-flat"), Master[[#This Row],[Name]], F2516)</f>
        <v>I - C - Woods Survey Set-Out Checklist</v>
      </c>
      <c r="G2517" t="s">
        <v>49</v>
      </c>
      <c r="H2517" t="s">
        <v>1838</v>
      </c>
      <c r="I2517" s="40"/>
      <c r="J2517" s="21">
        <f ca="1">_xlfn.XLOOKUP(Master[[#This Row],[Checklist]],Ref!A:A,Ref!B:B)*1000</f>
        <v>222000</v>
      </c>
      <c r="K2517" s="21">
        <f ca="1">COUNTIF($J$2:Master[[#This Row],[ChecklistID]],Master[[#This Row],[ChecklistID]])-1</f>
        <v>10</v>
      </c>
      <c r="L2517" s="23" t="s">
        <v>6</v>
      </c>
    </row>
    <row r="2518" spans="1:12" ht="15.75">
      <c r="A2518" s="23">
        <f t="shared" si="39"/>
        <v>2505</v>
      </c>
      <c r="B2518" s="21">
        <f ca="1">Master[[#This Row],[ChecklistID]]+Master[[#This Row],[Checklist Order]]</f>
        <v>222011</v>
      </c>
      <c r="C2518" s="22"/>
      <c r="D2518" s="23" t="str" cm="1">
        <f t="array" aca="1" ref="D2518" ca="1">_xlfn.SWITCH(MID(Master[[#This Row],[Checklist]],1,4),"C - ","Civil","F - ","Foundation","ST -","Structure","FC -","Façade","PRE ","Pre-Line","POST","Post-Line","H - ","Handover","S - ","Services","CST ","Completion Docs", "I - ", "Inspection")</f>
        <v>Inspection</v>
      </c>
      <c r="E251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8" s="24" t="str">
        <f ca="1">IF(OR(Master[[#This Row],[Type]]="checklist", Master[[#This Row],[Type]]="checklist-flat"), Master[[#This Row],[Name]], F2517)</f>
        <v>I - C - Woods Survey Set-Out Checklist</v>
      </c>
      <c r="G2518" t="s">
        <v>1739</v>
      </c>
      <c r="H2518" t="s">
        <v>1839</v>
      </c>
      <c r="I2518" s="40"/>
      <c r="J2518" s="21">
        <f ca="1">_xlfn.XLOOKUP(Master[[#This Row],[Checklist]],Ref!A:A,Ref!B:B)*1000</f>
        <v>222000</v>
      </c>
      <c r="K2518" s="21">
        <f ca="1">COUNTIF($J$2:Master[[#This Row],[ChecklistID]],Master[[#This Row],[ChecklistID]])-1</f>
        <v>11</v>
      </c>
      <c r="L2518" s="23" t="s">
        <v>6</v>
      </c>
    </row>
    <row r="2519" spans="1:12" ht="15.75">
      <c r="A2519" s="23">
        <f t="shared" si="39"/>
        <v>2506</v>
      </c>
      <c r="B2519" s="21">
        <f ca="1">Master[[#This Row],[ChecklistID]]+Master[[#This Row],[Checklist Order]]</f>
        <v>222012</v>
      </c>
      <c r="C2519" s="22"/>
      <c r="D2519" s="23" t="str" cm="1">
        <f t="array" aca="1" ref="D2519" ca="1">_xlfn.SWITCH(MID(Master[[#This Row],[Checklist]],1,4),"C - ","Civil","F - ","Foundation","ST -","Structure","FC -","Façade","PRE ","Pre-Line","POST","Post-Line","H - ","Handover","S - ","Services","CST ","Completion Docs", "I - ", "Inspection")</f>
        <v>Inspection</v>
      </c>
      <c r="E251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19" s="24" t="str">
        <f ca="1">IF(OR(Master[[#This Row],[Type]]="checklist", Master[[#This Row],[Type]]="checklist-flat"), Master[[#This Row],[Name]], F2518)</f>
        <v>I - C - Woods Survey Set-Out Checklist</v>
      </c>
      <c r="G2519" t="s">
        <v>49</v>
      </c>
      <c r="H2519" t="s">
        <v>1840</v>
      </c>
      <c r="I2519" s="39"/>
      <c r="J2519" s="21">
        <f ca="1">_xlfn.XLOOKUP(Master[[#This Row],[Checklist]],Ref!A:A,Ref!B:B)*1000</f>
        <v>222000</v>
      </c>
      <c r="K2519" s="21">
        <f ca="1">COUNTIF($J$2:Master[[#This Row],[ChecklistID]],Master[[#This Row],[ChecklistID]])-1</f>
        <v>12</v>
      </c>
      <c r="L2519" s="23" t="s">
        <v>6</v>
      </c>
    </row>
    <row r="2520" spans="1:12" ht="15.75">
      <c r="A2520" s="23">
        <f t="shared" si="39"/>
        <v>2507</v>
      </c>
      <c r="B2520" s="21">
        <f ca="1">Master[[#This Row],[ChecklistID]]+Master[[#This Row],[Checklist Order]]</f>
        <v>222013</v>
      </c>
      <c r="C2520" s="22"/>
      <c r="D2520" s="23" t="str" cm="1">
        <f t="array" aca="1" ref="D2520" ca="1">_xlfn.SWITCH(MID(Master[[#This Row],[Checklist]],1,4),"C - ","Civil","F - ","Foundation","ST -","Structure","FC -","Façade","PRE ","Pre-Line","POST","Post-Line","H - ","Handover","S - ","Services","CST ","Completion Docs", "I - ", "Inspection")</f>
        <v>Inspection</v>
      </c>
      <c r="E252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20" s="24" t="str">
        <f ca="1">IF(OR(Master[[#This Row],[Type]]="checklist", Master[[#This Row],[Type]]="checklist-flat"), Master[[#This Row],[Name]], F2519)</f>
        <v>I - C - Woods Survey Set-Out Checklist</v>
      </c>
      <c r="G2520" t="s">
        <v>1739</v>
      </c>
      <c r="H2520" t="s">
        <v>1841</v>
      </c>
      <c r="I2520" s="40"/>
      <c r="J2520" s="21">
        <f ca="1">_xlfn.XLOOKUP(Master[[#This Row],[Checklist]],Ref!A:A,Ref!B:B)*1000</f>
        <v>222000</v>
      </c>
      <c r="K2520" s="21">
        <f ca="1">COUNTIF($J$2:Master[[#This Row],[ChecklistID]],Master[[#This Row],[ChecklistID]])-1</f>
        <v>13</v>
      </c>
      <c r="L2520" s="23" t="s">
        <v>6</v>
      </c>
    </row>
    <row r="2521" spans="1:12" ht="15.75">
      <c r="A2521" s="23">
        <f t="shared" si="39"/>
        <v>2508</v>
      </c>
      <c r="B2521" s="21">
        <f ca="1">Master[[#This Row],[ChecklistID]]+Master[[#This Row],[Checklist Order]]</f>
        <v>222014</v>
      </c>
      <c r="C2521" s="22"/>
      <c r="D2521" s="23" t="str" cm="1">
        <f t="array" aca="1" ref="D2521" ca="1">_xlfn.SWITCH(MID(Master[[#This Row],[Checklist]],1,4),"C - ","Civil","F - ","Foundation","ST -","Structure","FC -","Façade","PRE ","Pre-Line","POST","Post-Line","H - ","Handover","S - ","Services","CST ","Completion Docs", "I - ", "Inspection")</f>
        <v>Inspection</v>
      </c>
      <c r="E252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21" s="24" t="str">
        <f ca="1">IF(OR(Master[[#This Row],[Type]]="checklist", Master[[#This Row],[Type]]="checklist-flat"), Master[[#This Row],[Name]], F2520)</f>
        <v>I - C - Woods Survey Set-Out Checklist</v>
      </c>
      <c r="G2521" t="s">
        <v>1739</v>
      </c>
      <c r="H2521" t="s">
        <v>1842</v>
      </c>
      <c r="I2521" s="40"/>
      <c r="J2521" s="21">
        <f ca="1">_xlfn.XLOOKUP(Master[[#This Row],[Checklist]],Ref!A:A,Ref!B:B)*1000</f>
        <v>222000</v>
      </c>
      <c r="K2521" s="21">
        <f ca="1">COUNTIF($J$2:Master[[#This Row],[ChecklistID]],Master[[#This Row],[ChecklistID]])-1</f>
        <v>14</v>
      </c>
      <c r="L2521" s="23" t="s">
        <v>6</v>
      </c>
    </row>
    <row r="2522" spans="1:12" ht="15.75">
      <c r="A2522" s="23">
        <f t="shared" si="39"/>
        <v>2509</v>
      </c>
      <c r="B2522" s="21">
        <f ca="1">Master[[#This Row],[ChecklistID]]+Master[[#This Row],[Checklist Order]]</f>
        <v>222015</v>
      </c>
      <c r="C2522" s="22"/>
      <c r="D2522" s="23" t="str" cm="1">
        <f t="array" aca="1" ref="D2522" ca="1">_xlfn.SWITCH(MID(Master[[#This Row],[Checklist]],1,4),"C - ","Civil","F - ","Foundation","ST -","Structure","FC -","Façade","PRE ","Pre-Line","POST","Post-Line","H - ","Handover","S - ","Services","CST ","Completion Docs", "I - ", "Inspection")</f>
        <v>Inspection</v>
      </c>
      <c r="E252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22" s="24" t="str">
        <f ca="1">IF(OR(Master[[#This Row],[Type]]="checklist", Master[[#This Row],[Type]]="checklist-flat"), Master[[#This Row],[Name]], F2521)</f>
        <v>I - C - Woods Survey Set-Out Checklist</v>
      </c>
      <c r="G2522" t="s">
        <v>1739</v>
      </c>
      <c r="H2522" t="s">
        <v>1843</v>
      </c>
      <c r="I2522" s="40"/>
      <c r="J2522" s="21">
        <f ca="1">_xlfn.XLOOKUP(Master[[#This Row],[Checklist]],Ref!A:A,Ref!B:B)*1000</f>
        <v>222000</v>
      </c>
      <c r="K2522" s="21">
        <f ca="1">COUNTIF($J$2:Master[[#This Row],[ChecklistID]],Master[[#This Row],[ChecklistID]])-1</f>
        <v>15</v>
      </c>
      <c r="L2522" s="23" t="s">
        <v>6</v>
      </c>
    </row>
    <row r="2523" spans="1:12" ht="15.75">
      <c r="A2523" s="23">
        <f t="shared" si="39"/>
        <v>2510</v>
      </c>
      <c r="B2523" s="21">
        <f ca="1">Master[[#This Row],[ChecklistID]]+Master[[#This Row],[Checklist Order]]</f>
        <v>222016</v>
      </c>
      <c r="C2523" s="22"/>
      <c r="D2523" s="23" t="str" cm="1">
        <f t="array" aca="1" ref="D2523" ca="1">_xlfn.SWITCH(MID(Master[[#This Row],[Checklist]],1,4),"C - ","Civil","F - ","Foundation","ST -","Structure","FC -","Façade","PRE ","Pre-Line","POST","Post-Line","H - ","Handover","S - ","Services","CST ","Completion Docs", "I - ", "Inspection")</f>
        <v>Inspection</v>
      </c>
      <c r="E252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23" s="24" t="str">
        <f ca="1">IF(OR(Master[[#This Row],[Type]]="checklist", Master[[#This Row],[Type]]="checklist-flat"), Master[[#This Row],[Name]], F2522)</f>
        <v>I - C - Woods Survey Set-Out Checklist</v>
      </c>
      <c r="G2523" t="s">
        <v>1739</v>
      </c>
      <c r="H2523" t="s">
        <v>1844</v>
      </c>
      <c r="I2523" s="40"/>
      <c r="J2523" s="21">
        <f ca="1">_xlfn.XLOOKUP(Master[[#This Row],[Checklist]],Ref!A:A,Ref!B:B)*1000</f>
        <v>222000</v>
      </c>
      <c r="K2523" s="21">
        <f ca="1">COUNTIF($J$2:Master[[#This Row],[ChecklistID]],Master[[#This Row],[ChecklistID]])-1</f>
        <v>16</v>
      </c>
      <c r="L2523" s="23" t="s">
        <v>6</v>
      </c>
    </row>
    <row r="2524" spans="1:12" ht="15.75">
      <c r="A2524" s="23">
        <f t="shared" si="39"/>
        <v>2511</v>
      </c>
      <c r="B2524" s="21">
        <f ca="1">Master[[#This Row],[ChecklistID]]+Master[[#This Row],[Checklist Order]]</f>
        <v>222017</v>
      </c>
      <c r="C2524" s="22"/>
      <c r="D2524" s="23" t="str" cm="1">
        <f t="array" aca="1" ref="D2524" ca="1">_xlfn.SWITCH(MID(Master[[#This Row],[Checklist]],1,4),"C - ","Civil","F - ","Foundation","ST -","Structure","FC -","Façade","PRE ","Pre-Line","POST","Post-Line","H - ","Handover","S - ","Services","CST ","Completion Docs", "I - ", "Inspection")</f>
        <v>Inspection</v>
      </c>
      <c r="E252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24" s="24" t="str">
        <f ca="1">IF(OR(Master[[#This Row],[Type]]="checklist", Master[[#This Row],[Type]]="checklist-flat"), Master[[#This Row],[Name]], F2523)</f>
        <v>I - C - Woods Survey Set-Out Checklist</v>
      </c>
      <c r="G2524" t="s">
        <v>1739</v>
      </c>
      <c r="H2524" t="s">
        <v>1845</v>
      </c>
      <c r="I2524" s="40"/>
      <c r="J2524" s="21">
        <f ca="1">_xlfn.XLOOKUP(Master[[#This Row],[Checklist]],Ref!A:A,Ref!B:B)*1000</f>
        <v>222000</v>
      </c>
      <c r="K2524" s="21">
        <f ca="1">COUNTIF($J$2:Master[[#This Row],[ChecklistID]],Master[[#This Row],[ChecklistID]])-1</f>
        <v>17</v>
      </c>
      <c r="L2524" s="23" t="s">
        <v>6</v>
      </c>
    </row>
    <row r="2525" spans="1:12" ht="15.75">
      <c r="A2525" s="23">
        <f t="shared" si="39"/>
        <v>2512</v>
      </c>
      <c r="B2525" s="21">
        <f ca="1">Master[[#This Row],[ChecklistID]]+Master[[#This Row],[Checklist Order]]</f>
        <v>222018</v>
      </c>
      <c r="C2525" s="22"/>
      <c r="D2525" s="23" t="str" cm="1">
        <f t="array" aca="1" ref="D2525" ca="1">_xlfn.SWITCH(MID(Master[[#This Row],[Checklist]],1,4),"C - ","Civil","F - ","Foundation","ST -","Structure","FC -","Façade","PRE ","Pre-Line","POST","Post-Line","H - ","Handover","S - ","Services","CST ","Completion Docs", "I - ", "Inspection")</f>
        <v>Inspection</v>
      </c>
      <c r="E252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525" s="24" t="str">
        <f ca="1">IF(OR(Master[[#This Row],[Type]]="checklist", Master[[#This Row],[Type]]="checklist-flat"), Master[[#This Row],[Name]], F2524)</f>
        <v>I - C - Woods Survey Set-Out Checklist</v>
      </c>
      <c r="G2525" t="s">
        <v>49</v>
      </c>
      <c r="H2525" t="s">
        <v>1846</v>
      </c>
      <c r="I2525" s="40"/>
      <c r="J2525" s="21">
        <f ca="1">_xlfn.XLOOKUP(Master[[#This Row],[Checklist]],Ref!A:A,Ref!B:B)*1000</f>
        <v>222000</v>
      </c>
      <c r="K2525" s="21">
        <f ca="1">COUNTIF($J$2:Master[[#This Row],[ChecklistID]],Master[[#This Row],[ChecklistID]])-1</f>
        <v>18</v>
      </c>
      <c r="L2525" s="23" t="s">
        <v>6</v>
      </c>
    </row>
    <row r="2526" spans="1:12" ht="15.75">
      <c r="A2526" s="23">
        <f t="shared" si="39"/>
        <v>2513</v>
      </c>
      <c r="B2526" s="21">
        <f ca="1">Master[[#This Row],[ChecklistID]]+Master[[#This Row],[Checklist Order]]</f>
        <v>223000</v>
      </c>
      <c r="C2526" s="22"/>
      <c r="D2526" s="23" t="str" cm="1">
        <f t="array" aca="1" ref="D2526" ca="1">_xlfn.SWITCH(MID(Master[[#This Row],[Checklist]],1,4),"C - ","Civil","F - ","Foundation","ST -","Structure","FC -","Façade","PRE ","Pre-Line","POST","Post-Line","H - ","Handover","S - ","Services","CST ","Completion Docs", "I - ", "Inspection")</f>
        <v>Foundation</v>
      </c>
      <c r="E252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26" s="24" t="str">
        <f ca="1">IF(OR(Master[[#This Row],[Type]]="checklist", Master[[#This Row],[Type]]="checklist-flat"), Master[[#This Row],[Name]], F2525)</f>
        <v>F - S - Formwork Inspection</v>
      </c>
      <c r="G2526" s="30" t="s">
        <v>48</v>
      </c>
      <c r="H2526" s="38" t="s">
        <v>1847</v>
      </c>
      <c r="I2526" s="39"/>
      <c r="J2526" s="21">
        <f ca="1">_xlfn.XLOOKUP(Master[[#This Row],[Checklist]],Ref!A:A,Ref!B:B)*1000</f>
        <v>223000</v>
      </c>
      <c r="K2526" s="21">
        <f ca="1">COUNTIF($J$2:Master[[#This Row],[ChecklistID]],Master[[#This Row],[ChecklistID]])-1</f>
        <v>0</v>
      </c>
      <c r="L2526" s="23" t="s">
        <v>1848</v>
      </c>
    </row>
    <row r="2527" spans="1:12" ht="15.75">
      <c r="A2527" s="23">
        <f t="shared" si="39"/>
        <v>2514</v>
      </c>
      <c r="B2527" s="21">
        <f ca="1">Master[[#This Row],[ChecklistID]]+Master[[#This Row],[Checklist Order]]</f>
        <v>223001</v>
      </c>
      <c r="C2527" s="22"/>
      <c r="D2527" s="23" t="str" cm="1">
        <f t="array" aca="1" ref="D2527" ca="1">_xlfn.SWITCH(MID(Master[[#This Row],[Checklist]],1,4),"C - ","Civil","F - ","Foundation","ST -","Structure","FC -","Façade","PRE ","Pre-Line","POST","Post-Line","H - ","Handover","S - ","Services","CST ","Completion Docs", "I - ", "Inspection")</f>
        <v>Foundation</v>
      </c>
      <c r="E252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27" s="24" t="str">
        <f ca="1">IF(OR(Master[[#This Row],[Type]]="checklist", Master[[#This Row],[Type]]="checklist-flat"), Master[[#This Row],[Name]], F2526)</f>
        <v>F - S - Formwork Inspection</v>
      </c>
      <c r="G2527" s="3" t="s">
        <v>49</v>
      </c>
      <c r="H2527" s="24" t="s">
        <v>1849</v>
      </c>
      <c r="I2527" s="40"/>
      <c r="J2527" s="21">
        <f ca="1">_xlfn.XLOOKUP(Master[[#This Row],[Checklist]],Ref!A:A,Ref!B:B)*1000</f>
        <v>223000</v>
      </c>
      <c r="K2527" s="21">
        <f ca="1">COUNTIF($J$2:Master[[#This Row],[ChecklistID]],Master[[#This Row],[ChecklistID]])-1</f>
        <v>1</v>
      </c>
      <c r="L2527" s="23" t="s">
        <v>1848</v>
      </c>
    </row>
    <row r="2528" spans="1:12" ht="15.75">
      <c r="A2528" s="23">
        <f t="shared" si="39"/>
        <v>2515</v>
      </c>
      <c r="B2528" s="21">
        <f ca="1">Master[[#This Row],[ChecklistID]]+Master[[#This Row],[Checklist Order]]</f>
        <v>223002</v>
      </c>
      <c r="C2528" s="22"/>
      <c r="D2528" s="23" t="str" cm="1">
        <f t="array" aca="1" ref="D2528" ca="1">_xlfn.SWITCH(MID(Master[[#This Row],[Checklist]],1,4),"C - ","Civil","F - ","Foundation","ST -","Structure","FC -","Façade","PRE ","Pre-Line","POST","Post-Line","H - ","Handover","S - ","Services","CST ","Completion Docs", "I - ", "Inspection")</f>
        <v>Foundation</v>
      </c>
      <c r="E252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28" s="24" t="str">
        <f ca="1">IF(OR(Master[[#This Row],[Type]]="checklist", Master[[#This Row],[Type]]="checklist-flat"), Master[[#This Row],[Name]], F2527)</f>
        <v>F - S - Formwork Inspection</v>
      </c>
      <c r="G2528" s="3" t="s">
        <v>49</v>
      </c>
      <c r="H2528" s="24" t="s">
        <v>1850</v>
      </c>
      <c r="I2528" s="40"/>
      <c r="J2528" s="21">
        <f ca="1">_xlfn.XLOOKUP(Master[[#This Row],[Checklist]],Ref!A:A,Ref!B:B)*1000</f>
        <v>223000</v>
      </c>
      <c r="K2528" s="21">
        <f ca="1">COUNTIF($J$2:Master[[#This Row],[ChecklistID]],Master[[#This Row],[ChecklistID]])-1</f>
        <v>2</v>
      </c>
      <c r="L2528" s="23" t="s">
        <v>1848</v>
      </c>
    </row>
    <row r="2529" spans="1:12" ht="15.75">
      <c r="A2529" s="23">
        <f t="shared" si="39"/>
        <v>2516</v>
      </c>
      <c r="B2529" s="21">
        <f ca="1">Master[[#This Row],[ChecklistID]]+Master[[#This Row],[Checklist Order]]</f>
        <v>223003</v>
      </c>
      <c r="C2529" s="22"/>
      <c r="D2529" s="23" t="str" cm="1">
        <f t="array" aca="1" ref="D2529" ca="1">_xlfn.SWITCH(MID(Master[[#This Row],[Checklist]],1,4),"C - ","Civil","F - ","Foundation","ST -","Structure","FC -","Façade","PRE ","Pre-Line","POST","Post-Line","H - ","Handover","S - ","Services","CST ","Completion Docs", "I - ", "Inspection")</f>
        <v>Foundation</v>
      </c>
      <c r="E252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29" s="24" t="str">
        <f ca="1">IF(OR(Master[[#This Row],[Type]]="checklist", Master[[#This Row],[Type]]="checklist-flat"), Master[[#This Row],[Name]], F2528)</f>
        <v>F - S - Formwork Inspection</v>
      </c>
      <c r="G2529" s="3" t="s">
        <v>49</v>
      </c>
      <c r="H2529" s="24" t="s">
        <v>1851</v>
      </c>
      <c r="I2529" s="40"/>
      <c r="J2529" s="21">
        <f ca="1">_xlfn.XLOOKUP(Master[[#This Row],[Checklist]],Ref!A:A,Ref!B:B)*1000</f>
        <v>223000</v>
      </c>
      <c r="K2529" s="21">
        <f ca="1">COUNTIF($J$2:Master[[#This Row],[ChecklistID]],Master[[#This Row],[ChecklistID]])-1</f>
        <v>3</v>
      </c>
      <c r="L2529" s="23" t="s">
        <v>1848</v>
      </c>
    </row>
    <row r="2530" spans="1:12" ht="15.75">
      <c r="A2530" s="23">
        <f t="shared" si="39"/>
        <v>2517</v>
      </c>
      <c r="B2530" s="21">
        <f ca="1">Master[[#This Row],[ChecklistID]]+Master[[#This Row],[Checklist Order]]</f>
        <v>223004</v>
      </c>
      <c r="C2530" s="22"/>
      <c r="D2530" s="23" t="str" cm="1">
        <f t="array" aca="1" ref="D2530" ca="1">_xlfn.SWITCH(MID(Master[[#This Row],[Checklist]],1,4),"C - ","Civil","F - ","Foundation","ST -","Structure","FC -","Façade","PRE ","Pre-Line","POST","Post-Line","H - ","Handover","S - ","Services","CST ","Completion Docs", "I - ", "Inspection")</f>
        <v>Foundation</v>
      </c>
      <c r="E253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0" s="24" t="str">
        <f ca="1">IF(OR(Master[[#This Row],[Type]]="checklist", Master[[#This Row],[Type]]="checklist-flat"), Master[[#This Row],[Name]], F2529)</f>
        <v>F - S - Formwork Inspection</v>
      </c>
      <c r="G2530" s="3" t="s">
        <v>49</v>
      </c>
      <c r="H2530" s="24" t="s">
        <v>256</v>
      </c>
      <c r="I2530" s="40"/>
      <c r="J2530" s="21">
        <f ca="1">_xlfn.XLOOKUP(Master[[#This Row],[Checklist]],Ref!A:A,Ref!B:B)*1000</f>
        <v>223000</v>
      </c>
      <c r="K2530" s="21">
        <f ca="1">COUNTIF($J$2:Master[[#This Row],[ChecklistID]],Master[[#This Row],[ChecklistID]])-1</f>
        <v>4</v>
      </c>
      <c r="L2530" s="23" t="s">
        <v>1848</v>
      </c>
    </row>
    <row r="2531" spans="1:12" ht="15.75">
      <c r="A2531" s="23">
        <f t="shared" si="39"/>
        <v>2518</v>
      </c>
      <c r="B2531" s="21">
        <f ca="1">Master[[#This Row],[ChecklistID]]+Master[[#This Row],[Checklist Order]]</f>
        <v>223005</v>
      </c>
      <c r="C2531" s="22"/>
      <c r="D2531" s="23" t="str" cm="1">
        <f t="array" aca="1" ref="D2531" ca="1">_xlfn.SWITCH(MID(Master[[#This Row],[Checklist]],1,4),"C - ","Civil","F - ","Foundation","ST -","Structure","FC -","Façade","PRE ","Pre-Line","POST","Post-Line","H - ","Handover","S - ","Services","CST ","Completion Docs", "I - ", "Inspection")</f>
        <v>Foundation</v>
      </c>
      <c r="E253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1" s="24" t="str">
        <f ca="1">IF(OR(Master[[#This Row],[Type]]="checklist", Master[[#This Row],[Type]]="checklist-flat"), Master[[#This Row],[Name]], F2530)</f>
        <v>F - S - Formwork Inspection</v>
      </c>
      <c r="G2531" s="3" t="s">
        <v>49</v>
      </c>
      <c r="H2531" s="24" t="s">
        <v>1673</v>
      </c>
      <c r="I2531" s="40"/>
      <c r="J2531" s="21">
        <f ca="1">_xlfn.XLOOKUP(Master[[#This Row],[Checklist]],Ref!A:A,Ref!B:B)*1000</f>
        <v>223000</v>
      </c>
      <c r="K2531" s="21">
        <f ca="1">COUNTIF($J$2:Master[[#This Row],[ChecklistID]],Master[[#This Row],[ChecklistID]])-1</f>
        <v>5</v>
      </c>
      <c r="L2531" s="23" t="s">
        <v>1848</v>
      </c>
    </row>
    <row r="2532" spans="1:12" ht="15.75">
      <c r="A2532" s="23">
        <f t="shared" si="39"/>
        <v>2519</v>
      </c>
      <c r="B2532" s="21">
        <f ca="1">Master[[#This Row],[ChecklistID]]+Master[[#This Row],[Checklist Order]]</f>
        <v>223006</v>
      </c>
      <c r="C2532" s="22"/>
      <c r="D2532" s="23" t="str" cm="1">
        <f t="array" aca="1" ref="D2532" ca="1">_xlfn.SWITCH(MID(Master[[#This Row],[Checklist]],1,4),"C - ","Civil","F - ","Foundation","ST -","Structure","FC -","Façade","PRE ","Pre-Line","POST","Post-Line","H - ","Handover","S - ","Services","CST ","Completion Docs", "I - ", "Inspection")</f>
        <v>Foundation</v>
      </c>
      <c r="E253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2" s="24" t="str">
        <f ca="1">IF(OR(Master[[#This Row],[Type]]="checklist", Master[[#This Row],[Type]]="checklist-flat"), Master[[#This Row],[Name]], F2531)</f>
        <v>F - S - Formwork Inspection</v>
      </c>
      <c r="G2532" s="3" t="s">
        <v>49</v>
      </c>
      <c r="H2532" s="24" t="s">
        <v>258</v>
      </c>
      <c r="I2532" s="40"/>
      <c r="J2532" s="21">
        <f ca="1">_xlfn.XLOOKUP(Master[[#This Row],[Checklist]],Ref!A:A,Ref!B:B)*1000</f>
        <v>223000</v>
      </c>
      <c r="K2532" s="21">
        <f ca="1">COUNTIF($J$2:Master[[#This Row],[ChecklistID]],Master[[#This Row],[ChecklistID]])-1</f>
        <v>6</v>
      </c>
      <c r="L2532" s="23" t="s">
        <v>1848</v>
      </c>
    </row>
    <row r="2533" spans="1:12" ht="15.75">
      <c r="A2533" s="23">
        <f t="shared" si="39"/>
        <v>2520</v>
      </c>
      <c r="B2533" s="21">
        <f ca="1">Master[[#This Row],[ChecklistID]]+Master[[#This Row],[Checklist Order]]</f>
        <v>223007</v>
      </c>
      <c r="C2533" s="22"/>
      <c r="D2533" s="23" t="str" cm="1">
        <f t="array" aca="1" ref="D2533" ca="1">_xlfn.SWITCH(MID(Master[[#This Row],[Checklist]],1,4),"C - ","Civil","F - ","Foundation","ST -","Structure","FC -","Façade","PRE ","Pre-Line","POST","Post-Line","H - ","Handover","S - ","Services","CST ","Completion Docs", "I - ", "Inspection")</f>
        <v>Foundation</v>
      </c>
      <c r="E253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3" s="24" t="str">
        <f ca="1">IF(OR(Master[[#This Row],[Type]]="checklist", Master[[#This Row],[Type]]="checklist-flat"), Master[[#This Row],[Name]], F2532)</f>
        <v>F - S - Formwork Inspection</v>
      </c>
      <c r="G2533" s="3" t="s">
        <v>58</v>
      </c>
      <c r="H2533" s="24" t="s">
        <v>59</v>
      </c>
      <c r="I2533" s="40"/>
      <c r="J2533" s="21">
        <f ca="1">_xlfn.XLOOKUP(Master[[#This Row],[Checklist]],Ref!A:A,Ref!B:B)*1000</f>
        <v>223000</v>
      </c>
      <c r="K2533" s="21">
        <f ca="1">COUNTIF($J$2:Master[[#This Row],[ChecklistID]],Master[[#This Row],[ChecklistID]])-1</f>
        <v>7</v>
      </c>
      <c r="L2533" s="23" t="s">
        <v>1848</v>
      </c>
    </row>
    <row r="2534" spans="1:12" ht="15.75">
      <c r="A2534" s="23">
        <f t="shared" si="39"/>
        <v>2521</v>
      </c>
      <c r="B2534" s="21">
        <f ca="1">Master[[#This Row],[ChecklistID]]+Master[[#This Row],[Checklist Order]]</f>
        <v>224000</v>
      </c>
      <c r="C2534" s="22"/>
      <c r="D2534" s="23" t="str" cm="1">
        <f t="array" aca="1" ref="D2534" ca="1">_xlfn.SWITCH(MID(Master[[#This Row],[Checklist]],1,4),"C - ","Civil","F - ","Foundation","ST -","Structure","FC -","Façade","PRE ","Pre-Line","POST","Post-Line","H - ","Handover","S - ","Services","CST ","Completion Docs", "I - ", "Inspection")</f>
        <v>Structure</v>
      </c>
      <c r="E253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4" s="24" t="str">
        <f ca="1">IF(OR(Master[[#This Row],[Type]]="checklist", Master[[#This Row],[Type]]="checklist-flat"), Master[[#This Row],[Name]], F2533)</f>
        <v>ST - S - IMBMS Couplers Tests Checklist</v>
      </c>
      <c r="G2534" s="30" t="s">
        <v>48</v>
      </c>
      <c r="H2534" s="38" t="s">
        <v>1852</v>
      </c>
      <c r="I2534" s="39"/>
      <c r="J2534" s="21">
        <f ca="1">_xlfn.XLOOKUP(Master[[#This Row],[Checklist]],Ref!A:A,Ref!B:B)*1000</f>
        <v>224000</v>
      </c>
      <c r="K2534" s="21">
        <f ca="1">COUNTIF($J$2:Master[[#This Row],[ChecklistID]],Master[[#This Row],[ChecklistID]])-1</f>
        <v>0</v>
      </c>
      <c r="L2534" s="23" t="s">
        <v>1848</v>
      </c>
    </row>
    <row r="2535" spans="1:12" ht="15.75">
      <c r="A2535" s="23">
        <f t="shared" si="39"/>
        <v>2522</v>
      </c>
      <c r="B2535" s="21">
        <f ca="1">Master[[#This Row],[ChecklistID]]+Master[[#This Row],[Checklist Order]]</f>
        <v>224001</v>
      </c>
      <c r="C2535" s="22"/>
      <c r="D2535" s="23" t="str" cm="1">
        <f t="array" aca="1" ref="D2535" ca="1">_xlfn.SWITCH(MID(Master[[#This Row],[Checklist]],1,4),"C - ","Civil","F - ","Foundation","ST -","Structure","FC -","Façade","PRE ","Pre-Line","POST","Post-Line","H - ","Handover","S - ","Services","CST ","Completion Docs", "I - ", "Inspection")</f>
        <v>Structure</v>
      </c>
      <c r="E253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5" s="24" t="str">
        <f ca="1">IF(OR(Master[[#This Row],[Type]]="checklist", Master[[#This Row],[Type]]="checklist-flat"), Master[[#This Row],[Name]], F2534)</f>
        <v>ST - S - IMBMS Couplers Tests Checklist</v>
      </c>
      <c r="G2535" s="3" t="s">
        <v>49</v>
      </c>
      <c r="H2535" s="24" t="s">
        <v>1853</v>
      </c>
      <c r="I2535" s="40"/>
      <c r="J2535" s="21">
        <f ca="1">_xlfn.XLOOKUP(Master[[#This Row],[Checklist]],Ref!A:A,Ref!B:B)*1000</f>
        <v>224000</v>
      </c>
      <c r="K2535" s="21">
        <f ca="1">COUNTIF($J$2:Master[[#This Row],[ChecklistID]],Master[[#This Row],[ChecklistID]])-1</f>
        <v>1</v>
      </c>
      <c r="L2535" s="23" t="s">
        <v>1848</v>
      </c>
    </row>
    <row r="2536" spans="1:12" ht="15.75">
      <c r="A2536" s="23">
        <f t="shared" si="39"/>
        <v>2523</v>
      </c>
      <c r="B2536" s="21">
        <f ca="1">Master[[#This Row],[ChecklistID]]+Master[[#This Row],[Checklist Order]]</f>
        <v>224002</v>
      </c>
      <c r="C2536" s="22"/>
      <c r="D2536" s="23" t="str" cm="1">
        <f t="array" aca="1" ref="D2536" ca="1">_xlfn.SWITCH(MID(Master[[#This Row],[Checklist]],1,4),"C - ","Civil","F - ","Foundation","ST -","Structure","FC -","Façade","PRE ","Pre-Line","POST","Post-Line","H - ","Handover","S - ","Services","CST ","Completion Docs", "I - ", "Inspection")</f>
        <v>Structure</v>
      </c>
      <c r="E253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6" s="24" t="str">
        <f ca="1">IF(OR(Master[[#This Row],[Type]]="checklist", Master[[#This Row],[Type]]="checklist-flat"), Master[[#This Row],[Name]], F2535)</f>
        <v>ST - S - IMBMS Couplers Tests Checklist</v>
      </c>
      <c r="G2536" s="3" t="s">
        <v>49</v>
      </c>
      <c r="H2536" s="24" t="s">
        <v>1854</v>
      </c>
      <c r="I2536" s="40"/>
      <c r="J2536" s="21">
        <f ca="1">_xlfn.XLOOKUP(Master[[#This Row],[Checklist]],Ref!A:A,Ref!B:B)*1000</f>
        <v>224000</v>
      </c>
      <c r="K2536" s="21">
        <f ca="1">COUNTIF($J$2:Master[[#This Row],[ChecklistID]],Master[[#This Row],[ChecklistID]])-1</f>
        <v>2</v>
      </c>
      <c r="L2536" s="23" t="s">
        <v>1848</v>
      </c>
    </row>
    <row r="2537" spans="1:12" ht="15.75">
      <c r="A2537" s="23">
        <f t="shared" si="39"/>
        <v>2524</v>
      </c>
      <c r="B2537" s="21">
        <f ca="1">Master[[#This Row],[ChecklistID]]+Master[[#This Row],[Checklist Order]]</f>
        <v>224003</v>
      </c>
      <c r="C2537" s="22"/>
      <c r="D2537" s="23" t="str" cm="1">
        <f t="array" aca="1" ref="D2537" ca="1">_xlfn.SWITCH(MID(Master[[#This Row],[Checklist]],1,4),"C - ","Civil","F - ","Foundation","ST -","Structure","FC -","Façade","PRE ","Pre-Line","POST","Post-Line","H - ","Handover","S - ","Services","CST ","Completion Docs", "I - ", "Inspection")</f>
        <v>Structure</v>
      </c>
      <c r="E253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7" s="24" t="str">
        <f ca="1">IF(OR(Master[[#This Row],[Type]]="checklist", Master[[#This Row],[Type]]="checklist-flat"), Master[[#This Row],[Name]], F2536)</f>
        <v>ST - S - IMBMS Couplers Tests Checklist</v>
      </c>
      <c r="G2537" s="3" t="s">
        <v>49</v>
      </c>
      <c r="H2537" s="24" t="s">
        <v>1855</v>
      </c>
      <c r="I2537" s="40"/>
      <c r="J2537" s="21">
        <f ca="1">_xlfn.XLOOKUP(Master[[#This Row],[Checklist]],Ref!A:A,Ref!B:B)*1000</f>
        <v>224000</v>
      </c>
      <c r="K2537" s="21">
        <f ca="1">COUNTIF($J$2:Master[[#This Row],[ChecklistID]],Master[[#This Row],[ChecklistID]])-1</f>
        <v>3</v>
      </c>
      <c r="L2537" s="23" t="s">
        <v>1848</v>
      </c>
    </row>
    <row r="2538" spans="1:12" ht="15.75">
      <c r="A2538" s="23">
        <f t="shared" si="39"/>
        <v>2525</v>
      </c>
      <c r="B2538" s="21">
        <f ca="1">Master[[#This Row],[ChecklistID]]+Master[[#This Row],[Checklist Order]]</f>
        <v>224004</v>
      </c>
      <c r="C2538" s="22"/>
      <c r="D2538" s="23" t="str" cm="1">
        <f t="array" aca="1" ref="D2538" ca="1">_xlfn.SWITCH(MID(Master[[#This Row],[Checklist]],1,4),"C - ","Civil","F - ","Foundation","ST -","Structure","FC -","Façade","PRE ","Pre-Line","POST","Post-Line","H - ","Handover","S - ","Services","CST ","Completion Docs", "I - ", "Inspection")</f>
        <v>Structure</v>
      </c>
      <c r="E253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8" s="24" t="str">
        <f ca="1">IF(OR(Master[[#This Row],[Type]]="checklist", Master[[#This Row],[Type]]="checklist-flat"), Master[[#This Row],[Name]], F2537)</f>
        <v>ST - S - IMBMS Couplers Tests Checklist</v>
      </c>
      <c r="G2538" s="3" t="s">
        <v>49</v>
      </c>
      <c r="H2538" s="24" t="s">
        <v>1856</v>
      </c>
      <c r="I2538" s="40"/>
      <c r="J2538" s="21">
        <f ca="1">_xlfn.XLOOKUP(Master[[#This Row],[Checklist]],Ref!A:A,Ref!B:B)*1000</f>
        <v>224000</v>
      </c>
      <c r="K2538" s="21">
        <f ca="1">COUNTIF($J$2:Master[[#This Row],[ChecklistID]],Master[[#This Row],[ChecklistID]])-1</f>
        <v>4</v>
      </c>
      <c r="L2538" s="23" t="s">
        <v>1848</v>
      </c>
    </row>
    <row r="2539" spans="1:12" ht="15.75">
      <c r="A2539" s="23">
        <f t="shared" si="39"/>
        <v>2526</v>
      </c>
      <c r="B2539" s="21">
        <f ca="1">Master[[#This Row],[ChecklistID]]+Master[[#This Row],[Checklist Order]]</f>
        <v>224005</v>
      </c>
      <c r="C2539" s="22"/>
      <c r="D2539" s="23" t="str" cm="1">
        <f t="array" aca="1" ref="D2539" ca="1">_xlfn.SWITCH(MID(Master[[#This Row],[Checklist]],1,4),"C - ","Civil","F - ","Foundation","ST -","Structure","FC -","Façade","PRE ","Pre-Line","POST","Post-Line","H - ","Handover","S - ","Services","CST ","Completion Docs", "I - ", "Inspection")</f>
        <v>Structure</v>
      </c>
      <c r="E253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39" s="24" t="str">
        <f ca="1">IF(OR(Master[[#This Row],[Type]]="checklist", Master[[#This Row],[Type]]="checklist-flat"), Master[[#This Row],[Name]], F2538)</f>
        <v>ST - S - IMBMS Couplers Tests Checklist</v>
      </c>
      <c r="G2539" s="3" t="s">
        <v>49</v>
      </c>
      <c r="H2539" s="24" t="s">
        <v>1857</v>
      </c>
      <c r="I2539" s="40"/>
      <c r="J2539" s="21">
        <f ca="1">_xlfn.XLOOKUP(Master[[#This Row],[Checklist]],Ref!A:A,Ref!B:B)*1000</f>
        <v>224000</v>
      </c>
      <c r="K2539" s="21">
        <f ca="1">COUNTIF($J$2:Master[[#This Row],[ChecklistID]],Master[[#This Row],[ChecklistID]])-1</f>
        <v>5</v>
      </c>
      <c r="L2539" s="23" t="s">
        <v>1848</v>
      </c>
    </row>
    <row r="2540" spans="1:12" ht="15.75">
      <c r="A2540" s="23">
        <f t="shared" si="39"/>
        <v>2527</v>
      </c>
      <c r="B2540" s="21">
        <f ca="1">Master[[#This Row],[ChecklistID]]+Master[[#This Row],[Checklist Order]]</f>
        <v>224006</v>
      </c>
      <c r="C2540" s="22"/>
      <c r="D2540" s="23" t="str" cm="1">
        <f t="array" aca="1" ref="D2540" ca="1">_xlfn.SWITCH(MID(Master[[#This Row],[Checklist]],1,4),"C - ","Civil","F - ","Foundation","ST -","Structure","FC -","Façade","PRE ","Pre-Line","POST","Post-Line","H - ","Handover","S - ","Services","CST ","Completion Docs", "I - ", "Inspection")</f>
        <v>Structure</v>
      </c>
      <c r="E254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0" s="24" t="str">
        <f ca="1">IF(OR(Master[[#This Row],[Type]]="checklist", Master[[#This Row],[Type]]="checklist-flat"), Master[[#This Row],[Name]], F2539)</f>
        <v>ST - S - IMBMS Couplers Tests Checklist</v>
      </c>
      <c r="G2540" s="3" t="s">
        <v>49</v>
      </c>
      <c r="H2540" s="24" t="s">
        <v>1858</v>
      </c>
      <c r="I2540" s="40"/>
      <c r="J2540" s="21">
        <f ca="1">_xlfn.XLOOKUP(Master[[#This Row],[Checklist]],Ref!A:A,Ref!B:B)*1000</f>
        <v>224000</v>
      </c>
      <c r="K2540" s="21">
        <f ca="1">COUNTIF($J$2:Master[[#This Row],[ChecklistID]],Master[[#This Row],[ChecklistID]])-1</f>
        <v>6</v>
      </c>
      <c r="L2540" s="23" t="s">
        <v>1848</v>
      </c>
    </row>
    <row r="2541" spans="1:12" ht="15.75">
      <c r="A2541" s="23">
        <f t="shared" si="39"/>
        <v>2528</v>
      </c>
      <c r="B2541" s="21">
        <f ca="1">Master[[#This Row],[ChecklistID]]+Master[[#This Row],[Checklist Order]]</f>
        <v>224007</v>
      </c>
      <c r="C2541" s="22"/>
      <c r="D2541" s="23" t="str" cm="1">
        <f t="array" aca="1" ref="D2541" ca="1">_xlfn.SWITCH(MID(Master[[#This Row],[Checklist]],1,4),"C - ","Civil","F - ","Foundation","ST -","Structure","FC -","Façade","PRE ","Pre-Line","POST","Post-Line","H - ","Handover","S - ","Services","CST ","Completion Docs", "I - ", "Inspection")</f>
        <v>Structure</v>
      </c>
      <c r="E254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1" s="24" t="str">
        <f ca="1">IF(OR(Master[[#This Row],[Type]]="checklist", Master[[#This Row],[Type]]="checklist-flat"), Master[[#This Row],[Name]], F2540)</f>
        <v>ST - S - IMBMS Couplers Tests Checklist</v>
      </c>
      <c r="G2541" s="3" t="s">
        <v>49</v>
      </c>
      <c r="H2541" s="24" t="s">
        <v>1859</v>
      </c>
      <c r="I2541" s="40"/>
      <c r="J2541" s="21">
        <f ca="1">_xlfn.XLOOKUP(Master[[#This Row],[Checklist]],Ref!A:A,Ref!B:B)*1000</f>
        <v>224000</v>
      </c>
      <c r="K2541" s="21">
        <f ca="1">COUNTIF($J$2:Master[[#This Row],[ChecklistID]],Master[[#This Row],[ChecklistID]])-1</f>
        <v>7</v>
      </c>
      <c r="L2541" s="23" t="s">
        <v>1848</v>
      </c>
    </row>
    <row r="2542" spans="1:12" ht="15.75">
      <c r="A2542" s="23">
        <f t="shared" si="39"/>
        <v>2529</v>
      </c>
      <c r="B2542" s="21">
        <f ca="1">Master[[#This Row],[ChecklistID]]+Master[[#This Row],[Checklist Order]]</f>
        <v>224008</v>
      </c>
      <c r="C2542" s="22"/>
      <c r="D2542" s="23" t="str" cm="1">
        <f t="array" aca="1" ref="D2542" ca="1">_xlfn.SWITCH(MID(Master[[#This Row],[Checklist]],1,4),"C - ","Civil","F - ","Foundation","ST -","Structure","FC -","Façade","PRE ","Pre-Line","POST","Post-Line","H - ","Handover","S - ","Services","CST ","Completion Docs", "I - ", "Inspection")</f>
        <v>Structure</v>
      </c>
      <c r="E254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2" s="24" t="str">
        <f ca="1">IF(OR(Master[[#This Row],[Type]]="checklist", Master[[#This Row],[Type]]="checklist-flat"), Master[[#This Row],[Name]], F2541)</f>
        <v>ST - S - IMBMS Couplers Tests Checklist</v>
      </c>
      <c r="G2542" s="3" t="s">
        <v>49</v>
      </c>
      <c r="H2542" s="24" t="s">
        <v>1860</v>
      </c>
      <c r="I2542" s="40"/>
      <c r="J2542" s="21">
        <f ca="1">_xlfn.XLOOKUP(Master[[#This Row],[Checklist]],Ref!A:A,Ref!B:B)*1000</f>
        <v>224000</v>
      </c>
      <c r="K2542" s="21">
        <f ca="1">COUNTIF($J$2:Master[[#This Row],[ChecklistID]],Master[[#This Row],[ChecklistID]])-1</f>
        <v>8</v>
      </c>
      <c r="L2542" s="23" t="s">
        <v>1848</v>
      </c>
    </row>
    <row r="2543" spans="1:12" ht="15.75">
      <c r="A2543" s="23">
        <f t="shared" si="39"/>
        <v>2530</v>
      </c>
      <c r="B2543" s="21">
        <f ca="1">Master[[#This Row],[ChecklistID]]+Master[[#This Row],[Checklist Order]]</f>
        <v>224009</v>
      </c>
      <c r="C2543" s="22"/>
      <c r="D2543" s="23" t="str" cm="1">
        <f t="array" aca="1" ref="D2543" ca="1">_xlfn.SWITCH(MID(Master[[#This Row],[Checklist]],1,4),"C - ","Civil","F - ","Foundation","ST -","Structure","FC -","Façade","PRE ","Pre-Line","POST","Post-Line","H - ","Handover","S - ","Services","CST ","Completion Docs", "I - ", "Inspection")</f>
        <v>Structure</v>
      </c>
      <c r="E254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3" s="24" t="str">
        <f ca="1">IF(OR(Master[[#This Row],[Type]]="checklist", Master[[#This Row],[Type]]="checklist-flat"), Master[[#This Row],[Name]], F2542)</f>
        <v>ST - S - IMBMS Couplers Tests Checklist</v>
      </c>
      <c r="G2543" s="3" t="s">
        <v>49</v>
      </c>
      <c r="H2543" s="24" t="s">
        <v>1861</v>
      </c>
      <c r="I2543" s="40"/>
      <c r="J2543" s="21">
        <f ca="1">_xlfn.XLOOKUP(Master[[#This Row],[Checklist]],Ref!A:A,Ref!B:B)*1000</f>
        <v>224000</v>
      </c>
      <c r="K2543" s="21">
        <f ca="1">COUNTIF($J$2:Master[[#This Row],[ChecklistID]],Master[[#This Row],[ChecklistID]])-1</f>
        <v>9</v>
      </c>
      <c r="L2543" s="23" t="s">
        <v>1848</v>
      </c>
    </row>
    <row r="2544" spans="1:12" ht="15.75">
      <c r="A2544" s="23">
        <f t="shared" si="39"/>
        <v>2531</v>
      </c>
      <c r="B2544" s="21">
        <f ca="1">Master[[#This Row],[ChecklistID]]+Master[[#This Row],[Checklist Order]]</f>
        <v>224010</v>
      </c>
      <c r="C2544" s="22"/>
      <c r="D2544" s="23" t="str" cm="1">
        <f t="array" aca="1" ref="D2544" ca="1">_xlfn.SWITCH(MID(Master[[#This Row],[Checklist]],1,4),"C - ","Civil","F - ","Foundation","ST -","Structure","FC -","Façade","PRE ","Pre-Line","POST","Post-Line","H - ","Handover","S - ","Services","CST ","Completion Docs", "I - ", "Inspection")</f>
        <v>Structure</v>
      </c>
      <c r="E254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4" s="24" t="str">
        <f ca="1">IF(OR(Master[[#This Row],[Type]]="checklist", Master[[#This Row],[Type]]="checklist-flat"), Master[[#This Row],[Name]], F2543)</f>
        <v>ST - S - IMBMS Couplers Tests Checklist</v>
      </c>
      <c r="G2544" s="3" t="s">
        <v>58</v>
      </c>
      <c r="H2544" s="24" t="s">
        <v>59</v>
      </c>
      <c r="I2544" s="40"/>
      <c r="J2544" s="21">
        <f ca="1">_xlfn.XLOOKUP(Master[[#This Row],[Checklist]],Ref!A:A,Ref!B:B)*1000</f>
        <v>224000</v>
      </c>
      <c r="K2544" s="21">
        <f ca="1">COUNTIF($J$2:Master[[#This Row],[ChecklistID]],Master[[#This Row],[ChecklistID]])-1</f>
        <v>10</v>
      </c>
      <c r="L2544" s="23" t="s">
        <v>1848</v>
      </c>
    </row>
    <row r="2545" spans="1:12" ht="15.75">
      <c r="A2545" s="23">
        <f t="shared" ref="A2545:A2551" si="40">IFERROR(A2544+1,1)</f>
        <v>2532</v>
      </c>
      <c r="B2545" s="21">
        <f ca="1">Master[[#This Row],[ChecklistID]]+Master[[#This Row],[Checklist Order]]</f>
        <v>225000</v>
      </c>
      <c r="C2545" s="22"/>
      <c r="D2545" s="23" t="str" cm="1">
        <f t="array" aca="1" ref="D2545" ca="1">_xlfn.SWITCH(MID(Master[[#This Row],[Checklist]],1,4),"C - ","Civil","F - ","Foundation","ST -","Structure","FC -","Façade","PRE ","Pre-Line","POST","Post-Line","H - ","Handover","S - ","Services","CST ","Completion Docs", "I - ", "Inspection")</f>
        <v>Post-Line</v>
      </c>
      <c r="E254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5" s="24" t="str">
        <f ca="1">IF(OR(Master[[#This Row],[Type]]="checklist", Master[[#This Row],[Type]]="checklist-flat"), Master[[#This Row],[Name]], F2544)</f>
        <v>POST - S - Second Fix - Electrical</v>
      </c>
      <c r="G2545" s="30" t="s">
        <v>48</v>
      </c>
      <c r="H2545" s="38" t="s">
        <v>1862</v>
      </c>
      <c r="I2545" s="39"/>
      <c r="J2545" s="21">
        <f ca="1">_xlfn.XLOOKUP(Master[[#This Row],[Checklist]],Ref!A:A,Ref!B:B)*1000</f>
        <v>225000</v>
      </c>
      <c r="K2545" s="21">
        <f ca="1">COUNTIF($J$2:Master[[#This Row],[ChecklistID]],Master[[#This Row],[ChecklistID]])-1</f>
        <v>0</v>
      </c>
      <c r="L2545" s="23" t="s">
        <v>6</v>
      </c>
    </row>
    <row r="2546" spans="1:12" ht="15.75">
      <c r="A2546" s="23">
        <f t="shared" si="40"/>
        <v>2533</v>
      </c>
      <c r="B2546" s="21">
        <f ca="1">Master[[#This Row],[ChecklistID]]+Master[[#This Row],[Checklist Order]]</f>
        <v>225001</v>
      </c>
      <c r="C2546" s="22"/>
      <c r="D2546" s="23" t="str" cm="1">
        <f t="array" aca="1" ref="D2546" ca="1">_xlfn.SWITCH(MID(Master[[#This Row],[Checklist]],1,4),"C - ","Civil","F - ","Foundation","ST -","Structure","FC -","Façade","PRE ","Pre-Line","POST","Post-Line","H - ","Handover","S - ","Services","CST ","Completion Docs", "I - ", "Inspection")</f>
        <v>Post-Line</v>
      </c>
      <c r="E254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6" s="24" t="str">
        <f ca="1">IF(OR(Master[[#This Row],[Type]]="checklist", Master[[#This Row],[Type]]="checklist-flat"), Master[[#This Row],[Name]], F2545)</f>
        <v>POST - S - Second Fix - Electrical</v>
      </c>
      <c r="G2546" s="3" t="s">
        <v>49</v>
      </c>
      <c r="H2546" s="24" t="s">
        <v>1705</v>
      </c>
      <c r="I2546" s="40"/>
      <c r="J2546" s="21">
        <f ca="1">_xlfn.XLOOKUP(Master[[#This Row],[Checklist]],Ref!A:A,Ref!B:B)*1000</f>
        <v>225000</v>
      </c>
      <c r="K2546" s="21">
        <f ca="1">COUNTIF($J$2:Master[[#This Row],[ChecklistID]],Master[[#This Row],[ChecklistID]])-1</f>
        <v>1</v>
      </c>
      <c r="L2546" s="23" t="s">
        <v>6</v>
      </c>
    </row>
    <row r="2547" spans="1:12" ht="15.75">
      <c r="A2547" s="23">
        <f t="shared" si="40"/>
        <v>2534</v>
      </c>
      <c r="B2547" s="21">
        <f ca="1">Master[[#This Row],[ChecklistID]]+Master[[#This Row],[Checklist Order]]</f>
        <v>225002</v>
      </c>
      <c r="C2547" s="22"/>
      <c r="D2547" s="23" t="str" cm="1">
        <f t="array" aca="1" ref="D2547" ca="1">_xlfn.SWITCH(MID(Master[[#This Row],[Checklist]],1,4),"C - ","Civil","F - ","Foundation","ST -","Structure","FC -","Façade","PRE ","Pre-Line","POST","Post-Line","H - ","Handover","S - ","Services","CST ","Completion Docs", "I - ", "Inspection")</f>
        <v>Post-Line</v>
      </c>
      <c r="E254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7" s="24" t="str">
        <f ca="1">IF(OR(Master[[#This Row],[Type]]="checklist", Master[[#This Row],[Type]]="checklist-flat"), Master[[#This Row],[Name]], F2546)</f>
        <v>POST - S - Second Fix - Electrical</v>
      </c>
      <c r="G2547" s="3" t="s">
        <v>49</v>
      </c>
      <c r="H2547" s="24" t="s">
        <v>761</v>
      </c>
      <c r="I2547" s="40"/>
      <c r="J2547" s="21">
        <f ca="1">_xlfn.XLOOKUP(Master[[#This Row],[Checklist]],Ref!A:A,Ref!B:B)*1000</f>
        <v>225000</v>
      </c>
      <c r="K2547" s="21">
        <f ca="1">COUNTIF($J$2:Master[[#This Row],[ChecklistID]],Master[[#This Row],[ChecklistID]])-1</f>
        <v>2</v>
      </c>
      <c r="L2547" s="23" t="s">
        <v>6</v>
      </c>
    </row>
    <row r="2548" spans="1:12" ht="15.75">
      <c r="A2548" s="23">
        <f t="shared" si="40"/>
        <v>2535</v>
      </c>
      <c r="B2548" s="21">
        <f ca="1">Master[[#This Row],[ChecklistID]]+Master[[#This Row],[Checklist Order]]</f>
        <v>225003</v>
      </c>
      <c r="C2548" s="22"/>
      <c r="D2548" s="23" t="str" cm="1">
        <f t="array" aca="1" ref="D2548" ca="1">_xlfn.SWITCH(MID(Master[[#This Row],[Checklist]],1,4),"C - ","Civil","F - ","Foundation","ST -","Structure","FC -","Façade","PRE ","Pre-Line","POST","Post-Line","H - ","Handover","S - ","Services","CST ","Completion Docs", "I - ", "Inspection")</f>
        <v>Post-Line</v>
      </c>
      <c r="E254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8" s="24" t="str">
        <f ca="1">IF(OR(Master[[#This Row],[Type]]="checklist", Master[[#This Row],[Type]]="checklist-flat"), Master[[#This Row],[Name]], F2547)</f>
        <v>POST - S - Second Fix - Electrical</v>
      </c>
      <c r="G2548" s="3" t="s">
        <v>49</v>
      </c>
      <c r="H2548" s="24" t="s">
        <v>1863</v>
      </c>
      <c r="I2548" s="40"/>
      <c r="J2548" s="21">
        <f ca="1">_xlfn.XLOOKUP(Master[[#This Row],[Checklist]],Ref!A:A,Ref!B:B)*1000</f>
        <v>225000</v>
      </c>
      <c r="K2548" s="21">
        <f ca="1">COUNTIF($J$2:Master[[#This Row],[ChecklistID]],Master[[#This Row],[ChecklistID]])-1</f>
        <v>3</v>
      </c>
      <c r="L2548" s="23" t="s">
        <v>6</v>
      </c>
    </row>
    <row r="2549" spans="1:12" ht="15.75">
      <c r="A2549" s="23">
        <f t="shared" si="40"/>
        <v>2536</v>
      </c>
      <c r="B2549" s="21">
        <f ca="1">Master[[#This Row],[ChecklistID]]+Master[[#This Row],[Checklist Order]]</f>
        <v>225004</v>
      </c>
      <c r="C2549" s="22"/>
      <c r="D2549" s="23" t="str" cm="1">
        <f t="array" aca="1" ref="D2549" ca="1">_xlfn.SWITCH(MID(Master[[#This Row],[Checklist]],1,4),"C - ","Civil","F - ","Foundation","ST -","Structure","FC -","Façade","PRE ","Pre-Line","POST","Post-Line","H - ","Handover","S - ","Services","CST ","Completion Docs", "I - ", "Inspection")</f>
        <v>Post-Line</v>
      </c>
      <c r="E254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49" s="24" t="str">
        <f ca="1">IF(OR(Master[[#This Row],[Type]]="checklist", Master[[#This Row],[Type]]="checklist-flat"), Master[[#This Row],[Name]], F2548)</f>
        <v>POST - S - Second Fix - Electrical</v>
      </c>
      <c r="G2549" s="3" t="s">
        <v>49</v>
      </c>
      <c r="H2549" s="24" t="s">
        <v>1864</v>
      </c>
      <c r="I2549" s="40"/>
      <c r="J2549" s="21">
        <f ca="1">_xlfn.XLOOKUP(Master[[#This Row],[Checklist]],Ref!A:A,Ref!B:B)*1000</f>
        <v>225000</v>
      </c>
      <c r="K2549" s="21">
        <f ca="1">COUNTIF($J$2:Master[[#This Row],[ChecklistID]],Master[[#This Row],[ChecklistID]])-1</f>
        <v>4</v>
      </c>
      <c r="L2549" s="23" t="s">
        <v>6</v>
      </c>
    </row>
    <row r="2550" spans="1:12" ht="15.75">
      <c r="A2550" s="23">
        <f t="shared" si="40"/>
        <v>2537</v>
      </c>
      <c r="B2550" s="21">
        <f ca="1">Master[[#This Row],[ChecklistID]]+Master[[#This Row],[Checklist Order]]</f>
        <v>225005</v>
      </c>
      <c r="C2550" s="22"/>
      <c r="D2550" s="23" t="str" cm="1">
        <f t="array" aca="1" ref="D2550" ca="1">_xlfn.SWITCH(MID(Master[[#This Row],[Checklist]],1,4),"C - ","Civil","F - ","Foundation","ST -","Structure","FC -","Façade","PRE ","Pre-Line","POST","Post-Line","H - ","Handover","S - ","Services","CST ","Completion Docs", "I - ", "Inspection")</f>
        <v>Post-Line</v>
      </c>
      <c r="E255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0" s="24" t="str">
        <f ca="1">IF(OR(Master[[#This Row],[Type]]="checklist", Master[[#This Row],[Type]]="checklist-flat"), Master[[#This Row],[Name]], F2549)</f>
        <v>POST - S - Second Fix - Electrical</v>
      </c>
      <c r="G2550" s="3" t="s">
        <v>49</v>
      </c>
      <c r="H2550" s="24" t="s">
        <v>1865</v>
      </c>
      <c r="I2550" s="40"/>
      <c r="J2550" s="21">
        <f ca="1">_xlfn.XLOOKUP(Master[[#This Row],[Checklist]],Ref!A:A,Ref!B:B)*1000</f>
        <v>225000</v>
      </c>
      <c r="K2550" s="21">
        <f ca="1">COUNTIF($J$2:Master[[#This Row],[ChecklistID]],Master[[#This Row],[ChecklistID]])-1</f>
        <v>5</v>
      </c>
      <c r="L2550" s="23" t="s">
        <v>6</v>
      </c>
    </row>
    <row r="2551" spans="1:12" ht="15.75">
      <c r="A2551" s="23">
        <f t="shared" si="40"/>
        <v>2538</v>
      </c>
      <c r="B2551" s="21">
        <f ca="1">Master[[#This Row],[ChecklistID]]+Master[[#This Row],[Checklist Order]]</f>
        <v>225006</v>
      </c>
      <c r="C2551" s="22"/>
      <c r="D2551" s="23" t="str" cm="1">
        <f t="array" aca="1" ref="D2551" ca="1">_xlfn.SWITCH(MID(Master[[#This Row],[Checklist]],1,4),"C - ","Civil","F - ","Foundation","ST -","Structure","FC -","Façade","PRE ","Pre-Line","POST","Post-Line","H - ","Handover","S - ","Services","CST ","Completion Docs", "I - ", "Inspection")</f>
        <v>Post-Line</v>
      </c>
      <c r="E255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1" s="24" t="str">
        <f ca="1">IF(OR(Master[[#This Row],[Type]]="checklist", Master[[#This Row],[Type]]="checklist-flat"), Master[[#This Row],[Name]], F2550)</f>
        <v>POST - S - Second Fix - Electrical</v>
      </c>
      <c r="G2551" s="3" t="s">
        <v>49</v>
      </c>
      <c r="H2551" s="24" t="s">
        <v>1866</v>
      </c>
      <c r="I2551" s="40"/>
      <c r="J2551" s="21">
        <f ca="1">_xlfn.XLOOKUP(Master[[#This Row],[Checklist]],Ref!A:A,Ref!B:B)*1000</f>
        <v>225000</v>
      </c>
      <c r="K2551" s="21">
        <f ca="1">COUNTIF($J$2:Master[[#This Row],[ChecklistID]],Master[[#This Row],[ChecklistID]])-1</f>
        <v>6</v>
      </c>
      <c r="L2551" s="23" t="s">
        <v>6</v>
      </c>
    </row>
    <row r="2552" spans="1:12" ht="15.75">
      <c r="A2552" s="23">
        <f t="shared" ref="A2552:A2564" si="41">IFERROR(A2551+1,1)</f>
        <v>2539</v>
      </c>
      <c r="B2552" s="21">
        <f ca="1">Master[[#This Row],[ChecklistID]]+Master[[#This Row],[Checklist Order]]</f>
        <v>226000</v>
      </c>
      <c r="C2552" s="22"/>
      <c r="D2552" s="23" t="str" cm="1">
        <f t="array" aca="1" ref="D2552" ca="1">_xlfn.SWITCH(MID(Master[[#This Row],[Checklist]],1,4),"C - ","Civil","F - ","Foundation","ST -","Structure","FC -","Façade","PRE ","Pre-Line","POST","Post-Line","H - ","Handover","S - ","Services","CST ","Completion Docs", "I - ", "Inspection")</f>
        <v>Foundation</v>
      </c>
      <c r="E255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2" s="24" t="str">
        <f ca="1">IF(OR(Master[[#This Row],[Type]]="checklist", Master[[#This Row],[Type]]="checklist-flat"), Master[[#This Row],[Name]], F2551)</f>
        <v>F - S - Waterstops</v>
      </c>
      <c r="G2552" s="30" t="s">
        <v>48</v>
      </c>
      <c r="H2552" s="38" t="s">
        <v>1867</v>
      </c>
      <c r="I2552" s="39"/>
      <c r="J2552" s="21">
        <f ca="1">_xlfn.XLOOKUP(Master[[#This Row],[Checklist]],Ref!A:A,Ref!B:B)*1000</f>
        <v>226000</v>
      </c>
      <c r="K2552" s="21">
        <f ca="1">COUNTIF($J$2:Master[[#This Row],[ChecklistID]],Master[[#This Row],[ChecklistID]])-1</f>
        <v>0</v>
      </c>
      <c r="L2552" s="23" t="s">
        <v>6</v>
      </c>
    </row>
    <row r="2553" spans="1:12" ht="15.75">
      <c r="A2553" s="23">
        <f t="shared" si="41"/>
        <v>2540</v>
      </c>
      <c r="B2553" s="21">
        <f ca="1">Master[[#This Row],[ChecklistID]]+Master[[#This Row],[Checklist Order]]</f>
        <v>226001</v>
      </c>
      <c r="C2553" s="22"/>
      <c r="D2553" s="23" t="str" cm="1">
        <f t="array" aca="1" ref="D2553" ca="1">_xlfn.SWITCH(MID(Master[[#This Row],[Checklist]],1,4),"C - ","Civil","F - ","Foundation","ST -","Structure","FC -","Façade","PRE ","Pre-Line","POST","Post-Line","H - ","Handover","S - ","Services","CST ","Completion Docs", "I - ", "Inspection")</f>
        <v>Foundation</v>
      </c>
      <c r="E255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3" s="24" t="str">
        <f ca="1">IF(OR(Master[[#This Row],[Type]]="checklist", Master[[#This Row],[Type]]="checklist-flat"), Master[[#This Row],[Name]], F2552)</f>
        <v>F - S - Waterstops</v>
      </c>
      <c r="G2553" s="3" t="s">
        <v>49</v>
      </c>
      <c r="H2553" s="24" t="s">
        <v>1868</v>
      </c>
      <c r="I2553" s="40"/>
      <c r="J2553" s="21">
        <f ca="1">_xlfn.XLOOKUP(Master[[#This Row],[Checklist]],Ref!A:A,Ref!B:B)*1000</f>
        <v>226000</v>
      </c>
      <c r="K2553" s="21">
        <f ca="1">COUNTIF($J$2:Master[[#This Row],[ChecklistID]],Master[[#This Row],[ChecklistID]])-1</f>
        <v>1</v>
      </c>
      <c r="L2553" s="23" t="s">
        <v>6</v>
      </c>
    </row>
    <row r="2554" spans="1:12" ht="15.75">
      <c r="A2554" s="23">
        <f t="shared" si="41"/>
        <v>2541</v>
      </c>
      <c r="B2554" s="21">
        <f ca="1">Master[[#This Row],[ChecklistID]]+Master[[#This Row],[Checklist Order]]</f>
        <v>226002</v>
      </c>
      <c r="C2554" s="22"/>
      <c r="D2554" s="23" t="str" cm="1">
        <f t="array" aca="1" ref="D2554" ca="1">_xlfn.SWITCH(MID(Master[[#This Row],[Checklist]],1,4),"C - ","Civil","F - ","Foundation","ST -","Structure","FC -","Façade","PRE ","Pre-Line","POST","Post-Line","H - ","Handover","S - ","Services","CST ","Completion Docs", "I - ", "Inspection")</f>
        <v>Foundation</v>
      </c>
      <c r="E25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4" s="24" t="str">
        <f ca="1">IF(OR(Master[[#This Row],[Type]]="checklist", Master[[#This Row],[Type]]="checklist-flat"), Master[[#This Row],[Name]], F2553)</f>
        <v>F - S - Waterstops</v>
      </c>
      <c r="G2554" s="3" t="s">
        <v>49</v>
      </c>
      <c r="H2554" s="24" t="s">
        <v>1869</v>
      </c>
      <c r="I2554" s="40"/>
      <c r="J2554" s="21">
        <f ca="1">_xlfn.XLOOKUP(Master[[#This Row],[Checklist]],Ref!A:A,Ref!B:B)*1000</f>
        <v>226000</v>
      </c>
      <c r="K2554" s="21">
        <f ca="1">COUNTIF($J$2:Master[[#This Row],[ChecklistID]],Master[[#This Row],[ChecklistID]])-1</f>
        <v>2</v>
      </c>
      <c r="L2554" s="23" t="s">
        <v>6</v>
      </c>
    </row>
    <row r="2555" spans="1:12" ht="15.75">
      <c r="A2555" s="23">
        <f t="shared" si="41"/>
        <v>2542</v>
      </c>
      <c r="B2555" s="21">
        <f ca="1">Master[[#This Row],[ChecklistID]]+Master[[#This Row],[Checklist Order]]</f>
        <v>226003</v>
      </c>
      <c r="C2555" s="22"/>
      <c r="D2555" s="23" t="str" cm="1">
        <f t="array" aca="1" ref="D2555" ca="1">_xlfn.SWITCH(MID(Master[[#This Row],[Checklist]],1,4),"C - ","Civil","F - ","Foundation","ST -","Structure","FC -","Façade","PRE ","Pre-Line","POST","Post-Line","H - ","Handover","S - ","Services","CST ","Completion Docs", "I - ", "Inspection")</f>
        <v>Foundation</v>
      </c>
      <c r="E25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5" s="24" t="str">
        <f ca="1">IF(OR(Master[[#This Row],[Type]]="checklist", Master[[#This Row],[Type]]="checklist-flat"), Master[[#This Row],[Name]], F2554)</f>
        <v>F - S - Waterstops</v>
      </c>
      <c r="G2555" s="3" t="s">
        <v>49</v>
      </c>
      <c r="H2555" s="24" t="s">
        <v>1870</v>
      </c>
      <c r="I2555" s="40"/>
      <c r="J2555" s="21">
        <f ca="1">_xlfn.XLOOKUP(Master[[#This Row],[Checklist]],Ref!A:A,Ref!B:B)*1000</f>
        <v>226000</v>
      </c>
      <c r="K2555" s="21">
        <f ca="1">COUNTIF($J$2:Master[[#This Row],[ChecklistID]],Master[[#This Row],[ChecklistID]])-1</f>
        <v>3</v>
      </c>
      <c r="L2555" s="23" t="s">
        <v>6</v>
      </c>
    </row>
    <row r="2556" spans="1:12" ht="15.75">
      <c r="A2556" s="23">
        <f t="shared" si="41"/>
        <v>2543</v>
      </c>
      <c r="B2556" s="21">
        <f ca="1">Master[[#This Row],[ChecklistID]]+Master[[#This Row],[Checklist Order]]</f>
        <v>226004</v>
      </c>
      <c r="C2556" s="22"/>
      <c r="D2556" s="23" t="str" cm="1">
        <f t="array" aca="1" ref="D2556" ca="1">_xlfn.SWITCH(MID(Master[[#This Row],[Checklist]],1,4),"C - ","Civil","F - ","Foundation","ST -","Structure","FC -","Façade","PRE ","Pre-Line","POST","Post-Line","H - ","Handover","S - ","Services","CST ","Completion Docs", "I - ", "Inspection")</f>
        <v>Foundation</v>
      </c>
      <c r="E25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6" s="24" t="str">
        <f ca="1">IF(OR(Master[[#This Row],[Type]]="checklist", Master[[#This Row],[Type]]="checklist-flat"), Master[[#This Row],[Name]], F2555)</f>
        <v>F - S - Waterstops</v>
      </c>
      <c r="G2556" s="3" t="s">
        <v>49</v>
      </c>
      <c r="H2556" s="24" t="s">
        <v>1871</v>
      </c>
      <c r="I2556" s="40"/>
      <c r="J2556" s="21">
        <f ca="1">_xlfn.XLOOKUP(Master[[#This Row],[Checklist]],Ref!A:A,Ref!B:B)*1000</f>
        <v>226000</v>
      </c>
      <c r="K2556" s="21">
        <f ca="1">COUNTIF($J$2:Master[[#This Row],[ChecklistID]],Master[[#This Row],[ChecklistID]])-1</f>
        <v>4</v>
      </c>
      <c r="L2556" s="23" t="s">
        <v>6</v>
      </c>
    </row>
    <row r="2557" spans="1:12" ht="15.75">
      <c r="A2557" s="23">
        <f t="shared" si="41"/>
        <v>2544</v>
      </c>
      <c r="B2557" s="21">
        <f ca="1">Master[[#This Row],[ChecklistID]]+Master[[#This Row],[Checklist Order]]</f>
        <v>226005</v>
      </c>
      <c r="C2557" s="22"/>
      <c r="D2557" s="23" t="str" cm="1">
        <f t="array" aca="1" ref="D2557" ca="1">_xlfn.SWITCH(MID(Master[[#This Row],[Checklist]],1,4),"C - ","Civil","F - ","Foundation","ST -","Structure","FC -","Façade","PRE ","Pre-Line","POST","Post-Line","H - ","Handover","S - ","Services","CST ","Completion Docs", "I - ", "Inspection")</f>
        <v>Foundation</v>
      </c>
      <c r="E25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7" s="24" t="str">
        <f ca="1">IF(OR(Master[[#This Row],[Type]]="checklist", Master[[#This Row],[Type]]="checklist-flat"), Master[[#This Row],[Name]], F2556)</f>
        <v>F - S - Waterstops</v>
      </c>
      <c r="G2557" s="3" t="s">
        <v>49</v>
      </c>
      <c r="H2557" s="24" t="s">
        <v>1872</v>
      </c>
      <c r="I2557" s="40"/>
      <c r="J2557" s="21">
        <f ca="1">_xlfn.XLOOKUP(Master[[#This Row],[Checklist]],Ref!A:A,Ref!B:B)*1000</f>
        <v>226000</v>
      </c>
      <c r="K2557" s="21">
        <f ca="1">COUNTIF($J$2:Master[[#This Row],[ChecklistID]],Master[[#This Row],[ChecklistID]])-1</f>
        <v>5</v>
      </c>
      <c r="L2557" s="23" t="s">
        <v>6</v>
      </c>
    </row>
    <row r="2558" spans="1:12" ht="15.75">
      <c r="A2558" s="23">
        <f t="shared" si="41"/>
        <v>2545</v>
      </c>
      <c r="B2558" s="21">
        <f ca="1">Master[[#This Row],[ChecklistID]]+Master[[#This Row],[Checklist Order]]</f>
        <v>226006</v>
      </c>
      <c r="C2558" s="22"/>
      <c r="D2558" s="23" t="str" cm="1">
        <f t="array" aca="1" ref="D2558" ca="1">_xlfn.SWITCH(MID(Master[[#This Row],[Checklist]],1,4),"C - ","Civil","F - ","Foundation","ST -","Structure","FC -","Façade","PRE ","Pre-Line","POST","Post-Line","H - ","Handover","S - ","Services","CST ","Completion Docs", "I - ", "Inspection")</f>
        <v>Foundation</v>
      </c>
      <c r="E25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8" s="24" t="str">
        <f ca="1">IF(OR(Master[[#This Row],[Type]]="checklist", Master[[#This Row],[Type]]="checklist-flat"), Master[[#This Row],[Name]], F2557)</f>
        <v>F - S - Waterstops</v>
      </c>
      <c r="G2558" s="3" t="s">
        <v>49</v>
      </c>
      <c r="H2558" s="24" t="s">
        <v>1873</v>
      </c>
      <c r="I2558" s="40"/>
      <c r="J2558" s="21">
        <f ca="1">_xlfn.XLOOKUP(Master[[#This Row],[Checklist]],Ref!A:A,Ref!B:B)*1000</f>
        <v>226000</v>
      </c>
      <c r="K2558" s="21">
        <f ca="1">COUNTIF($J$2:Master[[#This Row],[ChecklistID]],Master[[#This Row],[ChecklistID]])-1</f>
        <v>6</v>
      </c>
      <c r="L2558" s="23" t="s">
        <v>6</v>
      </c>
    </row>
    <row r="2559" spans="1:12" ht="15.75">
      <c r="A2559" s="23">
        <f t="shared" si="41"/>
        <v>2546</v>
      </c>
      <c r="B2559" s="21">
        <f ca="1">Master[[#This Row],[ChecklistID]]+Master[[#This Row],[Checklist Order]]</f>
        <v>226007</v>
      </c>
      <c r="C2559" s="22"/>
      <c r="D2559" s="23" t="str" cm="1">
        <f t="array" aca="1" ref="D2559" ca="1">_xlfn.SWITCH(MID(Master[[#This Row],[Checklist]],1,4),"C - ","Civil","F - ","Foundation","ST -","Structure","FC -","Façade","PRE ","Pre-Line","POST","Post-Line","H - ","Handover","S - ","Services","CST ","Completion Docs", "I - ", "Inspection")</f>
        <v>Foundation</v>
      </c>
      <c r="E25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59" s="24" t="str">
        <f ca="1">IF(OR(Master[[#This Row],[Type]]="checklist", Master[[#This Row],[Type]]="checklist-flat"), Master[[#This Row],[Name]], F2558)</f>
        <v>F - S - Waterstops</v>
      </c>
      <c r="G2559" s="3" t="s">
        <v>49</v>
      </c>
      <c r="H2559" s="24" t="s">
        <v>1874</v>
      </c>
      <c r="I2559" s="40"/>
      <c r="J2559" s="21">
        <f ca="1">_xlfn.XLOOKUP(Master[[#This Row],[Checklist]],Ref!A:A,Ref!B:B)*1000</f>
        <v>226000</v>
      </c>
      <c r="K2559" s="21">
        <f ca="1">COUNTIF($J$2:Master[[#This Row],[ChecklistID]],Master[[#This Row],[ChecklistID]])-1</f>
        <v>7</v>
      </c>
      <c r="L2559" s="23" t="s">
        <v>6</v>
      </c>
    </row>
    <row r="2560" spans="1:12" ht="15.75">
      <c r="A2560" s="23">
        <f t="shared" si="41"/>
        <v>2547</v>
      </c>
      <c r="B2560" s="21">
        <f ca="1">Master[[#This Row],[ChecklistID]]+Master[[#This Row],[Checklist Order]]</f>
        <v>226008</v>
      </c>
      <c r="C2560" s="22"/>
      <c r="D2560" s="23" t="str" cm="1">
        <f t="array" aca="1" ref="D2560" ca="1">_xlfn.SWITCH(MID(Master[[#This Row],[Checklist]],1,4),"C - ","Civil","F - ","Foundation","ST -","Structure","FC -","Façade","PRE ","Pre-Line","POST","Post-Line","H - ","Handover","S - ","Services","CST ","Completion Docs", "I - ", "Inspection")</f>
        <v>Foundation</v>
      </c>
      <c r="E25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60" s="24" t="str">
        <f ca="1">IF(OR(Master[[#This Row],[Type]]="checklist", Master[[#This Row],[Type]]="checklist-flat"), Master[[#This Row],[Name]], F2559)</f>
        <v>F - S - Waterstops</v>
      </c>
      <c r="G2560" s="3" t="s">
        <v>49</v>
      </c>
      <c r="H2560" s="24" t="s">
        <v>57</v>
      </c>
      <c r="I2560" s="40"/>
      <c r="J2560" s="21">
        <f ca="1">_xlfn.XLOOKUP(Master[[#This Row],[Checklist]],Ref!A:A,Ref!B:B)*1000</f>
        <v>226000</v>
      </c>
      <c r="K2560" s="21">
        <f ca="1">COUNTIF($J$2:Master[[#This Row],[ChecklistID]],Master[[#This Row],[ChecklistID]])-1</f>
        <v>8</v>
      </c>
      <c r="L2560" s="23" t="s">
        <v>6</v>
      </c>
    </row>
    <row r="2561" spans="1:12" ht="15.75">
      <c r="A2561" s="23">
        <f t="shared" si="41"/>
        <v>2548</v>
      </c>
      <c r="B2561" s="21">
        <f ca="1">Master[[#This Row],[ChecklistID]]+Master[[#This Row],[Checklist Order]]</f>
        <v>226009</v>
      </c>
      <c r="C2561" s="22"/>
      <c r="D2561" s="23" t="str" cm="1">
        <f t="array" aca="1" ref="D2561" ca="1">_xlfn.SWITCH(MID(Master[[#This Row],[Checklist]],1,4),"C - ","Civil","F - ","Foundation","ST -","Structure","FC -","Façade","PRE ","Pre-Line","POST","Post-Line","H - ","Handover","S - ","Services","CST ","Completion Docs", "I - ", "Inspection")</f>
        <v>Foundation</v>
      </c>
      <c r="E25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61" s="24" t="str">
        <f ca="1">IF(OR(Master[[#This Row],[Type]]="checklist", Master[[#This Row],[Type]]="checklist-flat"), Master[[#This Row],[Name]], F2560)</f>
        <v>F - S - Waterstops</v>
      </c>
      <c r="G2561" s="3" t="s">
        <v>58</v>
      </c>
      <c r="H2561" s="24" t="s">
        <v>59</v>
      </c>
      <c r="I2561" s="40"/>
      <c r="J2561" s="21">
        <f ca="1">_xlfn.XLOOKUP(Master[[#This Row],[Checklist]],Ref!A:A,Ref!B:B)*1000</f>
        <v>226000</v>
      </c>
      <c r="K2561" s="21">
        <f ca="1">COUNTIF($J$2:Master[[#This Row],[ChecklistID]],Master[[#This Row],[ChecklistID]])-1</f>
        <v>9</v>
      </c>
      <c r="L2561" s="23" t="s">
        <v>6</v>
      </c>
    </row>
    <row r="2562" spans="1:12" ht="15.75">
      <c r="A2562" s="23">
        <f t="shared" si="41"/>
        <v>2549</v>
      </c>
      <c r="B2562" s="21">
        <f ca="1">Master[[#This Row],[ChecklistID]]+Master[[#This Row],[Checklist Order]]</f>
        <v>227000</v>
      </c>
      <c r="C2562" s="22"/>
      <c r="D2562" s="23" t="str" cm="1">
        <f t="array" aca="1" ref="D2562" ca="1">_xlfn.SWITCH(MID(Master[[#This Row],[Checklist]],1,4),"C - ","Civil","F - ","Foundation","ST -","Structure","FC -","Façade","PRE ","Pre-Line","POST","Post-Line","H - ","Handover","S - ","Services","CST ","Completion Docs", "I - ", "Inspection")</f>
        <v>Façade</v>
      </c>
      <c r="E25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62" s="24" t="str">
        <f ca="1">IF(OR(Master[[#This Row],[Type]]="checklist", Master[[#This Row],[Type]]="checklist-flat"), Master[[#This Row],[Name]], F2561)</f>
        <v>FC - S - Tapes</v>
      </c>
      <c r="G2562" s="3" t="s">
        <v>48</v>
      </c>
      <c r="H2562" s="24" t="s">
        <v>1875</v>
      </c>
      <c r="I2562" s="40"/>
      <c r="J2562" s="21">
        <f ca="1">_xlfn.XLOOKUP(Master[[#This Row],[Checklist]],Ref!A:A,Ref!B:B)*1000</f>
        <v>227000</v>
      </c>
      <c r="K2562" s="21">
        <f ca="1">COUNTIF($J$2:Master[[#This Row],[ChecklistID]],Master[[#This Row],[ChecklistID]])-1</f>
        <v>0</v>
      </c>
      <c r="L2562" s="23" t="s">
        <v>6</v>
      </c>
    </row>
    <row r="2563" spans="1:12" ht="15.75">
      <c r="A2563" s="23">
        <f t="shared" si="41"/>
        <v>2550</v>
      </c>
      <c r="B2563" s="21">
        <f ca="1">Master[[#This Row],[ChecklistID]]+Master[[#This Row],[Checklist Order]]</f>
        <v>227001</v>
      </c>
      <c r="C2563" s="22"/>
      <c r="D2563" s="23" t="str" cm="1">
        <f t="array" aca="1" ref="D2563" ca="1">_xlfn.SWITCH(MID(Master[[#This Row],[Checklist]],1,4),"C - ","Civil","F - ","Foundation","ST -","Structure","FC -","Façade","PRE ","Pre-Line","POST","Post-Line","H - ","Handover","S - ","Services","CST ","Completion Docs", "I - ", "Inspection")</f>
        <v>Façade</v>
      </c>
      <c r="E25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63" s="24" t="str">
        <f ca="1">IF(OR(Master[[#This Row],[Type]]="checklist", Master[[#This Row],[Type]]="checklist-flat"), Master[[#This Row],[Name]], F2562)</f>
        <v>FC - S - Tapes</v>
      </c>
      <c r="G2563" s="3" t="s">
        <v>49</v>
      </c>
      <c r="H2563" s="24" t="s">
        <v>1876</v>
      </c>
      <c r="I2563" s="40"/>
      <c r="J2563" s="21">
        <f ca="1">_xlfn.XLOOKUP(Master[[#This Row],[Checklist]],Ref!A:A,Ref!B:B)*1000</f>
        <v>227000</v>
      </c>
      <c r="K2563" s="21">
        <f ca="1">COUNTIF($J$2:Master[[#This Row],[ChecklistID]],Master[[#This Row],[ChecklistID]])-1</f>
        <v>1</v>
      </c>
      <c r="L2563" s="23" t="s">
        <v>6</v>
      </c>
    </row>
    <row r="2564" spans="1:12" ht="15.75">
      <c r="A2564" s="23">
        <f t="shared" si="41"/>
        <v>2551</v>
      </c>
      <c r="B2564" s="21">
        <f ca="1">Master[[#This Row],[ChecklistID]]+Master[[#This Row],[Checklist Order]]</f>
        <v>227002</v>
      </c>
      <c r="C2564" s="22"/>
      <c r="D2564" s="23" t="str" cm="1">
        <f t="array" aca="1" ref="D2564" ca="1">_xlfn.SWITCH(MID(Master[[#This Row],[Checklist]],1,4),"C - ","Civil","F - ","Foundation","ST -","Structure","FC -","Façade","PRE ","Pre-Line","POST","Post-Line","H - ","Handover","S - ","Services","CST ","Completion Docs", "I - ", "Inspection")</f>
        <v>Façade</v>
      </c>
      <c r="E25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564" s="24" t="str">
        <f ca="1">IF(OR(Master[[#This Row],[Type]]="checklist", Master[[#This Row],[Type]]="checklist-flat"), Master[[#This Row],[Name]], F2563)</f>
        <v>FC - S - Tapes</v>
      </c>
      <c r="G2564" s="3" t="s">
        <v>58</v>
      </c>
      <c r="H2564" s="24" t="s">
        <v>59</v>
      </c>
      <c r="I2564" s="40"/>
      <c r="J2564" s="21">
        <f ca="1">_xlfn.XLOOKUP(Master[[#This Row],[Checklist]],Ref!A:A,Ref!B:B)*1000</f>
        <v>227000</v>
      </c>
      <c r="K2564" s="21">
        <f ca="1">COUNTIF($J$2:Master[[#This Row],[ChecklistID]],Master[[#This Row],[ChecklistID]])-1</f>
        <v>2</v>
      </c>
      <c r="L2564" s="23" t="s">
        <v>6</v>
      </c>
    </row>
    <row r="2565" spans="1:12" ht="15.75">
      <c r="A2565" s="23">
        <f t="shared" ref="A2565:A2611" si="42">IFERROR(A2564+1,1)</f>
        <v>2552</v>
      </c>
      <c r="B2565" s="21">
        <f ca="1">Master[[#This Row],[ChecklistID]]+Master[[#This Row],[Checklist Order]]</f>
        <v>228000</v>
      </c>
      <c r="C2565" s="22"/>
      <c r="D2565" s="23" t="str" cm="1">
        <f t="array" aca="1" ref="D2565" ca="1">_xlfn.SWITCH(MID(Master[[#This Row],[Checklist]],1,4),"C - ","Civil","F - ","Foundation","ST -","Structure","FC -","Façade","PRE ","Pre-Line","POST","Post-Line","H - ","Handover","S - ","Services","CST ","Completion Docs", "I - ", "Inspection")</f>
        <v>Structure</v>
      </c>
      <c r="E2565" s="23" t="str">
        <f ca="1">IF(NOT(ISERROR(SEARCH("- S -", Master[[#This Row],[Checklist]]))), "Subcontractor",IF(NOT(ISERROR(SEARCH("- R -", Master[[#This Row],[Checklist]]))), "Ryman",IF(NOT(ISERROR(SEARCH("- C -", Master[[#This Row],[Checklist]]))), "Consultant",IF(NOT(ISERROR(SEARCH("- I -", Master[[#This Row],[Checklist]]))),  "Inspection Test Plan", "Naming Error"))))</f>
        <v>Ryman</v>
      </c>
      <c r="F2565" s="24" t="str">
        <f ca="1">IF(OR(Master[[#This Row],[Type]]="checklist", Master[[#This Row],[Type]]="checklist-flat"), Master[[#This Row],[Name]], F2564)</f>
        <v>ST - R - Concrete Pour Planning</v>
      </c>
      <c r="G2565" s="30" t="s">
        <v>119</v>
      </c>
      <c r="H2565" s="38" t="s">
        <v>1877</v>
      </c>
      <c r="I2565" s="39"/>
      <c r="J2565" s="21">
        <f ca="1">_xlfn.XLOOKUP(Master[[#This Row],[Checklist]],Ref!A:A,Ref!B:B)*1000</f>
        <v>228000</v>
      </c>
      <c r="K2565" s="21">
        <f ca="1">COUNTIF($J$2:Master[[#This Row],[ChecklistID]],Master[[#This Row],[ChecklistID]])-1</f>
        <v>0</v>
      </c>
      <c r="L2565" s="23" t="s">
        <v>1848</v>
      </c>
    </row>
    <row r="2566" spans="1:12" ht="15.75">
      <c r="A2566" s="23">
        <f t="shared" si="42"/>
        <v>2553</v>
      </c>
      <c r="B2566" s="21">
        <f ca="1">Master[[#This Row],[ChecklistID]]+Master[[#This Row],[Checklist Order]]</f>
        <v>228001</v>
      </c>
      <c r="C2566" s="22"/>
      <c r="D2566" s="23" t="str" cm="1">
        <f t="array" aca="1" ref="D2566" ca="1">_xlfn.SWITCH(MID(Master[[#This Row],[Checklist]],1,4),"C - ","Civil","F - ","Foundation","ST -","Structure","FC -","Façade","PRE ","Pre-Line","POST","Post-Line","H - ","Handover","S - ","Services","CST ","Completion Docs", "I - ", "Inspection")</f>
        <v>Structure</v>
      </c>
      <c r="E2566" s="23" t="str">
        <f ca="1">IF(NOT(ISERROR(SEARCH("- S -", Master[[#This Row],[Checklist]]))), "Subcontractor",IF(NOT(ISERROR(SEARCH("- R -", Master[[#This Row],[Checklist]]))), "Ryman",IF(NOT(ISERROR(SEARCH("- C -", Master[[#This Row],[Checklist]]))), "Consultant",IF(NOT(ISERROR(SEARCH("- I -", Master[[#This Row],[Checklist]]))),  "Inspection Test Plan", "Naming Error"))))</f>
        <v>Ryman</v>
      </c>
      <c r="F2566" s="24" t="str">
        <f ca="1">IF(OR(Master[[#This Row],[Type]]="checklist", Master[[#This Row],[Type]]="checklist-flat"), Master[[#This Row],[Name]], F2565)</f>
        <v>ST - R - Concrete Pour Planning</v>
      </c>
      <c r="G2566" s="3" t="s">
        <v>120</v>
      </c>
      <c r="H2566" s="24" t="s">
        <v>1878</v>
      </c>
      <c r="I2566" s="40"/>
      <c r="J2566" s="21">
        <f ca="1">_xlfn.XLOOKUP(Master[[#This Row],[Checklist]],Ref!A:A,Ref!B:B)*1000</f>
        <v>228000</v>
      </c>
      <c r="K2566" s="21">
        <f ca="1">COUNTIF($J$2:Master[[#This Row],[ChecklistID]],Master[[#This Row],[ChecklistID]])-1</f>
        <v>1</v>
      </c>
      <c r="L2566" s="23" t="s">
        <v>1848</v>
      </c>
    </row>
    <row r="2567" spans="1:12" ht="15.75">
      <c r="A2567" s="23">
        <f t="shared" si="42"/>
        <v>2554</v>
      </c>
      <c r="B2567" s="21">
        <f ca="1">Master[[#This Row],[ChecklistID]]+Master[[#This Row],[Checklist Order]]</f>
        <v>228002</v>
      </c>
      <c r="C2567" s="22"/>
      <c r="D2567" s="23" t="str" cm="1">
        <f t="array" aca="1" ref="D2567" ca="1">_xlfn.SWITCH(MID(Master[[#This Row],[Checklist]],1,4),"C - ","Civil","F - ","Foundation","ST -","Structure","FC -","Façade","PRE ","Pre-Line","POST","Post-Line","H - ","Handover","S - ","Services","CST ","Completion Docs", "I - ", "Inspection")</f>
        <v>Structure</v>
      </c>
      <c r="E2567" s="23" t="str">
        <f ca="1">IF(NOT(ISERROR(SEARCH("- S -", Master[[#This Row],[Checklist]]))), "Subcontractor",IF(NOT(ISERROR(SEARCH("- R -", Master[[#This Row],[Checklist]]))), "Ryman",IF(NOT(ISERROR(SEARCH("- C -", Master[[#This Row],[Checklist]]))), "Consultant",IF(NOT(ISERROR(SEARCH("- I -", Master[[#This Row],[Checklist]]))),  "Inspection Test Plan", "Naming Error"))))</f>
        <v>Ryman</v>
      </c>
      <c r="F2567" s="24" t="str">
        <f ca="1">IF(OR(Master[[#This Row],[Type]]="checklist", Master[[#This Row],[Type]]="checklist-flat"), Master[[#This Row],[Name]], F2566)</f>
        <v>ST - R - Concrete Pour Planning</v>
      </c>
      <c r="G2567" s="30" t="s">
        <v>1879</v>
      </c>
      <c r="H2567" s="24" t="s">
        <v>1878</v>
      </c>
      <c r="I2567" s="40"/>
      <c r="J2567" s="21">
        <f ca="1">_xlfn.XLOOKUP(Master[[#This Row],[Checklist]],Ref!A:A,Ref!B:B)*1000</f>
        <v>228000</v>
      </c>
      <c r="K2567" s="21">
        <f ca="1">COUNTIF($J$2:Master[[#This Row],[ChecklistID]],Master[[#This Row],[ChecklistID]])-1</f>
        <v>2</v>
      </c>
      <c r="L2567" s="23" t="s">
        <v>1848</v>
      </c>
    </row>
    <row r="2568" spans="1:12" ht="15.75">
      <c r="A2568" s="23">
        <f t="shared" si="42"/>
        <v>2555</v>
      </c>
      <c r="B2568" s="21">
        <f ca="1">Master[[#This Row],[ChecklistID]]+Master[[#This Row],[Checklist Order]]</f>
        <v>228003</v>
      </c>
      <c r="C2568" s="22"/>
      <c r="D2568" s="23" t="str" cm="1">
        <f t="array" aca="1" ref="D2568" ca="1">_xlfn.SWITCH(MID(Master[[#This Row],[Checklist]],1,4),"C - ","Civil","F - ","Foundation","ST -","Structure","FC -","Façade","PRE ","Pre-Line","POST","Post-Line","H - ","Handover","S - ","Services","CST ","Completion Docs", "I - ", "Inspection")</f>
        <v>Structure</v>
      </c>
      <c r="E2568" s="23" t="str">
        <f ca="1">IF(NOT(ISERROR(SEARCH("- S -", Master[[#This Row],[Checklist]]))), "Subcontractor",IF(NOT(ISERROR(SEARCH("- R -", Master[[#This Row],[Checklist]]))), "Ryman",IF(NOT(ISERROR(SEARCH("- C -", Master[[#This Row],[Checklist]]))), "Consultant",IF(NOT(ISERROR(SEARCH("- I -", Master[[#This Row],[Checklist]]))),  "Inspection Test Plan", "Naming Error"))))</f>
        <v>Ryman</v>
      </c>
      <c r="F2568" s="24" t="str">
        <f ca="1">IF(OR(Master[[#This Row],[Type]]="checklist", Master[[#This Row],[Type]]="checklist-flat"), Master[[#This Row],[Name]], F2567)</f>
        <v>ST - R - Concrete Pour Planning</v>
      </c>
      <c r="G2568" s="3" t="s">
        <v>124</v>
      </c>
      <c r="H2568" s="24" t="s">
        <v>251</v>
      </c>
      <c r="I2568" s="40"/>
      <c r="J2568" s="21">
        <f ca="1">_xlfn.XLOOKUP(Master[[#This Row],[Checklist]],Ref!A:A,Ref!B:B)*1000</f>
        <v>228000</v>
      </c>
      <c r="K2568" s="21">
        <f ca="1">COUNTIF($J$2:Master[[#This Row],[ChecklistID]],Master[[#This Row],[ChecklistID]])-1</f>
        <v>3</v>
      </c>
      <c r="L2568" s="23" t="s">
        <v>1848</v>
      </c>
    </row>
    <row r="2569" spans="1:12" ht="15.75">
      <c r="A2569" s="23">
        <f t="shared" si="42"/>
        <v>2556</v>
      </c>
      <c r="B2569" s="21">
        <f ca="1">Master[[#This Row],[ChecklistID]]+Master[[#This Row],[Checklist Order]]</f>
        <v>228004</v>
      </c>
      <c r="C2569" s="22"/>
      <c r="D2569" s="23" t="str" cm="1">
        <f t="array" aca="1" ref="D2569" ca="1">_xlfn.SWITCH(MID(Master[[#This Row],[Checklist]],1,4),"C - ","Civil","F - ","Foundation","ST -","Structure","FC -","Façade","PRE ","Pre-Line","POST","Post-Line","H - ","Handover","S - ","Services","CST ","Completion Docs", "I - ", "Inspection")</f>
        <v>Structure</v>
      </c>
      <c r="E2569" s="23" t="str">
        <f ca="1">IF(NOT(ISERROR(SEARCH("- S -", Master[[#This Row],[Checklist]]))), "Subcontractor",IF(NOT(ISERROR(SEARCH("- R -", Master[[#This Row],[Checklist]]))), "Ryman",IF(NOT(ISERROR(SEARCH("- C -", Master[[#This Row],[Checklist]]))), "Consultant",IF(NOT(ISERROR(SEARCH("- I -", Master[[#This Row],[Checklist]]))),  "Inspection Test Plan", "Naming Error"))))</f>
        <v>Ryman</v>
      </c>
      <c r="F2569" s="24" t="str">
        <f ca="1">IF(OR(Master[[#This Row],[Type]]="checklist", Master[[#This Row],[Type]]="checklist-flat"), Master[[#This Row],[Name]], F2568)</f>
        <v>ST - R - Concrete Pour Planning</v>
      </c>
      <c r="G2569" s="3" t="s">
        <v>124</v>
      </c>
      <c r="H2569" s="24" t="s">
        <v>252</v>
      </c>
      <c r="I2569" s="40"/>
      <c r="J2569" s="21">
        <f ca="1">_xlfn.XLOOKUP(Master[[#This Row],[Checklist]],Ref!A:A,Ref!B:B)*1000</f>
        <v>228000</v>
      </c>
      <c r="K2569" s="21">
        <f ca="1">COUNTIF($J$2:Master[[#This Row],[ChecklistID]],Master[[#This Row],[ChecklistID]])-1</f>
        <v>4</v>
      </c>
      <c r="L2569" s="23" t="s">
        <v>1848</v>
      </c>
    </row>
    <row r="2570" spans="1:12" ht="15.75">
      <c r="A2570" s="23">
        <f>IFERROR(A2569+1,1)</f>
        <v>2557</v>
      </c>
      <c r="B2570" s="21">
        <f ca="1">Master[[#This Row],[ChecklistID]]+Master[[#This Row],[Checklist Order]]</f>
        <v>228005</v>
      </c>
      <c r="C2570" s="22"/>
      <c r="D2570" s="23" t="str" cm="1">
        <f t="array" aca="1" ref="D2570" ca="1">_xlfn.SWITCH(MID(Master[[#This Row],[Checklist]],1,4),"C - ","Civil","F - ","Foundation","ST -","Structure","FC -","Façade","PRE ","Pre-Line","POST","Post-Line","H - ","Handover","S - ","Services","CST ","Completion Docs", "I - ", "Inspection")</f>
        <v>Structure</v>
      </c>
      <c r="E2570" s="23" t="str">
        <f ca="1">IF(NOT(ISERROR(SEARCH("- S -", Master[[#This Row],[Checklist]]))), "Subcontractor",IF(NOT(ISERROR(SEARCH("- R -", Master[[#This Row],[Checklist]]))), "Ryman",IF(NOT(ISERROR(SEARCH("- C -", Master[[#This Row],[Checklist]]))), "Consultant",IF(NOT(ISERROR(SEARCH("- I -", Master[[#This Row],[Checklist]]))),  "Inspection Test Plan", "Naming Error"))))</f>
        <v>Ryman</v>
      </c>
      <c r="F2570" s="24" t="str">
        <f ca="1">IF(OR(Master[[#This Row],[Type]]="checklist", Master[[#This Row],[Type]]="checklist-flat"), Master[[#This Row],[Name]], F2569)</f>
        <v>ST - R - Concrete Pour Planning</v>
      </c>
      <c r="G2570" s="30" t="s">
        <v>131</v>
      </c>
      <c r="H2570" s="38" t="s">
        <v>1880</v>
      </c>
      <c r="I2570" s="39" t="s">
        <v>1881</v>
      </c>
      <c r="J2570" s="21">
        <f ca="1">_xlfn.XLOOKUP(Master[[#This Row],[Checklist]],Ref!A:A,Ref!B:B)*1000</f>
        <v>228000</v>
      </c>
      <c r="K2570" s="21">
        <f ca="1">COUNTIF($J$2:Master[[#This Row],[ChecklistID]],Master[[#This Row],[ChecklistID]])-1</f>
        <v>5</v>
      </c>
      <c r="L2570" s="23" t="s">
        <v>1848</v>
      </c>
    </row>
    <row r="2571" spans="1:12" ht="15.75">
      <c r="A2571" s="23">
        <f>IFERROR(A2570+1,1)</f>
        <v>2558</v>
      </c>
      <c r="B2571" s="21">
        <f ca="1">Master[[#This Row],[ChecklistID]]+Master[[#This Row],[Checklist Order]]</f>
        <v>228006</v>
      </c>
      <c r="C2571" s="22"/>
      <c r="D2571" s="23" t="str" cm="1">
        <f t="array" aca="1" ref="D2571" ca="1">_xlfn.SWITCH(MID(Master[[#This Row],[Checklist]],1,4),"C - ","Civil","F - ","Foundation","ST -","Structure","FC -","Façade","PRE ","Pre-Line","POST","Post-Line","H - ","Handover","S - ","Services","CST ","Completion Docs", "I - ", "Inspection")</f>
        <v>Structure</v>
      </c>
      <c r="E2571" s="23" t="str">
        <f ca="1">IF(NOT(ISERROR(SEARCH("- S -", Master[[#This Row],[Checklist]]))), "Subcontractor",IF(NOT(ISERROR(SEARCH("- R -", Master[[#This Row],[Checklist]]))), "Ryman",IF(NOT(ISERROR(SEARCH("- C -", Master[[#This Row],[Checklist]]))), "Consultant",IF(NOT(ISERROR(SEARCH("- I -", Master[[#This Row],[Checklist]]))),  "Inspection Test Plan", "Naming Error"))))</f>
        <v>Ryman</v>
      </c>
      <c r="F2571" s="24" t="str">
        <f ca="1">IF(OR(Master[[#This Row],[Type]]="checklist", Master[[#This Row],[Type]]="checklist-flat"), Master[[#This Row],[Name]], F2570)</f>
        <v>ST - R - Concrete Pour Planning</v>
      </c>
      <c r="G2571" s="3" t="s">
        <v>120</v>
      </c>
      <c r="H2571" s="24" t="s">
        <v>1882</v>
      </c>
      <c r="I2571" s="40"/>
      <c r="J2571" s="21">
        <f ca="1">_xlfn.XLOOKUP(Master[[#This Row],[Checklist]],Ref!A:A,Ref!B:B)*1000</f>
        <v>228000</v>
      </c>
      <c r="K2571" s="21">
        <f ca="1">COUNTIF($J$2:Master[[#This Row],[ChecklistID]],Master[[#This Row],[ChecklistID]])-1</f>
        <v>6</v>
      </c>
      <c r="L2571" s="23" t="s">
        <v>1848</v>
      </c>
    </row>
    <row r="2572" spans="1:12" ht="15.75">
      <c r="A2572" s="23">
        <f t="shared" si="42"/>
        <v>2559</v>
      </c>
      <c r="B2572" s="21">
        <f ca="1">Master[[#This Row],[ChecklistID]]+Master[[#This Row],[Checklist Order]]</f>
        <v>228007</v>
      </c>
      <c r="C2572" s="22"/>
      <c r="D2572" s="23" t="str" cm="1">
        <f t="array" aca="1" ref="D2572" ca="1">_xlfn.SWITCH(MID(Master[[#This Row],[Checklist]],1,4),"C - ","Civil","F - ","Foundation","ST -","Structure","FC -","Façade","PRE ","Pre-Line","POST","Post-Line","H - ","Handover","S - ","Services","CST ","Completion Docs", "I - ", "Inspection")</f>
        <v>Structure</v>
      </c>
      <c r="E2572" s="23" t="str">
        <f ca="1">IF(NOT(ISERROR(SEARCH("- S -", Master[[#This Row],[Checklist]]))), "Subcontractor",IF(NOT(ISERROR(SEARCH("- R -", Master[[#This Row],[Checklist]]))), "Ryman",IF(NOT(ISERROR(SEARCH("- C -", Master[[#This Row],[Checklist]]))), "Consultant",IF(NOT(ISERROR(SEARCH("- I -", Master[[#This Row],[Checklist]]))),  "Inspection Test Plan", "Naming Error"))))</f>
        <v>Ryman</v>
      </c>
      <c r="F2572" s="24" t="str">
        <f ca="1">IF(OR(Master[[#This Row],[Type]]="checklist", Master[[#This Row],[Type]]="checklist-flat"), Master[[#This Row],[Name]], F2571)</f>
        <v>ST - R - Concrete Pour Planning</v>
      </c>
      <c r="G2572" s="30" t="s">
        <v>1879</v>
      </c>
      <c r="H2572" s="38" t="s">
        <v>1882</v>
      </c>
      <c r="I2572" s="40"/>
      <c r="J2572" s="21">
        <f ca="1">_xlfn.XLOOKUP(Master[[#This Row],[Checklist]],Ref!A:A,Ref!B:B)*1000</f>
        <v>228000</v>
      </c>
      <c r="K2572" s="21">
        <f ca="1">COUNTIF($J$2:Master[[#This Row],[ChecklistID]],Master[[#This Row],[ChecklistID]])-1</f>
        <v>7</v>
      </c>
      <c r="L2572" s="23" t="s">
        <v>1848</v>
      </c>
    </row>
    <row r="2573" spans="1:12" ht="15.75">
      <c r="A2573" s="23">
        <f t="shared" si="42"/>
        <v>2560</v>
      </c>
      <c r="B2573" s="21">
        <f ca="1">Master[[#This Row],[ChecklistID]]+Master[[#This Row],[Checklist Order]]</f>
        <v>228008</v>
      </c>
      <c r="C2573" s="22"/>
      <c r="D2573" s="23" t="str" cm="1">
        <f t="array" aca="1" ref="D2573" ca="1">_xlfn.SWITCH(MID(Master[[#This Row],[Checklist]],1,4),"C - ","Civil","F - ","Foundation","ST -","Structure","FC -","Façade","PRE ","Pre-Line","POST","Post-Line","H - ","Handover","S - ","Services","CST ","Completion Docs", "I - ", "Inspection")</f>
        <v>Structure</v>
      </c>
      <c r="E2573" s="23" t="str">
        <f ca="1">IF(NOT(ISERROR(SEARCH("- S -", Master[[#This Row],[Checklist]]))), "Subcontractor",IF(NOT(ISERROR(SEARCH("- R -", Master[[#This Row],[Checklist]]))), "Ryman",IF(NOT(ISERROR(SEARCH("- C -", Master[[#This Row],[Checklist]]))), "Consultant",IF(NOT(ISERROR(SEARCH("- I -", Master[[#This Row],[Checklist]]))),  "Inspection Test Plan", "Naming Error"))))</f>
        <v>Ryman</v>
      </c>
      <c r="F2573" s="24" t="str">
        <f ca="1">IF(OR(Master[[#This Row],[Type]]="checklist", Master[[#This Row],[Type]]="checklist-flat"), Master[[#This Row],[Name]], F2572)</f>
        <v>ST - R - Concrete Pour Planning</v>
      </c>
      <c r="G2573" s="3" t="s">
        <v>124</v>
      </c>
      <c r="H2573" s="24" t="s">
        <v>281</v>
      </c>
      <c r="I2573" s="40"/>
      <c r="J2573" s="21">
        <f ca="1">_xlfn.XLOOKUP(Master[[#This Row],[Checklist]],Ref!A:A,Ref!B:B)*1000</f>
        <v>228000</v>
      </c>
      <c r="K2573" s="21">
        <f ca="1">COUNTIF($J$2:Master[[#This Row],[ChecklistID]],Master[[#This Row],[ChecklistID]])-1</f>
        <v>8</v>
      </c>
      <c r="L2573" s="23" t="s">
        <v>1848</v>
      </c>
    </row>
    <row r="2574" spans="1:12" ht="15.75">
      <c r="A2574" s="23">
        <f t="shared" si="42"/>
        <v>2561</v>
      </c>
      <c r="B2574" s="21">
        <f ca="1">Master[[#This Row],[ChecklistID]]+Master[[#This Row],[Checklist Order]]</f>
        <v>228009</v>
      </c>
      <c r="C2574" s="22"/>
      <c r="D2574" s="23" t="str" cm="1">
        <f t="array" aca="1" ref="D2574" ca="1">_xlfn.SWITCH(MID(Master[[#This Row],[Checklist]],1,4),"C - ","Civil","F - ","Foundation","ST -","Structure","FC -","Façade","PRE ","Pre-Line","POST","Post-Line","H - ","Handover","S - ","Services","CST ","Completion Docs", "I - ", "Inspection")</f>
        <v>Structure</v>
      </c>
      <c r="E2574" s="23" t="str">
        <f ca="1">IF(NOT(ISERROR(SEARCH("- S -", Master[[#This Row],[Checklist]]))), "Subcontractor",IF(NOT(ISERROR(SEARCH("- R -", Master[[#This Row],[Checklist]]))), "Ryman",IF(NOT(ISERROR(SEARCH("- C -", Master[[#This Row],[Checklist]]))), "Consultant",IF(NOT(ISERROR(SEARCH("- I -", Master[[#This Row],[Checklist]]))),  "Inspection Test Plan", "Naming Error"))))</f>
        <v>Ryman</v>
      </c>
      <c r="F2574" s="24" t="str">
        <f ca="1">IF(OR(Master[[#This Row],[Type]]="checklist", Master[[#This Row],[Type]]="checklist-flat"), Master[[#This Row],[Name]], F2573)</f>
        <v>ST - R - Concrete Pour Planning</v>
      </c>
      <c r="G2574" s="3" t="s">
        <v>124</v>
      </c>
      <c r="H2574" s="24" t="s">
        <v>283</v>
      </c>
      <c r="I2574" s="40"/>
      <c r="J2574" s="21">
        <f ca="1">_xlfn.XLOOKUP(Master[[#This Row],[Checklist]],Ref!A:A,Ref!B:B)*1000</f>
        <v>228000</v>
      </c>
      <c r="K2574" s="21">
        <f ca="1">COUNTIF($J$2:Master[[#This Row],[ChecklistID]],Master[[#This Row],[ChecklistID]])-1</f>
        <v>9</v>
      </c>
      <c r="L2574" s="23" t="s">
        <v>1848</v>
      </c>
    </row>
    <row r="2575" spans="1:12" ht="15.75">
      <c r="A2575" s="23">
        <f t="shared" si="42"/>
        <v>2562</v>
      </c>
      <c r="B2575" s="21">
        <f ca="1">Master[[#This Row],[ChecklistID]]+Master[[#This Row],[Checklist Order]]</f>
        <v>228010</v>
      </c>
      <c r="C2575" s="22"/>
      <c r="D2575" s="23" t="str" cm="1">
        <f t="array" aca="1" ref="D2575" ca="1">_xlfn.SWITCH(MID(Master[[#This Row],[Checklist]],1,4),"C - ","Civil","F - ","Foundation","ST -","Structure","FC -","Façade","PRE ","Pre-Line","POST","Post-Line","H - ","Handover","S - ","Services","CST ","Completion Docs", "I - ", "Inspection")</f>
        <v>Structure</v>
      </c>
      <c r="E2575" s="23" t="str">
        <f ca="1">IF(NOT(ISERROR(SEARCH("- S -", Master[[#This Row],[Checklist]]))), "Subcontractor",IF(NOT(ISERROR(SEARCH("- R -", Master[[#This Row],[Checklist]]))), "Ryman",IF(NOT(ISERROR(SEARCH("- C -", Master[[#This Row],[Checklist]]))), "Consultant",IF(NOT(ISERROR(SEARCH("- I -", Master[[#This Row],[Checklist]]))),  "Inspection Test Plan", "Naming Error"))))</f>
        <v>Ryman</v>
      </c>
      <c r="F2575" s="24" t="str">
        <f ca="1">IF(OR(Master[[#This Row],[Type]]="checklist", Master[[#This Row],[Type]]="checklist-flat"), Master[[#This Row],[Name]], F2574)</f>
        <v>ST - R - Concrete Pour Planning</v>
      </c>
      <c r="G2575" s="3" t="s">
        <v>124</v>
      </c>
      <c r="H2575" s="24" t="s">
        <v>284</v>
      </c>
      <c r="I2575" s="40"/>
      <c r="J2575" s="21">
        <f ca="1">_xlfn.XLOOKUP(Master[[#This Row],[Checklist]],Ref!A:A,Ref!B:B)*1000</f>
        <v>228000</v>
      </c>
      <c r="K2575" s="21">
        <f ca="1">COUNTIF($J$2:Master[[#This Row],[ChecklistID]],Master[[#This Row],[ChecklistID]])-1</f>
        <v>10</v>
      </c>
      <c r="L2575" s="23" t="s">
        <v>1848</v>
      </c>
    </row>
    <row r="2576" spans="1:12" ht="15.75">
      <c r="A2576" s="23">
        <f t="shared" si="42"/>
        <v>2563</v>
      </c>
      <c r="B2576" s="21">
        <f ca="1">Master[[#This Row],[ChecklistID]]+Master[[#This Row],[Checklist Order]]</f>
        <v>228011</v>
      </c>
      <c r="C2576" s="22"/>
      <c r="D2576" s="23" t="str" cm="1">
        <f t="array" aca="1" ref="D2576" ca="1">_xlfn.SWITCH(MID(Master[[#This Row],[Checklist]],1,4),"C - ","Civil","F - ","Foundation","ST -","Structure","FC -","Façade","PRE ","Pre-Line","POST","Post-Line","H - ","Handover","S - ","Services","CST ","Completion Docs", "I - ", "Inspection")</f>
        <v>Structure</v>
      </c>
      <c r="E2576" s="23" t="str">
        <f ca="1">IF(NOT(ISERROR(SEARCH("- S -", Master[[#This Row],[Checklist]]))), "Subcontractor",IF(NOT(ISERROR(SEARCH("- R -", Master[[#This Row],[Checklist]]))), "Ryman",IF(NOT(ISERROR(SEARCH("- C -", Master[[#This Row],[Checklist]]))), "Consultant",IF(NOT(ISERROR(SEARCH("- I -", Master[[#This Row],[Checklist]]))),  "Inspection Test Plan", "Naming Error"))))</f>
        <v>Ryman</v>
      </c>
      <c r="F2576" s="24" t="str">
        <f ca="1">IF(OR(Master[[#This Row],[Type]]="checklist", Master[[#This Row],[Type]]="checklist-flat"), Master[[#This Row],[Name]], F2575)</f>
        <v>ST - R - Concrete Pour Planning</v>
      </c>
      <c r="G2576" s="3" t="s">
        <v>49</v>
      </c>
      <c r="H2576" s="24" t="s">
        <v>286</v>
      </c>
      <c r="I2576" s="40"/>
      <c r="J2576" s="21">
        <f ca="1">_xlfn.XLOOKUP(Master[[#This Row],[Checklist]],Ref!A:A,Ref!B:B)*1000</f>
        <v>228000</v>
      </c>
      <c r="K2576" s="21">
        <f ca="1">COUNTIF($J$2:Master[[#This Row],[ChecklistID]],Master[[#This Row],[ChecklistID]])-1</f>
        <v>11</v>
      </c>
      <c r="L2576" s="23" t="s">
        <v>1848</v>
      </c>
    </row>
    <row r="2577" spans="1:12" ht="15.75">
      <c r="A2577" s="23">
        <f t="shared" si="42"/>
        <v>2564</v>
      </c>
      <c r="B2577" s="21">
        <f ca="1">Master[[#This Row],[ChecklistID]]+Master[[#This Row],[Checklist Order]]</f>
        <v>228012</v>
      </c>
      <c r="C2577" s="22"/>
      <c r="D2577" s="23" t="str" cm="1">
        <f t="array" aca="1" ref="D2577" ca="1">_xlfn.SWITCH(MID(Master[[#This Row],[Checklist]],1,4),"C - ","Civil","F - ","Foundation","ST -","Structure","FC -","Façade","PRE ","Pre-Line","POST","Post-Line","H - ","Handover","S - ","Services","CST ","Completion Docs", "I - ", "Inspection")</f>
        <v>Structure</v>
      </c>
      <c r="E2577" s="23" t="str">
        <f ca="1">IF(NOT(ISERROR(SEARCH("- S -", Master[[#This Row],[Checklist]]))), "Subcontractor",IF(NOT(ISERROR(SEARCH("- R -", Master[[#This Row],[Checklist]]))), "Ryman",IF(NOT(ISERROR(SEARCH("- C -", Master[[#This Row],[Checklist]]))), "Consultant",IF(NOT(ISERROR(SEARCH("- I -", Master[[#This Row],[Checklist]]))),  "Inspection Test Plan", "Naming Error"))))</f>
        <v>Ryman</v>
      </c>
      <c r="F2577" s="24" t="str">
        <f ca="1">IF(OR(Master[[#This Row],[Type]]="checklist", Master[[#This Row],[Type]]="checklist-flat"), Master[[#This Row],[Name]], F2576)</f>
        <v>ST - R - Concrete Pour Planning</v>
      </c>
      <c r="G2577" s="3" t="s">
        <v>120</v>
      </c>
      <c r="H2577" s="24" t="s">
        <v>1883</v>
      </c>
      <c r="I2577" s="40"/>
      <c r="J2577" s="21">
        <f ca="1">_xlfn.XLOOKUP(Master[[#This Row],[Checklist]],Ref!A:A,Ref!B:B)*1000</f>
        <v>228000</v>
      </c>
      <c r="K2577" s="21">
        <f ca="1">COUNTIF($J$2:Master[[#This Row],[ChecklistID]],Master[[#This Row],[ChecklistID]])-1</f>
        <v>12</v>
      </c>
      <c r="L2577" s="23" t="s">
        <v>1848</v>
      </c>
    </row>
    <row r="2578" spans="1:12" ht="15.75">
      <c r="A2578" s="23">
        <f t="shared" si="42"/>
        <v>2565</v>
      </c>
      <c r="B2578" s="21">
        <f ca="1">Master[[#This Row],[ChecklistID]]+Master[[#This Row],[Checklist Order]]</f>
        <v>228013</v>
      </c>
      <c r="C2578" s="22"/>
      <c r="D2578" s="23" t="str" cm="1">
        <f t="array" aca="1" ref="D2578" ca="1">_xlfn.SWITCH(MID(Master[[#This Row],[Checklist]],1,4),"C - ","Civil","F - ","Foundation","ST -","Structure","FC -","Façade","PRE ","Pre-Line","POST","Post-Line","H - ","Handover","S - ","Services","CST ","Completion Docs", "I - ", "Inspection")</f>
        <v>Structure</v>
      </c>
      <c r="E2578" s="23" t="str">
        <f ca="1">IF(NOT(ISERROR(SEARCH("- S -", Master[[#This Row],[Checklist]]))), "Subcontractor",IF(NOT(ISERROR(SEARCH("- R -", Master[[#This Row],[Checklist]]))), "Ryman",IF(NOT(ISERROR(SEARCH("- C -", Master[[#This Row],[Checklist]]))), "Consultant",IF(NOT(ISERROR(SEARCH("- I -", Master[[#This Row],[Checklist]]))),  "Inspection Test Plan", "Naming Error"))))</f>
        <v>Ryman</v>
      </c>
      <c r="F2578" s="24" t="str">
        <f ca="1">IF(OR(Master[[#This Row],[Type]]="checklist", Master[[#This Row],[Type]]="checklist-flat"), Master[[#This Row],[Name]], F2577)</f>
        <v>ST - R - Concrete Pour Planning</v>
      </c>
      <c r="G2578" s="3" t="s">
        <v>49</v>
      </c>
      <c r="H2578" s="24" t="s">
        <v>1884</v>
      </c>
      <c r="I2578" s="40"/>
      <c r="J2578" s="21">
        <f ca="1">_xlfn.XLOOKUP(Master[[#This Row],[Checklist]],Ref!A:A,Ref!B:B)*1000</f>
        <v>228000</v>
      </c>
      <c r="K2578" s="21">
        <f ca="1">COUNTIF($J$2:Master[[#This Row],[ChecklistID]],Master[[#This Row],[ChecklistID]])-1</f>
        <v>13</v>
      </c>
      <c r="L2578" s="23" t="s">
        <v>1848</v>
      </c>
    </row>
    <row r="2579" spans="1:12" ht="15.75">
      <c r="A2579" s="23">
        <f t="shared" si="42"/>
        <v>2566</v>
      </c>
      <c r="B2579" s="21">
        <f ca="1">Master[[#This Row],[ChecklistID]]+Master[[#This Row],[Checklist Order]]</f>
        <v>228014</v>
      </c>
      <c r="C2579" s="22"/>
      <c r="D2579" s="23" t="str" cm="1">
        <f t="array" aca="1" ref="D2579" ca="1">_xlfn.SWITCH(MID(Master[[#This Row],[Checklist]],1,4),"C - ","Civil","F - ","Foundation","ST -","Structure","FC -","Façade","PRE ","Pre-Line","POST","Post-Line","H - ","Handover","S - ","Services","CST ","Completion Docs", "I - ", "Inspection")</f>
        <v>Structure</v>
      </c>
      <c r="E2579" s="23" t="str">
        <f ca="1">IF(NOT(ISERROR(SEARCH("- S -", Master[[#This Row],[Checklist]]))), "Subcontractor",IF(NOT(ISERROR(SEARCH("- R -", Master[[#This Row],[Checklist]]))), "Ryman",IF(NOT(ISERROR(SEARCH("- C -", Master[[#This Row],[Checklist]]))), "Consultant",IF(NOT(ISERROR(SEARCH("- I -", Master[[#This Row],[Checklist]]))),  "Inspection Test Plan", "Naming Error"))))</f>
        <v>Ryman</v>
      </c>
      <c r="F2579" s="24" t="str">
        <f ca="1">IF(OR(Master[[#This Row],[Type]]="checklist", Master[[#This Row],[Type]]="checklist-flat"), Master[[#This Row],[Name]], F2578)</f>
        <v>ST - R - Concrete Pour Planning</v>
      </c>
      <c r="G2579" s="3" t="s">
        <v>49</v>
      </c>
      <c r="H2579" s="24" t="s">
        <v>1885</v>
      </c>
      <c r="I2579" s="40"/>
      <c r="J2579" s="21">
        <f ca="1">_xlfn.XLOOKUP(Master[[#This Row],[Checklist]],Ref!A:A,Ref!B:B)*1000</f>
        <v>228000</v>
      </c>
      <c r="K2579" s="21">
        <f ca="1">COUNTIF($J$2:Master[[#This Row],[ChecklistID]],Master[[#This Row],[ChecklistID]])-1</f>
        <v>14</v>
      </c>
      <c r="L2579" s="23" t="s">
        <v>1848</v>
      </c>
    </row>
    <row r="2580" spans="1:12" ht="15.75">
      <c r="A2580" s="23">
        <f t="shared" si="42"/>
        <v>2567</v>
      </c>
      <c r="B2580" s="21">
        <f ca="1">Master[[#This Row],[ChecklistID]]+Master[[#This Row],[Checklist Order]]</f>
        <v>228015</v>
      </c>
      <c r="C2580" s="22"/>
      <c r="D2580" s="23" t="str" cm="1">
        <f t="array" aca="1" ref="D2580" ca="1">_xlfn.SWITCH(MID(Master[[#This Row],[Checklist]],1,4),"C - ","Civil","F - ","Foundation","ST -","Structure","FC -","Façade","PRE ","Pre-Line","POST","Post-Line","H - ","Handover","S - ","Services","CST ","Completion Docs", "I - ", "Inspection")</f>
        <v>Structure</v>
      </c>
      <c r="E2580" s="23" t="str">
        <f ca="1">IF(NOT(ISERROR(SEARCH("- S -", Master[[#This Row],[Checklist]]))), "Subcontractor",IF(NOT(ISERROR(SEARCH("- R -", Master[[#This Row],[Checklist]]))), "Ryman",IF(NOT(ISERROR(SEARCH("- C -", Master[[#This Row],[Checklist]]))), "Consultant",IF(NOT(ISERROR(SEARCH("- I -", Master[[#This Row],[Checklist]]))),  "Inspection Test Plan", "Naming Error"))))</f>
        <v>Ryman</v>
      </c>
      <c r="F2580" s="24" t="str">
        <f ca="1">IF(OR(Master[[#This Row],[Type]]="checklist", Master[[#This Row],[Type]]="checklist-flat"), Master[[#This Row],[Name]], F2579)</f>
        <v>ST - R - Concrete Pour Planning</v>
      </c>
      <c r="G2580" s="3" t="s">
        <v>49</v>
      </c>
      <c r="H2580" s="24" t="s">
        <v>422</v>
      </c>
      <c r="I2580" s="40"/>
      <c r="J2580" s="21">
        <f ca="1">_xlfn.XLOOKUP(Master[[#This Row],[Checklist]],Ref!A:A,Ref!B:B)*1000</f>
        <v>228000</v>
      </c>
      <c r="K2580" s="21">
        <f ca="1">COUNTIF($J$2:Master[[#This Row],[ChecklistID]],Master[[#This Row],[ChecklistID]])-1</f>
        <v>15</v>
      </c>
      <c r="L2580" s="23" t="s">
        <v>1848</v>
      </c>
    </row>
    <row r="2581" spans="1:12" ht="15.75">
      <c r="A2581" s="23">
        <f t="shared" si="42"/>
        <v>2568</v>
      </c>
      <c r="B2581" s="21">
        <f ca="1">Master[[#This Row],[ChecklistID]]+Master[[#This Row],[Checklist Order]]</f>
        <v>228016</v>
      </c>
      <c r="C2581" s="22"/>
      <c r="D2581" s="23" t="str" cm="1">
        <f t="array" aca="1" ref="D2581" ca="1">_xlfn.SWITCH(MID(Master[[#This Row],[Checklist]],1,4),"C - ","Civil","F - ","Foundation","ST -","Structure","FC -","Façade","PRE ","Pre-Line","POST","Post-Line","H - ","Handover","S - ","Services","CST ","Completion Docs", "I - ", "Inspection")</f>
        <v>Structure</v>
      </c>
      <c r="E2581" s="23" t="str">
        <f ca="1">IF(NOT(ISERROR(SEARCH("- S -", Master[[#This Row],[Checklist]]))), "Subcontractor",IF(NOT(ISERROR(SEARCH("- R -", Master[[#This Row],[Checklist]]))), "Ryman",IF(NOT(ISERROR(SEARCH("- C -", Master[[#This Row],[Checklist]]))), "Consultant",IF(NOT(ISERROR(SEARCH("- I -", Master[[#This Row],[Checklist]]))),  "Inspection Test Plan", "Naming Error"))))</f>
        <v>Ryman</v>
      </c>
      <c r="F2581" s="24" t="str">
        <f ca="1">IF(OR(Master[[#This Row],[Type]]="checklist", Master[[#This Row],[Type]]="checklist-flat"), Master[[#This Row],[Name]], F2580)</f>
        <v>ST - R - Concrete Pour Planning</v>
      </c>
      <c r="G2581" s="3" t="s">
        <v>49</v>
      </c>
      <c r="H2581" s="24" t="s">
        <v>1886</v>
      </c>
      <c r="I2581" s="40"/>
      <c r="J2581" s="21">
        <f ca="1">_xlfn.XLOOKUP(Master[[#This Row],[Checklist]],Ref!A:A,Ref!B:B)*1000</f>
        <v>228000</v>
      </c>
      <c r="K2581" s="21">
        <f ca="1">COUNTIF($J$2:Master[[#This Row],[ChecklistID]],Master[[#This Row],[ChecklistID]])-1</f>
        <v>16</v>
      </c>
      <c r="L2581" s="23" t="s">
        <v>1848</v>
      </c>
    </row>
    <row r="2582" spans="1:12" ht="15.75">
      <c r="A2582" s="23">
        <f t="shared" si="42"/>
        <v>2569</v>
      </c>
      <c r="B2582" s="21">
        <f ca="1">Master[[#This Row],[ChecklistID]]+Master[[#This Row],[Checklist Order]]</f>
        <v>228017</v>
      </c>
      <c r="C2582" s="22"/>
      <c r="D2582" s="23" t="str" cm="1">
        <f t="array" aca="1" ref="D2582" ca="1">_xlfn.SWITCH(MID(Master[[#This Row],[Checklist]],1,4),"C - ","Civil","F - ","Foundation","ST -","Structure","FC -","Façade","PRE ","Pre-Line","POST","Post-Line","H - ","Handover","S - ","Services","CST ","Completion Docs", "I - ", "Inspection")</f>
        <v>Structure</v>
      </c>
      <c r="E2582" s="23" t="str">
        <f ca="1">IF(NOT(ISERROR(SEARCH("- S -", Master[[#This Row],[Checklist]]))), "Subcontractor",IF(NOT(ISERROR(SEARCH("- R -", Master[[#This Row],[Checklist]]))), "Ryman",IF(NOT(ISERROR(SEARCH("- C -", Master[[#This Row],[Checklist]]))), "Consultant",IF(NOT(ISERROR(SEARCH("- I -", Master[[#This Row],[Checklist]]))),  "Inspection Test Plan", "Naming Error"))))</f>
        <v>Ryman</v>
      </c>
      <c r="F2582" s="24" t="str">
        <f ca="1">IF(OR(Master[[#This Row],[Type]]="checklist", Master[[#This Row],[Type]]="checklist-flat"), Master[[#This Row],[Name]], F2581)</f>
        <v>ST - R - Concrete Pour Planning</v>
      </c>
      <c r="G2582" s="3" t="s">
        <v>49</v>
      </c>
      <c r="H2582" s="24" t="s">
        <v>1887</v>
      </c>
      <c r="I2582" s="40"/>
      <c r="J2582" s="21">
        <f ca="1">_xlfn.XLOOKUP(Master[[#This Row],[Checklist]],Ref!A:A,Ref!B:B)*1000</f>
        <v>228000</v>
      </c>
      <c r="K2582" s="21">
        <f ca="1">COUNTIF($J$2:Master[[#This Row],[ChecklistID]],Master[[#This Row],[ChecklistID]])-1</f>
        <v>17</v>
      </c>
      <c r="L2582" s="23" t="s">
        <v>1848</v>
      </c>
    </row>
    <row r="2583" spans="1:12" ht="15.75">
      <c r="A2583" s="23">
        <f t="shared" si="42"/>
        <v>2570</v>
      </c>
      <c r="B2583" s="21">
        <f ca="1">Master[[#This Row],[ChecklistID]]+Master[[#This Row],[Checklist Order]]</f>
        <v>228018</v>
      </c>
      <c r="C2583" s="22"/>
      <c r="D2583" s="23" t="str" cm="1">
        <f t="array" aca="1" ref="D2583" ca="1">_xlfn.SWITCH(MID(Master[[#This Row],[Checklist]],1,4),"C - ","Civil","F - ","Foundation","ST -","Structure","FC -","Façade","PRE ","Pre-Line","POST","Post-Line","H - ","Handover","S - ","Services","CST ","Completion Docs", "I - ", "Inspection")</f>
        <v>Structure</v>
      </c>
      <c r="E2583" s="23" t="str">
        <f ca="1">IF(NOT(ISERROR(SEARCH("- S -", Master[[#This Row],[Checklist]]))), "Subcontractor",IF(NOT(ISERROR(SEARCH("- R -", Master[[#This Row],[Checklist]]))), "Ryman",IF(NOT(ISERROR(SEARCH("- C -", Master[[#This Row],[Checklist]]))), "Consultant",IF(NOT(ISERROR(SEARCH("- I -", Master[[#This Row],[Checklist]]))),  "Inspection Test Plan", "Naming Error"))))</f>
        <v>Ryman</v>
      </c>
      <c r="F2583" s="24" t="str">
        <f ca="1">IF(OR(Master[[#This Row],[Type]]="checklist", Master[[#This Row],[Type]]="checklist-flat"), Master[[#This Row],[Name]], F2582)</f>
        <v>ST - R - Concrete Pour Planning</v>
      </c>
      <c r="G2583" s="3" t="s">
        <v>49</v>
      </c>
      <c r="H2583" s="24" t="s">
        <v>1888</v>
      </c>
      <c r="I2583" s="40"/>
      <c r="J2583" s="21">
        <f ca="1">_xlfn.XLOOKUP(Master[[#This Row],[Checklist]],Ref!A:A,Ref!B:B)*1000</f>
        <v>228000</v>
      </c>
      <c r="K2583" s="21">
        <f ca="1">COUNTIF($J$2:Master[[#This Row],[ChecklistID]],Master[[#This Row],[ChecklistID]])-1</f>
        <v>18</v>
      </c>
      <c r="L2583" s="23" t="s">
        <v>1848</v>
      </c>
    </row>
    <row r="2584" spans="1:12" ht="15.75">
      <c r="A2584" s="23">
        <f t="shared" si="42"/>
        <v>2571</v>
      </c>
      <c r="B2584" s="21">
        <f ca="1">Master[[#This Row],[ChecklistID]]+Master[[#This Row],[Checklist Order]]</f>
        <v>228019</v>
      </c>
      <c r="C2584" s="22"/>
      <c r="D2584" s="23" t="str" cm="1">
        <f t="array" aca="1" ref="D2584" ca="1">_xlfn.SWITCH(MID(Master[[#This Row],[Checklist]],1,4),"C - ","Civil","F - ","Foundation","ST -","Structure","FC -","Façade","PRE ","Pre-Line","POST","Post-Line","H - ","Handover","S - ","Services","CST ","Completion Docs", "I - ", "Inspection")</f>
        <v>Structure</v>
      </c>
      <c r="E2584" s="23" t="str">
        <f ca="1">IF(NOT(ISERROR(SEARCH("- S -", Master[[#This Row],[Checklist]]))), "Subcontractor",IF(NOT(ISERROR(SEARCH("- R -", Master[[#This Row],[Checklist]]))), "Ryman",IF(NOT(ISERROR(SEARCH("- C -", Master[[#This Row],[Checklist]]))), "Consultant",IF(NOT(ISERROR(SEARCH("- I -", Master[[#This Row],[Checklist]]))),  "Inspection Test Plan", "Naming Error"))))</f>
        <v>Ryman</v>
      </c>
      <c r="F2584" s="24" t="str">
        <f ca="1">IF(OR(Master[[#This Row],[Type]]="checklist", Master[[#This Row],[Type]]="checklist-flat"), Master[[#This Row],[Name]], F2583)</f>
        <v>ST - R - Concrete Pour Planning</v>
      </c>
      <c r="G2584" s="3" t="s">
        <v>58</v>
      </c>
      <c r="H2584" s="24" t="s">
        <v>1889</v>
      </c>
      <c r="I2584" s="40"/>
      <c r="J2584" s="21">
        <f ca="1">_xlfn.XLOOKUP(Master[[#This Row],[Checklist]],Ref!A:A,Ref!B:B)*1000</f>
        <v>228000</v>
      </c>
      <c r="K2584" s="21">
        <f ca="1">COUNTIF($J$2:Master[[#This Row],[ChecklistID]],Master[[#This Row],[ChecklistID]])-1</f>
        <v>19</v>
      </c>
      <c r="L2584" s="23" t="s">
        <v>1848</v>
      </c>
    </row>
    <row r="2585" spans="1:12" ht="15.75">
      <c r="A2585" s="23">
        <f t="shared" si="42"/>
        <v>2572</v>
      </c>
      <c r="B2585" s="21">
        <f ca="1">Master[[#This Row],[ChecklistID]]+Master[[#This Row],[Checklist Order]]</f>
        <v>229000</v>
      </c>
      <c r="C2585" s="22"/>
      <c r="D2585" s="23" t="str" cm="1">
        <f t="array" aca="1" ref="D2585" ca="1">_xlfn.SWITCH(MID(Master[[#This Row],[Checklist]],1,4),"C - ","Civil","F - ","Foundation","ST -","Structure","FC -","Façade","PRE ","Pre-Line","POST","Post-Line","H - ","Handover","S - ","Services","CST ","Completion Docs", "I - ", "Inspection")</f>
        <v>Structure</v>
      </c>
      <c r="E2585" s="23" t="str">
        <f ca="1">IF(NOT(ISERROR(SEARCH("- S -", Master[[#This Row],[Checklist]]))), "Subcontractor",IF(NOT(ISERROR(SEARCH("- R -", Master[[#This Row],[Checklist]]))), "Ryman",IF(NOT(ISERROR(SEARCH("- C -", Master[[#This Row],[Checklist]]))), "Consultant",IF(NOT(ISERROR(SEARCH("- I -", Master[[#This Row],[Checklist]]))),  "Inspection Test Plan", "Naming Error"))))</f>
        <v>Ryman</v>
      </c>
      <c r="F2585" s="24" t="str">
        <f ca="1">IF(OR(Master[[#This Row],[Type]]="checklist", Master[[#This Row],[Type]]="checklist-flat"), Master[[#This Row],[Name]], F2584)</f>
        <v>ST - R - Concrete Pour Inspection</v>
      </c>
      <c r="G2585" s="3" t="s">
        <v>119</v>
      </c>
      <c r="H2585" s="24" t="s">
        <v>1890</v>
      </c>
      <c r="I2585" s="40"/>
      <c r="J2585" s="21">
        <f ca="1">_xlfn.XLOOKUP(Master[[#This Row],[Checklist]],Ref!A:A,Ref!B:B)*1000</f>
        <v>229000</v>
      </c>
      <c r="K2585" s="21">
        <f ca="1">COUNTIF($J$2:Master[[#This Row],[ChecklistID]],Master[[#This Row],[ChecklistID]])-1</f>
        <v>0</v>
      </c>
      <c r="L2585" s="23" t="s">
        <v>1848</v>
      </c>
    </row>
    <row r="2586" spans="1:12" ht="15.75">
      <c r="A2586" s="23">
        <f t="shared" si="42"/>
        <v>2573</v>
      </c>
      <c r="B2586" s="21">
        <f ca="1">Master[[#This Row],[ChecklistID]]+Master[[#This Row],[Checklist Order]]</f>
        <v>229001</v>
      </c>
      <c r="C2586" s="22"/>
      <c r="D2586" s="23" t="str" cm="1">
        <f t="array" aca="1" ref="D2586" ca="1">_xlfn.SWITCH(MID(Master[[#This Row],[Checklist]],1,4),"C - ","Civil","F - ","Foundation","ST -","Structure","FC -","Façade","PRE ","Pre-Line","POST","Post-Line","H - ","Handover","S - ","Services","CST ","Completion Docs", "I - ", "Inspection")</f>
        <v>Structure</v>
      </c>
      <c r="E2586" s="23" t="str">
        <f ca="1">IF(NOT(ISERROR(SEARCH("- S -", Master[[#This Row],[Checklist]]))), "Subcontractor",IF(NOT(ISERROR(SEARCH("- R -", Master[[#This Row],[Checklist]]))), "Ryman",IF(NOT(ISERROR(SEARCH("- C -", Master[[#This Row],[Checklist]]))), "Consultant",IF(NOT(ISERROR(SEARCH("- I -", Master[[#This Row],[Checklist]]))),  "Inspection Test Plan", "Naming Error"))))</f>
        <v>Ryman</v>
      </c>
      <c r="F2586" s="24" t="str">
        <f ca="1">IF(OR(Master[[#This Row],[Type]]="checklist", Master[[#This Row],[Type]]="checklist-flat"), Master[[#This Row],[Name]], F2585)</f>
        <v>ST - R - Concrete Pour Inspection</v>
      </c>
      <c r="G2586" s="3" t="s">
        <v>120</v>
      </c>
      <c r="H2586" s="24" t="s">
        <v>1891</v>
      </c>
      <c r="I2586" s="40"/>
      <c r="J2586" s="21">
        <f ca="1">_xlfn.XLOOKUP(Master[[#This Row],[Checklist]],Ref!A:A,Ref!B:B)*1000</f>
        <v>229000</v>
      </c>
      <c r="K2586" s="21">
        <f ca="1">COUNTIF($J$2:Master[[#This Row],[ChecklistID]],Master[[#This Row],[ChecklistID]])-1</f>
        <v>1</v>
      </c>
      <c r="L2586" s="23" t="s">
        <v>1848</v>
      </c>
    </row>
    <row r="2587" spans="1:12" ht="15.75">
      <c r="A2587" s="23">
        <f t="shared" si="42"/>
        <v>2574</v>
      </c>
      <c r="B2587" s="21">
        <f ca="1">Master[[#This Row],[ChecklistID]]+Master[[#This Row],[Checklist Order]]</f>
        <v>229002</v>
      </c>
      <c r="C2587" s="22"/>
      <c r="D2587" s="23" t="str" cm="1">
        <f t="array" aca="1" ref="D2587" ca="1">_xlfn.SWITCH(MID(Master[[#This Row],[Checklist]],1,4),"C - ","Civil","F - ","Foundation","ST -","Structure","FC -","Façade","PRE ","Pre-Line","POST","Post-Line","H - ","Handover","S - ","Services","CST ","Completion Docs", "I - ", "Inspection")</f>
        <v>Structure</v>
      </c>
      <c r="E2587" s="23" t="str">
        <f ca="1">IF(NOT(ISERROR(SEARCH("- S -", Master[[#This Row],[Checklist]]))), "Subcontractor",IF(NOT(ISERROR(SEARCH("- R -", Master[[#This Row],[Checklist]]))), "Ryman",IF(NOT(ISERROR(SEARCH("- C -", Master[[#This Row],[Checklist]]))), "Consultant",IF(NOT(ISERROR(SEARCH("- I -", Master[[#This Row],[Checklist]]))),  "Inspection Test Plan", "Naming Error"))))</f>
        <v>Ryman</v>
      </c>
      <c r="F2587" s="24" t="str">
        <f ca="1">IF(OR(Master[[#This Row],[Type]]="checklist", Master[[#This Row],[Type]]="checklist-flat"), Master[[#This Row],[Name]], F2586)</f>
        <v>ST - R - Concrete Pour Inspection</v>
      </c>
      <c r="G2587" s="30" t="s">
        <v>1879</v>
      </c>
      <c r="H2587" s="38" t="s">
        <v>1891</v>
      </c>
      <c r="I2587" s="40"/>
      <c r="J2587" s="21">
        <f ca="1">_xlfn.XLOOKUP(Master[[#This Row],[Checklist]],Ref!A:A,Ref!B:B)*1000</f>
        <v>229000</v>
      </c>
      <c r="K2587" s="21">
        <f ca="1">COUNTIF($J$2:Master[[#This Row],[ChecklistID]],Master[[#This Row],[ChecklistID]])-1</f>
        <v>2</v>
      </c>
      <c r="L2587" s="23" t="s">
        <v>1848</v>
      </c>
    </row>
    <row r="2588" spans="1:12" ht="15.75">
      <c r="A2588" s="23">
        <f t="shared" si="42"/>
        <v>2575</v>
      </c>
      <c r="B2588" s="21">
        <f ca="1">Master[[#This Row],[ChecklistID]]+Master[[#This Row],[Checklist Order]]</f>
        <v>229003</v>
      </c>
      <c r="C2588" s="22"/>
      <c r="D2588" s="23" t="str" cm="1">
        <f t="array" aca="1" ref="D2588" ca="1">_xlfn.SWITCH(MID(Master[[#This Row],[Checklist]],1,4),"C - ","Civil","F - ","Foundation","ST -","Structure","FC -","Façade","PRE ","Pre-Line","POST","Post-Line","H - ","Handover","S - ","Services","CST ","Completion Docs", "I - ", "Inspection")</f>
        <v>Structure</v>
      </c>
      <c r="E2588" s="23" t="str">
        <f ca="1">IF(NOT(ISERROR(SEARCH("- S -", Master[[#This Row],[Checklist]]))), "Subcontractor",IF(NOT(ISERROR(SEARCH("- R -", Master[[#This Row],[Checklist]]))), "Ryman",IF(NOT(ISERROR(SEARCH("- C -", Master[[#This Row],[Checklist]]))), "Consultant",IF(NOT(ISERROR(SEARCH("- I -", Master[[#This Row],[Checklist]]))),  "Inspection Test Plan", "Naming Error"))))</f>
        <v>Ryman</v>
      </c>
      <c r="F2588" s="24" t="str">
        <f ca="1">IF(OR(Master[[#This Row],[Type]]="checklist", Master[[#This Row],[Type]]="checklist-flat"), Master[[#This Row],[Name]], F2587)</f>
        <v>ST - R - Concrete Pour Inspection</v>
      </c>
      <c r="G2588" s="3" t="s">
        <v>124</v>
      </c>
      <c r="H2588" s="24" t="s">
        <v>1892</v>
      </c>
      <c r="I2588" s="40"/>
      <c r="J2588" s="21">
        <f ca="1">_xlfn.XLOOKUP(Master[[#This Row],[Checklist]],Ref!A:A,Ref!B:B)*1000</f>
        <v>229000</v>
      </c>
      <c r="K2588" s="21">
        <f ca="1">COUNTIF($J$2:Master[[#This Row],[ChecklistID]],Master[[#This Row],[ChecklistID]])-1</f>
        <v>3</v>
      </c>
      <c r="L2588" s="23" t="s">
        <v>1848</v>
      </c>
    </row>
    <row r="2589" spans="1:12" ht="15.75">
      <c r="A2589" s="23">
        <f t="shared" si="42"/>
        <v>2576</v>
      </c>
      <c r="B2589" s="21">
        <f ca="1">Master[[#This Row],[ChecklistID]]+Master[[#This Row],[Checklist Order]]</f>
        <v>229004</v>
      </c>
      <c r="C2589" s="22"/>
      <c r="D2589" s="23" t="str" cm="1">
        <f t="array" aca="1" ref="D2589" ca="1">_xlfn.SWITCH(MID(Master[[#This Row],[Checklist]],1,4),"C - ","Civil","F - ","Foundation","ST -","Structure","FC -","Façade","PRE ","Pre-Line","POST","Post-Line","H - ","Handover","S - ","Services","CST ","Completion Docs", "I - ", "Inspection")</f>
        <v>Structure</v>
      </c>
      <c r="E2589" s="23" t="str">
        <f ca="1">IF(NOT(ISERROR(SEARCH("- S -", Master[[#This Row],[Checklist]]))), "Subcontractor",IF(NOT(ISERROR(SEARCH("- R -", Master[[#This Row],[Checklist]]))), "Ryman",IF(NOT(ISERROR(SEARCH("- C -", Master[[#This Row],[Checklist]]))), "Consultant",IF(NOT(ISERROR(SEARCH("- I -", Master[[#This Row],[Checklist]]))),  "Inspection Test Plan", "Naming Error"))))</f>
        <v>Ryman</v>
      </c>
      <c r="F2589" s="24" t="str">
        <f ca="1">IF(OR(Master[[#This Row],[Type]]="checklist", Master[[#This Row],[Type]]="checklist-flat"), Master[[#This Row],[Name]], F2588)</f>
        <v>ST - R - Concrete Pour Inspection</v>
      </c>
      <c r="G2589" s="3" t="s">
        <v>66</v>
      </c>
      <c r="H2589" s="24" t="s">
        <v>1893</v>
      </c>
      <c r="I2589" s="40"/>
      <c r="J2589" s="21">
        <f ca="1">_xlfn.XLOOKUP(Master[[#This Row],[Checklist]],Ref!A:A,Ref!B:B)*1000</f>
        <v>229000</v>
      </c>
      <c r="K2589" s="21">
        <f ca="1">COUNTIF($J$2:Master[[#This Row],[ChecklistID]],Master[[#This Row],[ChecklistID]])-1</f>
        <v>4</v>
      </c>
      <c r="L2589" s="23" t="s">
        <v>1848</v>
      </c>
    </row>
    <row r="2590" spans="1:12" ht="15.75">
      <c r="A2590" s="23">
        <f t="shared" si="42"/>
        <v>2577</v>
      </c>
      <c r="B2590" s="21">
        <f ca="1">Master[[#This Row],[ChecklistID]]+Master[[#This Row],[Checklist Order]]</f>
        <v>229005</v>
      </c>
      <c r="C2590" s="22"/>
      <c r="D2590" s="23" t="str" cm="1">
        <f t="array" aca="1" ref="D2590" ca="1">_xlfn.SWITCH(MID(Master[[#This Row],[Checklist]],1,4),"C - ","Civil","F - ","Foundation","ST -","Structure","FC -","Façade","PRE ","Pre-Line","POST","Post-Line","H - ","Handover","S - ","Services","CST ","Completion Docs", "I - ", "Inspection")</f>
        <v>Structure</v>
      </c>
      <c r="E2590" s="23" t="str">
        <f ca="1">IF(NOT(ISERROR(SEARCH("- S -", Master[[#This Row],[Checklist]]))), "Subcontractor",IF(NOT(ISERROR(SEARCH("- R -", Master[[#This Row],[Checklist]]))), "Ryman",IF(NOT(ISERROR(SEARCH("- C -", Master[[#This Row],[Checklist]]))), "Consultant",IF(NOT(ISERROR(SEARCH("- I -", Master[[#This Row],[Checklist]]))),  "Inspection Test Plan", "Naming Error"))))</f>
        <v>Ryman</v>
      </c>
      <c r="F2590" s="24" t="str">
        <f ca="1">IF(OR(Master[[#This Row],[Type]]="checklist", Master[[#This Row],[Type]]="checklist-flat"), Master[[#This Row],[Name]], F2589)</f>
        <v>ST - R - Concrete Pour Inspection</v>
      </c>
      <c r="G2590" s="3" t="s">
        <v>66</v>
      </c>
      <c r="H2590" s="24" t="s">
        <v>1894</v>
      </c>
      <c r="I2590" s="40"/>
      <c r="J2590" s="21">
        <f ca="1">_xlfn.XLOOKUP(Master[[#This Row],[Checklist]],Ref!A:A,Ref!B:B)*1000</f>
        <v>229000</v>
      </c>
      <c r="K2590" s="21">
        <f ca="1">COUNTIF($J$2:Master[[#This Row],[ChecklistID]],Master[[#This Row],[ChecklistID]])-1</f>
        <v>5</v>
      </c>
      <c r="L2590" s="23" t="s">
        <v>1848</v>
      </c>
    </row>
    <row r="2591" spans="1:12" ht="15.75">
      <c r="A2591" s="23">
        <f t="shared" si="42"/>
        <v>2578</v>
      </c>
      <c r="B2591" s="21">
        <f ca="1">Master[[#This Row],[ChecklistID]]+Master[[#This Row],[Checklist Order]]</f>
        <v>229006</v>
      </c>
      <c r="C2591" s="22"/>
      <c r="D2591" s="23" t="str" cm="1">
        <f t="array" aca="1" ref="D2591" ca="1">_xlfn.SWITCH(MID(Master[[#This Row],[Checklist]],1,4),"C - ","Civil","F - ","Foundation","ST -","Structure","FC -","Façade","PRE ","Pre-Line","POST","Post-Line","H - ","Handover","S - ","Services","CST ","Completion Docs", "I - ", "Inspection")</f>
        <v>Structure</v>
      </c>
      <c r="E2591" s="23" t="str">
        <f ca="1">IF(NOT(ISERROR(SEARCH("- S -", Master[[#This Row],[Checklist]]))), "Subcontractor",IF(NOT(ISERROR(SEARCH("- R -", Master[[#This Row],[Checklist]]))), "Ryman",IF(NOT(ISERROR(SEARCH("- C -", Master[[#This Row],[Checklist]]))), "Consultant",IF(NOT(ISERROR(SEARCH("- I -", Master[[#This Row],[Checklist]]))),  "Inspection Test Plan", "Naming Error"))))</f>
        <v>Ryman</v>
      </c>
      <c r="F2591" s="24" t="str">
        <f ca="1">IF(OR(Master[[#This Row],[Type]]="checklist", Master[[#This Row],[Type]]="checklist-flat"), Master[[#This Row],[Name]], F2590)</f>
        <v>ST - R - Concrete Pour Inspection</v>
      </c>
      <c r="G2591" s="3" t="s">
        <v>49</v>
      </c>
      <c r="H2591" s="24" t="s">
        <v>1895</v>
      </c>
      <c r="I2591" s="40"/>
      <c r="J2591" s="21">
        <f ca="1">_xlfn.XLOOKUP(Master[[#This Row],[Checklist]],Ref!A:A,Ref!B:B)*1000</f>
        <v>229000</v>
      </c>
      <c r="K2591" s="21">
        <f ca="1">COUNTIF($J$2:Master[[#This Row],[ChecklistID]],Master[[#This Row],[ChecklistID]])-1</f>
        <v>6</v>
      </c>
      <c r="L2591" s="23" t="s">
        <v>1848</v>
      </c>
    </row>
    <row r="2592" spans="1:12" ht="15.75">
      <c r="A2592" s="23">
        <f t="shared" si="42"/>
        <v>2579</v>
      </c>
      <c r="B2592" s="21">
        <f ca="1">Master[[#This Row],[ChecklistID]]+Master[[#This Row],[Checklist Order]]</f>
        <v>229007</v>
      </c>
      <c r="C2592" s="22"/>
      <c r="D2592" s="23" t="str" cm="1">
        <f t="array" aca="1" ref="D2592" ca="1">_xlfn.SWITCH(MID(Master[[#This Row],[Checklist]],1,4),"C - ","Civil","F - ","Foundation","ST -","Structure","FC -","Façade","PRE ","Pre-Line","POST","Post-Line","H - ","Handover","S - ","Services","CST ","Completion Docs", "I - ", "Inspection")</f>
        <v>Structure</v>
      </c>
      <c r="E2592" s="23" t="str">
        <f ca="1">IF(NOT(ISERROR(SEARCH("- S -", Master[[#This Row],[Checklist]]))), "Subcontractor",IF(NOT(ISERROR(SEARCH("- R -", Master[[#This Row],[Checklist]]))), "Ryman",IF(NOT(ISERROR(SEARCH("- C -", Master[[#This Row],[Checklist]]))), "Consultant",IF(NOT(ISERROR(SEARCH("- I -", Master[[#This Row],[Checklist]]))),  "Inspection Test Plan", "Naming Error"))))</f>
        <v>Ryman</v>
      </c>
      <c r="F2592" s="24" t="str">
        <f ca="1">IF(OR(Master[[#This Row],[Type]]="checklist", Master[[#This Row],[Type]]="checklist-flat"), Master[[#This Row],[Name]], F2591)</f>
        <v>ST - R - Concrete Pour Inspection</v>
      </c>
      <c r="G2592" s="3" t="s">
        <v>49</v>
      </c>
      <c r="H2592" s="24" t="s">
        <v>1896</v>
      </c>
      <c r="I2592" s="40"/>
      <c r="J2592" s="21">
        <f ca="1">_xlfn.XLOOKUP(Master[[#This Row],[Checklist]],Ref!A:A,Ref!B:B)*1000</f>
        <v>229000</v>
      </c>
      <c r="K2592" s="21">
        <f ca="1">COUNTIF($J$2:Master[[#This Row],[ChecklistID]],Master[[#This Row],[ChecklistID]])-1</f>
        <v>7</v>
      </c>
      <c r="L2592" s="23" t="s">
        <v>1848</v>
      </c>
    </row>
    <row r="2593" spans="1:12" ht="15.75">
      <c r="A2593" s="23">
        <f t="shared" si="42"/>
        <v>2580</v>
      </c>
      <c r="B2593" s="21">
        <f ca="1">Master[[#This Row],[ChecklistID]]+Master[[#This Row],[Checklist Order]]</f>
        <v>229008</v>
      </c>
      <c r="C2593" s="22"/>
      <c r="D2593" s="23" t="str" cm="1">
        <f t="array" aca="1" ref="D2593" ca="1">_xlfn.SWITCH(MID(Master[[#This Row],[Checklist]],1,4),"C - ","Civil","F - ","Foundation","ST -","Structure","FC -","Façade","PRE ","Pre-Line","POST","Post-Line","H - ","Handover","S - ","Services","CST ","Completion Docs", "I - ", "Inspection")</f>
        <v>Structure</v>
      </c>
      <c r="E2593" s="23" t="str">
        <f ca="1">IF(NOT(ISERROR(SEARCH("- S -", Master[[#This Row],[Checklist]]))), "Subcontractor",IF(NOT(ISERROR(SEARCH("- R -", Master[[#This Row],[Checklist]]))), "Ryman",IF(NOT(ISERROR(SEARCH("- C -", Master[[#This Row],[Checklist]]))), "Consultant",IF(NOT(ISERROR(SEARCH("- I -", Master[[#This Row],[Checklist]]))),  "Inspection Test Plan", "Naming Error"))))</f>
        <v>Ryman</v>
      </c>
      <c r="F2593" s="24" t="str">
        <f ca="1">IF(OR(Master[[#This Row],[Type]]="checklist", Master[[#This Row],[Type]]="checklist-flat"), Master[[#This Row],[Name]], F2592)</f>
        <v>ST - R - Concrete Pour Inspection</v>
      </c>
      <c r="G2593" s="3" t="s">
        <v>49</v>
      </c>
      <c r="H2593" s="24" t="s">
        <v>1897</v>
      </c>
      <c r="I2593" s="40"/>
      <c r="J2593" s="21">
        <f ca="1">_xlfn.XLOOKUP(Master[[#This Row],[Checklist]],Ref!A:A,Ref!B:B)*1000</f>
        <v>229000</v>
      </c>
      <c r="K2593" s="21">
        <f ca="1">COUNTIF($J$2:Master[[#This Row],[ChecklistID]],Master[[#This Row],[ChecklistID]])-1</f>
        <v>8</v>
      </c>
      <c r="L2593" s="23" t="s">
        <v>1848</v>
      </c>
    </row>
    <row r="2594" spans="1:12" ht="15.75">
      <c r="A2594" s="23">
        <f t="shared" si="42"/>
        <v>2581</v>
      </c>
      <c r="B2594" s="21">
        <f ca="1">Master[[#This Row],[ChecklistID]]+Master[[#This Row],[Checklist Order]]</f>
        <v>229009</v>
      </c>
      <c r="C2594" s="22"/>
      <c r="D2594" s="23" t="str" cm="1">
        <f t="array" aca="1" ref="D2594" ca="1">_xlfn.SWITCH(MID(Master[[#This Row],[Checklist]],1,4),"C - ","Civil","F - ","Foundation","ST -","Structure","FC -","Façade","PRE ","Pre-Line","POST","Post-Line","H - ","Handover","S - ","Services","CST ","Completion Docs", "I - ", "Inspection")</f>
        <v>Structure</v>
      </c>
      <c r="E2594" s="23" t="str">
        <f ca="1">IF(NOT(ISERROR(SEARCH("- S -", Master[[#This Row],[Checklist]]))), "Subcontractor",IF(NOT(ISERROR(SEARCH("- R -", Master[[#This Row],[Checklist]]))), "Ryman",IF(NOT(ISERROR(SEARCH("- C -", Master[[#This Row],[Checklist]]))), "Consultant",IF(NOT(ISERROR(SEARCH("- I -", Master[[#This Row],[Checklist]]))),  "Inspection Test Plan", "Naming Error"))))</f>
        <v>Ryman</v>
      </c>
      <c r="F2594" s="24" t="str">
        <f ca="1">IF(OR(Master[[#This Row],[Type]]="checklist", Master[[#This Row],[Type]]="checklist-flat"), Master[[#This Row],[Name]], F2593)</f>
        <v>ST - R - Concrete Pour Inspection</v>
      </c>
      <c r="G2594" s="3" t="s">
        <v>49</v>
      </c>
      <c r="H2594" s="24" t="s">
        <v>1898</v>
      </c>
      <c r="I2594" s="40"/>
      <c r="J2594" s="21">
        <f ca="1">_xlfn.XLOOKUP(Master[[#This Row],[Checklist]],Ref!A:A,Ref!B:B)*1000</f>
        <v>229000</v>
      </c>
      <c r="K2594" s="21">
        <f ca="1">COUNTIF($J$2:Master[[#This Row],[ChecklistID]],Master[[#This Row],[ChecklistID]])-1</f>
        <v>9</v>
      </c>
      <c r="L2594" s="23" t="s">
        <v>1848</v>
      </c>
    </row>
    <row r="2595" spans="1:12" ht="15.75">
      <c r="A2595" s="23">
        <f t="shared" si="42"/>
        <v>2582</v>
      </c>
      <c r="B2595" s="21">
        <f ca="1">Master[[#This Row],[ChecklistID]]+Master[[#This Row],[Checklist Order]]</f>
        <v>229010</v>
      </c>
      <c r="C2595" s="22"/>
      <c r="D2595" s="23" t="str" cm="1">
        <f t="array" aca="1" ref="D2595" ca="1">_xlfn.SWITCH(MID(Master[[#This Row],[Checklist]],1,4),"C - ","Civil","F - ","Foundation","ST -","Structure","FC -","Façade","PRE ","Pre-Line","POST","Post-Line","H - ","Handover","S - ","Services","CST ","Completion Docs", "I - ", "Inspection")</f>
        <v>Structure</v>
      </c>
      <c r="E2595" s="23" t="str">
        <f ca="1">IF(NOT(ISERROR(SEARCH("- S -", Master[[#This Row],[Checklist]]))), "Subcontractor",IF(NOT(ISERROR(SEARCH("- R -", Master[[#This Row],[Checklist]]))), "Ryman",IF(NOT(ISERROR(SEARCH("- C -", Master[[#This Row],[Checklist]]))), "Consultant",IF(NOT(ISERROR(SEARCH("- I -", Master[[#This Row],[Checklist]]))),  "Inspection Test Plan", "Naming Error"))))</f>
        <v>Ryman</v>
      </c>
      <c r="F2595" s="24" t="str">
        <f ca="1">IF(OR(Master[[#This Row],[Type]]="checklist", Master[[#This Row],[Type]]="checklist-flat"), Master[[#This Row],[Name]], F2594)</f>
        <v>ST - R - Concrete Pour Inspection</v>
      </c>
      <c r="G2595" s="3" t="s">
        <v>49</v>
      </c>
      <c r="H2595" s="24" t="s">
        <v>1899</v>
      </c>
      <c r="I2595" s="40"/>
      <c r="J2595" s="21">
        <f ca="1">_xlfn.XLOOKUP(Master[[#This Row],[Checklist]],Ref!A:A,Ref!B:B)*1000</f>
        <v>229000</v>
      </c>
      <c r="K2595" s="21">
        <f ca="1">COUNTIF($J$2:Master[[#This Row],[ChecklistID]],Master[[#This Row],[ChecklistID]])-1</f>
        <v>10</v>
      </c>
      <c r="L2595" s="23" t="s">
        <v>1848</v>
      </c>
    </row>
    <row r="2596" spans="1:12" ht="15.75">
      <c r="A2596" s="23">
        <f t="shared" si="42"/>
        <v>2583</v>
      </c>
      <c r="B2596" s="21">
        <f ca="1">Master[[#This Row],[ChecklistID]]+Master[[#This Row],[Checklist Order]]</f>
        <v>229011</v>
      </c>
      <c r="C2596" s="22"/>
      <c r="D2596" s="23" t="str" cm="1">
        <f t="array" aca="1" ref="D2596" ca="1">_xlfn.SWITCH(MID(Master[[#This Row],[Checklist]],1,4),"C - ","Civil","F - ","Foundation","ST -","Structure","FC -","Façade","PRE ","Pre-Line","POST","Post-Line","H - ","Handover","S - ","Services","CST ","Completion Docs", "I - ", "Inspection")</f>
        <v>Structure</v>
      </c>
      <c r="E2596" s="23" t="str">
        <f ca="1">IF(NOT(ISERROR(SEARCH("- S -", Master[[#This Row],[Checklist]]))), "Subcontractor",IF(NOT(ISERROR(SEARCH("- R -", Master[[#This Row],[Checklist]]))), "Ryman",IF(NOT(ISERROR(SEARCH("- C -", Master[[#This Row],[Checklist]]))), "Consultant",IF(NOT(ISERROR(SEARCH("- I -", Master[[#This Row],[Checklist]]))),  "Inspection Test Plan", "Naming Error"))))</f>
        <v>Ryman</v>
      </c>
      <c r="F2596" s="24" t="str">
        <f ca="1">IF(OR(Master[[#This Row],[Type]]="checklist", Master[[#This Row],[Type]]="checklist-flat"), Master[[#This Row],[Name]], F2595)</f>
        <v>ST - R - Concrete Pour Inspection</v>
      </c>
      <c r="G2596" s="3" t="s">
        <v>120</v>
      </c>
      <c r="H2596" s="24" t="s">
        <v>1900</v>
      </c>
      <c r="I2596" s="40"/>
      <c r="J2596" s="21">
        <f ca="1">_xlfn.XLOOKUP(Master[[#This Row],[Checklist]],Ref!A:A,Ref!B:B)*1000</f>
        <v>229000</v>
      </c>
      <c r="K2596" s="21">
        <f ca="1">COUNTIF($J$2:Master[[#This Row],[ChecklistID]],Master[[#This Row],[ChecklistID]])-1</f>
        <v>11</v>
      </c>
      <c r="L2596" s="23" t="s">
        <v>1848</v>
      </c>
    </row>
    <row r="2597" spans="1:12" ht="15.75">
      <c r="A2597" s="23">
        <f t="shared" si="42"/>
        <v>2584</v>
      </c>
      <c r="B2597" s="21">
        <f ca="1">Master[[#This Row],[ChecklistID]]+Master[[#This Row],[Checklist Order]]</f>
        <v>229012</v>
      </c>
      <c r="C2597" s="22"/>
      <c r="D2597" s="23" t="str" cm="1">
        <f t="array" aca="1" ref="D2597" ca="1">_xlfn.SWITCH(MID(Master[[#This Row],[Checklist]],1,4),"C - ","Civil","F - ","Foundation","ST -","Structure","FC -","Façade","PRE ","Pre-Line","POST","Post-Line","H - ","Handover","S - ","Services","CST ","Completion Docs", "I - ", "Inspection")</f>
        <v>Structure</v>
      </c>
      <c r="E2597" s="23" t="str">
        <f ca="1">IF(NOT(ISERROR(SEARCH("- S -", Master[[#This Row],[Checklist]]))), "Subcontractor",IF(NOT(ISERROR(SEARCH("- R -", Master[[#This Row],[Checklist]]))), "Ryman",IF(NOT(ISERROR(SEARCH("- C -", Master[[#This Row],[Checklist]]))), "Consultant",IF(NOT(ISERROR(SEARCH("- I -", Master[[#This Row],[Checklist]]))),  "Inspection Test Plan", "Naming Error"))))</f>
        <v>Ryman</v>
      </c>
      <c r="F2597" s="24" t="str">
        <f ca="1">IF(OR(Master[[#This Row],[Type]]="checklist", Master[[#This Row],[Type]]="checklist-flat"), Master[[#This Row],[Name]], F2596)</f>
        <v>ST - R - Concrete Pour Inspection</v>
      </c>
      <c r="G2597" s="3" t="s">
        <v>49</v>
      </c>
      <c r="H2597" s="24" t="s">
        <v>1901</v>
      </c>
      <c r="I2597" s="40"/>
      <c r="J2597" s="21">
        <f ca="1">_xlfn.XLOOKUP(Master[[#This Row],[Checklist]],Ref!A:A,Ref!B:B)*1000</f>
        <v>229000</v>
      </c>
      <c r="K2597" s="21">
        <f ca="1">COUNTIF($J$2:Master[[#This Row],[ChecklistID]],Master[[#This Row],[ChecklistID]])-1</f>
        <v>12</v>
      </c>
      <c r="L2597" s="23" t="s">
        <v>1848</v>
      </c>
    </row>
    <row r="2598" spans="1:12" ht="15.75">
      <c r="A2598" s="23">
        <f t="shared" si="42"/>
        <v>2585</v>
      </c>
      <c r="B2598" s="21">
        <f ca="1">Master[[#This Row],[ChecklistID]]+Master[[#This Row],[Checklist Order]]</f>
        <v>229013</v>
      </c>
      <c r="C2598" s="22"/>
      <c r="D2598" s="23" t="str" cm="1">
        <f t="array" aca="1" ref="D2598" ca="1">_xlfn.SWITCH(MID(Master[[#This Row],[Checklist]],1,4),"C - ","Civil","F - ","Foundation","ST -","Structure","FC -","Façade","PRE ","Pre-Line","POST","Post-Line","H - ","Handover","S - ","Services","CST ","Completion Docs", "I - ", "Inspection")</f>
        <v>Structure</v>
      </c>
      <c r="E2598" s="23" t="str">
        <f ca="1">IF(NOT(ISERROR(SEARCH("- S -", Master[[#This Row],[Checklist]]))), "Subcontractor",IF(NOT(ISERROR(SEARCH("- R -", Master[[#This Row],[Checklist]]))), "Ryman",IF(NOT(ISERROR(SEARCH("- C -", Master[[#This Row],[Checklist]]))), "Consultant",IF(NOT(ISERROR(SEARCH("- I -", Master[[#This Row],[Checklist]]))),  "Inspection Test Plan", "Naming Error"))))</f>
        <v>Ryman</v>
      </c>
      <c r="F2598" s="24" t="str">
        <f ca="1">IF(OR(Master[[#This Row],[Type]]="checklist", Master[[#This Row],[Type]]="checklist-flat"), Master[[#This Row],[Name]], F2597)</f>
        <v>ST - R - Concrete Pour Inspection</v>
      </c>
      <c r="G2598" s="3" t="s">
        <v>49</v>
      </c>
      <c r="H2598" s="24" t="s">
        <v>1902</v>
      </c>
      <c r="I2598" s="40"/>
      <c r="J2598" s="21">
        <f ca="1">_xlfn.XLOOKUP(Master[[#This Row],[Checklist]],Ref!A:A,Ref!B:B)*1000</f>
        <v>229000</v>
      </c>
      <c r="K2598" s="21">
        <f ca="1">COUNTIF($J$2:Master[[#This Row],[ChecklistID]],Master[[#This Row],[ChecklistID]])-1</f>
        <v>13</v>
      </c>
      <c r="L2598" s="23" t="s">
        <v>1848</v>
      </c>
    </row>
    <row r="2599" spans="1:12" ht="15.75">
      <c r="A2599" s="23">
        <f t="shared" si="42"/>
        <v>2586</v>
      </c>
      <c r="B2599" s="21">
        <f ca="1">Master[[#This Row],[ChecklistID]]+Master[[#This Row],[Checklist Order]]</f>
        <v>229014</v>
      </c>
      <c r="C2599" s="22"/>
      <c r="D2599" s="23" t="str" cm="1">
        <f t="array" aca="1" ref="D2599" ca="1">_xlfn.SWITCH(MID(Master[[#This Row],[Checklist]],1,4),"C - ","Civil","F - ","Foundation","ST -","Structure","FC -","Façade","PRE ","Pre-Line","POST","Post-Line","H - ","Handover","S - ","Services","CST ","Completion Docs", "I - ", "Inspection")</f>
        <v>Structure</v>
      </c>
      <c r="E2599" s="23" t="str">
        <f ca="1">IF(NOT(ISERROR(SEARCH("- S -", Master[[#This Row],[Checklist]]))), "Subcontractor",IF(NOT(ISERROR(SEARCH("- R -", Master[[#This Row],[Checklist]]))), "Ryman",IF(NOT(ISERROR(SEARCH("- C -", Master[[#This Row],[Checklist]]))), "Consultant",IF(NOT(ISERROR(SEARCH("- I -", Master[[#This Row],[Checklist]]))),  "Inspection Test Plan", "Naming Error"))))</f>
        <v>Ryman</v>
      </c>
      <c r="F2599" s="24" t="str">
        <f ca="1">IF(OR(Master[[#This Row],[Type]]="checklist", Master[[#This Row],[Type]]="checklist-flat"), Master[[#This Row],[Name]], F2598)</f>
        <v>ST - R - Concrete Pour Inspection</v>
      </c>
      <c r="G2599" s="3" t="s">
        <v>49</v>
      </c>
      <c r="H2599" s="24" t="s">
        <v>1903</v>
      </c>
      <c r="I2599" s="40"/>
      <c r="J2599" s="21">
        <f ca="1">_xlfn.XLOOKUP(Master[[#This Row],[Checklist]],Ref!A:A,Ref!B:B)*1000</f>
        <v>229000</v>
      </c>
      <c r="K2599" s="21">
        <f ca="1">COUNTIF($J$2:Master[[#This Row],[ChecklistID]],Master[[#This Row],[ChecklistID]])-1</f>
        <v>14</v>
      </c>
      <c r="L2599" s="23" t="s">
        <v>1848</v>
      </c>
    </row>
    <row r="2600" spans="1:12" ht="15.75">
      <c r="A2600" s="23">
        <f t="shared" si="42"/>
        <v>2587</v>
      </c>
      <c r="B2600" s="21">
        <f ca="1">Master[[#This Row],[ChecklistID]]+Master[[#This Row],[Checklist Order]]</f>
        <v>229015</v>
      </c>
      <c r="C2600" s="22"/>
      <c r="D2600" s="23" t="str" cm="1">
        <f t="array" aca="1" ref="D2600" ca="1">_xlfn.SWITCH(MID(Master[[#This Row],[Checklist]],1,4),"C - ","Civil","F - ","Foundation","ST -","Structure","FC -","Façade","PRE ","Pre-Line","POST","Post-Line","H - ","Handover","S - ","Services","CST ","Completion Docs", "I - ", "Inspection")</f>
        <v>Structure</v>
      </c>
      <c r="E2600" s="23" t="str">
        <f ca="1">IF(NOT(ISERROR(SEARCH("- S -", Master[[#This Row],[Checklist]]))), "Subcontractor",IF(NOT(ISERROR(SEARCH("- R -", Master[[#This Row],[Checklist]]))), "Ryman",IF(NOT(ISERROR(SEARCH("- C -", Master[[#This Row],[Checklist]]))), "Consultant",IF(NOT(ISERROR(SEARCH("- I -", Master[[#This Row],[Checklist]]))),  "Inspection Test Plan", "Naming Error"))))</f>
        <v>Ryman</v>
      </c>
      <c r="F2600" s="24" t="str">
        <f ca="1">IF(OR(Master[[#This Row],[Type]]="checklist", Master[[#This Row],[Type]]="checklist-flat"), Master[[#This Row],[Name]], F2599)</f>
        <v>ST - R - Concrete Pour Inspection</v>
      </c>
      <c r="G2600" s="3" t="s">
        <v>49</v>
      </c>
      <c r="H2600" s="24" t="s">
        <v>1904</v>
      </c>
      <c r="I2600" s="40"/>
      <c r="J2600" s="21">
        <f ca="1">_xlfn.XLOOKUP(Master[[#This Row],[Checklist]],Ref!A:A,Ref!B:B)*1000</f>
        <v>229000</v>
      </c>
      <c r="K2600" s="21">
        <f ca="1">COUNTIF($J$2:Master[[#This Row],[ChecklistID]],Master[[#This Row],[ChecklistID]])-1</f>
        <v>15</v>
      </c>
      <c r="L2600" s="23" t="s">
        <v>1848</v>
      </c>
    </row>
    <row r="2601" spans="1:12" ht="15.75">
      <c r="A2601" s="23">
        <f t="shared" si="42"/>
        <v>2588</v>
      </c>
      <c r="B2601" s="21">
        <f ca="1">Master[[#This Row],[ChecklistID]]+Master[[#This Row],[Checklist Order]]</f>
        <v>229016</v>
      </c>
      <c r="C2601" s="22"/>
      <c r="D2601" s="23" t="str" cm="1">
        <f t="array" aca="1" ref="D2601" ca="1">_xlfn.SWITCH(MID(Master[[#This Row],[Checklist]],1,4),"C - ","Civil","F - ","Foundation","ST -","Structure","FC -","Façade","PRE ","Pre-Line","POST","Post-Line","H - ","Handover","S - ","Services","CST ","Completion Docs", "I - ", "Inspection")</f>
        <v>Structure</v>
      </c>
      <c r="E2601" s="23" t="str">
        <f ca="1">IF(NOT(ISERROR(SEARCH("- S -", Master[[#This Row],[Checklist]]))), "Subcontractor",IF(NOT(ISERROR(SEARCH("- R -", Master[[#This Row],[Checklist]]))), "Ryman",IF(NOT(ISERROR(SEARCH("- C -", Master[[#This Row],[Checklist]]))), "Consultant",IF(NOT(ISERROR(SEARCH("- I -", Master[[#This Row],[Checklist]]))),  "Inspection Test Plan", "Naming Error"))))</f>
        <v>Ryman</v>
      </c>
      <c r="F2601" s="24" t="str">
        <f ca="1">IF(OR(Master[[#This Row],[Type]]="checklist", Master[[#This Row],[Type]]="checklist-flat"), Master[[#This Row],[Name]], F2600)</f>
        <v>ST - R - Concrete Pour Inspection</v>
      </c>
      <c r="G2601" s="3" t="s">
        <v>49</v>
      </c>
      <c r="H2601" s="24" t="s">
        <v>1905</v>
      </c>
      <c r="I2601" s="40"/>
      <c r="J2601" s="21">
        <f ca="1">_xlfn.XLOOKUP(Master[[#This Row],[Checklist]],Ref!A:A,Ref!B:B)*1000</f>
        <v>229000</v>
      </c>
      <c r="K2601" s="21">
        <f ca="1">COUNTIF($J$2:Master[[#This Row],[ChecklistID]],Master[[#This Row],[ChecklistID]])-1</f>
        <v>16</v>
      </c>
      <c r="L2601" s="23" t="s">
        <v>1848</v>
      </c>
    </row>
    <row r="2602" spans="1:12" ht="15.75">
      <c r="A2602" s="23">
        <f t="shared" si="42"/>
        <v>2589</v>
      </c>
      <c r="B2602" s="21">
        <f ca="1">Master[[#This Row],[ChecklistID]]+Master[[#This Row],[Checklist Order]]</f>
        <v>229017</v>
      </c>
      <c r="C2602" s="22"/>
      <c r="D2602" s="23" t="str" cm="1">
        <f t="array" aca="1" ref="D2602" ca="1">_xlfn.SWITCH(MID(Master[[#This Row],[Checklist]],1,4),"C - ","Civil","F - ","Foundation","ST -","Structure","FC -","Façade","PRE ","Pre-Line","POST","Post-Line","H - ","Handover","S - ","Services","CST ","Completion Docs", "I - ", "Inspection")</f>
        <v>Structure</v>
      </c>
      <c r="E2602" s="23" t="str">
        <f ca="1">IF(NOT(ISERROR(SEARCH("- S -", Master[[#This Row],[Checklist]]))), "Subcontractor",IF(NOT(ISERROR(SEARCH("- R -", Master[[#This Row],[Checklist]]))), "Ryman",IF(NOT(ISERROR(SEARCH("- C -", Master[[#This Row],[Checklist]]))), "Consultant",IF(NOT(ISERROR(SEARCH("- I -", Master[[#This Row],[Checklist]]))),  "Inspection Test Plan", "Naming Error"))))</f>
        <v>Ryman</v>
      </c>
      <c r="F2602" s="24" t="str">
        <f ca="1">IF(OR(Master[[#This Row],[Type]]="checklist", Master[[#This Row],[Type]]="checklist-flat"), Master[[#This Row],[Name]], F2601)</f>
        <v>ST - R - Concrete Pour Inspection</v>
      </c>
      <c r="G2602" s="3" t="s">
        <v>49</v>
      </c>
      <c r="H2602" s="24" t="s">
        <v>1906</v>
      </c>
      <c r="I2602" s="40"/>
      <c r="J2602" s="21">
        <f ca="1">_xlfn.XLOOKUP(Master[[#This Row],[Checklist]],Ref!A:A,Ref!B:B)*1000</f>
        <v>229000</v>
      </c>
      <c r="K2602" s="21">
        <f ca="1">COUNTIF($J$2:Master[[#This Row],[ChecklistID]],Master[[#This Row],[ChecklistID]])-1</f>
        <v>17</v>
      </c>
      <c r="L2602" s="23" t="s">
        <v>1848</v>
      </c>
    </row>
    <row r="2603" spans="1:12" ht="15.75">
      <c r="A2603" s="23">
        <f t="shared" si="42"/>
        <v>2590</v>
      </c>
      <c r="B2603" s="21">
        <f ca="1">Master[[#This Row],[ChecklistID]]+Master[[#This Row],[Checklist Order]]</f>
        <v>229018</v>
      </c>
      <c r="C2603" s="22"/>
      <c r="D2603" s="23" t="str" cm="1">
        <f t="array" aca="1" ref="D2603" ca="1">_xlfn.SWITCH(MID(Master[[#This Row],[Checklist]],1,4),"C - ","Civil","F - ","Foundation","ST -","Structure","FC -","Façade","PRE ","Pre-Line","POST","Post-Line","H - ","Handover","S - ","Services","CST ","Completion Docs", "I - ", "Inspection")</f>
        <v>Structure</v>
      </c>
      <c r="E2603" s="23" t="str">
        <f ca="1">IF(NOT(ISERROR(SEARCH("- S -", Master[[#This Row],[Checklist]]))), "Subcontractor",IF(NOT(ISERROR(SEARCH("- R -", Master[[#This Row],[Checklist]]))), "Ryman",IF(NOT(ISERROR(SEARCH("- C -", Master[[#This Row],[Checklist]]))), "Consultant",IF(NOT(ISERROR(SEARCH("- I -", Master[[#This Row],[Checklist]]))),  "Inspection Test Plan", "Naming Error"))))</f>
        <v>Ryman</v>
      </c>
      <c r="F2603" s="24" t="str">
        <f ca="1">IF(OR(Master[[#This Row],[Type]]="checklist", Master[[#This Row],[Type]]="checklist-flat"), Master[[#This Row],[Name]], F2602)</f>
        <v>ST - R - Concrete Pour Inspection</v>
      </c>
      <c r="G2603" s="3" t="s">
        <v>49</v>
      </c>
      <c r="H2603" s="24" t="s">
        <v>1907</v>
      </c>
      <c r="I2603" s="40"/>
      <c r="J2603" s="21">
        <f ca="1">_xlfn.XLOOKUP(Master[[#This Row],[Checklist]],Ref!A:A,Ref!B:B)*1000</f>
        <v>229000</v>
      </c>
      <c r="K2603" s="21">
        <f ca="1">COUNTIF($J$2:Master[[#This Row],[ChecklistID]],Master[[#This Row],[ChecklistID]])-1</f>
        <v>18</v>
      </c>
      <c r="L2603" s="23" t="s">
        <v>1848</v>
      </c>
    </row>
    <row r="2604" spans="1:12" ht="15.75">
      <c r="A2604" s="23">
        <f t="shared" si="42"/>
        <v>2591</v>
      </c>
      <c r="B2604" s="21">
        <f ca="1">Master[[#This Row],[ChecklistID]]+Master[[#This Row],[Checklist Order]]</f>
        <v>229019</v>
      </c>
      <c r="C2604" s="22"/>
      <c r="D2604" s="23" t="str" cm="1">
        <f t="array" aca="1" ref="D2604" ca="1">_xlfn.SWITCH(MID(Master[[#This Row],[Checklist]],1,4),"C - ","Civil","F - ","Foundation","ST -","Structure","FC -","Façade","PRE ","Pre-Line","POST","Post-Line","H - ","Handover","S - ","Services","CST ","Completion Docs", "I - ", "Inspection")</f>
        <v>Structure</v>
      </c>
      <c r="E2604" s="23" t="str">
        <f ca="1">IF(NOT(ISERROR(SEARCH("- S -", Master[[#This Row],[Checklist]]))), "Subcontractor",IF(NOT(ISERROR(SEARCH("- R -", Master[[#This Row],[Checklist]]))), "Ryman",IF(NOT(ISERROR(SEARCH("- C -", Master[[#This Row],[Checklist]]))), "Consultant",IF(NOT(ISERROR(SEARCH("- I -", Master[[#This Row],[Checklist]]))),  "Inspection Test Plan", "Naming Error"))))</f>
        <v>Ryman</v>
      </c>
      <c r="F2604" s="24" t="str">
        <f ca="1">IF(OR(Master[[#This Row],[Type]]="checklist", Master[[#This Row],[Type]]="checklist-flat"), Master[[#This Row],[Name]], F2603)</f>
        <v>ST - R - Concrete Pour Inspection</v>
      </c>
      <c r="G2604" s="3" t="s">
        <v>49</v>
      </c>
      <c r="H2604" s="24" t="s">
        <v>1908</v>
      </c>
      <c r="I2604" s="40"/>
      <c r="J2604" s="21">
        <f ca="1">_xlfn.XLOOKUP(Master[[#This Row],[Checklist]],Ref!A:A,Ref!B:B)*1000</f>
        <v>229000</v>
      </c>
      <c r="K2604" s="21">
        <f ca="1">COUNTIF($J$2:Master[[#This Row],[ChecklistID]],Master[[#This Row],[ChecklistID]])-1</f>
        <v>19</v>
      </c>
      <c r="L2604" s="23" t="s">
        <v>1848</v>
      </c>
    </row>
    <row r="2605" spans="1:12" ht="15.75">
      <c r="A2605" s="23">
        <f t="shared" si="42"/>
        <v>2592</v>
      </c>
      <c r="B2605" s="21">
        <f ca="1">Master[[#This Row],[ChecklistID]]+Master[[#This Row],[Checklist Order]]</f>
        <v>229020</v>
      </c>
      <c r="C2605" s="22"/>
      <c r="D2605" s="23" t="str" cm="1">
        <f t="array" aca="1" ref="D2605" ca="1">_xlfn.SWITCH(MID(Master[[#This Row],[Checklist]],1,4),"C - ","Civil","F - ","Foundation","ST -","Structure","FC -","Façade","PRE ","Pre-Line","POST","Post-Line","H - ","Handover","S - ","Services","CST ","Completion Docs", "I - ", "Inspection")</f>
        <v>Structure</v>
      </c>
      <c r="E2605" s="23" t="str">
        <f ca="1">IF(NOT(ISERROR(SEARCH("- S -", Master[[#This Row],[Checklist]]))), "Subcontractor",IF(NOT(ISERROR(SEARCH("- R -", Master[[#This Row],[Checklist]]))), "Ryman",IF(NOT(ISERROR(SEARCH("- C -", Master[[#This Row],[Checklist]]))), "Consultant",IF(NOT(ISERROR(SEARCH("- I -", Master[[#This Row],[Checklist]]))),  "Inspection Test Plan", "Naming Error"))))</f>
        <v>Ryman</v>
      </c>
      <c r="F2605" s="24" t="str">
        <f ca="1">IF(OR(Master[[#This Row],[Type]]="checklist", Master[[#This Row],[Type]]="checklist-flat"), Master[[#This Row],[Name]], F2604)</f>
        <v>ST - R - Concrete Pour Inspection</v>
      </c>
      <c r="G2605" s="3" t="s">
        <v>120</v>
      </c>
      <c r="H2605" s="24" t="s">
        <v>1909</v>
      </c>
      <c r="I2605" s="40"/>
      <c r="J2605" s="21">
        <f ca="1">_xlfn.XLOOKUP(Master[[#This Row],[Checklist]],Ref!A:A,Ref!B:B)*1000</f>
        <v>229000</v>
      </c>
      <c r="K2605" s="21">
        <f ca="1">COUNTIF($J$2:Master[[#This Row],[ChecklistID]],Master[[#This Row],[ChecklistID]])-1</f>
        <v>20</v>
      </c>
      <c r="L2605" s="23" t="s">
        <v>1848</v>
      </c>
    </row>
    <row r="2606" spans="1:12" ht="15.75">
      <c r="A2606" s="23">
        <f t="shared" si="42"/>
        <v>2593</v>
      </c>
      <c r="B2606" s="21">
        <f ca="1">Master[[#This Row],[ChecklistID]]+Master[[#This Row],[Checklist Order]]</f>
        <v>229021</v>
      </c>
      <c r="C2606" s="22"/>
      <c r="D2606" s="23" t="str" cm="1">
        <f t="array" aca="1" ref="D2606" ca="1">_xlfn.SWITCH(MID(Master[[#This Row],[Checklist]],1,4),"C - ","Civil","F - ","Foundation","ST -","Structure","FC -","Façade","PRE ","Pre-Line","POST","Post-Line","H - ","Handover","S - ","Services","CST ","Completion Docs", "I - ", "Inspection")</f>
        <v>Structure</v>
      </c>
      <c r="E2606" s="23" t="str">
        <f ca="1">IF(NOT(ISERROR(SEARCH("- S -", Master[[#This Row],[Checklist]]))), "Subcontractor",IF(NOT(ISERROR(SEARCH("- R -", Master[[#This Row],[Checklist]]))), "Ryman",IF(NOT(ISERROR(SEARCH("- C -", Master[[#This Row],[Checklist]]))), "Consultant",IF(NOT(ISERROR(SEARCH("- I -", Master[[#This Row],[Checklist]]))),  "Inspection Test Plan", "Naming Error"))))</f>
        <v>Ryman</v>
      </c>
      <c r="F2606" s="24" t="str">
        <f ca="1">IF(OR(Master[[#This Row],[Type]]="checklist", Master[[#This Row],[Type]]="checklist-flat"), Master[[#This Row],[Name]], F2605)</f>
        <v>ST - R - Concrete Pour Inspection</v>
      </c>
      <c r="G2606" s="30" t="s">
        <v>1879</v>
      </c>
      <c r="H2606" s="38" t="s">
        <v>1909</v>
      </c>
      <c r="I2606" s="40"/>
      <c r="J2606" s="21">
        <f ca="1">_xlfn.XLOOKUP(Master[[#This Row],[Checklist]],Ref!A:A,Ref!B:B)*1000</f>
        <v>229000</v>
      </c>
      <c r="K2606" s="21">
        <f ca="1">COUNTIF($J$2:Master[[#This Row],[ChecklistID]],Master[[#This Row],[ChecklistID]])-1</f>
        <v>21</v>
      </c>
      <c r="L2606" s="23" t="s">
        <v>1848</v>
      </c>
    </row>
    <row r="2607" spans="1:12" ht="15.75">
      <c r="A2607" s="23">
        <f t="shared" si="42"/>
        <v>2594</v>
      </c>
      <c r="B2607" s="21">
        <f ca="1">Master[[#This Row],[ChecklistID]]+Master[[#This Row],[Checklist Order]]</f>
        <v>229022</v>
      </c>
      <c r="C2607" s="22"/>
      <c r="D2607" s="23" t="str" cm="1">
        <f t="array" aca="1" ref="D2607" ca="1">_xlfn.SWITCH(MID(Master[[#This Row],[Checklist]],1,4),"C - ","Civil","F - ","Foundation","ST -","Structure","FC -","Façade","PRE ","Pre-Line","POST","Post-Line","H - ","Handover","S - ","Services","CST ","Completion Docs", "I - ", "Inspection")</f>
        <v>Structure</v>
      </c>
      <c r="E2607" s="23" t="str">
        <f ca="1">IF(NOT(ISERROR(SEARCH("- S -", Master[[#This Row],[Checklist]]))), "Subcontractor",IF(NOT(ISERROR(SEARCH("- R -", Master[[#This Row],[Checklist]]))), "Ryman",IF(NOT(ISERROR(SEARCH("- C -", Master[[#This Row],[Checklist]]))), "Consultant",IF(NOT(ISERROR(SEARCH("- I -", Master[[#This Row],[Checklist]]))),  "Inspection Test Plan", "Naming Error"))))</f>
        <v>Ryman</v>
      </c>
      <c r="F2607" s="24" t="str">
        <f ca="1">IF(OR(Master[[#This Row],[Type]]="checklist", Master[[#This Row],[Type]]="checklist-flat"), Master[[#This Row],[Name]], F2606)</f>
        <v>ST - R - Concrete Pour Inspection</v>
      </c>
      <c r="G2607" s="3" t="s">
        <v>124</v>
      </c>
      <c r="H2607" s="24" t="s">
        <v>1910</v>
      </c>
      <c r="I2607" s="40"/>
      <c r="J2607" s="21">
        <f ca="1">_xlfn.XLOOKUP(Master[[#This Row],[Checklist]],Ref!A:A,Ref!B:B)*1000</f>
        <v>229000</v>
      </c>
      <c r="K2607" s="21">
        <f ca="1">COUNTIF($J$2:Master[[#This Row],[ChecklistID]],Master[[#This Row],[ChecklistID]])-1</f>
        <v>22</v>
      </c>
      <c r="L2607" s="23" t="s">
        <v>1848</v>
      </c>
    </row>
    <row r="2608" spans="1:12" ht="15.75">
      <c r="A2608" s="23">
        <f t="shared" si="42"/>
        <v>2595</v>
      </c>
      <c r="B2608" s="21">
        <f ca="1">Master[[#This Row],[ChecklistID]]+Master[[#This Row],[Checklist Order]]</f>
        <v>229023</v>
      </c>
      <c r="C2608" s="22"/>
      <c r="D2608" s="23" t="str" cm="1">
        <f t="array" aca="1" ref="D2608" ca="1">_xlfn.SWITCH(MID(Master[[#This Row],[Checklist]],1,4),"C - ","Civil","F - ","Foundation","ST -","Structure","FC -","Façade","PRE ","Pre-Line","POST","Post-Line","H - ","Handover","S - ","Services","CST ","Completion Docs", "I - ", "Inspection")</f>
        <v>Structure</v>
      </c>
      <c r="E2608" s="23" t="str">
        <f ca="1">IF(NOT(ISERROR(SEARCH("- S -", Master[[#This Row],[Checklist]]))), "Subcontractor",IF(NOT(ISERROR(SEARCH("- R -", Master[[#This Row],[Checklist]]))), "Ryman",IF(NOT(ISERROR(SEARCH("- C -", Master[[#This Row],[Checklist]]))), "Consultant",IF(NOT(ISERROR(SEARCH("- I -", Master[[#This Row],[Checklist]]))),  "Inspection Test Plan", "Naming Error"))))</f>
        <v>Ryman</v>
      </c>
      <c r="F2608" s="24" t="str">
        <f ca="1">IF(OR(Master[[#This Row],[Type]]="checklist", Master[[#This Row],[Type]]="checklist-flat"), Master[[#This Row],[Name]], F2607)</f>
        <v>ST - R - Concrete Pour Inspection</v>
      </c>
      <c r="G2608" s="3" t="s">
        <v>49</v>
      </c>
      <c r="H2608" s="24" t="s">
        <v>1911</v>
      </c>
      <c r="I2608" s="40"/>
      <c r="J2608" s="21">
        <f ca="1">_xlfn.XLOOKUP(Master[[#This Row],[Checklist]],Ref!A:A,Ref!B:B)*1000</f>
        <v>229000</v>
      </c>
      <c r="K2608" s="21">
        <f ca="1">COUNTIF($J$2:Master[[#This Row],[ChecklistID]],Master[[#This Row],[ChecklistID]])-1</f>
        <v>23</v>
      </c>
      <c r="L2608" s="23" t="s">
        <v>1848</v>
      </c>
    </row>
    <row r="2609" spans="1:12" ht="15.75">
      <c r="A2609" s="23">
        <f t="shared" si="42"/>
        <v>2596</v>
      </c>
      <c r="B2609" s="21">
        <f ca="1">Master[[#This Row],[ChecklistID]]+Master[[#This Row],[Checklist Order]]</f>
        <v>229024</v>
      </c>
      <c r="C2609" s="22"/>
      <c r="D2609" s="23" t="str" cm="1">
        <f t="array" aca="1" ref="D2609" ca="1">_xlfn.SWITCH(MID(Master[[#This Row],[Checklist]],1,4),"C - ","Civil","F - ","Foundation","ST -","Structure","FC -","Façade","PRE ","Pre-Line","POST","Post-Line","H - ","Handover","S - ","Services","CST ","Completion Docs", "I - ", "Inspection")</f>
        <v>Structure</v>
      </c>
      <c r="E2609" s="23" t="str">
        <f ca="1">IF(NOT(ISERROR(SEARCH("- S -", Master[[#This Row],[Checklist]]))), "Subcontractor",IF(NOT(ISERROR(SEARCH("- R -", Master[[#This Row],[Checklist]]))), "Ryman",IF(NOT(ISERROR(SEARCH("- C -", Master[[#This Row],[Checklist]]))), "Consultant",IF(NOT(ISERROR(SEARCH("- I -", Master[[#This Row],[Checklist]]))),  "Inspection Test Plan", "Naming Error"))))</f>
        <v>Ryman</v>
      </c>
      <c r="F2609" s="24" t="str">
        <f ca="1">IF(OR(Master[[#This Row],[Type]]="checklist", Master[[#This Row],[Type]]="checklist-flat"), Master[[#This Row],[Name]], F2608)</f>
        <v>ST - R - Concrete Pour Inspection</v>
      </c>
      <c r="G2609" s="3" t="s">
        <v>49</v>
      </c>
      <c r="H2609" s="24" t="s">
        <v>1912</v>
      </c>
      <c r="I2609" s="40"/>
      <c r="J2609" s="21">
        <f ca="1">_xlfn.XLOOKUP(Master[[#This Row],[Checklist]],Ref!A:A,Ref!B:B)*1000</f>
        <v>229000</v>
      </c>
      <c r="K2609" s="21">
        <f ca="1">COUNTIF($J$2:Master[[#This Row],[ChecklistID]],Master[[#This Row],[ChecklistID]])-1</f>
        <v>24</v>
      </c>
      <c r="L2609" s="23" t="s">
        <v>1848</v>
      </c>
    </row>
    <row r="2610" spans="1:12" ht="15.75">
      <c r="A2610" s="23">
        <f t="shared" si="42"/>
        <v>2597</v>
      </c>
      <c r="B2610" s="21">
        <f ca="1">Master[[#This Row],[ChecklistID]]+Master[[#This Row],[Checklist Order]]</f>
        <v>229025</v>
      </c>
      <c r="C2610" s="22"/>
      <c r="D2610" s="23" t="str" cm="1">
        <f t="array" aca="1" ref="D2610" ca="1">_xlfn.SWITCH(MID(Master[[#This Row],[Checklist]],1,4),"C - ","Civil","F - ","Foundation","ST -","Structure","FC -","Façade","PRE ","Pre-Line","POST","Post-Line","H - ","Handover","S - ","Services","CST ","Completion Docs", "I - ", "Inspection")</f>
        <v>Structure</v>
      </c>
      <c r="E2610" s="23" t="str">
        <f ca="1">IF(NOT(ISERROR(SEARCH("- S -", Master[[#This Row],[Checklist]]))), "Subcontractor",IF(NOT(ISERROR(SEARCH("- R -", Master[[#This Row],[Checklist]]))), "Ryman",IF(NOT(ISERROR(SEARCH("- C -", Master[[#This Row],[Checklist]]))), "Consultant",IF(NOT(ISERROR(SEARCH("- I -", Master[[#This Row],[Checklist]]))),  "Inspection Test Plan", "Naming Error"))))</f>
        <v>Ryman</v>
      </c>
      <c r="F2610" s="24" t="str">
        <f ca="1">IF(OR(Master[[#This Row],[Type]]="checklist", Master[[#This Row],[Type]]="checklist-flat"), Master[[#This Row],[Name]], F2609)</f>
        <v>ST - R - Concrete Pour Inspection</v>
      </c>
      <c r="G2610" s="3" t="s">
        <v>49</v>
      </c>
      <c r="H2610" s="24" t="s">
        <v>1913</v>
      </c>
      <c r="I2610" s="40"/>
      <c r="J2610" s="21">
        <f ca="1">_xlfn.XLOOKUP(Master[[#This Row],[Checklist]],Ref!A:A,Ref!B:B)*1000</f>
        <v>229000</v>
      </c>
      <c r="K2610" s="21">
        <f ca="1">COUNTIF($J$2:Master[[#This Row],[ChecklistID]],Master[[#This Row],[ChecklistID]])-1</f>
        <v>25</v>
      </c>
      <c r="L2610" s="23" t="s">
        <v>1848</v>
      </c>
    </row>
    <row r="2611" spans="1:12" ht="15.75">
      <c r="A2611" s="23">
        <f t="shared" si="42"/>
        <v>2598</v>
      </c>
      <c r="B2611" s="21">
        <f ca="1">Master[[#This Row],[ChecklistID]]+Master[[#This Row],[Checklist Order]]</f>
        <v>229026</v>
      </c>
      <c r="C2611" s="22"/>
      <c r="D2611" s="23" t="str" cm="1">
        <f t="array" aca="1" ref="D2611" ca="1">_xlfn.SWITCH(MID(Master[[#This Row],[Checklist]],1,4),"C - ","Civil","F - ","Foundation","ST -","Structure","FC -","Façade","PRE ","Pre-Line","POST","Post-Line","H - ","Handover","S - ","Services","CST ","Completion Docs", "I - ", "Inspection")</f>
        <v>Structure</v>
      </c>
      <c r="E2611" s="23" t="str">
        <f ca="1">IF(NOT(ISERROR(SEARCH("- S -", Master[[#This Row],[Checklist]]))), "Subcontractor",IF(NOT(ISERROR(SEARCH("- R -", Master[[#This Row],[Checklist]]))), "Ryman",IF(NOT(ISERROR(SEARCH("- C -", Master[[#This Row],[Checklist]]))), "Consultant",IF(NOT(ISERROR(SEARCH("- I -", Master[[#This Row],[Checklist]]))),  "Inspection Test Plan", "Naming Error"))))</f>
        <v>Ryman</v>
      </c>
      <c r="F2611" s="24" t="str">
        <f ca="1">IF(OR(Master[[#This Row],[Type]]="checklist", Master[[#This Row],[Type]]="checklist-flat"), Master[[#This Row],[Name]], F2610)</f>
        <v>ST - R - Concrete Pour Inspection</v>
      </c>
      <c r="G2611" s="3" t="s">
        <v>58</v>
      </c>
      <c r="H2611" s="24" t="s">
        <v>1889</v>
      </c>
      <c r="I2611" s="40"/>
      <c r="J2611" s="21">
        <f ca="1">_xlfn.XLOOKUP(Master[[#This Row],[Checklist]],Ref!A:A,Ref!B:B)*1000</f>
        <v>229000</v>
      </c>
      <c r="K2611" s="21">
        <f ca="1">COUNTIF($J$2:Master[[#This Row],[ChecklistID]],Master[[#This Row],[ChecklistID]])-1</f>
        <v>26</v>
      </c>
      <c r="L2611" s="23" t="s">
        <v>1848</v>
      </c>
    </row>
    <row r="2612" spans="1:12" ht="15.75">
      <c r="A2612" s="23">
        <f t="shared" ref="A2612:A2653" si="43">IFERROR(A2611+1,1)</f>
        <v>2599</v>
      </c>
      <c r="B2612" s="21">
        <f ca="1">Master[[#This Row],[ChecklistID]]+Master[[#This Row],[Checklist Order]]</f>
        <v>230000</v>
      </c>
      <c r="C2612" s="22"/>
      <c r="D2612" s="23" t="str" cm="1">
        <f t="array" aca="1" ref="D2612" ca="1">_xlfn.SWITCH(MID(Master[[#This Row],[Checklist]],1,4),"C - ","Civil","F - ","Foundation","ST -","Structure","FC -","Façade","PRE ","Pre-Line","POST","Post-Line","H - ","Handover","S - ","Services","CST ","Completion Docs", "I - ", "Inspection")</f>
        <v>Structure</v>
      </c>
      <c r="E2612"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2" s="24" t="str">
        <f ca="1">IF(OR(Master[[#This Row],[Type]]="checklist", Master[[#This Row],[Type]]="checklist-flat"), Master[[#This Row],[Name]], F2611)</f>
        <v>ST - I - ITP Concrete Pour</v>
      </c>
      <c r="G2612" s="30" t="s">
        <v>43</v>
      </c>
      <c r="H2612" s="38" t="s">
        <v>1914</v>
      </c>
      <c r="I2612" s="39"/>
      <c r="J2612" s="21">
        <f ca="1">_xlfn.XLOOKUP(Master[[#This Row],[Checklist]],Ref!A:A,Ref!B:B)*1000</f>
        <v>230000</v>
      </c>
      <c r="K2612" s="21">
        <f ca="1">COUNTIF($J$2:Master[[#This Row],[ChecklistID]],Master[[#This Row],[ChecklistID]])-1</f>
        <v>0</v>
      </c>
      <c r="L2612" s="23" t="s">
        <v>1848</v>
      </c>
    </row>
    <row r="2613" spans="1:12" ht="15.75">
      <c r="A2613" s="23">
        <f t="shared" si="43"/>
        <v>2600</v>
      </c>
      <c r="B2613" s="21">
        <f ca="1">Master[[#This Row],[ChecklistID]]+Master[[#This Row],[Checklist Order]]</f>
        <v>230001</v>
      </c>
      <c r="C2613" s="22"/>
      <c r="D2613" s="23" t="str" cm="1">
        <f t="array" aca="1" ref="D2613" ca="1">_xlfn.SWITCH(MID(Master[[#This Row],[Checklist]],1,4),"C - ","Civil","F - ","Foundation","ST -","Structure","FC -","Façade","PRE ","Pre-Line","POST","Post-Line","H - ","Handover","S - ","Services","CST ","Completion Docs", "I - ", "Inspection")</f>
        <v>Structure</v>
      </c>
      <c r="E2613"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3" s="24" t="str">
        <f ca="1">IF(OR(Master[[#This Row],[Type]]="checklist", Master[[#This Row],[Type]]="checklist-flat"), Master[[#This Row],[Name]], F2612)</f>
        <v>ST - I - ITP Concrete Pour</v>
      </c>
      <c r="G2613" s="3" t="s">
        <v>120</v>
      </c>
      <c r="H2613" s="24" t="s">
        <v>1915</v>
      </c>
      <c r="I2613" s="40"/>
      <c r="J2613" s="21">
        <f ca="1">_xlfn.XLOOKUP(Master[[#This Row],[Checklist]],Ref!A:A,Ref!B:B)*1000</f>
        <v>230000</v>
      </c>
      <c r="K2613" s="21">
        <f ca="1">COUNTIF($J$2:Master[[#This Row],[ChecklistID]],Master[[#This Row],[ChecklistID]])-1</f>
        <v>1</v>
      </c>
      <c r="L2613" s="23" t="s">
        <v>1848</v>
      </c>
    </row>
    <row r="2614" spans="1:12" ht="15.75">
      <c r="A2614" s="23">
        <f t="shared" si="43"/>
        <v>2601</v>
      </c>
      <c r="B2614" s="21">
        <f ca="1">Master[[#This Row],[ChecklistID]]+Master[[#This Row],[Checklist Order]]</f>
        <v>230002</v>
      </c>
      <c r="C2614" s="22"/>
      <c r="D2614" s="23" t="str" cm="1">
        <f t="array" aca="1" ref="D2614" ca="1">_xlfn.SWITCH(MID(Master[[#This Row],[Checklist]],1,4),"C - ","Civil","F - ","Foundation","ST -","Structure","FC -","Façade","PRE ","Pre-Line","POST","Post-Line","H - ","Handover","S - ","Services","CST ","Completion Docs", "I - ", "Inspection")</f>
        <v>Structure</v>
      </c>
      <c r="E2614"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4" s="24" t="str">
        <f ca="1">IF(OR(Master[[#This Row],[Type]]="checklist", Master[[#This Row],[Type]]="checklist-flat"), Master[[#This Row],[Name]], F2613)</f>
        <v>ST - I - ITP Concrete Pour</v>
      </c>
      <c r="G2614" s="3" t="s">
        <v>49</v>
      </c>
      <c r="H2614" s="24" t="s">
        <v>1916</v>
      </c>
      <c r="I2614" s="40"/>
      <c r="J2614" s="21">
        <f ca="1">_xlfn.XLOOKUP(Master[[#This Row],[Checklist]],Ref!A:A,Ref!B:B)*1000</f>
        <v>230000</v>
      </c>
      <c r="K2614" s="21">
        <f ca="1">COUNTIF($J$2:Master[[#This Row],[ChecklistID]],Master[[#This Row],[ChecklistID]])-1</f>
        <v>2</v>
      </c>
      <c r="L2614" s="23" t="s">
        <v>1848</v>
      </c>
    </row>
    <row r="2615" spans="1:12" ht="15.75">
      <c r="A2615" s="23">
        <f t="shared" si="43"/>
        <v>2602</v>
      </c>
      <c r="B2615" s="21">
        <f ca="1">Master[[#This Row],[ChecklistID]]+Master[[#This Row],[Checklist Order]]</f>
        <v>230003</v>
      </c>
      <c r="C2615" s="22"/>
      <c r="D2615" s="23" t="str" cm="1">
        <f t="array" aca="1" ref="D2615" ca="1">_xlfn.SWITCH(MID(Master[[#This Row],[Checklist]],1,4),"C - ","Civil","F - ","Foundation","ST -","Structure","FC -","Façade","PRE ","Pre-Line","POST","Post-Line","H - ","Handover","S - ","Services","CST ","Completion Docs", "I - ", "Inspection")</f>
        <v>Structure</v>
      </c>
      <c r="E2615"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5" s="24" t="str">
        <f ca="1">IF(OR(Master[[#This Row],[Type]]="checklist", Master[[#This Row],[Type]]="checklist-flat"), Master[[#This Row],[Name]], F2614)</f>
        <v>ST - I - ITP Concrete Pour</v>
      </c>
      <c r="G2615" s="3" t="s">
        <v>49</v>
      </c>
      <c r="H2615" s="24" t="s">
        <v>1917</v>
      </c>
      <c r="I2615" s="40"/>
      <c r="J2615" s="21">
        <f ca="1">_xlfn.XLOOKUP(Master[[#This Row],[Checklist]],Ref!A:A,Ref!B:B)*1000</f>
        <v>230000</v>
      </c>
      <c r="K2615" s="21">
        <f ca="1">COUNTIF($J$2:Master[[#This Row],[ChecklistID]],Master[[#This Row],[ChecklistID]])-1</f>
        <v>3</v>
      </c>
      <c r="L2615" s="23" t="s">
        <v>1848</v>
      </c>
    </row>
    <row r="2616" spans="1:12" ht="15.75">
      <c r="A2616" s="23">
        <f t="shared" si="43"/>
        <v>2603</v>
      </c>
      <c r="B2616" s="21">
        <f ca="1">Master[[#This Row],[ChecklistID]]+Master[[#This Row],[Checklist Order]]</f>
        <v>230004</v>
      </c>
      <c r="C2616" s="22"/>
      <c r="D2616" s="23" t="str" cm="1">
        <f t="array" aca="1" ref="D2616" ca="1">_xlfn.SWITCH(MID(Master[[#This Row],[Checklist]],1,4),"C - ","Civil","F - ","Foundation","ST -","Structure","FC -","Façade","PRE ","Pre-Line","POST","Post-Line","H - ","Handover","S - ","Services","CST ","Completion Docs", "I - ", "Inspection")</f>
        <v>Structure</v>
      </c>
      <c r="E2616"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6" s="24" t="str">
        <f ca="1">IF(OR(Master[[#This Row],[Type]]="checklist", Master[[#This Row],[Type]]="checklist-flat"), Master[[#This Row],[Name]], F2615)</f>
        <v>ST - I - ITP Concrete Pour</v>
      </c>
      <c r="G2616" s="3" t="s">
        <v>49</v>
      </c>
      <c r="H2616" s="24" t="s">
        <v>1918</v>
      </c>
      <c r="I2616" s="40"/>
      <c r="J2616" s="21">
        <f ca="1">_xlfn.XLOOKUP(Master[[#This Row],[Checklist]],Ref!A:A,Ref!B:B)*1000</f>
        <v>230000</v>
      </c>
      <c r="K2616" s="21">
        <f ca="1">COUNTIF($J$2:Master[[#This Row],[ChecklistID]],Master[[#This Row],[ChecklistID]])-1</f>
        <v>4</v>
      </c>
      <c r="L2616" s="23" t="s">
        <v>1848</v>
      </c>
    </row>
    <row r="2617" spans="1:12" ht="15.75">
      <c r="A2617" s="23">
        <f t="shared" si="43"/>
        <v>2604</v>
      </c>
      <c r="B2617" s="21">
        <f ca="1">Master[[#This Row],[ChecklistID]]+Master[[#This Row],[Checklist Order]]</f>
        <v>230005</v>
      </c>
      <c r="C2617" s="22"/>
      <c r="D2617" s="23" t="str" cm="1">
        <f t="array" aca="1" ref="D2617" ca="1">_xlfn.SWITCH(MID(Master[[#This Row],[Checklist]],1,4),"C - ","Civil","F - ","Foundation","ST -","Structure","FC -","Façade","PRE ","Pre-Line","POST","Post-Line","H - ","Handover","S - ","Services","CST ","Completion Docs", "I - ", "Inspection")</f>
        <v>Structure</v>
      </c>
      <c r="E2617"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7" s="24" t="str">
        <f ca="1">IF(OR(Master[[#This Row],[Type]]="checklist", Master[[#This Row],[Type]]="checklist-flat"), Master[[#This Row],[Name]], F2616)</f>
        <v>ST - I - ITP Concrete Pour</v>
      </c>
      <c r="G2617" s="3" t="s">
        <v>120</v>
      </c>
      <c r="H2617" s="24" t="s">
        <v>1919</v>
      </c>
      <c r="I2617" s="40"/>
      <c r="J2617" s="21">
        <f ca="1">_xlfn.XLOOKUP(Master[[#This Row],[Checklist]],Ref!A:A,Ref!B:B)*1000</f>
        <v>230000</v>
      </c>
      <c r="K2617" s="21">
        <f ca="1">COUNTIF($J$2:Master[[#This Row],[ChecklistID]],Master[[#This Row],[ChecklistID]])-1</f>
        <v>5</v>
      </c>
      <c r="L2617" s="23" t="s">
        <v>1848</v>
      </c>
    </row>
    <row r="2618" spans="1:12" ht="15.75">
      <c r="A2618" s="23">
        <f t="shared" si="43"/>
        <v>2605</v>
      </c>
      <c r="B2618" s="21">
        <f ca="1">Master[[#This Row],[ChecklistID]]+Master[[#This Row],[Checklist Order]]</f>
        <v>230006</v>
      </c>
      <c r="C2618" s="22"/>
      <c r="D2618" s="23" t="str" cm="1">
        <f t="array" aca="1" ref="D2618" ca="1">_xlfn.SWITCH(MID(Master[[#This Row],[Checklist]],1,4),"C - ","Civil","F - ","Foundation","ST -","Structure","FC -","Façade","PRE ","Pre-Line","POST","Post-Line","H - ","Handover","S - ","Services","CST ","Completion Docs", "I - ", "Inspection")</f>
        <v>Structure</v>
      </c>
      <c r="E2618"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8" s="24" t="str">
        <f ca="1">IF(OR(Master[[#This Row],[Type]]="checklist", Master[[#This Row],[Type]]="checklist-flat"), Master[[#This Row],[Name]], F2617)</f>
        <v>ST - I - ITP Concrete Pour</v>
      </c>
      <c r="G2618" s="30" t="s">
        <v>1879</v>
      </c>
      <c r="H2618" s="38" t="s">
        <v>1919</v>
      </c>
      <c r="I2618" s="40"/>
      <c r="J2618" s="21">
        <f ca="1">_xlfn.XLOOKUP(Master[[#This Row],[Checklist]],Ref!A:A,Ref!B:B)*1000</f>
        <v>230000</v>
      </c>
      <c r="K2618" s="21">
        <f ca="1">COUNTIF($J$2:Master[[#This Row],[ChecklistID]],Master[[#This Row],[ChecklistID]])-1</f>
        <v>6</v>
      </c>
      <c r="L2618" s="23" t="s">
        <v>1848</v>
      </c>
    </row>
    <row r="2619" spans="1:12" ht="15.75">
      <c r="A2619" s="23">
        <f t="shared" si="43"/>
        <v>2606</v>
      </c>
      <c r="B2619" s="21">
        <f ca="1">Master[[#This Row],[ChecklistID]]+Master[[#This Row],[Checklist Order]]</f>
        <v>230007</v>
      </c>
      <c r="C2619" s="22"/>
      <c r="D2619" s="23" t="str" cm="1">
        <f t="array" aca="1" ref="D2619" ca="1">_xlfn.SWITCH(MID(Master[[#This Row],[Checklist]],1,4),"C - ","Civil","F - ","Foundation","ST -","Structure","FC -","Façade","PRE ","Pre-Line","POST","Post-Line","H - ","Handover","S - ","Services","CST ","Completion Docs", "I - ", "Inspection")</f>
        <v>Structure</v>
      </c>
      <c r="E2619"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19" s="24" t="str">
        <f ca="1">IF(OR(Master[[#This Row],[Type]]="checklist", Master[[#This Row],[Type]]="checklist-flat"), Master[[#This Row],[Name]], F2618)</f>
        <v>ST - I - ITP Concrete Pour</v>
      </c>
      <c r="G2619" s="3" t="s">
        <v>58</v>
      </c>
      <c r="H2619" s="24" t="s">
        <v>1920</v>
      </c>
      <c r="I2619" s="40"/>
      <c r="J2619" s="21">
        <f ca="1">_xlfn.XLOOKUP(Master[[#This Row],[Checklist]],Ref!A:A,Ref!B:B)*1000</f>
        <v>230000</v>
      </c>
      <c r="K2619" s="21">
        <f ca="1">COUNTIF($J$2:Master[[#This Row],[ChecklistID]],Master[[#This Row],[ChecklistID]])-1</f>
        <v>7</v>
      </c>
      <c r="L2619" s="23" t="s">
        <v>1848</v>
      </c>
    </row>
    <row r="2620" spans="1:12" ht="15.75">
      <c r="A2620" s="23">
        <f t="shared" si="43"/>
        <v>2607</v>
      </c>
      <c r="B2620" s="21">
        <f ca="1">Master[[#This Row],[ChecklistID]]+Master[[#This Row],[Checklist Order]]</f>
        <v>230008</v>
      </c>
      <c r="C2620" s="22"/>
      <c r="D2620" s="23" t="str" cm="1">
        <f t="array" aca="1" ref="D2620" ca="1">_xlfn.SWITCH(MID(Master[[#This Row],[Checklist]],1,4),"C - ","Civil","F - ","Foundation","ST -","Structure","FC -","Façade","PRE ","Pre-Line","POST","Post-Line","H - ","Handover","S - ","Services","CST ","Completion Docs", "I - ", "Inspection")</f>
        <v>Structure</v>
      </c>
      <c r="E2620"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0" s="24" t="str">
        <f ca="1">IF(OR(Master[[#This Row],[Type]]="checklist", Master[[#This Row],[Type]]="checklist-flat"), Master[[#This Row],[Name]], F2619)</f>
        <v>ST - I - ITP Concrete Pour</v>
      </c>
      <c r="G2620" s="3" t="s">
        <v>49</v>
      </c>
      <c r="H2620" s="24" t="s">
        <v>1921</v>
      </c>
      <c r="I2620" s="40"/>
      <c r="J2620" s="21">
        <f ca="1">_xlfn.XLOOKUP(Master[[#This Row],[Checklist]],Ref!A:A,Ref!B:B)*1000</f>
        <v>230000</v>
      </c>
      <c r="K2620" s="21">
        <f ca="1">COUNTIF($J$2:Master[[#This Row],[ChecklistID]],Master[[#This Row],[ChecklistID]])-1</f>
        <v>8</v>
      </c>
      <c r="L2620" s="23" t="s">
        <v>1848</v>
      </c>
    </row>
    <row r="2621" spans="1:12" ht="15.75">
      <c r="A2621" s="23">
        <f t="shared" si="43"/>
        <v>2608</v>
      </c>
      <c r="B2621" s="21">
        <f ca="1">Master[[#This Row],[ChecklistID]]+Master[[#This Row],[Checklist Order]]</f>
        <v>230009</v>
      </c>
      <c r="C2621" s="22"/>
      <c r="D2621" s="23" t="str" cm="1">
        <f t="array" aca="1" ref="D2621" ca="1">_xlfn.SWITCH(MID(Master[[#This Row],[Checklist]],1,4),"C - ","Civil","F - ","Foundation","ST -","Structure","FC -","Façade","PRE ","Pre-Line","POST","Post-Line","H - ","Handover","S - ","Services","CST ","Completion Docs", "I - ", "Inspection")</f>
        <v>Structure</v>
      </c>
      <c r="E2621"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1" s="24" t="str">
        <f ca="1">IF(OR(Master[[#This Row],[Type]]="checklist", Master[[#This Row],[Type]]="checklist-flat"), Master[[#This Row],[Name]], F2620)</f>
        <v>ST - I - ITP Concrete Pour</v>
      </c>
      <c r="G2621" s="3" t="s">
        <v>49</v>
      </c>
      <c r="H2621" s="24" t="s">
        <v>1922</v>
      </c>
      <c r="I2621" s="40"/>
      <c r="J2621" s="21">
        <f ca="1">_xlfn.XLOOKUP(Master[[#This Row],[Checklist]],Ref!A:A,Ref!B:B)*1000</f>
        <v>230000</v>
      </c>
      <c r="K2621" s="21">
        <f ca="1">COUNTIF($J$2:Master[[#This Row],[ChecklistID]],Master[[#This Row],[ChecklistID]])-1</f>
        <v>9</v>
      </c>
      <c r="L2621" s="23" t="s">
        <v>1848</v>
      </c>
    </row>
    <row r="2622" spans="1:12" ht="15.75">
      <c r="A2622" s="23">
        <f t="shared" si="43"/>
        <v>2609</v>
      </c>
      <c r="B2622" s="21">
        <f ca="1">Master[[#This Row],[ChecklistID]]+Master[[#This Row],[Checklist Order]]</f>
        <v>230010</v>
      </c>
      <c r="C2622" s="22"/>
      <c r="D2622" s="23" t="str" cm="1">
        <f t="array" aca="1" ref="D2622" ca="1">_xlfn.SWITCH(MID(Master[[#This Row],[Checklist]],1,4),"C - ","Civil","F - ","Foundation","ST -","Structure","FC -","Façade","PRE ","Pre-Line","POST","Post-Line","H - ","Handover","S - ","Services","CST ","Completion Docs", "I - ", "Inspection")</f>
        <v>Structure</v>
      </c>
      <c r="E2622"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2" s="24" t="str">
        <f ca="1">IF(OR(Master[[#This Row],[Type]]="checklist", Master[[#This Row],[Type]]="checklist-flat"), Master[[#This Row],[Name]], F2621)</f>
        <v>ST - I - ITP Concrete Pour</v>
      </c>
      <c r="G2622" s="3" t="s">
        <v>49</v>
      </c>
      <c r="H2622" s="24" t="s">
        <v>1923</v>
      </c>
      <c r="I2622" s="40"/>
      <c r="J2622" s="21">
        <f ca="1">_xlfn.XLOOKUP(Master[[#This Row],[Checklist]],Ref!A:A,Ref!B:B)*1000</f>
        <v>230000</v>
      </c>
      <c r="K2622" s="21">
        <f ca="1">COUNTIF($J$2:Master[[#This Row],[ChecklistID]],Master[[#This Row],[ChecklistID]])-1</f>
        <v>10</v>
      </c>
      <c r="L2622" s="23" t="s">
        <v>1848</v>
      </c>
    </row>
    <row r="2623" spans="1:12" ht="15.75">
      <c r="A2623" s="23">
        <f t="shared" si="43"/>
        <v>2610</v>
      </c>
      <c r="B2623" s="21">
        <f ca="1">Master[[#This Row],[ChecklistID]]+Master[[#This Row],[Checklist Order]]</f>
        <v>230011</v>
      </c>
      <c r="C2623" s="22"/>
      <c r="D2623" s="23" t="str" cm="1">
        <f t="array" aca="1" ref="D2623" ca="1">_xlfn.SWITCH(MID(Master[[#This Row],[Checklist]],1,4),"C - ","Civil","F - ","Foundation","ST -","Structure","FC -","Façade","PRE ","Pre-Line","POST","Post-Line","H - ","Handover","S - ","Services","CST ","Completion Docs", "I - ", "Inspection")</f>
        <v>Structure</v>
      </c>
      <c r="E2623"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3" s="24" t="str">
        <f ca="1">IF(OR(Master[[#This Row],[Type]]="checklist", Master[[#This Row],[Type]]="checklist-flat"), Master[[#This Row],[Name]], F2622)</f>
        <v>ST - I - ITP Concrete Pour</v>
      </c>
      <c r="G2623" s="3" t="s">
        <v>49</v>
      </c>
      <c r="H2623" s="24" t="s">
        <v>1924</v>
      </c>
      <c r="I2623" s="40"/>
      <c r="J2623" s="21">
        <f ca="1">_xlfn.XLOOKUP(Master[[#This Row],[Checklist]],Ref!A:A,Ref!B:B)*1000</f>
        <v>230000</v>
      </c>
      <c r="K2623" s="21">
        <f ca="1">COUNTIF($J$2:Master[[#This Row],[ChecklistID]],Master[[#This Row],[ChecklistID]])-1</f>
        <v>11</v>
      </c>
      <c r="L2623" s="23" t="s">
        <v>1848</v>
      </c>
    </row>
    <row r="2624" spans="1:12" ht="15.75">
      <c r="A2624" s="23">
        <f t="shared" si="43"/>
        <v>2611</v>
      </c>
      <c r="B2624" s="21">
        <f ca="1">Master[[#This Row],[ChecklistID]]+Master[[#This Row],[Checklist Order]]</f>
        <v>230012</v>
      </c>
      <c r="C2624" s="22"/>
      <c r="D2624" s="23" t="str" cm="1">
        <f t="array" aca="1" ref="D2624" ca="1">_xlfn.SWITCH(MID(Master[[#This Row],[Checklist]],1,4),"C - ","Civil","F - ","Foundation","ST -","Structure","FC -","Façade","PRE ","Pre-Line","POST","Post-Line","H - ","Handover","S - ","Services","CST ","Completion Docs", "I - ", "Inspection")</f>
        <v>Structure</v>
      </c>
      <c r="E2624"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4" s="24" t="str">
        <f ca="1">IF(OR(Master[[#This Row],[Type]]="checklist", Master[[#This Row],[Type]]="checklist-flat"), Master[[#This Row],[Name]], F2623)</f>
        <v>ST - I - ITP Concrete Pour</v>
      </c>
      <c r="G2624" s="3" t="s">
        <v>49</v>
      </c>
      <c r="H2624" s="24" t="s">
        <v>1925</v>
      </c>
      <c r="I2624" s="40"/>
      <c r="J2624" s="21">
        <f ca="1">_xlfn.XLOOKUP(Master[[#This Row],[Checklist]],Ref!A:A,Ref!B:B)*1000</f>
        <v>230000</v>
      </c>
      <c r="K2624" s="21">
        <f ca="1">COUNTIF($J$2:Master[[#This Row],[ChecklistID]],Master[[#This Row],[ChecklistID]])-1</f>
        <v>12</v>
      </c>
      <c r="L2624" s="23" t="s">
        <v>1848</v>
      </c>
    </row>
    <row r="2625" spans="1:12" ht="15.75">
      <c r="A2625" s="23">
        <f t="shared" si="43"/>
        <v>2612</v>
      </c>
      <c r="B2625" s="21">
        <f ca="1">Master[[#This Row],[ChecklistID]]+Master[[#This Row],[Checklist Order]]</f>
        <v>230013</v>
      </c>
      <c r="C2625" s="22"/>
      <c r="D2625" s="23" t="str" cm="1">
        <f t="array" aca="1" ref="D2625" ca="1">_xlfn.SWITCH(MID(Master[[#This Row],[Checklist]],1,4),"C - ","Civil","F - ","Foundation","ST -","Structure","FC -","Façade","PRE ","Pre-Line","POST","Post-Line","H - ","Handover","S - ","Services","CST ","Completion Docs", "I - ", "Inspection")</f>
        <v>Structure</v>
      </c>
      <c r="E2625"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5" s="24" t="str">
        <f ca="1">IF(OR(Master[[#This Row],[Type]]="checklist", Master[[#This Row],[Type]]="checklist-flat"), Master[[#This Row],[Name]], F2624)</f>
        <v>ST - I - ITP Concrete Pour</v>
      </c>
      <c r="G2625" s="3" t="s">
        <v>58</v>
      </c>
      <c r="H2625" s="24" t="s">
        <v>1926</v>
      </c>
      <c r="I2625" s="40"/>
      <c r="J2625" s="21">
        <f ca="1">_xlfn.XLOOKUP(Master[[#This Row],[Checklist]],Ref!A:A,Ref!B:B)*1000</f>
        <v>230000</v>
      </c>
      <c r="K2625" s="21">
        <f ca="1">COUNTIF($J$2:Master[[#This Row],[ChecklistID]],Master[[#This Row],[ChecklistID]])-1</f>
        <v>13</v>
      </c>
      <c r="L2625" s="23" t="s">
        <v>1848</v>
      </c>
    </row>
    <row r="2626" spans="1:12" ht="15.75">
      <c r="A2626" s="23">
        <f t="shared" si="43"/>
        <v>2613</v>
      </c>
      <c r="B2626" s="21">
        <f ca="1">Master[[#This Row],[ChecklistID]]+Master[[#This Row],[Checklist Order]]</f>
        <v>230014</v>
      </c>
      <c r="C2626" s="22"/>
      <c r="D2626" s="23" t="str" cm="1">
        <f t="array" aca="1" ref="D2626" ca="1">_xlfn.SWITCH(MID(Master[[#This Row],[Checklist]],1,4),"C - ","Civil","F - ","Foundation","ST -","Structure","FC -","Façade","PRE ","Pre-Line","POST","Post-Line","H - ","Handover","S - ","Services","CST ","Completion Docs", "I - ", "Inspection")</f>
        <v>Structure</v>
      </c>
      <c r="E2626"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6" s="24" t="str">
        <f ca="1">IF(OR(Master[[#This Row],[Type]]="checklist", Master[[#This Row],[Type]]="checklist-flat"), Master[[#This Row],[Name]], F2625)</f>
        <v>ST - I - ITP Concrete Pour</v>
      </c>
      <c r="G2626" s="3" t="s">
        <v>120</v>
      </c>
      <c r="H2626" s="24" t="s">
        <v>1927</v>
      </c>
      <c r="I2626" s="40"/>
      <c r="J2626" s="21">
        <f ca="1">_xlfn.XLOOKUP(Master[[#This Row],[Checklist]],Ref!A:A,Ref!B:B)*1000</f>
        <v>230000</v>
      </c>
      <c r="K2626" s="21">
        <f ca="1">COUNTIF($J$2:Master[[#This Row],[ChecklistID]],Master[[#This Row],[ChecklistID]])-1</f>
        <v>14</v>
      </c>
      <c r="L2626" s="23" t="s">
        <v>1848</v>
      </c>
    </row>
    <row r="2627" spans="1:12" ht="15.75">
      <c r="A2627" s="23">
        <f t="shared" si="43"/>
        <v>2614</v>
      </c>
      <c r="B2627" s="21">
        <f ca="1">Master[[#This Row],[ChecklistID]]+Master[[#This Row],[Checklist Order]]</f>
        <v>230015</v>
      </c>
      <c r="C2627" s="22"/>
      <c r="D2627" s="23" t="str" cm="1">
        <f t="array" aca="1" ref="D2627" ca="1">_xlfn.SWITCH(MID(Master[[#This Row],[Checklist]],1,4),"C - ","Civil","F - ","Foundation","ST -","Structure","FC -","Façade","PRE ","Pre-Line","POST","Post-Line","H - ","Handover","S - ","Services","CST ","Completion Docs", "I - ", "Inspection")</f>
        <v>Structure</v>
      </c>
      <c r="E2627"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7" s="24" t="str">
        <f ca="1">IF(OR(Master[[#This Row],[Type]]="checklist", Master[[#This Row],[Type]]="checklist-flat"), Master[[#This Row],[Name]], F2626)</f>
        <v>ST - I - ITP Concrete Pour</v>
      </c>
      <c r="G2627" s="3" t="s">
        <v>49</v>
      </c>
      <c r="H2627" s="24" t="s">
        <v>1928</v>
      </c>
      <c r="I2627" s="40"/>
      <c r="J2627" s="21">
        <f ca="1">_xlfn.XLOOKUP(Master[[#This Row],[Checklist]],Ref!A:A,Ref!B:B)*1000</f>
        <v>230000</v>
      </c>
      <c r="K2627" s="21">
        <f ca="1">COUNTIF($J$2:Master[[#This Row],[ChecklistID]],Master[[#This Row],[ChecklistID]])-1</f>
        <v>15</v>
      </c>
      <c r="L2627" s="23" t="s">
        <v>1848</v>
      </c>
    </row>
    <row r="2628" spans="1:12" ht="15.75">
      <c r="A2628" s="23">
        <f t="shared" si="43"/>
        <v>2615</v>
      </c>
      <c r="B2628" s="21">
        <f ca="1">Master[[#This Row],[ChecklistID]]+Master[[#This Row],[Checklist Order]]</f>
        <v>230016</v>
      </c>
      <c r="C2628" s="22"/>
      <c r="D2628" s="23" t="str" cm="1">
        <f t="array" aca="1" ref="D2628" ca="1">_xlfn.SWITCH(MID(Master[[#This Row],[Checklist]],1,4),"C - ","Civil","F - ","Foundation","ST -","Structure","FC -","Façade","PRE ","Pre-Line","POST","Post-Line","H - ","Handover","S - ","Services","CST ","Completion Docs", "I - ", "Inspection")</f>
        <v>Structure</v>
      </c>
      <c r="E2628"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8" s="24" t="str">
        <f ca="1">IF(OR(Master[[#This Row],[Type]]="checklist", Master[[#This Row],[Type]]="checklist-flat"), Master[[#This Row],[Name]], F2627)</f>
        <v>ST - I - ITP Concrete Pour</v>
      </c>
      <c r="G2628" s="3" t="s">
        <v>49</v>
      </c>
      <c r="H2628" s="24" t="s">
        <v>1929</v>
      </c>
      <c r="I2628" s="40"/>
      <c r="J2628" s="21">
        <f ca="1">_xlfn.XLOOKUP(Master[[#This Row],[Checklist]],Ref!A:A,Ref!B:B)*1000</f>
        <v>230000</v>
      </c>
      <c r="K2628" s="21">
        <f ca="1">COUNTIF($J$2:Master[[#This Row],[ChecklistID]],Master[[#This Row],[ChecklistID]])-1</f>
        <v>16</v>
      </c>
      <c r="L2628" s="23" t="s">
        <v>1848</v>
      </c>
    </row>
    <row r="2629" spans="1:12" ht="15.75">
      <c r="A2629" s="23">
        <f t="shared" si="43"/>
        <v>2616</v>
      </c>
      <c r="B2629" s="21">
        <f ca="1">Master[[#This Row],[ChecklistID]]+Master[[#This Row],[Checklist Order]]</f>
        <v>230017</v>
      </c>
      <c r="C2629" s="22"/>
      <c r="D2629" s="23" t="str" cm="1">
        <f t="array" aca="1" ref="D2629" ca="1">_xlfn.SWITCH(MID(Master[[#This Row],[Checklist]],1,4),"C - ","Civil","F - ","Foundation","ST -","Structure","FC -","Façade","PRE ","Pre-Line","POST","Post-Line","H - ","Handover","S - ","Services","CST ","Completion Docs", "I - ", "Inspection")</f>
        <v>Structure</v>
      </c>
      <c r="E2629"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29" s="24" t="str">
        <f ca="1">IF(OR(Master[[#This Row],[Type]]="checklist", Master[[#This Row],[Type]]="checklist-flat"), Master[[#This Row],[Name]], F2628)</f>
        <v>ST - I - ITP Concrete Pour</v>
      </c>
      <c r="G2629" s="3" t="s">
        <v>120</v>
      </c>
      <c r="H2629" s="24" t="s">
        <v>1930</v>
      </c>
      <c r="I2629" s="40"/>
      <c r="J2629" s="21">
        <f ca="1">_xlfn.XLOOKUP(Master[[#This Row],[Checklist]],Ref!A:A,Ref!B:B)*1000</f>
        <v>230000</v>
      </c>
      <c r="K2629" s="21">
        <f ca="1">COUNTIF($J$2:Master[[#This Row],[ChecklistID]],Master[[#This Row],[ChecklistID]])-1</f>
        <v>17</v>
      </c>
      <c r="L2629" s="23" t="s">
        <v>1848</v>
      </c>
    </row>
    <row r="2630" spans="1:12" ht="15.75">
      <c r="A2630" s="23">
        <f t="shared" si="43"/>
        <v>2617</v>
      </c>
      <c r="B2630" s="21">
        <f ca="1">Master[[#This Row],[ChecklistID]]+Master[[#This Row],[Checklist Order]]</f>
        <v>230018</v>
      </c>
      <c r="C2630" s="22"/>
      <c r="D2630" s="23" t="str" cm="1">
        <f t="array" aca="1" ref="D2630" ca="1">_xlfn.SWITCH(MID(Master[[#This Row],[Checklist]],1,4),"C - ","Civil","F - ","Foundation","ST -","Structure","FC -","Façade","PRE ","Pre-Line","POST","Post-Line","H - ","Handover","S - ","Services","CST ","Completion Docs", "I - ", "Inspection")</f>
        <v>Structure</v>
      </c>
      <c r="E2630"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0" s="24" t="str">
        <f ca="1">IF(OR(Master[[#This Row],[Type]]="checklist", Master[[#This Row],[Type]]="checklist-flat"), Master[[#This Row],[Name]], F2629)</f>
        <v>ST - I - ITP Concrete Pour</v>
      </c>
      <c r="G2630" s="3" t="s">
        <v>49</v>
      </c>
      <c r="H2630" s="24" t="s">
        <v>1931</v>
      </c>
      <c r="I2630" s="40"/>
      <c r="J2630" s="21">
        <f ca="1">_xlfn.XLOOKUP(Master[[#This Row],[Checklist]],Ref!A:A,Ref!B:B)*1000</f>
        <v>230000</v>
      </c>
      <c r="K2630" s="21">
        <f ca="1">COUNTIF($J$2:Master[[#This Row],[ChecklistID]],Master[[#This Row],[ChecklistID]])-1</f>
        <v>18</v>
      </c>
      <c r="L2630" s="23" t="s">
        <v>1848</v>
      </c>
    </row>
    <row r="2631" spans="1:12" ht="15.75">
      <c r="A2631" s="23">
        <f t="shared" si="43"/>
        <v>2618</v>
      </c>
      <c r="B2631" s="21">
        <f ca="1">Master[[#This Row],[ChecklistID]]+Master[[#This Row],[Checklist Order]]</f>
        <v>230019</v>
      </c>
      <c r="C2631" s="22"/>
      <c r="D2631" s="23" t="str" cm="1">
        <f t="array" aca="1" ref="D2631" ca="1">_xlfn.SWITCH(MID(Master[[#This Row],[Checklist]],1,4),"C - ","Civil","F - ","Foundation","ST -","Structure","FC -","Façade","PRE ","Pre-Line","POST","Post-Line","H - ","Handover","S - ","Services","CST ","Completion Docs", "I - ", "Inspection")</f>
        <v>Structure</v>
      </c>
      <c r="E2631"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1" s="24" t="str">
        <f ca="1">IF(OR(Master[[#This Row],[Type]]="checklist", Master[[#This Row],[Type]]="checklist-flat"), Master[[#This Row],[Name]], F2630)</f>
        <v>ST - I - ITP Concrete Pour</v>
      </c>
      <c r="G2631" s="3" t="s">
        <v>49</v>
      </c>
      <c r="H2631" s="24" t="s">
        <v>1932</v>
      </c>
      <c r="I2631" s="40"/>
      <c r="J2631" s="21">
        <f ca="1">_xlfn.XLOOKUP(Master[[#This Row],[Checklist]],Ref!A:A,Ref!B:B)*1000</f>
        <v>230000</v>
      </c>
      <c r="K2631" s="21">
        <f ca="1">COUNTIF($J$2:Master[[#This Row],[ChecklistID]],Master[[#This Row],[ChecklistID]])-1</f>
        <v>19</v>
      </c>
      <c r="L2631" s="23" t="s">
        <v>1848</v>
      </c>
    </row>
    <row r="2632" spans="1:12" ht="15.75">
      <c r="A2632" s="23">
        <f t="shared" si="43"/>
        <v>2619</v>
      </c>
      <c r="B2632" s="21">
        <f ca="1">Master[[#This Row],[ChecklistID]]+Master[[#This Row],[Checklist Order]]</f>
        <v>230020</v>
      </c>
      <c r="C2632" s="22"/>
      <c r="D2632" s="23" t="str" cm="1">
        <f t="array" aca="1" ref="D2632" ca="1">_xlfn.SWITCH(MID(Master[[#This Row],[Checklist]],1,4),"C - ","Civil","F - ","Foundation","ST -","Structure","FC -","Façade","PRE ","Pre-Line","POST","Post-Line","H - ","Handover","S - ","Services","CST ","Completion Docs", "I - ", "Inspection")</f>
        <v>Structure</v>
      </c>
      <c r="E2632"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2" s="24" t="str">
        <f ca="1">IF(OR(Master[[#This Row],[Type]]="checklist", Master[[#This Row],[Type]]="checklist-flat"), Master[[#This Row],[Name]], F2631)</f>
        <v>ST - I - ITP Concrete Pour</v>
      </c>
      <c r="G2632" s="3" t="s">
        <v>58</v>
      </c>
      <c r="H2632" s="24" t="s">
        <v>1933</v>
      </c>
      <c r="I2632" s="40"/>
      <c r="J2632" s="21">
        <f ca="1">_xlfn.XLOOKUP(Master[[#This Row],[Checklist]],Ref!A:A,Ref!B:B)*1000</f>
        <v>230000</v>
      </c>
      <c r="K2632" s="21">
        <f ca="1">COUNTIF($J$2:Master[[#This Row],[ChecklistID]],Master[[#This Row],[ChecklistID]])-1</f>
        <v>20</v>
      </c>
      <c r="L2632" s="23" t="s">
        <v>1848</v>
      </c>
    </row>
    <row r="2633" spans="1:12" ht="15.75">
      <c r="A2633" s="23">
        <f t="shared" si="43"/>
        <v>2620</v>
      </c>
      <c r="B2633" s="21">
        <f ca="1">Master[[#This Row],[ChecklistID]]+Master[[#This Row],[Checklist Order]]</f>
        <v>230021</v>
      </c>
      <c r="C2633" s="22"/>
      <c r="D2633" s="23" t="str" cm="1">
        <f t="array" aca="1" ref="D2633" ca="1">_xlfn.SWITCH(MID(Master[[#This Row],[Checklist]],1,4),"C - ","Civil","F - ","Foundation","ST -","Structure","FC -","Façade","PRE ","Pre-Line","POST","Post-Line","H - ","Handover","S - ","Services","CST ","Completion Docs", "I - ", "Inspection")</f>
        <v>Structure</v>
      </c>
      <c r="E2633"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3" s="24" t="str">
        <f ca="1">IF(OR(Master[[#This Row],[Type]]="checklist", Master[[#This Row],[Type]]="checklist-flat"), Master[[#This Row],[Name]], F2632)</f>
        <v>ST - I - ITP Concrete Pour</v>
      </c>
      <c r="G2633" s="3" t="s">
        <v>49</v>
      </c>
      <c r="H2633" s="24" t="s">
        <v>1934</v>
      </c>
      <c r="I2633" s="40"/>
      <c r="J2633" s="21">
        <f ca="1">_xlfn.XLOOKUP(Master[[#This Row],[Checklist]],Ref!A:A,Ref!B:B)*1000</f>
        <v>230000</v>
      </c>
      <c r="K2633" s="21">
        <f ca="1">COUNTIF($J$2:Master[[#This Row],[ChecklistID]],Master[[#This Row],[ChecklistID]])-1</f>
        <v>21</v>
      </c>
      <c r="L2633" s="23" t="s">
        <v>1848</v>
      </c>
    </row>
    <row r="2634" spans="1:12" ht="15.75">
      <c r="A2634" s="23">
        <f t="shared" si="43"/>
        <v>2621</v>
      </c>
      <c r="B2634" s="21">
        <f ca="1">Master[[#This Row],[ChecklistID]]+Master[[#This Row],[Checklist Order]]</f>
        <v>230022</v>
      </c>
      <c r="C2634" s="22"/>
      <c r="D2634" s="23" t="str" cm="1">
        <f t="array" aca="1" ref="D2634" ca="1">_xlfn.SWITCH(MID(Master[[#This Row],[Checklist]],1,4),"C - ","Civil","F - ","Foundation","ST -","Structure","FC -","Façade","PRE ","Pre-Line","POST","Post-Line","H - ","Handover","S - ","Services","CST ","Completion Docs", "I - ", "Inspection")</f>
        <v>Structure</v>
      </c>
      <c r="E2634"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4" s="24" t="str">
        <f ca="1">IF(OR(Master[[#This Row],[Type]]="checklist", Master[[#This Row],[Type]]="checklist-flat"), Master[[#This Row],[Name]], F2633)</f>
        <v>ST - I - ITP Concrete Pour</v>
      </c>
      <c r="G2634" s="3" t="s">
        <v>58</v>
      </c>
      <c r="H2634" s="24" t="s">
        <v>1935</v>
      </c>
      <c r="I2634" s="40"/>
      <c r="J2634" s="21">
        <f ca="1">_xlfn.XLOOKUP(Master[[#This Row],[Checklist]],Ref!A:A,Ref!B:B)*1000</f>
        <v>230000</v>
      </c>
      <c r="K2634" s="21">
        <f ca="1">COUNTIF($J$2:Master[[#This Row],[ChecklistID]],Master[[#This Row],[ChecklistID]])-1</f>
        <v>22</v>
      </c>
      <c r="L2634" s="23" t="s">
        <v>1848</v>
      </c>
    </row>
    <row r="2635" spans="1:12" ht="15.75">
      <c r="A2635" s="23">
        <f t="shared" si="43"/>
        <v>2622</v>
      </c>
      <c r="B2635" s="21">
        <f ca="1">Master[[#This Row],[ChecklistID]]+Master[[#This Row],[Checklist Order]]</f>
        <v>230023</v>
      </c>
      <c r="C2635" s="22"/>
      <c r="D2635" s="23" t="str" cm="1">
        <f t="array" aca="1" ref="D2635" ca="1">_xlfn.SWITCH(MID(Master[[#This Row],[Checklist]],1,4),"C - ","Civil","F - ","Foundation","ST -","Structure","FC -","Façade","PRE ","Pre-Line","POST","Post-Line","H - ","Handover","S - ","Services","CST ","Completion Docs", "I - ", "Inspection")</f>
        <v>Structure</v>
      </c>
      <c r="E2635"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5" s="24" t="str">
        <f ca="1">IF(OR(Master[[#This Row],[Type]]="checklist", Master[[#This Row],[Type]]="checklist-flat"), Master[[#This Row],[Name]], F2634)</f>
        <v>ST - I - ITP Concrete Pour</v>
      </c>
      <c r="G2635" s="3" t="s">
        <v>49</v>
      </c>
      <c r="H2635" s="24" t="s">
        <v>1936</v>
      </c>
      <c r="I2635" s="40"/>
      <c r="J2635" s="21">
        <f ca="1">_xlfn.XLOOKUP(Master[[#This Row],[Checklist]],Ref!A:A,Ref!B:B)*1000</f>
        <v>230000</v>
      </c>
      <c r="K2635" s="21">
        <f ca="1">COUNTIF($J$2:Master[[#This Row],[ChecklistID]],Master[[#This Row],[ChecklistID]])-1</f>
        <v>23</v>
      </c>
      <c r="L2635" s="23" t="s">
        <v>1848</v>
      </c>
    </row>
    <row r="2636" spans="1:12" ht="15.75">
      <c r="A2636" s="23">
        <f t="shared" si="43"/>
        <v>2623</v>
      </c>
      <c r="B2636" s="21">
        <f ca="1">Master[[#This Row],[ChecklistID]]+Master[[#This Row],[Checklist Order]]</f>
        <v>230024</v>
      </c>
      <c r="C2636" s="22"/>
      <c r="D2636" s="23" t="str" cm="1">
        <f t="array" aca="1" ref="D2636" ca="1">_xlfn.SWITCH(MID(Master[[#This Row],[Checklist]],1,4),"C - ","Civil","F - ","Foundation","ST -","Structure","FC -","Façade","PRE ","Pre-Line","POST","Post-Line","H - ","Handover","S - ","Services","CST ","Completion Docs", "I - ", "Inspection")</f>
        <v>Structure</v>
      </c>
      <c r="E2636"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6" s="24" t="str">
        <f ca="1">IF(OR(Master[[#This Row],[Type]]="checklist", Master[[#This Row],[Type]]="checklist-flat"), Master[[#This Row],[Name]], F2635)</f>
        <v>ST - I - ITP Concrete Pour</v>
      </c>
      <c r="G2636" s="3" t="s">
        <v>49</v>
      </c>
      <c r="H2636" s="24" t="s">
        <v>1937</v>
      </c>
      <c r="I2636" s="40"/>
      <c r="J2636" s="21">
        <f ca="1">_xlfn.XLOOKUP(Master[[#This Row],[Checklist]],Ref!A:A,Ref!B:B)*1000</f>
        <v>230000</v>
      </c>
      <c r="K2636" s="21">
        <f ca="1">COUNTIF($J$2:Master[[#This Row],[ChecklistID]],Master[[#This Row],[ChecklistID]])-1</f>
        <v>24</v>
      </c>
      <c r="L2636" s="23" t="s">
        <v>1848</v>
      </c>
    </row>
    <row r="2637" spans="1:12" ht="15.75">
      <c r="A2637" s="23">
        <f t="shared" si="43"/>
        <v>2624</v>
      </c>
      <c r="B2637" s="21">
        <f ca="1">Master[[#This Row],[ChecklistID]]+Master[[#This Row],[Checklist Order]]</f>
        <v>230025</v>
      </c>
      <c r="C2637" s="22"/>
      <c r="D2637" s="23" t="str" cm="1">
        <f t="array" aca="1" ref="D2637" ca="1">_xlfn.SWITCH(MID(Master[[#This Row],[Checklist]],1,4),"C - ","Civil","F - ","Foundation","ST -","Structure","FC -","Façade","PRE ","Pre-Line","POST","Post-Line","H - ","Handover","S - ","Services","CST ","Completion Docs", "I - ", "Inspection")</f>
        <v>Structure</v>
      </c>
      <c r="E2637"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7" s="24" t="str">
        <f ca="1">IF(OR(Master[[#This Row],[Type]]="checklist", Master[[#This Row],[Type]]="checklist-flat"), Master[[#This Row],[Name]], F2636)</f>
        <v>ST - I - ITP Concrete Pour</v>
      </c>
      <c r="G2637" s="3" t="s">
        <v>49</v>
      </c>
      <c r="H2637" s="24" t="s">
        <v>1938</v>
      </c>
      <c r="I2637" s="40"/>
      <c r="J2637" s="21">
        <f ca="1">_xlfn.XLOOKUP(Master[[#This Row],[Checklist]],Ref!A:A,Ref!B:B)*1000</f>
        <v>230000</v>
      </c>
      <c r="K2637" s="21">
        <f ca="1">COUNTIF($J$2:Master[[#This Row],[ChecklistID]],Master[[#This Row],[ChecklistID]])-1</f>
        <v>25</v>
      </c>
      <c r="L2637" s="23" t="s">
        <v>1848</v>
      </c>
    </row>
    <row r="2638" spans="1:12" ht="15.75">
      <c r="A2638" s="23">
        <f>IFERROR(A2637+1,1)</f>
        <v>2625</v>
      </c>
      <c r="B2638" s="21">
        <f ca="1">Master[[#This Row],[ChecklistID]]+Master[[#This Row],[Checklist Order]]</f>
        <v>230026</v>
      </c>
      <c r="C2638" s="22"/>
      <c r="D2638" s="23" t="str" cm="1">
        <f t="array" aca="1" ref="D2638" ca="1">_xlfn.SWITCH(MID(Master[[#This Row],[Checklist]],1,4),"C - ","Civil","F - ","Foundation","ST -","Structure","FC -","Façade","PRE ","Pre-Line","POST","Post-Line","H - ","Handover","S - ","Services","CST ","Completion Docs", "I - ", "Inspection")</f>
        <v>Structure</v>
      </c>
      <c r="E2638"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8" s="24" t="str">
        <f ca="1">IF(OR(Master[[#This Row],[Type]]="checklist", Master[[#This Row],[Type]]="checklist-flat"), Master[[#This Row],[Name]], F2637)</f>
        <v>ST - I - ITP Concrete Pour</v>
      </c>
      <c r="G2638" s="3" t="s">
        <v>49</v>
      </c>
      <c r="H2638" s="38" t="s">
        <v>1939</v>
      </c>
      <c r="I2638" s="39"/>
      <c r="J2638" s="21">
        <f ca="1">_xlfn.XLOOKUP(Master[[#This Row],[Checklist]],Ref!A:A,Ref!B:B)*1000</f>
        <v>230000</v>
      </c>
      <c r="K2638" s="21">
        <f ca="1">COUNTIF($J$2:Master[[#This Row],[ChecklistID]],Master[[#This Row],[ChecklistID]])-1</f>
        <v>26</v>
      </c>
      <c r="L2638" s="23" t="s">
        <v>1848</v>
      </c>
    </row>
    <row r="2639" spans="1:12" ht="15.75">
      <c r="A2639" s="23">
        <f>IFERROR(A2638+1,1)</f>
        <v>2626</v>
      </c>
      <c r="B2639" s="21">
        <f ca="1">Master[[#This Row],[ChecklistID]]+Master[[#This Row],[Checklist Order]]</f>
        <v>230027</v>
      </c>
      <c r="C2639" s="22"/>
      <c r="D2639" s="23" t="str" cm="1">
        <f t="array" aca="1" ref="D2639" ca="1">_xlfn.SWITCH(MID(Master[[#This Row],[Checklist]],1,4),"C - ","Civil","F - ","Foundation","ST -","Structure","FC -","Façade","PRE ","Pre-Line","POST","Post-Line","H - ","Handover","S - ","Services","CST ","Completion Docs", "I - ", "Inspection")</f>
        <v>Structure</v>
      </c>
      <c r="E2639"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39" s="24" t="str">
        <f ca="1">IF(OR(Master[[#This Row],[Type]]="checklist", Master[[#This Row],[Type]]="checklist-flat"), Master[[#This Row],[Name]], F2638)</f>
        <v>ST - I - ITP Concrete Pour</v>
      </c>
      <c r="G2639" s="3" t="s">
        <v>49</v>
      </c>
      <c r="H2639" s="24" t="s">
        <v>1940</v>
      </c>
      <c r="I2639" s="40"/>
      <c r="J2639" s="21">
        <f ca="1">_xlfn.XLOOKUP(Master[[#This Row],[Checklist]],Ref!A:A,Ref!B:B)*1000</f>
        <v>230000</v>
      </c>
      <c r="K2639" s="21">
        <f ca="1">COUNTIF($J$2:Master[[#This Row],[ChecklistID]],Master[[#This Row],[ChecklistID]])-1</f>
        <v>27</v>
      </c>
      <c r="L2639" s="23" t="s">
        <v>1848</v>
      </c>
    </row>
    <row r="2640" spans="1:12" ht="15.75">
      <c r="A2640" s="23">
        <f t="shared" si="43"/>
        <v>2627</v>
      </c>
      <c r="B2640" s="21">
        <f ca="1">Master[[#This Row],[ChecklistID]]+Master[[#This Row],[Checklist Order]]</f>
        <v>230028</v>
      </c>
      <c r="C2640" s="22"/>
      <c r="D2640" s="23" t="str" cm="1">
        <f t="array" aca="1" ref="D2640" ca="1">_xlfn.SWITCH(MID(Master[[#This Row],[Checklist]],1,4),"C - ","Civil","F - ","Foundation","ST -","Structure","FC -","Façade","PRE ","Pre-Line","POST","Post-Line","H - ","Handover","S - ","Services","CST ","Completion Docs", "I - ", "Inspection")</f>
        <v>Structure</v>
      </c>
      <c r="E2640"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0" s="24" t="str">
        <f ca="1">IF(OR(Master[[#This Row],[Type]]="checklist", Master[[#This Row],[Type]]="checklist-flat"), Master[[#This Row],[Name]], F2639)</f>
        <v>ST - I - ITP Concrete Pour</v>
      </c>
      <c r="G2640" s="3" t="s">
        <v>120</v>
      </c>
      <c r="H2640" s="24" t="s">
        <v>1941</v>
      </c>
      <c r="I2640" s="40"/>
      <c r="J2640" s="21">
        <f ca="1">_xlfn.XLOOKUP(Master[[#This Row],[Checklist]],Ref!A:A,Ref!B:B)*1000</f>
        <v>230000</v>
      </c>
      <c r="K2640" s="21">
        <f ca="1">COUNTIF($J$2:Master[[#This Row],[ChecklistID]],Master[[#This Row],[ChecklistID]])-1</f>
        <v>28</v>
      </c>
      <c r="L2640" s="23" t="s">
        <v>1848</v>
      </c>
    </row>
    <row r="2641" spans="1:12" ht="15.75">
      <c r="A2641" s="23">
        <f t="shared" si="43"/>
        <v>2628</v>
      </c>
      <c r="B2641" s="21">
        <f ca="1">Master[[#This Row],[ChecklistID]]+Master[[#This Row],[Checklist Order]]</f>
        <v>230029</v>
      </c>
      <c r="C2641" s="22"/>
      <c r="D2641" s="23" t="str" cm="1">
        <f t="array" aca="1" ref="D2641" ca="1">_xlfn.SWITCH(MID(Master[[#This Row],[Checklist]],1,4),"C - ","Civil","F - ","Foundation","ST -","Structure","FC -","Façade","PRE ","Pre-Line","POST","Post-Line","H - ","Handover","S - ","Services","CST ","Completion Docs", "I - ", "Inspection")</f>
        <v>Structure</v>
      </c>
      <c r="E2641"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1" s="24" t="str">
        <f ca="1">IF(OR(Master[[#This Row],[Type]]="checklist", Master[[#This Row],[Type]]="checklist-flat"), Master[[#This Row],[Name]], F2640)</f>
        <v>ST - I - ITP Concrete Pour</v>
      </c>
      <c r="G2641" s="3" t="s">
        <v>49</v>
      </c>
      <c r="H2641" s="24" t="s">
        <v>1942</v>
      </c>
      <c r="I2641" s="40"/>
      <c r="J2641" s="21">
        <f ca="1">_xlfn.XLOOKUP(Master[[#This Row],[Checklist]],Ref!A:A,Ref!B:B)*1000</f>
        <v>230000</v>
      </c>
      <c r="K2641" s="21">
        <f ca="1">COUNTIF($J$2:Master[[#This Row],[ChecklistID]],Master[[#This Row],[ChecklistID]])-1</f>
        <v>29</v>
      </c>
      <c r="L2641" s="23" t="s">
        <v>1848</v>
      </c>
    </row>
    <row r="2642" spans="1:12" ht="15.75">
      <c r="A2642" s="23">
        <f t="shared" si="43"/>
        <v>2629</v>
      </c>
      <c r="B2642" s="21">
        <f ca="1">Master[[#This Row],[ChecklistID]]+Master[[#This Row],[Checklist Order]]</f>
        <v>230030</v>
      </c>
      <c r="C2642" s="22"/>
      <c r="D2642" s="23" t="str" cm="1">
        <f t="array" aca="1" ref="D2642" ca="1">_xlfn.SWITCH(MID(Master[[#This Row],[Checklist]],1,4),"C - ","Civil","F - ","Foundation","ST -","Structure","FC -","Façade","PRE ","Pre-Line","POST","Post-Line","H - ","Handover","S - ","Services","CST ","Completion Docs", "I - ", "Inspection")</f>
        <v>Structure</v>
      </c>
      <c r="E2642"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2" s="24" t="str">
        <f ca="1">IF(OR(Master[[#This Row],[Type]]="checklist", Master[[#This Row],[Type]]="checklist-flat"), Master[[#This Row],[Name]], F2641)</f>
        <v>ST - I - ITP Concrete Pour</v>
      </c>
      <c r="G2642" s="3" t="s">
        <v>58</v>
      </c>
      <c r="H2642" s="24" t="s">
        <v>1943</v>
      </c>
      <c r="I2642" s="40"/>
      <c r="J2642" s="21">
        <f ca="1">_xlfn.XLOOKUP(Master[[#This Row],[Checklist]],Ref!A:A,Ref!B:B)*1000</f>
        <v>230000</v>
      </c>
      <c r="K2642" s="21">
        <f ca="1">COUNTIF($J$2:Master[[#This Row],[ChecklistID]],Master[[#This Row],[ChecklistID]])-1</f>
        <v>30</v>
      </c>
      <c r="L2642" s="23" t="s">
        <v>1848</v>
      </c>
    </row>
    <row r="2643" spans="1:12" ht="15.75">
      <c r="A2643" s="23">
        <f t="shared" si="43"/>
        <v>2630</v>
      </c>
      <c r="B2643" s="21">
        <f ca="1">Master[[#This Row],[ChecklistID]]+Master[[#This Row],[Checklist Order]]</f>
        <v>230031</v>
      </c>
      <c r="C2643" s="22"/>
      <c r="D2643" s="23" t="str" cm="1">
        <f t="array" aca="1" ref="D2643" ca="1">_xlfn.SWITCH(MID(Master[[#This Row],[Checklist]],1,4),"C - ","Civil","F - ","Foundation","ST -","Structure","FC -","Façade","PRE ","Pre-Line","POST","Post-Line","H - ","Handover","S - ","Services","CST ","Completion Docs", "I - ", "Inspection")</f>
        <v>Structure</v>
      </c>
      <c r="E2643"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3" s="24" t="str">
        <f ca="1">IF(OR(Master[[#This Row],[Type]]="checklist", Master[[#This Row],[Type]]="checklist-flat"), Master[[#This Row],[Name]], F2642)</f>
        <v>ST - I - ITP Concrete Pour</v>
      </c>
      <c r="G2643" s="3" t="s">
        <v>49</v>
      </c>
      <c r="H2643" s="24" t="s">
        <v>1944</v>
      </c>
      <c r="I2643" s="40"/>
      <c r="J2643" s="21">
        <f ca="1">_xlfn.XLOOKUP(Master[[#This Row],[Checklist]],Ref!A:A,Ref!B:B)*1000</f>
        <v>230000</v>
      </c>
      <c r="K2643" s="21">
        <f ca="1">COUNTIF($J$2:Master[[#This Row],[ChecklistID]],Master[[#This Row],[ChecklistID]])-1</f>
        <v>31</v>
      </c>
      <c r="L2643" s="23" t="s">
        <v>1848</v>
      </c>
    </row>
    <row r="2644" spans="1:12" ht="15.75">
      <c r="A2644" s="23">
        <f t="shared" si="43"/>
        <v>2631</v>
      </c>
      <c r="B2644" s="21">
        <f ca="1">Master[[#This Row],[ChecklistID]]+Master[[#This Row],[Checklist Order]]</f>
        <v>230032</v>
      </c>
      <c r="C2644" s="22"/>
      <c r="D2644" s="23" t="str" cm="1">
        <f t="array" aca="1" ref="D2644" ca="1">_xlfn.SWITCH(MID(Master[[#This Row],[Checklist]],1,4),"C - ","Civil","F - ","Foundation","ST -","Structure","FC -","Façade","PRE ","Pre-Line","POST","Post-Line","H - ","Handover","S - ","Services","CST ","Completion Docs", "I - ", "Inspection")</f>
        <v>Structure</v>
      </c>
      <c r="E2644"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4" s="24" t="str">
        <f ca="1">IF(OR(Master[[#This Row],[Type]]="checklist", Master[[#This Row],[Type]]="checklist-flat"), Master[[#This Row],[Name]], F2643)</f>
        <v>ST - I - ITP Concrete Pour</v>
      </c>
      <c r="G2644" s="3" t="s">
        <v>49</v>
      </c>
      <c r="H2644" s="24" t="s">
        <v>1945</v>
      </c>
      <c r="I2644" s="40"/>
      <c r="J2644" s="21">
        <f ca="1">_xlfn.XLOOKUP(Master[[#This Row],[Checklist]],Ref!A:A,Ref!B:B)*1000</f>
        <v>230000</v>
      </c>
      <c r="K2644" s="21">
        <f ca="1">COUNTIF($J$2:Master[[#This Row],[ChecklistID]],Master[[#This Row],[ChecklistID]])-1</f>
        <v>32</v>
      </c>
      <c r="L2644" s="23" t="s">
        <v>1848</v>
      </c>
    </row>
    <row r="2645" spans="1:12" ht="15.75">
      <c r="A2645" s="23">
        <f t="shared" si="43"/>
        <v>2632</v>
      </c>
      <c r="B2645" s="21">
        <f ca="1">Master[[#This Row],[ChecklistID]]+Master[[#This Row],[Checklist Order]]</f>
        <v>230033</v>
      </c>
      <c r="C2645" s="22"/>
      <c r="D2645" s="23" t="str" cm="1">
        <f t="array" aca="1" ref="D2645" ca="1">_xlfn.SWITCH(MID(Master[[#This Row],[Checklist]],1,4),"C - ","Civil","F - ","Foundation","ST -","Structure","FC -","Façade","PRE ","Pre-Line","POST","Post-Line","H - ","Handover","S - ","Services","CST ","Completion Docs", "I - ", "Inspection")</f>
        <v>Structure</v>
      </c>
      <c r="E2645"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5" s="24" t="str">
        <f ca="1">IF(OR(Master[[#This Row],[Type]]="checklist", Master[[#This Row],[Type]]="checklist-flat"), Master[[#This Row],[Name]], F2644)</f>
        <v>ST - I - ITP Concrete Pour</v>
      </c>
      <c r="G2645" s="3" t="s">
        <v>49</v>
      </c>
      <c r="H2645" s="24" t="s">
        <v>1946</v>
      </c>
      <c r="I2645" s="40"/>
      <c r="J2645" s="21">
        <f ca="1">_xlfn.XLOOKUP(Master[[#This Row],[Checklist]],Ref!A:A,Ref!B:B)*1000</f>
        <v>230000</v>
      </c>
      <c r="K2645" s="21">
        <f ca="1">COUNTIF($J$2:Master[[#This Row],[ChecklistID]],Master[[#This Row],[ChecklistID]])-1</f>
        <v>33</v>
      </c>
      <c r="L2645" s="23" t="s">
        <v>1848</v>
      </c>
    </row>
    <row r="2646" spans="1:12" ht="15.75">
      <c r="A2646" s="23">
        <f t="shared" si="43"/>
        <v>2633</v>
      </c>
      <c r="B2646" s="21">
        <f ca="1">Master[[#This Row],[ChecklistID]]+Master[[#This Row],[Checklist Order]]</f>
        <v>230034</v>
      </c>
      <c r="C2646" s="22"/>
      <c r="D2646" s="23" t="str" cm="1">
        <f t="array" aca="1" ref="D2646" ca="1">_xlfn.SWITCH(MID(Master[[#This Row],[Checklist]],1,4),"C - ","Civil","F - ","Foundation","ST -","Structure","FC -","Façade","PRE ","Pre-Line","POST","Post-Line","H - ","Handover","S - ","Services","CST ","Completion Docs", "I - ", "Inspection")</f>
        <v>Structure</v>
      </c>
      <c r="E2646"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6" s="24" t="str">
        <f ca="1">IF(OR(Master[[#This Row],[Type]]="checklist", Master[[#This Row],[Type]]="checklist-flat"), Master[[#This Row],[Name]], F2645)</f>
        <v>ST - I - ITP Concrete Pour</v>
      </c>
      <c r="G2646" s="3" t="s">
        <v>49</v>
      </c>
      <c r="H2646" s="24" t="s">
        <v>1947</v>
      </c>
      <c r="I2646" s="40"/>
      <c r="J2646" s="21">
        <f ca="1">_xlfn.XLOOKUP(Master[[#This Row],[Checklist]],Ref!A:A,Ref!B:B)*1000</f>
        <v>230000</v>
      </c>
      <c r="K2646" s="21">
        <f ca="1">COUNTIF($J$2:Master[[#This Row],[ChecklistID]],Master[[#This Row],[ChecklistID]])-1</f>
        <v>34</v>
      </c>
      <c r="L2646" s="23" t="s">
        <v>1848</v>
      </c>
    </row>
    <row r="2647" spans="1:12" ht="15.75">
      <c r="A2647" s="23">
        <f t="shared" si="43"/>
        <v>2634</v>
      </c>
      <c r="B2647" s="21">
        <f ca="1">Master[[#This Row],[ChecklistID]]+Master[[#This Row],[Checklist Order]]</f>
        <v>230035</v>
      </c>
      <c r="C2647" s="22"/>
      <c r="D2647" s="23" t="str" cm="1">
        <f t="array" aca="1" ref="D2647" ca="1">_xlfn.SWITCH(MID(Master[[#This Row],[Checklist]],1,4),"C - ","Civil","F - ","Foundation","ST -","Structure","FC -","Façade","PRE ","Pre-Line","POST","Post-Line","H - ","Handover","S - ","Services","CST ","Completion Docs", "I - ", "Inspection")</f>
        <v>Structure</v>
      </c>
      <c r="E2647"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7" s="24" t="str">
        <f ca="1">IF(OR(Master[[#This Row],[Type]]="checklist", Master[[#This Row],[Type]]="checklist-flat"), Master[[#This Row],[Name]], F2646)</f>
        <v>ST - I - ITP Concrete Pour</v>
      </c>
      <c r="G2647" s="3" t="s">
        <v>120</v>
      </c>
      <c r="H2647" s="24" t="s">
        <v>1948</v>
      </c>
      <c r="I2647" s="40"/>
      <c r="J2647" s="21">
        <f ca="1">_xlfn.XLOOKUP(Master[[#This Row],[Checklist]],Ref!A:A,Ref!B:B)*1000</f>
        <v>230000</v>
      </c>
      <c r="K2647" s="21">
        <f ca="1">COUNTIF($J$2:Master[[#This Row],[ChecklistID]],Master[[#This Row],[ChecklistID]])-1</f>
        <v>35</v>
      </c>
      <c r="L2647" s="23" t="s">
        <v>1848</v>
      </c>
    </row>
    <row r="2648" spans="1:12" ht="15.75">
      <c r="A2648" s="23">
        <f t="shared" si="43"/>
        <v>2635</v>
      </c>
      <c r="B2648" s="21">
        <f ca="1">Master[[#This Row],[ChecklistID]]+Master[[#This Row],[Checklist Order]]</f>
        <v>230036</v>
      </c>
      <c r="C2648" s="22"/>
      <c r="D2648" s="23" t="str" cm="1">
        <f t="array" aca="1" ref="D2648" ca="1">_xlfn.SWITCH(MID(Master[[#This Row],[Checklist]],1,4),"C - ","Civil","F - ","Foundation","ST -","Structure","FC -","Façade","PRE ","Pre-Line","POST","Post-Line","H - ","Handover","S - ","Services","CST ","Completion Docs", "I - ", "Inspection")</f>
        <v>Structure</v>
      </c>
      <c r="E2648"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8" s="24" t="str">
        <f ca="1">IF(OR(Master[[#This Row],[Type]]="checklist", Master[[#This Row],[Type]]="checklist-flat"), Master[[#This Row],[Name]], F2647)</f>
        <v>ST - I - ITP Concrete Pour</v>
      </c>
      <c r="G2648" s="3" t="s">
        <v>49</v>
      </c>
      <c r="H2648" s="24" t="s">
        <v>1949</v>
      </c>
      <c r="I2648" s="40"/>
      <c r="J2648" s="21">
        <f ca="1">_xlfn.XLOOKUP(Master[[#This Row],[Checklist]],Ref!A:A,Ref!B:B)*1000</f>
        <v>230000</v>
      </c>
      <c r="K2648" s="21">
        <f ca="1">COUNTIF($J$2:Master[[#This Row],[ChecklistID]],Master[[#This Row],[ChecklistID]])-1</f>
        <v>36</v>
      </c>
      <c r="L2648" s="23" t="s">
        <v>1848</v>
      </c>
    </row>
    <row r="2649" spans="1:12" ht="15.75">
      <c r="A2649" s="23">
        <f t="shared" si="43"/>
        <v>2636</v>
      </c>
      <c r="B2649" s="21">
        <f ca="1">Master[[#This Row],[ChecklistID]]+Master[[#This Row],[Checklist Order]]</f>
        <v>230037</v>
      </c>
      <c r="C2649" s="22"/>
      <c r="D2649" s="23" t="str" cm="1">
        <f t="array" aca="1" ref="D2649" ca="1">_xlfn.SWITCH(MID(Master[[#This Row],[Checklist]],1,4),"C - ","Civil","F - ","Foundation","ST -","Structure","FC -","Façade","PRE ","Pre-Line","POST","Post-Line","H - ","Handover","S - ","Services","CST ","Completion Docs", "I - ", "Inspection")</f>
        <v>Structure</v>
      </c>
      <c r="E2649"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49" s="24" t="str">
        <f ca="1">IF(OR(Master[[#This Row],[Type]]="checklist", Master[[#This Row],[Type]]="checklist-flat"), Master[[#This Row],[Name]], F2648)</f>
        <v>ST - I - ITP Concrete Pour</v>
      </c>
      <c r="G2649" s="3" t="s">
        <v>58</v>
      </c>
      <c r="H2649" s="24" t="s">
        <v>1943</v>
      </c>
      <c r="I2649" s="40"/>
      <c r="J2649" s="21">
        <f ca="1">_xlfn.XLOOKUP(Master[[#This Row],[Checklist]],Ref!A:A,Ref!B:B)*1000</f>
        <v>230000</v>
      </c>
      <c r="K2649" s="21">
        <f ca="1">COUNTIF($J$2:Master[[#This Row],[ChecklistID]],Master[[#This Row],[ChecklistID]])-1</f>
        <v>37</v>
      </c>
      <c r="L2649" s="23" t="s">
        <v>1848</v>
      </c>
    </row>
    <row r="2650" spans="1:12" ht="15.75">
      <c r="A2650" s="23">
        <f t="shared" si="43"/>
        <v>2637</v>
      </c>
      <c r="B2650" s="21">
        <f ca="1">Master[[#This Row],[ChecklistID]]+Master[[#This Row],[Checklist Order]]</f>
        <v>230038</v>
      </c>
      <c r="C2650" s="22"/>
      <c r="D2650" s="23" t="str" cm="1">
        <f t="array" aca="1" ref="D2650" ca="1">_xlfn.SWITCH(MID(Master[[#This Row],[Checklist]],1,4),"C - ","Civil","F - ","Foundation","ST -","Structure","FC -","Façade","PRE ","Pre-Line","POST","Post-Line","H - ","Handover","S - ","Services","CST ","Completion Docs", "I - ", "Inspection")</f>
        <v>Structure</v>
      </c>
      <c r="E2650"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50" s="24" t="str">
        <f ca="1">IF(OR(Master[[#This Row],[Type]]="checklist", Master[[#This Row],[Type]]="checklist-flat"), Master[[#This Row],[Name]], F2649)</f>
        <v>ST - I - ITP Concrete Pour</v>
      </c>
      <c r="G2650" s="3" t="s">
        <v>49</v>
      </c>
      <c r="H2650" s="24" t="s">
        <v>1950</v>
      </c>
      <c r="I2650" s="40"/>
      <c r="J2650" s="21">
        <f ca="1">_xlfn.XLOOKUP(Master[[#This Row],[Checklist]],Ref!A:A,Ref!B:B)*1000</f>
        <v>230000</v>
      </c>
      <c r="K2650" s="21">
        <f ca="1">COUNTIF($J$2:Master[[#This Row],[ChecklistID]],Master[[#This Row],[ChecklistID]])-1</f>
        <v>38</v>
      </c>
      <c r="L2650" s="23" t="s">
        <v>1848</v>
      </c>
    </row>
    <row r="2651" spans="1:12" ht="15.75">
      <c r="A2651" s="23">
        <f t="shared" si="43"/>
        <v>2638</v>
      </c>
      <c r="B2651" s="21">
        <f ca="1">Master[[#This Row],[ChecklistID]]+Master[[#This Row],[Checklist Order]]</f>
        <v>230039</v>
      </c>
      <c r="C2651" s="22"/>
      <c r="D2651" s="23" t="str" cm="1">
        <f t="array" aca="1" ref="D2651" ca="1">_xlfn.SWITCH(MID(Master[[#This Row],[Checklist]],1,4),"C - ","Civil","F - ","Foundation","ST -","Structure","FC -","Façade","PRE ","Pre-Line","POST","Post-Line","H - ","Handover","S - ","Services","CST ","Completion Docs", "I - ", "Inspection")</f>
        <v>Structure</v>
      </c>
      <c r="E2651"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51" s="24" t="str">
        <f ca="1">IF(OR(Master[[#This Row],[Type]]="checklist", Master[[#This Row],[Type]]="checklist-flat"), Master[[#This Row],[Name]], F2650)</f>
        <v>ST - I - ITP Concrete Pour</v>
      </c>
      <c r="G2651" s="3" t="s">
        <v>49</v>
      </c>
      <c r="H2651" s="24" t="s">
        <v>1951</v>
      </c>
      <c r="I2651" s="40"/>
      <c r="J2651" s="21">
        <f ca="1">_xlfn.XLOOKUP(Master[[#This Row],[Checklist]],Ref!A:A,Ref!B:B)*1000</f>
        <v>230000</v>
      </c>
      <c r="K2651" s="21">
        <f ca="1">COUNTIF($J$2:Master[[#This Row],[ChecklistID]],Master[[#This Row],[ChecklistID]])-1</f>
        <v>39</v>
      </c>
      <c r="L2651" s="23" t="s">
        <v>1848</v>
      </c>
    </row>
    <row r="2652" spans="1:12" ht="15.75">
      <c r="A2652" s="23">
        <f t="shared" si="43"/>
        <v>2639</v>
      </c>
      <c r="B2652" s="21">
        <f ca="1">Master[[#This Row],[ChecklistID]]+Master[[#This Row],[Checklist Order]]</f>
        <v>230040</v>
      </c>
      <c r="C2652" s="22"/>
      <c r="D2652" s="23" t="str" cm="1">
        <f t="array" aca="1" ref="D2652" ca="1">_xlfn.SWITCH(MID(Master[[#This Row],[Checklist]],1,4),"C - ","Civil","F - ","Foundation","ST -","Structure","FC -","Façade","PRE ","Pre-Line","POST","Post-Line","H - ","Handover","S - ","Services","CST ","Completion Docs", "I - ", "Inspection")</f>
        <v>Structure</v>
      </c>
      <c r="E2652"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52" s="24" t="str">
        <f ca="1">IF(OR(Master[[#This Row],[Type]]="checklist", Master[[#This Row],[Type]]="checklist-flat"), Master[[#This Row],[Name]], F2651)</f>
        <v>ST - I - ITP Concrete Pour</v>
      </c>
      <c r="G2652" s="3" t="s">
        <v>120</v>
      </c>
      <c r="H2652" s="24" t="s">
        <v>1952</v>
      </c>
      <c r="I2652" s="40"/>
      <c r="J2652" s="21">
        <f ca="1">_xlfn.XLOOKUP(Master[[#This Row],[Checklist]],Ref!A:A,Ref!B:B)*1000</f>
        <v>230000</v>
      </c>
      <c r="K2652" s="21">
        <f ca="1">COUNTIF($J$2:Master[[#This Row],[ChecklistID]],Master[[#This Row],[ChecklistID]])-1</f>
        <v>40</v>
      </c>
      <c r="L2652" s="23" t="s">
        <v>1848</v>
      </c>
    </row>
    <row r="2653" spans="1:12" ht="15.75">
      <c r="A2653" s="23">
        <f t="shared" si="43"/>
        <v>2640</v>
      </c>
      <c r="B2653" s="21">
        <f ca="1">Master[[#This Row],[ChecklistID]]+Master[[#This Row],[Checklist Order]]</f>
        <v>230041</v>
      </c>
      <c r="C2653" s="22"/>
      <c r="D2653" s="23" t="str" cm="1">
        <f t="array" aca="1" ref="D2653" ca="1">_xlfn.SWITCH(MID(Master[[#This Row],[Checklist]],1,4),"C - ","Civil","F - ","Foundation","ST -","Structure","FC -","Façade","PRE ","Pre-Line","POST","Post-Line","H - ","Handover","S - ","Services","CST ","Completion Docs", "I - ", "Inspection")</f>
        <v>Structure</v>
      </c>
      <c r="E2653" s="23" t="str">
        <f ca="1">IF(NOT(ISERROR(SEARCH("- S -", Master[[#This Row],[Checklist]]))), "Subcontractor",IF(NOT(ISERROR(SEARCH("- R -", Master[[#This Row],[Checklist]]))), "Ryman",IF(NOT(ISERROR(SEARCH("- C -", Master[[#This Row],[Checklist]]))), "Consultant",IF(NOT(ISERROR(SEARCH("- I -", Master[[#This Row],[Checklist]]))),  "Inspection Test Plan", "Naming Error"))))</f>
        <v>Inspection Test Plan</v>
      </c>
      <c r="F2653" s="24" t="str">
        <f ca="1">IF(OR(Master[[#This Row],[Type]]="checklist", Master[[#This Row],[Type]]="checklist-flat"), Master[[#This Row],[Name]], F2652)</f>
        <v>ST - I - ITP Concrete Pour</v>
      </c>
      <c r="G2653" s="3" t="s">
        <v>49</v>
      </c>
      <c r="H2653" s="24" t="s">
        <v>1953</v>
      </c>
      <c r="I2653" s="40"/>
      <c r="J2653" s="21">
        <f ca="1">_xlfn.XLOOKUP(Master[[#This Row],[Checklist]],Ref!A:A,Ref!B:B)*1000</f>
        <v>230000</v>
      </c>
      <c r="K2653" s="21">
        <f ca="1">COUNTIF($J$2:Master[[#This Row],[ChecklistID]],Master[[#This Row],[ChecklistID]])-1</f>
        <v>41</v>
      </c>
      <c r="L2653" s="23" t="s">
        <v>1848</v>
      </c>
    </row>
    <row r="2654" spans="1:12" ht="15.75">
      <c r="A2654" s="23">
        <f t="shared" ref="A2654:A2686" si="44">IFERROR(A2653+1,1)</f>
        <v>2641</v>
      </c>
      <c r="B2654" s="21">
        <f ca="1">Master[[#This Row],[ChecklistID]]+Master[[#This Row],[Checklist Order]]</f>
        <v>231000</v>
      </c>
      <c r="C2654" s="22"/>
      <c r="D2654" s="23" t="str" cm="1">
        <f t="array" aca="1" ref="D2654" ca="1">_xlfn.SWITCH(MID(Master[[#This Row],[Checklist]],1,4),"C - ","Civil","F - ","Foundation","ST -","Structure","FC -","Façade","PRE ","Pre-Line","POST","Post-Line","H - ","Handover","S - ","Services","CST ","Completion Docs", "I - ", "Inspection")</f>
        <v>Civil</v>
      </c>
      <c r="E265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54" s="24" t="str">
        <f ca="1">IF(OR(Master[[#This Row],[Type]]="checklist", Master[[#This Row],[Type]]="checklist-flat"), Master[[#This Row],[Name]], F2653)</f>
        <v>C - S - Bulk Excavation</v>
      </c>
      <c r="G2654" s="30" t="s">
        <v>48</v>
      </c>
      <c r="H2654" s="38" t="s">
        <v>47</v>
      </c>
      <c r="I2654" s="39"/>
      <c r="J2654" s="21">
        <f ca="1">_xlfn.XLOOKUP(Master[[#This Row],[Checklist]],Ref!A:A,Ref!B:B)*1000</f>
        <v>231000</v>
      </c>
      <c r="K2654" s="21">
        <f ca="1">COUNTIF($J$2:Master[[#This Row],[ChecklistID]],Master[[#This Row],[ChecklistID]])-1</f>
        <v>0</v>
      </c>
      <c r="L2654" s="23" t="s">
        <v>6</v>
      </c>
    </row>
    <row r="2655" spans="1:12" ht="15.75">
      <c r="A2655" s="23">
        <f t="shared" si="44"/>
        <v>2642</v>
      </c>
      <c r="B2655" s="21">
        <f ca="1">Master[[#This Row],[ChecklistID]]+Master[[#This Row],[Checklist Order]]</f>
        <v>231001</v>
      </c>
      <c r="C2655" s="22"/>
      <c r="D2655" s="23" t="str" cm="1">
        <f t="array" aca="1" ref="D2655" ca="1">_xlfn.SWITCH(MID(Master[[#This Row],[Checklist]],1,4),"C - ","Civil","F - ","Foundation","ST -","Structure","FC -","Façade","PRE ","Pre-Line","POST","Post-Line","H - ","Handover","S - ","Services","CST ","Completion Docs", "I - ", "Inspection")</f>
        <v>Civil</v>
      </c>
      <c r="E265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55" s="24" t="str">
        <f ca="1">IF(OR(Master[[#This Row],[Type]]="checklist", Master[[#This Row],[Type]]="checklist-flat"), Master[[#This Row],[Name]], F2654)</f>
        <v>C - S - Bulk Excavation</v>
      </c>
      <c r="G2655" s="3" t="s">
        <v>49</v>
      </c>
      <c r="H2655" s="24" t="s">
        <v>50</v>
      </c>
      <c r="I2655" s="40"/>
      <c r="J2655" s="21">
        <f ca="1">_xlfn.XLOOKUP(Master[[#This Row],[Checklist]],Ref!A:A,Ref!B:B)*1000</f>
        <v>231000</v>
      </c>
      <c r="K2655" s="21">
        <f ca="1">COUNTIF($J$2:Master[[#This Row],[ChecklistID]],Master[[#This Row],[ChecklistID]])-1</f>
        <v>1</v>
      </c>
      <c r="L2655" s="23" t="s">
        <v>6</v>
      </c>
    </row>
    <row r="2656" spans="1:12" ht="15.75">
      <c r="A2656" s="23">
        <f t="shared" si="44"/>
        <v>2643</v>
      </c>
      <c r="B2656" s="21">
        <f ca="1">Master[[#This Row],[ChecklistID]]+Master[[#This Row],[Checklist Order]]</f>
        <v>231002</v>
      </c>
      <c r="C2656" s="22"/>
      <c r="D2656" s="23" t="str" cm="1">
        <f t="array" aca="1" ref="D2656" ca="1">_xlfn.SWITCH(MID(Master[[#This Row],[Checklist]],1,4),"C - ","Civil","F - ","Foundation","ST -","Structure","FC -","Façade","PRE ","Pre-Line","POST","Post-Line","H - ","Handover","S - ","Services","CST ","Completion Docs", "I - ", "Inspection")</f>
        <v>Civil</v>
      </c>
      <c r="E265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56" s="24" t="str">
        <f ca="1">IF(OR(Master[[#This Row],[Type]]="checklist", Master[[#This Row],[Type]]="checklist-flat"), Master[[#This Row],[Name]], F2655)</f>
        <v>C - S - Bulk Excavation</v>
      </c>
      <c r="G2656" s="3" t="s">
        <v>49</v>
      </c>
      <c r="H2656" s="24" t="s">
        <v>51</v>
      </c>
      <c r="I2656" s="40"/>
      <c r="J2656" s="21">
        <f ca="1">_xlfn.XLOOKUP(Master[[#This Row],[Checklist]],Ref!A:A,Ref!B:B)*1000</f>
        <v>231000</v>
      </c>
      <c r="K2656" s="21">
        <f ca="1">COUNTIF($J$2:Master[[#This Row],[ChecklistID]],Master[[#This Row],[ChecklistID]])-1</f>
        <v>2</v>
      </c>
      <c r="L2656" s="23" t="s">
        <v>6</v>
      </c>
    </row>
    <row r="2657" spans="1:12" ht="15.75">
      <c r="A2657" s="23">
        <f t="shared" si="44"/>
        <v>2644</v>
      </c>
      <c r="B2657" s="21">
        <f ca="1">Master[[#This Row],[ChecklistID]]+Master[[#This Row],[Checklist Order]]</f>
        <v>231003</v>
      </c>
      <c r="C2657" s="22"/>
      <c r="D2657" s="23" t="str" cm="1">
        <f t="array" aca="1" ref="D2657" ca="1">_xlfn.SWITCH(MID(Master[[#This Row],[Checklist]],1,4),"C - ","Civil","F - ","Foundation","ST -","Structure","FC -","Façade","PRE ","Pre-Line","POST","Post-Line","H - ","Handover","S - ","Services","CST ","Completion Docs", "I - ", "Inspection")</f>
        <v>Civil</v>
      </c>
      <c r="E265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57" s="24" t="str">
        <f ca="1">IF(OR(Master[[#This Row],[Type]]="checklist", Master[[#This Row],[Type]]="checklist-flat"), Master[[#This Row],[Name]], F2656)</f>
        <v>C - S - Bulk Excavation</v>
      </c>
      <c r="G2657" s="3" t="s">
        <v>49</v>
      </c>
      <c r="H2657" s="24" t="s">
        <v>52</v>
      </c>
      <c r="I2657" s="40"/>
      <c r="J2657" s="21">
        <f ca="1">_xlfn.XLOOKUP(Master[[#This Row],[Checklist]],Ref!A:A,Ref!B:B)*1000</f>
        <v>231000</v>
      </c>
      <c r="K2657" s="21">
        <f ca="1">COUNTIF($J$2:Master[[#This Row],[ChecklistID]],Master[[#This Row],[ChecklistID]])-1</f>
        <v>3</v>
      </c>
      <c r="L2657" s="23" t="s">
        <v>6</v>
      </c>
    </row>
    <row r="2658" spans="1:12" ht="15.75">
      <c r="A2658" s="23">
        <f t="shared" si="44"/>
        <v>2645</v>
      </c>
      <c r="B2658" s="21">
        <f ca="1">Master[[#This Row],[ChecklistID]]+Master[[#This Row],[Checklist Order]]</f>
        <v>231004</v>
      </c>
      <c r="C2658" s="22"/>
      <c r="D2658" s="23" t="str" cm="1">
        <f t="array" aca="1" ref="D2658" ca="1">_xlfn.SWITCH(MID(Master[[#This Row],[Checklist]],1,4),"C - ","Civil","F - ","Foundation","ST -","Structure","FC -","Façade","PRE ","Pre-Line","POST","Post-Line","H - ","Handover","S - ","Services","CST ","Completion Docs", "I - ", "Inspection")</f>
        <v>Civil</v>
      </c>
      <c r="E265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58" s="24" t="str">
        <f ca="1">IF(OR(Master[[#This Row],[Type]]="checklist", Master[[#This Row],[Type]]="checklist-flat"), Master[[#This Row],[Name]], F2657)</f>
        <v>C - S - Bulk Excavation</v>
      </c>
      <c r="G2658" s="3" t="s">
        <v>49</v>
      </c>
      <c r="H2658" s="24" t="s">
        <v>53</v>
      </c>
      <c r="I2658" s="40"/>
      <c r="J2658" s="21">
        <f ca="1">_xlfn.XLOOKUP(Master[[#This Row],[Checklist]],Ref!A:A,Ref!B:B)*1000</f>
        <v>231000</v>
      </c>
      <c r="K2658" s="21">
        <f ca="1">COUNTIF($J$2:Master[[#This Row],[ChecklistID]],Master[[#This Row],[ChecklistID]])-1</f>
        <v>4</v>
      </c>
      <c r="L2658" s="23" t="s">
        <v>6</v>
      </c>
    </row>
    <row r="2659" spans="1:12" ht="15.75">
      <c r="A2659" s="23">
        <f t="shared" si="44"/>
        <v>2646</v>
      </c>
      <c r="B2659" s="21">
        <f ca="1">Master[[#This Row],[ChecklistID]]+Master[[#This Row],[Checklist Order]]</f>
        <v>231005</v>
      </c>
      <c r="C2659" s="22"/>
      <c r="D2659" s="23" t="str" cm="1">
        <f t="array" aca="1" ref="D2659" ca="1">_xlfn.SWITCH(MID(Master[[#This Row],[Checklist]],1,4),"C - ","Civil","F - ","Foundation","ST -","Structure","FC -","Façade","PRE ","Pre-Line","POST","Post-Line","H - ","Handover","S - ","Services","CST ","Completion Docs", "I - ", "Inspection")</f>
        <v>Civil</v>
      </c>
      <c r="E265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59" s="24" t="str">
        <f ca="1">IF(OR(Master[[#This Row],[Type]]="checklist", Master[[#This Row],[Type]]="checklist-flat"), Master[[#This Row],[Name]], F2658)</f>
        <v>C - S - Bulk Excavation</v>
      </c>
      <c r="G2659" s="3" t="s">
        <v>49</v>
      </c>
      <c r="H2659" s="24" t="s">
        <v>54</v>
      </c>
      <c r="I2659" s="40"/>
      <c r="J2659" s="21">
        <f ca="1">_xlfn.XLOOKUP(Master[[#This Row],[Checklist]],Ref!A:A,Ref!B:B)*1000</f>
        <v>231000</v>
      </c>
      <c r="K2659" s="21">
        <f ca="1">COUNTIF($J$2:Master[[#This Row],[ChecklistID]],Master[[#This Row],[ChecklistID]])-1</f>
        <v>5</v>
      </c>
      <c r="L2659" s="23" t="s">
        <v>6</v>
      </c>
    </row>
    <row r="2660" spans="1:12" ht="15.75">
      <c r="A2660" s="23">
        <f t="shared" si="44"/>
        <v>2647</v>
      </c>
      <c r="B2660" s="21">
        <f ca="1">Master[[#This Row],[ChecklistID]]+Master[[#This Row],[Checklist Order]]</f>
        <v>231006</v>
      </c>
      <c r="C2660" s="22"/>
      <c r="D2660" s="23" t="str" cm="1">
        <f t="array" aca="1" ref="D2660" ca="1">_xlfn.SWITCH(MID(Master[[#This Row],[Checklist]],1,4),"C - ","Civil","F - ","Foundation","ST -","Structure","FC -","Façade","PRE ","Pre-Line","POST","Post-Line","H - ","Handover","S - ","Services","CST ","Completion Docs", "I - ", "Inspection")</f>
        <v>Civil</v>
      </c>
      <c r="E266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0" s="24" t="str">
        <f ca="1">IF(OR(Master[[#This Row],[Type]]="checklist", Master[[#This Row],[Type]]="checklist-flat"), Master[[#This Row],[Name]], F2659)</f>
        <v>C - S - Bulk Excavation</v>
      </c>
      <c r="G2660" s="3" t="s">
        <v>49</v>
      </c>
      <c r="H2660" s="24" t="s">
        <v>55</v>
      </c>
      <c r="I2660" s="40"/>
      <c r="J2660" s="21">
        <f ca="1">_xlfn.XLOOKUP(Master[[#This Row],[Checklist]],Ref!A:A,Ref!B:B)*1000</f>
        <v>231000</v>
      </c>
      <c r="K2660" s="21">
        <f ca="1">COUNTIF($J$2:Master[[#This Row],[ChecklistID]],Master[[#This Row],[ChecklistID]])-1</f>
        <v>6</v>
      </c>
      <c r="L2660" s="23" t="s">
        <v>6</v>
      </c>
    </row>
    <row r="2661" spans="1:12" ht="15.75">
      <c r="A2661" s="23">
        <f t="shared" si="44"/>
        <v>2648</v>
      </c>
      <c r="B2661" s="21">
        <f ca="1">Master[[#This Row],[ChecklistID]]+Master[[#This Row],[Checklist Order]]</f>
        <v>231007</v>
      </c>
      <c r="C2661" s="22"/>
      <c r="D2661" s="23" t="str" cm="1">
        <f t="array" aca="1" ref="D2661" ca="1">_xlfn.SWITCH(MID(Master[[#This Row],[Checklist]],1,4),"C - ","Civil","F - ","Foundation","ST -","Structure","FC -","Façade","PRE ","Pre-Line","POST","Post-Line","H - ","Handover","S - ","Services","CST ","Completion Docs", "I - ", "Inspection")</f>
        <v>Civil</v>
      </c>
      <c r="E266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1" s="24" t="str">
        <f ca="1">IF(OR(Master[[#This Row],[Type]]="checklist", Master[[#This Row],[Type]]="checklist-flat"), Master[[#This Row],[Name]], F2660)</f>
        <v>C - S - Bulk Excavation</v>
      </c>
      <c r="G2661" s="3" t="s">
        <v>49</v>
      </c>
      <c r="H2661" s="24" t="s">
        <v>1954</v>
      </c>
      <c r="I2661" s="40"/>
      <c r="J2661" s="21">
        <f ca="1">_xlfn.XLOOKUP(Master[[#This Row],[Checklist]],Ref!A:A,Ref!B:B)*1000</f>
        <v>231000</v>
      </c>
      <c r="K2661" s="21">
        <f ca="1">COUNTIF($J$2:Master[[#This Row],[ChecklistID]],Master[[#This Row],[ChecklistID]])-1</f>
        <v>7</v>
      </c>
      <c r="L2661" s="23" t="s">
        <v>6</v>
      </c>
    </row>
    <row r="2662" spans="1:12" ht="15.75">
      <c r="A2662" s="23">
        <f t="shared" si="44"/>
        <v>2649</v>
      </c>
      <c r="B2662" s="21">
        <f ca="1">Master[[#This Row],[ChecklistID]]+Master[[#This Row],[Checklist Order]]</f>
        <v>231008</v>
      </c>
      <c r="C2662" s="22"/>
      <c r="D2662" s="23" t="str" cm="1">
        <f t="array" aca="1" ref="D2662" ca="1">_xlfn.SWITCH(MID(Master[[#This Row],[Checklist]],1,4),"C - ","Civil","F - ","Foundation","ST -","Structure","FC -","Façade","PRE ","Pre-Line","POST","Post-Line","H - ","Handover","S - ","Services","CST ","Completion Docs", "I - ", "Inspection")</f>
        <v>Civil</v>
      </c>
      <c r="E266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2" s="24" t="str">
        <f ca="1">IF(OR(Master[[#This Row],[Type]]="checklist", Master[[#This Row],[Type]]="checklist-flat"), Master[[#This Row],[Name]], F2661)</f>
        <v>C - S - Bulk Excavation</v>
      </c>
      <c r="G2662" s="3" t="s">
        <v>49</v>
      </c>
      <c r="H2662" s="24" t="s">
        <v>1955</v>
      </c>
      <c r="I2662" s="40"/>
      <c r="J2662" s="21">
        <f ca="1">_xlfn.XLOOKUP(Master[[#This Row],[Checklist]],Ref!A:A,Ref!B:B)*1000</f>
        <v>231000</v>
      </c>
      <c r="K2662" s="21">
        <f ca="1">COUNTIF($J$2:Master[[#This Row],[ChecklistID]],Master[[#This Row],[ChecklistID]])-1</f>
        <v>8</v>
      </c>
      <c r="L2662" s="23" t="s">
        <v>6</v>
      </c>
    </row>
    <row r="2663" spans="1:12" ht="15.75">
      <c r="A2663" s="23">
        <f t="shared" si="44"/>
        <v>2650</v>
      </c>
      <c r="B2663" s="21">
        <f ca="1">Master[[#This Row],[ChecklistID]]+Master[[#This Row],[Checklist Order]]</f>
        <v>231009</v>
      </c>
      <c r="C2663" s="22"/>
      <c r="D2663" s="23" t="str" cm="1">
        <f t="array" aca="1" ref="D2663" ca="1">_xlfn.SWITCH(MID(Master[[#This Row],[Checklist]],1,4),"C - ","Civil","F - ","Foundation","ST -","Structure","FC -","Façade","PRE ","Pre-Line","POST","Post-Line","H - ","Handover","S - ","Services","CST ","Completion Docs", "I - ", "Inspection")</f>
        <v>Civil</v>
      </c>
      <c r="E266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3" s="24" t="str">
        <f ca="1">IF(OR(Master[[#This Row],[Type]]="checklist", Master[[#This Row],[Type]]="checklist-flat"), Master[[#This Row],[Name]], F2662)</f>
        <v>C - S - Bulk Excavation</v>
      </c>
      <c r="G2663" s="3" t="s">
        <v>49</v>
      </c>
      <c r="H2663" s="24" t="s">
        <v>56</v>
      </c>
      <c r="I2663" s="40"/>
      <c r="J2663" s="21">
        <f ca="1">_xlfn.XLOOKUP(Master[[#This Row],[Checklist]],Ref!A:A,Ref!B:B)*1000</f>
        <v>231000</v>
      </c>
      <c r="K2663" s="21">
        <f ca="1">COUNTIF($J$2:Master[[#This Row],[ChecklistID]],Master[[#This Row],[ChecklistID]])-1</f>
        <v>9</v>
      </c>
      <c r="L2663" s="23" t="s">
        <v>6</v>
      </c>
    </row>
    <row r="2664" spans="1:12" ht="15.75">
      <c r="A2664" s="23">
        <f t="shared" si="44"/>
        <v>2651</v>
      </c>
      <c r="B2664" s="21">
        <f ca="1">Master[[#This Row],[ChecklistID]]+Master[[#This Row],[Checklist Order]]</f>
        <v>231010</v>
      </c>
      <c r="C2664" s="22"/>
      <c r="D2664" s="23" t="str" cm="1">
        <f t="array" aca="1" ref="D2664" ca="1">_xlfn.SWITCH(MID(Master[[#This Row],[Checklist]],1,4),"C - ","Civil","F - ","Foundation","ST -","Structure","FC -","Façade","PRE ","Pre-Line","POST","Post-Line","H - ","Handover","S - ","Services","CST ","Completion Docs", "I - ", "Inspection")</f>
        <v>Civil</v>
      </c>
      <c r="E266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4" s="24" t="str">
        <f ca="1">IF(OR(Master[[#This Row],[Type]]="checklist", Master[[#This Row],[Type]]="checklist-flat"), Master[[#This Row],[Name]], F2663)</f>
        <v>C - S - Bulk Excavation</v>
      </c>
      <c r="G2664" s="3" t="s">
        <v>49</v>
      </c>
      <c r="H2664" s="24" t="s">
        <v>57</v>
      </c>
      <c r="I2664" s="40"/>
      <c r="J2664" s="21">
        <f ca="1">_xlfn.XLOOKUP(Master[[#This Row],[Checklist]],Ref!A:A,Ref!B:B)*1000</f>
        <v>231000</v>
      </c>
      <c r="K2664" s="21">
        <f ca="1">COUNTIF($J$2:Master[[#This Row],[ChecklistID]],Master[[#This Row],[ChecklistID]])-1</f>
        <v>10</v>
      </c>
      <c r="L2664" s="23" t="s">
        <v>6</v>
      </c>
    </row>
    <row r="2665" spans="1:12" ht="15.75">
      <c r="A2665" s="23">
        <f t="shared" si="44"/>
        <v>2652</v>
      </c>
      <c r="B2665" s="21">
        <f ca="1">Master[[#This Row],[ChecklistID]]+Master[[#This Row],[Checklist Order]]</f>
        <v>231011</v>
      </c>
      <c r="C2665" s="22"/>
      <c r="D2665" s="23" t="str" cm="1">
        <f t="array" aca="1" ref="D2665" ca="1">_xlfn.SWITCH(MID(Master[[#This Row],[Checklist]],1,4),"C - ","Civil","F - ","Foundation","ST -","Structure","FC -","Façade","PRE ","Pre-Line","POST","Post-Line","H - ","Handover","S - ","Services","CST ","Completion Docs", "I - ", "Inspection")</f>
        <v>Civil</v>
      </c>
      <c r="E266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5" s="24" t="str">
        <f ca="1">IF(OR(Master[[#This Row],[Type]]="checklist", Master[[#This Row],[Type]]="checklist-flat"), Master[[#This Row],[Name]], F2664)</f>
        <v>C - S - Bulk Excavation</v>
      </c>
      <c r="G2665" s="3" t="s">
        <v>58</v>
      </c>
      <c r="H2665" s="24" t="s">
        <v>59</v>
      </c>
      <c r="I2665" s="40"/>
      <c r="J2665" s="21">
        <f ca="1">_xlfn.XLOOKUP(Master[[#This Row],[Checklist]],Ref!A:A,Ref!B:B)*1000</f>
        <v>231000</v>
      </c>
      <c r="K2665" s="21">
        <f ca="1">COUNTIF($J$2:Master[[#This Row],[ChecklistID]],Master[[#This Row],[ChecklistID]])-1</f>
        <v>11</v>
      </c>
      <c r="L2665" s="23" t="s">
        <v>6</v>
      </c>
    </row>
    <row r="2666" spans="1:12" ht="15.75">
      <c r="A2666" s="23">
        <f t="shared" si="44"/>
        <v>2653</v>
      </c>
      <c r="B2666" s="21">
        <f ca="1">Master[[#This Row],[ChecklistID]]+Master[[#This Row],[Checklist Order]]</f>
        <v>232000</v>
      </c>
      <c r="C2666" s="22"/>
      <c r="D2666" s="23" t="str" cm="1">
        <f t="array" aca="1" ref="D2666" ca="1">_xlfn.SWITCH(MID(Master[[#This Row],[Checklist]],1,4),"C - ","Civil","F - ","Foundation","ST -","Structure","FC -","Façade","PRE ","Pre-Line","POST","Post-Line","H - ","Handover","S - ","Services","CST ","Completion Docs", "I - ", "Inspection")</f>
        <v>Civil</v>
      </c>
      <c r="E266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6" s="24" t="str">
        <f ca="1">IF(OR(Master[[#This Row],[Type]]="checklist", Master[[#This Row],[Type]]="checklist-flat"), Master[[#This Row],[Name]], F2665)</f>
        <v>C - S - Detailed Excavation</v>
      </c>
      <c r="G2666" s="3" t="s">
        <v>48</v>
      </c>
      <c r="H2666" s="24" t="s">
        <v>60</v>
      </c>
      <c r="I2666" s="40"/>
      <c r="J2666" s="21">
        <f ca="1">_xlfn.XLOOKUP(Master[[#This Row],[Checklist]],Ref!A:A,Ref!B:B)*1000</f>
        <v>232000</v>
      </c>
      <c r="K2666" s="21">
        <f ca="1">COUNTIF($J$2:Master[[#This Row],[ChecklistID]],Master[[#This Row],[ChecklistID]])-1</f>
        <v>0</v>
      </c>
      <c r="L2666" s="23" t="s">
        <v>6</v>
      </c>
    </row>
    <row r="2667" spans="1:12" ht="15.75">
      <c r="A2667" s="23">
        <f t="shared" si="44"/>
        <v>2654</v>
      </c>
      <c r="B2667" s="21">
        <f ca="1">Master[[#This Row],[ChecklistID]]+Master[[#This Row],[Checklist Order]]</f>
        <v>232001</v>
      </c>
      <c r="C2667" s="22"/>
      <c r="D2667" s="23" t="str" cm="1">
        <f t="array" aca="1" ref="D2667" ca="1">_xlfn.SWITCH(MID(Master[[#This Row],[Checklist]],1,4),"C - ","Civil","F - ","Foundation","ST -","Structure","FC -","Façade","PRE ","Pre-Line","POST","Post-Line","H - ","Handover","S - ","Services","CST ","Completion Docs", "I - ", "Inspection")</f>
        <v>Civil</v>
      </c>
      <c r="E266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7" s="24" t="str">
        <f ca="1">IF(OR(Master[[#This Row],[Type]]="checklist", Master[[#This Row],[Type]]="checklist-flat"), Master[[#This Row],[Name]], F2666)</f>
        <v>C - S - Detailed Excavation</v>
      </c>
      <c r="G2667" s="3" t="s">
        <v>49</v>
      </c>
      <c r="H2667" s="24" t="s">
        <v>61</v>
      </c>
      <c r="I2667" s="40"/>
      <c r="J2667" s="21">
        <f ca="1">_xlfn.XLOOKUP(Master[[#This Row],[Checklist]],Ref!A:A,Ref!B:B)*1000</f>
        <v>232000</v>
      </c>
      <c r="K2667" s="21">
        <f ca="1">COUNTIF($J$2:Master[[#This Row],[ChecklistID]],Master[[#This Row],[ChecklistID]])-1</f>
        <v>1</v>
      </c>
      <c r="L2667" s="23" t="s">
        <v>6</v>
      </c>
    </row>
    <row r="2668" spans="1:12" ht="15.75">
      <c r="A2668" s="23">
        <f t="shared" si="44"/>
        <v>2655</v>
      </c>
      <c r="B2668" s="21">
        <f ca="1">Master[[#This Row],[ChecklistID]]+Master[[#This Row],[Checklist Order]]</f>
        <v>232002</v>
      </c>
      <c r="C2668" s="22"/>
      <c r="D2668" s="23" t="str" cm="1">
        <f t="array" aca="1" ref="D2668" ca="1">_xlfn.SWITCH(MID(Master[[#This Row],[Checklist]],1,4),"C - ","Civil","F - ","Foundation","ST -","Structure","FC -","Façade","PRE ","Pre-Line","POST","Post-Line","H - ","Handover","S - ","Services","CST ","Completion Docs", "I - ", "Inspection")</f>
        <v>Civil</v>
      </c>
      <c r="E266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8" s="24" t="str">
        <f ca="1">IF(OR(Master[[#This Row],[Type]]="checklist", Master[[#This Row],[Type]]="checklist-flat"), Master[[#This Row],[Name]], F2667)</f>
        <v>C - S - Detailed Excavation</v>
      </c>
      <c r="G2668" s="3" t="s">
        <v>49</v>
      </c>
      <c r="H2668" s="24" t="s">
        <v>62</v>
      </c>
      <c r="I2668" s="40"/>
      <c r="J2668" s="21">
        <f ca="1">_xlfn.XLOOKUP(Master[[#This Row],[Checklist]],Ref!A:A,Ref!B:B)*1000</f>
        <v>232000</v>
      </c>
      <c r="K2668" s="21">
        <f ca="1">COUNTIF($J$2:Master[[#This Row],[ChecklistID]],Master[[#This Row],[ChecklistID]])-1</f>
        <v>2</v>
      </c>
      <c r="L2668" s="23" t="s">
        <v>6</v>
      </c>
    </row>
    <row r="2669" spans="1:12" ht="15.75">
      <c r="A2669" s="23">
        <f t="shared" si="44"/>
        <v>2656</v>
      </c>
      <c r="B2669" s="21">
        <f ca="1">Master[[#This Row],[ChecklistID]]+Master[[#This Row],[Checklist Order]]</f>
        <v>232003</v>
      </c>
      <c r="C2669" s="22"/>
      <c r="D2669" s="23" t="str" cm="1">
        <f t="array" aca="1" ref="D2669" ca="1">_xlfn.SWITCH(MID(Master[[#This Row],[Checklist]],1,4),"C - ","Civil","F - ","Foundation","ST -","Structure","FC -","Façade","PRE ","Pre-Line","POST","Post-Line","H - ","Handover","S - ","Services","CST ","Completion Docs", "I - ", "Inspection")</f>
        <v>Civil</v>
      </c>
      <c r="E266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69" s="24" t="str">
        <f ca="1">IF(OR(Master[[#This Row],[Type]]="checklist", Master[[#This Row],[Type]]="checklist-flat"), Master[[#This Row],[Name]], F2668)</f>
        <v>C - S - Detailed Excavation</v>
      </c>
      <c r="G2669" s="3" t="s">
        <v>49</v>
      </c>
      <c r="H2669" s="24" t="s">
        <v>63</v>
      </c>
      <c r="I2669" s="40"/>
      <c r="J2669" s="21">
        <f ca="1">_xlfn.XLOOKUP(Master[[#This Row],[Checklist]],Ref!A:A,Ref!B:B)*1000</f>
        <v>232000</v>
      </c>
      <c r="K2669" s="21">
        <f ca="1">COUNTIF($J$2:Master[[#This Row],[ChecklistID]],Master[[#This Row],[ChecklistID]])-1</f>
        <v>3</v>
      </c>
      <c r="L2669" s="23" t="s">
        <v>6</v>
      </c>
    </row>
    <row r="2670" spans="1:12" ht="15.75">
      <c r="A2670" s="23">
        <f t="shared" si="44"/>
        <v>2657</v>
      </c>
      <c r="B2670" s="21">
        <f ca="1">Master[[#This Row],[ChecklistID]]+Master[[#This Row],[Checklist Order]]</f>
        <v>232004</v>
      </c>
      <c r="C2670" s="22"/>
      <c r="D2670" s="23" t="str" cm="1">
        <f t="array" aca="1" ref="D2670" ca="1">_xlfn.SWITCH(MID(Master[[#This Row],[Checklist]],1,4),"C - ","Civil","F - ","Foundation","ST -","Structure","FC -","Façade","PRE ","Pre-Line","POST","Post-Line","H - ","Handover","S - ","Services","CST ","Completion Docs", "I - ", "Inspection")</f>
        <v>Civil</v>
      </c>
      <c r="E267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0" s="24" t="str">
        <f ca="1">IF(OR(Master[[#This Row],[Type]]="checklist", Master[[#This Row],[Type]]="checklist-flat"), Master[[#This Row],[Name]], F2669)</f>
        <v>C - S - Detailed Excavation</v>
      </c>
      <c r="G2670" s="3" t="s">
        <v>49</v>
      </c>
      <c r="H2670" s="24" t="s">
        <v>64</v>
      </c>
      <c r="I2670" s="40"/>
      <c r="J2670" s="21">
        <f ca="1">_xlfn.XLOOKUP(Master[[#This Row],[Checklist]],Ref!A:A,Ref!B:B)*1000</f>
        <v>232000</v>
      </c>
      <c r="K2670" s="21">
        <f ca="1">COUNTIF($J$2:Master[[#This Row],[ChecklistID]],Master[[#This Row],[ChecklistID]])-1</f>
        <v>4</v>
      </c>
      <c r="L2670" s="23" t="s">
        <v>6</v>
      </c>
    </row>
    <row r="2671" spans="1:12" ht="15.75">
      <c r="A2671" s="23">
        <f t="shared" si="44"/>
        <v>2658</v>
      </c>
      <c r="B2671" s="21">
        <f ca="1">Master[[#This Row],[ChecklistID]]+Master[[#This Row],[Checklist Order]]</f>
        <v>232005</v>
      </c>
      <c r="C2671" s="22"/>
      <c r="D2671" s="23" t="str" cm="1">
        <f t="array" aca="1" ref="D2671" ca="1">_xlfn.SWITCH(MID(Master[[#This Row],[Checklist]],1,4),"C - ","Civil","F - ","Foundation","ST -","Structure","FC -","Façade","PRE ","Pre-Line","POST","Post-Line","H - ","Handover","S - ","Services","CST ","Completion Docs", "I - ", "Inspection")</f>
        <v>Civil</v>
      </c>
      <c r="E267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1" s="24" t="str">
        <f ca="1">IF(OR(Master[[#This Row],[Type]]="checklist", Master[[#This Row],[Type]]="checklist-flat"), Master[[#This Row],[Name]], F2670)</f>
        <v>C - S - Detailed Excavation</v>
      </c>
      <c r="G2671" s="3" t="s">
        <v>49</v>
      </c>
      <c r="H2671" s="24" t="s">
        <v>65</v>
      </c>
      <c r="I2671" s="40"/>
      <c r="J2671" s="21">
        <f ca="1">_xlfn.XLOOKUP(Master[[#This Row],[Checklist]],Ref!A:A,Ref!B:B)*1000</f>
        <v>232000</v>
      </c>
      <c r="K2671" s="21">
        <f ca="1">COUNTIF($J$2:Master[[#This Row],[ChecklistID]],Master[[#This Row],[ChecklistID]])-1</f>
        <v>5</v>
      </c>
      <c r="L2671" s="23" t="s">
        <v>6</v>
      </c>
    </row>
    <row r="2672" spans="1:12" ht="15.75">
      <c r="A2672" s="23">
        <f t="shared" si="44"/>
        <v>2659</v>
      </c>
      <c r="B2672" s="21">
        <f ca="1">Master[[#This Row],[ChecklistID]]+Master[[#This Row],[Checklist Order]]</f>
        <v>232006</v>
      </c>
      <c r="C2672" s="22"/>
      <c r="D2672" s="23" t="str" cm="1">
        <f t="array" aca="1" ref="D2672" ca="1">_xlfn.SWITCH(MID(Master[[#This Row],[Checklist]],1,4),"C - ","Civil","F - ","Foundation","ST -","Structure","FC -","Façade","PRE ","Pre-Line","POST","Post-Line","H - ","Handover","S - ","Services","CST ","Completion Docs", "I - ", "Inspection")</f>
        <v>Civil</v>
      </c>
      <c r="E267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2" s="24" t="str">
        <f ca="1">IF(OR(Master[[#This Row],[Type]]="checklist", Master[[#This Row],[Type]]="checklist-flat"), Master[[#This Row],[Name]], F2671)</f>
        <v>C - S - Detailed Excavation</v>
      </c>
      <c r="G2672" s="3" t="s">
        <v>66</v>
      </c>
      <c r="H2672" s="24" t="s">
        <v>67</v>
      </c>
      <c r="I2672" s="40"/>
      <c r="J2672" s="21">
        <f ca="1">_xlfn.XLOOKUP(Master[[#This Row],[Checklist]],Ref!A:A,Ref!B:B)*1000</f>
        <v>232000</v>
      </c>
      <c r="K2672" s="21">
        <f ca="1">COUNTIF($J$2:Master[[#This Row],[ChecklistID]],Master[[#This Row],[ChecklistID]])-1</f>
        <v>6</v>
      </c>
      <c r="L2672" s="23" t="s">
        <v>6</v>
      </c>
    </row>
    <row r="2673" spans="1:12" ht="15.75">
      <c r="A2673" s="23">
        <f t="shared" si="44"/>
        <v>2660</v>
      </c>
      <c r="B2673" s="21">
        <f ca="1">Master[[#This Row],[ChecklistID]]+Master[[#This Row],[Checklist Order]]</f>
        <v>232007</v>
      </c>
      <c r="C2673" s="22"/>
      <c r="D2673" s="23" t="str" cm="1">
        <f t="array" aca="1" ref="D2673" ca="1">_xlfn.SWITCH(MID(Master[[#This Row],[Checklist]],1,4),"C - ","Civil","F - ","Foundation","ST -","Structure","FC -","Façade","PRE ","Pre-Line","POST","Post-Line","H - ","Handover","S - ","Services","CST ","Completion Docs", "I - ", "Inspection")</f>
        <v>Civil</v>
      </c>
      <c r="E267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3" s="24" t="str">
        <f ca="1">IF(OR(Master[[#This Row],[Type]]="checklist", Master[[#This Row],[Type]]="checklist-flat"), Master[[#This Row],[Name]], F2672)</f>
        <v>C - S - Detailed Excavation</v>
      </c>
      <c r="G2673" s="3" t="s">
        <v>66</v>
      </c>
      <c r="H2673" s="24" t="s">
        <v>68</v>
      </c>
      <c r="I2673" s="40"/>
      <c r="J2673" s="21">
        <f ca="1">_xlfn.XLOOKUP(Master[[#This Row],[Checklist]],Ref!A:A,Ref!B:B)*1000</f>
        <v>232000</v>
      </c>
      <c r="K2673" s="21">
        <f ca="1">COUNTIF($J$2:Master[[#This Row],[ChecklistID]],Master[[#This Row],[ChecklistID]])-1</f>
        <v>7</v>
      </c>
      <c r="L2673" s="23" t="s">
        <v>6</v>
      </c>
    </row>
    <row r="2674" spans="1:12" ht="15.75">
      <c r="A2674" s="23">
        <f t="shared" si="44"/>
        <v>2661</v>
      </c>
      <c r="B2674" s="21">
        <f ca="1">Master[[#This Row],[ChecklistID]]+Master[[#This Row],[Checklist Order]]</f>
        <v>232008</v>
      </c>
      <c r="C2674" s="22"/>
      <c r="D2674" s="23" t="str" cm="1">
        <f t="array" aca="1" ref="D2674" ca="1">_xlfn.SWITCH(MID(Master[[#This Row],[Checklist]],1,4),"C - ","Civil","F - ","Foundation","ST -","Structure","FC -","Façade","PRE ","Pre-Line","POST","Post-Line","H - ","Handover","S - ","Services","CST ","Completion Docs", "I - ", "Inspection")</f>
        <v>Civil</v>
      </c>
      <c r="E267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4" s="24" t="str">
        <f ca="1">IF(OR(Master[[#This Row],[Type]]="checklist", Master[[#This Row],[Type]]="checklist-flat"), Master[[#This Row],[Name]], F2673)</f>
        <v>C - S - Detailed Excavation</v>
      </c>
      <c r="G2674" s="3" t="s">
        <v>66</v>
      </c>
      <c r="H2674" s="24" t="s">
        <v>69</v>
      </c>
      <c r="I2674" s="40"/>
      <c r="J2674" s="21">
        <f ca="1">_xlfn.XLOOKUP(Master[[#This Row],[Checklist]],Ref!A:A,Ref!B:B)*1000</f>
        <v>232000</v>
      </c>
      <c r="K2674" s="21">
        <f ca="1">COUNTIF($J$2:Master[[#This Row],[ChecklistID]],Master[[#This Row],[ChecklistID]])-1</f>
        <v>8</v>
      </c>
      <c r="L2674" s="23" t="s">
        <v>6</v>
      </c>
    </row>
    <row r="2675" spans="1:12" ht="15.75">
      <c r="A2675" s="23">
        <f t="shared" si="44"/>
        <v>2662</v>
      </c>
      <c r="B2675" s="21">
        <f ca="1">Master[[#This Row],[ChecklistID]]+Master[[#This Row],[Checklist Order]]</f>
        <v>232009</v>
      </c>
      <c r="C2675" s="22"/>
      <c r="D2675" s="23" t="str" cm="1">
        <f t="array" aca="1" ref="D2675" ca="1">_xlfn.SWITCH(MID(Master[[#This Row],[Checklist]],1,4),"C - ","Civil","F - ","Foundation","ST -","Structure","FC -","Façade","PRE ","Pre-Line","POST","Post-Line","H - ","Handover","S - ","Services","CST ","Completion Docs", "I - ", "Inspection")</f>
        <v>Civil</v>
      </c>
      <c r="E267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5" s="24" t="str">
        <f ca="1">IF(OR(Master[[#This Row],[Type]]="checklist", Master[[#This Row],[Type]]="checklist-flat"), Master[[#This Row],[Name]], F2674)</f>
        <v>C - S - Detailed Excavation</v>
      </c>
      <c r="G2675" s="3" t="s">
        <v>49</v>
      </c>
      <c r="H2675" s="24" t="s">
        <v>1956</v>
      </c>
      <c r="I2675" s="40"/>
      <c r="J2675" s="21">
        <f ca="1">_xlfn.XLOOKUP(Master[[#This Row],[Checklist]],Ref!A:A,Ref!B:B)*1000</f>
        <v>232000</v>
      </c>
      <c r="K2675" s="21">
        <f ca="1">COUNTIF($J$2:Master[[#This Row],[ChecklistID]],Master[[#This Row],[ChecklistID]])-1</f>
        <v>9</v>
      </c>
      <c r="L2675" s="23" t="s">
        <v>6</v>
      </c>
    </row>
    <row r="2676" spans="1:12" ht="15.75">
      <c r="A2676" s="23">
        <f t="shared" si="44"/>
        <v>2663</v>
      </c>
      <c r="B2676" s="21">
        <f ca="1">Master[[#This Row],[ChecklistID]]+Master[[#This Row],[Checklist Order]]</f>
        <v>232010</v>
      </c>
      <c r="C2676" s="22"/>
      <c r="D2676" s="23" t="str" cm="1">
        <f t="array" aca="1" ref="D2676" ca="1">_xlfn.SWITCH(MID(Master[[#This Row],[Checklist]],1,4),"C - ","Civil","F - ","Foundation","ST -","Structure","FC -","Façade","PRE ","Pre-Line","POST","Post-Line","H - ","Handover","S - ","Services","CST ","Completion Docs", "I - ", "Inspection")</f>
        <v>Civil</v>
      </c>
      <c r="E267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6" s="24" t="str">
        <f ca="1">IF(OR(Master[[#This Row],[Type]]="checklist", Master[[#This Row],[Type]]="checklist-flat"), Master[[#This Row],[Name]], F2675)</f>
        <v>C - S - Detailed Excavation</v>
      </c>
      <c r="G2676" s="3" t="s">
        <v>49</v>
      </c>
      <c r="H2676" s="24" t="s">
        <v>1957</v>
      </c>
      <c r="I2676" s="40"/>
      <c r="J2676" s="21">
        <f ca="1">_xlfn.XLOOKUP(Master[[#This Row],[Checklist]],Ref!A:A,Ref!B:B)*1000</f>
        <v>232000</v>
      </c>
      <c r="K2676" s="21">
        <f ca="1">COUNTIF($J$2:Master[[#This Row],[ChecklistID]],Master[[#This Row],[ChecklistID]])-1</f>
        <v>10</v>
      </c>
      <c r="L2676" s="23" t="s">
        <v>6</v>
      </c>
    </row>
    <row r="2677" spans="1:12" ht="15.75">
      <c r="A2677" s="23">
        <f t="shared" si="44"/>
        <v>2664</v>
      </c>
      <c r="B2677" s="21">
        <f ca="1">Master[[#This Row],[ChecklistID]]+Master[[#This Row],[Checklist Order]]</f>
        <v>232011</v>
      </c>
      <c r="C2677" s="22"/>
      <c r="D2677" s="23" t="str" cm="1">
        <f t="array" aca="1" ref="D2677" ca="1">_xlfn.SWITCH(MID(Master[[#This Row],[Checklist]],1,4),"C - ","Civil","F - ","Foundation","ST -","Structure","FC -","Façade","PRE ","Pre-Line","POST","Post-Line","H - ","Handover","S - ","Services","CST ","Completion Docs", "I - ", "Inspection")</f>
        <v>Civil</v>
      </c>
      <c r="E267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7" s="24" t="str">
        <f ca="1">IF(OR(Master[[#This Row],[Type]]="checklist", Master[[#This Row],[Type]]="checklist-flat"), Master[[#This Row],[Name]], F2676)</f>
        <v>C - S - Detailed Excavation</v>
      </c>
      <c r="G2677" s="3" t="s">
        <v>49</v>
      </c>
      <c r="H2677" s="24" t="s">
        <v>1958</v>
      </c>
      <c r="I2677" s="40"/>
      <c r="J2677" s="21">
        <f ca="1">_xlfn.XLOOKUP(Master[[#This Row],[Checklist]],Ref!A:A,Ref!B:B)*1000</f>
        <v>232000</v>
      </c>
      <c r="K2677" s="21">
        <f ca="1">COUNTIF($J$2:Master[[#This Row],[ChecklistID]],Master[[#This Row],[ChecklistID]])-1</f>
        <v>11</v>
      </c>
      <c r="L2677" s="23" t="s">
        <v>6</v>
      </c>
    </row>
    <row r="2678" spans="1:12" ht="15.75">
      <c r="A2678" s="23">
        <f t="shared" si="44"/>
        <v>2665</v>
      </c>
      <c r="B2678" s="21">
        <f ca="1">Master[[#This Row],[ChecklistID]]+Master[[#This Row],[Checklist Order]]</f>
        <v>232012</v>
      </c>
      <c r="C2678" s="22"/>
      <c r="D2678" s="23" t="str" cm="1">
        <f t="array" aca="1" ref="D2678" ca="1">_xlfn.SWITCH(MID(Master[[#This Row],[Checklist]],1,4),"C - ","Civil","F - ","Foundation","ST -","Structure","FC -","Façade","PRE ","Pre-Line","POST","Post-Line","H - ","Handover","S - ","Services","CST ","Completion Docs", "I - ", "Inspection")</f>
        <v>Civil</v>
      </c>
      <c r="E267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8" s="24" t="str">
        <f ca="1">IF(OR(Master[[#This Row],[Type]]="checklist", Master[[#This Row],[Type]]="checklist-flat"), Master[[#This Row],[Name]], F2677)</f>
        <v>C - S - Detailed Excavation</v>
      </c>
      <c r="G2678" s="3" t="s">
        <v>49</v>
      </c>
      <c r="H2678" s="24" t="s">
        <v>1959</v>
      </c>
      <c r="I2678" s="40"/>
      <c r="J2678" s="21">
        <f ca="1">_xlfn.XLOOKUP(Master[[#This Row],[Checklist]],Ref!A:A,Ref!B:B)*1000</f>
        <v>232000</v>
      </c>
      <c r="K2678" s="21">
        <f ca="1">COUNTIF($J$2:Master[[#This Row],[ChecklistID]],Master[[#This Row],[ChecklistID]])-1</f>
        <v>12</v>
      </c>
      <c r="L2678" s="23" t="s">
        <v>6</v>
      </c>
    </row>
    <row r="2679" spans="1:12" ht="15.75">
      <c r="A2679" s="23">
        <f t="shared" si="44"/>
        <v>2666</v>
      </c>
      <c r="B2679" s="21">
        <f ca="1">Master[[#This Row],[ChecklistID]]+Master[[#This Row],[Checklist Order]]</f>
        <v>232013</v>
      </c>
      <c r="C2679" s="22"/>
      <c r="D2679" s="23" t="str" cm="1">
        <f t="array" aca="1" ref="D2679" ca="1">_xlfn.SWITCH(MID(Master[[#This Row],[Checklist]],1,4),"C - ","Civil","F - ","Foundation","ST -","Structure","FC -","Façade","PRE ","Pre-Line","POST","Post-Line","H - ","Handover","S - ","Services","CST ","Completion Docs", "I - ", "Inspection")</f>
        <v>Civil</v>
      </c>
      <c r="E267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79" s="24" t="str">
        <f ca="1">IF(OR(Master[[#This Row],[Type]]="checklist", Master[[#This Row],[Type]]="checklist-flat"), Master[[#This Row],[Name]], F2678)</f>
        <v>C - S - Detailed Excavation</v>
      </c>
      <c r="G2679" s="3" t="s">
        <v>49</v>
      </c>
      <c r="H2679" s="24" t="s">
        <v>1960</v>
      </c>
      <c r="I2679" s="40"/>
      <c r="J2679" s="21">
        <f ca="1">_xlfn.XLOOKUP(Master[[#This Row],[Checklist]],Ref!A:A,Ref!B:B)*1000</f>
        <v>232000</v>
      </c>
      <c r="K2679" s="21">
        <f ca="1">COUNTIF($J$2:Master[[#This Row],[ChecklistID]],Master[[#This Row],[ChecklistID]])-1</f>
        <v>13</v>
      </c>
      <c r="L2679" s="23" t="s">
        <v>6</v>
      </c>
    </row>
    <row r="2680" spans="1:12" ht="15.75">
      <c r="A2680" s="23">
        <f t="shared" si="44"/>
        <v>2667</v>
      </c>
      <c r="B2680" s="21">
        <f ca="1">Master[[#This Row],[ChecklistID]]+Master[[#This Row],[Checklist Order]]</f>
        <v>232014</v>
      </c>
      <c r="C2680" s="22"/>
      <c r="D2680" s="23" t="str" cm="1">
        <f t="array" aca="1" ref="D2680" ca="1">_xlfn.SWITCH(MID(Master[[#This Row],[Checklist]],1,4),"C - ","Civil","F - ","Foundation","ST -","Structure","FC -","Façade","PRE ","Pre-Line","POST","Post-Line","H - ","Handover","S - ","Services","CST ","Completion Docs", "I - ", "Inspection")</f>
        <v>Civil</v>
      </c>
      <c r="E268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0" s="24" t="str">
        <f ca="1">IF(OR(Master[[#This Row],[Type]]="checklist", Master[[#This Row],[Type]]="checklist-flat"), Master[[#This Row],[Name]], F2679)</f>
        <v>C - S - Detailed Excavation</v>
      </c>
      <c r="G2680" s="3" t="s">
        <v>49</v>
      </c>
      <c r="H2680" s="24" t="s">
        <v>1961</v>
      </c>
      <c r="I2680" s="40"/>
      <c r="J2680" s="21">
        <f ca="1">_xlfn.XLOOKUP(Master[[#This Row],[Checklist]],Ref!A:A,Ref!B:B)*1000</f>
        <v>232000</v>
      </c>
      <c r="K2680" s="21">
        <f ca="1">COUNTIF($J$2:Master[[#This Row],[ChecklistID]],Master[[#This Row],[ChecklistID]])-1</f>
        <v>14</v>
      </c>
      <c r="L2680" s="23" t="s">
        <v>6</v>
      </c>
    </row>
    <row r="2681" spans="1:12" ht="15.75">
      <c r="A2681" s="23">
        <f t="shared" si="44"/>
        <v>2668</v>
      </c>
      <c r="B2681" s="21">
        <f ca="1">Master[[#This Row],[ChecklistID]]+Master[[#This Row],[Checklist Order]]</f>
        <v>232015</v>
      </c>
      <c r="C2681" s="22"/>
      <c r="D2681" s="23" t="str" cm="1">
        <f t="array" aca="1" ref="D2681" ca="1">_xlfn.SWITCH(MID(Master[[#This Row],[Checklist]],1,4),"C - ","Civil","F - ","Foundation","ST -","Structure","FC -","Façade","PRE ","Pre-Line","POST","Post-Line","H - ","Handover","S - ","Services","CST ","Completion Docs", "I - ", "Inspection")</f>
        <v>Civil</v>
      </c>
      <c r="E268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1" s="24" t="str">
        <f ca="1">IF(OR(Master[[#This Row],[Type]]="checklist", Master[[#This Row],[Type]]="checklist-flat"), Master[[#This Row],[Name]], F2680)</f>
        <v>C - S - Detailed Excavation</v>
      </c>
      <c r="G2681" s="3" t="s">
        <v>1962</v>
      </c>
      <c r="H2681" s="24" t="s">
        <v>1963</v>
      </c>
      <c r="I2681" s="40"/>
      <c r="J2681" s="21">
        <f ca="1">_xlfn.XLOOKUP(Master[[#This Row],[Checklist]],Ref!A:A,Ref!B:B)*1000</f>
        <v>232000</v>
      </c>
      <c r="K2681" s="21">
        <f ca="1">COUNTIF($J$2:Master[[#This Row],[ChecklistID]],Master[[#This Row],[ChecklistID]])-1</f>
        <v>15</v>
      </c>
      <c r="L2681" s="23" t="s">
        <v>6</v>
      </c>
    </row>
    <row r="2682" spans="1:12" ht="15.75">
      <c r="A2682" s="23">
        <f t="shared" si="44"/>
        <v>2669</v>
      </c>
      <c r="B2682" s="21">
        <f ca="1">Master[[#This Row],[ChecklistID]]+Master[[#This Row],[Checklist Order]]</f>
        <v>232016</v>
      </c>
      <c r="C2682" s="22"/>
      <c r="D2682" s="23" t="str" cm="1">
        <f t="array" aca="1" ref="D2682" ca="1">_xlfn.SWITCH(MID(Master[[#This Row],[Checklist]],1,4),"C - ","Civil","F - ","Foundation","ST -","Structure","FC -","Façade","PRE ","Pre-Line","POST","Post-Line","H - ","Handover","S - ","Services","CST ","Completion Docs", "I - ", "Inspection")</f>
        <v>Civil</v>
      </c>
      <c r="E268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2" s="24" t="str">
        <f ca="1">IF(OR(Master[[#This Row],[Type]]="checklist", Master[[#This Row],[Type]]="checklist-flat"), Master[[#This Row],[Name]], F2681)</f>
        <v>C - S - Detailed Excavation</v>
      </c>
      <c r="G2682" s="3" t="s">
        <v>49</v>
      </c>
      <c r="H2682" s="24" t="s">
        <v>70</v>
      </c>
      <c r="I2682" s="40"/>
      <c r="J2682" s="21">
        <f ca="1">_xlfn.XLOOKUP(Master[[#This Row],[Checklist]],Ref!A:A,Ref!B:B)*1000</f>
        <v>232000</v>
      </c>
      <c r="K2682" s="21">
        <f ca="1">COUNTIF($J$2:Master[[#This Row],[ChecklistID]],Master[[#This Row],[ChecklistID]])-1</f>
        <v>16</v>
      </c>
      <c r="L2682" s="23" t="s">
        <v>6</v>
      </c>
    </row>
    <row r="2683" spans="1:12" ht="15.75">
      <c r="A2683" s="23">
        <f t="shared" si="44"/>
        <v>2670</v>
      </c>
      <c r="B2683" s="21">
        <f ca="1">Master[[#This Row],[ChecklistID]]+Master[[#This Row],[Checklist Order]]</f>
        <v>232017</v>
      </c>
      <c r="C2683" s="22"/>
      <c r="D2683" s="23" t="str" cm="1">
        <f t="array" aca="1" ref="D2683" ca="1">_xlfn.SWITCH(MID(Master[[#This Row],[Checklist]],1,4),"C - ","Civil","F - ","Foundation","ST -","Structure","FC -","Façade","PRE ","Pre-Line","POST","Post-Line","H - ","Handover","S - ","Services","CST ","Completion Docs", "I - ", "Inspection")</f>
        <v>Civil</v>
      </c>
      <c r="E268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3" s="24" t="str">
        <f ca="1">IF(OR(Master[[#This Row],[Type]]="checklist", Master[[#This Row],[Type]]="checklist-flat"), Master[[#This Row],[Name]], F2682)</f>
        <v>C - S - Detailed Excavation</v>
      </c>
      <c r="G2683" s="3" t="s">
        <v>49</v>
      </c>
      <c r="H2683" s="24" t="s">
        <v>71</v>
      </c>
      <c r="I2683" s="40"/>
      <c r="J2683" s="21">
        <f ca="1">_xlfn.XLOOKUP(Master[[#This Row],[Checklist]],Ref!A:A,Ref!B:B)*1000</f>
        <v>232000</v>
      </c>
      <c r="K2683" s="21">
        <f ca="1">COUNTIF($J$2:Master[[#This Row],[ChecklistID]],Master[[#This Row],[ChecklistID]])-1</f>
        <v>17</v>
      </c>
      <c r="L2683" s="23" t="s">
        <v>6</v>
      </c>
    </row>
    <row r="2684" spans="1:12" ht="15.75">
      <c r="A2684" s="23">
        <f t="shared" si="44"/>
        <v>2671</v>
      </c>
      <c r="B2684" s="21">
        <f ca="1">Master[[#This Row],[ChecklistID]]+Master[[#This Row],[Checklist Order]]</f>
        <v>232018</v>
      </c>
      <c r="C2684" s="22"/>
      <c r="D2684" s="23" t="str" cm="1">
        <f t="array" aca="1" ref="D2684" ca="1">_xlfn.SWITCH(MID(Master[[#This Row],[Checklist]],1,4),"C - ","Civil","F - ","Foundation","ST -","Structure","FC -","Façade","PRE ","Pre-Line","POST","Post-Line","H - ","Handover","S - ","Services","CST ","Completion Docs", "I - ", "Inspection")</f>
        <v>Civil</v>
      </c>
      <c r="E268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4" s="24" t="str">
        <f ca="1">IF(OR(Master[[#This Row],[Type]]="checklist", Master[[#This Row],[Type]]="checklist-flat"), Master[[#This Row],[Name]], F2683)</f>
        <v>C - S - Detailed Excavation</v>
      </c>
      <c r="G2684" s="3" t="s">
        <v>49</v>
      </c>
      <c r="H2684" s="24" t="s">
        <v>72</v>
      </c>
      <c r="I2684" s="40"/>
      <c r="J2684" s="21">
        <f ca="1">_xlfn.XLOOKUP(Master[[#This Row],[Checklist]],Ref!A:A,Ref!B:B)*1000</f>
        <v>232000</v>
      </c>
      <c r="K2684" s="21">
        <f ca="1">COUNTIF($J$2:Master[[#This Row],[ChecklistID]],Master[[#This Row],[ChecklistID]])-1</f>
        <v>18</v>
      </c>
      <c r="L2684" s="23" t="s">
        <v>6</v>
      </c>
    </row>
    <row r="2685" spans="1:12" ht="15.75">
      <c r="A2685" s="23">
        <f t="shared" si="44"/>
        <v>2672</v>
      </c>
      <c r="B2685" s="21">
        <f ca="1">Master[[#This Row],[ChecklistID]]+Master[[#This Row],[Checklist Order]]</f>
        <v>232019</v>
      </c>
      <c r="C2685" s="22"/>
      <c r="D2685" s="23" t="str" cm="1">
        <f t="array" aca="1" ref="D2685" ca="1">_xlfn.SWITCH(MID(Master[[#This Row],[Checklist]],1,4),"C - ","Civil","F - ","Foundation","ST -","Structure","FC -","Façade","PRE ","Pre-Line","POST","Post-Line","H - ","Handover","S - ","Services","CST ","Completion Docs", "I - ", "Inspection")</f>
        <v>Civil</v>
      </c>
      <c r="E268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5" s="24" t="str">
        <f ca="1">IF(OR(Master[[#This Row],[Type]]="checklist", Master[[#This Row],[Type]]="checklist-flat"), Master[[#This Row],[Name]], F2684)</f>
        <v>C - S - Detailed Excavation</v>
      </c>
      <c r="G2685" s="3" t="s">
        <v>49</v>
      </c>
      <c r="H2685" s="24" t="s">
        <v>57</v>
      </c>
      <c r="I2685" s="40"/>
      <c r="J2685" s="21">
        <f ca="1">_xlfn.XLOOKUP(Master[[#This Row],[Checklist]],Ref!A:A,Ref!B:B)*1000</f>
        <v>232000</v>
      </c>
      <c r="K2685" s="21">
        <f ca="1">COUNTIF($J$2:Master[[#This Row],[ChecklistID]],Master[[#This Row],[ChecklistID]])-1</f>
        <v>19</v>
      </c>
      <c r="L2685" s="23" t="s">
        <v>6</v>
      </c>
    </row>
    <row r="2686" spans="1:12" ht="15.75">
      <c r="A2686" s="23">
        <f t="shared" si="44"/>
        <v>2673</v>
      </c>
      <c r="B2686" s="21">
        <f ca="1">Master[[#This Row],[ChecklistID]]+Master[[#This Row],[Checklist Order]]</f>
        <v>232020</v>
      </c>
      <c r="C2686" s="22"/>
      <c r="D2686" s="23" t="str" cm="1">
        <f t="array" aca="1" ref="D2686" ca="1">_xlfn.SWITCH(MID(Master[[#This Row],[Checklist]],1,4),"C - ","Civil","F - ","Foundation","ST -","Structure","FC -","Façade","PRE ","Pre-Line","POST","Post-Line","H - ","Handover","S - ","Services","CST ","Completion Docs", "I - ", "Inspection")</f>
        <v>Civil</v>
      </c>
      <c r="E268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6" s="24" t="str">
        <f ca="1">IF(OR(Master[[#This Row],[Type]]="checklist", Master[[#This Row],[Type]]="checklist-flat"), Master[[#This Row],[Name]], F2685)</f>
        <v>C - S - Detailed Excavation</v>
      </c>
      <c r="G2686" s="3" t="s">
        <v>58</v>
      </c>
      <c r="H2686" s="24" t="s">
        <v>59</v>
      </c>
      <c r="I2686" s="40"/>
      <c r="J2686" s="21">
        <f ca="1">_xlfn.XLOOKUP(Master[[#This Row],[Checklist]],Ref!A:A,Ref!B:B)*1000</f>
        <v>232000</v>
      </c>
      <c r="K2686" s="21">
        <f ca="1">COUNTIF($J$2:Master[[#This Row],[ChecklistID]],Master[[#This Row],[ChecklistID]])-1</f>
        <v>20</v>
      </c>
      <c r="L2686" s="23" t="s">
        <v>6</v>
      </c>
    </row>
    <row r="2687" spans="1:12" ht="15.75">
      <c r="A2687" s="23">
        <f t="shared" ref="A2687:A2725" si="45">IFERROR(A2686+1,1)</f>
        <v>2674</v>
      </c>
      <c r="B2687" s="21">
        <f ca="1">Master[[#This Row],[ChecklistID]]+Master[[#This Row],[Checklist Order]]</f>
        <v>227003</v>
      </c>
      <c r="C2687" s="22"/>
      <c r="D2687" s="23" t="str" cm="1">
        <f t="array" aca="1" ref="D2687" ca="1">_xlfn.SWITCH(MID(Master[[#This Row],[Checklist]],1,4),"C - ","Civil","F - ","Foundation","ST -","Structure","FC -","Façade","PRE ","Pre-Line","POST","Post-Line","H - ","Handover","S - ","Services","CST ","Completion Docs", "I - ", "Inspection")</f>
        <v>Façade</v>
      </c>
      <c r="E268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7" s="24" t="str">
        <f ca="1">IF(OR(Master[[#This Row],[Type]]="checklist", Master[[#This Row],[Type]]="checklist-flat"), Master[[#This Row],[Name]], F2686)</f>
        <v>FC - S - Tapes</v>
      </c>
      <c r="G2687" s="30" t="s">
        <v>48</v>
      </c>
      <c r="H2687" s="38" t="s">
        <v>1875</v>
      </c>
      <c r="I2687" s="39"/>
      <c r="J2687" s="21">
        <f ca="1">_xlfn.XLOOKUP(Master[[#This Row],[Checklist]],Ref!A:A,Ref!B:B)*1000</f>
        <v>227000</v>
      </c>
      <c r="K2687" s="21">
        <f ca="1">COUNTIF($J$2:Master[[#This Row],[ChecklistID]],Master[[#This Row],[ChecklistID]])-1</f>
        <v>3</v>
      </c>
      <c r="L2687" s="23" t="s">
        <v>6</v>
      </c>
    </row>
    <row r="2688" spans="1:12" ht="15.75">
      <c r="A2688" s="23">
        <f t="shared" si="45"/>
        <v>2675</v>
      </c>
      <c r="B2688" s="21">
        <f ca="1">Master[[#This Row],[ChecklistID]]+Master[[#This Row],[Checklist Order]]</f>
        <v>227004</v>
      </c>
      <c r="C2688" s="22"/>
      <c r="D2688" s="23" t="str" cm="1">
        <f t="array" aca="1" ref="D2688" ca="1">_xlfn.SWITCH(MID(Master[[#This Row],[Checklist]],1,4),"C - ","Civil","F - ","Foundation","ST -","Structure","FC -","Façade","PRE ","Pre-Line","POST","Post-Line","H - ","Handover","S - ","Services","CST ","Completion Docs", "I - ", "Inspection")</f>
        <v>Façade</v>
      </c>
      <c r="E268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8" s="24" t="str">
        <f ca="1">IF(OR(Master[[#This Row],[Type]]="checklist", Master[[#This Row],[Type]]="checklist-flat"), Master[[#This Row],[Name]], F2687)</f>
        <v>FC - S - Tapes</v>
      </c>
      <c r="G2688" s="3" t="s">
        <v>49</v>
      </c>
      <c r="H2688" s="24" t="s">
        <v>1876</v>
      </c>
      <c r="I2688" s="40"/>
      <c r="J2688" s="21">
        <f ca="1">_xlfn.XLOOKUP(Master[[#This Row],[Checklist]],Ref!A:A,Ref!B:B)*1000</f>
        <v>227000</v>
      </c>
      <c r="K2688" s="21">
        <f ca="1">COUNTIF($J$2:Master[[#This Row],[ChecklistID]],Master[[#This Row],[ChecklistID]])-1</f>
        <v>4</v>
      </c>
      <c r="L2688" s="23" t="s">
        <v>6</v>
      </c>
    </row>
    <row r="2689" spans="1:12" ht="15.75">
      <c r="A2689" s="23">
        <f t="shared" si="45"/>
        <v>2676</v>
      </c>
      <c r="B2689" s="21">
        <f ca="1">Master[[#This Row],[ChecklistID]]+Master[[#This Row],[Checklist Order]]</f>
        <v>227005</v>
      </c>
      <c r="C2689" s="22"/>
      <c r="D2689" s="23" t="str" cm="1">
        <f t="array" aca="1" ref="D2689" ca="1">_xlfn.SWITCH(MID(Master[[#This Row],[Checklist]],1,4),"C - ","Civil","F - ","Foundation","ST -","Structure","FC -","Façade","PRE ","Pre-Line","POST","Post-Line","H - ","Handover","S - ","Services","CST ","Completion Docs", "I - ", "Inspection")</f>
        <v>Façade</v>
      </c>
      <c r="E268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689" s="24" t="str">
        <f ca="1">IF(OR(Master[[#This Row],[Type]]="checklist", Master[[#This Row],[Type]]="checklist-flat"), Master[[#This Row],[Name]], F2688)</f>
        <v>FC - S - Tapes</v>
      </c>
      <c r="G2689" s="3" t="s">
        <v>58</v>
      </c>
      <c r="H2689" s="24" t="s">
        <v>59</v>
      </c>
      <c r="I2689" s="40"/>
      <c r="J2689" s="21">
        <f ca="1">_xlfn.XLOOKUP(Master[[#This Row],[Checklist]],Ref!A:A,Ref!B:B)*1000</f>
        <v>227000</v>
      </c>
      <c r="K2689" s="21">
        <f ca="1">COUNTIF($J$2:Master[[#This Row],[ChecklistID]],Master[[#This Row],[ChecklistID]])-1</f>
        <v>5</v>
      </c>
      <c r="L2689" s="23" t="s">
        <v>6</v>
      </c>
    </row>
    <row r="2690" spans="1:12" ht="15.75">
      <c r="A2690" s="23">
        <f t="shared" si="45"/>
        <v>2677</v>
      </c>
      <c r="B2690" s="21">
        <f ca="1">Master[[#This Row],[ChecklistID]]+Master[[#This Row],[Checklist Order]]</f>
        <v>233000</v>
      </c>
      <c r="C2690" s="22"/>
      <c r="D2690" s="23" t="str" cm="1">
        <f t="array" aca="1" ref="D2690" ca="1">_xlfn.SWITCH(MID(Master[[#This Row],[Checklist]],1,4),"C - ","Civil","F - ","Foundation","ST -","Structure","FC -","Façade","PRE ","Pre-Line","POST","Post-Line","H - ","Handover","S - ","Services","CST ","Completion Docs", "I - ", "Inspection")</f>
        <v>Inspection</v>
      </c>
      <c r="E269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0" s="24" t="str">
        <f ca="1">IF(OR(Master[[#This Row],[Type]]="checklist", Master[[#This Row],[Type]]="checklist-flat"), Master[[#This Row],[Name]], F2689)</f>
        <v>I - C - Site Visit Report</v>
      </c>
      <c r="G2690" s="3" t="s">
        <v>119</v>
      </c>
      <c r="H2690" s="24" t="s">
        <v>1964</v>
      </c>
      <c r="I2690" s="40"/>
      <c r="J2690" s="21">
        <f ca="1">_xlfn.XLOOKUP(Master[[#This Row],[Checklist]],Ref!A:A,Ref!B:B)*1000</f>
        <v>233000</v>
      </c>
      <c r="K2690" s="21">
        <f ca="1">COUNTIF($J$2:Master[[#This Row],[ChecklistID]],Master[[#This Row],[ChecklistID]])-1</f>
        <v>0</v>
      </c>
      <c r="L2690" s="23" t="s">
        <v>6</v>
      </c>
    </row>
    <row r="2691" spans="1:12" ht="15.75">
      <c r="A2691" s="23">
        <f t="shared" si="45"/>
        <v>2678</v>
      </c>
      <c r="B2691" s="21">
        <f ca="1">Master[[#This Row],[ChecklistID]]+Master[[#This Row],[Checklist Order]]</f>
        <v>233001</v>
      </c>
      <c r="C2691" s="22"/>
      <c r="D2691" s="23" t="str" cm="1">
        <f t="array" aca="1" ref="D2691" ca="1">_xlfn.SWITCH(MID(Master[[#This Row],[Checklist]],1,4),"C - ","Civil","F - ","Foundation","ST -","Structure","FC -","Façade","PRE ","Pre-Line","POST","Post-Line","H - ","Handover","S - ","Services","CST ","Completion Docs", "I - ", "Inspection")</f>
        <v>Inspection</v>
      </c>
      <c r="E269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1" s="24" t="str">
        <f ca="1">IF(OR(Master[[#This Row],[Type]]="checklist", Master[[#This Row],[Type]]="checklist-flat"), Master[[#This Row],[Name]], F2690)</f>
        <v>I - C - Site Visit Report</v>
      </c>
      <c r="G2691" s="3" t="s">
        <v>120</v>
      </c>
      <c r="H2691" s="24" t="s">
        <v>1750</v>
      </c>
      <c r="I2691" s="40"/>
      <c r="J2691" s="21">
        <f ca="1">_xlfn.XLOOKUP(Master[[#This Row],[Checklist]],Ref!A:A,Ref!B:B)*1000</f>
        <v>233000</v>
      </c>
      <c r="K2691" s="21">
        <f ca="1">COUNTIF($J$2:Master[[#This Row],[ChecklistID]],Master[[#This Row],[ChecklistID]])-1</f>
        <v>1</v>
      </c>
      <c r="L2691" s="23" t="s">
        <v>6</v>
      </c>
    </row>
    <row r="2692" spans="1:12" ht="15.75">
      <c r="A2692" s="23">
        <f t="shared" si="45"/>
        <v>2679</v>
      </c>
      <c r="B2692" s="21">
        <f ca="1">Master[[#This Row],[ChecklistID]]+Master[[#This Row],[Checklist Order]]</f>
        <v>233002</v>
      </c>
      <c r="C2692" s="22"/>
      <c r="D2692" s="23" t="str" cm="1">
        <f t="array" aca="1" ref="D2692" ca="1">_xlfn.SWITCH(MID(Master[[#This Row],[Checklist]],1,4),"C - ","Civil","F - ","Foundation","ST -","Structure","FC -","Façade","PRE ","Pre-Line","POST","Post-Line","H - ","Handover","S - ","Services","CST ","Completion Docs", "I - ", "Inspection")</f>
        <v>Inspection</v>
      </c>
      <c r="E269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2" s="24" t="str">
        <f ca="1">IF(OR(Master[[#This Row],[Type]]="checklist", Master[[#This Row],[Type]]="checklist-flat"), Master[[#This Row],[Name]], F2691)</f>
        <v>I - C - Site Visit Report</v>
      </c>
      <c r="G2692" s="3" t="s">
        <v>1879</v>
      </c>
      <c r="H2692" s="24" t="s">
        <v>1965</v>
      </c>
      <c r="I2692" s="40"/>
      <c r="J2692" s="21">
        <f ca="1">_xlfn.XLOOKUP(Master[[#This Row],[Checklist]],Ref!A:A,Ref!B:B)*1000</f>
        <v>233000</v>
      </c>
      <c r="K2692" s="21">
        <f ca="1">COUNTIF($J$2:Master[[#This Row],[ChecklistID]],Master[[#This Row],[ChecklistID]])-1</f>
        <v>2</v>
      </c>
      <c r="L2692" s="23" t="s">
        <v>6</v>
      </c>
    </row>
    <row r="2693" spans="1:12" ht="15.75">
      <c r="A2693" s="23">
        <f t="shared" si="45"/>
        <v>2680</v>
      </c>
      <c r="B2693" s="21">
        <f ca="1">Master[[#This Row],[ChecklistID]]+Master[[#This Row],[Checklist Order]]</f>
        <v>233003</v>
      </c>
      <c r="C2693" s="22"/>
      <c r="D2693" s="23" t="str" cm="1">
        <f t="array" aca="1" ref="D2693" ca="1">_xlfn.SWITCH(MID(Master[[#This Row],[Checklist]],1,4),"C - ","Civil","F - ","Foundation","ST -","Structure","FC -","Façade","PRE ","Pre-Line","POST","Post-Line","H - ","Handover","S - ","Services","CST ","Completion Docs", "I - ", "Inspection")</f>
        <v>Inspection</v>
      </c>
      <c r="E269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3" s="24" t="str">
        <f ca="1">IF(OR(Master[[#This Row],[Type]]="checklist", Master[[#This Row],[Type]]="checklist-flat"), Master[[#This Row],[Name]], F2692)</f>
        <v>I - C - Site Visit Report</v>
      </c>
      <c r="G2693" s="3" t="s">
        <v>124</v>
      </c>
      <c r="H2693" s="24" t="s">
        <v>1966</v>
      </c>
      <c r="I2693" s="40"/>
      <c r="J2693" s="21">
        <f ca="1">_xlfn.XLOOKUP(Master[[#This Row],[Checklist]],Ref!A:A,Ref!B:B)*1000</f>
        <v>233000</v>
      </c>
      <c r="K2693" s="21">
        <f ca="1">COUNTIF($J$2:Master[[#This Row],[ChecklistID]],Master[[#This Row],[ChecklistID]])-1</f>
        <v>3</v>
      </c>
      <c r="L2693" s="23" t="s">
        <v>6</v>
      </c>
    </row>
    <row r="2694" spans="1:12" ht="15.75">
      <c r="A2694" s="23">
        <f t="shared" si="45"/>
        <v>2681</v>
      </c>
      <c r="B2694" s="21">
        <f ca="1">Master[[#This Row],[ChecklistID]]+Master[[#This Row],[Checklist Order]]</f>
        <v>233004</v>
      </c>
      <c r="C2694" s="22"/>
      <c r="D2694" s="23" t="str" cm="1">
        <f t="array" aca="1" ref="D2694" ca="1">_xlfn.SWITCH(MID(Master[[#This Row],[Checklist]],1,4),"C - ","Civil","F - ","Foundation","ST -","Structure","FC -","Façade","PRE ","Pre-Line","POST","Post-Line","H - ","Handover","S - ","Services","CST ","Completion Docs", "I - ", "Inspection")</f>
        <v>Inspection</v>
      </c>
      <c r="E269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4" s="24" t="str">
        <f ca="1">IF(OR(Master[[#This Row],[Type]]="checklist", Master[[#This Row],[Type]]="checklist-flat"), Master[[#This Row],[Name]], F2693)</f>
        <v>I - C - Site Visit Report</v>
      </c>
      <c r="G2694" s="3" t="s">
        <v>124</v>
      </c>
      <c r="H2694" s="24" t="s">
        <v>1967</v>
      </c>
      <c r="I2694" s="40"/>
      <c r="J2694" s="21">
        <f ca="1">_xlfn.XLOOKUP(Master[[#This Row],[Checklist]],Ref!A:A,Ref!B:B)*1000</f>
        <v>233000</v>
      </c>
      <c r="K2694" s="21">
        <f ca="1">COUNTIF($J$2:Master[[#This Row],[ChecklistID]],Master[[#This Row],[ChecklistID]])-1</f>
        <v>4</v>
      </c>
      <c r="L2694" s="23" t="s">
        <v>6</v>
      </c>
    </row>
    <row r="2695" spans="1:12" ht="15.75">
      <c r="A2695" s="23">
        <f t="shared" si="45"/>
        <v>2682</v>
      </c>
      <c r="B2695" s="21">
        <f ca="1">Master[[#This Row],[ChecklistID]]+Master[[#This Row],[Checklist Order]]</f>
        <v>233005</v>
      </c>
      <c r="C2695" s="22"/>
      <c r="D2695" s="23" t="str" cm="1">
        <f t="array" aca="1" ref="D2695" ca="1">_xlfn.SWITCH(MID(Master[[#This Row],[Checklist]],1,4),"C - ","Civil","F - ","Foundation","ST -","Structure","FC -","Façade","PRE ","Pre-Line","POST","Post-Line","H - ","Handover","S - ","Services","CST ","Completion Docs", "I - ", "Inspection")</f>
        <v>Inspection</v>
      </c>
      <c r="E269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5" s="24" t="str">
        <f ca="1">IF(OR(Master[[#This Row],[Type]]="checklist", Master[[#This Row],[Type]]="checklist-flat"), Master[[#This Row],[Name]], F2694)</f>
        <v>I - C - Site Visit Report</v>
      </c>
      <c r="G2695" s="3" t="s">
        <v>124</v>
      </c>
      <c r="H2695" s="24" t="s">
        <v>1968</v>
      </c>
      <c r="I2695" s="40"/>
      <c r="J2695" s="21">
        <f ca="1">_xlfn.XLOOKUP(Master[[#This Row],[Checklist]],Ref!A:A,Ref!B:B)*1000</f>
        <v>233000</v>
      </c>
      <c r="K2695" s="21">
        <f ca="1">COUNTIF($J$2:Master[[#This Row],[ChecklistID]],Master[[#This Row],[ChecklistID]])-1</f>
        <v>5</v>
      </c>
      <c r="L2695" s="23" t="s">
        <v>6</v>
      </c>
    </row>
    <row r="2696" spans="1:12" ht="15.75">
      <c r="A2696" s="23">
        <f t="shared" si="45"/>
        <v>2683</v>
      </c>
      <c r="B2696" s="21">
        <f ca="1">Master[[#This Row],[ChecklistID]]+Master[[#This Row],[Checklist Order]]</f>
        <v>233006</v>
      </c>
      <c r="C2696" s="22"/>
      <c r="D2696" s="23" t="str" cm="1">
        <f t="array" aca="1" ref="D2696" ca="1">_xlfn.SWITCH(MID(Master[[#This Row],[Checklist]],1,4),"C - ","Civil","F - ","Foundation","ST -","Structure","FC -","Façade","PRE ","Pre-Line","POST","Post-Line","H - ","Handover","S - ","Services","CST ","Completion Docs", "I - ", "Inspection")</f>
        <v>Inspection</v>
      </c>
      <c r="E269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6" s="24" t="str">
        <f ca="1">IF(OR(Master[[#This Row],[Type]]="checklist", Master[[#This Row],[Type]]="checklist-flat"), Master[[#This Row],[Name]], F2695)</f>
        <v>I - C - Site Visit Report</v>
      </c>
      <c r="G2696" s="3" t="s">
        <v>124</v>
      </c>
      <c r="H2696" s="24" t="s">
        <v>1969</v>
      </c>
      <c r="I2696" s="40"/>
      <c r="J2696" s="21">
        <f ca="1">_xlfn.XLOOKUP(Master[[#This Row],[Checklist]],Ref!A:A,Ref!B:B)*1000</f>
        <v>233000</v>
      </c>
      <c r="K2696" s="21">
        <f ca="1">COUNTIF($J$2:Master[[#This Row],[ChecklistID]],Master[[#This Row],[ChecklistID]])-1</f>
        <v>6</v>
      </c>
      <c r="L2696" s="23" t="s">
        <v>6</v>
      </c>
    </row>
    <row r="2697" spans="1:12" ht="15.75">
      <c r="A2697" s="23">
        <f t="shared" si="45"/>
        <v>2684</v>
      </c>
      <c r="B2697" s="21">
        <f ca="1">Master[[#This Row],[ChecklistID]]+Master[[#This Row],[Checklist Order]]</f>
        <v>233007</v>
      </c>
      <c r="C2697" s="22"/>
      <c r="D2697" s="23" t="str" cm="1">
        <f t="array" aca="1" ref="D2697" ca="1">_xlfn.SWITCH(MID(Master[[#This Row],[Checklist]],1,4),"C - ","Civil","F - ","Foundation","ST -","Structure","FC -","Façade","PRE ","Pre-Line","POST","Post-Line","H - ","Handover","S - ","Services","CST ","Completion Docs", "I - ", "Inspection")</f>
        <v>Inspection</v>
      </c>
      <c r="E269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7" s="24" t="str">
        <f ca="1">IF(OR(Master[[#This Row],[Type]]="checklist", Master[[#This Row],[Type]]="checklist-flat"), Master[[#This Row],[Name]], F2696)</f>
        <v>I - C - Site Visit Report</v>
      </c>
      <c r="G2697" s="3" t="s">
        <v>124</v>
      </c>
      <c r="H2697" s="24" t="s">
        <v>1970</v>
      </c>
      <c r="I2697" s="40"/>
      <c r="J2697" s="21">
        <f ca="1">_xlfn.XLOOKUP(Master[[#This Row],[Checklist]],Ref!A:A,Ref!B:B)*1000</f>
        <v>233000</v>
      </c>
      <c r="K2697" s="21">
        <f ca="1">COUNTIF($J$2:Master[[#This Row],[ChecklistID]],Master[[#This Row],[ChecklistID]])-1</f>
        <v>7</v>
      </c>
      <c r="L2697" s="23" t="s">
        <v>6</v>
      </c>
    </row>
    <row r="2698" spans="1:12" ht="15.75">
      <c r="A2698" s="23">
        <f t="shared" si="45"/>
        <v>2685</v>
      </c>
      <c r="B2698" s="21">
        <f ca="1">Master[[#This Row],[ChecklistID]]+Master[[#This Row],[Checklist Order]]</f>
        <v>233008</v>
      </c>
      <c r="C2698" s="22"/>
      <c r="D2698" s="23" t="str" cm="1">
        <f t="array" aca="1" ref="D2698" ca="1">_xlfn.SWITCH(MID(Master[[#This Row],[Checklist]],1,4),"C - ","Civil","F - ","Foundation","ST -","Structure","FC -","Façade","PRE ","Pre-Line","POST","Post-Line","H - ","Handover","S - ","Services","CST ","Completion Docs", "I - ", "Inspection")</f>
        <v>Inspection</v>
      </c>
      <c r="E269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8" s="24" t="str">
        <f ca="1">IF(OR(Master[[#This Row],[Type]]="checklist", Master[[#This Row],[Type]]="checklist-flat"), Master[[#This Row],[Name]], F2697)</f>
        <v>I - C - Site Visit Report</v>
      </c>
      <c r="G2698" s="3" t="s">
        <v>124</v>
      </c>
      <c r="H2698" s="24" t="s">
        <v>1971</v>
      </c>
      <c r="I2698" s="40"/>
      <c r="J2698" s="21">
        <f ca="1">_xlfn.XLOOKUP(Master[[#This Row],[Checklist]],Ref!A:A,Ref!B:B)*1000</f>
        <v>233000</v>
      </c>
      <c r="K2698" s="21">
        <f ca="1">COUNTIF($J$2:Master[[#This Row],[ChecklistID]],Master[[#This Row],[ChecklistID]])-1</f>
        <v>8</v>
      </c>
      <c r="L2698" s="23" t="s">
        <v>6</v>
      </c>
    </row>
    <row r="2699" spans="1:12" ht="15.75">
      <c r="A2699" s="23">
        <f t="shared" si="45"/>
        <v>2686</v>
      </c>
      <c r="B2699" s="21">
        <f ca="1">Master[[#This Row],[ChecklistID]]+Master[[#This Row],[Checklist Order]]</f>
        <v>233009</v>
      </c>
      <c r="C2699" s="22"/>
      <c r="D2699" s="23" t="str" cm="1">
        <f t="array" aca="1" ref="D2699" ca="1">_xlfn.SWITCH(MID(Master[[#This Row],[Checklist]],1,4),"C - ","Civil","F - ","Foundation","ST -","Structure","FC -","Façade","PRE ","Pre-Line","POST","Post-Line","H - ","Handover","S - ","Services","CST ","Completion Docs", "I - ", "Inspection")</f>
        <v>Inspection</v>
      </c>
      <c r="E269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699" s="24" t="str">
        <f ca="1">IF(OR(Master[[#This Row],[Type]]="checklist", Master[[#This Row],[Type]]="checklist-flat"), Master[[#This Row],[Name]], F2698)</f>
        <v>I - C - Site Visit Report</v>
      </c>
      <c r="G2699" s="3" t="s">
        <v>124</v>
      </c>
      <c r="H2699" s="24" t="s">
        <v>1972</v>
      </c>
      <c r="I2699" s="40"/>
      <c r="J2699" s="21">
        <f ca="1">_xlfn.XLOOKUP(Master[[#This Row],[Checklist]],Ref!A:A,Ref!B:B)*1000</f>
        <v>233000</v>
      </c>
      <c r="K2699" s="21">
        <f ca="1">COUNTIF($J$2:Master[[#This Row],[ChecklistID]],Master[[#This Row],[ChecklistID]])-1</f>
        <v>9</v>
      </c>
      <c r="L2699" s="23" t="s">
        <v>6</v>
      </c>
    </row>
    <row r="2700" spans="1:12" ht="15.75">
      <c r="A2700" s="23">
        <f t="shared" si="45"/>
        <v>2687</v>
      </c>
      <c r="B2700" s="21">
        <f ca="1">Master[[#This Row],[ChecklistID]]+Master[[#This Row],[Checklist Order]]</f>
        <v>233010</v>
      </c>
      <c r="C2700" s="22"/>
      <c r="D2700" s="23" t="str" cm="1">
        <f t="array" aca="1" ref="D2700" ca="1">_xlfn.SWITCH(MID(Master[[#This Row],[Checklist]],1,4),"C - ","Civil","F - ","Foundation","ST -","Structure","FC -","Façade","PRE ","Pre-Line","POST","Post-Line","H - ","Handover","S - ","Services","CST ","Completion Docs", "I - ", "Inspection")</f>
        <v>Inspection</v>
      </c>
      <c r="E2700"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0" s="24" t="str">
        <f ca="1">IF(OR(Master[[#This Row],[Type]]="checklist", Master[[#This Row],[Type]]="checklist-flat"), Master[[#This Row],[Name]], F2699)</f>
        <v>I - C - Site Visit Report</v>
      </c>
      <c r="G2700" s="3" t="s">
        <v>49</v>
      </c>
      <c r="H2700" s="24" t="s">
        <v>1731</v>
      </c>
      <c r="I2700" s="40"/>
      <c r="J2700" s="21">
        <f ca="1">_xlfn.XLOOKUP(Master[[#This Row],[Checklist]],Ref!A:A,Ref!B:B)*1000</f>
        <v>233000</v>
      </c>
      <c r="K2700" s="21">
        <f ca="1">COUNTIF($J$2:Master[[#This Row],[ChecklistID]],Master[[#This Row],[ChecklistID]])-1</f>
        <v>10</v>
      </c>
      <c r="L2700" s="23" t="s">
        <v>6</v>
      </c>
    </row>
    <row r="2701" spans="1:12" ht="15.75">
      <c r="A2701" s="23">
        <f t="shared" si="45"/>
        <v>2688</v>
      </c>
      <c r="B2701" s="21">
        <f ca="1">Master[[#This Row],[ChecklistID]]+Master[[#This Row],[Checklist Order]]</f>
        <v>233011</v>
      </c>
      <c r="C2701" s="22"/>
      <c r="D2701" s="23" t="str" cm="1">
        <f t="array" aca="1" ref="D2701" ca="1">_xlfn.SWITCH(MID(Master[[#This Row],[Checklist]],1,4),"C - ","Civil","F - ","Foundation","ST -","Structure","FC -","Façade","PRE ","Pre-Line","POST","Post-Line","H - ","Handover","S - ","Services","CST ","Completion Docs", "I - ", "Inspection")</f>
        <v>Inspection</v>
      </c>
      <c r="E2701"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1" s="24" t="str">
        <f ca="1">IF(OR(Master[[#This Row],[Type]]="checklist", Master[[#This Row],[Type]]="checklist-flat"), Master[[#This Row],[Name]], F2700)</f>
        <v>I - C - Site Visit Report</v>
      </c>
      <c r="G2701" s="3" t="s">
        <v>124</v>
      </c>
      <c r="H2701" s="24" t="s">
        <v>1973</v>
      </c>
      <c r="I2701" s="40"/>
      <c r="J2701" s="21">
        <f ca="1">_xlfn.XLOOKUP(Master[[#This Row],[Checklist]],Ref!A:A,Ref!B:B)*1000</f>
        <v>233000</v>
      </c>
      <c r="K2701" s="21">
        <f ca="1">COUNTIF($J$2:Master[[#This Row],[ChecklistID]],Master[[#This Row],[ChecklistID]])-1</f>
        <v>11</v>
      </c>
      <c r="L2701" s="23" t="s">
        <v>6</v>
      </c>
    </row>
    <row r="2702" spans="1:12" ht="15.75">
      <c r="A2702" s="23">
        <f t="shared" si="45"/>
        <v>2689</v>
      </c>
      <c r="B2702" s="21">
        <f ca="1">Master[[#This Row],[ChecklistID]]+Master[[#This Row],[Checklist Order]]</f>
        <v>233012</v>
      </c>
      <c r="C2702" s="22"/>
      <c r="D2702" s="23" t="str" cm="1">
        <f t="array" aca="1" ref="D2702" ca="1">_xlfn.SWITCH(MID(Master[[#This Row],[Checklist]],1,4),"C - ","Civil","F - ","Foundation","ST -","Structure","FC -","Façade","PRE ","Pre-Line","POST","Post-Line","H - ","Handover","S - ","Services","CST ","Completion Docs", "I - ", "Inspection")</f>
        <v>Inspection</v>
      </c>
      <c r="E2702"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2" s="24" t="str">
        <f ca="1">IF(OR(Master[[#This Row],[Type]]="checklist", Master[[#This Row],[Type]]="checklist-flat"), Master[[#This Row],[Name]], F2701)</f>
        <v>I - C - Site Visit Report</v>
      </c>
      <c r="G2702" s="3" t="s">
        <v>124</v>
      </c>
      <c r="H2702" s="24" t="s">
        <v>1974</v>
      </c>
      <c r="I2702" s="40"/>
      <c r="J2702" s="21">
        <f ca="1">_xlfn.XLOOKUP(Master[[#This Row],[Checklist]],Ref!A:A,Ref!B:B)*1000</f>
        <v>233000</v>
      </c>
      <c r="K2702" s="21">
        <f ca="1">COUNTIF($J$2:Master[[#This Row],[ChecklistID]],Master[[#This Row],[ChecklistID]])-1</f>
        <v>12</v>
      </c>
      <c r="L2702" s="23" t="s">
        <v>6</v>
      </c>
    </row>
    <row r="2703" spans="1:12" ht="15.75">
      <c r="A2703" s="23">
        <f t="shared" si="45"/>
        <v>2690</v>
      </c>
      <c r="B2703" s="21">
        <f ca="1">Master[[#This Row],[ChecklistID]]+Master[[#This Row],[Checklist Order]]</f>
        <v>233013</v>
      </c>
      <c r="C2703" s="22"/>
      <c r="D2703" s="23" t="str" cm="1">
        <f t="array" aca="1" ref="D2703" ca="1">_xlfn.SWITCH(MID(Master[[#This Row],[Checklist]],1,4),"C - ","Civil","F - ","Foundation","ST -","Structure","FC -","Façade","PRE ","Pre-Line","POST","Post-Line","H - ","Handover","S - ","Services","CST ","Completion Docs", "I - ", "Inspection")</f>
        <v>Inspection</v>
      </c>
      <c r="E2703"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3" s="24" t="str">
        <f ca="1">IF(OR(Master[[#This Row],[Type]]="checklist", Master[[#This Row],[Type]]="checklist-flat"), Master[[#This Row],[Name]], F2702)</f>
        <v>I - C - Site Visit Report</v>
      </c>
      <c r="G2703" s="3" t="s">
        <v>49</v>
      </c>
      <c r="H2703" s="24" t="s">
        <v>1975</v>
      </c>
      <c r="I2703" s="40"/>
      <c r="J2703" s="21">
        <f ca="1">_xlfn.XLOOKUP(Master[[#This Row],[Checklist]],Ref!A:A,Ref!B:B)*1000</f>
        <v>233000</v>
      </c>
      <c r="K2703" s="21">
        <f ca="1">COUNTIF($J$2:Master[[#This Row],[ChecklistID]],Master[[#This Row],[ChecklistID]])-1</f>
        <v>13</v>
      </c>
      <c r="L2703" s="23" t="s">
        <v>6</v>
      </c>
    </row>
    <row r="2704" spans="1:12" ht="15.75">
      <c r="A2704" s="23">
        <f t="shared" si="45"/>
        <v>2691</v>
      </c>
      <c r="B2704" s="21">
        <f ca="1">Master[[#This Row],[ChecklistID]]+Master[[#This Row],[Checklist Order]]</f>
        <v>233014</v>
      </c>
      <c r="C2704" s="22"/>
      <c r="D2704" s="23" t="str" cm="1">
        <f t="array" aca="1" ref="D2704" ca="1">_xlfn.SWITCH(MID(Master[[#This Row],[Checklist]],1,4),"C - ","Civil","F - ","Foundation","ST -","Structure","FC -","Façade","PRE ","Pre-Line","POST","Post-Line","H - ","Handover","S - ","Services","CST ","Completion Docs", "I - ", "Inspection")</f>
        <v>Inspection</v>
      </c>
      <c r="E2704"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4" s="24" t="str">
        <f ca="1">IF(OR(Master[[#This Row],[Type]]="checklist", Master[[#This Row],[Type]]="checklist-flat"), Master[[#This Row],[Name]], F2703)</f>
        <v>I - C - Site Visit Report</v>
      </c>
      <c r="G2704" s="3" t="s">
        <v>120</v>
      </c>
      <c r="H2704" s="24" t="s">
        <v>1733</v>
      </c>
      <c r="I2704" s="40"/>
      <c r="J2704" s="21">
        <f ca="1">_xlfn.XLOOKUP(Master[[#This Row],[Checklist]],Ref!A:A,Ref!B:B)*1000</f>
        <v>233000</v>
      </c>
      <c r="K2704" s="21">
        <f ca="1">COUNTIF($J$2:Master[[#This Row],[ChecklistID]],Master[[#This Row],[ChecklistID]])-1</f>
        <v>14</v>
      </c>
      <c r="L2704" s="23" t="s">
        <v>6</v>
      </c>
    </row>
    <row r="2705" spans="1:12" ht="15.75">
      <c r="A2705" s="23">
        <f t="shared" si="45"/>
        <v>2692</v>
      </c>
      <c r="B2705" s="21">
        <f ca="1">Master[[#This Row],[ChecklistID]]+Master[[#This Row],[Checklist Order]]</f>
        <v>233015</v>
      </c>
      <c r="C2705" s="22"/>
      <c r="D2705" s="23" t="str" cm="1">
        <f t="array" aca="1" ref="D2705" ca="1">_xlfn.SWITCH(MID(Master[[#This Row],[Checklist]],1,4),"C - ","Civil","F - ","Foundation","ST -","Structure","FC -","Façade","PRE ","Pre-Line","POST","Post-Line","H - ","Handover","S - ","Services","CST ","Completion Docs", "I - ", "Inspection")</f>
        <v>Inspection</v>
      </c>
      <c r="E2705"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5" s="24" t="str">
        <f ca="1">IF(OR(Master[[#This Row],[Type]]="checklist", Master[[#This Row],[Type]]="checklist-flat"), Master[[#This Row],[Name]], F2704)</f>
        <v>I - C - Site Visit Report</v>
      </c>
      <c r="G2705" s="3" t="s">
        <v>49</v>
      </c>
      <c r="H2705" s="24" t="s">
        <v>1976</v>
      </c>
      <c r="I2705" s="40"/>
      <c r="J2705" s="21">
        <f ca="1">_xlfn.XLOOKUP(Master[[#This Row],[Checklist]],Ref!A:A,Ref!B:B)*1000</f>
        <v>233000</v>
      </c>
      <c r="K2705" s="21">
        <f ca="1">COUNTIF($J$2:Master[[#This Row],[ChecklistID]],Master[[#This Row],[ChecklistID]])-1</f>
        <v>15</v>
      </c>
      <c r="L2705" s="23" t="s">
        <v>6</v>
      </c>
    </row>
    <row r="2706" spans="1:12" ht="15.75">
      <c r="A2706" s="23">
        <f t="shared" si="45"/>
        <v>2693</v>
      </c>
      <c r="B2706" s="21">
        <f ca="1">Master[[#This Row],[ChecklistID]]+Master[[#This Row],[Checklist Order]]</f>
        <v>233016</v>
      </c>
      <c r="C2706" s="22"/>
      <c r="D2706" s="23" t="str" cm="1">
        <f t="array" aca="1" ref="D2706" ca="1">_xlfn.SWITCH(MID(Master[[#This Row],[Checklist]],1,4),"C - ","Civil","F - ","Foundation","ST -","Structure","FC -","Façade","PRE ","Pre-Line","POST","Post-Line","H - ","Handover","S - ","Services","CST ","Completion Docs", "I - ", "Inspection")</f>
        <v>Inspection</v>
      </c>
      <c r="E2706"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6" s="24" t="str">
        <f ca="1">IF(OR(Master[[#This Row],[Type]]="checklist", Master[[#This Row],[Type]]="checklist-flat"), Master[[#This Row],[Name]], F2705)</f>
        <v>I - C - Site Visit Report</v>
      </c>
      <c r="G2706" s="3" t="s">
        <v>1977</v>
      </c>
      <c r="H2706" s="24" t="s">
        <v>1978</v>
      </c>
      <c r="I2706" s="40"/>
      <c r="J2706" s="21">
        <f ca="1">_xlfn.XLOOKUP(Master[[#This Row],[Checklist]],Ref!A:A,Ref!B:B)*1000</f>
        <v>233000</v>
      </c>
      <c r="K2706" s="21">
        <f ca="1">COUNTIF($J$2:Master[[#This Row],[ChecklistID]],Master[[#This Row],[ChecklistID]])-1</f>
        <v>16</v>
      </c>
      <c r="L2706" s="23" t="s">
        <v>6</v>
      </c>
    </row>
    <row r="2707" spans="1:12" ht="15.75">
      <c r="A2707" s="23">
        <f t="shared" si="45"/>
        <v>2694</v>
      </c>
      <c r="B2707" s="21">
        <f ca="1">Master[[#This Row],[ChecklistID]]+Master[[#This Row],[Checklist Order]]</f>
        <v>233017</v>
      </c>
      <c r="C2707" s="22"/>
      <c r="D2707" s="23" t="str" cm="1">
        <f t="array" aca="1" ref="D2707" ca="1">_xlfn.SWITCH(MID(Master[[#This Row],[Checklist]],1,4),"C - ","Civil","F - ","Foundation","ST -","Structure","FC -","Façade","PRE ","Pre-Line","POST","Post-Line","H - ","Handover","S - ","Services","CST ","Completion Docs", "I - ", "Inspection")</f>
        <v>Inspection</v>
      </c>
      <c r="E2707"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7" s="24" t="str">
        <f ca="1">IF(OR(Master[[#This Row],[Type]]="checklist", Master[[#This Row],[Type]]="checklist-flat"), Master[[#This Row],[Name]], F2706)</f>
        <v>I - C - Site Visit Report</v>
      </c>
      <c r="G2707" s="3" t="s">
        <v>1739</v>
      </c>
      <c r="H2707" s="24" t="s">
        <v>1979</v>
      </c>
      <c r="I2707" s="40"/>
      <c r="J2707" s="21">
        <f ca="1">_xlfn.XLOOKUP(Master[[#This Row],[Checklist]],Ref!A:A,Ref!B:B)*1000</f>
        <v>233000</v>
      </c>
      <c r="K2707" s="21">
        <f ca="1">COUNTIF($J$2:Master[[#This Row],[ChecklistID]],Master[[#This Row],[ChecklistID]])-1</f>
        <v>17</v>
      </c>
      <c r="L2707" s="23" t="s">
        <v>6</v>
      </c>
    </row>
    <row r="2708" spans="1:12" ht="15.75">
      <c r="A2708" s="23">
        <f t="shared" si="45"/>
        <v>2695</v>
      </c>
      <c r="B2708" s="21">
        <f ca="1">Master[[#This Row],[ChecklistID]]+Master[[#This Row],[Checklist Order]]</f>
        <v>233018</v>
      </c>
      <c r="C2708" s="22"/>
      <c r="D2708" s="23" t="str" cm="1">
        <f t="array" aca="1" ref="D2708" ca="1">_xlfn.SWITCH(MID(Master[[#This Row],[Checklist]],1,4),"C - ","Civil","F - ","Foundation","ST -","Structure","FC -","Façade","PRE ","Pre-Line","POST","Post-Line","H - ","Handover","S - ","Services","CST ","Completion Docs", "I - ", "Inspection")</f>
        <v>Inspection</v>
      </c>
      <c r="E2708"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8" s="24" t="str">
        <f ca="1">IF(OR(Master[[#This Row],[Type]]="checklist", Master[[#This Row],[Type]]="checklist-flat"), Master[[#This Row],[Name]], F2707)</f>
        <v>I - C - Site Visit Report</v>
      </c>
      <c r="G2708" s="3" t="s">
        <v>124</v>
      </c>
      <c r="H2708" s="24" t="s">
        <v>1980</v>
      </c>
      <c r="I2708" s="40"/>
      <c r="J2708" s="21">
        <f ca="1">_xlfn.XLOOKUP(Master[[#This Row],[Checklist]],Ref!A:A,Ref!B:B)*1000</f>
        <v>233000</v>
      </c>
      <c r="K2708" s="21">
        <f ca="1">COUNTIF($J$2:Master[[#This Row],[ChecklistID]],Master[[#This Row],[ChecklistID]])-1</f>
        <v>18</v>
      </c>
      <c r="L2708" s="23" t="s">
        <v>6</v>
      </c>
    </row>
    <row r="2709" spans="1:12" ht="15.75">
      <c r="A2709" s="23">
        <f t="shared" si="45"/>
        <v>2696</v>
      </c>
      <c r="B2709" s="21">
        <f ca="1">Master[[#This Row],[ChecklistID]]+Master[[#This Row],[Checklist Order]]</f>
        <v>233019</v>
      </c>
      <c r="C2709" s="22"/>
      <c r="D2709" s="23" t="str" cm="1">
        <f t="array" aca="1" ref="D2709" ca="1">_xlfn.SWITCH(MID(Master[[#This Row],[Checklist]],1,4),"C - ","Civil","F - ","Foundation","ST -","Structure","FC -","Façade","PRE ","Pre-Line","POST","Post-Line","H - ","Handover","S - ","Services","CST ","Completion Docs", "I - ", "Inspection")</f>
        <v>Inspection</v>
      </c>
      <c r="E2709" s="23" t="str">
        <f ca="1">IF(NOT(ISERROR(SEARCH("- S -", Master[[#This Row],[Checklist]]))), "Subcontractor",IF(NOT(ISERROR(SEARCH("- R -", Master[[#This Row],[Checklist]]))), "Ryman",IF(NOT(ISERROR(SEARCH("- C -", Master[[#This Row],[Checklist]]))), "Consultant",IF(NOT(ISERROR(SEARCH("- I -", Master[[#This Row],[Checklist]]))),  "Inspection Test Plan", "Naming Error"))))</f>
        <v>Consultant</v>
      </c>
      <c r="F2709" s="24" t="str">
        <f ca="1">IF(OR(Master[[#This Row],[Type]]="checklist", Master[[#This Row],[Type]]="checklist-flat"), Master[[#This Row],[Name]], F2708)</f>
        <v>I - C - Site Visit Report</v>
      </c>
      <c r="G2709" s="3" t="s">
        <v>1119</v>
      </c>
      <c r="H2709" s="24" t="s">
        <v>209</v>
      </c>
      <c r="I2709" s="40"/>
      <c r="J2709" s="21">
        <f ca="1">_xlfn.XLOOKUP(Master[[#This Row],[Checklist]],Ref!A:A,Ref!B:B)*1000</f>
        <v>233000</v>
      </c>
      <c r="K2709" s="21">
        <f ca="1">COUNTIF($J$2:Master[[#This Row],[ChecklistID]],Master[[#This Row],[ChecklistID]])-1</f>
        <v>19</v>
      </c>
      <c r="L2709" s="23" t="s">
        <v>6</v>
      </c>
    </row>
    <row r="2710" spans="1:12" ht="15.75">
      <c r="A2710" s="23">
        <f t="shared" si="45"/>
        <v>2697</v>
      </c>
      <c r="B2710" s="21">
        <f ca="1">Master[[#This Row],[ChecklistID]]+Master[[#This Row],[Checklist Order]]</f>
        <v>234000</v>
      </c>
      <c r="C2710" s="22"/>
      <c r="D2710" s="23" t="str" cm="1">
        <f t="array" aca="1" ref="D2710" ca="1">_xlfn.SWITCH(MID(Master[[#This Row],[Checklist]],1,4),"C - ","Civil","F - ","Foundation","ST -","Structure","FC -","Façade","PRE ","Pre-Line","POST","Post-Line","H - ","Handover","S - ","Services","CST ","Completion Docs", "I - ", "Inspection")</f>
        <v>Façade</v>
      </c>
      <c r="E2710" s="23" t="str">
        <f ca="1">IF(NOT(ISERROR(SEARCH("- S -", Master[[#This Row],[Checklist]]))), "Subcontractor",IF(NOT(ISERROR(SEARCH("- R -", Master[[#This Row],[Checklist]]))), "Ryman",IF(NOT(ISERROR(SEARCH("- C -", Master[[#This Row],[Checklist]]))), "Consultant",IF(NOT(ISERROR(SEARCH("- I -", Master[[#This Row],[Checklist]]))),  "Inspection Test Plan", "Naming Error"))))</f>
        <v>Ryman</v>
      </c>
      <c r="F2710" s="24" t="str">
        <f ca="1">IF(OR(Master[[#This Row],[Type]]="checklist", Master[[#This Row],[Type]]="checklist-flat"), Master[[#This Row],[Name]], F2709)</f>
        <v>FC - R - Fascia/Gutter</v>
      </c>
      <c r="G2710" s="3" t="s">
        <v>48</v>
      </c>
      <c r="H2710" s="24" t="s">
        <v>1981</v>
      </c>
      <c r="I2710" s="40"/>
      <c r="J2710" s="21">
        <f ca="1">_xlfn.XLOOKUP(Master[[#This Row],[Checklist]],Ref!A:A,Ref!B:B)*1000</f>
        <v>234000</v>
      </c>
      <c r="K2710" s="21">
        <f ca="1">COUNTIF($J$2:Master[[#This Row],[ChecklistID]],Master[[#This Row],[ChecklistID]])-1</f>
        <v>0</v>
      </c>
      <c r="L2710" s="23" t="s">
        <v>6</v>
      </c>
    </row>
    <row r="2711" spans="1:12" ht="15.75">
      <c r="A2711" s="23">
        <f t="shared" si="45"/>
        <v>2698</v>
      </c>
      <c r="B2711" s="21">
        <f ca="1">Master[[#This Row],[ChecklistID]]+Master[[#This Row],[Checklist Order]]</f>
        <v>234001</v>
      </c>
      <c r="C2711" s="22"/>
      <c r="D2711" s="23" t="str" cm="1">
        <f t="array" aca="1" ref="D2711" ca="1">_xlfn.SWITCH(MID(Master[[#This Row],[Checklist]],1,4),"C - ","Civil","F - ","Foundation","ST -","Structure","FC -","Façade","PRE ","Pre-Line","POST","Post-Line","H - ","Handover","S - ","Services","CST ","Completion Docs", "I - ", "Inspection")</f>
        <v>Façade</v>
      </c>
      <c r="E2711" s="23" t="str">
        <f ca="1">IF(NOT(ISERROR(SEARCH("- S -", Master[[#This Row],[Checklist]]))), "Subcontractor",IF(NOT(ISERROR(SEARCH("- R -", Master[[#This Row],[Checklist]]))), "Ryman",IF(NOT(ISERROR(SEARCH("- C -", Master[[#This Row],[Checklist]]))), "Consultant",IF(NOT(ISERROR(SEARCH("- I -", Master[[#This Row],[Checklist]]))),  "Inspection Test Plan", "Naming Error"))))</f>
        <v>Ryman</v>
      </c>
      <c r="F2711" s="24" t="str">
        <f ca="1">IF(OR(Master[[#This Row],[Type]]="checklist", Master[[#This Row],[Type]]="checklist-flat"), Master[[#This Row],[Name]], F2710)</f>
        <v>FC - R - Fascia/Gutter</v>
      </c>
      <c r="G2711" s="3" t="s">
        <v>1982</v>
      </c>
      <c r="H2711" s="24" t="s">
        <v>1263</v>
      </c>
      <c r="I2711" s="40"/>
      <c r="J2711" s="21">
        <f ca="1">_xlfn.XLOOKUP(Master[[#This Row],[Checklist]],Ref!A:A,Ref!B:B)*1000</f>
        <v>234000</v>
      </c>
      <c r="K2711" s="21">
        <f ca="1">COUNTIF($J$2:Master[[#This Row],[ChecklistID]],Master[[#This Row],[ChecklistID]])-1</f>
        <v>1</v>
      </c>
      <c r="L2711" s="23" t="s">
        <v>6</v>
      </c>
    </row>
    <row r="2712" spans="1:12" ht="15.75">
      <c r="A2712" s="23">
        <f t="shared" si="45"/>
        <v>2699</v>
      </c>
      <c r="B2712" s="21">
        <f ca="1">Master[[#This Row],[ChecklistID]]+Master[[#This Row],[Checklist Order]]</f>
        <v>234002</v>
      </c>
      <c r="C2712" s="22"/>
      <c r="D2712" s="23" t="str" cm="1">
        <f t="array" aca="1" ref="D2712" ca="1">_xlfn.SWITCH(MID(Master[[#This Row],[Checklist]],1,4),"C - ","Civil","F - ","Foundation","ST -","Structure","FC -","Façade","PRE ","Pre-Line","POST","Post-Line","H - ","Handover","S - ","Services","CST ","Completion Docs", "I - ", "Inspection")</f>
        <v>Façade</v>
      </c>
      <c r="E2712" s="23" t="str">
        <f ca="1">IF(NOT(ISERROR(SEARCH("- S -", Master[[#This Row],[Checklist]]))), "Subcontractor",IF(NOT(ISERROR(SEARCH("- R -", Master[[#This Row],[Checklist]]))), "Ryman",IF(NOT(ISERROR(SEARCH("- C -", Master[[#This Row],[Checklist]]))), "Consultant",IF(NOT(ISERROR(SEARCH("- I -", Master[[#This Row],[Checklist]]))),  "Inspection Test Plan", "Naming Error"))))</f>
        <v>Ryman</v>
      </c>
      <c r="F2712" s="24" t="str">
        <f ca="1">IF(OR(Master[[#This Row],[Type]]="checklist", Master[[#This Row],[Type]]="checklist-flat"), Master[[#This Row],[Name]], F2711)</f>
        <v>FC - R - Fascia/Gutter</v>
      </c>
      <c r="G2712" s="3" t="s">
        <v>1982</v>
      </c>
      <c r="H2712" s="24" t="s">
        <v>1264</v>
      </c>
      <c r="I2712" s="40"/>
      <c r="J2712" s="21">
        <f ca="1">_xlfn.XLOOKUP(Master[[#This Row],[Checklist]],Ref!A:A,Ref!B:B)*1000</f>
        <v>234000</v>
      </c>
      <c r="K2712" s="21">
        <f ca="1">COUNTIF($J$2:Master[[#This Row],[ChecklistID]],Master[[#This Row],[ChecklistID]])-1</f>
        <v>2</v>
      </c>
      <c r="L2712" s="23" t="s">
        <v>6</v>
      </c>
    </row>
    <row r="2713" spans="1:12" ht="15.75">
      <c r="A2713" s="23">
        <f t="shared" si="45"/>
        <v>2700</v>
      </c>
      <c r="B2713" s="21">
        <f ca="1">Master[[#This Row],[ChecklistID]]+Master[[#This Row],[Checklist Order]]</f>
        <v>234003</v>
      </c>
      <c r="C2713" s="22"/>
      <c r="D2713" s="23" t="str" cm="1">
        <f t="array" aca="1" ref="D2713" ca="1">_xlfn.SWITCH(MID(Master[[#This Row],[Checklist]],1,4),"C - ","Civil","F - ","Foundation","ST -","Structure","FC -","Façade","PRE ","Pre-Line","POST","Post-Line","H - ","Handover","S - ","Services","CST ","Completion Docs", "I - ", "Inspection")</f>
        <v>Façade</v>
      </c>
      <c r="E2713" s="23" t="str">
        <f ca="1">IF(NOT(ISERROR(SEARCH("- S -", Master[[#This Row],[Checklist]]))), "Subcontractor",IF(NOT(ISERROR(SEARCH("- R -", Master[[#This Row],[Checklist]]))), "Ryman",IF(NOT(ISERROR(SEARCH("- C -", Master[[#This Row],[Checklist]]))), "Consultant",IF(NOT(ISERROR(SEARCH("- I -", Master[[#This Row],[Checklist]]))),  "Inspection Test Plan", "Naming Error"))))</f>
        <v>Ryman</v>
      </c>
      <c r="F2713" s="24" t="str">
        <f ca="1">IF(OR(Master[[#This Row],[Type]]="checklist", Master[[#This Row],[Type]]="checklist-flat"), Master[[#This Row],[Name]], F2712)</f>
        <v>FC - R - Fascia/Gutter</v>
      </c>
      <c r="G2713" s="3" t="s">
        <v>58</v>
      </c>
      <c r="H2713" s="24" t="s">
        <v>306</v>
      </c>
      <c r="I2713" s="40"/>
      <c r="J2713" s="21">
        <f ca="1">_xlfn.XLOOKUP(Master[[#This Row],[Checklist]],Ref!A:A,Ref!B:B)*1000</f>
        <v>234000</v>
      </c>
      <c r="K2713" s="21">
        <f ca="1">COUNTIF($J$2:Master[[#This Row],[ChecklistID]],Master[[#This Row],[ChecklistID]])-1</f>
        <v>3</v>
      </c>
      <c r="L2713" s="23" t="s">
        <v>6</v>
      </c>
    </row>
    <row r="2714" spans="1:12" ht="15.75">
      <c r="A2714" s="23">
        <f t="shared" si="45"/>
        <v>2701</v>
      </c>
      <c r="B2714" s="21">
        <f ca="1">Master[[#This Row],[ChecklistID]]+Master[[#This Row],[Checklist Order]]</f>
        <v>234004</v>
      </c>
      <c r="C2714" s="22"/>
      <c r="D2714" s="23" t="str" cm="1">
        <f t="array" aca="1" ref="D2714" ca="1">_xlfn.SWITCH(MID(Master[[#This Row],[Checklist]],1,4),"C - ","Civil","F - ","Foundation","ST -","Structure","FC -","Façade","PRE ","Pre-Line","POST","Post-Line","H - ","Handover","S - ","Services","CST ","Completion Docs", "I - ", "Inspection")</f>
        <v>Façade</v>
      </c>
      <c r="E2714" s="23" t="str">
        <f ca="1">IF(NOT(ISERROR(SEARCH("- S -", Master[[#This Row],[Checklist]]))), "Subcontractor",IF(NOT(ISERROR(SEARCH("- R -", Master[[#This Row],[Checklist]]))), "Ryman",IF(NOT(ISERROR(SEARCH("- C -", Master[[#This Row],[Checklist]]))), "Consultant",IF(NOT(ISERROR(SEARCH("- I -", Master[[#This Row],[Checklist]]))),  "Inspection Test Plan", "Naming Error"))))</f>
        <v>Ryman</v>
      </c>
      <c r="F2714" s="24" t="str">
        <f ca="1">IF(OR(Master[[#This Row],[Type]]="checklist", Master[[#This Row],[Type]]="checklist-flat"), Master[[#This Row],[Name]], F2713)</f>
        <v>FC - R - Fascia/Gutter</v>
      </c>
      <c r="G2714" s="3" t="s">
        <v>1982</v>
      </c>
      <c r="H2714" s="24" t="s">
        <v>1983</v>
      </c>
      <c r="I2714" s="40"/>
      <c r="J2714" s="21">
        <f ca="1">_xlfn.XLOOKUP(Master[[#This Row],[Checklist]],Ref!A:A,Ref!B:B)*1000</f>
        <v>234000</v>
      </c>
      <c r="K2714" s="21">
        <f ca="1">COUNTIF($J$2:Master[[#This Row],[ChecklistID]],Master[[#This Row],[ChecklistID]])-1</f>
        <v>4</v>
      </c>
      <c r="L2714" s="23" t="s">
        <v>6</v>
      </c>
    </row>
    <row r="2715" spans="1:12" ht="15.75">
      <c r="A2715" s="23">
        <f t="shared" si="45"/>
        <v>2702</v>
      </c>
      <c r="B2715" s="21">
        <f ca="1">Master[[#This Row],[ChecklistID]]+Master[[#This Row],[Checklist Order]]</f>
        <v>235000</v>
      </c>
      <c r="C2715" s="22"/>
      <c r="D2715" s="23" t="str" cm="1">
        <f t="array" aca="1" ref="D2715" ca="1">_xlfn.SWITCH(MID(Master[[#This Row],[Checklist]],1,4),"C - ","Civil","F - ","Foundation","ST -","Structure","FC -","Façade","PRE ","Pre-Line","POST","Post-Line","H - ","Handover","S - ","Services","CST ","Completion Docs", "I - ", "Inspection")</f>
        <v>Structure</v>
      </c>
      <c r="E271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15" s="24" t="str">
        <f ca="1">IF(OR(Master[[#This Row],[Type]]="checklist", Master[[#This Row],[Type]]="checklist-flat"), Master[[#This Row],[Name]], F2714)</f>
        <v>ST - S - Wall Strapping</v>
      </c>
      <c r="G2715" s="3" t="s">
        <v>119</v>
      </c>
      <c r="H2715" s="24" t="s">
        <v>1984</v>
      </c>
      <c r="I2715" s="40"/>
      <c r="J2715" s="21">
        <f ca="1">_xlfn.XLOOKUP(Master[[#This Row],[Checklist]],Ref!A:A,Ref!B:B)*1000</f>
        <v>235000</v>
      </c>
      <c r="K2715" s="21">
        <f ca="1">COUNTIF($J$2:Master[[#This Row],[ChecklistID]],Master[[#This Row],[ChecklistID]])-1</f>
        <v>0</v>
      </c>
      <c r="L2715" s="23" t="s">
        <v>6</v>
      </c>
    </row>
    <row r="2716" spans="1:12" ht="15.75">
      <c r="A2716" s="23">
        <f t="shared" si="45"/>
        <v>2703</v>
      </c>
      <c r="B2716" s="21">
        <f ca="1">Master[[#This Row],[ChecklistID]]+Master[[#This Row],[Checklist Order]]</f>
        <v>235001</v>
      </c>
      <c r="C2716" s="22"/>
      <c r="D2716" s="23" t="str" cm="1">
        <f t="array" aca="1" ref="D2716" ca="1">_xlfn.SWITCH(MID(Master[[#This Row],[Checklist]],1,4),"C - ","Civil","F - ","Foundation","ST -","Structure","FC -","Façade","PRE ","Pre-Line","POST","Post-Line","H - ","Handover","S - ","Services","CST ","Completion Docs", "I - ", "Inspection")</f>
        <v>Structure</v>
      </c>
      <c r="E2716"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16" s="24" t="str">
        <f ca="1">IF(OR(Master[[#This Row],[Type]]="checklist", Master[[#This Row],[Type]]="checklist-flat"), Master[[#This Row],[Name]], F2715)</f>
        <v>ST - S - Wall Strapping</v>
      </c>
      <c r="G2716" s="3" t="s">
        <v>120</v>
      </c>
      <c r="H2716" s="24" t="s">
        <v>1985</v>
      </c>
      <c r="I2716" s="40"/>
      <c r="J2716" s="21">
        <f ca="1">_xlfn.XLOOKUP(Master[[#This Row],[Checklist]],Ref!A:A,Ref!B:B)*1000</f>
        <v>235000</v>
      </c>
      <c r="K2716" s="21">
        <f ca="1">COUNTIF($J$2:Master[[#This Row],[ChecklistID]],Master[[#This Row],[ChecklistID]])-1</f>
        <v>1</v>
      </c>
      <c r="L2716" s="23" t="s">
        <v>6</v>
      </c>
    </row>
    <row r="2717" spans="1:12" ht="15.75">
      <c r="A2717" s="23">
        <f t="shared" si="45"/>
        <v>2704</v>
      </c>
      <c r="B2717" s="21">
        <f ca="1">Master[[#This Row],[ChecklistID]]+Master[[#This Row],[Checklist Order]]</f>
        <v>235002</v>
      </c>
      <c r="C2717" s="22"/>
      <c r="D2717" s="23" t="str" cm="1">
        <f t="array" aca="1" ref="D2717" ca="1">_xlfn.SWITCH(MID(Master[[#This Row],[Checklist]],1,4),"C - ","Civil","F - ","Foundation","ST -","Structure","FC -","Façade","PRE ","Pre-Line","POST","Post-Line","H - ","Handover","S - ","Services","CST ","Completion Docs", "I - ", "Inspection")</f>
        <v>Structure</v>
      </c>
      <c r="E2717"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17" s="24" t="str">
        <f ca="1">IF(OR(Master[[#This Row],[Type]]="checklist", Master[[#This Row],[Type]]="checklist-flat"), Master[[#This Row],[Name]], F2716)</f>
        <v>ST - S - Wall Strapping</v>
      </c>
      <c r="G2717" s="3" t="s">
        <v>49</v>
      </c>
      <c r="H2717" s="24" t="s">
        <v>1986</v>
      </c>
      <c r="I2717" s="40"/>
      <c r="J2717" s="21">
        <f ca="1">_xlfn.XLOOKUP(Master[[#This Row],[Checklist]],Ref!A:A,Ref!B:B)*1000</f>
        <v>235000</v>
      </c>
      <c r="K2717" s="21">
        <f ca="1">COUNTIF($J$2:Master[[#This Row],[ChecklistID]],Master[[#This Row],[ChecklistID]])-1</f>
        <v>2</v>
      </c>
      <c r="L2717" s="23" t="s">
        <v>6</v>
      </c>
    </row>
    <row r="2718" spans="1:12" ht="15.75">
      <c r="A2718" s="23">
        <f t="shared" si="45"/>
        <v>2705</v>
      </c>
      <c r="B2718" s="21">
        <f ca="1">Master[[#This Row],[ChecklistID]]+Master[[#This Row],[Checklist Order]]</f>
        <v>235003</v>
      </c>
      <c r="C2718" s="22"/>
      <c r="D2718" s="23" t="str" cm="1">
        <f t="array" aca="1" ref="D2718" ca="1">_xlfn.SWITCH(MID(Master[[#This Row],[Checklist]],1,4),"C - ","Civil","F - ","Foundation","ST -","Structure","FC -","Façade","PRE ","Pre-Line","POST","Post-Line","H - ","Handover","S - ","Services","CST ","Completion Docs", "I - ", "Inspection")</f>
        <v>Structure</v>
      </c>
      <c r="E2718"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18" s="24" t="str">
        <f ca="1">IF(OR(Master[[#This Row],[Type]]="checklist", Master[[#This Row],[Type]]="checklist-flat"), Master[[#This Row],[Name]], F2717)</f>
        <v>ST - S - Wall Strapping</v>
      </c>
      <c r="G2718" s="3" t="s">
        <v>49</v>
      </c>
      <c r="H2718" s="24" t="s">
        <v>1987</v>
      </c>
      <c r="I2718" s="40"/>
      <c r="J2718" s="21">
        <f ca="1">_xlfn.XLOOKUP(Master[[#This Row],[Checklist]],Ref!A:A,Ref!B:B)*1000</f>
        <v>235000</v>
      </c>
      <c r="K2718" s="21">
        <f ca="1">COUNTIF($J$2:Master[[#This Row],[ChecklistID]],Master[[#This Row],[ChecklistID]])-1</f>
        <v>3</v>
      </c>
      <c r="L2718" s="23" t="s">
        <v>6</v>
      </c>
    </row>
    <row r="2719" spans="1:12" ht="15.75">
      <c r="A2719" s="23">
        <f t="shared" si="45"/>
        <v>2706</v>
      </c>
      <c r="B2719" s="21">
        <f ca="1">Master[[#This Row],[ChecklistID]]+Master[[#This Row],[Checklist Order]]</f>
        <v>235004</v>
      </c>
      <c r="C2719" s="22"/>
      <c r="D2719" s="23" t="str" cm="1">
        <f t="array" aca="1" ref="D2719" ca="1">_xlfn.SWITCH(MID(Master[[#This Row],[Checklist]],1,4),"C - ","Civil","F - ","Foundation","ST -","Structure","FC -","Façade","PRE ","Pre-Line","POST","Post-Line","H - ","Handover","S - ","Services","CST ","Completion Docs", "I - ", "Inspection")</f>
        <v>Structure</v>
      </c>
      <c r="E2719"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19" s="24" t="str">
        <f ca="1">IF(OR(Master[[#This Row],[Type]]="checklist", Master[[#This Row],[Type]]="checklist-flat"), Master[[#This Row],[Name]], F2718)</f>
        <v>ST - S - Wall Strapping</v>
      </c>
      <c r="G2719" s="3" t="s">
        <v>49</v>
      </c>
      <c r="H2719" s="24" t="s">
        <v>1988</v>
      </c>
      <c r="I2719" s="40"/>
      <c r="J2719" s="21">
        <f ca="1">_xlfn.XLOOKUP(Master[[#This Row],[Checklist]],Ref!A:A,Ref!B:B)*1000</f>
        <v>235000</v>
      </c>
      <c r="K2719" s="21">
        <f ca="1">COUNTIF($J$2:Master[[#This Row],[ChecklistID]],Master[[#This Row],[ChecklistID]])-1</f>
        <v>4</v>
      </c>
      <c r="L2719" s="23" t="s">
        <v>6</v>
      </c>
    </row>
    <row r="2720" spans="1:12" ht="15.75">
      <c r="A2720" s="23">
        <f t="shared" si="45"/>
        <v>2707</v>
      </c>
      <c r="B2720" s="21">
        <f ca="1">Master[[#This Row],[ChecklistID]]+Master[[#This Row],[Checklist Order]]</f>
        <v>235005</v>
      </c>
      <c r="C2720" s="22"/>
      <c r="D2720" s="23" t="str" cm="1">
        <f t="array" aca="1" ref="D2720" ca="1">_xlfn.SWITCH(MID(Master[[#This Row],[Checklist]],1,4),"C - ","Civil","F - ","Foundation","ST -","Structure","FC -","Façade","PRE ","Pre-Line","POST","Post-Line","H - ","Handover","S - ","Services","CST ","Completion Docs", "I - ", "Inspection")</f>
        <v>Structure</v>
      </c>
      <c r="E2720"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20" s="24" t="str">
        <f ca="1">IF(OR(Master[[#This Row],[Type]]="checklist", Master[[#This Row],[Type]]="checklist-flat"), Master[[#This Row],[Name]], F2719)</f>
        <v>ST - S - Wall Strapping</v>
      </c>
      <c r="G2720" s="3" t="s">
        <v>49</v>
      </c>
      <c r="H2720" s="24" t="s">
        <v>1989</v>
      </c>
      <c r="I2720" s="40"/>
      <c r="J2720" s="21">
        <f ca="1">_xlfn.XLOOKUP(Master[[#This Row],[Checklist]],Ref!A:A,Ref!B:B)*1000</f>
        <v>235000</v>
      </c>
      <c r="K2720" s="21">
        <f ca="1">COUNTIF($J$2:Master[[#This Row],[ChecklistID]],Master[[#This Row],[ChecklistID]])-1</f>
        <v>5</v>
      </c>
      <c r="L2720" s="23" t="s">
        <v>6</v>
      </c>
    </row>
    <row r="2721" spans="1:12" ht="15.75">
      <c r="A2721" s="23">
        <f t="shared" si="45"/>
        <v>2708</v>
      </c>
      <c r="B2721" s="21">
        <f ca="1">Master[[#This Row],[ChecklistID]]+Master[[#This Row],[Checklist Order]]</f>
        <v>235006</v>
      </c>
      <c r="C2721" s="22"/>
      <c r="D2721" s="23" t="str" cm="1">
        <f t="array" aca="1" ref="D2721" ca="1">_xlfn.SWITCH(MID(Master[[#This Row],[Checklist]],1,4),"C - ","Civil","F - ","Foundation","ST -","Structure","FC -","Façade","PRE ","Pre-Line","POST","Post-Line","H - ","Handover","S - ","Services","CST ","Completion Docs", "I - ", "Inspection")</f>
        <v>Structure</v>
      </c>
      <c r="E2721"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21" s="24" t="str">
        <f ca="1">IF(OR(Master[[#This Row],[Type]]="checklist", Master[[#This Row],[Type]]="checklist-flat"), Master[[#This Row],[Name]], F2720)</f>
        <v>ST - S - Wall Strapping</v>
      </c>
      <c r="G2721" s="3" t="s">
        <v>49</v>
      </c>
      <c r="H2721" s="24" t="s">
        <v>1990</v>
      </c>
      <c r="I2721" s="40"/>
      <c r="J2721" s="21">
        <f ca="1">_xlfn.XLOOKUP(Master[[#This Row],[Checklist]],Ref!A:A,Ref!B:B)*1000</f>
        <v>235000</v>
      </c>
      <c r="K2721" s="21">
        <f ca="1">COUNTIF($J$2:Master[[#This Row],[ChecklistID]],Master[[#This Row],[ChecklistID]])-1</f>
        <v>6</v>
      </c>
      <c r="L2721" s="23" t="s">
        <v>6</v>
      </c>
    </row>
    <row r="2722" spans="1:12" ht="15.75">
      <c r="A2722" s="23">
        <f t="shared" si="45"/>
        <v>2709</v>
      </c>
      <c r="B2722" s="21">
        <f ca="1">Master[[#This Row],[ChecklistID]]+Master[[#This Row],[Checklist Order]]</f>
        <v>235007</v>
      </c>
      <c r="C2722" s="22"/>
      <c r="D2722" s="23" t="str" cm="1">
        <f t="array" aca="1" ref="D2722" ca="1">_xlfn.SWITCH(MID(Master[[#This Row],[Checklist]],1,4),"C - ","Civil","F - ","Foundation","ST -","Structure","FC -","Façade","PRE ","Pre-Line","POST","Post-Line","H - ","Handover","S - ","Services","CST ","Completion Docs", "I - ", "Inspection")</f>
        <v>Structure</v>
      </c>
      <c r="E2722"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22" s="24" t="str">
        <f ca="1">IF(OR(Master[[#This Row],[Type]]="checklist", Master[[#This Row],[Type]]="checklist-flat"), Master[[#This Row],[Name]], F2721)</f>
        <v>ST - S - Wall Strapping</v>
      </c>
      <c r="G2722" s="3" t="s">
        <v>49</v>
      </c>
      <c r="H2722" s="24" t="s">
        <v>1991</v>
      </c>
      <c r="I2722" s="40"/>
      <c r="J2722" s="21">
        <f ca="1">_xlfn.XLOOKUP(Master[[#This Row],[Checklist]],Ref!A:A,Ref!B:B)*1000</f>
        <v>235000</v>
      </c>
      <c r="K2722" s="21">
        <f ca="1">COUNTIF($J$2:Master[[#This Row],[ChecklistID]],Master[[#This Row],[ChecklistID]])-1</f>
        <v>7</v>
      </c>
      <c r="L2722" s="23" t="s">
        <v>6</v>
      </c>
    </row>
    <row r="2723" spans="1:12" ht="15.75">
      <c r="A2723" s="23">
        <f t="shared" si="45"/>
        <v>2710</v>
      </c>
      <c r="B2723" s="21">
        <f ca="1">Master[[#This Row],[ChecklistID]]+Master[[#This Row],[Checklist Order]]</f>
        <v>235008</v>
      </c>
      <c r="C2723" s="22"/>
      <c r="D2723" s="23" t="str" cm="1">
        <f t="array" aca="1" ref="D2723" ca="1">_xlfn.SWITCH(MID(Master[[#This Row],[Checklist]],1,4),"C - ","Civil","F - ","Foundation","ST -","Structure","FC -","Façade","PRE ","Pre-Line","POST","Post-Line","H - ","Handover","S - ","Services","CST ","Completion Docs", "I - ", "Inspection")</f>
        <v>Structure</v>
      </c>
      <c r="E2723"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23" s="24" t="str">
        <f ca="1">IF(OR(Master[[#This Row],[Type]]="checklist", Master[[#This Row],[Type]]="checklist-flat"), Master[[#This Row],[Name]], F2722)</f>
        <v>ST - S - Wall Strapping</v>
      </c>
      <c r="G2723" s="3" t="s">
        <v>49</v>
      </c>
      <c r="H2723" s="24" t="s">
        <v>1992</v>
      </c>
      <c r="I2723" s="40"/>
      <c r="J2723" s="21">
        <f ca="1">_xlfn.XLOOKUP(Master[[#This Row],[Checklist]],Ref!A:A,Ref!B:B)*1000</f>
        <v>235000</v>
      </c>
      <c r="K2723" s="21">
        <f ca="1">COUNTIF($J$2:Master[[#This Row],[ChecklistID]],Master[[#This Row],[ChecklistID]])-1</f>
        <v>8</v>
      </c>
      <c r="L2723" s="23" t="s">
        <v>6</v>
      </c>
    </row>
    <row r="2724" spans="1:12" ht="15.75">
      <c r="A2724" s="23">
        <f t="shared" si="45"/>
        <v>2711</v>
      </c>
      <c r="B2724" s="21">
        <f ca="1">Master[[#This Row],[ChecklistID]]+Master[[#This Row],[Checklist Order]]</f>
        <v>235009</v>
      </c>
      <c r="C2724" s="22"/>
      <c r="D2724" s="23" t="str" cm="1">
        <f t="array" aca="1" ref="D2724" ca="1">_xlfn.SWITCH(MID(Master[[#This Row],[Checklist]],1,4),"C - ","Civil","F - ","Foundation","ST -","Structure","FC -","Façade","PRE ","Pre-Line","POST","Post-Line","H - ","Handover","S - ","Services","CST ","Completion Docs", "I - ", "Inspection")</f>
        <v>Structure</v>
      </c>
      <c r="E2724"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24" s="24" t="str">
        <f ca="1">IF(OR(Master[[#This Row],[Type]]="checklist", Master[[#This Row],[Type]]="checklist-flat"), Master[[#This Row],[Name]], F2723)</f>
        <v>ST - S - Wall Strapping</v>
      </c>
      <c r="G2724" s="3" t="s">
        <v>120</v>
      </c>
      <c r="H2724" s="24" t="s">
        <v>1993</v>
      </c>
      <c r="I2724" s="40"/>
      <c r="J2724" s="21">
        <f ca="1">_xlfn.XLOOKUP(Master[[#This Row],[Checklist]],Ref!A:A,Ref!B:B)*1000</f>
        <v>235000</v>
      </c>
      <c r="K2724" s="21">
        <f ca="1">COUNTIF($J$2:Master[[#This Row],[ChecklistID]],Master[[#This Row],[ChecklistID]])-1</f>
        <v>9</v>
      </c>
      <c r="L2724" s="23" t="s">
        <v>6</v>
      </c>
    </row>
    <row r="2725" spans="1:12" ht="15.75">
      <c r="A2725" s="23">
        <f t="shared" si="45"/>
        <v>2712</v>
      </c>
      <c r="B2725" s="21">
        <f ca="1">Master[[#This Row],[ChecklistID]]+Master[[#This Row],[Checklist Order]]</f>
        <v>235010</v>
      </c>
      <c r="C2725" s="22"/>
      <c r="D2725" s="23" t="str" cm="1">
        <f t="array" aca="1" ref="D2725" ca="1">_xlfn.SWITCH(MID(Master[[#This Row],[Checklist]],1,4),"C - ","Civil","F - ","Foundation","ST -","Structure","FC -","Façade","PRE ","Pre-Line","POST","Post-Line","H - ","Handover","S - ","Services","CST ","Completion Docs", "I - ", "Inspection")</f>
        <v>Structure</v>
      </c>
      <c r="E2725" s="23" t="str">
        <f ca="1">IF(NOT(ISERROR(SEARCH("- S -", Master[[#This Row],[Checklist]]))), "Subcontractor",IF(NOT(ISERROR(SEARCH("- R -", Master[[#This Row],[Checklist]]))), "Ryman",IF(NOT(ISERROR(SEARCH("- C -", Master[[#This Row],[Checklist]]))), "Consultant",IF(NOT(ISERROR(SEARCH("- I -", Master[[#This Row],[Checklist]]))),  "Inspection Test Plan", "Naming Error"))))</f>
        <v>Subcontractor</v>
      </c>
      <c r="F2725" s="24" t="str">
        <f ca="1">IF(OR(Master[[#This Row],[Type]]="checklist", Master[[#This Row],[Type]]="checklist-flat"), Master[[#This Row],[Name]], F2724)</f>
        <v>ST - S - Wall Strapping</v>
      </c>
      <c r="G2725" s="3" t="s">
        <v>49</v>
      </c>
      <c r="H2725" s="24" t="s">
        <v>1994</v>
      </c>
      <c r="I2725" s="40"/>
      <c r="J2725" s="21">
        <f ca="1">_xlfn.XLOOKUP(Master[[#This Row],[Checklist]],Ref!A:A,Ref!B:B)*1000</f>
        <v>235000</v>
      </c>
      <c r="K2725" s="21">
        <f ca="1">COUNTIF($J$2:Master[[#This Row],[ChecklistID]],Master[[#This Row],[ChecklistID]])-1</f>
        <v>10</v>
      </c>
      <c r="L2725" s="23" t="s">
        <v>6</v>
      </c>
    </row>
  </sheetData>
  <sheetProtection sheet="1" objects="1" scenarios="1"/>
  <protectedRanges>
    <protectedRange sqref="H46:H51" name="Range1_8_1" securityDescriptor="O:WDG:WDD:(A;;CC;;;S-1-5-21-1998651556-1904430502-1845911597-49723)"/>
    <protectedRange sqref="G640:H645" name="Range1_6_1" securityDescriptor="O:WDG:WDD:(A;;CC;;;S-1-5-21-1998651556-1904430502-1845911597-49723)"/>
    <protectedRange sqref="G646:H652" name="Range1_10_1" securityDescriptor="O:WDG:WDD:(A;;CC;;;S-1-5-21-1998651556-1904430502-1845911597-49723)"/>
    <protectedRange sqref="G653:H657" name="Range1_12_1" securityDescriptor="O:WDG:WDD:(A;;CC;;;S-1-5-21-1998651556-1904430502-1845911597-49723)"/>
    <protectedRange sqref="G2366:I2383 G2391:I2506 I2384:I2390 I2507:I2518" name="Range1" securityDescriptor="O:WDG:WDD:(A;;CC;;;S-1-5-21-1998651556-1904430502-1845911597-49723)"/>
    <protectedRange sqref="G2384:H2390" name="Range1_2" securityDescriptor="O:WDG:WDD:(A;;CC;;;S-1-5-21-1998651556-1904430502-1845911597-49723)"/>
    <protectedRange sqref="G2507:H2525" name="Range1_2_1" securityDescriptor="O:WDG:WDD:(A;;CC;;;S-1-5-21-1998651556-1904430502-1845911597-49723)"/>
    <protectedRange sqref="G1022:H1049" name="Range1_1" securityDescriptor="O:WDG:WDD:(A;;CC;;;S-1-5-21-1998651556-1904430502-1845911597-49723)"/>
    <protectedRange sqref="G142:H162" name="Range1_3" securityDescriptor="O:WDG:WDD:(A;;CC;;;S-1-5-21-1998651556-1904430502-1845911597-49723)"/>
    <protectedRange sqref="H1947" name="Range1_4" securityDescriptor="O:WDG:WDD:(A;;CC;;;S-1-5-21-1998651556-1904430502-1845911597-49723)"/>
    <protectedRange sqref="G2526:H2533" name="Range1_5" securityDescriptor="O:WDG:WDD:(A;;CC;;;S-1-5-21-1998651556-1904430502-1845911597-49723)"/>
    <protectedRange sqref="G2534:I2544" name="Range1_6" securityDescriptor="O:WDG:WDD:(A;;CC;;;S-1-5-21-1998651556-1904430502-1845911597-49723)"/>
    <protectedRange sqref="G1904:H1916" name="Range1_7" securityDescriptor="O:WDG:WDD:(A;;CC;;;S-1-5-21-1998651556-1904430502-1845911597-49723)"/>
    <protectedRange sqref="G2565:H2611" name="Range1_8" securityDescriptor="O:WDG:WDD:(A;;CC;;;S-1-5-21-1998651556-1904430502-1845911597-49723)"/>
    <protectedRange sqref="G2612:H2653" name="Range1_9" securityDescriptor="O:WDG:WDD:(A;;CC;;;S-1-5-21-1998651556-1904430502-1845911597-49723)"/>
    <protectedRange sqref="G2654:I2686" name="Range1_10" securityDescriptor="O:WDG:WDD:(A;;CC;;;S-1-5-21-1998651556-1904430502-1845911597-49723)"/>
    <protectedRange sqref="H989" name="Range1_11" securityDescriptor="O:WDG:WDD:(A;;CC;;;S-1-5-21-1998651556-1904430502-1845911597-49723)"/>
    <protectedRange sqref="H993" name="Range1_12" securityDescriptor="O:WDG:WDD:(A;;CC;;;S-1-5-21-1998651556-1904430502-1845911597-49723)"/>
  </protectedRanges>
  <phoneticPr fontId="2" type="noConversion"/>
  <conditionalFormatting sqref="F609:F618">
    <cfRule type="expression" dxfId="342" priority="237">
      <formula>#REF! = "Checklist"</formula>
    </cfRule>
  </conditionalFormatting>
  <conditionalFormatting sqref="F658:F662">
    <cfRule type="expression" dxfId="341" priority="207">
      <formula>OR($E658 = "checklist",$E658 ="checklist-flat")</formula>
    </cfRule>
    <cfRule type="expression" dxfId="340" priority="208">
      <formula>$E658="Section"</formula>
    </cfRule>
  </conditionalFormatting>
  <conditionalFormatting sqref="F663:F667">
    <cfRule type="expression" dxfId="339" priority="205">
      <formula>OR($E663 = "checklist",$E663 ="checklist-flat")</formula>
    </cfRule>
    <cfRule type="expression" dxfId="338" priority="206">
      <formula>$E663="Section"</formula>
    </cfRule>
  </conditionalFormatting>
  <conditionalFormatting sqref="F668:F672">
    <cfRule type="expression" dxfId="337" priority="203">
      <formula>OR($E668 = "checklist",$E668 ="checklist-flat")</formula>
    </cfRule>
    <cfRule type="expression" dxfId="336" priority="204">
      <formula>$E668="Section"</formula>
    </cfRule>
  </conditionalFormatting>
  <conditionalFormatting sqref="B1:B1048576">
    <cfRule type="duplicateValues" dxfId="335" priority="198"/>
  </conditionalFormatting>
  <conditionalFormatting sqref="F1588:F1603">
    <cfRule type="expression" dxfId="334" priority="182">
      <formula>OR($F1588 = "checklist",$F1588 ="checklist-flat")</formula>
    </cfRule>
    <cfRule type="expression" dxfId="333" priority="183">
      <formula>$F1588="Section"</formula>
    </cfRule>
  </conditionalFormatting>
  <conditionalFormatting sqref="H46:H51 G2391:I2506 I2507:I2518">
    <cfRule type="expression" dxfId="332" priority="61">
      <formula>$H46= "section"</formula>
    </cfRule>
    <cfRule type="expression" dxfId="331" priority="62">
      <formula>OR($H46 = "checklist",$H46= "checklist-flat")</formula>
    </cfRule>
  </conditionalFormatting>
  <conditionalFormatting sqref="G179:H190 H178">
    <cfRule type="expression" dxfId="330" priority="60">
      <formula>$G178 = "Checklist"</formula>
    </cfRule>
  </conditionalFormatting>
  <conditionalFormatting sqref="H99">
    <cfRule type="expression" dxfId="329" priority="59">
      <formula>$H99="Section"</formula>
    </cfRule>
  </conditionalFormatting>
  <conditionalFormatting sqref="H99">
    <cfRule type="expression" dxfId="328" priority="58">
      <formula>$H99 = "Checklist"</formula>
    </cfRule>
  </conditionalFormatting>
  <conditionalFormatting sqref="H101">
    <cfRule type="expression" dxfId="327" priority="56">
      <formula>$G101="section"</formula>
    </cfRule>
    <cfRule type="expression" dxfId="326" priority="57">
      <formula>OR($G101="checklist", $G101="checklist-flat")</formula>
    </cfRule>
  </conditionalFormatting>
  <conditionalFormatting sqref="G593:H596 H592 G598:H601 H597 G603:H606 H602 G608:H611 H607 G613:H616 H612 G544:I544 H543:I543 G546:I549 H545:I545 G551:I554 H550:I550 G556:I559 H555:I555 G561:I563 H560:I560 G527:I542">
    <cfRule type="expression" dxfId="325" priority="54">
      <formula>OR($F527 = "checklist",$F527 ="checklist-flat")</formula>
    </cfRule>
    <cfRule type="expression" dxfId="324" priority="55">
      <formula>$F527="Section"</formula>
    </cfRule>
  </conditionalFormatting>
  <conditionalFormatting sqref="G564:I564 G566:I569 H565:I565 G571:I574 H570:I570 H575:I575">
    <cfRule type="expression" dxfId="323" priority="52">
      <formula>OR($F564 = "checklist",$F564 ="checklist-flat")</formula>
    </cfRule>
    <cfRule type="expression" dxfId="322" priority="53">
      <formula>$F564="Section"</formula>
    </cfRule>
  </conditionalFormatting>
  <conditionalFormatting sqref="G576:H576">
    <cfRule type="expression" dxfId="321" priority="50">
      <formula>OR($F576 = "checklist",$F576 ="checklist-flat")</formula>
    </cfRule>
    <cfRule type="expression" dxfId="320" priority="51">
      <formula>$F576="Section"</formula>
    </cfRule>
  </conditionalFormatting>
  <conditionalFormatting sqref="G618:H622 H617">
    <cfRule type="expression" dxfId="319" priority="48">
      <formula>$F617 = "section"</formula>
    </cfRule>
    <cfRule type="expression" dxfId="318" priority="49">
      <formula>OR($F617 = "checklist",$F617 = "checklist-flat")</formula>
    </cfRule>
  </conditionalFormatting>
  <conditionalFormatting sqref="G624:H629 H623">
    <cfRule type="expression" dxfId="317" priority="45">
      <formula>$C623 = "Addition"</formula>
    </cfRule>
    <cfRule type="expression" dxfId="316" priority="46">
      <formula>$F623= "section"</formula>
    </cfRule>
    <cfRule type="expression" dxfId="315" priority="47">
      <formula>OR($F623 = "checklist",$F623= "checklist-flat")</formula>
    </cfRule>
  </conditionalFormatting>
  <conditionalFormatting sqref="G630:H631">
    <cfRule type="expression" dxfId="314" priority="42">
      <formula>$C630 = "Addition"</formula>
    </cfRule>
    <cfRule type="expression" dxfId="313" priority="43">
      <formula>$F630= "section"</formula>
    </cfRule>
    <cfRule type="expression" dxfId="312" priority="44">
      <formula>OR($F630 = "checklist",$F630= "checklist-flat")</formula>
    </cfRule>
  </conditionalFormatting>
  <conditionalFormatting sqref="G640:H642 G644:H645">
    <cfRule type="expression" dxfId="311" priority="40">
      <formula>$H640= "section"</formula>
    </cfRule>
    <cfRule type="expression" dxfId="310" priority="41">
      <formula>OR($H640 = "checklist",$H640= "checklist-flat")</formula>
    </cfRule>
  </conditionalFormatting>
  <conditionalFormatting sqref="G643:H643">
    <cfRule type="expression" dxfId="309" priority="38">
      <formula>$H643= "section"</formula>
    </cfRule>
    <cfRule type="expression" dxfId="308" priority="39">
      <formula>OR($H643 = "checklist",$H643= "checklist-flat")</formula>
    </cfRule>
  </conditionalFormatting>
  <conditionalFormatting sqref="G646:H652">
    <cfRule type="expression" dxfId="307" priority="36">
      <formula>$H646= "section"</formula>
    </cfRule>
    <cfRule type="expression" dxfId="306" priority="37">
      <formula>OR($H646 = "checklist",$H646= "checklist-flat")</formula>
    </cfRule>
  </conditionalFormatting>
  <conditionalFormatting sqref="G653:H657">
    <cfRule type="expression" dxfId="305" priority="34">
      <formula>$H653= "section"</formula>
    </cfRule>
    <cfRule type="expression" dxfId="304" priority="35">
      <formula>OR($H653 = "checklist",$H653= "checklist-flat")</formula>
    </cfRule>
  </conditionalFormatting>
  <conditionalFormatting sqref="G1050:I1903 I1022:I1049 G1948:I2365 G1947 I1947 G1917:I1946 I1904:I1916 G658:I988 G990:I992 G989 I989 G994:I1021 G993 I993">
    <cfRule type="expression" dxfId="303" priority="32">
      <formula>$E658="section"</formula>
    </cfRule>
    <cfRule type="expression" dxfId="302" priority="33">
      <formula>OR($E658="checklist", $E658="checklist-flat")</formula>
    </cfRule>
  </conditionalFormatting>
  <conditionalFormatting sqref="G1050:I1903 I1022:I1049 G1948:I2365 G1947 I1947 G1917:I1946 I1904:I1916 G658:I988 G990:I992 G989 I989 G994:I1021 G993 I993">
    <cfRule type="expression" dxfId="301" priority="31">
      <formula>ISBLANK($A658)</formula>
    </cfRule>
  </conditionalFormatting>
  <conditionalFormatting sqref="F673">
    <cfRule type="expression" dxfId="300" priority="29">
      <formula>OR($E673 = "checklist",$E673 ="checklist-flat")</formula>
    </cfRule>
    <cfRule type="expression" dxfId="299" priority="30">
      <formula>$E673="Section"</formula>
    </cfRule>
  </conditionalFormatting>
  <conditionalFormatting sqref="G2366:I2383 I2384:I2390">
    <cfRule type="expression" dxfId="298" priority="27">
      <formula>$H2366= "section"</formula>
    </cfRule>
    <cfRule type="expression" dxfId="297" priority="28">
      <formula>OR($H2366 = "checklist",$H2366= "checklist-flat")</formula>
    </cfRule>
  </conditionalFormatting>
  <conditionalFormatting sqref="G2384:H2390">
    <cfRule type="expression" dxfId="296" priority="25">
      <formula>$H2384= "section"</formula>
    </cfRule>
    <cfRule type="expression" dxfId="295" priority="26">
      <formula>OR($H2384 = "checklist",$H2384= "checklist-flat")</formula>
    </cfRule>
  </conditionalFormatting>
  <conditionalFormatting sqref="G2507:H2525">
    <cfRule type="expression" dxfId="294" priority="23">
      <formula>$H2507= "section"</formula>
    </cfRule>
    <cfRule type="expression" dxfId="293" priority="24">
      <formula>OR($H2507 = "checklist",$H2507= "checklist-flat")</formula>
    </cfRule>
  </conditionalFormatting>
  <conditionalFormatting sqref="G1022:H1049">
    <cfRule type="expression" dxfId="292" priority="21">
      <formula>$H1022= "section"</formula>
    </cfRule>
    <cfRule type="expression" dxfId="291" priority="22">
      <formula>OR($H1022 = "checklist",$H1022= "checklist-flat")</formula>
    </cfRule>
  </conditionalFormatting>
  <conditionalFormatting sqref="G142:H162">
    <cfRule type="expression" dxfId="290" priority="19">
      <formula>$H142= "section"</formula>
    </cfRule>
    <cfRule type="expression" dxfId="289" priority="20">
      <formula>OR($H142 = "checklist",$H142= "checklist-flat")</formula>
    </cfRule>
  </conditionalFormatting>
  <conditionalFormatting sqref="H1947">
    <cfRule type="expression" dxfId="288" priority="17">
      <formula>$H1947= "section"</formula>
    </cfRule>
    <cfRule type="expression" dxfId="287" priority="18">
      <formula>OR($H1947 = "checklist",$H1947= "checklist-flat")</formula>
    </cfRule>
  </conditionalFormatting>
  <conditionalFormatting sqref="G2526:H2533">
    <cfRule type="expression" dxfId="286" priority="15">
      <formula>$H2526= "section"</formula>
    </cfRule>
    <cfRule type="expression" dxfId="285" priority="16">
      <formula>OR($H2526 = "checklist",$H2526= "checklist-flat")</formula>
    </cfRule>
  </conditionalFormatting>
  <conditionalFormatting sqref="G2534:I2544">
    <cfRule type="expression" dxfId="284" priority="13">
      <formula>$H2534= "section"</formula>
    </cfRule>
    <cfRule type="expression" dxfId="283" priority="14">
      <formula>OR($H2534 = "checklist",$H2534= "checklist-flat")</formula>
    </cfRule>
  </conditionalFormatting>
  <conditionalFormatting sqref="G1904:H1916">
    <cfRule type="expression" dxfId="282" priority="11">
      <formula>$H1904= "section"</formula>
    </cfRule>
    <cfRule type="expression" dxfId="281" priority="12">
      <formula>OR($H1904 = "checklist",$H1904= "checklist-flat")</formula>
    </cfRule>
  </conditionalFormatting>
  <conditionalFormatting sqref="G2565:H2611">
    <cfRule type="expression" dxfId="280" priority="9">
      <formula>$H2565= "section"</formula>
    </cfRule>
    <cfRule type="expression" dxfId="279" priority="10">
      <formula>OR($H2565 = "checklist",$H2565= "checklist-flat")</formula>
    </cfRule>
  </conditionalFormatting>
  <conditionalFormatting sqref="G2612:H2653">
    <cfRule type="expression" dxfId="278" priority="7">
      <formula>$H2612= "section"</formula>
    </cfRule>
    <cfRule type="expression" dxfId="277" priority="8">
      <formula>OR($H2612 = "checklist",$H2612= "checklist-flat")</formula>
    </cfRule>
  </conditionalFormatting>
  <conditionalFormatting sqref="G2654:I2686">
    <cfRule type="expression" dxfId="276" priority="5">
      <formula>$H2654= "section"</formula>
    </cfRule>
    <cfRule type="expression" dxfId="275" priority="6">
      <formula>OR($H2654 = "checklist",$H2654= "checklist-flat")</formula>
    </cfRule>
  </conditionalFormatting>
  <conditionalFormatting sqref="B2:B2725">
    <cfRule type="duplicateValues" dxfId="274" priority="1164"/>
    <cfRule type="duplicateValues" dxfId="273" priority="1165"/>
    <cfRule type="duplicateValues" dxfId="272" priority="1166"/>
  </conditionalFormatting>
  <conditionalFormatting sqref="H989">
    <cfRule type="expression" dxfId="271" priority="3">
      <formula>$H989= "section"</formula>
    </cfRule>
    <cfRule type="expression" dxfId="270" priority="4">
      <formula>OR($H989 = "checklist",$H989= "checklist-flat")</formula>
    </cfRule>
  </conditionalFormatting>
  <conditionalFormatting sqref="H993">
    <cfRule type="expression" dxfId="269" priority="1">
      <formula>$H993= "section"</formula>
    </cfRule>
    <cfRule type="expression" dxfId="268" priority="2">
      <formula>OR($H993 = "checklist",$H993= "checklist-flat")</formula>
    </cfRule>
  </conditionalFormatting>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739"/>
  <sheetViews>
    <sheetView workbookViewId="0">
      <selection activeCell="D2297" sqref="D2297"/>
    </sheetView>
    <sheetView tabSelected="1" topLeftCell="A4" workbookViewId="1">
      <selection activeCell="E1348" sqref="E1348"/>
    </sheetView>
  </sheetViews>
  <sheetFormatPr defaultRowHeight="13.5"/>
  <cols>
    <col min="1" max="1" width="34.25" customWidth="1"/>
    <col min="2" max="2" width="31.125" customWidth="1"/>
    <col min="3" max="3" width="8.25" bestFit="1" customWidth="1"/>
    <col min="4" max="4" width="18.125" bestFit="1" customWidth="1"/>
    <col min="5" max="6" width="64.5"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59" t="s">
        <v>1995</v>
      </c>
      <c r="D1" s="59"/>
      <c r="E1" s="11"/>
      <c r="F1" s="60" t="s">
        <v>1996</v>
      </c>
      <c r="G1" s="11"/>
      <c r="H1" s="11"/>
      <c r="I1" s="11"/>
      <c r="J1" s="11"/>
    </row>
    <row r="2" spans="1:10" ht="77.25" customHeight="1">
      <c r="C2" s="61"/>
      <c r="D2" s="62" t="s">
        <v>1997</v>
      </c>
      <c r="E2" s="11"/>
      <c r="F2" s="11"/>
      <c r="G2" s="11"/>
      <c r="H2" s="11"/>
      <c r="I2" s="11"/>
      <c r="J2" s="11"/>
    </row>
    <row r="3" spans="1:10">
      <c r="C3" s="11"/>
      <c r="D3" s="11"/>
      <c r="E3" s="11"/>
      <c r="F3" s="11"/>
      <c r="G3" s="11"/>
      <c r="H3" s="11"/>
      <c r="I3" s="11"/>
      <c r="J3" s="11"/>
    </row>
    <row r="4" spans="1:10" ht="119.25" customHeight="1">
      <c r="A4" s="34" t="s">
        <v>373</v>
      </c>
      <c r="C4" s="11"/>
      <c r="D4" s="11"/>
      <c r="E4" s="11"/>
      <c r="F4" s="11"/>
      <c r="G4" s="13"/>
      <c r="H4" s="12"/>
      <c r="I4" s="13"/>
      <c r="J4" s="13"/>
    </row>
    <row r="5" spans="1:10">
      <c r="C5" t="s">
        <v>42</v>
      </c>
      <c r="D5" t="s">
        <v>44</v>
      </c>
      <c r="E5" t="s">
        <v>45</v>
      </c>
      <c r="F5" t="s">
        <v>46</v>
      </c>
      <c r="G5" t="s">
        <v>2</v>
      </c>
      <c r="H5" t="s">
        <v>3</v>
      </c>
      <c r="I5" t="s">
        <v>43</v>
      </c>
      <c r="J5" t="s">
        <v>1</v>
      </c>
    </row>
    <row r="6" spans="1:10" hidden="1">
      <c r="C6">
        <v>1000</v>
      </c>
      <c r="D6" t="s">
        <v>48</v>
      </c>
      <c r="E6" t="s">
        <v>1262</v>
      </c>
      <c r="F6" s="41"/>
      <c r="G6" s="80" t="s">
        <v>8</v>
      </c>
      <c r="H6" s="80" t="s">
        <v>1998</v>
      </c>
      <c r="I6" s="81" t="s">
        <v>1262</v>
      </c>
      <c r="J6" t="s">
        <v>6</v>
      </c>
    </row>
    <row r="7" spans="1:10" hidden="1">
      <c r="C7">
        <v>1001</v>
      </c>
      <c r="D7" t="s">
        <v>49</v>
      </c>
      <c r="E7" t="s">
        <v>1263</v>
      </c>
      <c r="F7" s="41"/>
      <c r="G7" s="80" t="s">
        <v>8</v>
      </c>
      <c r="H7" s="80" t="s">
        <v>1998</v>
      </c>
      <c r="I7" s="81" t="s">
        <v>1262</v>
      </c>
      <c r="J7" t="s">
        <v>6</v>
      </c>
    </row>
    <row r="8" spans="1:10" hidden="1">
      <c r="C8">
        <v>1002</v>
      </c>
      <c r="D8" t="s">
        <v>49</v>
      </c>
      <c r="E8" t="s">
        <v>1264</v>
      </c>
      <c r="F8" s="41"/>
      <c r="G8" s="80" t="s">
        <v>8</v>
      </c>
      <c r="H8" s="80" t="s">
        <v>1998</v>
      </c>
      <c r="I8" s="81" t="s">
        <v>1262</v>
      </c>
      <c r="J8" t="s">
        <v>6</v>
      </c>
    </row>
    <row r="9" spans="1:10" hidden="1">
      <c r="C9">
        <v>1003</v>
      </c>
      <c r="D9" t="s">
        <v>58</v>
      </c>
      <c r="E9" t="s">
        <v>306</v>
      </c>
      <c r="F9" s="41"/>
      <c r="G9" s="80" t="s">
        <v>8</v>
      </c>
      <c r="H9" s="80" t="s">
        <v>1998</v>
      </c>
      <c r="I9" s="81" t="s">
        <v>1262</v>
      </c>
      <c r="J9" t="s">
        <v>6</v>
      </c>
    </row>
    <row r="10" spans="1:10" hidden="1">
      <c r="C10">
        <v>1004</v>
      </c>
      <c r="D10" t="s">
        <v>49</v>
      </c>
      <c r="E10" t="s">
        <v>56</v>
      </c>
      <c r="F10" s="41"/>
      <c r="G10" s="80" t="s">
        <v>8</v>
      </c>
      <c r="H10" s="80" t="s">
        <v>1998</v>
      </c>
      <c r="I10" s="81" t="s">
        <v>1262</v>
      </c>
      <c r="J10" t="s">
        <v>6</v>
      </c>
    </row>
    <row r="11" spans="1:10" hidden="1">
      <c r="C11">
        <v>2000</v>
      </c>
      <c r="D11" t="s">
        <v>48</v>
      </c>
      <c r="E11" t="s">
        <v>1265</v>
      </c>
      <c r="F11" s="41"/>
      <c r="G11" s="80" t="s">
        <v>8</v>
      </c>
      <c r="H11" s="80" t="s">
        <v>1998</v>
      </c>
      <c r="I11" s="81" t="s">
        <v>1265</v>
      </c>
      <c r="J11" t="s">
        <v>6</v>
      </c>
    </row>
    <row r="12" spans="1:10" hidden="1">
      <c r="C12">
        <v>2001</v>
      </c>
      <c r="D12" t="s">
        <v>49</v>
      </c>
      <c r="E12" t="s">
        <v>1263</v>
      </c>
      <c r="F12" s="41"/>
      <c r="G12" s="80" t="s">
        <v>8</v>
      </c>
      <c r="H12" s="80" t="s">
        <v>1998</v>
      </c>
      <c r="I12" s="81" t="s">
        <v>1265</v>
      </c>
      <c r="J12" t="s">
        <v>6</v>
      </c>
    </row>
    <row r="13" spans="1:10" hidden="1">
      <c r="C13">
        <v>2002</v>
      </c>
      <c r="D13" t="s">
        <v>49</v>
      </c>
      <c r="E13" t="s">
        <v>1264</v>
      </c>
      <c r="F13" s="41"/>
      <c r="G13" s="80" t="s">
        <v>8</v>
      </c>
      <c r="H13" s="80" t="s">
        <v>1998</v>
      </c>
      <c r="I13" s="81" t="s">
        <v>1265</v>
      </c>
      <c r="J13" t="s">
        <v>6</v>
      </c>
    </row>
    <row r="14" spans="1:10" hidden="1">
      <c r="C14">
        <v>2003</v>
      </c>
      <c r="D14" t="s">
        <v>58</v>
      </c>
      <c r="E14" t="s">
        <v>306</v>
      </c>
      <c r="F14" s="41"/>
      <c r="G14" s="80" t="s">
        <v>8</v>
      </c>
      <c r="H14" s="80" t="s">
        <v>1998</v>
      </c>
      <c r="I14" s="81" t="s">
        <v>1265</v>
      </c>
      <c r="J14" t="s">
        <v>6</v>
      </c>
    </row>
    <row r="15" spans="1:10" hidden="1">
      <c r="C15">
        <v>2004</v>
      </c>
      <c r="D15" t="s">
        <v>49</v>
      </c>
      <c r="E15" t="s">
        <v>56</v>
      </c>
      <c r="F15" s="41"/>
      <c r="G15" s="80" t="s">
        <v>8</v>
      </c>
      <c r="H15" s="80" t="s">
        <v>1998</v>
      </c>
      <c r="I15" s="81" t="s">
        <v>1265</v>
      </c>
      <c r="J15" t="s">
        <v>6</v>
      </c>
    </row>
    <row r="16" spans="1:10" hidden="1">
      <c r="C16">
        <v>3000</v>
      </c>
      <c r="D16" t="s">
        <v>48</v>
      </c>
      <c r="E16" t="s">
        <v>1266</v>
      </c>
      <c r="F16" s="41"/>
      <c r="G16" s="80" t="s">
        <v>8</v>
      </c>
      <c r="H16" s="80" t="s">
        <v>1998</v>
      </c>
      <c r="I16" s="81" t="s">
        <v>1266</v>
      </c>
      <c r="J16" t="s">
        <v>6</v>
      </c>
    </row>
    <row r="17" spans="3:10" hidden="1">
      <c r="C17">
        <v>3001</v>
      </c>
      <c r="D17" t="s">
        <v>49</v>
      </c>
      <c r="E17" t="s">
        <v>1263</v>
      </c>
      <c r="F17" s="41"/>
      <c r="G17" s="80" t="s">
        <v>8</v>
      </c>
      <c r="H17" s="80" t="s">
        <v>1998</v>
      </c>
      <c r="I17" s="81" t="s">
        <v>1266</v>
      </c>
      <c r="J17" t="s">
        <v>6</v>
      </c>
    </row>
    <row r="18" spans="3:10" hidden="1">
      <c r="C18">
        <v>3002</v>
      </c>
      <c r="D18" t="s">
        <v>49</v>
      </c>
      <c r="E18" t="s">
        <v>1264</v>
      </c>
      <c r="F18" s="41"/>
      <c r="G18" s="80" t="s">
        <v>8</v>
      </c>
      <c r="H18" s="80" t="s">
        <v>1998</v>
      </c>
      <c r="I18" s="81" t="s">
        <v>1266</v>
      </c>
      <c r="J18" t="s">
        <v>6</v>
      </c>
    </row>
    <row r="19" spans="3:10" hidden="1">
      <c r="C19">
        <v>3003</v>
      </c>
      <c r="D19" t="s">
        <v>58</v>
      </c>
      <c r="E19" t="s">
        <v>306</v>
      </c>
      <c r="F19" s="41"/>
      <c r="G19" s="80" t="s">
        <v>8</v>
      </c>
      <c r="H19" s="80" t="s">
        <v>1998</v>
      </c>
      <c r="I19" s="81" t="s">
        <v>1266</v>
      </c>
      <c r="J19" t="s">
        <v>6</v>
      </c>
    </row>
    <row r="20" spans="3:10" hidden="1">
      <c r="C20">
        <v>3004</v>
      </c>
      <c r="D20" t="s">
        <v>49</v>
      </c>
      <c r="E20" t="s">
        <v>1267</v>
      </c>
      <c r="F20" s="41"/>
      <c r="G20" s="80" t="s">
        <v>8</v>
      </c>
      <c r="H20" s="80" t="s">
        <v>1998</v>
      </c>
      <c r="I20" s="81" t="s">
        <v>1266</v>
      </c>
      <c r="J20" t="s">
        <v>6</v>
      </c>
    </row>
    <row r="21" spans="3:10" hidden="1">
      <c r="C21">
        <v>4000</v>
      </c>
      <c r="D21" t="s">
        <v>48</v>
      </c>
      <c r="E21" t="s">
        <v>1268</v>
      </c>
      <c r="F21" s="41"/>
      <c r="G21" s="80" t="s">
        <v>8</v>
      </c>
      <c r="H21" s="80" t="s">
        <v>1998</v>
      </c>
      <c r="I21" s="81" t="s">
        <v>1268</v>
      </c>
      <c r="J21" t="s">
        <v>6</v>
      </c>
    </row>
    <row r="22" spans="3:10" hidden="1">
      <c r="C22">
        <v>4001</v>
      </c>
      <c r="D22" t="s">
        <v>49</v>
      </c>
      <c r="E22" t="s">
        <v>1263</v>
      </c>
      <c r="F22" s="41"/>
      <c r="G22" s="80" t="s">
        <v>8</v>
      </c>
      <c r="H22" s="80" t="s">
        <v>1998</v>
      </c>
      <c r="I22" s="81" t="s">
        <v>1268</v>
      </c>
      <c r="J22" t="s">
        <v>6</v>
      </c>
    </row>
    <row r="23" spans="3:10" hidden="1">
      <c r="C23">
        <v>4002</v>
      </c>
      <c r="D23" t="s">
        <v>49</v>
      </c>
      <c r="E23" t="s">
        <v>1264</v>
      </c>
      <c r="F23" s="41"/>
      <c r="G23" s="80" t="s">
        <v>8</v>
      </c>
      <c r="H23" s="80" t="s">
        <v>1998</v>
      </c>
      <c r="I23" s="81" t="s">
        <v>1268</v>
      </c>
      <c r="J23" t="s">
        <v>6</v>
      </c>
    </row>
    <row r="24" spans="3:10" hidden="1">
      <c r="C24">
        <v>4003</v>
      </c>
      <c r="D24" t="s">
        <v>58</v>
      </c>
      <c r="E24" t="s">
        <v>306</v>
      </c>
      <c r="F24" s="41"/>
      <c r="G24" s="80" t="s">
        <v>8</v>
      </c>
      <c r="H24" s="80" t="s">
        <v>1998</v>
      </c>
      <c r="I24" s="81" t="s">
        <v>1268</v>
      </c>
      <c r="J24" t="s">
        <v>6</v>
      </c>
    </row>
    <row r="25" spans="3:10" hidden="1">
      <c r="C25">
        <v>4004</v>
      </c>
      <c r="D25" t="s">
        <v>49</v>
      </c>
      <c r="E25" t="s">
        <v>1269</v>
      </c>
      <c r="F25" s="41"/>
      <c r="G25" s="80" t="s">
        <v>8</v>
      </c>
      <c r="H25" s="80" t="s">
        <v>1998</v>
      </c>
      <c r="I25" s="81" t="s">
        <v>1268</v>
      </c>
      <c r="J25" t="s">
        <v>6</v>
      </c>
    </row>
    <row r="26" spans="3:10" hidden="1">
      <c r="C26">
        <v>5000</v>
      </c>
      <c r="D26" t="s">
        <v>48</v>
      </c>
      <c r="E26" t="s">
        <v>1270</v>
      </c>
      <c r="F26" s="41"/>
      <c r="G26" s="80" t="s">
        <v>8</v>
      </c>
      <c r="H26" s="80" t="s">
        <v>1998</v>
      </c>
      <c r="I26" s="81" t="s">
        <v>1270</v>
      </c>
      <c r="J26" t="s">
        <v>6</v>
      </c>
    </row>
    <row r="27" spans="3:10" hidden="1">
      <c r="C27">
        <v>5001</v>
      </c>
      <c r="D27" t="s">
        <v>49</v>
      </c>
      <c r="E27" t="s">
        <v>1263</v>
      </c>
      <c r="F27" s="41"/>
      <c r="G27" s="80" t="s">
        <v>8</v>
      </c>
      <c r="H27" s="80" t="s">
        <v>1998</v>
      </c>
      <c r="I27" s="81" t="s">
        <v>1270</v>
      </c>
      <c r="J27" t="s">
        <v>6</v>
      </c>
    </row>
    <row r="28" spans="3:10" hidden="1">
      <c r="C28">
        <v>5002</v>
      </c>
      <c r="D28" t="s">
        <v>49</v>
      </c>
      <c r="E28" t="s">
        <v>1264</v>
      </c>
      <c r="F28" s="41"/>
      <c r="G28" s="80" t="s">
        <v>8</v>
      </c>
      <c r="H28" s="80" t="s">
        <v>1998</v>
      </c>
      <c r="I28" s="81" t="s">
        <v>1270</v>
      </c>
      <c r="J28" t="s">
        <v>6</v>
      </c>
    </row>
    <row r="29" spans="3:10" hidden="1">
      <c r="C29">
        <v>5003</v>
      </c>
      <c r="D29" t="s">
        <v>58</v>
      </c>
      <c r="E29" t="s">
        <v>306</v>
      </c>
      <c r="F29" s="41"/>
      <c r="G29" s="80" t="s">
        <v>8</v>
      </c>
      <c r="H29" s="80" t="s">
        <v>1998</v>
      </c>
      <c r="I29" s="81" t="s">
        <v>1270</v>
      </c>
      <c r="J29" t="s">
        <v>6</v>
      </c>
    </row>
    <row r="30" spans="3:10" hidden="1">
      <c r="C30">
        <v>5004</v>
      </c>
      <c r="D30" t="s">
        <v>49</v>
      </c>
      <c r="E30" t="s">
        <v>1271</v>
      </c>
      <c r="F30" s="41"/>
      <c r="G30" s="80" t="s">
        <v>8</v>
      </c>
      <c r="H30" s="80" t="s">
        <v>1998</v>
      </c>
      <c r="I30" s="81" t="s">
        <v>1270</v>
      </c>
      <c r="J30" t="s">
        <v>6</v>
      </c>
    </row>
    <row r="31" spans="3:10" hidden="1">
      <c r="C31">
        <v>6000</v>
      </c>
      <c r="D31" t="s">
        <v>48</v>
      </c>
      <c r="E31" t="s">
        <v>1272</v>
      </c>
      <c r="F31" s="41"/>
      <c r="G31" s="80" t="s">
        <v>8</v>
      </c>
      <c r="H31" s="80" t="s">
        <v>1998</v>
      </c>
      <c r="I31" s="81" t="s">
        <v>1272</v>
      </c>
      <c r="J31" t="s">
        <v>6</v>
      </c>
    </row>
    <row r="32" spans="3:10" hidden="1">
      <c r="C32">
        <v>6001</v>
      </c>
      <c r="D32" t="s">
        <v>49</v>
      </c>
      <c r="E32" t="s">
        <v>1263</v>
      </c>
      <c r="F32" s="41"/>
      <c r="G32" s="80" t="s">
        <v>8</v>
      </c>
      <c r="H32" s="80" t="s">
        <v>1998</v>
      </c>
      <c r="I32" s="81" t="s">
        <v>1272</v>
      </c>
      <c r="J32" t="s">
        <v>6</v>
      </c>
    </row>
    <row r="33" spans="3:10" hidden="1">
      <c r="C33">
        <v>6002</v>
      </c>
      <c r="D33" t="s">
        <v>49</v>
      </c>
      <c r="E33" t="s">
        <v>1264</v>
      </c>
      <c r="F33" s="41"/>
      <c r="G33" s="80" t="s">
        <v>8</v>
      </c>
      <c r="H33" s="80" t="s">
        <v>1998</v>
      </c>
      <c r="I33" s="81" t="s">
        <v>1272</v>
      </c>
      <c r="J33" t="s">
        <v>6</v>
      </c>
    </row>
    <row r="34" spans="3:10" hidden="1">
      <c r="C34">
        <v>6003</v>
      </c>
      <c r="D34" t="s">
        <v>58</v>
      </c>
      <c r="E34" t="s">
        <v>306</v>
      </c>
      <c r="F34" s="41"/>
      <c r="G34" s="80" t="s">
        <v>8</v>
      </c>
      <c r="H34" s="80" t="s">
        <v>1998</v>
      </c>
      <c r="I34" s="81" t="s">
        <v>1272</v>
      </c>
      <c r="J34" t="s">
        <v>6</v>
      </c>
    </row>
    <row r="35" spans="3:10" hidden="1">
      <c r="C35">
        <v>6004</v>
      </c>
      <c r="D35" t="s">
        <v>49</v>
      </c>
      <c r="E35" t="s">
        <v>1273</v>
      </c>
      <c r="F35" s="41"/>
      <c r="G35" s="80" t="s">
        <v>8</v>
      </c>
      <c r="H35" s="80" t="s">
        <v>1998</v>
      </c>
      <c r="I35" s="81" t="s">
        <v>1272</v>
      </c>
      <c r="J35" t="s">
        <v>6</v>
      </c>
    </row>
    <row r="36" spans="3:10" hidden="1">
      <c r="C36">
        <v>7000</v>
      </c>
      <c r="D36" t="s">
        <v>48</v>
      </c>
      <c r="E36" t="s">
        <v>1274</v>
      </c>
      <c r="F36" s="41"/>
      <c r="G36" s="80" t="s">
        <v>8</v>
      </c>
      <c r="H36" s="80" t="s">
        <v>1998</v>
      </c>
      <c r="I36" s="81" t="s">
        <v>1274</v>
      </c>
      <c r="J36" t="s">
        <v>6</v>
      </c>
    </row>
    <row r="37" spans="3:10" hidden="1">
      <c r="C37">
        <v>7001</v>
      </c>
      <c r="D37" t="s">
        <v>49</v>
      </c>
      <c r="E37" t="s">
        <v>1263</v>
      </c>
      <c r="F37" s="41"/>
      <c r="G37" s="80" t="s">
        <v>8</v>
      </c>
      <c r="H37" s="80" t="s">
        <v>1998</v>
      </c>
      <c r="I37" s="81" t="s">
        <v>1274</v>
      </c>
      <c r="J37" t="s">
        <v>6</v>
      </c>
    </row>
    <row r="38" spans="3:10" hidden="1">
      <c r="C38">
        <v>7002</v>
      </c>
      <c r="D38" t="s">
        <v>49</v>
      </c>
      <c r="E38" t="s">
        <v>1264</v>
      </c>
      <c r="F38" s="41"/>
      <c r="G38" s="80" t="s">
        <v>8</v>
      </c>
      <c r="H38" s="80" t="s">
        <v>1998</v>
      </c>
      <c r="I38" s="81" t="s">
        <v>1274</v>
      </c>
      <c r="J38" t="s">
        <v>6</v>
      </c>
    </row>
    <row r="39" spans="3:10" hidden="1">
      <c r="C39">
        <v>7003</v>
      </c>
      <c r="D39" t="s">
        <v>58</v>
      </c>
      <c r="E39" t="s">
        <v>306</v>
      </c>
      <c r="F39" s="41"/>
      <c r="G39" s="80" t="s">
        <v>8</v>
      </c>
      <c r="H39" s="80" t="s">
        <v>1998</v>
      </c>
      <c r="I39" s="81" t="s">
        <v>1274</v>
      </c>
      <c r="J39" t="s">
        <v>6</v>
      </c>
    </row>
    <row r="40" spans="3:10" hidden="1">
      <c r="C40">
        <v>7004</v>
      </c>
      <c r="D40" t="s">
        <v>49</v>
      </c>
      <c r="E40" t="s">
        <v>1275</v>
      </c>
      <c r="F40" s="41"/>
      <c r="G40" s="80" t="s">
        <v>8</v>
      </c>
      <c r="H40" s="80" t="s">
        <v>1998</v>
      </c>
      <c r="I40" s="81" t="s">
        <v>1274</v>
      </c>
      <c r="J40" t="s">
        <v>6</v>
      </c>
    </row>
    <row r="41" spans="3:10" hidden="1">
      <c r="C41">
        <v>8000</v>
      </c>
      <c r="D41" t="s">
        <v>48</v>
      </c>
      <c r="E41" t="s">
        <v>1276</v>
      </c>
      <c r="F41" s="41"/>
      <c r="G41" s="80" t="s">
        <v>8</v>
      </c>
      <c r="H41" s="80" t="s">
        <v>1998</v>
      </c>
      <c r="I41" s="81" t="s">
        <v>1276</v>
      </c>
      <c r="J41" t="s">
        <v>6</v>
      </c>
    </row>
    <row r="42" spans="3:10" hidden="1">
      <c r="C42">
        <v>8001</v>
      </c>
      <c r="D42" t="s">
        <v>49</v>
      </c>
      <c r="E42" t="s">
        <v>1277</v>
      </c>
      <c r="F42" s="41"/>
      <c r="G42" s="80" t="s">
        <v>8</v>
      </c>
      <c r="H42" s="80" t="s">
        <v>1998</v>
      </c>
      <c r="I42" s="81" t="s">
        <v>1276</v>
      </c>
      <c r="J42" t="s">
        <v>6</v>
      </c>
    </row>
    <row r="43" spans="3:10" hidden="1">
      <c r="C43">
        <v>8002</v>
      </c>
      <c r="D43" t="s">
        <v>49</v>
      </c>
      <c r="E43" t="s">
        <v>1278</v>
      </c>
      <c r="F43" s="41"/>
      <c r="G43" s="80" t="s">
        <v>8</v>
      </c>
      <c r="H43" s="80" t="s">
        <v>1998</v>
      </c>
      <c r="I43" s="81" t="s">
        <v>1276</v>
      </c>
      <c r="J43" t="s">
        <v>6</v>
      </c>
    </row>
    <row r="44" spans="3:10" hidden="1">
      <c r="C44">
        <v>8003</v>
      </c>
      <c r="D44" t="s">
        <v>49</v>
      </c>
      <c r="E44" t="s">
        <v>1279</v>
      </c>
      <c r="F44" s="41"/>
      <c r="G44" s="80" t="s">
        <v>8</v>
      </c>
      <c r="H44" s="80" t="s">
        <v>1998</v>
      </c>
      <c r="I44" s="81" t="s">
        <v>1276</v>
      </c>
      <c r="J44" t="s">
        <v>6</v>
      </c>
    </row>
    <row r="45" spans="3:10" hidden="1">
      <c r="C45">
        <v>9000</v>
      </c>
      <c r="D45" t="s">
        <v>48</v>
      </c>
      <c r="E45" t="s">
        <v>1280</v>
      </c>
      <c r="F45" s="41"/>
      <c r="G45" s="80" t="s">
        <v>8</v>
      </c>
      <c r="H45" s="80" t="s">
        <v>1998</v>
      </c>
      <c r="I45" s="81" t="s">
        <v>1280</v>
      </c>
      <c r="J45" t="s">
        <v>6</v>
      </c>
    </row>
    <row r="46" spans="3:10" hidden="1">
      <c r="C46">
        <v>9001</v>
      </c>
      <c r="D46" t="s">
        <v>49</v>
      </c>
      <c r="E46" t="s">
        <v>1263</v>
      </c>
      <c r="F46" s="41"/>
      <c r="G46" s="80" t="s">
        <v>8</v>
      </c>
      <c r="H46" s="80" t="s">
        <v>1998</v>
      </c>
      <c r="I46" s="81" t="s">
        <v>1280</v>
      </c>
      <c r="J46" t="s">
        <v>6</v>
      </c>
    </row>
    <row r="47" spans="3:10" hidden="1">
      <c r="C47">
        <v>9002</v>
      </c>
      <c r="D47" t="s">
        <v>49</v>
      </c>
      <c r="E47" t="s">
        <v>1264</v>
      </c>
      <c r="F47" s="41"/>
      <c r="G47" s="80" t="s">
        <v>8</v>
      </c>
      <c r="H47" s="80" t="s">
        <v>1998</v>
      </c>
      <c r="I47" s="81" t="s">
        <v>1280</v>
      </c>
      <c r="J47" t="s">
        <v>6</v>
      </c>
    </row>
    <row r="48" spans="3:10" hidden="1">
      <c r="C48">
        <v>9003</v>
      </c>
      <c r="D48" t="s">
        <v>58</v>
      </c>
      <c r="E48" t="s">
        <v>306</v>
      </c>
      <c r="F48" s="41"/>
      <c r="G48" s="80" t="s">
        <v>8</v>
      </c>
      <c r="H48" s="80" t="s">
        <v>1998</v>
      </c>
      <c r="I48" s="81" t="s">
        <v>1280</v>
      </c>
      <c r="J48" t="s">
        <v>6</v>
      </c>
    </row>
    <row r="49" spans="3:10" hidden="1">
      <c r="C49">
        <v>9004</v>
      </c>
      <c r="D49" t="s">
        <v>49</v>
      </c>
      <c r="E49" t="s">
        <v>1281</v>
      </c>
      <c r="F49" s="41"/>
      <c r="G49" s="80" t="s">
        <v>8</v>
      </c>
      <c r="H49" s="80" t="s">
        <v>1998</v>
      </c>
      <c r="I49" s="81" t="s">
        <v>1280</v>
      </c>
      <c r="J49" t="s">
        <v>6</v>
      </c>
    </row>
    <row r="50" spans="3:10" hidden="1">
      <c r="C50">
        <v>10000</v>
      </c>
      <c r="D50" t="s">
        <v>48</v>
      </c>
      <c r="E50" t="s">
        <v>1282</v>
      </c>
      <c r="F50" s="41"/>
      <c r="G50" s="80" t="s">
        <v>8</v>
      </c>
      <c r="H50" s="80" t="s">
        <v>1998</v>
      </c>
      <c r="I50" s="81" t="s">
        <v>1282</v>
      </c>
      <c r="J50" t="s">
        <v>6</v>
      </c>
    </row>
    <row r="51" spans="3:10" hidden="1">
      <c r="C51">
        <v>10001</v>
      </c>
      <c r="D51" t="s">
        <v>49</v>
      </c>
      <c r="E51" t="s">
        <v>1283</v>
      </c>
      <c r="F51" s="41"/>
      <c r="G51" s="80" t="s">
        <v>8</v>
      </c>
      <c r="H51" s="80" t="s">
        <v>1998</v>
      </c>
      <c r="I51" s="81" t="s">
        <v>1282</v>
      </c>
      <c r="J51" t="s">
        <v>6</v>
      </c>
    </row>
    <row r="52" spans="3:10" hidden="1">
      <c r="C52">
        <v>10002</v>
      </c>
      <c r="D52" t="s">
        <v>49</v>
      </c>
      <c r="E52" t="s">
        <v>1284</v>
      </c>
      <c r="F52" s="41"/>
      <c r="G52" s="80" t="s">
        <v>8</v>
      </c>
      <c r="H52" s="80" t="s">
        <v>1998</v>
      </c>
      <c r="I52" s="81" t="s">
        <v>1282</v>
      </c>
      <c r="J52" t="s">
        <v>6</v>
      </c>
    </row>
    <row r="53" spans="3:10" hidden="1">
      <c r="C53">
        <v>10003</v>
      </c>
      <c r="D53" t="s">
        <v>49</v>
      </c>
      <c r="E53" t="s">
        <v>1285</v>
      </c>
      <c r="F53" s="41"/>
      <c r="G53" s="80" t="s">
        <v>8</v>
      </c>
      <c r="H53" s="80" t="s">
        <v>1998</v>
      </c>
      <c r="I53" s="81" t="s">
        <v>1282</v>
      </c>
      <c r="J53" t="s">
        <v>6</v>
      </c>
    </row>
    <row r="54" spans="3:10" hidden="1">
      <c r="C54">
        <v>10004</v>
      </c>
      <c r="D54" t="s">
        <v>49</v>
      </c>
      <c r="E54" t="s">
        <v>1286</v>
      </c>
      <c r="F54" s="41"/>
      <c r="G54" s="80" t="s">
        <v>8</v>
      </c>
      <c r="H54" s="80" t="s">
        <v>1998</v>
      </c>
      <c r="I54" s="81" t="s">
        <v>1282</v>
      </c>
      <c r="J54" t="s">
        <v>6</v>
      </c>
    </row>
    <row r="55" spans="3:10" hidden="1">
      <c r="C55">
        <v>10005</v>
      </c>
      <c r="D55" t="s">
        <v>49</v>
      </c>
      <c r="E55" t="s">
        <v>1287</v>
      </c>
      <c r="F55" s="41"/>
      <c r="G55" s="80" t="s">
        <v>8</v>
      </c>
      <c r="H55" s="80" t="s">
        <v>1998</v>
      </c>
      <c r="I55" s="81" t="s">
        <v>1282</v>
      </c>
      <c r="J55" t="s">
        <v>6</v>
      </c>
    </row>
    <row r="56" spans="3:10" hidden="1">
      <c r="C56">
        <v>11000</v>
      </c>
      <c r="D56" t="s">
        <v>48</v>
      </c>
      <c r="E56" t="s">
        <v>1288</v>
      </c>
      <c r="F56" s="41"/>
      <c r="G56" s="80" t="s">
        <v>13</v>
      </c>
      <c r="H56" s="80" t="s">
        <v>1998</v>
      </c>
      <c r="I56" s="81" t="s">
        <v>1288</v>
      </c>
      <c r="J56" t="s">
        <v>6</v>
      </c>
    </row>
    <row r="57" spans="3:10" hidden="1">
      <c r="C57">
        <v>11001</v>
      </c>
      <c r="D57" t="s">
        <v>49</v>
      </c>
      <c r="E57" t="s">
        <v>1263</v>
      </c>
      <c r="F57" s="41"/>
      <c r="G57" s="80" t="s">
        <v>13</v>
      </c>
      <c r="H57" s="80" t="s">
        <v>1998</v>
      </c>
      <c r="I57" s="81" t="s">
        <v>1288</v>
      </c>
      <c r="J57" t="s">
        <v>6</v>
      </c>
    </row>
    <row r="58" spans="3:10" hidden="1">
      <c r="C58">
        <v>11002</v>
      </c>
      <c r="D58" t="s">
        <v>49</v>
      </c>
      <c r="E58" t="s">
        <v>1264</v>
      </c>
      <c r="F58" s="41"/>
      <c r="G58" s="80" t="s">
        <v>13</v>
      </c>
      <c r="H58" s="80" t="s">
        <v>1998</v>
      </c>
      <c r="I58" s="81" t="s">
        <v>1288</v>
      </c>
      <c r="J58" t="s">
        <v>6</v>
      </c>
    </row>
    <row r="59" spans="3:10" hidden="1">
      <c r="C59">
        <v>11003</v>
      </c>
      <c r="D59" t="s">
        <v>58</v>
      </c>
      <c r="E59" t="s">
        <v>306</v>
      </c>
      <c r="F59" s="41"/>
      <c r="G59" s="80" t="s">
        <v>13</v>
      </c>
      <c r="H59" s="80" t="s">
        <v>1998</v>
      </c>
      <c r="I59" s="81" t="s">
        <v>1288</v>
      </c>
      <c r="J59" t="s">
        <v>6</v>
      </c>
    </row>
    <row r="60" spans="3:10" hidden="1">
      <c r="C60">
        <v>11004</v>
      </c>
      <c r="D60" t="s">
        <v>49</v>
      </c>
      <c r="E60" t="s">
        <v>1289</v>
      </c>
      <c r="F60" s="41"/>
      <c r="G60" s="80" t="s">
        <v>13</v>
      </c>
      <c r="H60" s="80" t="s">
        <v>1998</v>
      </c>
      <c r="I60" s="81" t="s">
        <v>1288</v>
      </c>
      <c r="J60" t="s">
        <v>6</v>
      </c>
    </row>
    <row r="61" spans="3:10" hidden="1">
      <c r="C61">
        <v>12000</v>
      </c>
      <c r="D61" t="s">
        <v>48</v>
      </c>
      <c r="E61" t="s">
        <v>1290</v>
      </c>
      <c r="F61" s="41"/>
      <c r="G61" s="80" t="s">
        <v>13</v>
      </c>
      <c r="H61" s="80" t="s">
        <v>1998</v>
      </c>
      <c r="I61" s="81" t="s">
        <v>1290</v>
      </c>
      <c r="J61" t="s">
        <v>6</v>
      </c>
    </row>
    <row r="62" spans="3:10" hidden="1">
      <c r="C62">
        <v>12001</v>
      </c>
      <c r="D62" t="s">
        <v>49</v>
      </c>
      <c r="E62" t="s">
        <v>1263</v>
      </c>
      <c r="F62" s="41"/>
      <c r="G62" s="80" t="s">
        <v>13</v>
      </c>
      <c r="H62" s="80" t="s">
        <v>1998</v>
      </c>
      <c r="I62" s="81" t="s">
        <v>1290</v>
      </c>
      <c r="J62" t="s">
        <v>6</v>
      </c>
    </row>
    <row r="63" spans="3:10" hidden="1">
      <c r="C63">
        <v>12002</v>
      </c>
      <c r="D63" t="s">
        <v>49</v>
      </c>
      <c r="E63" t="s">
        <v>1264</v>
      </c>
      <c r="F63" s="41"/>
      <c r="G63" s="80" t="s">
        <v>13</v>
      </c>
      <c r="H63" s="80" t="s">
        <v>1998</v>
      </c>
      <c r="I63" s="81" t="s">
        <v>1290</v>
      </c>
      <c r="J63" t="s">
        <v>6</v>
      </c>
    </row>
    <row r="64" spans="3:10" hidden="1">
      <c r="C64">
        <v>12003</v>
      </c>
      <c r="D64" t="s">
        <v>58</v>
      </c>
      <c r="E64" t="s">
        <v>306</v>
      </c>
      <c r="F64" s="41"/>
      <c r="G64" s="80" t="s">
        <v>13</v>
      </c>
      <c r="H64" s="80" t="s">
        <v>1998</v>
      </c>
      <c r="I64" s="81" t="s">
        <v>1290</v>
      </c>
      <c r="J64" t="s">
        <v>6</v>
      </c>
    </row>
    <row r="65" spans="3:10" hidden="1">
      <c r="C65">
        <v>12004</v>
      </c>
      <c r="D65" t="s">
        <v>49</v>
      </c>
      <c r="E65" t="s">
        <v>117</v>
      </c>
      <c r="F65" s="41"/>
      <c r="G65" s="80" t="s">
        <v>13</v>
      </c>
      <c r="H65" s="80" t="s">
        <v>1998</v>
      </c>
      <c r="I65" s="81" t="s">
        <v>1290</v>
      </c>
      <c r="J65" t="s">
        <v>6</v>
      </c>
    </row>
    <row r="66" spans="3:10" hidden="1">
      <c r="C66">
        <v>13000</v>
      </c>
      <c r="D66" t="s">
        <v>48</v>
      </c>
      <c r="E66" t="s">
        <v>1291</v>
      </c>
      <c r="F66" s="41"/>
      <c r="G66" s="80" t="s">
        <v>13</v>
      </c>
      <c r="H66" s="80" t="s">
        <v>1998</v>
      </c>
      <c r="I66" s="81" t="s">
        <v>1291</v>
      </c>
      <c r="J66" t="s">
        <v>6</v>
      </c>
    </row>
    <row r="67" spans="3:10" hidden="1">
      <c r="C67">
        <v>13001</v>
      </c>
      <c r="D67" t="s">
        <v>49</v>
      </c>
      <c r="E67" t="s">
        <v>1263</v>
      </c>
      <c r="F67" s="41"/>
      <c r="G67" s="80" t="s">
        <v>13</v>
      </c>
      <c r="H67" s="80" t="s">
        <v>1998</v>
      </c>
      <c r="I67" s="81" t="s">
        <v>1291</v>
      </c>
      <c r="J67" t="s">
        <v>6</v>
      </c>
    </row>
    <row r="68" spans="3:10" hidden="1">
      <c r="C68">
        <v>13002</v>
      </c>
      <c r="D68" t="s">
        <v>49</v>
      </c>
      <c r="E68" t="s">
        <v>1264</v>
      </c>
      <c r="F68" s="41"/>
      <c r="G68" s="80" t="s">
        <v>13</v>
      </c>
      <c r="H68" s="80" t="s">
        <v>1998</v>
      </c>
      <c r="I68" s="81" t="s">
        <v>1291</v>
      </c>
      <c r="J68" t="s">
        <v>6</v>
      </c>
    </row>
    <row r="69" spans="3:10" hidden="1">
      <c r="C69">
        <v>13003</v>
      </c>
      <c r="D69" t="s">
        <v>58</v>
      </c>
      <c r="E69" t="s">
        <v>306</v>
      </c>
      <c r="F69" s="41"/>
      <c r="G69" s="80" t="s">
        <v>13</v>
      </c>
      <c r="H69" s="80" t="s">
        <v>1998</v>
      </c>
      <c r="I69" s="81" t="s">
        <v>1291</v>
      </c>
      <c r="J69" t="s">
        <v>6</v>
      </c>
    </row>
    <row r="70" spans="3:10" hidden="1">
      <c r="C70">
        <v>13004</v>
      </c>
      <c r="D70" t="s">
        <v>49</v>
      </c>
      <c r="E70" t="s">
        <v>1292</v>
      </c>
      <c r="F70" s="41"/>
      <c r="G70" s="80" t="s">
        <v>13</v>
      </c>
      <c r="H70" s="80" t="s">
        <v>1998</v>
      </c>
      <c r="I70" s="81" t="s">
        <v>1291</v>
      </c>
      <c r="J70" t="s">
        <v>6</v>
      </c>
    </row>
    <row r="71" spans="3:10" hidden="1">
      <c r="C71">
        <v>14000</v>
      </c>
      <c r="D71" t="s">
        <v>48</v>
      </c>
      <c r="E71" t="s">
        <v>1293</v>
      </c>
      <c r="F71" s="41"/>
      <c r="G71" s="80" t="s">
        <v>13</v>
      </c>
      <c r="H71" s="80" t="s">
        <v>1998</v>
      </c>
      <c r="I71" s="81" t="s">
        <v>1293</v>
      </c>
      <c r="J71" t="s">
        <v>6</v>
      </c>
    </row>
    <row r="72" spans="3:10" hidden="1">
      <c r="C72">
        <v>14001</v>
      </c>
      <c r="D72" t="s">
        <v>49</v>
      </c>
      <c r="E72" t="s">
        <v>1263</v>
      </c>
      <c r="F72" s="41"/>
      <c r="G72" s="80" t="s">
        <v>13</v>
      </c>
      <c r="H72" s="80" t="s">
        <v>1998</v>
      </c>
      <c r="I72" s="81" t="s">
        <v>1293</v>
      </c>
      <c r="J72" t="s">
        <v>6</v>
      </c>
    </row>
    <row r="73" spans="3:10" hidden="1">
      <c r="C73">
        <v>14002</v>
      </c>
      <c r="D73" t="s">
        <v>49</v>
      </c>
      <c r="E73" t="s">
        <v>1264</v>
      </c>
      <c r="F73" s="41"/>
      <c r="G73" s="80" t="s">
        <v>13</v>
      </c>
      <c r="H73" s="80" t="s">
        <v>1998</v>
      </c>
      <c r="I73" s="81" t="s">
        <v>1293</v>
      </c>
      <c r="J73" t="s">
        <v>6</v>
      </c>
    </row>
    <row r="74" spans="3:10" hidden="1">
      <c r="C74">
        <v>14003</v>
      </c>
      <c r="D74" t="s">
        <v>58</v>
      </c>
      <c r="E74" t="s">
        <v>306</v>
      </c>
      <c r="F74" s="41"/>
      <c r="G74" s="80" t="s">
        <v>13</v>
      </c>
      <c r="H74" s="80" t="s">
        <v>1998</v>
      </c>
      <c r="I74" s="81" t="s">
        <v>1293</v>
      </c>
      <c r="J74" t="s">
        <v>6</v>
      </c>
    </row>
    <row r="75" spans="3:10" hidden="1">
      <c r="C75">
        <v>14004</v>
      </c>
      <c r="D75" t="s">
        <v>49</v>
      </c>
      <c r="E75" t="s">
        <v>1294</v>
      </c>
      <c r="F75" s="41"/>
      <c r="G75" s="80" t="s">
        <v>13</v>
      </c>
      <c r="H75" s="80" t="s">
        <v>1998</v>
      </c>
      <c r="I75" s="81" t="s">
        <v>1293</v>
      </c>
      <c r="J75" t="s">
        <v>6</v>
      </c>
    </row>
    <row r="76" spans="3:10" hidden="1">
      <c r="C76">
        <v>15000</v>
      </c>
      <c r="D76" t="s">
        <v>48</v>
      </c>
      <c r="E76" t="s">
        <v>1295</v>
      </c>
      <c r="F76" s="41"/>
      <c r="G76" s="80" t="s">
        <v>13</v>
      </c>
      <c r="H76" s="80" t="s">
        <v>1998</v>
      </c>
      <c r="I76" s="81" t="s">
        <v>1295</v>
      </c>
      <c r="J76" t="s">
        <v>6</v>
      </c>
    </row>
    <row r="77" spans="3:10" hidden="1">
      <c r="C77">
        <v>15001</v>
      </c>
      <c r="D77" t="s">
        <v>49</v>
      </c>
      <c r="E77" t="s">
        <v>1263</v>
      </c>
      <c r="F77" s="41"/>
      <c r="G77" s="80" t="s">
        <v>13</v>
      </c>
      <c r="H77" s="80" t="s">
        <v>1998</v>
      </c>
      <c r="I77" s="81" t="s">
        <v>1295</v>
      </c>
      <c r="J77" t="s">
        <v>6</v>
      </c>
    </row>
    <row r="78" spans="3:10" hidden="1">
      <c r="C78">
        <v>15002</v>
      </c>
      <c r="D78" t="s">
        <v>49</v>
      </c>
      <c r="E78" t="s">
        <v>1264</v>
      </c>
      <c r="F78" s="41"/>
      <c r="G78" s="80" t="s">
        <v>13</v>
      </c>
      <c r="H78" s="80" t="s">
        <v>1998</v>
      </c>
      <c r="I78" s="81" t="s">
        <v>1295</v>
      </c>
      <c r="J78" t="s">
        <v>6</v>
      </c>
    </row>
    <row r="79" spans="3:10" hidden="1">
      <c r="C79">
        <v>15003</v>
      </c>
      <c r="D79" t="s">
        <v>58</v>
      </c>
      <c r="E79" t="s">
        <v>306</v>
      </c>
      <c r="F79" s="41"/>
      <c r="G79" s="80" t="s">
        <v>13</v>
      </c>
      <c r="H79" s="80" t="s">
        <v>1998</v>
      </c>
      <c r="I79" s="81" t="s">
        <v>1295</v>
      </c>
      <c r="J79" t="s">
        <v>6</v>
      </c>
    </row>
    <row r="80" spans="3:10" hidden="1">
      <c r="C80">
        <v>15004</v>
      </c>
      <c r="D80" t="s">
        <v>49</v>
      </c>
      <c r="E80" t="s">
        <v>1296</v>
      </c>
      <c r="F80" s="41"/>
      <c r="G80" s="80" t="s">
        <v>13</v>
      </c>
      <c r="H80" s="80" t="s">
        <v>1998</v>
      </c>
      <c r="I80" s="81" t="s">
        <v>1295</v>
      </c>
      <c r="J80" t="s">
        <v>6</v>
      </c>
    </row>
    <row r="81" spans="3:10" hidden="1">
      <c r="C81">
        <v>16000</v>
      </c>
      <c r="D81" t="s">
        <v>48</v>
      </c>
      <c r="E81" t="s">
        <v>1297</v>
      </c>
      <c r="F81" s="41"/>
      <c r="G81" s="80" t="s">
        <v>13</v>
      </c>
      <c r="H81" s="80" t="s">
        <v>1998</v>
      </c>
      <c r="I81" s="81" t="s">
        <v>1297</v>
      </c>
      <c r="J81" t="s">
        <v>6</v>
      </c>
    </row>
    <row r="82" spans="3:10" hidden="1">
      <c r="C82">
        <v>16001</v>
      </c>
      <c r="D82" t="s">
        <v>49</v>
      </c>
      <c r="E82" t="s">
        <v>1263</v>
      </c>
      <c r="F82" s="41"/>
      <c r="G82" s="80" t="s">
        <v>13</v>
      </c>
      <c r="H82" s="80" t="s">
        <v>1998</v>
      </c>
      <c r="I82" s="81" t="s">
        <v>1297</v>
      </c>
      <c r="J82" t="s">
        <v>6</v>
      </c>
    </row>
    <row r="83" spans="3:10" hidden="1">
      <c r="C83">
        <v>16002</v>
      </c>
      <c r="D83" t="s">
        <v>49</v>
      </c>
      <c r="E83" t="s">
        <v>1264</v>
      </c>
      <c r="F83" s="41"/>
      <c r="G83" s="80" t="s">
        <v>13</v>
      </c>
      <c r="H83" s="80" t="s">
        <v>1998</v>
      </c>
      <c r="I83" s="81" t="s">
        <v>1297</v>
      </c>
      <c r="J83" t="s">
        <v>6</v>
      </c>
    </row>
    <row r="84" spans="3:10" hidden="1">
      <c r="C84">
        <v>16003</v>
      </c>
      <c r="D84" t="s">
        <v>58</v>
      </c>
      <c r="E84" t="s">
        <v>306</v>
      </c>
      <c r="F84" s="41"/>
      <c r="G84" s="80" t="s">
        <v>13</v>
      </c>
      <c r="H84" s="80" t="s">
        <v>1998</v>
      </c>
      <c r="I84" s="81" t="s">
        <v>1297</v>
      </c>
      <c r="J84" t="s">
        <v>6</v>
      </c>
    </row>
    <row r="85" spans="3:10" hidden="1">
      <c r="C85">
        <v>16004</v>
      </c>
      <c r="D85" t="s">
        <v>49</v>
      </c>
      <c r="E85" t="s">
        <v>1298</v>
      </c>
      <c r="F85" s="41"/>
      <c r="G85" s="80" t="s">
        <v>13</v>
      </c>
      <c r="H85" s="80" t="s">
        <v>1998</v>
      </c>
      <c r="I85" s="81" t="s">
        <v>1297</v>
      </c>
      <c r="J85" t="s">
        <v>6</v>
      </c>
    </row>
    <row r="86" spans="3:10" hidden="1">
      <c r="C86">
        <v>17000</v>
      </c>
      <c r="D86" t="s">
        <v>48</v>
      </c>
      <c r="E86" t="s">
        <v>1299</v>
      </c>
      <c r="F86" s="41"/>
      <c r="G86" s="80" t="s">
        <v>13</v>
      </c>
      <c r="H86" s="80" t="s">
        <v>1998</v>
      </c>
      <c r="I86" s="81" t="s">
        <v>1299</v>
      </c>
      <c r="J86" t="s">
        <v>6</v>
      </c>
    </row>
    <row r="87" spans="3:10" hidden="1">
      <c r="C87">
        <v>17001</v>
      </c>
      <c r="D87" t="s">
        <v>49</v>
      </c>
      <c r="E87" t="s">
        <v>1263</v>
      </c>
      <c r="F87" s="41"/>
      <c r="G87" s="80" t="s">
        <v>13</v>
      </c>
      <c r="H87" s="80" t="s">
        <v>1998</v>
      </c>
      <c r="I87" s="81" t="s">
        <v>1299</v>
      </c>
      <c r="J87" t="s">
        <v>6</v>
      </c>
    </row>
    <row r="88" spans="3:10" hidden="1">
      <c r="C88">
        <v>17002</v>
      </c>
      <c r="D88" t="s">
        <v>49</v>
      </c>
      <c r="E88" t="s">
        <v>1264</v>
      </c>
      <c r="F88" s="41"/>
      <c r="G88" s="80" t="s">
        <v>13</v>
      </c>
      <c r="H88" s="80" t="s">
        <v>1998</v>
      </c>
      <c r="I88" s="81" t="s">
        <v>1299</v>
      </c>
      <c r="J88" t="s">
        <v>6</v>
      </c>
    </row>
    <row r="89" spans="3:10" hidden="1">
      <c r="C89">
        <v>17003</v>
      </c>
      <c r="D89" t="s">
        <v>58</v>
      </c>
      <c r="E89" t="s">
        <v>306</v>
      </c>
      <c r="F89" s="41"/>
      <c r="G89" s="80" t="s">
        <v>13</v>
      </c>
      <c r="H89" s="80" t="s">
        <v>1998</v>
      </c>
      <c r="I89" s="81" t="s">
        <v>1299</v>
      </c>
      <c r="J89" t="s">
        <v>6</v>
      </c>
    </row>
    <row r="90" spans="3:10" hidden="1">
      <c r="C90">
        <v>17004</v>
      </c>
      <c r="D90" t="s">
        <v>49</v>
      </c>
      <c r="E90" t="s">
        <v>1300</v>
      </c>
      <c r="F90" s="41"/>
      <c r="G90" s="80" t="s">
        <v>13</v>
      </c>
      <c r="H90" s="80" t="s">
        <v>1998</v>
      </c>
      <c r="I90" s="81" t="s">
        <v>1299</v>
      </c>
      <c r="J90" t="s">
        <v>6</v>
      </c>
    </row>
    <row r="91" spans="3:10" hidden="1">
      <c r="C91">
        <v>18000</v>
      </c>
      <c r="D91" t="s">
        <v>48</v>
      </c>
      <c r="E91" t="s">
        <v>1301</v>
      </c>
      <c r="F91" s="41"/>
      <c r="G91" s="80" t="s">
        <v>13</v>
      </c>
      <c r="H91" s="80" t="s">
        <v>1998</v>
      </c>
      <c r="I91" s="81" t="s">
        <v>1301</v>
      </c>
      <c r="J91" t="s">
        <v>6</v>
      </c>
    </row>
    <row r="92" spans="3:10" hidden="1">
      <c r="C92">
        <v>18001</v>
      </c>
      <c r="D92" t="s">
        <v>49</v>
      </c>
      <c r="E92" t="s">
        <v>1263</v>
      </c>
      <c r="F92" s="41"/>
      <c r="G92" s="80" t="s">
        <v>13</v>
      </c>
      <c r="H92" s="80" t="s">
        <v>1998</v>
      </c>
      <c r="I92" s="81" t="s">
        <v>1301</v>
      </c>
      <c r="J92" t="s">
        <v>6</v>
      </c>
    </row>
    <row r="93" spans="3:10" hidden="1">
      <c r="C93">
        <v>18002</v>
      </c>
      <c r="D93" t="s">
        <v>49</v>
      </c>
      <c r="E93" t="s">
        <v>1264</v>
      </c>
      <c r="F93" s="41"/>
      <c r="G93" s="80" t="s">
        <v>13</v>
      </c>
      <c r="H93" s="80" t="s">
        <v>1998</v>
      </c>
      <c r="I93" s="81" t="s">
        <v>1301</v>
      </c>
      <c r="J93" t="s">
        <v>6</v>
      </c>
    </row>
    <row r="94" spans="3:10" hidden="1">
      <c r="C94">
        <v>18003</v>
      </c>
      <c r="D94" t="s">
        <v>58</v>
      </c>
      <c r="E94" t="s">
        <v>306</v>
      </c>
      <c r="F94" s="41"/>
      <c r="G94" s="80" t="s">
        <v>13</v>
      </c>
      <c r="H94" s="80" t="s">
        <v>1998</v>
      </c>
      <c r="I94" s="81" t="s">
        <v>1301</v>
      </c>
      <c r="J94" t="s">
        <v>6</v>
      </c>
    </row>
    <row r="95" spans="3:10" hidden="1">
      <c r="C95">
        <v>18004</v>
      </c>
      <c r="D95" t="s">
        <v>49</v>
      </c>
      <c r="E95" t="s">
        <v>1302</v>
      </c>
      <c r="F95" s="41"/>
      <c r="G95" s="80" t="s">
        <v>13</v>
      </c>
      <c r="H95" s="80" t="s">
        <v>1998</v>
      </c>
      <c r="I95" s="81" t="s">
        <v>1301</v>
      </c>
      <c r="J95" t="s">
        <v>6</v>
      </c>
    </row>
    <row r="96" spans="3:10" hidden="1">
      <c r="C96">
        <v>19000</v>
      </c>
      <c r="D96" t="s">
        <v>48</v>
      </c>
      <c r="E96" t="s">
        <v>1303</v>
      </c>
      <c r="F96" s="41"/>
      <c r="G96" s="80" t="s">
        <v>18</v>
      </c>
      <c r="H96" s="80" t="s">
        <v>1998</v>
      </c>
      <c r="I96" s="81" t="s">
        <v>1303</v>
      </c>
      <c r="J96" t="s">
        <v>6</v>
      </c>
    </row>
    <row r="97" spans="3:10" hidden="1">
      <c r="C97">
        <v>19001</v>
      </c>
      <c r="D97" t="s">
        <v>49</v>
      </c>
      <c r="E97" t="s">
        <v>1263</v>
      </c>
      <c r="F97" s="41"/>
      <c r="G97" s="80" t="s">
        <v>18</v>
      </c>
      <c r="H97" s="80" t="s">
        <v>1998</v>
      </c>
      <c r="I97" s="81" t="s">
        <v>1303</v>
      </c>
      <c r="J97" t="s">
        <v>6</v>
      </c>
    </row>
    <row r="98" spans="3:10" hidden="1">
      <c r="C98">
        <v>19002</v>
      </c>
      <c r="D98" t="s">
        <v>49</v>
      </c>
      <c r="E98" t="s">
        <v>1264</v>
      </c>
      <c r="F98" s="41"/>
      <c r="G98" s="80" t="s">
        <v>18</v>
      </c>
      <c r="H98" s="80" t="s">
        <v>1998</v>
      </c>
      <c r="I98" s="81" t="s">
        <v>1303</v>
      </c>
      <c r="J98" t="s">
        <v>6</v>
      </c>
    </row>
    <row r="99" spans="3:10" hidden="1">
      <c r="C99">
        <v>19003</v>
      </c>
      <c r="D99" t="s">
        <v>58</v>
      </c>
      <c r="E99" t="s">
        <v>306</v>
      </c>
      <c r="F99" s="41"/>
      <c r="G99" s="80" t="s">
        <v>18</v>
      </c>
      <c r="H99" s="80" t="s">
        <v>1998</v>
      </c>
      <c r="I99" s="81" t="s">
        <v>1303</v>
      </c>
      <c r="J99" t="s">
        <v>6</v>
      </c>
    </row>
    <row r="100" spans="3:10" hidden="1">
      <c r="C100">
        <v>19004</v>
      </c>
      <c r="D100" t="s">
        <v>49</v>
      </c>
      <c r="E100" t="s">
        <v>1304</v>
      </c>
      <c r="F100" s="41"/>
      <c r="G100" s="80" t="s">
        <v>18</v>
      </c>
      <c r="H100" s="80" t="s">
        <v>1998</v>
      </c>
      <c r="I100" s="81" t="s">
        <v>1303</v>
      </c>
      <c r="J100" t="s">
        <v>6</v>
      </c>
    </row>
    <row r="101" spans="3:10" hidden="1">
      <c r="C101">
        <v>20000</v>
      </c>
      <c r="D101" t="s">
        <v>48</v>
      </c>
      <c r="E101" t="s">
        <v>1305</v>
      </c>
      <c r="F101" s="41"/>
      <c r="G101" s="80" t="s">
        <v>18</v>
      </c>
      <c r="H101" s="80" t="s">
        <v>1998</v>
      </c>
      <c r="I101" s="81" t="s">
        <v>1305</v>
      </c>
      <c r="J101" t="s">
        <v>6</v>
      </c>
    </row>
    <row r="102" spans="3:10" hidden="1">
      <c r="C102">
        <v>20001</v>
      </c>
      <c r="D102" t="s">
        <v>49</v>
      </c>
      <c r="E102" t="s">
        <v>1263</v>
      </c>
      <c r="F102" s="41"/>
      <c r="G102" s="80" t="s">
        <v>18</v>
      </c>
      <c r="H102" s="80" t="s">
        <v>1998</v>
      </c>
      <c r="I102" s="81" t="s">
        <v>1305</v>
      </c>
      <c r="J102" t="s">
        <v>6</v>
      </c>
    </row>
    <row r="103" spans="3:10" hidden="1">
      <c r="C103">
        <v>20002</v>
      </c>
      <c r="D103" t="s">
        <v>49</v>
      </c>
      <c r="E103" t="s">
        <v>288</v>
      </c>
      <c r="F103" s="41"/>
      <c r="G103" s="80" t="s">
        <v>18</v>
      </c>
      <c r="H103" s="80" t="s">
        <v>1998</v>
      </c>
      <c r="I103" s="81" t="s">
        <v>1305</v>
      </c>
      <c r="J103" t="s">
        <v>6</v>
      </c>
    </row>
    <row r="104" spans="3:10" hidden="1">
      <c r="C104">
        <v>20003</v>
      </c>
      <c r="D104" t="s">
        <v>49</v>
      </c>
      <c r="E104" t="s">
        <v>289</v>
      </c>
      <c r="F104" s="41"/>
      <c r="G104" s="80" t="s">
        <v>18</v>
      </c>
      <c r="H104" s="80" t="s">
        <v>1998</v>
      </c>
      <c r="I104" s="81" t="s">
        <v>1305</v>
      </c>
      <c r="J104" t="s">
        <v>6</v>
      </c>
    </row>
    <row r="105" spans="3:10" hidden="1">
      <c r="C105">
        <v>20004</v>
      </c>
      <c r="D105" t="s">
        <v>49</v>
      </c>
      <c r="E105" t="s">
        <v>271</v>
      </c>
      <c r="F105" s="41"/>
      <c r="G105" s="80" t="s">
        <v>18</v>
      </c>
      <c r="H105" s="80" t="s">
        <v>1998</v>
      </c>
      <c r="I105" s="81" t="s">
        <v>1305</v>
      </c>
      <c r="J105" t="s">
        <v>6</v>
      </c>
    </row>
    <row r="106" spans="3:10" hidden="1">
      <c r="C106">
        <v>20005</v>
      </c>
      <c r="D106" t="s">
        <v>49</v>
      </c>
      <c r="E106" t="s">
        <v>1264</v>
      </c>
      <c r="F106" s="41"/>
      <c r="G106" s="80" t="s">
        <v>18</v>
      </c>
      <c r="H106" s="80" t="s">
        <v>1998</v>
      </c>
      <c r="I106" s="81" t="s">
        <v>1305</v>
      </c>
      <c r="J106" t="s">
        <v>6</v>
      </c>
    </row>
    <row r="107" spans="3:10" hidden="1">
      <c r="C107">
        <v>20006</v>
      </c>
      <c r="D107" t="s">
        <v>58</v>
      </c>
      <c r="E107" t="s">
        <v>306</v>
      </c>
      <c r="F107" s="41"/>
      <c r="G107" s="80" t="s">
        <v>18</v>
      </c>
      <c r="H107" s="80" t="s">
        <v>1998</v>
      </c>
      <c r="I107" s="81" t="s">
        <v>1305</v>
      </c>
      <c r="J107" t="s">
        <v>6</v>
      </c>
    </row>
    <row r="108" spans="3:10" hidden="1">
      <c r="C108">
        <v>20007</v>
      </c>
      <c r="D108" t="s">
        <v>49</v>
      </c>
      <c r="E108" t="s">
        <v>1306</v>
      </c>
      <c r="F108" s="41"/>
      <c r="G108" s="80" t="s">
        <v>18</v>
      </c>
      <c r="H108" s="80" t="s">
        <v>1998</v>
      </c>
      <c r="I108" s="81" t="s">
        <v>1305</v>
      </c>
      <c r="J108" t="s">
        <v>6</v>
      </c>
    </row>
    <row r="109" spans="3:10" hidden="1">
      <c r="C109">
        <v>21000</v>
      </c>
      <c r="D109" t="s">
        <v>48</v>
      </c>
      <c r="E109" t="s">
        <v>1307</v>
      </c>
      <c r="F109" s="41"/>
      <c r="G109" s="80" t="s">
        <v>18</v>
      </c>
      <c r="H109" s="80" t="s">
        <v>1998</v>
      </c>
      <c r="I109" s="81" t="s">
        <v>1307</v>
      </c>
      <c r="J109" t="s">
        <v>6</v>
      </c>
    </row>
    <row r="110" spans="3:10" hidden="1">
      <c r="C110">
        <v>21001</v>
      </c>
      <c r="D110" t="s">
        <v>49</v>
      </c>
      <c r="E110" t="s">
        <v>1263</v>
      </c>
      <c r="F110" s="41"/>
      <c r="G110" s="80" t="s">
        <v>18</v>
      </c>
      <c r="H110" s="80" t="s">
        <v>1998</v>
      </c>
      <c r="I110" s="81" t="s">
        <v>1307</v>
      </c>
      <c r="J110" t="s">
        <v>6</v>
      </c>
    </row>
    <row r="111" spans="3:10" hidden="1">
      <c r="C111">
        <v>21002</v>
      </c>
      <c r="D111" t="s">
        <v>49</v>
      </c>
      <c r="E111" t="s">
        <v>288</v>
      </c>
      <c r="F111" s="41"/>
      <c r="G111" s="80" t="s">
        <v>18</v>
      </c>
      <c r="H111" s="80" t="s">
        <v>1998</v>
      </c>
      <c r="I111" s="81" t="s">
        <v>1307</v>
      </c>
      <c r="J111" t="s">
        <v>6</v>
      </c>
    </row>
    <row r="112" spans="3:10" hidden="1">
      <c r="C112">
        <v>21003</v>
      </c>
      <c r="D112" t="s">
        <v>49</v>
      </c>
      <c r="E112" t="s">
        <v>289</v>
      </c>
      <c r="F112" s="41"/>
      <c r="G112" s="80" t="s">
        <v>18</v>
      </c>
      <c r="H112" s="80" t="s">
        <v>1998</v>
      </c>
      <c r="I112" s="81" t="s">
        <v>1307</v>
      </c>
      <c r="J112" t="s">
        <v>6</v>
      </c>
    </row>
    <row r="113" spans="3:10" hidden="1">
      <c r="C113">
        <v>21004</v>
      </c>
      <c r="D113" t="s">
        <v>49</v>
      </c>
      <c r="E113" t="s">
        <v>1264</v>
      </c>
      <c r="F113" s="41"/>
      <c r="G113" s="80" t="s">
        <v>18</v>
      </c>
      <c r="H113" s="80" t="s">
        <v>1998</v>
      </c>
      <c r="I113" s="81" t="s">
        <v>1307</v>
      </c>
      <c r="J113" t="s">
        <v>6</v>
      </c>
    </row>
    <row r="114" spans="3:10" hidden="1">
      <c r="C114">
        <v>21005</v>
      </c>
      <c r="D114" t="s">
        <v>58</v>
      </c>
      <c r="E114" t="s">
        <v>306</v>
      </c>
      <c r="F114" s="41"/>
      <c r="G114" s="80" t="s">
        <v>18</v>
      </c>
      <c r="H114" s="80" t="s">
        <v>1998</v>
      </c>
      <c r="I114" s="81" t="s">
        <v>1307</v>
      </c>
      <c r="J114" t="s">
        <v>6</v>
      </c>
    </row>
    <row r="115" spans="3:10" hidden="1">
      <c r="C115">
        <v>21006</v>
      </c>
      <c r="D115" t="s">
        <v>49</v>
      </c>
      <c r="E115" t="s">
        <v>1308</v>
      </c>
      <c r="F115" s="41"/>
      <c r="G115" s="80" t="s">
        <v>18</v>
      </c>
      <c r="H115" s="80" t="s">
        <v>1998</v>
      </c>
      <c r="I115" s="81" t="s">
        <v>1307</v>
      </c>
      <c r="J115" t="s">
        <v>6</v>
      </c>
    </row>
    <row r="116" spans="3:10" hidden="1">
      <c r="C116">
        <v>22000</v>
      </c>
      <c r="D116" t="s">
        <v>48</v>
      </c>
      <c r="E116" t="s">
        <v>1309</v>
      </c>
      <c r="F116" s="41"/>
      <c r="G116" s="80" t="s">
        <v>18</v>
      </c>
      <c r="H116" s="80" t="s">
        <v>1998</v>
      </c>
      <c r="I116" s="81" t="s">
        <v>1309</v>
      </c>
      <c r="J116" t="s">
        <v>6</v>
      </c>
    </row>
    <row r="117" spans="3:10" hidden="1">
      <c r="C117">
        <v>22001</v>
      </c>
      <c r="D117" t="s">
        <v>49</v>
      </c>
      <c r="E117" t="s">
        <v>1263</v>
      </c>
      <c r="F117" s="41"/>
      <c r="G117" s="80" t="s">
        <v>18</v>
      </c>
      <c r="H117" s="80" t="s">
        <v>1998</v>
      </c>
      <c r="I117" s="81" t="s">
        <v>1309</v>
      </c>
      <c r="J117" t="s">
        <v>6</v>
      </c>
    </row>
    <row r="118" spans="3:10" hidden="1">
      <c r="C118">
        <v>22002</v>
      </c>
      <c r="D118" t="s">
        <v>49</v>
      </c>
      <c r="E118" t="s">
        <v>1264</v>
      </c>
      <c r="F118" s="41"/>
      <c r="G118" s="80" t="s">
        <v>18</v>
      </c>
      <c r="H118" s="80" t="s">
        <v>1998</v>
      </c>
      <c r="I118" s="81" t="s">
        <v>1309</v>
      </c>
      <c r="J118" t="s">
        <v>6</v>
      </c>
    </row>
    <row r="119" spans="3:10" hidden="1">
      <c r="C119">
        <v>22003</v>
      </c>
      <c r="D119" t="s">
        <v>58</v>
      </c>
      <c r="E119" t="s">
        <v>306</v>
      </c>
      <c r="F119" s="41"/>
      <c r="G119" s="80" t="s">
        <v>18</v>
      </c>
      <c r="H119" s="80" t="s">
        <v>1998</v>
      </c>
      <c r="I119" s="81" t="s">
        <v>1309</v>
      </c>
      <c r="J119" t="s">
        <v>6</v>
      </c>
    </row>
    <row r="120" spans="3:10" hidden="1">
      <c r="C120">
        <v>22004</v>
      </c>
      <c r="D120" t="s">
        <v>49</v>
      </c>
      <c r="E120" t="s">
        <v>1310</v>
      </c>
      <c r="F120" s="41"/>
      <c r="G120" s="80" t="s">
        <v>18</v>
      </c>
      <c r="H120" s="80" t="s">
        <v>1998</v>
      </c>
      <c r="I120" s="81" t="s">
        <v>1309</v>
      </c>
      <c r="J120" t="s">
        <v>6</v>
      </c>
    </row>
    <row r="121" spans="3:10" hidden="1">
      <c r="C121">
        <v>23000</v>
      </c>
      <c r="D121" t="s">
        <v>48</v>
      </c>
      <c r="E121" t="s">
        <v>1311</v>
      </c>
      <c r="F121" s="41"/>
      <c r="G121" s="80" t="s">
        <v>18</v>
      </c>
      <c r="H121" s="80" t="s">
        <v>1998</v>
      </c>
      <c r="I121" s="81" t="s">
        <v>1311</v>
      </c>
      <c r="J121" t="s">
        <v>6</v>
      </c>
    </row>
    <row r="122" spans="3:10" hidden="1">
      <c r="C122">
        <v>23001</v>
      </c>
      <c r="D122" t="s">
        <v>49</v>
      </c>
      <c r="E122" t="s">
        <v>1263</v>
      </c>
      <c r="F122" s="41"/>
      <c r="G122" s="80" t="s">
        <v>18</v>
      </c>
      <c r="H122" s="80" t="s">
        <v>1998</v>
      </c>
      <c r="I122" s="81" t="s">
        <v>1311</v>
      </c>
      <c r="J122" t="s">
        <v>6</v>
      </c>
    </row>
    <row r="123" spans="3:10" hidden="1">
      <c r="C123">
        <v>23002</v>
      </c>
      <c r="D123" t="s">
        <v>49</v>
      </c>
      <c r="E123" t="s">
        <v>1264</v>
      </c>
      <c r="F123" s="41"/>
      <c r="G123" s="80" t="s">
        <v>18</v>
      </c>
      <c r="H123" s="80" t="s">
        <v>1998</v>
      </c>
      <c r="I123" s="81" t="s">
        <v>1311</v>
      </c>
      <c r="J123" t="s">
        <v>6</v>
      </c>
    </row>
    <row r="124" spans="3:10" hidden="1">
      <c r="C124">
        <v>23003</v>
      </c>
      <c r="D124" t="s">
        <v>58</v>
      </c>
      <c r="E124" t="s">
        <v>306</v>
      </c>
      <c r="F124" s="41"/>
      <c r="G124" s="80" t="s">
        <v>18</v>
      </c>
      <c r="H124" s="80" t="s">
        <v>1998</v>
      </c>
      <c r="I124" s="81" t="s">
        <v>1311</v>
      </c>
      <c r="J124" t="s">
        <v>6</v>
      </c>
    </row>
    <row r="125" spans="3:10" hidden="1">
      <c r="C125">
        <v>23004</v>
      </c>
      <c r="D125" t="s">
        <v>49</v>
      </c>
      <c r="E125" t="s">
        <v>1312</v>
      </c>
      <c r="F125" s="41"/>
      <c r="G125" s="80" t="s">
        <v>18</v>
      </c>
      <c r="H125" s="80" t="s">
        <v>1998</v>
      </c>
      <c r="I125" s="81" t="s">
        <v>1311</v>
      </c>
      <c r="J125" t="s">
        <v>6</v>
      </c>
    </row>
    <row r="126" spans="3:10" hidden="1">
      <c r="C126">
        <v>24000</v>
      </c>
      <c r="D126" t="s">
        <v>48</v>
      </c>
      <c r="E126" t="s">
        <v>1313</v>
      </c>
      <c r="F126" s="41"/>
      <c r="G126" s="80" t="s">
        <v>18</v>
      </c>
      <c r="H126" s="80" t="s">
        <v>1998</v>
      </c>
      <c r="I126" s="81" t="s">
        <v>1313</v>
      </c>
      <c r="J126" t="s">
        <v>6</v>
      </c>
    </row>
    <row r="127" spans="3:10" hidden="1">
      <c r="C127">
        <v>24001</v>
      </c>
      <c r="D127" t="s">
        <v>49</v>
      </c>
      <c r="E127" t="s">
        <v>1263</v>
      </c>
      <c r="F127" s="41"/>
      <c r="G127" s="80" t="s">
        <v>18</v>
      </c>
      <c r="H127" s="80" t="s">
        <v>1998</v>
      </c>
      <c r="I127" s="81" t="s">
        <v>1313</v>
      </c>
      <c r="J127" t="s">
        <v>6</v>
      </c>
    </row>
    <row r="128" spans="3:10" hidden="1">
      <c r="C128">
        <v>24002</v>
      </c>
      <c r="D128" t="s">
        <v>49</v>
      </c>
      <c r="E128" t="s">
        <v>1264</v>
      </c>
      <c r="F128" s="41"/>
      <c r="G128" s="80" t="s">
        <v>18</v>
      </c>
      <c r="H128" s="80" t="s">
        <v>1998</v>
      </c>
      <c r="I128" s="81" t="s">
        <v>1313</v>
      </c>
      <c r="J128" t="s">
        <v>6</v>
      </c>
    </row>
    <row r="129" spans="3:10" hidden="1">
      <c r="C129">
        <v>24003</v>
      </c>
      <c r="D129" t="s">
        <v>58</v>
      </c>
      <c r="E129" t="s">
        <v>306</v>
      </c>
      <c r="F129" s="41"/>
      <c r="G129" s="80" t="s">
        <v>18</v>
      </c>
      <c r="H129" s="80" t="s">
        <v>1998</v>
      </c>
      <c r="I129" s="81" t="s">
        <v>1313</v>
      </c>
      <c r="J129" t="s">
        <v>6</v>
      </c>
    </row>
    <row r="130" spans="3:10" hidden="1">
      <c r="C130">
        <v>24004</v>
      </c>
      <c r="D130" t="s">
        <v>49</v>
      </c>
      <c r="E130" t="s">
        <v>1314</v>
      </c>
      <c r="F130" s="41"/>
      <c r="G130" s="80" t="s">
        <v>18</v>
      </c>
      <c r="H130" s="80" t="s">
        <v>1998</v>
      </c>
      <c r="I130" s="81" t="s">
        <v>1313</v>
      </c>
      <c r="J130" t="s">
        <v>6</v>
      </c>
    </row>
    <row r="131" spans="3:10" hidden="1">
      <c r="C131">
        <v>25000</v>
      </c>
      <c r="D131" t="s">
        <v>48</v>
      </c>
      <c r="E131" t="s">
        <v>1315</v>
      </c>
      <c r="F131" s="41"/>
      <c r="G131" s="80" t="s">
        <v>18</v>
      </c>
      <c r="H131" s="80" t="s">
        <v>1998</v>
      </c>
      <c r="I131" s="81" t="s">
        <v>1315</v>
      </c>
      <c r="J131" t="s">
        <v>6</v>
      </c>
    </row>
    <row r="132" spans="3:10" hidden="1">
      <c r="C132">
        <v>25001</v>
      </c>
      <c r="D132" t="s">
        <v>49</v>
      </c>
      <c r="E132" t="s">
        <v>1263</v>
      </c>
      <c r="F132" s="41"/>
      <c r="G132" s="80" t="s">
        <v>18</v>
      </c>
      <c r="H132" s="80" t="s">
        <v>1998</v>
      </c>
      <c r="I132" s="81" t="s">
        <v>1315</v>
      </c>
      <c r="J132" t="s">
        <v>6</v>
      </c>
    </row>
    <row r="133" spans="3:10" hidden="1">
      <c r="C133">
        <v>25002</v>
      </c>
      <c r="D133" t="s">
        <v>49</v>
      </c>
      <c r="E133" t="s">
        <v>1264</v>
      </c>
      <c r="F133" s="41"/>
      <c r="G133" s="80" t="s">
        <v>18</v>
      </c>
      <c r="H133" s="80" t="s">
        <v>1998</v>
      </c>
      <c r="I133" s="81" t="s">
        <v>1315</v>
      </c>
      <c r="J133" t="s">
        <v>6</v>
      </c>
    </row>
    <row r="134" spans="3:10" hidden="1">
      <c r="C134">
        <v>25003</v>
      </c>
      <c r="D134" t="s">
        <v>58</v>
      </c>
      <c r="E134" t="s">
        <v>306</v>
      </c>
      <c r="F134" s="41"/>
      <c r="G134" s="80" t="s">
        <v>18</v>
      </c>
      <c r="H134" s="80" t="s">
        <v>1998</v>
      </c>
      <c r="I134" s="81" t="s">
        <v>1315</v>
      </c>
      <c r="J134" t="s">
        <v>6</v>
      </c>
    </row>
    <row r="135" spans="3:10" hidden="1">
      <c r="C135">
        <v>25004</v>
      </c>
      <c r="D135" t="s">
        <v>49</v>
      </c>
      <c r="E135" t="s">
        <v>1316</v>
      </c>
      <c r="F135" s="41"/>
      <c r="G135" s="80" t="s">
        <v>18</v>
      </c>
      <c r="H135" s="80" t="s">
        <v>1998</v>
      </c>
      <c r="I135" s="81" t="s">
        <v>1315</v>
      </c>
      <c r="J135" t="s">
        <v>6</v>
      </c>
    </row>
    <row r="136" spans="3:10" hidden="1">
      <c r="C136">
        <v>26000</v>
      </c>
      <c r="D136" t="s">
        <v>48</v>
      </c>
      <c r="E136" t="s">
        <v>1317</v>
      </c>
      <c r="F136" s="41"/>
      <c r="G136" s="80" t="s">
        <v>18</v>
      </c>
      <c r="H136" s="80" t="s">
        <v>1998</v>
      </c>
      <c r="I136" s="81" t="s">
        <v>1317</v>
      </c>
      <c r="J136" t="s">
        <v>6</v>
      </c>
    </row>
    <row r="137" spans="3:10" hidden="1">
      <c r="C137">
        <v>26001</v>
      </c>
      <c r="D137" t="s">
        <v>49</v>
      </c>
      <c r="E137" t="s">
        <v>1263</v>
      </c>
      <c r="F137" s="41"/>
      <c r="G137" s="80" t="s">
        <v>18</v>
      </c>
      <c r="H137" s="80" t="s">
        <v>1998</v>
      </c>
      <c r="I137" s="81" t="s">
        <v>1317</v>
      </c>
      <c r="J137" t="s">
        <v>6</v>
      </c>
    </row>
    <row r="138" spans="3:10" hidden="1">
      <c r="C138">
        <v>26002</v>
      </c>
      <c r="D138" t="s">
        <v>49</v>
      </c>
      <c r="E138" t="s">
        <v>1264</v>
      </c>
      <c r="F138" s="41"/>
      <c r="G138" s="80" t="s">
        <v>18</v>
      </c>
      <c r="H138" s="80" t="s">
        <v>1998</v>
      </c>
      <c r="I138" s="81" t="s">
        <v>1317</v>
      </c>
      <c r="J138" t="s">
        <v>6</v>
      </c>
    </row>
    <row r="139" spans="3:10" hidden="1">
      <c r="C139">
        <v>26003</v>
      </c>
      <c r="D139" t="s">
        <v>58</v>
      </c>
      <c r="E139" t="s">
        <v>306</v>
      </c>
      <c r="F139" s="41"/>
      <c r="G139" s="80" t="s">
        <v>18</v>
      </c>
      <c r="H139" s="80" t="s">
        <v>1998</v>
      </c>
      <c r="I139" s="81" t="s">
        <v>1317</v>
      </c>
      <c r="J139" t="s">
        <v>6</v>
      </c>
    </row>
    <row r="140" spans="3:10" hidden="1">
      <c r="C140">
        <v>26004</v>
      </c>
      <c r="D140" t="s">
        <v>49</v>
      </c>
      <c r="E140" t="s">
        <v>1318</v>
      </c>
      <c r="F140" s="41"/>
      <c r="G140" s="80" t="s">
        <v>18</v>
      </c>
      <c r="H140" s="80" t="s">
        <v>1998</v>
      </c>
      <c r="I140" s="81" t="s">
        <v>1317</v>
      </c>
      <c r="J140" t="s">
        <v>6</v>
      </c>
    </row>
    <row r="141" spans="3:10" hidden="1">
      <c r="C141">
        <v>27000</v>
      </c>
      <c r="D141" t="s">
        <v>48</v>
      </c>
      <c r="E141" t="s">
        <v>1319</v>
      </c>
      <c r="F141" s="41"/>
      <c r="G141" s="80" t="s">
        <v>18</v>
      </c>
      <c r="H141" s="80" t="s">
        <v>1998</v>
      </c>
      <c r="I141" s="81" t="s">
        <v>1319</v>
      </c>
      <c r="J141" t="s">
        <v>6</v>
      </c>
    </row>
    <row r="142" spans="3:10" hidden="1">
      <c r="C142">
        <v>27001</v>
      </c>
      <c r="D142" t="s">
        <v>49</v>
      </c>
      <c r="E142" t="s">
        <v>1263</v>
      </c>
      <c r="F142" s="41"/>
      <c r="G142" s="80" t="s">
        <v>18</v>
      </c>
      <c r="H142" s="80" t="s">
        <v>1998</v>
      </c>
      <c r="I142" s="81" t="s">
        <v>1319</v>
      </c>
      <c r="J142" t="s">
        <v>6</v>
      </c>
    </row>
    <row r="143" spans="3:10" hidden="1">
      <c r="C143">
        <v>27002</v>
      </c>
      <c r="D143" t="s">
        <v>49</v>
      </c>
      <c r="E143" t="s">
        <v>1264</v>
      </c>
      <c r="F143" s="41"/>
      <c r="G143" s="80" t="s">
        <v>18</v>
      </c>
      <c r="H143" s="80" t="s">
        <v>1998</v>
      </c>
      <c r="I143" s="81" t="s">
        <v>1319</v>
      </c>
      <c r="J143" t="s">
        <v>6</v>
      </c>
    </row>
    <row r="144" spans="3:10" hidden="1">
      <c r="C144">
        <v>27003</v>
      </c>
      <c r="D144" t="s">
        <v>58</v>
      </c>
      <c r="E144" t="s">
        <v>306</v>
      </c>
      <c r="F144" s="41"/>
      <c r="G144" s="80" t="s">
        <v>18</v>
      </c>
      <c r="H144" s="80" t="s">
        <v>1998</v>
      </c>
      <c r="I144" s="81" t="s">
        <v>1319</v>
      </c>
      <c r="J144" t="s">
        <v>6</v>
      </c>
    </row>
    <row r="145" spans="3:10" hidden="1">
      <c r="C145">
        <v>27004</v>
      </c>
      <c r="D145" t="s">
        <v>49</v>
      </c>
      <c r="E145" t="s">
        <v>1320</v>
      </c>
      <c r="F145" s="41"/>
      <c r="G145" s="80" t="s">
        <v>18</v>
      </c>
      <c r="H145" s="80" t="s">
        <v>1998</v>
      </c>
      <c r="I145" s="81" t="s">
        <v>1319</v>
      </c>
      <c r="J145" t="s">
        <v>6</v>
      </c>
    </row>
    <row r="146" spans="3:10" hidden="1">
      <c r="C146">
        <v>28000</v>
      </c>
      <c r="D146" t="s">
        <v>119</v>
      </c>
      <c r="E146" t="s">
        <v>1321</v>
      </c>
      <c r="F146" s="41"/>
      <c r="G146" s="80" t="s">
        <v>18</v>
      </c>
      <c r="H146" s="80" t="s">
        <v>1998</v>
      </c>
      <c r="I146" s="81" t="s">
        <v>1321</v>
      </c>
      <c r="J146" t="s">
        <v>6</v>
      </c>
    </row>
    <row r="147" spans="3:10" hidden="1">
      <c r="C147">
        <v>28001</v>
      </c>
      <c r="D147" t="s">
        <v>120</v>
      </c>
      <c r="E147" t="s">
        <v>360</v>
      </c>
      <c r="F147" s="41"/>
      <c r="G147" s="80" t="s">
        <v>18</v>
      </c>
      <c r="H147" s="80" t="s">
        <v>1998</v>
      </c>
      <c r="I147" s="81" t="s">
        <v>1321</v>
      </c>
      <c r="J147" t="s">
        <v>6</v>
      </c>
    </row>
    <row r="148" spans="3:10" hidden="1">
      <c r="C148">
        <v>28002</v>
      </c>
      <c r="D148" t="s">
        <v>49</v>
      </c>
      <c r="E148" t="s">
        <v>1322</v>
      </c>
      <c r="F148" s="41"/>
      <c r="G148" s="80" t="s">
        <v>18</v>
      </c>
      <c r="H148" s="80" t="s">
        <v>1998</v>
      </c>
      <c r="I148" s="81" t="s">
        <v>1321</v>
      </c>
      <c r="J148" t="s">
        <v>6</v>
      </c>
    </row>
    <row r="149" spans="3:10" hidden="1">
      <c r="C149">
        <v>28003</v>
      </c>
      <c r="D149" t="s">
        <v>49</v>
      </c>
      <c r="E149" t="s">
        <v>1323</v>
      </c>
      <c r="F149" s="41"/>
      <c r="G149" s="80" t="s">
        <v>18</v>
      </c>
      <c r="H149" s="80" t="s">
        <v>1998</v>
      </c>
      <c r="I149" s="81" t="s">
        <v>1321</v>
      </c>
      <c r="J149" t="s">
        <v>6</v>
      </c>
    </row>
    <row r="150" spans="3:10" hidden="1">
      <c r="C150">
        <v>28004</v>
      </c>
      <c r="D150" t="s">
        <v>49</v>
      </c>
      <c r="E150" t="s">
        <v>1324</v>
      </c>
      <c r="F150" s="41"/>
      <c r="G150" s="80" t="s">
        <v>18</v>
      </c>
      <c r="H150" s="80" t="s">
        <v>1998</v>
      </c>
      <c r="I150" s="81" t="s">
        <v>1321</v>
      </c>
      <c r="J150" t="s">
        <v>6</v>
      </c>
    </row>
    <row r="151" spans="3:10" hidden="1">
      <c r="C151">
        <v>28005</v>
      </c>
      <c r="D151" t="s">
        <v>49</v>
      </c>
      <c r="E151" t="s">
        <v>1325</v>
      </c>
      <c r="F151" s="41"/>
      <c r="G151" s="80" t="s">
        <v>18</v>
      </c>
      <c r="H151" s="80" t="s">
        <v>1998</v>
      </c>
      <c r="I151" s="81" t="s">
        <v>1321</v>
      </c>
      <c r="J151" t="s">
        <v>6</v>
      </c>
    </row>
    <row r="152" spans="3:10" hidden="1">
      <c r="C152">
        <v>28006</v>
      </c>
      <c r="D152" t="s">
        <v>120</v>
      </c>
      <c r="E152" t="s">
        <v>1326</v>
      </c>
      <c r="F152" s="41"/>
      <c r="G152" s="80" t="s">
        <v>18</v>
      </c>
      <c r="H152" s="80" t="s">
        <v>1998</v>
      </c>
      <c r="I152" s="81" t="s">
        <v>1321</v>
      </c>
      <c r="J152" t="s">
        <v>6</v>
      </c>
    </row>
    <row r="153" spans="3:10" hidden="1">
      <c r="C153">
        <v>28007</v>
      </c>
      <c r="D153" t="s">
        <v>49</v>
      </c>
      <c r="E153" t="s">
        <v>1327</v>
      </c>
      <c r="F153" s="41"/>
      <c r="G153" s="80" t="s">
        <v>18</v>
      </c>
      <c r="H153" s="80" t="s">
        <v>1998</v>
      </c>
      <c r="I153" s="81" t="s">
        <v>1321</v>
      </c>
      <c r="J153" t="s">
        <v>6</v>
      </c>
    </row>
    <row r="154" spans="3:10" hidden="1">
      <c r="C154">
        <v>28008</v>
      </c>
      <c r="D154" t="s">
        <v>49</v>
      </c>
      <c r="E154" t="s">
        <v>1328</v>
      </c>
      <c r="F154" s="41"/>
      <c r="G154" s="80" t="s">
        <v>18</v>
      </c>
      <c r="H154" s="80" t="s">
        <v>1998</v>
      </c>
      <c r="I154" s="81" t="s">
        <v>1321</v>
      </c>
      <c r="J154" t="s">
        <v>6</v>
      </c>
    </row>
    <row r="155" spans="3:10" hidden="1">
      <c r="C155">
        <v>28009</v>
      </c>
      <c r="D155" t="s">
        <v>49</v>
      </c>
      <c r="E155" t="s">
        <v>1329</v>
      </c>
      <c r="F155" s="41"/>
      <c r="G155" s="80" t="s">
        <v>18</v>
      </c>
      <c r="H155" s="80" t="s">
        <v>1998</v>
      </c>
      <c r="I155" s="81" t="s">
        <v>1321</v>
      </c>
      <c r="J155" t="s">
        <v>6</v>
      </c>
    </row>
    <row r="156" spans="3:10" hidden="1">
      <c r="C156">
        <v>28010</v>
      </c>
      <c r="D156" t="s">
        <v>120</v>
      </c>
      <c r="E156" t="s">
        <v>1330</v>
      </c>
      <c r="F156" s="41"/>
      <c r="G156" s="80" t="s">
        <v>18</v>
      </c>
      <c r="H156" s="80" t="s">
        <v>1998</v>
      </c>
      <c r="I156" s="81" t="s">
        <v>1321</v>
      </c>
      <c r="J156" t="s">
        <v>6</v>
      </c>
    </row>
    <row r="157" spans="3:10" hidden="1">
      <c r="C157">
        <v>28011</v>
      </c>
      <c r="D157" t="s">
        <v>49</v>
      </c>
      <c r="E157" t="s">
        <v>1331</v>
      </c>
      <c r="F157" s="41"/>
      <c r="G157" s="80" t="s">
        <v>18</v>
      </c>
      <c r="H157" s="80" t="s">
        <v>1998</v>
      </c>
      <c r="I157" s="81" t="s">
        <v>1321</v>
      </c>
      <c r="J157" t="s">
        <v>6</v>
      </c>
    </row>
    <row r="158" spans="3:10" hidden="1">
      <c r="C158">
        <v>28012</v>
      </c>
      <c r="D158" t="s">
        <v>49</v>
      </c>
      <c r="E158" t="s">
        <v>1332</v>
      </c>
      <c r="F158" s="41"/>
      <c r="G158" s="80" t="s">
        <v>18</v>
      </c>
      <c r="H158" s="80" t="s">
        <v>1998</v>
      </c>
      <c r="I158" s="81" t="s">
        <v>1321</v>
      </c>
      <c r="J158" t="s">
        <v>6</v>
      </c>
    </row>
    <row r="159" spans="3:10" hidden="1">
      <c r="C159">
        <v>28013</v>
      </c>
      <c r="D159" t="s">
        <v>49</v>
      </c>
      <c r="E159" t="s">
        <v>1333</v>
      </c>
      <c r="F159" s="41"/>
      <c r="G159" s="80" t="s">
        <v>18</v>
      </c>
      <c r="H159" s="80" t="s">
        <v>1998</v>
      </c>
      <c r="I159" s="81" t="s">
        <v>1321</v>
      </c>
      <c r="J159" t="s">
        <v>6</v>
      </c>
    </row>
    <row r="160" spans="3:10" hidden="1">
      <c r="C160">
        <v>28014</v>
      </c>
      <c r="D160" t="s">
        <v>49</v>
      </c>
      <c r="E160" t="s">
        <v>1334</v>
      </c>
      <c r="F160" s="41"/>
      <c r="G160" s="80" t="s">
        <v>18</v>
      </c>
      <c r="H160" s="80" t="s">
        <v>1998</v>
      </c>
      <c r="I160" s="81" t="s">
        <v>1321</v>
      </c>
      <c r="J160" t="s">
        <v>6</v>
      </c>
    </row>
    <row r="161" spans="3:10" hidden="1">
      <c r="C161">
        <v>28015</v>
      </c>
      <c r="D161" t="s">
        <v>120</v>
      </c>
      <c r="E161" t="s">
        <v>1335</v>
      </c>
      <c r="F161" s="41"/>
      <c r="G161" s="80" t="s">
        <v>18</v>
      </c>
      <c r="H161" s="80" t="s">
        <v>1998</v>
      </c>
      <c r="I161" s="81" t="s">
        <v>1321</v>
      </c>
      <c r="J161" t="s">
        <v>6</v>
      </c>
    </row>
    <row r="162" spans="3:10" hidden="1">
      <c r="C162">
        <v>28016</v>
      </c>
      <c r="D162" t="s">
        <v>49</v>
      </c>
      <c r="E162" t="s">
        <v>1336</v>
      </c>
      <c r="F162" s="41"/>
      <c r="G162" s="80" t="s">
        <v>18</v>
      </c>
      <c r="H162" s="80" t="s">
        <v>1998</v>
      </c>
      <c r="I162" s="81" t="s">
        <v>1321</v>
      </c>
      <c r="J162" t="s">
        <v>6</v>
      </c>
    </row>
    <row r="163" spans="3:10" hidden="1">
      <c r="C163">
        <v>28017</v>
      </c>
      <c r="D163" t="s">
        <v>49</v>
      </c>
      <c r="E163" t="s">
        <v>1337</v>
      </c>
      <c r="F163" s="41"/>
      <c r="G163" s="80" t="s">
        <v>18</v>
      </c>
      <c r="H163" s="80" t="s">
        <v>1998</v>
      </c>
      <c r="I163" s="81" t="s">
        <v>1321</v>
      </c>
      <c r="J163" t="s">
        <v>6</v>
      </c>
    </row>
    <row r="164" spans="3:10" hidden="1">
      <c r="C164">
        <v>28018</v>
      </c>
      <c r="D164" t="s">
        <v>49</v>
      </c>
      <c r="E164" t="s">
        <v>1338</v>
      </c>
      <c r="F164" s="41"/>
      <c r="G164" s="80" t="s">
        <v>18</v>
      </c>
      <c r="H164" s="80" t="s">
        <v>1998</v>
      </c>
      <c r="I164" s="81" t="s">
        <v>1321</v>
      </c>
      <c r="J164" t="s">
        <v>6</v>
      </c>
    </row>
    <row r="165" spans="3:10" hidden="1">
      <c r="C165">
        <v>28019</v>
      </c>
      <c r="D165" t="s">
        <v>49</v>
      </c>
      <c r="E165" t="s">
        <v>1339</v>
      </c>
      <c r="F165" s="41"/>
      <c r="G165" s="80" t="s">
        <v>18</v>
      </c>
      <c r="H165" s="80" t="s">
        <v>1998</v>
      </c>
      <c r="I165" s="81" t="s">
        <v>1321</v>
      </c>
      <c r="J165" t="s">
        <v>6</v>
      </c>
    </row>
    <row r="166" spans="3:10" hidden="1">
      <c r="C166">
        <v>28020</v>
      </c>
      <c r="D166" t="s">
        <v>58</v>
      </c>
      <c r="E166" t="s">
        <v>1340</v>
      </c>
      <c r="F166" s="41"/>
      <c r="G166" s="80" t="s">
        <v>18</v>
      </c>
      <c r="H166" s="80" t="s">
        <v>1998</v>
      </c>
      <c r="I166" s="81" t="s">
        <v>1321</v>
      </c>
      <c r="J166" t="s">
        <v>6</v>
      </c>
    </row>
    <row r="167" spans="3:10" hidden="1">
      <c r="C167">
        <v>29000</v>
      </c>
      <c r="D167" t="s">
        <v>48</v>
      </c>
      <c r="E167" t="s">
        <v>1341</v>
      </c>
      <c r="F167" s="41"/>
      <c r="G167" s="80" t="s">
        <v>18</v>
      </c>
      <c r="H167" s="80" t="s">
        <v>1998</v>
      </c>
      <c r="I167" s="81" t="s">
        <v>1341</v>
      </c>
      <c r="J167" t="s">
        <v>6</v>
      </c>
    </row>
    <row r="168" spans="3:10" hidden="1">
      <c r="C168">
        <v>29001</v>
      </c>
      <c r="D168" t="s">
        <v>49</v>
      </c>
      <c r="E168" t="s">
        <v>1263</v>
      </c>
      <c r="F168" s="41"/>
      <c r="G168" s="80" t="s">
        <v>18</v>
      </c>
      <c r="H168" s="80" t="s">
        <v>1998</v>
      </c>
      <c r="I168" s="81" t="s">
        <v>1341</v>
      </c>
      <c r="J168" t="s">
        <v>6</v>
      </c>
    </row>
    <row r="169" spans="3:10" hidden="1">
      <c r="C169">
        <v>29002</v>
      </c>
      <c r="D169" t="s">
        <v>49</v>
      </c>
      <c r="E169" t="s">
        <v>1264</v>
      </c>
      <c r="F169" s="41"/>
      <c r="G169" s="80" t="s">
        <v>18</v>
      </c>
      <c r="H169" s="80" t="s">
        <v>1998</v>
      </c>
      <c r="I169" s="81" t="s">
        <v>1341</v>
      </c>
      <c r="J169" t="s">
        <v>6</v>
      </c>
    </row>
    <row r="170" spans="3:10" hidden="1">
      <c r="C170">
        <v>29003</v>
      </c>
      <c r="D170" t="s">
        <v>58</v>
      </c>
      <c r="E170" t="s">
        <v>306</v>
      </c>
      <c r="F170" s="41"/>
      <c r="G170" s="80" t="s">
        <v>18</v>
      </c>
      <c r="H170" s="80" t="s">
        <v>1998</v>
      </c>
      <c r="I170" s="81" t="s">
        <v>1341</v>
      </c>
      <c r="J170" t="s">
        <v>6</v>
      </c>
    </row>
    <row r="171" spans="3:10" hidden="1">
      <c r="C171">
        <v>29004</v>
      </c>
      <c r="D171" t="s">
        <v>49</v>
      </c>
      <c r="E171" t="s">
        <v>380</v>
      </c>
      <c r="F171" s="41"/>
      <c r="G171" s="80" t="s">
        <v>18</v>
      </c>
      <c r="H171" s="80" t="s">
        <v>1998</v>
      </c>
      <c r="I171" s="81" t="s">
        <v>1341</v>
      </c>
      <c r="J171" t="s">
        <v>6</v>
      </c>
    </row>
    <row r="172" spans="3:10" hidden="1">
      <c r="C172">
        <v>30000</v>
      </c>
      <c r="D172" t="s">
        <v>48</v>
      </c>
      <c r="E172" t="s">
        <v>1342</v>
      </c>
      <c r="F172" s="41"/>
      <c r="G172" s="80" t="s">
        <v>18</v>
      </c>
      <c r="H172" s="80" t="s">
        <v>1998</v>
      </c>
      <c r="I172" s="81" t="s">
        <v>1342</v>
      </c>
      <c r="J172" t="s">
        <v>6</v>
      </c>
    </row>
    <row r="173" spans="3:10" hidden="1">
      <c r="C173">
        <v>30001</v>
      </c>
      <c r="D173" t="s">
        <v>49</v>
      </c>
      <c r="E173" t="s">
        <v>1263</v>
      </c>
      <c r="F173" s="41"/>
      <c r="G173" s="80" t="s">
        <v>18</v>
      </c>
      <c r="H173" s="80" t="s">
        <v>1998</v>
      </c>
      <c r="I173" s="81" t="s">
        <v>1342</v>
      </c>
      <c r="J173" t="s">
        <v>6</v>
      </c>
    </row>
    <row r="174" spans="3:10" hidden="1">
      <c r="C174">
        <v>30002</v>
      </c>
      <c r="D174" t="s">
        <v>49</v>
      </c>
      <c r="E174" t="s">
        <v>1264</v>
      </c>
      <c r="F174" s="41"/>
      <c r="G174" s="80" t="s">
        <v>18</v>
      </c>
      <c r="H174" s="80" t="s">
        <v>1998</v>
      </c>
      <c r="I174" s="81" t="s">
        <v>1342</v>
      </c>
      <c r="J174" t="s">
        <v>6</v>
      </c>
    </row>
    <row r="175" spans="3:10" hidden="1">
      <c r="C175">
        <v>30003</v>
      </c>
      <c r="D175" t="s">
        <v>58</v>
      </c>
      <c r="E175" t="s">
        <v>306</v>
      </c>
      <c r="F175" s="41"/>
      <c r="G175" s="80" t="s">
        <v>18</v>
      </c>
      <c r="H175" s="80" t="s">
        <v>1998</v>
      </c>
      <c r="I175" s="81" t="s">
        <v>1342</v>
      </c>
      <c r="J175" t="s">
        <v>6</v>
      </c>
    </row>
    <row r="176" spans="3:10" hidden="1">
      <c r="C176">
        <v>30004</v>
      </c>
      <c r="D176" t="s">
        <v>49</v>
      </c>
      <c r="E176" t="s">
        <v>1343</v>
      </c>
      <c r="F176" s="41"/>
      <c r="G176" s="80" t="s">
        <v>18</v>
      </c>
      <c r="H176" s="80" t="s">
        <v>1998</v>
      </c>
      <c r="I176" s="81" t="s">
        <v>1342</v>
      </c>
      <c r="J176" t="s">
        <v>6</v>
      </c>
    </row>
    <row r="177" spans="3:10" hidden="1">
      <c r="C177">
        <v>31000</v>
      </c>
      <c r="D177" t="s">
        <v>48</v>
      </c>
      <c r="E177" t="s">
        <v>1344</v>
      </c>
      <c r="F177" s="41"/>
      <c r="G177" s="80" t="s">
        <v>18</v>
      </c>
      <c r="H177" s="80" t="s">
        <v>1998</v>
      </c>
      <c r="I177" s="81" t="s">
        <v>1344</v>
      </c>
      <c r="J177" t="s">
        <v>6</v>
      </c>
    </row>
    <row r="178" spans="3:10" hidden="1">
      <c r="C178">
        <v>31001</v>
      </c>
      <c r="D178" t="s">
        <v>49</v>
      </c>
      <c r="E178" t="s">
        <v>1263</v>
      </c>
      <c r="F178" s="41"/>
      <c r="G178" s="80" t="s">
        <v>18</v>
      </c>
      <c r="H178" s="80" t="s">
        <v>1998</v>
      </c>
      <c r="I178" s="81" t="s">
        <v>1344</v>
      </c>
      <c r="J178" t="s">
        <v>6</v>
      </c>
    </row>
    <row r="179" spans="3:10" hidden="1">
      <c r="C179">
        <v>31002</v>
      </c>
      <c r="D179" t="s">
        <v>49</v>
      </c>
      <c r="E179" t="s">
        <v>1264</v>
      </c>
      <c r="F179" s="41"/>
      <c r="G179" s="80" t="s">
        <v>18</v>
      </c>
      <c r="H179" s="80" t="s">
        <v>1998</v>
      </c>
      <c r="I179" s="81" t="s">
        <v>1344</v>
      </c>
      <c r="J179" t="s">
        <v>6</v>
      </c>
    </row>
    <row r="180" spans="3:10" hidden="1">
      <c r="C180">
        <v>31003</v>
      </c>
      <c r="D180" t="s">
        <v>58</v>
      </c>
      <c r="E180" t="s">
        <v>306</v>
      </c>
      <c r="F180" s="41"/>
      <c r="G180" s="80" t="s">
        <v>18</v>
      </c>
      <c r="H180" s="80" t="s">
        <v>1998</v>
      </c>
      <c r="I180" s="81" t="s">
        <v>1344</v>
      </c>
      <c r="J180" t="s">
        <v>6</v>
      </c>
    </row>
    <row r="181" spans="3:10" hidden="1">
      <c r="C181">
        <v>31004</v>
      </c>
      <c r="D181" t="s">
        <v>49</v>
      </c>
      <c r="E181" t="s">
        <v>1345</v>
      </c>
      <c r="F181" s="41"/>
      <c r="G181" s="80" t="s">
        <v>18</v>
      </c>
      <c r="H181" s="80" t="s">
        <v>1998</v>
      </c>
      <c r="I181" s="81" t="s">
        <v>1344</v>
      </c>
      <c r="J181" t="s">
        <v>6</v>
      </c>
    </row>
    <row r="182" spans="3:10" hidden="1">
      <c r="C182">
        <v>32000</v>
      </c>
      <c r="D182" t="s">
        <v>48</v>
      </c>
      <c r="E182" t="s">
        <v>1346</v>
      </c>
      <c r="F182" s="41"/>
      <c r="G182" s="80" t="s">
        <v>18</v>
      </c>
      <c r="H182" s="80" t="s">
        <v>1998</v>
      </c>
      <c r="I182" s="81" t="s">
        <v>1346</v>
      </c>
      <c r="J182" t="s">
        <v>6</v>
      </c>
    </row>
    <row r="183" spans="3:10" hidden="1">
      <c r="C183">
        <v>32001</v>
      </c>
      <c r="D183" t="s">
        <v>49</v>
      </c>
      <c r="E183" t="s">
        <v>403</v>
      </c>
      <c r="F183" s="41"/>
      <c r="G183" s="80" t="s">
        <v>18</v>
      </c>
      <c r="H183" s="80" t="s">
        <v>1998</v>
      </c>
      <c r="I183" s="81" t="s">
        <v>1346</v>
      </c>
      <c r="J183" t="s">
        <v>6</v>
      </c>
    </row>
    <row r="184" spans="3:10" hidden="1">
      <c r="C184">
        <v>32002</v>
      </c>
      <c r="D184" t="s">
        <v>66</v>
      </c>
      <c r="E184" t="s">
        <v>404</v>
      </c>
      <c r="F184" s="41"/>
      <c r="G184" s="80" t="s">
        <v>18</v>
      </c>
      <c r="H184" s="80" t="s">
        <v>1998</v>
      </c>
      <c r="I184" s="81" t="s">
        <v>1346</v>
      </c>
      <c r="J184" t="s">
        <v>6</v>
      </c>
    </row>
    <row r="185" spans="3:10" hidden="1">
      <c r="C185">
        <v>32003</v>
      </c>
      <c r="D185" t="s">
        <v>66</v>
      </c>
      <c r="E185" t="s">
        <v>405</v>
      </c>
      <c r="F185" s="41"/>
      <c r="G185" s="80" t="s">
        <v>18</v>
      </c>
      <c r="H185" s="80" t="s">
        <v>1998</v>
      </c>
      <c r="I185" s="81" t="s">
        <v>1346</v>
      </c>
      <c r="J185" t="s">
        <v>6</v>
      </c>
    </row>
    <row r="186" spans="3:10" hidden="1">
      <c r="C186">
        <v>32004</v>
      </c>
      <c r="D186" t="s">
        <v>66</v>
      </c>
      <c r="E186" t="s">
        <v>406</v>
      </c>
      <c r="F186" s="41"/>
      <c r="G186" s="80" t="s">
        <v>18</v>
      </c>
      <c r="H186" s="80" t="s">
        <v>1998</v>
      </c>
      <c r="I186" s="81" t="s">
        <v>1346</v>
      </c>
      <c r="J186" t="s">
        <v>6</v>
      </c>
    </row>
    <row r="187" spans="3:10" hidden="1">
      <c r="C187">
        <v>32005</v>
      </c>
      <c r="D187" t="s">
        <v>66</v>
      </c>
      <c r="E187" t="s">
        <v>407</v>
      </c>
      <c r="F187" s="41"/>
      <c r="G187" s="80" t="s">
        <v>18</v>
      </c>
      <c r="H187" s="80" t="s">
        <v>1998</v>
      </c>
      <c r="I187" s="81" t="s">
        <v>1346</v>
      </c>
      <c r="J187" t="s">
        <v>6</v>
      </c>
    </row>
    <row r="188" spans="3:10" hidden="1">
      <c r="C188">
        <v>32006</v>
      </c>
      <c r="D188" t="s">
        <v>49</v>
      </c>
      <c r="E188" t="s">
        <v>408</v>
      </c>
      <c r="F188" s="41"/>
      <c r="G188" s="80" t="s">
        <v>18</v>
      </c>
      <c r="H188" s="80" t="s">
        <v>1998</v>
      </c>
      <c r="I188" s="81" t="s">
        <v>1346</v>
      </c>
      <c r="J188" t="s">
        <v>6</v>
      </c>
    </row>
    <row r="189" spans="3:10" hidden="1">
      <c r="C189">
        <v>32007</v>
      </c>
      <c r="D189" t="s">
        <v>49</v>
      </c>
      <c r="E189" t="s">
        <v>409</v>
      </c>
      <c r="F189" s="41"/>
      <c r="G189" s="80" t="s">
        <v>18</v>
      </c>
      <c r="H189" s="80" t="s">
        <v>1998</v>
      </c>
      <c r="I189" s="81" t="s">
        <v>1346</v>
      </c>
      <c r="J189" t="s">
        <v>6</v>
      </c>
    </row>
    <row r="190" spans="3:10" hidden="1">
      <c r="C190">
        <v>32008</v>
      </c>
      <c r="D190" t="s">
        <v>66</v>
      </c>
      <c r="E190" t="s">
        <v>410</v>
      </c>
      <c r="F190" s="41"/>
      <c r="G190" s="80" t="s">
        <v>18</v>
      </c>
      <c r="H190" s="80" t="s">
        <v>1998</v>
      </c>
      <c r="I190" s="81" t="s">
        <v>1346</v>
      </c>
      <c r="J190" t="s">
        <v>6</v>
      </c>
    </row>
    <row r="191" spans="3:10" hidden="1">
      <c r="C191">
        <v>32009</v>
      </c>
      <c r="D191" t="s">
        <v>49</v>
      </c>
      <c r="E191" t="s">
        <v>408</v>
      </c>
      <c r="F191" s="41"/>
      <c r="G191" s="80" t="s">
        <v>18</v>
      </c>
      <c r="H191" s="80" t="s">
        <v>1998</v>
      </c>
      <c r="I191" s="81" t="s">
        <v>1346</v>
      </c>
      <c r="J191" t="s">
        <v>6</v>
      </c>
    </row>
    <row r="192" spans="3:10" hidden="1">
      <c r="C192">
        <v>32010</v>
      </c>
      <c r="D192" t="s">
        <v>49</v>
      </c>
      <c r="E192" t="s">
        <v>1264</v>
      </c>
      <c r="F192" s="41"/>
      <c r="G192" s="80" t="s">
        <v>18</v>
      </c>
      <c r="H192" s="80" t="s">
        <v>1998</v>
      </c>
      <c r="I192" s="81" t="s">
        <v>1346</v>
      </c>
      <c r="J192" t="s">
        <v>6</v>
      </c>
    </row>
    <row r="193" spans="3:10" hidden="1">
      <c r="C193">
        <v>32011</v>
      </c>
      <c r="D193" t="s">
        <v>58</v>
      </c>
      <c r="E193" t="s">
        <v>306</v>
      </c>
      <c r="F193" s="41"/>
      <c r="G193" s="80" t="s">
        <v>18</v>
      </c>
      <c r="H193" s="80" t="s">
        <v>1998</v>
      </c>
      <c r="I193" s="81" t="s">
        <v>1346</v>
      </c>
      <c r="J193" t="s">
        <v>6</v>
      </c>
    </row>
    <row r="194" spans="3:10" hidden="1">
      <c r="C194">
        <v>32012</v>
      </c>
      <c r="D194" t="s">
        <v>49</v>
      </c>
      <c r="E194" t="s">
        <v>380</v>
      </c>
      <c r="F194" s="41"/>
      <c r="G194" s="80" t="s">
        <v>18</v>
      </c>
      <c r="H194" s="80" t="s">
        <v>1998</v>
      </c>
      <c r="I194" s="81" t="s">
        <v>1346</v>
      </c>
      <c r="J194" t="s">
        <v>6</v>
      </c>
    </row>
    <row r="195" spans="3:10" hidden="1">
      <c r="C195">
        <v>33000</v>
      </c>
      <c r="D195" t="s">
        <v>48</v>
      </c>
      <c r="E195" t="s">
        <v>1347</v>
      </c>
      <c r="F195" s="41"/>
      <c r="G195" s="80" t="s">
        <v>18</v>
      </c>
      <c r="H195" s="80" t="s">
        <v>1998</v>
      </c>
      <c r="I195" s="81" t="s">
        <v>1347</v>
      </c>
      <c r="J195" t="s">
        <v>6</v>
      </c>
    </row>
    <row r="196" spans="3:10" hidden="1">
      <c r="C196">
        <v>33001</v>
      </c>
      <c r="D196" t="s">
        <v>49</v>
      </c>
      <c r="E196" t="s">
        <v>1263</v>
      </c>
      <c r="F196" s="41"/>
      <c r="G196" s="80" t="s">
        <v>18</v>
      </c>
      <c r="H196" s="80" t="s">
        <v>1998</v>
      </c>
      <c r="I196" s="81" t="s">
        <v>1347</v>
      </c>
      <c r="J196" t="s">
        <v>6</v>
      </c>
    </row>
    <row r="197" spans="3:10" hidden="1">
      <c r="C197">
        <v>33002</v>
      </c>
      <c r="D197" t="s">
        <v>49</v>
      </c>
      <c r="E197" t="s">
        <v>1264</v>
      </c>
      <c r="F197" s="41"/>
      <c r="G197" s="80" t="s">
        <v>18</v>
      </c>
      <c r="H197" s="80" t="s">
        <v>1998</v>
      </c>
      <c r="I197" s="81" t="s">
        <v>1347</v>
      </c>
      <c r="J197" t="s">
        <v>6</v>
      </c>
    </row>
    <row r="198" spans="3:10" hidden="1">
      <c r="C198">
        <v>33003</v>
      </c>
      <c r="D198" t="s">
        <v>58</v>
      </c>
      <c r="E198" t="s">
        <v>306</v>
      </c>
      <c r="F198" s="41"/>
      <c r="G198" s="80" t="s">
        <v>18</v>
      </c>
      <c r="H198" s="80" t="s">
        <v>1998</v>
      </c>
      <c r="I198" s="81" t="s">
        <v>1347</v>
      </c>
      <c r="J198" t="s">
        <v>6</v>
      </c>
    </row>
    <row r="199" spans="3:10" hidden="1">
      <c r="C199">
        <v>33004</v>
      </c>
      <c r="D199" t="s">
        <v>49</v>
      </c>
      <c r="E199" t="s">
        <v>576</v>
      </c>
      <c r="F199" s="41"/>
      <c r="G199" s="80" t="s">
        <v>18</v>
      </c>
      <c r="H199" s="80" t="s">
        <v>1998</v>
      </c>
      <c r="I199" s="81" t="s">
        <v>1347</v>
      </c>
      <c r="J199" t="s">
        <v>6</v>
      </c>
    </row>
    <row r="200" spans="3:10" hidden="1">
      <c r="C200">
        <v>34000</v>
      </c>
      <c r="D200" t="s">
        <v>48</v>
      </c>
      <c r="E200" t="s">
        <v>1348</v>
      </c>
      <c r="F200" s="41"/>
      <c r="G200" s="80" t="s">
        <v>22</v>
      </c>
      <c r="H200" s="80" t="s">
        <v>1998</v>
      </c>
      <c r="I200" s="81" t="s">
        <v>1348</v>
      </c>
      <c r="J200" t="s">
        <v>6</v>
      </c>
    </row>
    <row r="201" spans="3:10" hidden="1">
      <c r="C201">
        <v>34001</v>
      </c>
      <c r="D201" t="s">
        <v>49</v>
      </c>
      <c r="E201" t="s">
        <v>1263</v>
      </c>
      <c r="F201" s="41"/>
      <c r="G201" s="80" t="s">
        <v>22</v>
      </c>
      <c r="H201" s="80" t="s">
        <v>1998</v>
      </c>
      <c r="I201" s="81" t="s">
        <v>1348</v>
      </c>
      <c r="J201" t="s">
        <v>6</v>
      </c>
    </row>
    <row r="202" spans="3:10" hidden="1">
      <c r="C202">
        <v>34002</v>
      </c>
      <c r="D202" t="s">
        <v>49</v>
      </c>
      <c r="E202" t="s">
        <v>1264</v>
      </c>
      <c r="F202" s="41"/>
      <c r="G202" s="80" t="s">
        <v>22</v>
      </c>
      <c r="H202" s="80" t="s">
        <v>1998</v>
      </c>
      <c r="I202" s="81" t="s">
        <v>1348</v>
      </c>
      <c r="J202" t="s">
        <v>6</v>
      </c>
    </row>
    <row r="203" spans="3:10" hidden="1">
      <c r="C203">
        <v>34003</v>
      </c>
      <c r="D203" t="s">
        <v>58</v>
      </c>
      <c r="E203" t="s">
        <v>306</v>
      </c>
      <c r="F203" s="41"/>
      <c r="G203" s="80" t="s">
        <v>22</v>
      </c>
      <c r="H203" s="80" t="s">
        <v>1998</v>
      </c>
      <c r="I203" s="81" t="s">
        <v>1348</v>
      </c>
      <c r="J203" t="s">
        <v>6</v>
      </c>
    </row>
    <row r="204" spans="3:10" hidden="1">
      <c r="C204">
        <v>34004</v>
      </c>
      <c r="D204" t="s">
        <v>49</v>
      </c>
      <c r="E204" t="s">
        <v>462</v>
      </c>
      <c r="F204" s="41"/>
      <c r="G204" s="80" t="s">
        <v>22</v>
      </c>
      <c r="H204" s="80" t="s">
        <v>1998</v>
      </c>
      <c r="I204" s="81" t="s">
        <v>1348</v>
      </c>
      <c r="J204" t="s">
        <v>6</v>
      </c>
    </row>
    <row r="205" spans="3:10" hidden="1">
      <c r="C205">
        <v>35000</v>
      </c>
      <c r="D205" t="s">
        <v>48</v>
      </c>
      <c r="E205" t="s">
        <v>1349</v>
      </c>
      <c r="F205" s="41"/>
      <c r="G205" s="80" t="s">
        <v>22</v>
      </c>
      <c r="H205" s="80" t="s">
        <v>1998</v>
      </c>
      <c r="I205" s="81" t="s">
        <v>1349</v>
      </c>
      <c r="J205" t="s">
        <v>6</v>
      </c>
    </row>
    <row r="206" spans="3:10" hidden="1">
      <c r="C206">
        <v>35001</v>
      </c>
      <c r="D206" t="s">
        <v>49</v>
      </c>
      <c r="E206" t="s">
        <v>1263</v>
      </c>
      <c r="F206" s="41"/>
      <c r="G206" s="80" t="s">
        <v>22</v>
      </c>
      <c r="H206" s="80" t="s">
        <v>1998</v>
      </c>
      <c r="I206" s="81" t="s">
        <v>1349</v>
      </c>
      <c r="J206" t="s">
        <v>6</v>
      </c>
    </row>
    <row r="207" spans="3:10" hidden="1">
      <c r="C207">
        <v>35002</v>
      </c>
      <c r="D207" t="s">
        <v>49</v>
      </c>
      <c r="E207" t="s">
        <v>1264</v>
      </c>
      <c r="F207" s="41"/>
      <c r="G207" s="80" t="s">
        <v>22</v>
      </c>
      <c r="H207" s="80" t="s">
        <v>1998</v>
      </c>
      <c r="I207" s="81" t="s">
        <v>1349</v>
      </c>
      <c r="J207" t="s">
        <v>6</v>
      </c>
    </row>
    <row r="208" spans="3:10" hidden="1">
      <c r="C208">
        <v>35003</v>
      </c>
      <c r="D208" t="s">
        <v>58</v>
      </c>
      <c r="E208" t="s">
        <v>306</v>
      </c>
      <c r="F208" s="41"/>
      <c r="G208" s="80" t="s">
        <v>22</v>
      </c>
      <c r="H208" s="80" t="s">
        <v>1998</v>
      </c>
      <c r="I208" s="81" t="s">
        <v>1349</v>
      </c>
      <c r="J208" t="s">
        <v>6</v>
      </c>
    </row>
    <row r="209" spans="3:10" hidden="1">
      <c r="C209">
        <v>35004</v>
      </c>
      <c r="D209" t="s">
        <v>49</v>
      </c>
      <c r="E209" t="s">
        <v>468</v>
      </c>
      <c r="F209" s="41"/>
      <c r="G209" s="80" t="s">
        <v>22</v>
      </c>
      <c r="H209" s="80" t="s">
        <v>1998</v>
      </c>
      <c r="I209" s="81" t="s">
        <v>1349</v>
      </c>
      <c r="J209" t="s">
        <v>6</v>
      </c>
    </row>
    <row r="210" spans="3:10" hidden="1">
      <c r="C210">
        <v>36000</v>
      </c>
      <c r="D210" t="s">
        <v>48</v>
      </c>
      <c r="E210" t="s">
        <v>1350</v>
      </c>
      <c r="F210" s="41"/>
      <c r="G210" s="80" t="s">
        <v>22</v>
      </c>
      <c r="H210" s="80" t="s">
        <v>1998</v>
      </c>
      <c r="I210" s="81" t="s">
        <v>1350</v>
      </c>
      <c r="J210" t="s">
        <v>6</v>
      </c>
    </row>
    <row r="211" spans="3:10" hidden="1">
      <c r="C211">
        <v>36001</v>
      </c>
      <c r="D211" t="s">
        <v>49</v>
      </c>
      <c r="E211" t="s">
        <v>1263</v>
      </c>
      <c r="F211" s="41"/>
      <c r="G211" s="80" t="s">
        <v>22</v>
      </c>
      <c r="H211" s="80" t="s">
        <v>1998</v>
      </c>
      <c r="I211" s="81" t="s">
        <v>1350</v>
      </c>
      <c r="J211" t="s">
        <v>6</v>
      </c>
    </row>
    <row r="212" spans="3:10" hidden="1">
      <c r="C212">
        <v>36002</v>
      </c>
      <c r="D212" t="s">
        <v>49</v>
      </c>
      <c r="E212" t="s">
        <v>1264</v>
      </c>
      <c r="F212" s="41"/>
      <c r="G212" s="80" t="s">
        <v>22</v>
      </c>
      <c r="H212" s="80" t="s">
        <v>1998</v>
      </c>
      <c r="I212" s="81" t="s">
        <v>1350</v>
      </c>
      <c r="J212" t="s">
        <v>6</v>
      </c>
    </row>
    <row r="213" spans="3:10" hidden="1">
      <c r="C213">
        <v>36003</v>
      </c>
      <c r="D213" t="s">
        <v>58</v>
      </c>
      <c r="E213" t="s">
        <v>306</v>
      </c>
      <c r="F213" s="41"/>
      <c r="G213" s="80" t="s">
        <v>22</v>
      </c>
      <c r="H213" s="80" t="s">
        <v>1998</v>
      </c>
      <c r="I213" s="81" t="s">
        <v>1350</v>
      </c>
      <c r="J213" t="s">
        <v>6</v>
      </c>
    </row>
    <row r="214" spans="3:10" hidden="1">
      <c r="C214">
        <v>36004</v>
      </c>
      <c r="D214" t="s">
        <v>49</v>
      </c>
      <c r="E214" t="s">
        <v>473</v>
      </c>
      <c r="F214" s="41"/>
      <c r="G214" s="80" t="s">
        <v>22</v>
      </c>
      <c r="H214" s="80" t="s">
        <v>1998</v>
      </c>
      <c r="I214" s="81" t="s">
        <v>1350</v>
      </c>
      <c r="J214" t="s">
        <v>6</v>
      </c>
    </row>
    <row r="215" spans="3:10" hidden="1">
      <c r="C215">
        <v>37000</v>
      </c>
      <c r="D215" t="s">
        <v>48</v>
      </c>
      <c r="E215" t="s">
        <v>1351</v>
      </c>
      <c r="F215" s="41"/>
      <c r="G215" s="80" t="s">
        <v>22</v>
      </c>
      <c r="H215" s="80" t="s">
        <v>1998</v>
      </c>
      <c r="I215" s="81" t="s">
        <v>1351</v>
      </c>
      <c r="J215" t="s">
        <v>6</v>
      </c>
    </row>
    <row r="216" spans="3:10" hidden="1">
      <c r="C216">
        <v>37001</v>
      </c>
      <c r="D216" t="s">
        <v>49</v>
      </c>
      <c r="E216" t="s">
        <v>1263</v>
      </c>
      <c r="F216" s="41"/>
      <c r="G216" s="80" t="s">
        <v>22</v>
      </c>
      <c r="H216" s="80" t="s">
        <v>1998</v>
      </c>
      <c r="I216" s="81" t="s">
        <v>1351</v>
      </c>
      <c r="J216" t="s">
        <v>6</v>
      </c>
    </row>
    <row r="217" spans="3:10" hidden="1">
      <c r="C217">
        <v>37002</v>
      </c>
      <c r="D217" t="s">
        <v>49</v>
      </c>
      <c r="E217" t="s">
        <v>1264</v>
      </c>
      <c r="F217" s="41"/>
      <c r="G217" s="80" t="s">
        <v>22</v>
      </c>
      <c r="H217" s="80" t="s">
        <v>1998</v>
      </c>
      <c r="I217" s="81" t="s">
        <v>1351</v>
      </c>
      <c r="J217" t="s">
        <v>6</v>
      </c>
    </row>
    <row r="218" spans="3:10" hidden="1">
      <c r="C218">
        <v>37003</v>
      </c>
      <c r="D218" t="s">
        <v>58</v>
      </c>
      <c r="E218" t="s">
        <v>306</v>
      </c>
      <c r="F218" s="41"/>
      <c r="G218" s="80" t="s">
        <v>22</v>
      </c>
      <c r="H218" s="80" t="s">
        <v>1998</v>
      </c>
      <c r="I218" s="81" t="s">
        <v>1351</v>
      </c>
      <c r="J218" t="s">
        <v>6</v>
      </c>
    </row>
    <row r="219" spans="3:10" hidden="1">
      <c r="C219">
        <v>37004</v>
      </c>
      <c r="D219" t="s">
        <v>49</v>
      </c>
      <c r="E219" t="s">
        <v>1352</v>
      </c>
      <c r="F219" s="41"/>
      <c r="G219" s="80" t="s">
        <v>22</v>
      </c>
      <c r="H219" s="80" t="s">
        <v>1998</v>
      </c>
      <c r="I219" s="81" t="s">
        <v>1351</v>
      </c>
      <c r="J219" t="s">
        <v>6</v>
      </c>
    </row>
    <row r="220" spans="3:10" hidden="1">
      <c r="C220">
        <v>38000</v>
      </c>
      <c r="D220" t="s">
        <v>48</v>
      </c>
      <c r="E220" t="s">
        <v>1353</v>
      </c>
      <c r="F220" s="41"/>
      <c r="G220" s="80" t="s">
        <v>22</v>
      </c>
      <c r="H220" s="80" t="s">
        <v>1998</v>
      </c>
      <c r="I220" s="81" t="s">
        <v>1353</v>
      </c>
      <c r="J220" t="s">
        <v>6</v>
      </c>
    </row>
    <row r="221" spans="3:10" hidden="1">
      <c r="C221">
        <v>38001</v>
      </c>
      <c r="D221" t="s">
        <v>49</v>
      </c>
      <c r="E221" t="s">
        <v>1263</v>
      </c>
      <c r="F221" s="41"/>
      <c r="G221" s="80" t="s">
        <v>22</v>
      </c>
      <c r="H221" s="80" t="s">
        <v>1998</v>
      </c>
      <c r="I221" s="81" t="s">
        <v>1353</v>
      </c>
      <c r="J221" t="s">
        <v>6</v>
      </c>
    </row>
    <row r="222" spans="3:10" hidden="1">
      <c r="C222">
        <v>38002</v>
      </c>
      <c r="D222" t="s">
        <v>49</v>
      </c>
      <c r="E222" t="s">
        <v>1264</v>
      </c>
      <c r="F222" s="41"/>
      <c r="G222" s="80" t="s">
        <v>22</v>
      </c>
      <c r="H222" s="80" t="s">
        <v>1998</v>
      </c>
      <c r="I222" s="81" t="s">
        <v>1353</v>
      </c>
      <c r="J222" t="s">
        <v>6</v>
      </c>
    </row>
    <row r="223" spans="3:10" hidden="1">
      <c r="C223">
        <v>38003</v>
      </c>
      <c r="D223" t="s">
        <v>58</v>
      </c>
      <c r="E223" t="s">
        <v>306</v>
      </c>
      <c r="F223" s="41"/>
      <c r="G223" s="80" t="s">
        <v>22</v>
      </c>
      <c r="H223" s="80" t="s">
        <v>1998</v>
      </c>
      <c r="I223" s="81" t="s">
        <v>1353</v>
      </c>
      <c r="J223" t="s">
        <v>6</v>
      </c>
    </row>
    <row r="224" spans="3:10" hidden="1">
      <c r="C224">
        <v>38004</v>
      </c>
      <c r="D224" t="s">
        <v>49</v>
      </c>
      <c r="E224" t="s">
        <v>1354</v>
      </c>
      <c r="F224" s="41"/>
      <c r="G224" s="80" t="s">
        <v>22</v>
      </c>
      <c r="H224" s="80" t="s">
        <v>1998</v>
      </c>
      <c r="I224" s="81" t="s">
        <v>1353</v>
      </c>
      <c r="J224" t="s">
        <v>6</v>
      </c>
    </row>
    <row r="225" spans="3:10" hidden="1">
      <c r="C225">
        <v>39000</v>
      </c>
      <c r="D225" t="s">
        <v>48</v>
      </c>
      <c r="E225" t="s">
        <v>1355</v>
      </c>
      <c r="F225" s="41"/>
      <c r="G225" s="80" t="s">
        <v>22</v>
      </c>
      <c r="H225" s="80" t="s">
        <v>1998</v>
      </c>
      <c r="I225" s="81" t="s">
        <v>1355</v>
      </c>
      <c r="J225" t="s">
        <v>6</v>
      </c>
    </row>
    <row r="226" spans="3:10" hidden="1">
      <c r="C226">
        <v>39001</v>
      </c>
      <c r="D226" t="s">
        <v>49</v>
      </c>
      <c r="E226" t="s">
        <v>1263</v>
      </c>
      <c r="F226" s="41"/>
      <c r="G226" s="80" t="s">
        <v>22</v>
      </c>
      <c r="H226" s="80" t="s">
        <v>1998</v>
      </c>
      <c r="I226" s="81" t="s">
        <v>1355</v>
      </c>
      <c r="J226" t="s">
        <v>6</v>
      </c>
    </row>
    <row r="227" spans="3:10" hidden="1">
      <c r="C227">
        <v>39002</v>
      </c>
      <c r="D227" t="s">
        <v>49</v>
      </c>
      <c r="E227" t="s">
        <v>1264</v>
      </c>
      <c r="F227" s="41"/>
      <c r="G227" s="80" t="s">
        <v>22</v>
      </c>
      <c r="H227" s="80" t="s">
        <v>1998</v>
      </c>
      <c r="I227" s="81" t="s">
        <v>1355</v>
      </c>
      <c r="J227" t="s">
        <v>6</v>
      </c>
    </row>
    <row r="228" spans="3:10" hidden="1">
      <c r="C228">
        <v>39003</v>
      </c>
      <c r="D228" t="s">
        <v>58</v>
      </c>
      <c r="E228" t="s">
        <v>306</v>
      </c>
      <c r="F228" s="41"/>
      <c r="G228" s="80" t="s">
        <v>22</v>
      </c>
      <c r="H228" s="80" t="s">
        <v>1998</v>
      </c>
      <c r="I228" s="81" t="s">
        <v>1355</v>
      </c>
      <c r="J228" t="s">
        <v>6</v>
      </c>
    </row>
    <row r="229" spans="3:10" hidden="1">
      <c r="C229">
        <v>39004</v>
      </c>
      <c r="D229" t="s">
        <v>49</v>
      </c>
      <c r="E229" t="s">
        <v>1356</v>
      </c>
      <c r="F229" s="41"/>
      <c r="G229" s="80" t="s">
        <v>22</v>
      </c>
      <c r="H229" s="80" t="s">
        <v>1998</v>
      </c>
      <c r="I229" s="81" t="s">
        <v>1355</v>
      </c>
      <c r="J229" t="s">
        <v>6</v>
      </c>
    </row>
    <row r="230" spans="3:10" hidden="1">
      <c r="C230">
        <v>40000</v>
      </c>
      <c r="D230" t="s">
        <v>48</v>
      </c>
      <c r="E230" t="s">
        <v>1357</v>
      </c>
      <c r="F230" s="41"/>
      <c r="G230" s="80" t="s">
        <v>22</v>
      </c>
      <c r="H230" s="80" t="s">
        <v>1998</v>
      </c>
      <c r="I230" s="81" t="s">
        <v>1357</v>
      </c>
      <c r="J230" t="s">
        <v>6</v>
      </c>
    </row>
    <row r="231" spans="3:10" hidden="1">
      <c r="C231">
        <v>40001</v>
      </c>
      <c r="D231" t="s">
        <v>49</v>
      </c>
      <c r="E231" t="s">
        <v>1263</v>
      </c>
      <c r="F231" s="41"/>
      <c r="G231" s="80" t="s">
        <v>22</v>
      </c>
      <c r="H231" s="80" t="s">
        <v>1998</v>
      </c>
      <c r="I231" s="81" t="s">
        <v>1357</v>
      </c>
      <c r="J231" t="s">
        <v>6</v>
      </c>
    </row>
    <row r="232" spans="3:10" hidden="1">
      <c r="C232">
        <v>40002</v>
      </c>
      <c r="D232" t="s">
        <v>49</v>
      </c>
      <c r="E232" t="s">
        <v>1264</v>
      </c>
      <c r="F232" s="41"/>
      <c r="G232" s="80" t="s">
        <v>22</v>
      </c>
      <c r="H232" s="80" t="s">
        <v>1998</v>
      </c>
      <c r="I232" s="81" t="s">
        <v>1357</v>
      </c>
      <c r="J232" t="s">
        <v>6</v>
      </c>
    </row>
    <row r="233" spans="3:10" hidden="1">
      <c r="C233">
        <v>40003</v>
      </c>
      <c r="D233" t="s">
        <v>58</v>
      </c>
      <c r="E233" t="s">
        <v>306</v>
      </c>
      <c r="F233" s="41"/>
      <c r="G233" s="80" t="s">
        <v>22</v>
      </c>
      <c r="H233" s="80" t="s">
        <v>1998</v>
      </c>
      <c r="I233" s="81" t="s">
        <v>1357</v>
      </c>
      <c r="J233" t="s">
        <v>6</v>
      </c>
    </row>
    <row r="234" spans="3:10" hidden="1">
      <c r="C234">
        <v>40004</v>
      </c>
      <c r="D234" t="s">
        <v>49</v>
      </c>
      <c r="E234" t="s">
        <v>1358</v>
      </c>
      <c r="F234" s="41"/>
      <c r="G234" s="80" t="s">
        <v>22</v>
      </c>
      <c r="H234" s="80" t="s">
        <v>1998</v>
      </c>
      <c r="I234" s="81" t="s">
        <v>1357</v>
      </c>
      <c r="J234" t="s">
        <v>6</v>
      </c>
    </row>
    <row r="235" spans="3:10" hidden="1">
      <c r="C235">
        <v>41000</v>
      </c>
      <c r="D235" t="s">
        <v>48</v>
      </c>
      <c r="E235" t="s">
        <v>1359</v>
      </c>
      <c r="F235" s="41"/>
      <c r="G235" s="80" t="s">
        <v>22</v>
      </c>
      <c r="H235" s="80" t="s">
        <v>1998</v>
      </c>
      <c r="I235" s="81" t="s">
        <v>1359</v>
      </c>
      <c r="J235" t="s">
        <v>6</v>
      </c>
    </row>
    <row r="236" spans="3:10" hidden="1">
      <c r="C236">
        <v>41001</v>
      </c>
      <c r="D236" t="s">
        <v>49</v>
      </c>
      <c r="E236" t="s">
        <v>1263</v>
      </c>
      <c r="F236" s="41"/>
      <c r="G236" s="80" t="s">
        <v>22</v>
      </c>
      <c r="H236" s="80" t="s">
        <v>1998</v>
      </c>
      <c r="I236" s="81" t="s">
        <v>1359</v>
      </c>
      <c r="J236" t="s">
        <v>6</v>
      </c>
    </row>
    <row r="237" spans="3:10" hidden="1">
      <c r="C237">
        <v>41002</v>
      </c>
      <c r="D237" t="s">
        <v>49</v>
      </c>
      <c r="E237" t="s">
        <v>1264</v>
      </c>
      <c r="F237" s="41"/>
      <c r="G237" s="80" t="s">
        <v>22</v>
      </c>
      <c r="H237" s="80" t="s">
        <v>1998</v>
      </c>
      <c r="I237" s="81" t="s">
        <v>1359</v>
      </c>
      <c r="J237" t="s">
        <v>6</v>
      </c>
    </row>
    <row r="238" spans="3:10" hidden="1">
      <c r="C238">
        <v>41003</v>
      </c>
      <c r="D238" t="s">
        <v>58</v>
      </c>
      <c r="E238" t="s">
        <v>306</v>
      </c>
      <c r="F238" s="41"/>
      <c r="G238" s="80" t="s">
        <v>22</v>
      </c>
      <c r="H238" s="80" t="s">
        <v>1998</v>
      </c>
      <c r="I238" s="81" t="s">
        <v>1359</v>
      </c>
      <c r="J238" t="s">
        <v>6</v>
      </c>
    </row>
    <row r="239" spans="3:10" hidden="1">
      <c r="C239">
        <v>41004</v>
      </c>
      <c r="D239" t="s">
        <v>49</v>
      </c>
      <c r="E239" t="s">
        <v>1360</v>
      </c>
      <c r="F239" s="41"/>
      <c r="G239" s="80" t="s">
        <v>22</v>
      </c>
      <c r="H239" s="80" t="s">
        <v>1998</v>
      </c>
      <c r="I239" s="81" t="s">
        <v>1359</v>
      </c>
      <c r="J239" t="s">
        <v>6</v>
      </c>
    </row>
    <row r="240" spans="3:10" hidden="1">
      <c r="C240">
        <v>42000</v>
      </c>
      <c r="D240" t="s">
        <v>48</v>
      </c>
      <c r="E240" t="s">
        <v>1361</v>
      </c>
      <c r="F240" s="41"/>
      <c r="G240" s="80" t="s">
        <v>22</v>
      </c>
      <c r="H240" s="80" t="s">
        <v>1998</v>
      </c>
      <c r="I240" s="81" t="s">
        <v>1361</v>
      </c>
      <c r="J240" t="s">
        <v>6</v>
      </c>
    </row>
    <row r="241" spans="3:10" hidden="1">
      <c r="C241">
        <v>42001</v>
      </c>
      <c r="D241" t="s">
        <v>49</v>
      </c>
      <c r="E241" t="s">
        <v>1263</v>
      </c>
      <c r="F241" s="41"/>
      <c r="G241" s="80" t="s">
        <v>22</v>
      </c>
      <c r="H241" s="80" t="s">
        <v>1998</v>
      </c>
      <c r="I241" s="81" t="s">
        <v>1361</v>
      </c>
      <c r="J241" t="s">
        <v>6</v>
      </c>
    </row>
    <row r="242" spans="3:10" hidden="1">
      <c r="C242">
        <v>42002</v>
      </c>
      <c r="D242" t="s">
        <v>49</v>
      </c>
      <c r="E242" t="s">
        <v>1264</v>
      </c>
      <c r="F242" s="41"/>
      <c r="G242" s="80" t="s">
        <v>22</v>
      </c>
      <c r="H242" s="80" t="s">
        <v>1998</v>
      </c>
      <c r="I242" s="81" t="s">
        <v>1361</v>
      </c>
      <c r="J242" t="s">
        <v>6</v>
      </c>
    </row>
    <row r="243" spans="3:10" hidden="1">
      <c r="C243">
        <v>42003</v>
      </c>
      <c r="D243" t="s">
        <v>58</v>
      </c>
      <c r="E243" t="s">
        <v>306</v>
      </c>
      <c r="F243" s="41"/>
      <c r="G243" s="80" t="s">
        <v>22</v>
      </c>
      <c r="H243" s="80" t="s">
        <v>1998</v>
      </c>
      <c r="I243" s="81" t="s">
        <v>1361</v>
      </c>
      <c r="J243" t="s">
        <v>6</v>
      </c>
    </row>
    <row r="244" spans="3:10" hidden="1">
      <c r="C244">
        <v>42004</v>
      </c>
      <c r="D244" t="s">
        <v>49</v>
      </c>
      <c r="E244" t="s">
        <v>1362</v>
      </c>
      <c r="F244" s="41"/>
      <c r="G244" s="80" t="s">
        <v>22</v>
      </c>
      <c r="H244" s="80" t="s">
        <v>1998</v>
      </c>
      <c r="I244" s="81" t="s">
        <v>1361</v>
      </c>
      <c r="J244" t="s">
        <v>6</v>
      </c>
    </row>
    <row r="245" spans="3:10" hidden="1">
      <c r="C245">
        <v>43000</v>
      </c>
      <c r="D245" t="s">
        <v>48</v>
      </c>
      <c r="E245" t="s">
        <v>1363</v>
      </c>
      <c r="F245" s="41"/>
      <c r="G245" s="80" t="s">
        <v>22</v>
      </c>
      <c r="H245" s="80" t="s">
        <v>1998</v>
      </c>
      <c r="I245" s="81" t="s">
        <v>1363</v>
      </c>
      <c r="J245" t="s">
        <v>6</v>
      </c>
    </row>
    <row r="246" spans="3:10" hidden="1">
      <c r="C246">
        <v>43001</v>
      </c>
      <c r="D246" t="s">
        <v>49</v>
      </c>
      <c r="E246" t="s">
        <v>1263</v>
      </c>
      <c r="F246" s="41"/>
      <c r="G246" s="80" t="s">
        <v>22</v>
      </c>
      <c r="H246" s="80" t="s">
        <v>1998</v>
      </c>
      <c r="I246" s="81" t="s">
        <v>1363</v>
      </c>
      <c r="J246" t="s">
        <v>6</v>
      </c>
    </row>
    <row r="247" spans="3:10" hidden="1">
      <c r="C247">
        <v>43002</v>
      </c>
      <c r="D247" t="s">
        <v>49</v>
      </c>
      <c r="E247" t="s">
        <v>1264</v>
      </c>
      <c r="F247" s="41"/>
      <c r="G247" s="80" t="s">
        <v>22</v>
      </c>
      <c r="H247" s="80" t="s">
        <v>1998</v>
      </c>
      <c r="I247" s="81" t="s">
        <v>1363</v>
      </c>
      <c r="J247" t="s">
        <v>6</v>
      </c>
    </row>
    <row r="248" spans="3:10" hidden="1">
      <c r="C248">
        <v>43003</v>
      </c>
      <c r="D248" t="s">
        <v>58</v>
      </c>
      <c r="E248" t="s">
        <v>306</v>
      </c>
      <c r="F248" s="41"/>
      <c r="G248" s="80" t="s">
        <v>22</v>
      </c>
      <c r="H248" s="80" t="s">
        <v>1998</v>
      </c>
      <c r="I248" s="81" t="s">
        <v>1363</v>
      </c>
      <c r="J248" t="s">
        <v>6</v>
      </c>
    </row>
    <row r="249" spans="3:10" hidden="1">
      <c r="C249">
        <v>43004</v>
      </c>
      <c r="D249" t="s">
        <v>49</v>
      </c>
      <c r="E249" t="s">
        <v>1364</v>
      </c>
      <c r="F249" s="41"/>
      <c r="G249" s="80" t="s">
        <v>22</v>
      </c>
      <c r="H249" s="80" t="s">
        <v>1998</v>
      </c>
      <c r="I249" s="81" t="s">
        <v>1363</v>
      </c>
      <c r="J249" t="s">
        <v>6</v>
      </c>
    </row>
    <row r="250" spans="3:10" hidden="1">
      <c r="C250">
        <v>44000</v>
      </c>
      <c r="D250" t="s">
        <v>48</v>
      </c>
      <c r="E250" t="s">
        <v>1365</v>
      </c>
      <c r="F250" s="41"/>
      <c r="G250" s="80" t="s">
        <v>22</v>
      </c>
      <c r="H250" s="80" t="s">
        <v>1998</v>
      </c>
      <c r="I250" s="81" t="s">
        <v>1365</v>
      </c>
      <c r="J250" t="s">
        <v>6</v>
      </c>
    </row>
    <row r="251" spans="3:10" hidden="1">
      <c r="C251">
        <v>44001</v>
      </c>
      <c r="D251" t="s">
        <v>49</v>
      </c>
      <c r="E251" t="s">
        <v>1366</v>
      </c>
      <c r="F251" s="41"/>
      <c r="G251" s="80" t="s">
        <v>22</v>
      </c>
      <c r="H251" s="80" t="s">
        <v>1998</v>
      </c>
      <c r="I251" s="81" t="s">
        <v>1365</v>
      </c>
      <c r="J251" t="s">
        <v>6</v>
      </c>
    </row>
    <row r="252" spans="3:10" hidden="1">
      <c r="C252">
        <v>44002</v>
      </c>
      <c r="D252" t="s">
        <v>49</v>
      </c>
      <c r="E252" t="s">
        <v>1367</v>
      </c>
      <c r="F252" s="41"/>
      <c r="G252" s="80" t="s">
        <v>22</v>
      </c>
      <c r="H252" s="80" t="s">
        <v>1998</v>
      </c>
      <c r="I252" s="81" t="s">
        <v>1365</v>
      </c>
      <c r="J252" t="s">
        <v>6</v>
      </c>
    </row>
    <row r="253" spans="3:10" hidden="1">
      <c r="C253">
        <v>44003</v>
      </c>
      <c r="D253" t="s">
        <v>49</v>
      </c>
      <c r="E253" t="s">
        <v>1368</v>
      </c>
      <c r="F253" s="41"/>
      <c r="G253" s="80" t="s">
        <v>22</v>
      </c>
      <c r="H253" s="80" t="s">
        <v>1998</v>
      </c>
      <c r="I253" s="81" t="s">
        <v>1365</v>
      </c>
      <c r="J253" t="s">
        <v>6</v>
      </c>
    </row>
    <row r="254" spans="3:10" hidden="1">
      <c r="C254">
        <v>44004</v>
      </c>
      <c r="D254" t="s">
        <v>49</v>
      </c>
      <c r="E254" t="s">
        <v>1369</v>
      </c>
      <c r="F254" s="41"/>
      <c r="G254" s="80" t="s">
        <v>22</v>
      </c>
      <c r="H254" s="80" t="s">
        <v>1998</v>
      </c>
      <c r="I254" s="81" t="s">
        <v>1365</v>
      </c>
      <c r="J254" t="s">
        <v>6</v>
      </c>
    </row>
    <row r="255" spans="3:10" hidden="1">
      <c r="C255">
        <v>44005</v>
      </c>
      <c r="D255" t="s">
        <v>49</v>
      </c>
      <c r="E255" t="s">
        <v>1370</v>
      </c>
      <c r="F255" s="41"/>
      <c r="G255" s="80" t="s">
        <v>22</v>
      </c>
      <c r="H255" s="80" t="s">
        <v>1998</v>
      </c>
      <c r="I255" s="81" t="s">
        <v>1365</v>
      </c>
      <c r="J255" t="s">
        <v>6</v>
      </c>
    </row>
    <row r="256" spans="3:10" hidden="1">
      <c r="C256">
        <v>44006</v>
      </c>
      <c r="D256" t="s">
        <v>49</v>
      </c>
      <c r="E256" t="s">
        <v>1371</v>
      </c>
      <c r="F256" s="41"/>
      <c r="G256" s="80" t="s">
        <v>22</v>
      </c>
      <c r="H256" s="80" t="s">
        <v>1998</v>
      </c>
      <c r="I256" s="81" t="s">
        <v>1365</v>
      </c>
      <c r="J256" t="s">
        <v>6</v>
      </c>
    </row>
    <row r="257" spans="3:10" hidden="1">
      <c r="C257">
        <v>45000</v>
      </c>
      <c r="D257" t="s">
        <v>48</v>
      </c>
      <c r="E257" t="s">
        <v>1372</v>
      </c>
      <c r="F257" s="41"/>
      <c r="G257" s="80" t="s">
        <v>22</v>
      </c>
      <c r="H257" s="80" t="s">
        <v>1998</v>
      </c>
      <c r="I257" s="81" t="s">
        <v>1372</v>
      </c>
      <c r="J257" t="s">
        <v>6</v>
      </c>
    </row>
    <row r="258" spans="3:10" hidden="1">
      <c r="C258">
        <v>45001</v>
      </c>
      <c r="D258" t="s">
        <v>49</v>
      </c>
      <c r="E258" t="s">
        <v>1263</v>
      </c>
      <c r="F258" s="41"/>
      <c r="G258" s="80" t="s">
        <v>22</v>
      </c>
      <c r="H258" s="80" t="s">
        <v>1998</v>
      </c>
      <c r="I258" s="81" t="s">
        <v>1372</v>
      </c>
      <c r="J258" t="s">
        <v>6</v>
      </c>
    </row>
    <row r="259" spans="3:10" hidden="1">
      <c r="C259">
        <v>45002</v>
      </c>
      <c r="D259" t="s">
        <v>49</v>
      </c>
      <c r="E259" t="s">
        <v>1264</v>
      </c>
      <c r="F259" s="41"/>
      <c r="G259" s="80" t="s">
        <v>22</v>
      </c>
      <c r="H259" s="80" t="s">
        <v>1998</v>
      </c>
      <c r="I259" s="81" t="s">
        <v>1372</v>
      </c>
      <c r="J259" t="s">
        <v>6</v>
      </c>
    </row>
    <row r="260" spans="3:10" hidden="1">
      <c r="C260">
        <v>45003</v>
      </c>
      <c r="D260" t="s">
        <v>58</v>
      </c>
      <c r="E260" t="s">
        <v>306</v>
      </c>
      <c r="F260" s="41"/>
      <c r="G260" s="80" t="s">
        <v>22</v>
      </c>
      <c r="H260" s="80" t="s">
        <v>1998</v>
      </c>
      <c r="I260" s="81" t="s">
        <v>1372</v>
      </c>
      <c r="J260" t="s">
        <v>6</v>
      </c>
    </row>
    <row r="261" spans="3:10" hidden="1">
      <c r="C261">
        <v>45004</v>
      </c>
      <c r="D261" t="s">
        <v>49</v>
      </c>
      <c r="E261" t="s">
        <v>1373</v>
      </c>
      <c r="F261" s="41"/>
      <c r="G261" s="80" t="s">
        <v>22</v>
      </c>
      <c r="H261" s="80" t="s">
        <v>1998</v>
      </c>
      <c r="I261" s="81" t="s">
        <v>1372</v>
      </c>
      <c r="J261" t="s">
        <v>6</v>
      </c>
    </row>
    <row r="262" spans="3:10" hidden="1">
      <c r="C262">
        <v>46000</v>
      </c>
      <c r="D262" t="s">
        <v>48</v>
      </c>
      <c r="E262" t="s">
        <v>1374</v>
      </c>
      <c r="F262" s="41"/>
      <c r="G262" s="80" t="s">
        <v>22</v>
      </c>
      <c r="H262" s="80" t="s">
        <v>1998</v>
      </c>
      <c r="I262" s="81" t="s">
        <v>1374</v>
      </c>
      <c r="J262" t="s">
        <v>6</v>
      </c>
    </row>
    <row r="263" spans="3:10" hidden="1">
      <c r="C263">
        <v>46001</v>
      </c>
      <c r="D263" t="s">
        <v>49</v>
      </c>
      <c r="E263" t="s">
        <v>1263</v>
      </c>
      <c r="F263" s="41"/>
      <c r="G263" s="80" t="s">
        <v>22</v>
      </c>
      <c r="H263" s="80" t="s">
        <v>1998</v>
      </c>
      <c r="I263" s="81" t="s">
        <v>1374</v>
      </c>
      <c r="J263" t="s">
        <v>6</v>
      </c>
    </row>
    <row r="264" spans="3:10" hidden="1">
      <c r="C264">
        <v>46002</v>
      </c>
      <c r="D264" t="s">
        <v>49</v>
      </c>
      <c r="E264" t="s">
        <v>1264</v>
      </c>
      <c r="F264" s="41"/>
      <c r="G264" s="80" t="s">
        <v>22</v>
      </c>
      <c r="H264" s="80" t="s">
        <v>1998</v>
      </c>
      <c r="I264" s="81" t="s">
        <v>1374</v>
      </c>
      <c r="J264" t="s">
        <v>6</v>
      </c>
    </row>
    <row r="265" spans="3:10" hidden="1">
      <c r="C265">
        <v>46003</v>
      </c>
      <c r="D265" t="s">
        <v>58</v>
      </c>
      <c r="E265" t="s">
        <v>306</v>
      </c>
      <c r="F265" s="41"/>
      <c r="G265" s="80" t="s">
        <v>22</v>
      </c>
      <c r="H265" s="80" t="s">
        <v>1998</v>
      </c>
      <c r="I265" s="81" t="s">
        <v>1374</v>
      </c>
      <c r="J265" t="s">
        <v>6</v>
      </c>
    </row>
    <row r="266" spans="3:10" hidden="1">
      <c r="C266">
        <v>46004</v>
      </c>
      <c r="D266" t="s">
        <v>49</v>
      </c>
      <c r="E266" t="s">
        <v>1375</v>
      </c>
      <c r="F266" s="41"/>
      <c r="G266" s="80" t="s">
        <v>22</v>
      </c>
      <c r="H266" s="80" t="s">
        <v>1998</v>
      </c>
      <c r="I266" s="81" t="s">
        <v>1374</v>
      </c>
      <c r="J266" t="s">
        <v>6</v>
      </c>
    </row>
    <row r="267" spans="3:10" hidden="1">
      <c r="C267">
        <v>47000</v>
      </c>
      <c r="D267" t="s">
        <v>48</v>
      </c>
      <c r="E267" t="s">
        <v>1376</v>
      </c>
      <c r="F267" s="41"/>
      <c r="G267" s="80" t="s">
        <v>567</v>
      </c>
      <c r="H267" s="80" t="s">
        <v>1998</v>
      </c>
      <c r="I267" s="81" t="s">
        <v>1376</v>
      </c>
      <c r="J267" t="s">
        <v>6</v>
      </c>
    </row>
    <row r="268" spans="3:10" hidden="1">
      <c r="C268">
        <v>47001</v>
      </c>
      <c r="D268" t="s">
        <v>49</v>
      </c>
      <c r="E268" t="s">
        <v>1377</v>
      </c>
      <c r="F268" s="41"/>
      <c r="G268" s="80" t="s">
        <v>567</v>
      </c>
      <c r="H268" s="80" t="s">
        <v>1998</v>
      </c>
      <c r="I268" s="81" t="s">
        <v>1376</v>
      </c>
      <c r="J268" t="s">
        <v>6</v>
      </c>
    </row>
    <row r="269" spans="3:10" hidden="1">
      <c r="C269">
        <v>47002</v>
      </c>
      <c r="D269" t="s">
        <v>131</v>
      </c>
      <c r="E269" t="s">
        <v>576</v>
      </c>
      <c r="F269" s="41" t="s">
        <v>1378</v>
      </c>
      <c r="G269" s="80" t="s">
        <v>567</v>
      </c>
      <c r="H269" s="80" t="s">
        <v>1998</v>
      </c>
      <c r="I269" s="81" t="s">
        <v>1376</v>
      </c>
      <c r="J269" t="s">
        <v>6</v>
      </c>
    </row>
    <row r="270" spans="3:10" hidden="1">
      <c r="C270">
        <v>47003</v>
      </c>
      <c r="D270" t="s">
        <v>131</v>
      </c>
      <c r="E270" t="s">
        <v>1379</v>
      </c>
      <c r="F270" s="41" t="s">
        <v>1378</v>
      </c>
      <c r="G270" s="80" t="s">
        <v>567</v>
      </c>
      <c r="H270" s="80" t="s">
        <v>1998</v>
      </c>
      <c r="I270" s="81" t="s">
        <v>1376</v>
      </c>
      <c r="J270" t="s">
        <v>6</v>
      </c>
    </row>
    <row r="271" spans="3:10" hidden="1">
      <c r="C271">
        <v>47004</v>
      </c>
      <c r="D271" t="s">
        <v>131</v>
      </c>
      <c r="E271" t="s">
        <v>1380</v>
      </c>
      <c r="F271" s="41" t="s">
        <v>1378</v>
      </c>
      <c r="G271" s="80" t="s">
        <v>567</v>
      </c>
      <c r="H271" s="80" t="s">
        <v>1998</v>
      </c>
      <c r="I271" s="81" t="s">
        <v>1376</v>
      </c>
      <c r="J271" t="s">
        <v>6</v>
      </c>
    </row>
    <row r="272" spans="3:10" hidden="1">
      <c r="C272">
        <v>47005</v>
      </c>
      <c r="D272" t="s">
        <v>131</v>
      </c>
      <c r="E272" t="s">
        <v>1381</v>
      </c>
      <c r="F272" s="41" t="s">
        <v>1378</v>
      </c>
      <c r="G272" s="80" t="s">
        <v>567</v>
      </c>
      <c r="H272" s="80" t="s">
        <v>1998</v>
      </c>
      <c r="I272" s="81" t="s">
        <v>1376</v>
      </c>
      <c r="J272" t="s">
        <v>6</v>
      </c>
    </row>
    <row r="273" spans="3:10" hidden="1">
      <c r="C273">
        <v>47006</v>
      </c>
      <c r="D273" t="s">
        <v>131</v>
      </c>
      <c r="E273" t="s">
        <v>1382</v>
      </c>
      <c r="F273" s="41" t="s">
        <v>1378</v>
      </c>
      <c r="G273" s="80" t="s">
        <v>567</v>
      </c>
      <c r="H273" s="80" t="s">
        <v>1998</v>
      </c>
      <c r="I273" s="81" t="s">
        <v>1376</v>
      </c>
      <c r="J273" t="s">
        <v>6</v>
      </c>
    </row>
    <row r="274" spans="3:10" hidden="1">
      <c r="C274">
        <v>47007</v>
      </c>
      <c r="D274" t="s">
        <v>131</v>
      </c>
      <c r="E274" t="s">
        <v>1383</v>
      </c>
      <c r="F274" s="41" t="s">
        <v>1378</v>
      </c>
      <c r="G274" s="80" t="s">
        <v>567</v>
      </c>
      <c r="H274" s="80" t="s">
        <v>1998</v>
      </c>
      <c r="I274" s="81" t="s">
        <v>1376</v>
      </c>
      <c r="J274" t="s">
        <v>6</v>
      </c>
    </row>
    <row r="275" spans="3:10" hidden="1">
      <c r="C275">
        <v>47008</v>
      </c>
      <c r="D275" t="s">
        <v>131</v>
      </c>
      <c r="E275" t="s">
        <v>1384</v>
      </c>
      <c r="F275" s="41" t="s">
        <v>1378</v>
      </c>
      <c r="G275" s="80" t="s">
        <v>567</v>
      </c>
      <c r="H275" s="80" t="s">
        <v>1998</v>
      </c>
      <c r="I275" s="81" t="s">
        <v>1376</v>
      </c>
      <c r="J275" t="s">
        <v>6</v>
      </c>
    </row>
    <row r="276" spans="3:10" hidden="1">
      <c r="C276">
        <v>47009</v>
      </c>
      <c r="D276" t="s">
        <v>131</v>
      </c>
      <c r="E276" t="s">
        <v>1385</v>
      </c>
      <c r="F276" s="41" t="s">
        <v>1378</v>
      </c>
      <c r="G276" s="80" t="s">
        <v>567</v>
      </c>
      <c r="H276" s="80" t="s">
        <v>1998</v>
      </c>
      <c r="I276" s="81" t="s">
        <v>1376</v>
      </c>
      <c r="J276" t="s">
        <v>6</v>
      </c>
    </row>
    <row r="277" spans="3:10" hidden="1">
      <c r="C277">
        <v>47010</v>
      </c>
      <c r="D277" t="s">
        <v>131</v>
      </c>
      <c r="E277" t="s">
        <v>1386</v>
      </c>
      <c r="F277" s="41" t="s">
        <v>1378</v>
      </c>
      <c r="G277" s="80" t="s">
        <v>567</v>
      </c>
      <c r="H277" s="80" t="s">
        <v>1998</v>
      </c>
      <c r="I277" s="81" t="s">
        <v>1376</v>
      </c>
      <c r="J277" t="s">
        <v>6</v>
      </c>
    </row>
    <row r="278" spans="3:10" hidden="1">
      <c r="C278">
        <v>47011</v>
      </c>
      <c r="D278" t="s">
        <v>131</v>
      </c>
      <c r="E278" t="s">
        <v>1387</v>
      </c>
      <c r="F278" s="41" t="s">
        <v>1378</v>
      </c>
      <c r="G278" s="80" t="s">
        <v>567</v>
      </c>
      <c r="H278" s="80" t="s">
        <v>1998</v>
      </c>
      <c r="I278" s="81" t="s">
        <v>1376</v>
      </c>
      <c r="J278" t="s">
        <v>6</v>
      </c>
    </row>
    <row r="279" spans="3:10" hidden="1">
      <c r="C279">
        <v>47012</v>
      </c>
      <c r="D279" t="s">
        <v>131</v>
      </c>
      <c r="E279" t="s">
        <v>1388</v>
      </c>
      <c r="F279" s="41" t="s">
        <v>1378</v>
      </c>
      <c r="G279" s="80" t="s">
        <v>567</v>
      </c>
      <c r="H279" s="80" t="s">
        <v>1998</v>
      </c>
      <c r="I279" s="81" t="s">
        <v>1376</v>
      </c>
      <c r="J279" t="s">
        <v>6</v>
      </c>
    </row>
    <row r="280" spans="3:10" hidden="1">
      <c r="C280">
        <v>47013</v>
      </c>
      <c r="D280" t="s">
        <v>131</v>
      </c>
      <c r="E280" t="s">
        <v>1389</v>
      </c>
      <c r="F280" s="41" t="s">
        <v>1378</v>
      </c>
      <c r="G280" s="80" t="s">
        <v>567</v>
      </c>
      <c r="H280" s="80" t="s">
        <v>1998</v>
      </c>
      <c r="I280" s="81" t="s">
        <v>1376</v>
      </c>
      <c r="J280" t="s">
        <v>6</v>
      </c>
    </row>
    <row r="281" spans="3:10" hidden="1">
      <c r="C281">
        <v>47014</v>
      </c>
      <c r="D281" t="s">
        <v>58</v>
      </c>
      <c r="E281" t="s">
        <v>306</v>
      </c>
      <c r="F281" s="41"/>
      <c r="G281" s="80" t="s">
        <v>567</v>
      </c>
      <c r="H281" s="80" t="s">
        <v>1998</v>
      </c>
      <c r="I281" s="81" t="s">
        <v>1376</v>
      </c>
      <c r="J281" t="s">
        <v>6</v>
      </c>
    </row>
    <row r="282" spans="3:10" hidden="1">
      <c r="C282">
        <v>48000</v>
      </c>
      <c r="D282" t="s">
        <v>48</v>
      </c>
      <c r="E282" t="s">
        <v>1390</v>
      </c>
      <c r="F282" s="41"/>
      <c r="G282" s="80" t="s">
        <v>1206</v>
      </c>
      <c r="H282" s="80" t="s">
        <v>1998</v>
      </c>
      <c r="I282" s="81" t="s">
        <v>1390</v>
      </c>
      <c r="J282" t="s">
        <v>6</v>
      </c>
    </row>
    <row r="283" spans="3:10" hidden="1">
      <c r="C283">
        <v>48001</v>
      </c>
      <c r="D283" t="s">
        <v>49</v>
      </c>
      <c r="E283" t="s">
        <v>1391</v>
      </c>
      <c r="F283" s="41"/>
      <c r="G283" s="80" t="s">
        <v>1206</v>
      </c>
      <c r="H283" s="80" t="s">
        <v>1998</v>
      </c>
      <c r="I283" s="81" t="s">
        <v>1390</v>
      </c>
      <c r="J283" t="s">
        <v>6</v>
      </c>
    </row>
    <row r="284" spans="3:10" hidden="1">
      <c r="C284">
        <v>48002</v>
      </c>
      <c r="D284" t="s">
        <v>49</v>
      </c>
      <c r="E284" t="s">
        <v>1392</v>
      </c>
      <c r="F284" s="41"/>
      <c r="G284" s="80" t="s">
        <v>1206</v>
      </c>
      <c r="H284" s="80" t="s">
        <v>1998</v>
      </c>
      <c r="I284" s="81" t="s">
        <v>1390</v>
      </c>
      <c r="J284" t="s">
        <v>6</v>
      </c>
    </row>
    <row r="285" spans="3:10" hidden="1">
      <c r="C285">
        <v>48003</v>
      </c>
      <c r="D285" t="s">
        <v>49</v>
      </c>
      <c r="E285" t="s">
        <v>1393</v>
      </c>
      <c r="F285" s="41"/>
      <c r="G285" s="80" t="s">
        <v>1206</v>
      </c>
      <c r="H285" s="80" t="s">
        <v>1998</v>
      </c>
      <c r="I285" s="81" t="s">
        <v>1390</v>
      </c>
      <c r="J285" t="s">
        <v>6</v>
      </c>
    </row>
    <row r="286" spans="3:10" hidden="1">
      <c r="C286">
        <v>48004</v>
      </c>
      <c r="D286" t="s">
        <v>49</v>
      </c>
      <c r="E286" t="s">
        <v>1394</v>
      </c>
      <c r="F286" s="41"/>
      <c r="G286" s="80" t="s">
        <v>1206</v>
      </c>
      <c r="H286" s="80" t="s">
        <v>1998</v>
      </c>
      <c r="I286" s="81" t="s">
        <v>1390</v>
      </c>
      <c r="J286" t="s">
        <v>6</v>
      </c>
    </row>
    <row r="287" spans="3:10" hidden="1">
      <c r="C287">
        <v>48005</v>
      </c>
      <c r="D287" t="s">
        <v>49</v>
      </c>
      <c r="E287" t="s">
        <v>1395</v>
      </c>
      <c r="F287" s="41"/>
      <c r="G287" s="80" t="s">
        <v>1206</v>
      </c>
      <c r="H287" s="80" t="s">
        <v>1998</v>
      </c>
      <c r="I287" s="81" t="s">
        <v>1390</v>
      </c>
      <c r="J287" t="s">
        <v>6</v>
      </c>
    </row>
    <row r="288" spans="3:10" hidden="1">
      <c r="C288">
        <v>48006</v>
      </c>
      <c r="D288" t="s">
        <v>66</v>
      </c>
      <c r="E288" t="s">
        <v>1396</v>
      </c>
      <c r="F288" s="41"/>
      <c r="G288" s="80" t="s">
        <v>1206</v>
      </c>
      <c r="H288" s="80" t="s">
        <v>1998</v>
      </c>
      <c r="I288" s="81" t="s">
        <v>1390</v>
      </c>
      <c r="J288" t="s">
        <v>6</v>
      </c>
    </row>
    <row r="289" spans="3:10" hidden="1">
      <c r="C289">
        <v>48007</v>
      </c>
      <c r="D289" t="s">
        <v>66</v>
      </c>
      <c r="E289" t="s">
        <v>1397</v>
      </c>
      <c r="F289" s="41"/>
      <c r="G289" s="80" t="s">
        <v>1206</v>
      </c>
      <c r="H289" s="80" t="s">
        <v>1998</v>
      </c>
      <c r="I289" s="81" t="s">
        <v>1390</v>
      </c>
      <c r="J289" t="s">
        <v>6</v>
      </c>
    </row>
    <row r="290" spans="3:10" hidden="1">
      <c r="C290">
        <v>48008</v>
      </c>
      <c r="D290" t="s">
        <v>66</v>
      </c>
      <c r="E290" t="s">
        <v>1398</v>
      </c>
      <c r="F290" s="41"/>
      <c r="G290" s="80" t="s">
        <v>1206</v>
      </c>
      <c r="H290" s="80" t="s">
        <v>1998</v>
      </c>
      <c r="I290" s="81" t="s">
        <v>1390</v>
      </c>
      <c r="J290" t="s">
        <v>6</v>
      </c>
    </row>
    <row r="291" spans="3:10" hidden="1">
      <c r="C291">
        <v>48009</v>
      </c>
      <c r="D291" t="s">
        <v>66</v>
      </c>
      <c r="E291" t="s">
        <v>1399</v>
      </c>
      <c r="F291" s="41"/>
      <c r="G291" s="80" t="s">
        <v>1206</v>
      </c>
      <c r="H291" s="80" t="s">
        <v>1998</v>
      </c>
      <c r="I291" s="81" t="s">
        <v>1390</v>
      </c>
      <c r="J291" t="s">
        <v>6</v>
      </c>
    </row>
    <row r="292" spans="3:10" hidden="1">
      <c r="C292">
        <v>48010</v>
      </c>
      <c r="D292" t="s">
        <v>66</v>
      </c>
      <c r="E292" t="s">
        <v>1400</v>
      </c>
      <c r="F292" s="41"/>
      <c r="G292" s="80" t="s">
        <v>1206</v>
      </c>
      <c r="H292" s="80" t="s">
        <v>1998</v>
      </c>
      <c r="I292" s="81" t="s">
        <v>1390</v>
      </c>
      <c r="J292" t="s">
        <v>6</v>
      </c>
    </row>
    <row r="293" spans="3:10" hidden="1">
      <c r="C293">
        <v>48011</v>
      </c>
      <c r="D293" t="s">
        <v>66</v>
      </c>
      <c r="E293" t="s">
        <v>1401</v>
      </c>
      <c r="F293" s="41"/>
      <c r="G293" s="80" t="s">
        <v>1206</v>
      </c>
      <c r="H293" s="80" t="s">
        <v>1998</v>
      </c>
      <c r="I293" s="81" t="s">
        <v>1390</v>
      </c>
      <c r="J293" t="s">
        <v>6</v>
      </c>
    </row>
    <row r="294" spans="3:10" hidden="1">
      <c r="C294">
        <v>48012</v>
      </c>
      <c r="D294" t="s">
        <v>66</v>
      </c>
      <c r="E294" t="s">
        <v>1402</v>
      </c>
      <c r="F294" s="41"/>
      <c r="G294" s="80" t="s">
        <v>1206</v>
      </c>
      <c r="H294" s="80" t="s">
        <v>1998</v>
      </c>
      <c r="I294" s="81" t="s">
        <v>1390</v>
      </c>
      <c r="J294" t="s">
        <v>6</v>
      </c>
    </row>
    <row r="295" spans="3:10" hidden="1">
      <c r="C295">
        <v>48013</v>
      </c>
      <c r="D295" t="s">
        <v>66</v>
      </c>
      <c r="E295" t="s">
        <v>1403</v>
      </c>
      <c r="F295" s="41"/>
      <c r="G295" s="80" t="s">
        <v>1206</v>
      </c>
      <c r="H295" s="80" t="s">
        <v>1998</v>
      </c>
      <c r="I295" s="81" t="s">
        <v>1390</v>
      </c>
      <c r="J295" t="s">
        <v>6</v>
      </c>
    </row>
    <row r="296" spans="3:10" hidden="1">
      <c r="C296">
        <v>48014</v>
      </c>
      <c r="D296" t="s">
        <v>66</v>
      </c>
      <c r="E296" t="s">
        <v>1404</v>
      </c>
      <c r="F296" s="41"/>
      <c r="G296" s="80" t="s">
        <v>1206</v>
      </c>
      <c r="H296" s="80" t="s">
        <v>1998</v>
      </c>
      <c r="I296" s="81" t="s">
        <v>1390</v>
      </c>
      <c r="J296" t="s">
        <v>6</v>
      </c>
    </row>
    <row r="297" spans="3:10" hidden="1">
      <c r="C297">
        <v>48015</v>
      </c>
      <c r="D297" t="s">
        <v>66</v>
      </c>
      <c r="E297" t="s">
        <v>1405</v>
      </c>
      <c r="F297" s="41"/>
      <c r="G297" s="80" t="s">
        <v>1206</v>
      </c>
      <c r="H297" s="80" t="s">
        <v>1998</v>
      </c>
      <c r="I297" s="81" t="s">
        <v>1390</v>
      </c>
      <c r="J297" t="s">
        <v>6</v>
      </c>
    </row>
    <row r="298" spans="3:10" hidden="1">
      <c r="C298">
        <v>48016</v>
      </c>
      <c r="D298" t="s">
        <v>66</v>
      </c>
      <c r="E298" t="s">
        <v>1406</v>
      </c>
      <c r="F298" s="41"/>
      <c r="G298" s="80" t="s">
        <v>1206</v>
      </c>
      <c r="H298" s="80" t="s">
        <v>1998</v>
      </c>
      <c r="I298" s="81" t="s">
        <v>1390</v>
      </c>
      <c r="J298" t="s">
        <v>6</v>
      </c>
    </row>
    <row r="299" spans="3:10" hidden="1">
      <c r="C299">
        <v>48017</v>
      </c>
      <c r="D299" t="s">
        <v>66</v>
      </c>
      <c r="E299" t="s">
        <v>1407</v>
      </c>
      <c r="F299" s="41"/>
      <c r="G299" s="80" t="s">
        <v>1206</v>
      </c>
      <c r="H299" s="80" t="s">
        <v>1998</v>
      </c>
      <c r="I299" s="81" t="s">
        <v>1390</v>
      </c>
      <c r="J299" t="s">
        <v>6</v>
      </c>
    </row>
    <row r="300" spans="3:10" hidden="1">
      <c r="C300">
        <v>48018</v>
      </c>
      <c r="D300" t="s">
        <v>49</v>
      </c>
      <c r="E300" t="s">
        <v>1408</v>
      </c>
      <c r="F300" s="41"/>
      <c r="G300" s="80" t="s">
        <v>1206</v>
      </c>
      <c r="H300" s="80" t="s">
        <v>1998</v>
      </c>
      <c r="I300" s="81" t="s">
        <v>1390</v>
      </c>
      <c r="J300" t="s">
        <v>6</v>
      </c>
    </row>
    <row r="301" spans="3:10" hidden="1">
      <c r="C301">
        <v>49000</v>
      </c>
      <c r="D301" t="s">
        <v>48</v>
      </c>
      <c r="E301" t="s">
        <v>1409</v>
      </c>
      <c r="F301" s="41"/>
      <c r="G301" s="80" t="s">
        <v>1206</v>
      </c>
      <c r="H301" s="80" t="s">
        <v>1998</v>
      </c>
      <c r="I301" s="81" t="s">
        <v>1409</v>
      </c>
      <c r="J301" t="s">
        <v>6</v>
      </c>
    </row>
    <row r="302" spans="3:10" hidden="1">
      <c r="C302">
        <v>49001</v>
      </c>
      <c r="D302" t="s">
        <v>49</v>
      </c>
      <c r="E302" t="s">
        <v>1391</v>
      </c>
      <c r="F302" s="41"/>
      <c r="G302" s="80" t="s">
        <v>1206</v>
      </c>
      <c r="H302" s="80" t="s">
        <v>1998</v>
      </c>
      <c r="I302" s="81" t="s">
        <v>1409</v>
      </c>
      <c r="J302" t="s">
        <v>6</v>
      </c>
    </row>
    <row r="303" spans="3:10" hidden="1">
      <c r="C303">
        <v>49002</v>
      </c>
      <c r="D303" t="s">
        <v>49</v>
      </c>
      <c r="E303" t="s">
        <v>1392</v>
      </c>
      <c r="F303" s="41"/>
      <c r="G303" s="80" t="s">
        <v>1206</v>
      </c>
      <c r="H303" s="80" t="s">
        <v>1998</v>
      </c>
      <c r="I303" s="81" t="s">
        <v>1409</v>
      </c>
      <c r="J303" t="s">
        <v>6</v>
      </c>
    </row>
    <row r="304" spans="3:10" hidden="1">
      <c r="C304">
        <v>49003</v>
      </c>
      <c r="D304" t="s">
        <v>49</v>
      </c>
      <c r="E304" t="s">
        <v>1393</v>
      </c>
      <c r="F304" s="41"/>
      <c r="G304" s="80" t="s">
        <v>1206</v>
      </c>
      <c r="H304" s="80" t="s">
        <v>1998</v>
      </c>
      <c r="I304" s="81" t="s">
        <v>1409</v>
      </c>
      <c r="J304" t="s">
        <v>6</v>
      </c>
    </row>
    <row r="305" spans="3:10" hidden="1">
      <c r="C305">
        <v>49004</v>
      </c>
      <c r="D305" t="s">
        <v>49</v>
      </c>
      <c r="E305" t="s">
        <v>1394</v>
      </c>
      <c r="F305" s="41"/>
      <c r="G305" s="80" t="s">
        <v>1206</v>
      </c>
      <c r="H305" s="80" t="s">
        <v>1998</v>
      </c>
      <c r="I305" s="81" t="s">
        <v>1409</v>
      </c>
      <c r="J305" t="s">
        <v>6</v>
      </c>
    </row>
    <row r="306" spans="3:10" hidden="1">
      <c r="C306">
        <v>49005</v>
      </c>
      <c r="D306" t="s">
        <v>49</v>
      </c>
      <c r="E306" t="s">
        <v>1410</v>
      </c>
      <c r="F306" s="41"/>
      <c r="G306" s="80" t="s">
        <v>1206</v>
      </c>
      <c r="H306" s="80" t="s">
        <v>1998</v>
      </c>
      <c r="I306" s="81" t="s">
        <v>1409</v>
      </c>
      <c r="J306" t="s">
        <v>6</v>
      </c>
    </row>
    <row r="307" spans="3:10" hidden="1">
      <c r="C307">
        <v>49006</v>
      </c>
      <c r="D307" t="s">
        <v>66</v>
      </c>
      <c r="E307" t="s">
        <v>1411</v>
      </c>
      <c r="F307" s="41"/>
      <c r="G307" s="80" t="s">
        <v>1206</v>
      </c>
      <c r="H307" s="80" t="s">
        <v>1998</v>
      </c>
      <c r="I307" s="81" t="s">
        <v>1409</v>
      </c>
      <c r="J307" t="s">
        <v>6</v>
      </c>
    </row>
    <row r="308" spans="3:10" hidden="1">
      <c r="C308">
        <v>49007</v>
      </c>
      <c r="D308" t="s">
        <v>66</v>
      </c>
      <c r="E308" t="s">
        <v>1412</v>
      </c>
      <c r="F308" s="41"/>
      <c r="G308" s="80" t="s">
        <v>1206</v>
      </c>
      <c r="H308" s="80" t="s">
        <v>1998</v>
      </c>
      <c r="I308" s="81" t="s">
        <v>1409</v>
      </c>
      <c r="J308" t="s">
        <v>6</v>
      </c>
    </row>
    <row r="309" spans="3:10" hidden="1">
      <c r="C309">
        <v>49008</v>
      </c>
      <c r="D309" t="s">
        <v>66</v>
      </c>
      <c r="E309" t="s">
        <v>1413</v>
      </c>
      <c r="F309" s="41"/>
      <c r="G309" s="80" t="s">
        <v>1206</v>
      </c>
      <c r="H309" s="80" t="s">
        <v>1998</v>
      </c>
      <c r="I309" s="81" t="s">
        <v>1409</v>
      </c>
      <c r="J309" t="s">
        <v>6</v>
      </c>
    </row>
    <row r="310" spans="3:10" hidden="1">
      <c r="C310">
        <v>49009</v>
      </c>
      <c r="D310" t="s">
        <v>66</v>
      </c>
      <c r="E310" t="s">
        <v>1414</v>
      </c>
      <c r="F310" s="41"/>
      <c r="G310" s="80" t="s">
        <v>1206</v>
      </c>
      <c r="H310" s="80" t="s">
        <v>1998</v>
      </c>
      <c r="I310" s="81" t="s">
        <v>1409</v>
      </c>
      <c r="J310" t="s">
        <v>6</v>
      </c>
    </row>
    <row r="311" spans="3:10" hidden="1">
      <c r="C311">
        <v>49010</v>
      </c>
      <c r="D311" t="s">
        <v>66</v>
      </c>
      <c r="E311" t="s">
        <v>1415</v>
      </c>
      <c r="F311" s="41"/>
      <c r="G311" s="80" t="s">
        <v>1206</v>
      </c>
      <c r="H311" s="80" t="s">
        <v>1998</v>
      </c>
      <c r="I311" s="81" t="s">
        <v>1409</v>
      </c>
      <c r="J311" t="s">
        <v>6</v>
      </c>
    </row>
    <row r="312" spans="3:10" hidden="1">
      <c r="C312">
        <v>49011</v>
      </c>
      <c r="D312" t="s">
        <v>66</v>
      </c>
      <c r="E312" t="s">
        <v>1416</v>
      </c>
      <c r="F312" s="41"/>
      <c r="G312" s="80" t="s">
        <v>1206</v>
      </c>
      <c r="H312" s="80" t="s">
        <v>1998</v>
      </c>
      <c r="I312" s="81" t="s">
        <v>1409</v>
      </c>
      <c r="J312" t="s">
        <v>6</v>
      </c>
    </row>
    <row r="313" spans="3:10" hidden="1">
      <c r="C313">
        <v>49012</v>
      </c>
      <c r="D313" t="s">
        <v>66</v>
      </c>
      <c r="E313" t="s">
        <v>1417</v>
      </c>
      <c r="F313" s="41" t="s">
        <v>1418</v>
      </c>
      <c r="G313" s="80" t="s">
        <v>1206</v>
      </c>
      <c r="H313" s="80" t="s">
        <v>1998</v>
      </c>
      <c r="I313" s="81" t="s">
        <v>1409</v>
      </c>
      <c r="J313" t="s">
        <v>6</v>
      </c>
    </row>
    <row r="314" spans="3:10" hidden="1">
      <c r="C314">
        <v>49013</v>
      </c>
      <c r="D314" t="s">
        <v>49</v>
      </c>
      <c r="E314" t="s">
        <v>1419</v>
      </c>
      <c r="F314" s="41"/>
      <c r="G314" s="80" t="s">
        <v>1206</v>
      </c>
      <c r="H314" s="80" t="s">
        <v>1998</v>
      </c>
      <c r="I314" s="81" t="s">
        <v>1409</v>
      </c>
      <c r="J314" t="s">
        <v>6</v>
      </c>
    </row>
    <row r="315" spans="3:10" hidden="1">
      <c r="C315">
        <v>49014</v>
      </c>
      <c r="D315" t="s">
        <v>66</v>
      </c>
      <c r="E315" t="s">
        <v>1420</v>
      </c>
      <c r="F315" s="41"/>
      <c r="G315" s="80" t="s">
        <v>1206</v>
      </c>
      <c r="H315" s="80" t="s">
        <v>1998</v>
      </c>
      <c r="I315" s="81" t="s">
        <v>1409</v>
      </c>
      <c r="J315" t="s">
        <v>6</v>
      </c>
    </row>
    <row r="316" spans="3:10" hidden="1">
      <c r="C316">
        <v>49015</v>
      </c>
      <c r="D316" t="s">
        <v>66</v>
      </c>
      <c r="E316" t="s">
        <v>1421</v>
      </c>
      <c r="F316" s="41"/>
      <c r="G316" s="80" t="s">
        <v>1206</v>
      </c>
      <c r="H316" s="80" t="s">
        <v>1998</v>
      </c>
      <c r="I316" s="81" t="s">
        <v>1409</v>
      </c>
      <c r="J316" t="s">
        <v>6</v>
      </c>
    </row>
    <row r="317" spans="3:10" hidden="1">
      <c r="C317">
        <v>49016</v>
      </c>
      <c r="D317" t="s">
        <v>66</v>
      </c>
      <c r="E317" t="s">
        <v>1422</v>
      </c>
      <c r="F317" s="41"/>
      <c r="G317" s="80" t="s">
        <v>1206</v>
      </c>
      <c r="H317" s="80" t="s">
        <v>1998</v>
      </c>
      <c r="I317" s="81" t="s">
        <v>1409</v>
      </c>
      <c r="J317" t="s">
        <v>6</v>
      </c>
    </row>
    <row r="318" spans="3:10" hidden="1">
      <c r="C318">
        <v>49017</v>
      </c>
      <c r="D318" t="s">
        <v>49</v>
      </c>
      <c r="E318" t="s">
        <v>1423</v>
      </c>
      <c r="F318" s="41"/>
      <c r="G318" s="80" t="s">
        <v>1206</v>
      </c>
      <c r="H318" s="80" t="s">
        <v>1998</v>
      </c>
      <c r="I318" s="81" t="s">
        <v>1409</v>
      </c>
      <c r="J318" t="s">
        <v>6</v>
      </c>
    </row>
    <row r="319" spans="3:10" hidden="1">
      <c r="C319">
        <v>49018</v>
      </c>
      <c r="D319" t="s">
        <v>66</v>
      </c>
      <c r="E319" t="s">
        <v>1424</v>
      </c>
      <c r="F319" s="41"/>
      <c r="G319" s="80" t="s">
        <v>1206</v>
      </c>
      <c r="H319" s="80" t="s">
        <v>1998</v>
      </c>
      <c r="I319" s="81" t="s">
        <v>1409</v>
      </c>
      <c r="J319" t="s">
        <v>6</v>
      </c>
    </row>
    <row r="320" spans="3:10" hidden="1">
      <c r="C320">
        <v>49019</v>
      </c>
      <c r="D320" t="s">
        <v>66</v>
      </c>
      <c r="E320" t="s">
        <v>1425</v>
      </c>
      <c r="F320" s="41"/>
      <c r="G320" s="80" t="s">
        <v>1206</v>
      </c>
      <c r="H320" s="80" t="s">
        <v>1998</v>
      </c>
      <c r="I320" s="81" t="s">
        <v>1409</v>
      </c>
      <c r="J320" t="s">
        <v>6</v>
      </c>
    </row>
    <row r="321" spans="3:10" hidden="1">
      <c r="C321">
        <v>49020</v>
      </c>
      <c r="D321" t="s">
        <v>66</v>
      </c>
      <c r="E321" t="s">
        <v>1426</v>
      </c>
      <c r="F321" s="41"/>
      <c r="G321" s="80" t="s">
        <v>1206</v>
      </c>
      <c r="H321" s="80" t="s">
        <v>1998</v>
      </c>
      <c r="I321" s="81" t="s">
        <v>1409</v>
      </c>
      <c r="J321" t="s">
        <v>6</v>
      </c>
    </row>
    <row r="322" spans="3:10" hidden="1">
      <c r="C322">
        <v>49021</v>
      </c>
      <c r="D322" t="s">
        <v>66</v>
      </c>
      <c r="E322" t="s">
        <v>1427</v>
      </c>
      <c r="F322" s="41"/>
      <c r="G322" s="80" t="s">
        <v>1206</v>
      </c>
      <c r="H322" s="80" t="s">
        <v>1998</v>
      </c>
      <c r="I322" s="81" t="s">
        <v>1409</v>
      </c>
      <c r="J322" t="s">
        <v>6</v>
      </c>
    </row>
    <row r="323" spans="3:10" hidden="1">
      <c r="C323">
        <v>49022</v>
      </c>
      <c r="D323" t="s">
        <v>49</v>
      </c>
      <c r="E323" t="s">
        <v>1428</v>
      </c>
      <c r="F323" s="41"/>
      <c r="G323" s="80" t="s">
        <v>1206</v>
      </c>
      <c r="H323" s="80" t="s">
        <v>1998</v>
      </c>
      <c r="I323" s="81" t="s">
        <v>1409</v>
      </c>
      <c r="J323" t="s">
        <v>6</v>
      </c>
    </row>
    <row r="324" spans="3:10" hidden="1">
      <c r="C324">
        <v>49023</v>
      </c>
      <c r="D324" t="s">
        <v>66</v>
      </c>
      <c r="E324" t="s">
        <v>1429</v>
      </c>
      <c r="F324" s="41"/>
      <c r="G324" s="80" t="s">
        <v>1206</v>
      </c>
      <c r="H324" s="80" t="s">
        <v>1998</v>
      </c>
      <c r="I324" s="81" t="s">
        <v>1409</v>
      </c>
      <c r="J324" t="s">
        <v>6</v>
      </c>
    </row>
    <row r="325" spans="3:10" hidden="1">
      <c r="C325">
        <v>49024</v>
      </c>
      <c r="D325" t="s">
        <v>66</v>
      </c>
      <c r="E325" t="s">
        <v>1430</v>
      </c>
      <c r="F325" s="41"/>
      <c r="G325" s="80" t="s">
        <v>1206</v>
      </c>
      <c r="H325" s="80" t="s">
        <v>1998</v>
      </c>
      <c r="I325" s="81" t="s">
        <v>1409</v>
      </c>
      <c r="J325" t="s">
        <v>6</v>
      </c>
    </row>
    <row r="326" spans="3:10" hidden="1">
      <c r="C326">
        <v>49025</v>
      </c>
      <c r="D326" t="s">
        <v>49</v>
      </c>
      <c r="E326" t="s">
        <v>1431</v>
      </c>
      <c r="F326" s="41"/>
      <c r="G326" s="80" t="s">
        <v>1206</v>
      </c>
      <c r="H326" s="80" t="s">
        <v>1998</v>
      </c>
      <c r="I326" s="81" t="s">
        <v>1409</v>
      </c>
      <c r="J326" t="s">
        <v>6</v>
      </c>
    </row>
    <row r="327" spans="3:10" hidden="1">
      <c r="C327">
        <v>49026</v>
      </c>
      <c r="D327" t="s">
        <v>66</v>
      </c>
      <c r="E327" t="s">
        <v>1432</v>
      </c>
      <c r="F327" s="41"/>
      <c r="G327" s="80" t="s">
        <v>1206</v>
      </c>
      <c r="H327" s="80" t="s">
        <v>1998</v>
      </c>
      <c r="I327" s="81" t="s">
        <v>1409</v>
      </c>
      <c r="J327" t="s">
        <v>6</v>
      </c>
    </row>
    <row r="328" spans="3:10" hidden="1">
      <c r="C328">
        <v>49027</v>
      </c>
      <c r="D328" t="s">
        <v>66</v>
      </c>
      <c r="E328" t="s">
        <v>1433</v>
      </c>
      <c r="F328" s="41"/>
      <c r="G328" s="80" t="s">
        <v>1206</v>
      </c>
      <c r="H328" s="80" t="s">
        <v>1998</v>
      </c>
      <c r="I328" s="81" t="s">
        <v>1409</v>
      </c>
      <c r="J328" t="s">
        <v>6</v>
      </c>
    </row>
    <row r="329" spans="3:10" hidden="1">
      <c r="C329">
        <v>50000</v>
      </c>
      <c r="D329" t="s">
        <v>48</v>
      </c>
      <c r="E329" t="s">
        <v>1434</v>
      </c>
      <c r="F329" s="41"/>
      <c r="G329" s="80" t="s">
        <v>1206</v>
      </c>
      <c r="H329" s="80" t="s">
        <v>1998</v>
      </c>
      <c r="I329" s="81" t="s">
        <v>1434</v>
      </c>
      <c r="J329" t="s">
        <v>6</v>
      </c>
    </row>
    <row r="330" spans="3:10" hidden="1">
      <c r="C330">
        <v>50001</v>
      </c>
      <c r="D330" t="s">
        <v>49</v>
      </c>
      <c r="E330" t="s">
        <v>1435</v>
      </c>
      <c r="F330" s="41"/>
      <c r="G330" s="80" t="s">
        <v>1206</v>
      </c>
      <c r="H330" s="80" t="s">
        <v>1998</v>
      </c>
      <c r="I330" s="81" t="s">
        <v>1434</v>
      </c>
      <c r="J330" t="s">
        <v>6</v>
      </c>
    </row>
    <row r="331" spans="3:10" hidden="1">
      <c r="C331">
        <v>50002</v>
      </c>
      <c r="D331" t="s">
        <v>49</v>
      </c>
      <c r="E331" t="s">
        <v>1392</v>
      </c>
      <c r="F331" s="41"/>
      <c r="G331" s="80" t="s">
        <v>1206</v>
      </c>
      <c r="H331" s="80" t="s">
        <v>1998</v>
      </c>
      <c r="I331" s="81" t="s">
        <v>1434</v>
      </c>
      <c r="J331" t="s">
        <v>6</v>
      </c>
    </row>
    <row r="332" spans="3:10" hidden="1">
      <c r="C332">
        <v>50003</v>
      </c>
      <c r="D332" t="s">
        <v>49</v>
      </c>
      <c r="E332" t="s">
        <v>1393</v>
      </c>
      <c r="F332" s="41"/>
      <c r="G332" s="80" t="s">
        <v>1206</v>
      </c>
      <c r="H332" s="80" t="s">
        <v>1998</v>
      </c>
      <c r="I332" s="81" t="s">
        <v>1434</v>
      </c>
      <c r="J332" t="s">
        <v>6</v>
      </c>
    </row>
    <row r="333" spans="3:10" hidden="1">
      <c r="C333">
        <v>50004</v>
      </c>
      <c r="D333" t="s">
        <v>49</v>
      </c>
      <c r="E333" t="s">
        <v>1394</v>
      </c>
      <c r="F333" s="41"/>
      <c r="G333" s="80" t="s">
        <v>1206</v>
      </c>
      <c r="H333" s="80" t="s">
        <v>1998</v>
      </c>
      <c r="I333" s="81" t="s">
        <v>1434</v>
      </c>
      <c r="J333" t="s">
        <v>6</v>
      </c>
    </row>
    <row r="334" spans="3:10" hidden="1">
      <c r="C334">
        <v>50005</v>
      </c>
      <c r="D334" t="s">
        <v>49</v>
      </c>
      <c r="E334" t="s">
        <v>1436</v>
      </c>
      <c r="F334" s="41"/>
      <c r="G334" s="80" t="s">
        <v>1206</v>
      </c>
      <c r="H334" s="80" t="s">
        <v>1998</v>
      </c>
      <c r="I334" s="81" t="s">
        <v>1434</v>
      </c>
      <c r="J334" t="s">
        <v>6</v>
      </c>
    </row>
    <row r="335" spans="3:10" hidden="1">
      <c r="C335">
        <v>50006</v>
      </c>
      <c r="D335" t="s">
        <v>66</v>
      </c>
      <c r="E335" t="s">
        <v>1437</v>
      </c>
      <c r="F335" s="41"/>
      <c r="G335" s="80" t="s">
        <v>1206</v>
      </c>
      <c r="H335" s="80" t="s">
        <v>1998</v>
      </c>
      <c r="I335" s="81" t="s">
        <v>1434</v>
      </c>
      <c r="J335" t="s">
        <v>6</v>
      </c>
    </row>
    <row r="336" spans="3:10" hidden="1">
      <c r="C336">
        <v>50007</v>
      </c>
      <c r="D336" t="s">
        <v>66</v>
      </c>
      <c r="E336" t="s">
        <v>1438</v>
      </c>
      <c r="F336" s="41"/>
      <c r="G336" s="80" t="s">
        <v>1206</v>
      </c>
      <c r="H336" s="80" t="s">
        <v>1998</v>
      </c>
      <c r="I336" s="81" t="s">
        <v>1434</v>
      </c>
      <c r="J336" t="s">
        <v>6</v>
      </c>
    </row>
    <row r="337" spans="3:10" hidden="1">
      <c r="C337">
        <v>50008</v>
      </c>
      <c r="D337" t="s">
        <v>66</v>
      </c>
      <c r="E337" t="s">
        <v>1439</v>
      </c>
      <c r="F337" s="41"/>
      <c r="G337" s="80" t="s">
        <v>1206</v>
      </c>
      <c r="H337" s="80" t="s">
        <v>1998</v>
      </c>
      <c r="I337" s="81" t="s">
        <v>1434</v>
      </c>
      <c r="J337" t="s">
        <v>6</v>
      </c>
    </row>
    <row r="338" spans="3:10" hidden="1">
      <c r="C338">
        <v>50009</v>
      </c>
      <c r="D338" t="s">
        <v>66</v>
      </c>
      <c r="E338" t="s">
        <v>1440</v>
      </c>
      <c r="F338" s="41"/>
      <c r="G338" s="80" t="s">
        <v>1206</v>
      </c>
      <c r="H338" s="80" t="s">
        <v>1998</v>
      </c>
      <c r="I338" s="81" t="s">
        <v>1434</v>
      </c>
      <c r="J338" t="s">
        <v>6</v>
      </c>
    </row>
    <row r="339" spans="3:10" hidden="1">
      <c r="C339">
        <v>50010</v>
      </c>
      <c r="D339" t="s">
        <v>49</v>
      </c>
      <c r="E339" t="s">
        <v>1441</v>
      </c>
      <c r="F339" s="41"/>
      <c r="G339" s="80" t="s">
        <v>1206</v>
      </c>
      <c r="H339" s="80" t="s">
        <v>1998</v>
      </c>
      <c r="I339" s="81" t="s">
        <v>1434</v>
      </c>
      <c r="J339" t="s">
        <v>6</v>
      </c>
    </row>
    <row r="340" spans="3:10" hidden="1">
      <c r="C340">
        <v>50011</v>
      </c>
      <c r="D340" t="s">
        <v>49</v>
      </c>
      <c r="E340" t="s">
        <v>1442</v>
      </c>
      <c r="F340" s="41"/>
      <c r="G340" s="80" t="s">
        <v>1206</v>
      </c>
      <c r="H340" s="80" t="s">
        <v>1998</v>
      </c>
      <c r="I340" s="81" t="s">
        <v>1434</v>
      </c>
      <c r="J340" t="s">
        <v>6</v>
      </c>
    </row>
    <row r="341" spans="3:10" hidden="1">
      <c r="C341">
        <v>50012</v>
      </c>
      <c r="D341" t="s">
        <v>49</v>
      </c>
      <c r="E341" t="s">
        <v>1443</v>
      </c>
      <c r="F341" s="41"/>
      <c r="G341" s="80" t="s">
        <v>1206</v>
      </c>
      <c r="H341" s="80" t="s">
        <v>1998</v>
      </c>
      <c r="I341" s="81" t="s">
        <v>1434</v>
      </c>
      <c r="J341" t="s">
        <v>6</v>
      </c>
    </row>
    <row r="342" spans="3:10" hidden="1">
      <c r="C342">
        <v>50013</v>
      </c>
      <c r="D342" t="s">
        <v>49</v>
      </c>
      <c r="E342" t="s">
        <v>1444</v>
      </c>
      <c r="F342" s="41"/>
      <c r="G342" s="80" t="s">
        <v>1206</v>
      </c>
      <c r="H342" s="80" t="s">
        <v>1998</v>
      </c>
      <c r="I342" s="81" t="s">
        <v>1434</v>
      </c>
      <c r="J342" t="s">
        <v>6</v>
      </c>
    </row>
    <row r="343" spans="3:10" hidden="1">
      <c r="C343">
        <v>50014</v>
      </c>
      <c r="D343" t="s">
        <v>49</v>
      </c>
      <c r="E343" t="s">
        <v>1445</v>
      </c>
      <c r="F343" s="41"/>
      <c r="G343" s="80" t="s">
        <v>1206</v>
      </c>
      <c r="H343" s="80" t="s">
        <v>1998</v>
      </c>
      <c r="I343" s="81" t="s">
        <v>1434</v>
      </c>
      <c r="J343" t="s">
        <v>6</v>
      </c>
    </row>
    <row r="344" spans="3:10" hidden="1">
      <c r="C344">
        <v>51000</v>
      </c>
      <c r="D344" t="s">
        <v>48</v>
      </c>
      <c r="E344" t="s">
        <v>1446</v>
      </c>
      <c r="F344" s="41"/>
      <c r="G344" s="80" t="s">
        <v>1206</v>
      </c>
      <c r="H344" s="80" t="s">
        <v>1998</v>
      </c>
      <c r="I344" s="81" t="s">
        <v>1446</v>
      </c>
      <c r="J344" t="s">
        <v>6</v>
      </c>
    </row>
    <row r="345" spans="3:10" hidden="1">
      <c r="C345">
        <v>51001</v>
      </c>
      <c r="D345" t="s">
        <v>49</v>
      </c>
      <c r="E345" t="s">
        <v>1447</v>
      </c>
      <c r="F345" s="41"/>
      <c r="G345" s="80" t="s">
        <v>1206</v>
      </c>
      <c r="H345" s="80" t="s">
        <v>1998</v>
      </c>
      <c r="I345" s="81" t="s">
        <v>1446</v>
      </c>
      <c r="J345" t="s">
        <v>6</v>
      </c>
    </row>
    <row r="346" spans="3:10" hidden="1">
      <c r="C346">
        <v>51002</v>
      </c>
      <c r="D346" t="s">
        <v>49</v>
      </c>
      <c r="E346" t="s">
        <v>1392</v>
      </c>
      <c r="F346" s="41"/>
      <c r="G346" s="80" t="s">
        <v>1206</v>
      </c>
      <c r="H346" s="80" t="s">
        <v>1998</v>
      </c>
      <c r="I346" s="81" t="s">
        <v>1446</v>
      </c>
      <c r="J346" t="s">
        <v>6</v>
      </c>
    </row>
    <row r="347" spans="3:10" hidden="1">
      <c r="C347">
        <v>51003</v>
      </c>
      <c r="D347" t="s">
        <v>49</v>
      </c>
      <c r="E347" t="s">
        <v>1393</v>
      </c>
      <c r="F347" s="41"/>
      <c r="G347" s="80" t="s">
        <v>1206</v>
      </c>
      <c r="H347" s="80" t="s">
        <v>1998</v>
      </c>
      <c r="I347" s="81" t="s">
        <v>1446</v>
      </c>
      <c r="J347" t="s">
        <v>6</v>
      </c>
    </row>
    <row r="348" spans="3:10" hidden="1">
      <c r="C348">
        <v>51004</v>
      </c>
      <c r="D348" t="s">
        <v>49</v>
      </c>
      <c r="E348" t="s">
        <v>1394</v>
      </c>
      <c r="F348" s="41"/>
      <c r="G348" s="80" t="s">
        <v>1206</v>
      </c>
      <c r="H348" s="80" t="s">
        <v>1998</v>
      </c>
      <c r="I348" s="81" t="s">
        <v>1446</v>
      </c>
      <c r="J348" t="s">
        <v>6</v>
      </c>
    </row>
    <row r="349" spans="3:10" hidden="1">
      <c r="C349">
        <v>51005</v>
      </c>
      <c r="D349" t="s">
        <v>49</v>
      </c>
      <c r="E349" t="s">
        <v>1448</v>
      </c>
      <c r="F349" s="41"/>
      <c r="G349" s="80" t="s">
        <v>1206</v>
      </c>
      <c r="H349" s="80" t="s">
        <v>1998</v>
      </c>
      <c r="I349" s="81" t="s">
        <v>1446</v>
      </c>
      <c r="J349" t="s">
        <v>6</v>
      </c>
    </row>
    <row r="350" spans="3:10" hidden="1">
      <c r="C350">
        <v>51006</v>
      </c>
      <c r="D350" t="s">
        <v>66</v>
      </c>
      <c r="E350" t="s">
        <v>1449</v>
      </c>
      <c r="F350" s="41"/>
      <c r="G350" s="80" t="s">
        <v>1206</v>
      </c>
      <c r="H350" s="80" t="s">
        <v>1998</v>
      </c>
      <c r="I350" s="81" t="s">
        <v>1446</v>
      </c>
      <c r="J350" t="s">
        <v>6</v>
      </c>
    </row>
    <row r="351" spans="3:10" hidden="1">
      <c r="C351">
        <v>51007</v>
      </c>
      <c r="D351" t="s">
        <v>66</v>
      </c>
      <c r="E351" t="s">
        <v>1450</v>
      </c>
      <c r="F351" s="41"/>
      <c r="G351" s="80" t="s">
        <v>1206</v>
      </c>
      <c r="H351" s="80" t="s">
        <v>1998</v>
      </c>
      <c r="I351" s="81" t="s">
        <v>1446</v>
      </c>
      <c r="J351" t="s">
        <v>6</v>
      </c>
    </row>
    <row r="352" spans="3:10" hidden="1">
      <c r="C352">
        <v>51008</v>
      </c>
      <c r="D352" t="s">
        <v>66</v>
      </c>
      <c r="E352" t="s">
        <v>1451</v>
      </c>
      <c r="F352" s="41"/>
      <c r="G352" s="80" t="s">
        <v>1206</v>
      </c>
      <c r="H352" s="80" t="s">
        <v>1998</v>
      </c>
      <c r="I352" s="81" t="s">
        <v>1446</v>
      </c>
      <c r="J352" t="s">
        <v>6</v>
      </c>
    </row>
    <row r="353" spans="3:10" hidden="1">
      <c r="C353">
        <v>51009</v>
      </c>
      <c r="D353" t="s">
        <v>66</v>
      </c>
      <c r="E353" t="s">
        <v>1452</v>
      </c>
      <c r="F353" s="41"/>
      <c r="G353" s="80" t="s">
        <v>1206</v>
      </c>
      <c r="H353" s="80" t="s">
        <v>1998</v>
      </c>
      <c r="I353" s="81" t="s">
        <v>1446</v>
      </c>
      <c r="J353" t="s">
        <v>6</v>
      </c>
    </row>
    <row r="354" spans="3:10" hidden="1">
      <c r="C354">
        <v>51010</v>
      </c>
      <c r="D354" t="s">
        <v>49</v>
      </c>
      <c r="E354" t="s">
        <v>1453</v>
      </c>
      <c r="F354" s="41"/>
      <c r="G354" s="80" t="s">
        <v>1206</v>
      </c>
      <c r="H354" s="80" t="s">
        <v>1998</v>
      </c>
      <c r="I354" s="81" t="s">
        <v>1446</v>
      </c>
      <c r="J354" t="s">
        <v>6</v>
      </c>
    </row>
    <row r="355" spans="3:10" hidden="1">
      <c r="C355">
        <v>51011</v>
      </c>
      <c r="D355" t="s">
        <v>49</v>
      </c>
      <c r="E355" t="s">
        <v>1407</v>
      </c>
      <c r="F355" s="41"/>
      <c r="G355" s="80" t="s">
        <v>1206</v>
      </c>
      <c r="H355" s="80" t="s">
        <v>1998</v>
      </c>
      <c r="I355" s="81" t="s">
        <v>1446</v>
      </c>
      <c r="J355" t="s">
        <v>6</v>
      </c>
    </row>
    <row r="356" spans="3:10" hidden="1">
      <c r="C356">
        <v>51012</v>
      </c>
      <c r="D356" t="s">
        <v>66</v>
      </c>
      <c r="E356" t="s">
        <v>1454</v>
      </c>
      <c r="F356" s="41"/>
      <c r="G356" s="80" t="s">
        <v>1206</v>
      </c>
      <c r="H356" s="80" t="s">
        <v>1998</v>
      </c>
      <c r="I356" s="81" t="s">
        <v>1446</v>
      </c>
      <c r="J356" t="s">
        <v>6</v>
      </c>
    </row>
    <row r="357" spans="3:10" hidden="1">
      <c r="C357">
        <v>51013</v>
      </c>
      <c r="D357" t="s">
        <v>66</v>
      </c>
      <c r="E357" t="s">
        <v>1455</v>
      </c>
      <c r="F357" s="41"/>
      <c r="G357" s="80" t="s">
        <v>1206</v>
      </c>
      <c r="H357" s="80" t="s">
        <v>1998</v>
      </c>
      <c r="I357" s="81" t="s">
        <v>1446</v>
      </c>
      <c r="J357" t="s">
        <v>6</v>
      </c>
    </row>
    <row r="358" spans="3:10" hidden="1">
      <c r="C358">
        <v>51014</v>
      </c>
      <c r="D358" t="s">
        <v>49</v>
      </c>
      <c r="E358" t="s">
        <v>1444</v>
      </c>
      <c r="F358" s="41"/>
      <c r="G358" s="80" t="s">
        <v>1206</v>
      </c>
      <c r="H358" s="80" t="s">
        <v>1998</v>
      </c>
      <c r="I358" s="81" t="s">
        <v>1446</v>
      </c>
      <c r="J358" t="s">
        <v>6</v>
      </c>
    </row>
    <row r="359" spans="3:10" hidden="1">
      <c r="C359">
        <v>51015</v>
      </c>
      <c r="D359" t="s">
        <v>49</v>
      </c>
      <c r="E359" t="s">
        <v>1445</v>
      </c>
      <c r="F359" s="41"/>
      <c r="G359" s="80" t="s">
        <v>1206</v>
      </c>
      <c r="H359" s="80" t="s">
        <v>1998</v>
      </c>
      <c r="I359" s="81" t="s">
        <v>1446</v>
      </c>
      <c r="J359" t="s">
        <v>6</v>
      </c>
    </row>
    <row r="360" spans="3:10" hidden="1">
      <c r="C360">
        <v>51016</v>
      </c>
      <c r="D360" t="s">
        <v>49</v>
      </c>
      <c r="E360" t="s">
        <v>1440</v>
      </c>
      <c r="F360" s="41"/>
      <c r="G360" s="80" t="s">
        <v>1206</v>
      </c>
      <c r="H360" s="80" t="s">
        <v>1998</v>
      </c>
      <c r="I360" s="81" t="s">
        <v>1446</v>
      </c>
      <c r="J360" t="s">
        <v>6</v>
      </c>
    </row>
    <row r="361" spans="3:10" hidden="1">
      <c r="C361">
        <v>51017</v>
      </c>
      <c r="D361" t="s">
        <v>49</v>
      </c>
      <c r="E361" t="s">
        <v>1443</v>
      </c>
      <c r="F361" s="41"/>
      <c r="G361" s="80" t="s">
        <v>1206</v>
      </c>
      <c r="H361" s="80" t="s">
        <v>1998</v>
      </c>
      <c r="I361" s="81" t="s">
        <v>1446</v>
      </c>
      <c r="J361" t="s">
        <v>6</v>
      </c>
    </row>
    <row r="362" spans="3:10" hidden="1">
      <c r="C362">
        <v>52000</v>
      </c>
      <c r="D362" t="s">
        <v>48</v>
      </c>
      <c r="E362" t="s">
        <v>1456</v>
      </c>
      <c r="F362" s="41"/>
      <c r="G362" s="80" t="s">
        <v>1206</v>
      </c>
      <c r="H362" s="80" t="s">
        <v>1998</v>
      </c>
      <c r="I362" s="81" t="s">
        <v>1456</v>
      </c>
      <c r="J362" t="s">
        <v>6</v>
      </c>
    </row>
    <row r="363" spans="3:10" hidden="1">
      <c r="C363">
        <v>52001</v>
      </c>
      <c r="D363" t="s">
        <v>49</v>
      </c>
      <c r="E363" t="s">
        <v>1391</v>
      </c>
      <c r="F363" s="41"/>
      <c r="G363" s="80" t="s">
        <v>1206</v>
      </c>
      <c r="H363" s="80" t="s">
        <v>1998</v>
      </c>
      <c r="I363" s="81" t="s">
        <v>1456</v>
      </c>
      <c r="J363" t="s">
        <v>6</v>
      </c>
    </row>
    <row r="364" spans="3:10" hidden="1">
      <c r="C364">
        <v>52002</v>
      </c>
      <c r="D364" t="s">
        <v>49</v>
      </c>
      <c r="E364" t="s">
        <v>1392</v>
      </c>
      <c r="F364" s="41"/>
      <c r="G364" s="80" t="s">
        <v>1206</v>
      </c>
      <c r="H364" s="80" t="s">
        <v>1998</v>
      </c>
      <c r="I364" s="81" t="s">
        <v>1456</v>
      </c>
      <c r="J364" t="s">
        <v>6</v>
      </c>
    </row>
    <row r="365" spans="3:10" hidden="1">
      <c r="C365">
        <v>52003</v>
      </c>
      <c r="D365" t="s">
        <v>49</v>
      </c>
      <c r="E365" t="s">
        <v>1393</v>
      </c>
      <c r="F365" s="41"/>
      <c r="G365" s="80" t="s">
        <v>1206</v>
      </c>
      <c r="H365" s="80" t="s">
        <v>1998</v>
      </c>
      <c r="I365" s="81" t="s">
        <v>1456</v>
      </c>
      <c r="J365" t="s">
        <v>6</v>
      </c>
    </row>
    <row r="366" spans="3:10" hidden="1">
      <c r="C366">
        <v>52004</v>
      </c>
      <c r="D366" t="s">
        <v>49</v>
      </c>
      <c r="E366" t="s">
        <v>1394</v>
      </c>
      <c r="F366" s="41"/>
      <c r="G366" s="80" t="s">
        <v>1206</v>
      </c>
      <c r="H366" s="80" t="s">
        <v>1998</v>
      </c>
      <c r="I366" s="81" t="s">
        <v>1456</v>
      </c>
      <c r="J366" t="s">
        <v>6</v>
      </c>
    </row>
    <row r="367" spans="3:10" hidden="1">
      <c r="C367">
        <v>52005</v>
      </c>
      <c r="D367" t="s">
        <v>49</v>
      </c>
      <c r="E367" t="s">
        <v>1448</v>
      </c>
      <c r="F367" s="41"/>
      <c r="G367" s="80" t="s">
        <v>1206</v>
      </c>
      <c r="H367" s="80" t="s">
        <v>1998</v>
      </c>
      <c r="I367" s="81" t="s">
        <v>1456</v>
      </c>
      <c r="J367" t="s">
        <v>6</v>
      </c>
    </row>
    <row r="368" spans="3:10" hidden="1">
      <c r="C368">
        <v>52006</v>
      </c>
      <c r="D368" t="s">
        <v>66</v>
      </c>
      <c r="E368" t="s">
        <v>1457</v>
      </c>
      <c r="F368" s="41"/>
      <c r="G368" s="80" t="s">
        <v>1206</v>
      </c>
      <c r="H368" s="80" t="s">
        <v>1998</v>
      </c>
      <c r="I368" s="81" t="s">
        <v>1456</v>
      </c>
      <c r="J368" t="s">
        <v>6</v>
      </c>
    </row>
    <row r="369" spans="3:10" hidden="1">
      <c r="C369">
        <v>52007</v>
      </c>
      <c r="D369" t="s">
        <v>66</v>
      </c>
      <c r="E369" t="s">
        <v>1458</v>
      </c>
      <c r="F369" s="41"/>
      <c r="G369" s="80" t="s">
        <v>1206</v>
      </c>
      <c r="H369" s="80" t="s">
        <v>1998</v>
      </c>
      <c r="I369" s="81" t="s">
        <v>1456</v>
      </c>
      <c r="J369" t="s">
        <v>6</v>
      </c>
    </row>
    <row r="370" spans="3:10" hidden="1">
      <c r="C370">
        <v>52008</v>
      </c>
      <c r="D370" t="s">
        <v>66</v>
      </c>
      <c r="E370" t="s">
        <v>1459</v>
      </c>
      <c r="F370" s="41"/>
      <c r="G370" s="80" t="s">
        <v>1206</v>
      </c>
      <c r="H370" s="80" t="s">
        <v>1998</v>
      </c>
      <c r="I370" s="81" t="s">
        <v>1456</v>
      </c>
      <c r="J370" t="s">
        <v>6</v>
      </c>
    </row>
    <row r="371" spans="3:10" hidden="1">
      <c r="C371">
        <v>52009</v>
      </c>
      <c r="D371" t="s">
        <v>49</v>
      </c>
      <c r="E371" t="s">
        <v>1460</v>
      </c>
      <c r="F371" s="41"/>
      <c r="G371" s="80" t="s">
        <v>1206</v>
      </c>
      <c r="H371" s="80" t="s">
        <v>1998</v>
      </c>
      <c r="I371" s="81" t="s">
        <v>1456</v>
      </c>
      <c r="J371" t="s">
        <v>6</v>
      </c>
    </row>
    <row r="372" spans="3:10" hidden="1">
      <c r="C372">
        <v>52010</v>
      </c>
      <c r="D372" t="s">
        <v>66</v>
      </c>
      <c r="E372" t="s">
        <v>1461</v>
      </c>
      <c r="F372" s="41"/>
      <c r="G372" s="80" t="s">
        <v>1206</v>
      </c>
      <c r="H372" s="80" t="s">
        <v>1998</v>
      </c>
      <c r="I372" s="81" t="s">
        <v>1456</v>
      </c>
      <c r="J372" t="s">
        <v>6</v>
      </c>
    </row>
    <row r="373" spans="3:10" hidden="1">
      <c r="C373">
        <v>52011</v>
      </c>
      <c r="D373" t="s">
        <v>66</v>
      </c>
      <c r="E373" t="s">
        <v>1462</v>
      </c>
      <c r="F373" s="41"/>
      <c r="G373" s="80" t="s">
        <v>1206</v>
      </c>
      <c r="H373" s="80" t="s">
        <v>1998</v>
      </c>
      <c r="I373" s="81" t="s">
        <v>1456</v>
      </c>
      <c r="J373" t="s">
        <v>6</v>
      </c>
    </row>
    <row r="374" spans="3:10" hidden="1">
      <c r="C374">
        <v>52012</v>
      </c>
      <c r="D374" t="s">
        <v>66</v>
      </c>
      <c r="E374" t="s">
        <v>1463</v>
      </c>
      <c r="F374" s="41"/>
      <c r="G374" s="80" t="s">
        <v>1206</v>
      </c>
      <c r="H374" s="80" t="s">
        <v>1998</v>
      </c>
      <c r="I374" s="81" t="s">
        <v>1456</v>
      </c>
      <c r="J374" t="s">
        <v>6</v>
      </c>
    </row>
    <row r="375" spans="3:10" hidden="1">
      <c r="C375">
        <v>52013</v>
      </c>
      <c r="D375" t="s">
        <v>49</v>
      </c>
      <c r="E375" t="s">
        <v>1464</v>
      </c>
      <c r="F375" s="41"/>
      <c r="G375" s="80" t="s">
        <v>1206</v>
      </c>
      <c r="H375" s="80" t="s">
        <v>1998</v>
      </c>
      <c r="I375" s="81" t="s">
        <v>1456</v>
      </c>
      <c r="J375" t="s">
        <v>6</v>
      </c>
    </row>
    <row r="376" spans="3:10" hidden="1">
      <c r="C376">
        <v>52014</v>
      </c>
      <c r="D376" t="s">
        <v>66</v>
      </c>
      <c r="E376" t="s">
        <v>1465</v>
      </c>
      <c r="F376" s="41"/>
      <c r="G376" s="80" t="s">
        <v>1206</v>
      </c>
      <c r="H376" s="80" t="s">
        <v>1998</v>
      </c>
      <c r="I376" s="81" t="s">
        <v>1456</v>
      </c>
      <c r="J376" t="s">
        <v>6</v>
      </c>
    </row>
    <row r="377" spans="3:10" hidden="1">
      <c r="C377">
        <v>52015</v>
      </c>
      <c r="D377" t="s">
        <v>66</v>
      </c>
      <c r="E377" t="s">
        <v>1466</v>
      </c>
      <c r="F377" s="41"/>
      <c r="G377" s="80" t="s">
        <v>1206</v>
      </c>
      <c r="H377" s="80" t="s">
        <v>1998</v>
      </c>
      <c r="I377" s="81" t="s">
        <v>1456</v>
      </c>
      <c r="J377" t="s">
        <v>6</v>
      </c>
    </row>
    <row r="378" spans="3:10" hidden="1">
      <c r="C378">
        <v>52016</v>
      </c>
      <c r="D378" t="s">
        <v>66</v>
      </c>
      <c r="E378" t="s">
        <v>1467</v>
      </c>
      <c r="F378" s="41"/>
      <c r="G378" s="80" t="s">
        <v>1206</v>
      </c>
      <c r="H378" s="80" t="s">
        <v>1998</v>
      </c>
      <c r="I378" s="81" t="s">
        <v>1456</v>
      </c>
      <c r="J378" t="s">
        <v>6</v>
      </c>
    </row>
    <row r="379" spans="3:10" hidden="1">
      <c r="C379">
        <v>52017</v>
      </c>
      <c r="D379" t="s">
        <v>831</v>
      </c>
      <c r="E379" t="s">
        <v>1468</v>
      </c>
      <c r="F379" s="41"/>
      <c r="G379" s="80" t="s">
        <v>1206</v>
      </c>
      <c r="H379" s="80" t="s">
        <v>1998</v>
      </c>
      <c r="I379" s="81" t="s">
        <v>1456</v>
      </c>
      <c r="J379" t="s">
        <v>6</v>
      </c>
    </row>
    <row r="380" spans="3:10" hidden="1">
      <c r="C380">
        <v>52018</v>
      </c>
      <c r="D380" t="s">
        <v>66</v>
      </c>
      <c r="E380" t="s">
        <v>1469</v>
      </c>
      <c r="F380" s="41"/>
      <c r="G380" s="80" t="s">
        <v>1206</v>
      </c>
      <c r="H380" s="80" t="s">
        <v>1998</v>
      </c>
      <c r="I380" s="81" t="s">
        <v>1456</v>
      </c>
      <c r="J380" t="s">
        <v>6</v>
      </c>
    </row>
    <row r="381" spans="3:10" hidden="1">
      <c r="C381">
        <v>52019</v>
      </c>
      <c r="D381" t="s">
        <v>66</v>
      </c>
      <c r="E381" t="s">
        <v>1470</v>
      </c>
      <c r="F381" s="41"/>
      <c r="G381" s="80" t="s">
        <v>1206</v>
      </c>
      <c r="H381" s="80" t="s">
        <v>1998</v>
      </c>
      <c r="I381" s="81" t="s">
        <v>1456</v>
      </c>
      <c r="J381" t="s">
        <v>6</v>
      </c>
    </row>
    <row r="382" spans="3:10" hidden="1">
      <c r="C382">
        <v>52020</v>
      </c>
      <c r="D382" t="s">
        <v>831</v>
      </c>
      <c r="E382" t="s">
        <v>1471</v>
      </c>
      <c r="F382" s="41"/>
      <c r="G382" s="80" t="s">
        <v>1206</v>
      </c>
      <c r="H382" s="80" t="s">
        <v>1998</v>
      </c>
      <c r="I382" s="81" t="s">
        <v>1456</v>
      </c>
      <c r="J382" t="s">
        <v>6</v>
      </c>
    </row>
    <row r="383" spans="3:10" hidden="1">
      <c r="C383">
        <v>52021</v>
      </c>
      <c r="D383" t="s">
        <v>66</v>
      </c>
      <c r="E383" t="s">
        <v>1472</v>
      </c>
      <c r="F383" s="41"/>
      <c r="G383" s="80" t="s">
        <v>1206</v>
      </c>
      <c r="H383" s="80" t="s">
        <v>1998</v>
      </c>
      <c r="I383" s="81" t="s">
        <v>1456</v>
      </c>
      <c r="J383" t="s">
        <v>6</v>
      </c>
    </row>
    <row r="384" spans="3:10" hidden="1">
      <c r="C384">
        <v>52022</v>
      </c>
      <c r="D384" t="s">
        <v>66</v>
      </c>
      <c r="E384" t="s">
        <v>1473</v>
      </c>
      <c r="F384" s="41"/>
      <c r="G384" s="80" t="s">
        <v>1206</v>
      </c>
      <c r="H384" s="80" t="s">
        <v>1998</v>
      </c>
      <c r="I384" s="81" t="s">
        <v>1456</v>
      </c>
      <c r="J384" t="s">
        <v>6</v>
      </c>
    </row>
    <row r="385" spans="3:10" hidden="1">
      <c r="C385">
        <v>52023</v>
      </c>
      <c r="D385" t="s">
        <v>66</v>
      </c>
      <c r="E385" t="s">
        <v>1474</v>
      </c>
      <c r="F385" s="41"/>
      <c r="G385" s="80" t="s">
        <v>1206</v>
      </c>
      <c r="H385" s="80" t="s">
        <v>1998</v>
      </c>
      <c r="I385" s="81" t="s">
        <v>1456</v>
      </c>
      <c r="J385" t="s">
        <v>6</v>
      </c>
    </row>
    <row r="386" spans="3:10" hidden="1">
      <c r="C386">
        <v>52024</v>
      </c>
      <c r="D386" t="s">
        <v>66</v>
      </c>
      <c r="E386" t="s">
        <v>1475</v>
      </c>
      <c r="F386" s="41"/>
      <c r="G386" s="80" t="s">
        <v>1206</v>
      </c>
      <c r="H386" s="80" t="s">
        <v>1998</v>
      </c>
      <c r="I386" s="81" t="s">
        <v>1456</v>
      </c>
      <c r="J386" t="s">
        <v>6</v>
      </c>
    </row>
    <row r="387" spans="3:10" hidden="1">
      <c r="C387">
        <v>52025</v>
      </c>
      <c r="D387" t="s">
        <v>66</v>
      </c>
      <c r="E387" t="s">
        <v>1476</v>
      </c>
      <c r="F387" s="41"/>
      <c r="G387" s="80" t="s">
        <v>1206</v>
      </c>
      <c r="H387" s="80" t="s">
        <v>1998</v>
      </c>
      <c r="I387" s="81" t="s">
        <v>1456</v>
      </c>
      <c r="J387" t="s">
        <v>6</v>
      </c>
    </row>
    <row r="388" spans="3:10" hidden="1">
      <c r="C388">
        <v>52026</v>
      </c>
      <c r="D388" t="s">
        <v>66</v>
      </c>
      <c r="E388" t="s">
        <v>1477</v>
      </c>
      <c r="F388" s="41"/>
      <c r="G388" s="80" t="s">
        <v>1206</v>
      </c>
      <c r="H388" s="80" t="s">
        <v>1998</v>
      </c>
      <c r="I388" s="81" t="s">
        <v>1456</v>
      </c>
      <c r="J388" t="s">
        <v>6</v>
      </c>
    </row>
    <row r="389" spans="3:10" hidden="1">
      <c r="C389">
        <v>52027</v>
      </c>
      <c r="D389" t="s">
        <v>66</v>
      </c>
      <c r="E389" t="s">
        <v>1478</v>
      </c>
      <c r="F389" s="41"/>
      <c r="G389" s="80" t="s">
        <v>1206</v>
      </c>
      <c r="H389" s="80" t="s">
        <v>1998</v>
      </c>
      <c r="I389" s="81" t="s">
        <v>1456</v>
      </c>
      <c r="J389" t="s">
        <v>6</v>
      </c>
    </row>
    <row r="390" spans="3:10" hidden="1">
      <c r="C390">
        <v>52028</v>
      </c>
      <c r="D390" t="s">
        <v>66</v>
      </c>
      <c r="E390" t="s">
        <v>1479</v>
      </c>
      <c r="F390" s="41"/>
      <c r="G390" s="80" t="s">
        <v>1206</v>
      </c>
      <c r="H390" s="80" t="s">
        <v>1998</v>
      </c>
      <c r="I390" s="81" t="s">
        <v>1456</v>
      </c>
      <c r="J390" t="s">
        <v>6</v>
      </c>
    </row>
    <row r="391" spans="3:10" hidden="1">
      <c r="C391">
        <v>52029</v>
      </c>
      <c r="D391" t="s">
        <v>66</v>
      </c>
      <c r="E391" t="s">
        <v>1480</v>
      </c>
      <c r="F391" s="41"/>
      <c r="G391" s="80" t="s">
        <v>1206</v>
      </c>
      <c r="H391" s="80" t="s">
        <v>1998</v>
      </c>
      <c r="I391" s="81" t="s">
        <v>1456</v>
      </c>
      <c r="J391" t="s">
        <v>6</v>
      </c>
    </row>
    <row r="392" spans="3:10" hidden="1">
      <c r="C392">
        <v>52030</v>
      </c>
      <c r="D392" t="s">
        <v>66</v>
      </c>
      <c r="E392" t="s">
        <v>1481</v>
      </c>
      <c r="F392" s="41"/>
      <c r="G392" s="80" t="s">
        <v>1206</v>
      </c>
      <c r="H392" s="80" t="s">
        <v>1998</v>
      </c>
      <c r="I392" s="81" t="s">
        <v>1456</v>
      </c>
      <c r="J392" t="s">
        <v>6</v>
      </c>
    </row>
    <row r="393" spans="3:10" hidden="1">
      <c r="C393">
        <v>52031</v>
      </c>
      <c r="D393" t="s">
        <v>66</v>
      </c>
      <c r="E393" t="s">
        <v>1482</v>
      </c>
      <c r="F393" s="41"/>
      <c r="G393" s="80" t="s">
        <v>1206</v>
      </c>
      <c r="H393" s="80" t="s">
        <v>1998</v>
      </c>
      <c r="I393" s="81" t="s">
        <v>1456</v>
      </c>
      <c r="J393" t="s">
        <v>6</v>
      </c>
    </row>
    <row r="394" spans="3:10" hidden="1">
      <c r="C394">
        <v>52032</v>
      </c>
      <c r="D394" t="s">
        <v>66</v>
      </c>
      <c r="E394" t="s">
        <v>1483</v>
      </c>
      <c r="F394" s="41"/>
      <c r="G394" s="80" t="s">
        <v>1206</v>
      </c>
      <c r="H394" s="80" t="s">
        <v>1998</v>
      </c>
      <c r="I394" s="81" t="s">
        <v>1456</v>
      </c>
      <c r="J394" t="s">
        <v>6</v>
      </c>
    </row>
    <row r="395" spans="3:10" hidden="1">
      <c r="C395">
        <v>52033</v>
      </c>
      <c r="D395" t="s">
        <v>49</v>
      </c>
      <c r="E395" t="s">
        <v>1484</v>
      </c>
      <c r="F395" s="41"/>
      <c r="G395" s="80" t="s">
        <v>1206</v>
      </c>
      <c r="H395" s="80" t="s">
        <v>1998</v>
      </c>
      <c r="I395" s="81" t="s">
        <v>1456</v>
      </c>
      <c r="J395" t="s">
        <v>6</v>
      </c>
    </row>
    <row r="396" spans="3:10" hidden="1">
      <c r="C396">
        <v>53000</v>
      </c>
      <c r="D396" t="s">
        <v>48</v>
      </c>
      <c r="E396" t="s">
        <v>1485</v>
      </c>
      <c r="F396" s="41"/>
      <c r="G396" s="80" t="s">
        <v>1206</v>
      </c>
      <c r="H396" s="80" t="s">
        <v>1998</v>
      </c>
      <c r="I396" s="81" t="s">
        <v>1485</v>
      </c>
      <c r="J396" t="s">
        <v>6</v>
      </c>
    </row>
    <row r="397" spans="3:10" hidden="1">
      <c r="C397">
        <v>53001</v>
      </c>
      <c r="D397" t="s">
        <v>49</v>
      </c>
      <c r="E397" t="s">
        <v>1391</v>
      </c>
      <c r="F397" s="41"/>
      <c r="G397" s="80" t="s">
        <v>1206</v>
      </c>
      <c r="H397" s="80" t="s">
        <v>1998</v>
      </c>
      <c r="I397" s="81" t="s">
        <v>1485</v>
      </c>
      <c r="J397" t="s">
        <v>6</v>
      </c>
    </row>
    <row r="398" spans="3:10" hidden="1">
      <c r="C398">
        <v>53002</v>
      </c>
      <c r="D398" t="s">
        <v>49</v>
      </c>
      <c r="E398" t="s">
        <v>1392</v>
      </c>
      <c r="F398" s="41"/>
      <c r="G398" s="80" t="s">
        <v>1206</v>
      </c>
      <c r="H398" s="80" t="s">
        <v>1998</v>
      </c>
      <c r="I398" s="81" t="s">
        <v>1485</v>
      </c>
      <c r="J398" t="s">
        <v>6</v>
      </c>
    </row>
    <row r="399" spans="3:10" hidden="1">
      <c r="C399">
        <v>53003</v>
      </c>
      <c r="D399" t="s">
        <v>49</v>
      </c>
      <c r="E399" t="s">
        <v>1393</v>
      </c>
      <c r="F399" s="41"/>
      <c r="G399" s="80" t="s">
        <v>1206</v>
      </c>
      <c r="H399" s="80" t="s">
        <v>1998</v>
      </c>
      <c r="I399" s="81" t="s">
        <v>1485</v>
      </c>
      <c r="J399" t="s">
        <v>6</v>
      </c>
    </row>
    <row r="400" spans="3:10" hidden="1">
      <c r="C400">
        <v>53004</v>
      </c>
      <c r="D400" t="s">
        <v>49</v>
      </c>
      <c r="E400" t="s">
        <v>1394</v>
      </c>
      <c r="F400" s="41"/>
      <c r="G400" s="80" t="s">
        <v>1206</v>
      </c>
      <c r="H400" s="80" t="s">
        <v>1998</v>
      </c>
      <c r="I400" s="81" t="s">
        <v>1485</v>
      </c>
      <c r="J400" t="s">
        <v>6</v>
      </c>
    </row>
    <row r="401" spans="3:10" hidden="1">
      <c r="C401">
        <v>53005</v>
      </c>
      <c r="D401" t="s">
        <v>49</v>
      </c>
      <c r="E401" t="s">
        <v>1486</v>
      </c>
      <c r="F401" s="41"/>
      <c r="G401" s="80" t="s">
        <v>1206</v>
      </c>
      <c r="H401" s="80" t="s">
        <v>1998</v>
      </c>
      <c r="I401" s="81" t="s">
        <v>1485</v>
      </c>
      <c r="J401" t="s">
        <v>6</v>
      </c>
    </row>
    <row r="402" spans="3:10" hidden="1">
      <c r="C402">
        <v>53006</v>
      </c>
      <c r="D402" t="s">
        <v>66</v>
      </c>
      <c r="E402" t="s">
        <v>1487</v>
      </c>
      <c r="F402" s="41"/>
      <c r="G402" s="80" t="s">
        <v>1206</v>
      </c>
      <c r="H402" s="80" t="s">
        <v>1998</v>
      </c>
      <c r="I402" s="81" t="s">
        <v>1485</v>
      </c>
      <c r="J402" t="s">
        <v>6</v>
      </c>
    </row>
    <row r="403" spans="3:10" hidden="1">
      <c r="C403">
        <v>53007</v>
      </c>
      <c r="D403" t="s">
        <v>66</v>
      </c>
      <c r="E403" t="s">
        <v>1488</v>
      </c>
      <c r="F403" s="41"/>
      <c r="G403" s="80" t="s">
        <v>1206</v>
      </c>
      <c r="H403" s="80" t="s">
        <v>1998</v>
      </c>
      <c r="I403" s="81" t="s">
        <v>1485</v>
      </c>
      <c r="J403" t="s">
        <v>6</v>
      </c>
    </row>
    <row r="404" spans="3:10" hidden="1">
      <c r="C404">
        <v>53008</v>
      </c>
      <c r="D404" t="s">
        <v>49</v>
      </c>
      <c r="E404" t="s">
        <v>1489</v>
      </c>
      <c r="F404" s="41"/>
      <c r="G404" s="80" t="s">
        <v>1206</v>
      </c>
      <c r="H404" s="80" t="s">
        <v>1998</v>
      </c>
      <c r="I404" s="81" t="s">
        <v>1485</v>
      </c>
      <c r="J404" t="s">
        <v>6</v>
      </c>
    </row>
    <row r="405" spans="3:10" hidden="1">
      <c r="C405">
        <v>53009</v>
      </c>
      <c r="D405" t="s">
        <v>66</v>
      </c>
      <c r="E405" t="s">
        <v>1490</v>
      </c>
      <c r="F405" s="41"/>
      <c r="G405" s="80" t="s">
        <v>1206</v>
      </c>
      <c r="H405" s="80" t="s">
        <v>1998</v>
      </c>
      <c r="I405" s="81" t="s">
        <v>1485</v>
      </c>
      <c r="J405" t="s">
        <v>6</v>
      </c>
    </row>
    <row r="406" spans="3:10" hidden="1">
      <c r="C406">
        <v>53010</v>
      </c>
      <c r="D406" t="s">
        <v>66</v>
      </c>
      <c r="E406" t="s">
        <v>1491</v>
      </c>
      <c r="F406" s="41"/>
      <c r="G406" s="80" t="s">
        <v>1206</v>
      </c>
      <c r="H406" s="80" t="s">
        <v>1998</v>
      </c>
      <c r="I406" s="81" t="s">
        <v>1485</v>
      </c>
      <c r="J406" t="s">
        <v>6</v>
      </c>
    </row>
    <row r="407" spans="3:10" hidden="1">
      <c r="C407">
        <v>53011</v>
      </c>
      <c r="D407" t="s">
        <v>49</v>
      </c>
      <c r="E407" t="s">
        <v>1492</v>
      </c>
      <c r="F407" s="41"/>
      <c r="G407" s="80" t="s">
        <v>1206</v>
      </c>
      <c r="H407" s="80" t="s">
        <v>1998</v>
      </c>
      <c r="I407" s="81" t="s">
        <v>1485</v>
      </c>
      <c r="J407" t="s">
        <v>6</v>
      </c>
    </row>
    <row r="408" spans="3:10" hidden="1">
      <c r="C408">
        <v>53012</v>
      </c>
      <c r="D408" t="s">
        <v>66</v>
      </c>
      <c r="E408" t="s">
        <v>1493</v>
      </c>
      <c r="F408" s="41"/>
      <c r="G408" s="80" t="s">
        <v>1206</v>
      </c>
      <c r="H408" s="80" t="s">
        <v>1998</v>
      </c>
      <c r="I408" s="81" t="s">
        <v>1485</v>
      </c>
      <c r="J408" t="s">
        <v>6</v>
      </c>
    </row>
    <row r="409" spans="3:10" hidden="1">
      <c r="C409">
        <v>53013</v>
      </c>
      <c r="D409" t="s">
        <v>66</v>
      </c>
      <c r="E409" t="s">
        <v>1494</v>
      </c>
      <c r="F409" s="41"/>
      <c r="G409" s="80" t="s">
        <v>1206</v>
      </c>
      <c r="H409" s="80" t="s">
        <v>1998</v>
      </c>
      <c r="I409" s="81" t="s">
        <v>1485</v>
      </c>
      <c r="J409" t="s">
        <v>6</v>
      </c>
    </row>
    <row r="410" spans="3:10" hidden="1">
      <c r="C410">
        <v>53014</v>
      </c>
      <c r="D410" t="s">
        <v>49</v>
      </c>
      <c r="E410" t="s">
        <v>1495</v>
      </c>
      <c r="F410" s="41"/>
      <c r="G410" s="80" t="s">
        <v>1206</v>
      </c>
      <c r="H410" s="80" t="s">
        <v>1998</v>
      </c>
      <c r="I410" s="81" t="s">
        <v>1485</v>
      </c>
      <c r="J410" t="s">
        <v>6</v>
      </c>
    </row>
    <row r="411" spans="3:10" hidden="1">
      <c r="C411">
        <v>53015</v>
      </c>
      <c r="D411" t="s">
        <v>66</v>
      </c>
      <c r="E411" t="s">
        <v>1496</v>
      </c>
      <c r="F411" s="41"/>
      <c r="G411" s="80" t="s">
        <v>1206</v>
      </c>
      <c r="H411" s="80" t="s">
        <v>1998</v>
      </c>
      <c r="I411" s="81" t="s">
        <v>1485</v>
      </c>
      <c r="J411" t="s">
        <v>6</v>
      </c>
    </row>
    <row r="412" spans="3:10" hidden="1">
      <c r="C412">
        <v>53016</v>
      </c>
      <c r="D412" t="s">
        <v>66</v>
      </c>
      <c r="E412" t="s">
        <v>1497</v>
      </c>
      <c r="F412" s="41"/>
      <c r="G412" s="80" t="s">
        <v>1206</v>
      </c>
      <c r="H412" s="80" t="s">
        <v>1998</v>
      </c>
      <c r="I412" s="81" t="s">
        <v>1485</v>
      </c>
      <c r="J412" t="s">
        <v>6</v>
      </c>
    </row>
    <row r="413" spans="3:10" hidden="1">
      <c r="C413">
        <v>53017</v>
      </c>
      <c r="D413" t="s">
        <v>66</v>
      </c>
      <c r="E413" t="s">
        <v>1498</v>
      </c>
      <c r="F413" s="41"/>
      <c r="G413" s="80" t="s">
        <v>1206</v>
      </c>
      <c r="H413" s="80" t="s">
        <v>1998</v>
      </c>
      <c r="I413" s="81" t="s">
        <v>1485</v>
      </c>
      <c r="J413" t="s">
        <v>6</v>
      </c>
    </row>
    <row r="414" spans="3:10" hidden="1">
      <c r="C414">
        <v>53018</v>
      </c>
      <c r="D414" t="s">
        <v>66</v>
      </c>
      <c r="E414" t="s">
        <v>1499</v>
      </c>
      <c r="F414" s="41"/>
      <c r="G414" s="80" t="s">
        <v>1206</v>
      </c>
      <c r="H414" s="80" t="s">
        <v>1998</v>
      </c>
      <c r="I414" s="81" t="s">
        <v>1485</v>
      </c>
      <c r="J414" t="s">
        <v>6</v>
      </c>
    </row>
    <row r="415" spans="3:10" hidden="1">
      <c r="C415">
        <v>53019</v>
      </c>
      <c r="D415" t="s">
        <v>66</v>
      </c>
      <c r="E415" t="s">
        <v>1500</v>
      </c>
      <c r="F415" s="41"/>
      <c r="G415" s="80" t="s">
        <v>1206</v>
      </c>
      <c r="H415" s="80" t="s">
        <v>1998</v>
      </c>
      <c r="I415" s="81" t="s">
        <v>1485</v>
      </c>
      <c r="J415" t="s">
        <v>6</v>
      </c>
    </row>
    <row r="416" spans="3:10" hidden="1">
      <c r="C416">
        <v>53020</v>
      </c>
      <c r="D416" t="s">
        <v>49</v>
      </c>
      <c r="E416" t="s">
        <v>1501</v>
      </c>
      <c r="F416" s="41"/>
      <c r="G416" s="80" t="s">
        <v>1206</v>
      </c>
      <c r="H416" s="80" t="s">
        <v>1998</v>
      </c>
      <c r="I416" s="81" t="s">
        <v>1485</v>
      </c>
      <c r="J416" t="s">
        <v>6</v>
      </c>
    </row>
    <row r="417" spans="3:10" hidden="1">
      <c r="C417">
        <v>53021</v>
      </c>
      <c r="D417" t="s">
        <v>66</v>
      </c>
      <c r="E417" t="s">
        <v>1502</v>
      </c>
      <c r="F417" s="41"/>
      <c r="G417" s="80" t="s">
        <v>1206</v>
      </c>
      <c r="H417" s="80" t="s">
        <v>1998</v>
      </c>
      <c r="I417" s="81" t="s">
        <v>1485</v>
      </c>
      <c r="J417" t="s">
        <v>6</v>
      </c>
    </row>
    <row r="418" spans="3:10" hidden="1">
      <c r="C418">
        <v>53022</v>
      </c>
      <c r="D418" t="s">
        <v>49</v>
      </c>
      <c r="E418" t="s">
        <v>1503</v>
      </c>
      <c r="F418" s="41"/>
      <c r="G418" s="80" t="s">
        <v>1206</v>
      </c>
      <c r="H418" s="80" t="s">
        <v>1998</v>
      </c>
      <c r="I418" s="81" t="s">
        <v>1485</v>
      </c>
      <c r="J418" t="s">
        <v>6</v>
      </c>
    </row>
    <row r="419" spans="3:10" hidden="1">
      <c r="C419">
        <v>53023</v>
      </c>
      <c r="D419" t="s">
        <v>66</v>
      </c>
      <c r="E419" t="s">
        <v>1504</v>
      </c>
      <c r="F419" s="41"/>
      <c r="G419" s="80" t="s">
        <v>1206</v>
      </c>
      <c r="H419" s="80" t="s">
        <v>1998</v>
      </c>
      <c r="I419" s="81" t="s">
        <v>1485</v>
      </c>
      <c r="J419" t="s">
        <v>6</v>
      </c>
    </row>
    <row r="420" spans="3:10" hidden="1">
      <c r="C420">
        <v>53024</v>
      </c>
      <c r="D420" t="s">
        <v>66</v>
      </c>
      <c r="E420" t="s">
        <v>1505</v>
      </c>
      <c r="F420" s="41"/>
      <c r="G420" s="80" t="s">
        <v>1206</v>
      </c>
      <c r="H420" s="80" t="s">
        <v>1998</v>
      </c>
      <c r="I420" s="81" t="s">
        <v>1485</v>
      </c>
      <c r="J420" t="s">
        <v>6</v>
      </c>
    </row>
    <row r="421" spans="3:10" hidden="1">
      <c r="C421">
        <v>53025</v>
      </c>
      <c r="D421" t="s">
        <v>66</v>
      </c>
      <c r="E421" t="s">
        <v>1506</v>
      </c>
      <c r="F421" s="41"/>
      <c r="G421" s="80" t="s">
        <v>1206</v>
      </c>
      <c r="H421" s="80" t="s">
        <v>1998</v>
      </c>
      <c r="I421" s="81" t="s">
        <v>1485</v>
      </c>
      <c r="J421" t="s">
        <v>6</v>
      </c>
    </row>
    <row r="422" spans="3:10" hidden="1">
      <c r="C422">
        <v>53026</v>
      </c>
      <c r="D422" t="s">
        <v>66</v>
      </c>
      <c r="E422" t="s">
        <v>1507</v>
      </c>
      <c r="F422" s="41"/>
      <c r="G422" s="80" t="s">
        <v>1206</v>
      </c>
      <c r="H422" s="80" t="s">
        <v>1998</v>
      </c>
      <c r="I422" s="81" t="s">
        <v>1485</v>
      </c>
      <c r="J422" t="s">
        <v>6</v>
      </c>
    </row>
    <row r="423" spans="3:10" hidden="1">
      <c r="C423">
        <v>53027</v>
      </c>
      <c r="D423" t="s">
        <v>66</v>
      </c>
      <c r="E423" t="s">
        <v>1498</v>
      </c>
      <c r="F423" s="41"/>
      <c r="G423" s="80" t="s">
        <v>1206</v>
      </c>
      <c r="H423" s="80" t="s">
        <v>1998</v>
      </c>
      <c r="I423" s="81" t="s">
        <v>1485</v>
      </c>
      <c r="J423" t="s">
        <v>6</v>
      </c>
    </row>
    <row r="424" spans="3:10" hidden="1">
      <c r="C424">
        <v>53028</v>
      </c>
      <c r="D424" t="s">
        <v>66</v>
      </c>
      <c r="E424" t="s">
        <v>1499</v>
      </c>
      <c r="F424" s="41"/>
      <c r="G424" s="80" t="s">
        <v>1206</v>
      </c>
      <c r="H424" s="80" t="s">
        <v>1998</v>
      </c>
      <c r="I424" s="81" t="s">
        <v>1485</v>
      </c>
      <c r="J424" t="s">
        <v>6</v>
      </c>
    </row>
    <row r="425" spans="3:10" hidden="1">
      <c r="C425">
        <v>53029</v>
      </c>
      <c r="D425" t="s">
        <v>49</v>
      </c>
      <c r="E425" t="s">
        <v>1508</v>
      </c>
      <c r="F425" s="41"/>
      <c r="G425" s="80" t="s">
        <v>1206</v>
      </c>
      <c r="H425" s="80" t="s">
        <v>1998</v>
      </c>
      <c r="I425" s="81" t="s">
        <v>1485</v>
      </c>
      <c r="J425" t="s">
        <v>6</v>
      </c>
    </row>
    <row r="426" spans="3:10" hidden="1">
      <c r="C426">
        <v>53030</v>
      </c>
      <c r="D426" t="s">
        <v>49</v>
      </c>
      <c r="E426" t="s">
        <v>1509</v>
      </c>
      <c r="F426" s="41"/>
      <c r="G426" s="80" t="s">
        <v>1206</v>
      </c>
      <c r="H426" s="80" t="s">
        <v>1998</v>
      </c>
      <c r="I426" s="81" t="s">
        <v>1485</v>
      </c>
      <c r="J426" t="s">
        <v>6</v>
      </c>
    </row>
    <row r="427" spans="3:10" hidden="1">
      <c r="C427">
        <v>54000</v>
      </c>
      <c r="D427" t="s">
        <v>48</v>
      </c>
      <c r="E427" t="s">
        <v>1510</v>
      </c>
      <c r="F427" s="41"/>
      <c r="G427" s="80" t="s">
        <v>1206</v>
      </c>
      <c r="H427" s="80" t="s">
        <v>1998</v>
      </c>
      <c r="I427" s="81" t="s">
        <v>1510</v>
      </c>
      <c r="J427" t="s">
        <v>6</v>
      </c>
    </row>
    <row r="428" spans="3:10" hidden="1">
      <c r="C428">
        <v>54001</v>
      </c>
      <c r="D428" t="s">
        <v>49</v>
      </c>
      <c r="E428" t="s">
        <v>1391</v>
      </c>
      <c r="F428" s="41"/>
      <c r="G428" s="80" t="s">
        <v>1206</v>
      </c>
      <c r="H428" s="80" t="s">
        <v>1998</v>
      </c>
      <c r="I428" s="81" t="s">
        <v>1510</v>
      </c>
      <c r="J428" t="s">
        <v>6</v>
      </c>
    </row>
    <row r="429" spans="3:10" hidden="1">
      <c r="C429">
        <v>54002</v>
      </c>
      <c r="D429" t="s">
        <v>49</v>
      </c>
      <c r="E429" t="s">
        <v>1392</v>
      </c>
      <c r="F429" s="41"/>
      <c r="G429" s="80" t="s">
        <v>1206</v>
      </c>
      <c r="H429" s="80" t="s">
        <v>1998</v>
      </c>
      <c r="I429" s="81" t="s">
        <v>1510</v>
      </c>
      <c r="J429" t="s">
        <v>6</v>
      </c>
    </row>
    <row r="430" spans="3:10" hidden="1">
      <c r="C430">
        <v>54003</v>
      </c>
      <c r="D430" t="s">
        <v>49</v>
      </c>
      <c r="E430" t="s">
        <v>1393</v>
      </c>
      <c r="F430" s="41"/>
      <c r="G430" s="80" t="s">
        <v>1206</v>
      </c>
      <c r="H430" s="80" t="s">
        <v>1998</v>
      </c>
      <c r="I430" s="81" t="s">
        <v>1510</v>
      </c>
      <c r="J430" t="s">
        <v>6</v>
      </c>
    </row>
    <row r="431" spans="3:10" hidden="1">
      <c r="C431">
        <v>54004</v>
      </c>
      <c r="D431" t="s">
        <v>49</v>
      </c>
      <c r="E431" t="s">
        <v>1394</v>
      </c>
      <c r="F431" s="41"/>
      <c r="G431" s="80" t="s">
        <v>1206</v>
      </c>
      <c r="H431" s="80" t="s">
        <v>1998</v>
      </c>
      <c r="I431" s="81" t="s">
        <v>1510</v>
      </c>
      <c r="J431" t="s">
        <v>6</v>
      </c>
    </row>
    <row r="432" spans="3:10" hidden="1">
      <c r="C432">
        <v>54005</v>
      </c>
      <c r="D432" t="s">
        <v>49</v>
      </c>
      <c r="E432" t="s">
        <v>1511</v>
      </c>
      <c r="F432" s="41"/>
      <c r="G432" s="80" t="s">
        <v>1206</v>
      </c>
      <c r="H432" s="80" t="s">
        <v>1998</v>
      </c>
      <c r="I432" s="81" t="s">
        <v>1510</v>
      </c>
      <c r="J432" t="s">
        <v>6</v>
      </c>
    </row>
    <row r="433" spans="3:10" hidden="1">
      <c r="C433">
        <v>54006</v>
      </c>
      <c r="D433" t="s">
        <v>66</v>
      </c>
      <c r="E433" t="s">
        <v>1512</v>
      </c>
      <c r="F433" s="41"/>
      <c r="G433" s="80" t="s">
        <v>1206</v>
      </c>
      <c r="H433" s="80" t="s">
        <v>1998</v>
      </c>
      <c r="I433" s="81" t="s">
        <v>1510</v>
      </c>
      <c r="J433" t="s">
        <v>6</v>
      </c>
    </row>
    <row r="434" spans="3:10" hidden="1">
      <c r="C434">
        <v>54007</v>
      </c>
      <c r="D434" t="s">
        <v>66</v>
      </c>
      <c r="E434" t="s">
        <v>1513</v>
      </c>
      <c r="F434" s="41"/>
      <c r="G434" s="80" t="s">
        <v>1206</v>
      </c>
      <c r="H434" s="80" t="s">
        <v>1998</v>
      </c>
      <c r="I434" s="81" t="s">
        <v>1510</v>
      </c>
      <c r="J434" t="s">
        <v>6</v>
      </c>
    </row>
    <row r="435" spans="3:10" hidden="1">
      <c r="C435">
        <v>54008</v>
      </c>
      <c r="D435" t="s">
        <v>66</v>
      </c>
      <c r="E435" t="s">
        <v>1514</v>
      </c>
      <c r="F435" s="41"/>
      <c r="G435" s="80" t="s">
        <v>1206</v>
      </c>
      <c r="H435" s="80" t="s">
        <v>1998</v>
      </c>
      <c r="I435" s="81" t="s">
        <v>1510</v>
      </c>
      <c r="J435" t="s">
        <v>6</v>
      </c>
    </row>
    <row r="436" spans="3:10" hidden="1">
      <c r="C436">
        <v>54009</v>
      </c>
      <c r="D436" t="s">
        <v>66</v>
      </c>
      <c r="E436" t="s">
        <v>1515</v>
      </c>
      <c r="F436" s="41"/>
      <c r="G436" s="80" t="s">
        <v>1206</v>
      </c>
      <c r="H436" s="80" t="s">
        <v>1998</v>
      </c>
      <c r="I436" s="81" t="s">
        <v>1510</v>
      </c>
      <c r="J436" t="s">
        <v>6</v>
      </c>
    </row>
    <row r="437" spans="3:10" hidden="1">
      <c r="C437">
        <v>54010</v>
      </c>
      <c r="D437" t="s">
        <v>49</v>
      </c>
      <c r="E437" t="s">
        <v>1516</v>
      </c>
      <c r="F437" s="41"/>
      <c r="G437" s="80" t="s">
        <v>1206</v>
      </c>
      <c r="H437" s="80" t="s">
        <v>1998</v>
      </c>
      <c r="I437" s="81" t="s">
        <v>1510</v>
      </c>
      <c r="J437" t="s">
        <v>6</v>
      </c>
    </row>
    <row r="438" spans="3:10" hidden="1">
      <c r="C438">
        <v>54011</v>
      </c>
      <c r="D438" t="s">
        <v>49</v>
      </c>
      <c r="E438" t="s">
        <v>1517</v>
      </c>
      <c r="F438" s="41"/>
      <c r="G438" s="80" t="s">
        <v>1206</v>
      </c>
      <c r="H438" s="80" t="s">
        <v>1998</v>
      </c>
      <c r="I438" s="81" t="s">
        <v>1510</v>
      </c>
      <c r="J438" t="s">
        <v>6</v>
      </c>
    </row>
    <row r="439" spans="3:10" hidden="1">
      <c r="C439">
        <v>54012</v>
      </c>
      <c r="D439" t="s">
        <v>66</v>
      </c>
      <c r="E439" t="s">
        <v>1518</v>
      </c>
      <c r="F439" s="41"/>
      <c r="G439" s="80" t="s">
        <v>1206</v>
      </c>
      <c r="H439" s="80" t="s">
        <v>1998</v>
      </c>
      <c r="I439" s="81" t="s">
        <v>1510</v>
      </c>
      <c r="J439" t="s">
        <v>6</v>
      </c>
    </row>
    <row r="440" spans="3:10" hidden="1">
      <c r="C440">
        <v>54013</v>
      </c>
      <c r="D440" t="s">
        <v>49</v>
      </c>
      <c r="E440" t="s">
        <v>1508</v>
      </c>
      <c r="F440" s="41"/>
      <c r="G440" s="80" t="s">
        <v>1206</v>
      </c>
      <c r="H440" s="80" t="s">
        <v>1998</v>
      </c>
      <c r="I440" s="81" t="s">
        <v>1510</v>
      </c>
      <c r="J440" t="s">
        <v>6</v>
      </c>
    </row>
    <row r="441" spans="3:10" hidden="1">
      <c r="C441">
        <v>54014</v>
      </c>
      <c r="D441" t="s">
        <v>49</v>
      </c>
      <c r="E441" t="s">
        <v>1509</v>
      </c>
      <c r="F441" s="41"/>
      <c r="G441" s="80" t="s">
        <v>1206</v>
      </c>
      <c r="H441" s="80" t="s">
        <v>1998</v>
      </c>
      <c r="I441" s="81" t="s">
        <v>1510</v>
      </c>
      <c r="J441" t="s">
        <v>6</v>
      </c>
    </row>
    <row r="442" spans="3:10" hidden="1">
      <c r="C442">
        <v>55000</v>
      </c>
      <c r="D442" t="s">
        <v>48</v>
      </c>
      <c r="E442" t="s">
        <v>1519</v>
      </c>
      <c r="F442" s="41"/>
      <c r="G442" s="80" t="s">
        <v>1206</v>
      </c>
      <c r="H442" s="80" t="s">
        <v>1998</v>
      </c>
      <c r="I442" s="81" t="s">
        <v>1519</v>
      </c>
      <c r="J442" t="s">
        <v>6</v>
      </c>
    </row>
    <row r="443" spans="3:10" hidden="1">
      <c r="C443">
        <v>55001</v>
      </c>
      <c r="D443" t="s">
        <v>49</v>
      </c>
      <c r="E443" t="s">
        <v>1391</v>
      </c>
      <c r="F443" s="41"/>
      <c r="G443" s="80" t="s">
        <v>1206</v>
      </c>
      <c r="H443" s="80" t="s">
        <v>1998</v>
      </c>
      <c r="I443" s="81" t="s">
        <v>1519</v>
      </c>
      <c r="J443" t="s">
        <v>6</v>
      </c>
    </row>
    <row r="444" spans="3:10" hidden="1">
      <c r="C444">
        <v>55002</v>
      </c>
      <c r="D444" t="s">
        <v>49</v>
      </c>
      <c r="E444" t="s">
        <v>1392</v>
      </c>
      <c r="F444" s="41"/>
      <c r="G444" s="80" t="s">
        <v>1206</v>
      </c>
      <c r="H444" s="80" t="s">
        <v>1998</v>
      </c>
      <c r="I444" s="81" t="s">
        <v>1519</v>
      </c>
      <c r="J444" t="s">
        <v>6</v>
      </c>
    </row>
    <row r="445" spans="3:10" hidden="1">
      <c r="C445">
        <v>55003</v>
      </c>
      <c r="D445" t="s">
        <v>49</v>
      </c>
      <c r="E445" t="s">
        <v>1393</v>
      </c>
      <c r="F445" s="41"/>
      <c r="G445" s="80" t="s">
        <v>1206</v>
      </c>
      <c r="H445" s="80" t="s">
        <v>1998</v>
      </c>
      <c r="I445" s="81" t="s">
        <v>1519</v>
      </c>
      <c r="J445" t="s">
        <v>6</v>
      </c>
    </row>
    <row r="446" spans="3:10" hidden="1">
      <c r="C446">
        <v>55004</v>
      </c>
      <c r="D446" t="s">
        <v>49</v>
      </c>
      <c r="E446" t="s">
        <v>1394</v>
      </c>
      <c r="F446" s="41"/>
      <c r="G446" s="80" t="s">
        <v>1206</v>
      </c>
      <c r="H446" s="80" t="s">
        <v>1998</v>
      </c>
      <c r="I446" s="81" t="s">
        <v>1519</v>
      </c>
      <c r="J446" t="s">
        <v>6</v>
      </c>
    </row>
    <row r="447" spans="3:10" hidden="1">
      <c r="C447">
        <v>55005</v>
      </c>
      <c r="D447" t="s">
        <v>49</v>
      </c>
      <c r="E447" t="s">
        <v>1486</v>
      </c>
      <c r="F447" s="41"/>
      <c r="G447" s="80" t="s">
        <v>1206</v>
      </c>
      <c r="H447" s="80" t="s">
        <v>1998</v>
      </c>
      <c r="I447" s="81" t="s">
        <v>1519</v>
      </c>
      <c r="J447" t="s">
        <v>6</v>
      </c>
    </row>
    <row r="448" spans="3:10" hidden="1">
      <c r="C448">
        <v>55006</v>
      </c>
      <c r="D448" t="s">
        <v>66</v>
      </c>
      <c r="E448" t="s">
        <v>1487</v>
      </c>
      <c r="F448" s="41"/>
      <c r="G448" s="80" t="s">
        <v>1206</v>
      </c>
      <c r="H448" s="80" t="s">
        <v>1998</v>
      </c>
      <c r="I448" s="81" t="s">
        <v>1519</v>
      </c>
      <c r="J448" t="s">
        <v>6</v>
      </c>
    </row>
    <row r="449" spans="3:10" hidden="1">
      <c r="C449">
        <v>55007</v>
      </c>
      <c r="D449" t="s">
        <v>66</v>
      </c>
      <c r="E449" t="s">
        <v>1488</v>
      </c>
      <c r="F449" s="41"/>
      <c r="G449" s="80" t="s">
        <v>1206</v>
      </c>
      <c r="H449" s="80" t="s">
        <v>1998</v>
      </c>
      <c r="I449" s="81" t="s">
        <v>1519</v>
      </c>
      <c r="J449" t="s">
        <v>6</v>
      </c>
    </row>
    <row r="450" spans="3:10" hidden="1">
      <c r="C450">
        <v>55008</v>
      </c>
      <c r="D450" t="s">
        <v>49</v>
      </c>
      <c r="E450" t="s">
        <v>1464</v>
      </c>
      <c r="F450" s="41"/>
      <c r="G450" s="80" t="s">
        <v>1206</v>
      </c>
      <c r="H450" s="80" t="s">
        <v>1998</v>
      </c>
      <c r="I450" s="81" t="s">
        <v>1519</v>
      </c>
      <c r="J450" t="s">
        <v>6</v>
      </c>
    </row>
    <row r="451" spans="3:10" hidden="1">
      <c r="C451">
        <v>55009</v>
      </c>
      <c r="D451" t="s">
        <v>66</v>
      </c>
      <c r="E451" t="s">
        <v>1465</v>
      </c>
      <c r="F451" s="41"/>
      <c r="G451" s="80" t="s">
        <v>1206</v>
      </c>
      <c r="H451" s="80" t="s">
        <v>1998</v>
      </c>
      <c r="I451" s="81" t="s">
        <v>1519</v>
      </c>
      <c r="J451" t="s">
        <v>6</v>
      </c>
    </row>
    <row r="452" spans="3:10" hidden="1">
      <c r="C452">
        <v>55010</v>
      </c>
      <c r="D452" t="s">
        <v>66</v>
      </c>
      <c r="E452" t="s">
        <v>1466</v>
      </c>
      <c r="F452" s="41"/>
      <c r="G452" s="80" t="s">
        <v>1206</v>
      </c>
      <c r="H452" s="80" t="s">
        <v>1998</v>
      </c>
      <c r="I452" s="81" t="s">
        <v>1519</v>
      </c>
      <c r="J452" t="s">
        <v>6</v>
      </c>
    </row>
    <row r="453" spans="3:10" hidden="1">
      <c r="C453">
        <v>55011</v>
      </c>
      <c r="D453" t="s">
        <v>66</v>
      </c>
      <c r="E453" t="s">
        <v>1467</v>
      </c>
      <c r="F453" s="41"/>
      <c r="G453" s="80" t="s">
        <v>1206</v>
      </c>
      <c r="H453" s="80" t="s">
        <v>1998</v>
      </c>
      <c r="I453" s="81" t="s">
        <v>1519</v>
      </c>
      <c r="J453" t="s">
        <v>6</v>
      </c>
    </row>
    <row r="454" spans="3:10" hidden="1">
      <c r="C454">
        <v>55012</v>
      </c>
      <c r="D454" t="s">
        <v>49</v>
      </c>
      <c r="E454" t="s">
        <v>1520</v>
      </c>
      <c r="F454" s="41"/>
      <c r="G454" s="80" t="s">
        <v>1206</v>
      </c>
      <c r="H454" s="80" t="s">
        <v>1998</v>
      </c>
      <c r="I454" s="81" t="s">
        <v>1519</v>
      </c>
      <c r="J454" t="s">
        <v>6</v>
      </c>
    </row>
    <row r="455" spans="3:10" hidden="1">
      <c r="C455">
        <v>55013</v>
      </c>
      <c r="D455" t="s">
        <v>66</v>
      </c>
      <c r="E455" t="s">
        <v>1521</v>
      </c>
      <c r="F455" s="41"/>
      <c r="G455" s="80" t="s">
        <v>1206</v>
      </c>
      <c r="H455" s="80" t="s">
        <v>1998</v>
      </c>
      <c r="I455" s="81" t="s">
        <v>1519</v>
      </c>
      <c r="J455" t="s">
        <v>6</v>
      </c>
    </row>
    <row r="456" spans="3:10" hidden="1">
      <c r="C456">
        <v>55014</v>
      </c>
      <c r="D456" t="s">
        <v>66</v>
      </c>
      <c r="E456" t="s">
        <v>1522</v>
      </c>
      <c r="F456" s="41"/>
      <c r="G456" s="80" t="s">
        <v>1206</v>
      </c>
      <c r="H456" s="80" t="s">
        <v>1998</v>
      </c>
      <c r="I456" s="81" t="s">
        <v>1519</v>
      </c>
      <c r="J456" t="s">
        <v>6</v>
      </c>
    </row>
    <row r="457" spans="3:10" hidden="1">
      <c r="C457">
        <v>55015</v>
      </c>
      <c r="D457" t="s">
        <v>66</v>
      </c>
      <c r="E457" t="s">
        <v>1523</v>
      </c>
      <c r="F457" s="41"/>
      <c r="G457" s="80" t="s">
        <v>1206</v>
      </c>
      <c r="H457" s="80" t="s">
        <v>1998</v>
      </c>
      <c r="I457" s="81" t="s">
        <v>1519</v>
      </c>
      <c r="J457" t="s">
        <v>6</v>
      </c>
    </row>
    <row r="458" spans="3:10" hidden="1">
      <c r="C458">
        <v>55016</v>
      </c>
      <c r="D458" t="s">
        <v>66</v>
      </c>
      <c r="E458" t="s">
        <v>1524</v>
      </c>
      <c r="F458" s="41"/>
      <c r="G458" s="80" t="s">
        <v>1206</v>
      </c>
      <c r="H458" s="80" t="s">
        <v>1998</v>
      </c>
      <c r="I458" s="81" t="s">
        <v>1519</v>
      </c>
      <c r="J458" t="s">
        <v>6</v>
      </c>
    </row>
    <row r="459" spans="3:10" hidden="1">
      <c r="C459">
        <v>55017</v>
      </c>
      <c r="D459" t="s">
        <v>66</v>
      </c>
      <c r="E459" t="s">
        <v>1525</v>
      </c>
      <c r="F459" s="41"/>
      <c r="G459" s="80" t="s">
        <v>1206</v>
      </c>
      <c r="H459" s="80" t="s">
        <v>1998</v>
      </c>
      <c r="I459" s="81" t="s">
        <v>1519</v>
      </c>
      <c r="J459" t="s">
        <v>6</v>
      </c>
    </row>
    <row r="460" spans="3:10" hidden="1">
      <c r="C460">
        <v>55018</v>
      </c>
      <c r="D460" t="s">
        <v>831</v>
      </c>
      <c r="E460" t="s">
        <v>1526</v>
      </c>
      <c r="F460" s="41"/>
      <c r="G460" s="80" t="s">
        <v>1206</v>
      </c>
      <c r="H460" s="80" t="s">
        <v>1998</v>
      </c>
      <c r="I460" s="81" t="s">
        <v>1519</v>
      </c>
      <c r="J460" t="s">
        <v>6</v>
      </c>
    </row>
    <row r="461" spans="3:10" hidden="1">
      <c r="C461">
        <v>55019</v>
      </c>
      <c r="D461" t="s">
        <v>66</v>
      </c>
      <c r="E461" t="s">
        <v>1527</v>
      </c>
      <c r="F461" s="41"/>
      <c r="G461" s="80" t="s">
        <v>1206</v>
      </c>
      <c r="H461" s="80" t="s">
        <v>1998</v>
      </c>
      <c r="I461" s="81" t="s">
        <v>1519</v>
      </c>
      <c r="J461" t="s">
        <v>6</v>
      </c>
    </row>
    <row r="462" spans="3:10" hidden="1">
      <c r="C462">
        <v>55020</v>
      </c>
      <c r="D462" t="s">
        <v>66</v>
      </c>
      <c r="E462" t="s">
        <v>1528</v>
      </c>
      <c r="F462" s="41"/>
      <c r="G462" s="80" t="s">
        <v>1206</v>
      </c>
      <c r="H462" s="80" t="s">
        <v>1998</v>
      </c>
      <c r="I462" s="81" t="s">
        <v>1519</v>
      </c>
      <c r="J462" t="s">
        <v>6</v>
      </c>
    </row>
    <row r="463" spans="3:10" hidden="1">
      <c r="C463">
        <v>55021</v>
      </c>
      <c r="D463" t="s">
        <v>66</v>
      </c>
      <c r="E463" t="s">
        <v>1529</v>
      </c>
      <c r="F463" s="41"/>
      <c r="G463" s="80" t="s">
        <v>1206</v>
      </c>
      <c r="H463" s="80" t="s">
        <v>1998</v>
      </c>
      <c r="I463" s="81" t="s">
        <v>1519</v>
      </c>
      <c r="J463" t="s">
        <v>6</v>
      </c>
    </row>
    <row r="464" spans="3:10" hidden="1">
      <c r="C464">
        <v>55022</v>
      </c>
      <c r="D464" t="s">
        <v>49</v>
      </c>
      <c r="E464" t="s">
        <v>1530</v>
      </c>
      <c r="F464" s="41"/>
      <c r="G464" s="80" t="s">
        <v>1206</v>
      </c>
      <c r="H464" s="80" t="s">
        <v>1998</v>
      </c>
      <c r="I464" s="81" t="s">
        <v>1519</v>
      </c>
      <c r="J464" t="s">
        <v>6</v>
      </c>
    </row>
    <row r="465" spans="3:10" hidden="1">
      <c r="C465">
        <v>55023</v>
      </c>
      <c r="D465" t="s">
        <v>66</v>
      </c>
      <c r="E465" t="s">
        <v>1531</v>
      </c>
      <c r="F465" s="41"/>
      <c r="G465" s="80" t="s">
        <v>1206</v>
      </c>
      <c r="H465" s="80" t="s">
        <v>1998</v>
      </c>
      <c r="I465" s="81" t="s">
        <v>1519</v>
      </c>
      <c r="J465" t="s">
        <v>6</v>
      </c>
    </row>
    <row r="466" spans="3:10" hidden="1">
      <c r="C466">
        <v>55024</v>
      </c>
      <c r="D466" t="s">
        <v>66</v>
      </c>
      <c r="E466" t="s">
        <v>1532</v>
      </c>
      <c r="F466" s="41"/>
      <c r="G466" s="80" t="s">
        <v>1206</v>
      </c>
      <c r="H466" s="80" t="s">
        <v>1998</v>
      </c>
      <c r="I466" s="81" t="s">
        <v>1519</v>
      </c>
      <c r="J466" t="s">
        <v>6</v>
      </c>
    </row>
    <row r="467" spans="3:10" hidden="1">
      <c r="C467">
        <v>55025</v>
      </c>
      <c r="D467" t="s">
        <v>66</v>
      </c>
      <c r="E467" t="s">
        <v>1533</v>
      </c>
      <c r="F467" s="41"/>
      <c r="G467" s="80" t="s">
        <v>1206</v>
      </c>
      <c r="H467" s="80" t="s">
        <v>1998</v>
      </c>
      <c r="I467" s="81" t="s">
        <v>1519</v>
      </c>
      <c r="J467" t="s">
        <v>6</v>
      </c>
    </row>
    <row r="468" spans="3:10" hidden="1">
      <c r="C468">
        <v>55026</v>
      </c>
      <c r="D468" t="s">
        <v>49</v>
      </c>
      <c r="E468" t="s">
        <v>1534</v>
      </c>
      <c r="F468" s="41"/>
      <c r="G468" s="80" t="s">
        <v>1206</v>
      </c>
      <c r="H468" s="80" t="s">
        <v>1998</v>
      </c>
      <c r="I468" s="81" t="s">
        <v>1519</v>
      </c>
      <c r="J468" t="s">
        <v>6</v>
      </c>
    </row>
    <row r="469" spans="3:10" hidden="1">
      <c r="C469">
        <v>55027</v>
      </c>
      <c r="D469" t="s">
        <v>66</v>
      </c>
      <c r="E469" t="s">
        <v>1535</v>
      </c>
      <c r="F469" s="41"/>
      <c r="G469" s="80" t="s">
        <v>1206</v>
      </c>
      <c r="H469" s="80" t="s">
        <v>1998</v>
      </c>
      <c r="I469" s="81" t="s">
        <v>1519</v>
      </c>
      <c r="J469" t="s">
        <v>6</v>
      </c>
    </row>
    <row r="470" spans="3:10" hidden="1">
      <c r="C470">
        <v>55028</v>
      </c>
      <c r="D470" t="s">
        <v>66</v>
      </c>
      <c r="E470" t="s">
        <v>1536</v>
      </c>
      <c r="F470" s="41"/>
      <c r="G470" s="80" t="s">
        <v>1206</v>
      </c>
      <c r="H470" s="80" t="s">
        <v>1998</v>
      </c>
      <c r="I470" s="81" t="s">
        <v>1519</v>
      </c>
      <c r="J470" t="s">
        <v>6</v>
      </c>
    </row>
    <row r="471" spans="3:10" hidden="1">
      <c r="C471">
        <v>55029</v>
      </c>
      <c r="D471" t="s">
        <v>66</v>
      </c>
      <c r="E471" t="s">
        <v>1537</v>
      </c>
      <c r="F471" s="41"/>
      <c r="G471" s="80" t="s">
        <v>1206</v>
      </c>
      <c r="H471" s="80" t="s">
        <v>1998</v>
      </c>
      <c r="I471" s="81" t="s">
        <v>1519</v>
      </c>
      <c r="J471" t="s">
        <v>6</v>
      </c>
    </row>
    <row r="472" spans="3:10" hidden="1">
      <c r="C472">
        <v>55030</v>
      </c>
      <c r="D472" t="s">
        <v>49</v>
      </c>
      <c r="E472" t="s">
        <v>1538</v>
      </c>
      <c r="F472" s="41"/>
      <c r="G472" s="80" t="s">
        <v>1206</v>
      </c>
      <c r="H472" s="80" t="s">
        <v>1998</v>
      </c>
      <c r="I472" s="81" t="s">
        <v>1519</v>
      </c>
      <c r="J472" t="s">
        <v>6</v>
      </c>
    </row>
    <row r="473" spans="3:10" hidden="1">
      <c r="C473">
        <v>55031</v>
      </c>
      <c r="D473" t="s">
        <v>66</v>
      </c>
      <c r="E473" t="s">
        <v>1539</v>
      </c>
      <c r="F473" s="41"/>
      <c r="G473" s="80" t="s">
        <v>1206</v>
      </c>
      <c r="H473" s="80" t="s">
        <v>1998</v>
      </c>
      <c r="I473" s="81" t="s">
        <v>1519</v>
      </c>
      <c r="J473" t="s">
        <v>6</v>
      </c>
    </row>
    <row r="474" spans="3:10" hidden="1">
      <c r="C474">
        <v>55032</v>
      </c>
      <c r="D474" t="s">
        <v>66</v>
      </c>
      <c r="E474" t="s">
        <v>1540</v>
      </c>
      <c r="F474" s="41"/>
      <c r="G474" s="80" t="s">
        <v>1206</v>
      </c>
      <c r="H474" s="80" t="s">
        <v>1998</v>
      </c>
      <c r="I474" s="81" t="s">
        <v>1519</v>
      </c>
      <c r="J474" t="s">
        <v>6</v>
      </c>
    </row>
    <row r="475" spans="3:10" hidden="1">
      <c r="C475">
        <v>55033</v>
      </c>
      <c r="D475" t="s">
        <v>66</v>
      </c>
      <c r="E475" t="s">
        <v>1541</v>
      </c>
      <c r="F475" s="41"/>
      <c r="G475" s="80" t="s">
        <v>1206</v>
      </c>
      <c r="H475" s="80" t="s">
        <v>1998</v>
      </c>
      <c r="I475" s="81" t="s">
        <v>1519</v>
      </c>
      <c r="J475" t="s">
        <v>6</v>
      </c>
    </row>
    <row r="476" spans="3:10" hidden="1">
      <c r="C476">
        <v>55034</v>
      </c>
      <c r="D476" t="s">
        <v>66</v>
      </c>
      <c r="E476" t="s">
        <v>1542</v>
      </c>
      <c r="F476" s="41"/>
      <c r="G476" s="80" t="s">
        <v>1206</v>
      </c>
      <c r="H476" s="80" t="s">
        <v>1998</v>
      </c>
      <c r="I476" s="81" t="s">
        <v>1519</v>
      </c>
      <c r="J476" t="s">
        <v>6</v>
      </c>
    </row>
    <row r="477" spans="3:10" hidden="1">
      <c r="C477">
        <v>55035</v>
      </c>
      <c r="D477" t="s">
        <v>66</v>
      </c>
      <c r="E477" t="s">
        <v>1543</v>
      </c>
      <c r="F477" s="41"/>
      <c r="G477" s="80" t="s">
        <v>1206</v>
      </c>
      <c r="H477" s="80" t="s">
        <v>1998</v>
      </c>
      <c r="I477" s="81" t="s">
        <v>1519</v>
      </c>
      <c r="J477" t="s">
        <v>6</v>
      </c>
    </row>
    <row r="478" spans="3:10" hidden="1">
      <c r="C478">
        <v>55036</v>
      </c>
      <c r="D478" t="s">
        <v>66</v>
      </c>
      <c r="E478" t="s">
        <v>1500</v>
      </c>
      <c r="F478" s="41"/>
      <c r="G478" s="80" t="s">
        <v>1206</v>
      </c>
      <c r="H478" s="80" t="s">
        <v>1998</v>
      </c>
      <c r="I478" s="81" t="s">
        <v>1519</v>
      </c>
      <c r="J478" t="s">
        <v>6</v>
      </c>
    </row>
    <row r="479" spans="3:10" hidden="1">
      <c r="C479">
        <v>55037</v>
      </c>
      <c r="D479" t="s">
        <v>831</v>
      </c>
      <c r="E479" t="s">
        <v>1544</v>
      </c>
      <c r="F479" s="41"/>
      <c r="G479" s="80" t="s">
        <v>1206</v>
      </c>
      <c r="H479" s="80" t="s">
        <v>1998</v>
      </c>
      <c r="I479" s="81" t="s">
        <v>1519</v>
      </c>
      <c r="J479" t="s">
        <v>6</v>
      </c>
    </row>
    <row r="480" spans="3:10" hidden="1">
      <c r="C480">
        <v>55038</v>
      </c>
      <c r="D480" t="s">
        <v>66</v>
      </c>
      <c r="E480" t="s">
        <v>1545</v>
      </c>
      <c r="F480" s="41"/>
      <c r="G480" s="80" t="s">
        <v>1206</v>
      </c>
      <c r="H480" s="80" t="s">
        <v>1998</v>
      </c>
      <c r="I480" s="81" t="s">
        <v>1519</v>
      </c>
      <c r="J480" t="s">
        <v>6</v>
      </c>
    </row>
    <row r="481" spans="3:10" hidden="1">
      <c r="C481">
        <v>55039</v>
      </c>
      <c r="D481" t="s">
        <v>831</v>
      </c>
      <c r="E481" t="s">
        <v>1546</v>
      </c>
      <c r="F481" s="41"/>
      <c r="G481" s="80" t="s">
        <v>1206</v>
      </c>
      <c r="H481" s="80" t="s">
        <v>1998</v>
      </c>
      <c r="I481" s="81" t="s">
        <v>1519</v>
      </c>
      <c r="J481" t="s">
        <v>6</v>
      </c>
    </row>
    <row r="482" spans="3:10" hidden="1">
      <c r="C482">
        <v>55040</v>
      </c>
      <c r="D482" t="s">
        <v>66</v>
      </c>
      <c r="E482" t="s">
        <v>1547</v>
      </c>
      <c r="F482" s="41"/>
      <c r="G482" s="80" t="s">
        <v>1206</v>
      </c>
      <c r="H482" s="80" t="s">
        <v>1998</v>
      </c>
      <c r="I482" s="81" t="s">
        <v>1519</v>
      </c>
      <c r="J482" t="s">
        <v>6</v>
      </c>
    </row>
    <row r="483" spans="3:10" hidden="1">
      <c r="C483">
        <v>55041</v>
      </c>
      <c r="D483" t="s">
        <v>831</v>
      </c>
      <c r="E483" t="s">
        <v>1548</v>
      </c>
      <c r="F483" s="41"/>
      <c r="G483" s="80" t="s">
        <v>1206</v>
      </c>
      <c r="H483" s="80" t="s">
        <v>1998</v>
      </c>
      <c r="I483" s="81" t="s">
        <v>1519</v>
      </c>
      <c r="J483" t="s">
        <v>6</v>
      </c>
    </row>
    <row r="484" spans="3:10" hidden="1">
      <c r="C484">
        <v>55042</v>
      </c>
      <c r="D484" t="s">
        <v>66</v>
      </c>
      <c r="E484" t="s">
        <v>1549</v>
      </c>
      <c r="F484" s="41"/>
      <c r="G484" s="80" t="s">
        <v>1206</v>
      </c>
      <c r="H484" s="80" t="s">
        <v>1998</v>
      </c>
      <c r="I484" s="81" t="s">
        <v>1519</v>
      </c>
      <c r="J484" t="s">
        <v>6</v>
      </c>
    </row>
    <row r="485" spans="3:10" hidden="1">
      <c r="C485">
        <v>55043</v>
      </c>
      <c r="D485" t="s">
        <v>66</v>
      </c>
      <c r="E485" t="s">
        <v>1550</v>
      </c>
      <c r="F485" s="41"/>
      <c r="G485" s="80" t="s">
        <v>1206</v>
      </c>
      <c r="H485" s="80" t="s">
        <v>1998</v>
      </c>
      <c r="I485" s="81" t="s">
        <v>1519</v>
      </c>
      <c r="J485" t="s">
        <v>6</v>
      </c>
    </row>
    <row r="486" spans="3:10" hidden="1">
      <c r="C486">
        <v>55044</v>
      </c>
      <c r="D486" t="s">
        <v>49</v>
      </c>
      <c r="E486" t="s">
        <v>1551</v>
      </c>
      <c r="F486" s="41"/>
      <c r="G486" s="80" t="s">
        <v>1206</v>
      </c>
      <c r="H486" s="80" t="s">
        <v>1998</v>
      </c>
      <c r="I486" s="81" t="s">
        <v>1519</v>
      </c>
      <c r="J486" t="s">
        <v>6</v>
      </c>
    </row>
    <row r="487" spans="3:10" hidden="1">
      <c r="C487">
        <v>55045</v>
      </c>
      <c r="D487" t="s">
        <v>66</v>
      </c>
      <c r="E487" t="s">
        <v>1552</v>
      </c>
      <c r="F487" s="41"/>
      <c r="G487" s="80" t="s">
        <v>1206</v>
      </c>
      <c r="H487" s="80" t="s">
        <v>1998</v>
      </c>
      <c r="I487" s="81" t="s">
        <v>1519</v>
      </c>
      <c r="J487" t="s">
        <v>6</v>
      </c>
    </row>
    <row r="488" spans="3:10" hidden="1">
      <c r="C488">
        <v>55046</v>
      </c>
      <c r="D488" t="s">
        <v>49</v>
      </c>
      <c r="E488" t="s">
        <v>1553</v>
      </c>
      <c r="F488" s="41"/>
      <c r="G488" s="80" t="s">
        <v>1206</v>
      </c>
      <c r="H488" s="80" t="s">
        <v>1998</v>
      </c>
      <c r="I488" s="81" t="s">
        <v>1519</v>
      </c>
      <c r="J488" t="s">
        <v>6</v>
      </c>
    </row>
    <row r="489" spans="3:10" hidden="1">
      <c r="C489">
        <v>55047</v>
      </c>
      <c r="D489" t="s">
        <v>66</v>
      </c>
      <c r="E489" t="s">
        <v>1554</v>
      </c>
      <c r="F489" s="41"/>
      <c r="G489" s="80" t="s">
        <v>1206</v>
      </c>
      <c r="H489" s="80" t="s">
        <v>1998</v>
      </c>
      <c r="I489" s="81" t="s">
        <v>1519</v>
      </c>
      <c r="J489" t="s">
        <v>6</v>
      </c>
    </row>
    <row r="490" spans="3:10" hidden="1">
      <c r="C490">
        <v>55048</v>
      </c>
      <c r="D490" t="s">
        <v>66</v>
      </c>
      <c r="E490" t="s">
        <v>1555</v>
      </c>
      <c r="F490" s="41"/>
      <c r="G490" s="80" t="s">
        <v>1206</v>
      </c>
      <c r="H490" s="80" t="s">
        <v>1998</v>
      </c>
      <c r="I490" s="81" t="s">
        <v>1519</v>
      </c>
      <c r="J490" t="s">
        <v>6</v>
      </c>
    </row>
    <row r="491" spans="3:10" hidden="1">
      <c r="C491">
        <v>55049</v>
      </c>
      <c r="D491" t="s">
        <v>66</v>
      </c>
      <c r="E491" t="s">
        <v>1556</v>
      </c>
      <c r="F491" s="41"/>
      <c r="G491" s="80" t="s">
        <v>1206</v>
      </c>
      <c r="H491" s="80" t="s">
        <v>1998</v>
      </c>
      <c r="I491" s="81" t="s">
        <v>1519</v>
      </c>
      <c r="J491" t="s">
        <v>6</v>
      </c>
    </row>
    <row r="492" spans="3:10" hidden="1">
      <c r="C492">
        <v>55050</v>
      </c>
      <c r="D492" t="s">
        <v>66</v>
      </c>
      <c r="E492" t="s">
        <v>1557</v>
      </c>
      <c r="F492" s="41"/>
      <c r="G492" s="80" t="s">
        <v>1206</v>
      </c>
      <c r="H492" s="80" t="s">
        <v>1998</v>
      </c>
      <c r="I492" s="81" t="s">
        <v>1519</v>
      </c>
      <c r="J492" t="s">
        <v>6</v>
      </c>
    </row>
    <row r="493" spans="3:10" hidden="1">
      <c r="C493">
        <v>55051</v>
      </c>
      <c r="D493" t="s">
        <v>66</v>
      </c>
      <c r="E493" t="s">
        <v>1558</v>
      </c>
      <c r="F493" s="41"/>
      <c r="G493" s="80" t="s">
        <v>1206</v>
      </c>
      <c r="H493" s="80" t="s">
        <v>1998</v>
      </c>
      <c r="I493" s="81" t="s">
        <v>1519</v>
      </c>
      <c r="J493" t="s">
        <v>6</v>
      </c>
    </row>
    <row r="494" spans="3:10" hidden="1">
      <c r="C494">
        <v>55052</v>
      </c>
      <c r="D494" t="s">
        <v>66</v>
      </c>
      <c r="E494" t="s">
        <v>1559</v>
      </c>
      <c r="F494" s="41"/>
      <c r="G494" s="80" t="s">
        <v>1206</v>
      </c>
      <c r="H494" s="80" t="s">
        <v>1998</v>
      </c>
      <c r="I494" s="81" t="s">
        <v>1519</v>
      </c>
      <c r="J494" t="s">
        <v>6</v>
      </c>
    </row>
    <row r="495" spans="3:10" hidden="1">
      <c r="C495">
        <v>55053</v>
      </c>
      <c r="D495" t="s">
        <v>66</v>
      </c>
      <c r="E495" t="s">
        <v>1560</v>
      </c>
      <c r="F495" s="41"/>
      <c r="G495" s="80" t="s">
        <v>1206</v>
      </c>
      <c r="H495" s="80" t="s">
        <v>1998</v>
      </c>
      <c r="I495" s="81" t="s">
        <v>1519</v>
      </c>
      <c r="J495" t="s">
        <v>6</v>
      </c>
    </row>
    <row r="496" spans="3:10" hidden="1">
      <c r="C496">
        <v>55054</v>
      </c>
      <c r="D496" t="s">
        <v>66</v>
      </c>
      <c r="E496" t="s">
        <v>1561</v>
      </c>
      <c r="F496" s="41"/>
      <c r="G496" s="80" t="s">
        <v>1206</v>
      </c>
      <c r="H496" s="80" t="s">
        <v>1998</v>
      </c>
      <c r="I496" s="81" t="s">
        <v>1519</v>
      </c>
      <c r="J496" t="s">
        <v>6</v>
      </c>
    </row>
    <row r="497" spans="3:10" hidden="1">
      <c r="C497">
        <v>55055</v>
      </c>
      <c r="D497" t="s">
        <v>66</v>
      </c>
      <c r="E497" t="s">
        <v>1562</v>
      </c>
      <c r="F497" s="41"/>
      <c r="G497" s="80" t="s">
        <v>1206</v>
      </c>
      <c r="H497" s="80" t="s">
        <v>1998</v>
      </c>
      <c r="I497" s="81" t="s">
        <v>1519</v>
      </c>
      <c r="J497" t="s">
        <v>6</v>
      </c>
    </row>
    <row r="498" spans="3:10" hidden="1">
      <c r="C498">
        <v>55056</v>
      </c>
      <c r="D498" t="s">
        <v>49</v>
      </c>
      <c r="E498" t="s">
        <v>1563</v>
      </c>
      <c r="F498" s="41"/>
      <c r="G498" s="80" t="s">
        <v>1206</v>
      </c>
      <c r="H498" s="80" t="s">
        <v>1998</v>
      </c>
      <c r="I498" s="81" t="s">
        <v>1519</v>
      </c>
      <c r="J498" t="s">
        <v>6</v>
      </c>
    </row>
    <row r="499" spans="3:10" hidden="1">
      <c r="C499">
        <v>55057</v>
      </c>
      <c r="D499" t="s">
        <v>66</v>
      </c>
      <c r="E499" t="s">
        <v>1564</v>
      </c>
      <c r="F499" s="41"/>
      <c r="G499" s="80" t="s">
        <v>1206</v>
      </c>
      <c r="H499" s="80" t="s">
        <v>1998</v>
      </c>
      <c r="I499" s="81" t="s">
        <v>1519</v>
      </c>
      <c r="J499" t="s">
        <v>6</v>
      </c>
    </row>
    <row r="500" spans="3:10" hidden="1">
      <c r="C500">
        <v>55058</v>
      </c>
      <c r="D500" t="s">
        <v>49</v>
      </c>
      <c r="E500" t="s">
        <v>1565</v>
      </c>
      <c r="F500" s="41"/>
      <c r="G500" s="80" t="s">
        <v>1206</v>
      </c>
      <c r="H500" s="80" t="s">
        <v>1998</v>
      </c>
      <c r="I500" s="81" t="s">
        <v>1519</v>
      </c>
      <c r="J500" t="s">
        <v>6</v>
      </c>
    </row>
    <row r="501" spans="3:10" hidden="1">
      <c r="C501">
        <v>55059</v>
      </c>
      <c r="D501" t="s">
        <v>49</v>
      </c>
      <c r="E501" t="s">
        <v>1509</v>
      </c>
      <c r="F501" s="41"/>
      <c r="G501" s="80" t="s">
        <v>1206</v>
      </c>
      <c r="H501" s="80" t="s">
        <v>1998</v>
      </c>
      <c r="I501" s="81" t="s">
        <v>1519</v>
      </c>
      <c r="J501" t="s">
        <v>6</v>
      </c>
    </row>
    <row r="502" spans="3:10" hidden="1">
      <c r="C502">
        <v>56000</v>
      </c>
      <c r="D502" t="s">
        <v>48</v>
      </c>
      <c r="E502" t="s">
        <v>1566</v>
      </c>
      <c r="F502" s="41"/>
      <c r="G502" s="80" t="s">
        <v>1206</v>
      </c>
      <c r="H502" s="80" t="s">
        <v>1998</v>
      </c>
      <c r="I502" s="81" t="s">
        <v>1566</v>
      </c>
      <c r="J502" t="s">
        <v>6</v>
      </c>
    </row>
    <row r="503" spans="3:10" hidden="1">
      <c r="C503">
        <v>56001</v>
      </c>
      <c r="D503" t="s">
        <v>49</v>
      </c>
      <c r="E503" t="s">
        <v>1391</v>
      </c>
      <c r="F503" s="41"/>
      <c r="G503" s="80" t="s">
        <v>1206</v>
      </c>
      <c r="H503" s="80" t="s">
        <v>1998</v>
      </c>
      <c r="I503" s="81" t="s">
        <v>1566</v>
      </c>
      <c r="J503" t="s">
        <v>6</v>
      </c>
    </row>
    <row r="504" spans="3:10" hidden="1">
      <c r="C504">
        <v>56002</v>
      </c>
      <c r="D504" t="s">
        <v>49</v>
      </c>
      <c r="E504" t="s">
        <v>1392</v>
      </c>
      <c r="F504" s="41"/>
      <c r="G504" s="80" t="s">
        <v>1206</v>
      </c>
      <c r="H504" s="80" t="s">
        <v>1998</v>
      </c>
      <c r="I504" s="81" t="s">
        <v>1566</v>
      </c>
      <c r="J504" t="s">
        <v>6</v>
      </c>
    </row>
    <row r="505" spans="3:10" hidden="1">
      <c r="C505">
        <v>56003</v>
      </c>
      <c r="D505" t="s">
        <v>49</v>
      </c>
      <c r="E505" t="s">
        <v>1393</v>
      </c>
      <c r="F505" s="41"/>
      <c r="G505" s="80" t="s">
        <v>1206</v>
      </c>
      <c r="H505" s="80" t="s">
        <v>1998</v>
      </c>
      <c r="I505" s="81" t="s">
        <v>1566</v>
      </c>
      <c r="J505" t="s">
        <v>6</v>
      </c>
    </row>
    <row r="506" spans="3:10" hidden="1">
      <c r="C506">
        <v>56004</v>
      </c>
      <c r="D506" t="s">
        <v>49</v>
      </c>
      <c r="E506" t="s">
        <v>1567</v>
      </c>
      <c r="F506" s="41"/>
      <c r="G506" s="80" t="s">
        <v>1206</v>
      </c>
      <c r="H506" s="80" t="s">
        <v>1998</v>
      </c>
      <c r="I506" s="81" t="s">
        <v>1566</v>
      </c>
      <c r="J506" t="s">
        <v>6</v>
      </c>
    </row>
    <row r="507" spans="3:10" hidden="1">
      <c r="C507">
        <v>56005</v>
      </c>
      <c r="D507" t="s">
        <v>49</v>
      </c>
      <c r="E507" t="s">
        <v>1407</v>
      </c>
      <c r="F507" s="41"/>
      <c r="G507" s="80" t="s">
        <v>1206</v>
      </c>
      <c r="H507" s="80" t="s">
        <v>1998</v>
      </c>
      <c r="I507" s="81" t="s">
        <v>1566</v>
      </c>
      <c r="J507" t="s">
        <v>6</v>
      </c>
    </row>
    <row r="508" spans="3:10" hidden="1">
      <c r="C508">
        <v>56006</v>
      </c>
      <c r="D508" t="s">
        <v>66</v>
      </c>
      <c r="E508" t="s">
        <v>1454</v>
      </c>
      <c r="F508" s="41"/>
      <c r="G508" s="80" t="s">
        <v>1206</v>
      </c>
      <c r="H508" s="80" t="s">
        <v>1998</v>
      </c>
      <c r="I508" s="81" t="s">
        <v>1566</v>
      </c>
      <c r="J508" t="s">
        <v>6</v>
      </c>
    </row>
    <row r="509" spans="3:10" hidden="1">
      <c r="C509">
        <v>56007</v>
      </c>
      <c r="D509" t="s">
        <v>66</v>
      </c>
      <c r="E509" t="s">
        <v>1455</v>
      </c>
      <c r="F509" s="41"/>
      <c r="G509" s="80" t="s">
        <v>1206</v>
      </c>
      <c r="H509" s="80" t="s">
        <v>1998</v>
      </c>
      <c r="I509" s="81" t="s">
        <v>1566</v>
      </c>
      <c r="J509" t="s">
        <v>6</v>
      </c>
    </row>
    <row r="510" spans="3:10" hidden="1">
      <c r="C510">
        <v>56008</v>
      </c>
      <c r="D510" t="s">
        <v>49</v>
      </c>
      <c r="E510" t="s">
        <v>1568</v>
      </c>
      <c r="F510" s="41"/>
      <c r="G510" s="80" t="s">
        <v>1206</v>
      </c>
      <c r="H510" s="80" t="s">
        <v>1998</v>
      </c>
      <c r="I510" s="81" t="s">
        <v>1566</v>
      </c>
      <c r="J510" t="s">
        <v>6</v>
      </c>
    </row>
    <row r="511" spans="3:10" hidden="1">
      <c r="C511">
        <v>56009</v>
      </c>
      <c r="D511" t="s">
        <v>66</v>
      </c>
      <c r="E511" t="s">
        <v>1569</v>
      </c>
      <c r="F511" s="41"/>
      <c r="G511" s="80" t="s">
        <v>1206</v>
      </c>
      <c r="H511" s="80" t="s">
        <v>1998</v>
      </c>
      <c r="I511" s="81" t="s">
        <v>1566</v>
      </c>
      <c r="J511" t="s">
        <v>6</v>
      </c>
    </row>
    <row r="512" spans="3:10" hidden="1">
      <c r="C512">
        <v>56010</v>
      </c>
      <c r="D512" t="s">
        <v>66</v>
      </c>
      <c r="E512" t="s">
        <v>1570</v>
      </c>
      <c r="F512" s="41"/>
      <c r="G512" s="80" t="s">
        <v>1206</v>
      </c>
      <c r="H512" s="80" t="s">
        <v>1998</v>
      </c>
      <c r="I512" s="81" t="s">
        <v>1566</v>
      </c>
      <c r="J512" t="s">
        <v>6</v>
      </c>
    </row>
    <row r="513" spans="3:10" hidden="1">
      <c r="C513">
        <v>56011</v>
      </c>
      <c r="D513" t="s">
        <v>49</v>
      </c>
      <c r="E513" t="s">
        <v>1571</v>
      </c>
      <c r="F513" s="41"/>
      <c r="G513" s="80" t="s">
        <v>1206</v>
      </c>
      <c r="H513" s="80" t="s">
        <v>1998</v>
      </c>
      <c r="I513" s="81" t="s">
        <v>1566</v>
      </c>
      <c r="J513" t="s">
        <v>6</v>
      </c>
    </row>
    <row r="514" spans="3:10" hidden="1">
      <c r="C514">
        <v>56012</v>
      </c>
      <c r="D514" t="s">
        <v>66</v>
      </c>
      <c r="E514" t="s">
        <v>1572</v>
      </c>
      <c r="F514" s="41"/>
      <c r="G514" s="80" t="s">
        <v>1206</v>
      </c>
      <c r="H514" s="80" t="s">
        <v>1998</v>
      </c>
      <c r="I514" s="81" t="s">
        <v>1566</v>
      </c>
      <c r="J514" t="s">
        <v>6</v>
      </c>
    </row>
    <row r="515" spans="3:10" hidden="1">
      <c r="C515">
        <v>56013</v>
      </c>
      <c r="D515" t="s">
        <v>49</v>
      </c>
      <c r="E515" t="s">
        <v>1573</v>
      </c>
      <c r="F515" s="41"/>
      <c r="G515" s="80" t="s">
        <v>1206</v>
      </c>
      <c r="H515" s="80" t="s">
        <v>1998</v>
      </c>
      <c r="I515" s="81" t="s">
        <v>1566</v>
      </c>
      <c r="J515" t="s">
        <v>6</v>
      </c>
    </row>
    <row r="516" spans="3:10" hidden="1">
      <c r="C516">
        <v>56014</v>
      </c>
      <c r="D516" t="s">
        <v>66</v>
      </c>
      <c r="E516" t="s">
        <v>1574</v>
      </c>
      <c r="F516" s="41"/>
      <c r="G516" s="80" t="s">
        <v>1206</v>
      </c>
      <c r="H516" s="80" t="s">
        <v>1998</v>
      </c>
      <c r="I516" s="81" t="s">
        <v>1566</v>
      </c>
      <c r="J516" t="s">
        <v>6</v>
      </c>
    </row>
    <row r="517" spans="3:10" hidden="1">
      <c r="C517">
        <v>56015</v>
      </c>
      <c r="D517" t="s">
        <v>49</v>
      </c>
      <c r="E517" t="s">
        <v>1575</v>
      </c>
      <c r="F517" s="41"/>
      <c r="G517" s="80" t="s">
        <v>1206</v>
      </c>
      <c r="H517" s="80" t="s">
        <v>1998</v>
      </c>
      <c r="I517" s="81" t="s">
        <v>1566</v>
      </c>
      <c r="J517" t="s">
        <v>6</v>
      </c>
    </row>
    <row r="518" spans="3:10" hidden="1">
      <c r="C518">
        <v>57000</v>
      </c>
      <c r="D518" t="s">
        <v>48</v>
      </c>
      <c r="E518" t="s">
        <v>1576</v>
      </c>
      <c r="F518" s="41"/>
      <c r="G518" s="80" t="s">
        <v>1206</v>
      </c>
      <c r="H518" s="80" t="s">
        <v>1998</v>
      </c>
      <c r="I518" s="81" t="s">
        <v>1576</v>
      </c>
      <c r="J518" t="s">
        <v>6</v>
      </c>
    </row>
    <row r="519" spans="3:10" hidden="1">
      <c r="C519">
        <v>57001</v>
      </c>
      <c r="D519" t="s">
        <v>49</v>
      </c>
      <c r="E519" t="s">
        <v>1391</v>
      </c>
      <c r="F519" s="41"/>
      <c r="G519" s="80" t="s">
        <v>1206</v>
      </c>
      <c r="H519" s="80" t="s">
        <v>1998</v>
      </c>
      <c r="I519" s="81" t="s">
        <v>1576</v>
      </c>
      <c r="J519" t="s">
        <v>6</v>
      </c>
    </row>
    <row r="520" spans="3:10" hidden="1">
      <c r="C520">
        <v>57002</v>
      </c>
      <c r="D520" t="s">
        <v>49</v>
      </c>
      <c r="E520" t="s">
        <v>1392</v>
      </c>
      <c r="F520" s="41"/>
      <c r="G520" s="80" t="s">
        <v>1206</v>
      </c>
      <c r="H520" s="80" t="s">
        <v>1998</v>
      </c>
      <c r="I520" s="81" t="s">
        <v>1576</v>
      </c>
      <c r="J520" t="s">
        <v>6</v>
      </c>
    </row>
    <row r="521" spans="3:10" hidden="1">
      <c r="C521">
        <v>57003</v>
      </c>
      <c r="D521" t="s">
        <v>49</v>
      </c>
      <c r="E521" t="s">
        <v>1393</v>
      </c>
      <c r="F521" s="41"/>
      <c r="G521" s="80" t="s">
        <v>1206</v>
      </c>
      <c r="H521" s="80" t="s">
        <v>1998</v>
      </c>
      <c r="I521" s="81" t="s">
        <v>1576</v>
      </c>
      <c r="J521" t="s">
        <v>6</v>
      </c>
    </row>
    <row r="522" spans="3:10" hidden="1">
      <c r="C522">
        <v>57004</v>
      </c>
      <c r="D522" t="s">
        <v>49</v>
      </c>
      <c r="E522" t="s">
        <v>1394</v>
      </c>
      <c r="F522" s="41"/>
      <c r="G522" s="80" t="s">
        <v>1206</v>
      </c>
      <c r="H522" s="80" t="s">
        <v>1998</v>
      </c>
      <c r="I522" s="81" t="s">
        <v>1576</v>
      </c>
      <c r="J522" t="s">
        <v>6</v>
      </c>
    </row>
    <row r="523" spans="3:10" hidden="1">
      <c r="C523">
        <v>57005</v>
      </c>
      <c r="D523" t="s">
        <v>49</v>
      </c>
      <c r="E523" t="s">
        <v>1577</v>
      </c>
      <c r="F523" s="41"/>
      <c r="G523" s="80" t="s">
        <v>1206</v>
      </c>
      <c r="H523" s="80" t="s">
        <v>1998</v>
      </c>
      <c r="I523" s="81" t="s">
        <v>1576</v>
      </c>
      <c r="J523" t="s">
        <v>6</v>
      </c>
    </row>
    <row r="524" spans="3:10" hidden="1">
      <c r="C524">
        <v>57006</v>
      </c>
      <c r="D524" t="s">
        <v>66</v>
      </c>
      <c r="E524" t="s">
        <v>1578</v>
      </c>
      <c r="F524" s="41"/>
      <c r="G524" s="80" t="s">
        <v>1206</v>
      </c>
      <c r="H524" s="80" t="s">
        <v>1998</v>
      </c>
      <c r="I524" s="81" t="s">
        <v>1576</v>
      </c>
      <c r="J524" t="s">
        <v>6</v>
      </c>
    </row>
    <row r="525" spans="3:10" hidden="1">
      <c r="C525">
        <v>57007</v>
      </c>
      <c r="D525" t="s">
        <v>66</v>
      </c>
      <c r="E525" t="s">
        <v>1579</v>
      </c>
      <c r="F525" s="41"/>
      <c r="G525" s="80" t="s">
        <v>1206</v>
      </c>
      <c r="H525" s="80" t="s">
        <v>1998</v>
      </c>
      <c r="I525" s="81" t="s">
        <v>1576</v>
      </c>
      <c r="J525" t="s">
        <v>6</v>
      </c>
    </row>
    <row r="526" spans="3:10" hidden="1">
      <c r="C526">
        <v>57008</v>
      </c>
      <c r="D526" t="s">
        <v>49</v>
      </c>
      <c r="E526" t="s">
        <v>1580</v>
      </c>
      <c r="F526" s="41"/>
      <c r="G526" s="80" t="s">
        <v>1206</v>
      </c>
      <c r="H526" s="80" t="s">
        <v>1998</v>
      </c>
      <c r="I526" s="81" t="s">
        <v>1576</v>
      </c>
      <c r="J526" t="s">
        <v>6</v>
      </c>
    </row>
    <row r="527" spans="3:10" hidden="1">
      <c r="C527">
        <v>57009</v>
      </c>
      <c r="D527" t="s">
        <v>66</v>
      </c>
      <c r="E527" t="s">
        <v>1581</v>
      </c>
      <c r="F527" s="41"/>
      <c r="G527" s="80" t="s">
        <v>1206</v>
      </c>
      <c r="H527" s="80" t="s">
        <v>1998</v>
      </c>
      <c r="I527" s="81" t="s">
        <v>1576</v>
      </c>
      <c r="J527" t="s">
        <v>6</v>
      </c>
    </row>
    <row r="528" spans="3:10" hidden="1">
      <c r="C528">
        <v>57010</v>
      </c>
      <c r="D528" t="s">
        <v>66</v>
      </c>
      <c r="E528" t="s">
        <v>1582</v>
      </c>
      <c r="F528" s="41"/>
      <c r="G528" s="80" t="s">
        <v>1206</v>
      </c>
      <c r="H528" s="80" t="s">
        <v>1998</v>
      </c>
      <c r="I528" s="81" t="s">
        <v>1576</v>
      </c>
      <c r="J528" t="s">
        <v>6</v>
      </c>
    </row>
    <row r="529" spans="3:10" hidden="1">
      <c r="C529">
        <v>57011</v>
      </c>
      <c r="D529" t="s">
        <v>66</v>
      </c>
      <c r="E529" t="s">
        <v>1583</v>
      </c>
      <c r="F529" s="41"/>
      <c r="G529" s="80" t="s">
        <v>1206</v>
      </c>
      <c r="H529" s="80" t="s">
        <v>1998</v>
      </c>
      <c r="I529" s="81" t="s">
        <v>1576</v>
      </c>
      <c r="J529" t="s">
        <v>6</v>
      </c>
    </row>
    <row r="530" spans="3:10" hidden="1">
      <c r="C530">
        <v>57012</v>
      </c>
      <c r="D530" t="s">
        <v>66</v>
      </c>
      <c r="E530" t="s">
        <v>1584</v>
      </c>
      <c r="F530" s="41"/>
      <c r="G530" s="80" t="s">
        <v>1206</v>
      </c>
      <c r="H530" s="80" t="s">
        <v>1998</v>
      </c>
      <c r="I530" s="81" t="s">
        <v>1576</v>
      </c>
      <c r="J530" t="s">
        <v>6</v>
      </c>
    </row>
    <row r="531" spans="3:10" hidden="1">
      <c r="C531">
        <v>57013</v>
      </c>
      <c r="D531" t="s">
        <v>49</v>
      </c>
      <c r="E531" t="s">
        <v>1407</v>
      </c>
      <c r="F531" s="41"/>
      <c r="G531" s="80" t="s">
        <v>1206</v>
      </c>
      <c r="H531" s="80" t="s">
        <v>1998</v>
      </c>
      <c r="I531" s="81" t="s">
        <v>1576</v>
      </c>
      <c r="J531" t="s">
        <v>6</v>
      </c>
    </row>
    <row r="532" spans="3:10" hidden="1">
      <c r="C532">
        <v>57014</v>
      </c>
      <c r="D532" t="s">
        <v>66</v>
      </c>
      <c r="E532" t="s">
        <v>1585</v>
      </c>
      <c r="F532" s="41"/>
      <c r="G532" s="80" t="s">
        <v>1206</v>
      </c>
      <c r="H532" s="80" t="s">
        <v>1998</v>
      </c>
      <c r="I532" s="81" t="s">
        <v>1576</v>
      </c>
      <c r="J532" t="s">
        <v>6</v>
      </c>
    </row>
    <row r="533" spans="3:10" hidden="1">
      <c r="C533">
        <v>57015</v>
      </c>
      <c r="D533" t="s">
        <v>66</v>
      </c>
      <c r="E533" t="s">
        <v>1586</v>
      </c>
      <c r="F533" s="41"/>
      <c r="G533" s="80" t="s">
        <v>1206</v>
      </c>
      <c r="H533" s="80" t="s">
        <v>1998</v>
      </c>
      <c r="I533" s="81" t="s">
        <v>1576</v>
      </c>
      <c r="J533" t="s">
        <v>6</v>
      </c>
    </row>
    <row r="534" spans="3:10" hidden="1">
      <c r="C534">
        <v>57016</v>
      </c>
      <c r="D534" t="s">
        <v>66</v>
      </c>
      <c r="E534" t="s">
        <v>1587</v>
      </c>
      <c r="F534" s="41"/>
      <c r="G534" s="80" t="s">
        <v>1206</v>
      </c>
      <c r="H534" s="80" t="s">
        <v>1998</v>
      </c>
      <c r="I534" s="81" t="s">
        <v>1576</v>
      </c>
      <c r="J534" t="s">
        <v>6</v>
      </c>
    </row>
    <row r="535" spans="3:10" hidden="1">
      <c r="C535">
        <v>57017</v>
      </c>
      <c r="D535" t="s">
        <v>49</v>
      </c>
      <c r="E535" t="s">
        <v>1588</v>
      </c>
      <c r="F535" s="41"/>
      <c r="G535" s="80" t="s">
        <v>1206</v>
      </c>
      <c r="H535" s="80" t="s">
        <v>1998</v>
      </c>
      <c r="I535" s="81" t="s">
        <v>1576</v>
      </c>
      <c r="J535" t="s">
        <v>6</v>
      </c>
    </row>
    <row r="536" spans="3:10" hidden="1">
      <c r="C536">
        <v>57018</v>
      </c>
      <c r="D536" t="s">
        <v>66</v>
      </c>
      <c r="E536" t="s">
        <v>1589</v>
      </c>
      <c r="F536" s="41"/>
      <c r="G536" s="80" t="s">
        <v>1206</v>
      </c>
      <c r="H536" s="80" t="s">
        <v>1998</v>
      </c>
      <c r="I536" s="81" t="s">
        <v>1576</v>
      </c>
      <c r="J536" t="s">
        <v>6</v>
      </c>
    </row>
    <row r="537" spans="3:10" hidden="1">
      <c r="C537">
        <v>57019</v>
      </c>
      <c r="D537" t="s">
        <v>66</v>
      </c>
      <c r="E537" t="s">
        <v>1590</v>
      </c>
      <c r="F537" s="41"/>
      <c r="G537" s="80" t="s">
        <v>1206</v>
      </c>
      <c r="H537" s="80" t="s">
        <v>1998</v>
      </c>
      <c r="I537" s="81" t="s">
        <v>1576</v>
      </c>
      <c r="J537" t="s">
        <v>6</v>
      </c>
    </row>
    <row r="538" spans="3:10" hidden="1">
      <c r="C538">
        <v>57020</v>
      </c>
      <c r="D538" t="s">
        <v>66</v>
      </c>
      <c r="E538" t="s">
        <v>1591</v>
      </c>
      <c r="F538" s="41"/>
      <c r="G538" s="80" t="s">
        <v>1206</v>
      </c>
      <c r="H538" s="80" t="s">
        <v>1998</v>
      </c>
      <c r="I538" s="81" t="s">
        <v>1576</v>
      </c>
      <c r="J538" t="s">
        <v>6</v>
      </c>
    </row>
    <row r="539" spans="3:10" hidden="1">
      <c r="C539">
        <v>57021</v>
      </c>
      <c r="D539" t="s">
        <v>49</v>
      </c>
      <c r="E539" t="s">
        <v>1573</v>
      </c>
      <c r="F539" s="41"/>
      <c r="G539" s="80" t="s">
        <v>1206</v>
      </c>
      <c r="H539" s="80" t="s">
        <v>1998</v>
      </c>
      <c r="I539" s="81" t="s">
        <v>1576</v>
      </c>
      <c r="J539" t="s">
        <v>6</v>
      </c>
    </row>
    <row r="540" spans="3:10" hidden="1">
      <c r="C540">
        <v>57022</v>
      </c>
      <c r="D540" t="s">
        <v>66</v>
      </c>
      <c r="E540" t="s">
        <v>1592</v>
      </c>
      <c r="F540" s="41"/>
      <c r="G540" s="80" t="s">
        <v>1206</v>
      </c>
      <c r="H540" s="80" t="s">
        <v>1998</v>
      </c>
      <c r="I540" s="81" t="s">
        <v>1576</v>
      </c>
      <c r="J540" t="s">
        <v>6</v>
      </c>
    </row>
    <row r="541" spans="3:10" hidden="1">
      <c r="C541">
        <v>57023</v>
      </c>
      <c r="D541" t="s">
        <v>49</v>
      </c>
      <c r="E541" t="s">
        <v>1593</v>
      </c>
      <c r="F541" s="41"/>
      <c r="G541" s="80" t="s">
        <v>1206</v>
      </c>
      <c r="H541" s="80" t="s">
        <v>1998</v>
      </c>
      <c r="I541" s="81" t="s">
        <v>1576</v>
      </c>
      <c r="J541" t="s">
        <v>6</v>
      </c>
    </row>
    <row r="542" spans="3:10" hidden="1">
      <c r="C542">
        <v>57024</v>
      </c>
      <c r="D542" t="s">
        <v>66</v>
      </c>
      <c r="E542" t="s">
        <v>1594</v>
      </c>
      <c r="F542" s="41"/>
      <c r="G542" s="80" t="s">
        <v>1206</v>
      </c>
      <c r="H542" s="80" t="s">
        <v>1998</v>
      </c>
      <c r="I542" s="81" t="s">
        <v>1576</v>
      </c>
      <c r="J542" t="s">
        <v>6</v>
      </c>
    </row>
    <row r="543" spans="3:10" hidden="1">
      <c r="C543">
        <v>57025</v>
      </c>
      <c r="D543" t="s">
        <v>66</v>
      </c>
      <c r="E543" t="s">
        <v>1595</v>
      </c>
      <c r="F543" s="41"/>
      <c r="G543" s="80" t="s">
        <v>1206</v>
      </c>
      <c r="H543" s="80" t="s">
        <v>1998</v>
      </c>
      <c r="I543" s="81" t="s">
        <v>1576</v>
      </c>
      <c r="J543" t="s">
        <v>6</v>
      </c>
    </row>
    <row r="544" spans="3:10" hidden="1">
      <c r="C544">
        <v>57026</v>
      </c>
      <c r="D544" t="s">
        <v>66</v>
      </c>
      <c r="E544" t="s">
        <v>1596</v>
      </c>
      <c r="F544" s="41"/>
      <c r="G544" s="80" t="s">
        <v>1206</v>
      </c>
      <c r="H544" s="80" t="s">
        <v>1998</v>
      </c>
      <c r="I544" s="81" t="s">
        <v>1576</v>
      </c>
      <c r="J544" t="s">
        <v>6</v>
      </c>
    </row>
    <row r="545" spans="3:10" hidden="1">
      <c r="C545">
        <v>57027</v>
      </c>
      <c r="D545" t="s">
        <v>66</v>
      </c>
      <c r="E545" t="s">
        <v>1597</v>
      </c>
      <c r="F545" s="41"/>
      <c r="G545" s="80" t="s">
        <v>1206</v>
      </c>
      <c r="H545" s="80" t="s">
        <v>1998</v>
      </c>
      <c r="I545" s="81" t="s">
        <v>1576</v>
      </c>
      <c r="J545" t="s">
        <v>6</v>
      </c>
    </row>
    <row r="546" spans="3:10" hidden="1">
      <c r="C546">
        <v>57028</v>
      </c>
      <c r="D546" t="s">
        <v>66</v>
      </c>
      <c r="E546" t="s">
        <v>1598</v>
      </c>
      <c r="F546" s="41"/>
      <c r="G546" s="80" t="s">
        <v>1206</v>
      </c>
      <c r="H546" s="80" t="s">
        <v>1998</v>
      </c>
      <c r="I546" s="81" t="s">
        <v>1576</v>
      </c>
      <c r="J546" t="s">
        <v>6</v>
      </c>
    </row>
    <row r="547" spans="3:10" hidden="1">
      <c r="C547">
        <v>58000</v>
      </c>
      <c r="D547" t="s">
        <v>48</v>
      </c>
      <c r="E547" t="s">
        <v>1599</v>
      </c>
      <c r="F547" s="41"/>
      <c r="G547" s="80" t="s">
        <v>13</v>
      </c>
      <c r="H547" s="80" t="s">
        <v>1998</v>
      </c>
      <c r="I547" s="81" t="s">
        <v>1599</v>
      </c>
      <c r="J547" t="s">
        <v>6</v>
      </c>
    </row>
    <row r="548" spans="3:10" hidden="1">
      <c r="C548">
        <v>58001</v>
      </c>
      <c r="D548" t="s">
        <v>49</v>
      </c>
      <c r="E548" t="s">
        <v>1600</v>
      </c>
      <c r="F548" s="41"/>
      <c r="G548" s="80" t="s">
        <v>13</v>
      </c>
      <c r="H548" s="80" t="s">
        <v>1998</v>
      </c>
      <c r="I548" s="81" t="s">
        <v>1599</v>
      </c>
      <c r="J548" t="s">
        <v>6</v>
      </c>
    </row>
    <row r="549" spans="3:10" hidden="1">
      <c r="C549">
        <v>59000</v>
      </c>
      <c r="D549" t="s">
        <v>48</v>
      </c>
      <c r="E549" t="s">
        <v>1601</v>
      </c>
      <c r="F549" s="41"/>
      <c r="G549" s="80" t="s">
        <v>22</v>
      </c>
      <c r="H549" s="80" t="s">
        <v>1998</v>
      </c>
      <c r="I549" s="81" t="s">
        <v>1601</v>
      </c>
      <c r="J549" t="s">
        <v>6</v>
      </c>
    </row>
    <row r="550" spans="3:10" hidden="1">
      <c r="C550">
        <v>59001</v>
      </c>
      <c r="D550" t="s">
        <v>49</v>
      </c>
      <c r="E550" t="s">
        <v>1263</v>
      </c>
      <c r="F550" s="41"/>
      <c r="G550" s="80" t="s">
        <v>22</v>
      </c>
      <c r="H550" s="80" t="s">
        <v>1998</v>
      </c>
      <c r="I550" s="81" t="s">
        <v>1601</v>
      </c>
      <c r="J550" t="s">
        <v>6</v>
      </c>
    </row>
    <row r="551" spans="3:10" hidden="1">
      <c r="C551">
        <v>59002</v>
      </c>
      <c r="D551" t="s">
        <v>49</v>
      </c>
      <c r="E551" t="s">
        <v>1264</v>
      </c>
      <c r="F551" s="41"/>
      <c r="G551" s="80" t="s">
        <v>22</v>
      </c>
      <c r="H551" s="80" t="s">
        <v>1998</v>
      </c>
      <c r="I551" s="81" t="s">
        <v>1601</v>
      </c>
      <c r="J551" t="s">
        <v>6</v>
      </c>
    </row>
    <row r="552" spans="3:10" hidden="1">
      <c r="C552">
        <v>59003</v>
      </c>
      <c r="D552" t="s">
        <v>58</v>
      </c>
      <c r="E552" t="s">
        <v>306</v>
      </c>
      <c r="F552" s="41"/>
      <c r="G552" s="80" t="s">
        <v>22</v>
      </c>
      <c r="H552" s="80" t="s">
        <v>1998</v>
      </c>
      <c r="I552" s="81" t="s">
        <v>1601</v>
      </c>
      <c r="J552" t="s">
        <v>6</v>
      </c>
    </row>
    <row r="553" spans="3:10" hidden="1">
      <c r="C553">
        <v>59004</v>
      </c>
      <c r="D553" t="s">
        <v>49</v>
      </c>
      <c r="E553" t="s">
        <v>1602</v>
      </c>
      <c r="F553" s="41"/>
      <c r="G553" s="80" t="s">
        <v>22</v>
      </c>
      <c r="H553" s="80" t="s">
        <v>1998</v>
      </c>
      <c r="I553" s="81" t="s">
        <v>1601</v>
      </c>
      <c r="J553" t="s">
        <v>6</v>
      </c>
    </row>
    <row r="554" spans="3:10" hidden="1">
      <c r="C554">
        <v>60000</v>
      </c>
      <c r="D554" t="s">
        <v>48</v>
      </c>
      <c r="E554" t="s">
        <v>1603</v>
      </c>
      <c r="F554" s="41"/>
      <c r="G554" s="80" t="s">
        <v>22</v>
      </c>
      <c r="H554" s="80" t="s">
        <v>1998</v>
      </c>
      <c r="I554" s="81" t="s">
        <v>1603</v>
      </c>
      <c r="J554" t="s">
        <v>6</v>
      </c>
    </row>
    <row r="555" spans="3:10" hidden="1">
      <c r="C555">
        <v>60001</v>
      </c>
      <c r="D555" t="s">
        <v>49</v>
      </c>
      <c r="E555" t="s">
        <v>1263</v>
      </c>
      <c r="F555" s="41"/>
      <c r="G555" s="80" t="s">
        <v>22</v>
      </c>
      <c r="H555" s="80" t="s">
        <v>1998</v>
      </c>
      <c r="I555" s="81" t="s">
        <v>1603</v>
      </c>
      <c r="J555" t="s">
        <v>6</v>
      </c>
    </row>
    <row r="556" spans="3:10" hidden="1">
      <c r="C556">
        <v>60002</v>
      </c>
      <c r="D556" t="s">
        <v>49</v>
      </c>
      <c r="E556" t="s">
        <v>1264</v>
      </c>
      <c r="F556" s="41"/>
      <c r="G556" s="80" t="s">
        <v>22</v>
      </c>
      <c r="H556" s="80" t="s">
        <v>1998</v>
      </c>
      <c r="I556" s="81" t="s">
        <v>1603</v>
      </c>
      <c r="J556" t="s">
        <v>6</v>
      </c>
    </row>
    <row r="557" spans="3:10" hidden="1">
      <c r="C557">
        <v>60003</v>
      </c>
      <c r="D557" t="s">
        <v>58</v>
      </c>
      <c r="E557" t="s">
        <v>306</v>
      </c>
      <c r="F557" s="41"/>
      <c r="G557" s="80" t="s">
        <v>22</v>
      </c>
      <c r="H557" s="80" t="s">
        <v>1998</v>
      </c>
      <c r="I557" s="81" t="s">
        <v>1603</v>
      </c>
      <c r="J557" t="s">
        <v>6</v>
      </c>
    </row>
    <row r="558" spans="3:10" hidden="1">
      <c r="C558">
        <v>60004</v>
      </c>
      <c r="D558" t="s">
        <v>49</v>
      </c>
      <c r="E558" t="s">
        <v>1604</v>
      </c>
      <c r="F558" s="41"/>
      <c r="G558" s="80" t="s">
        <v>22</v>
      </c>
      <c r="H558" s="80" t="s">
        <v>1998</v>
      </c>
      <c r="I558" s="81" t="s">
        <v>1603</v>
      </c>
      <c r="J558" t="s">
        <v>6</v>
      </c>
    </row>
    <row r="559" spans="3:10" hidden="1">
      <c r="C559">
        <v>61000</v>
      </c>
      <c r="D559" t="s">
        <v>48</v>
      </c>
      <c r="E559" t="s">
        <v>1605</v>
      </c>
      <c r="F559" s="41"/>
      <c r="G559" s="80" t="s">
        <v>22</v>
      </c>
      <c r="H559" s="80" t="s">
        <v>1998</v>
      </c>
      <c r="I559" s="81" t="s">
        <v>1605</v>
      </c>
      <c r="J559" t="s">
        <v>6</v>
      </c>
    </row>
    <row r="560" spans="3:10" hidden="1">
      <c r="C560">
        <v>61001</v>
      </c>
      <c r="D560" t="s">
        <v>49</v>
      </c>
      <c r="E560" t="s">
        <v>1263</v>
      </c>
      <c r="F560" s="41"/>
      <c r="G560" s="80" t="s">
        <v>22</v>
      </c>
      <c r="H560" s="80" t="s">
        <v>1998</v>
      </c>
      <c r="I560" s="81" t="s">
        <v>1605</v>
      </c>
      <c r="J560" t="s">
        <v>6</v>
      </c>
    </row>
    <row r="561" spans="3:10" hidden="1">
      <c r="C561">
        <v>61002</v>
      </c>
      <c r="D561" t="s">
        <v>49</v>
      </c>
      <c r="E561" t="s">
        <v>1264</v>
      </c>
      <c r="F561" s="41"/>
      <c r="G561" s="80" t="s">
        <v>22</v>
      </c>
      <c r="H561" s="80" t="s">
        <v>1998</v>
      </c>
      <c r="I561" s="81" t="s">
        <v>1605</v>
      </c>
      <c r="J561" t="s">
        <v>6</v>
      </c>
    </row>
    <row r="562" spans="3:10" hidden="1">
      <c r="C562">
        <v>61003</v>
      </c>
      <c r="D562" t="s">
        <v>58</v>
      </c>
      <c r="E562" t="s">
        <v>306</v>
      </c>
      <c r="F562" s="41"/>
      <c r="G562" s="80" t="s">
        <v>22</v>
      </c>
      <c r="H562" s="80" t="s">
        <v>1998</v>
      </c>
      <c r="I562" s="81" t="s">
        <v>1605</v>
      </c>
      <c r="J562" t="s">
        <v>6</v>
      </c>
    </row>
    <row r="563" spans="3:10" hidden="1">
      <c r="C563">
        <v>61004</v>
      </c>
      <c r="D563" t="s">
        <v>49</v>
      </c>
      <c r="E563" t="s">
        <v>1606</v>
      </c>
      <c r="F563" s="41"/>
      <c r="G563" s="80" t="s">
        <v>22</v>
      </c>
      <c r="H563" s="80" t="s">
        <v>1998</v>
      </c>
      <c r="I563" s="81" t="s">
        <v>1605</v>
      </c>
      <c r="J563" t="s">
        <v>6</v>
      </c>
    </row>
    <row r="564" spans="3:10" hidden="1">
      <c r="C564">
        <v>62000</v>
      </c>
      <c r="D564" t="s">
        <v>48</v>
      </c>
      <c r="E564" t="s">
        <v>1607</v>
      </c>
      <c r="F564" s="41"/>
      <c r="G564" s="80" t="s">
        <v>22</v>
      </c>
      <c r="H564" s="80" t="s">
        <v>1998</v>
      </c>
      <c r="I564" s="81" t="s">
        <v>1607</v>
      </c>
      <c r="J564" t="s">
        <v>6</v>
      </c>
    </row>
    <row r="565" spans="3:10" hidden="1">
      <c r="C565">
        <v>62001</v>
      </c>
      <c r="D565" t="s">
        <v>49</v>
      </c>
      <c r="E565" t="s">
        <v>1263</v>
      </c>
      <c r="F565" s="41"/>
      <c r="G565" s="80" t="s">
        <v>22</v>
      </c>
      <c r="H565" s="80" t="s">
        <v>1998</v>
      </c>
      <c r="I565" s="81" t="s">
        <v>1607</v>
      </c>
      <c r="J565" t="s">
        <v>6</v>
      </c>
    </row>
    <row r="566" spans="3:10" hidden="1">
      <c r="C566">
        <v>62002</v>
      </c>
      <c r="D566" t="s">
        <v>49</v>
      </c>
      <c r="E566" t="s">
        <v>1264</v>
      </c>
      <c r="F566" s="41"/>
      <c r="G566" s="80" t="s">
        <v>22</v>
      </c>
      <c r="H566" s="80" t="s">
        <v>1998</v>
      </c>
      <c r="I566" s="81" t="s">
        <v>1607</v>
      </c>
      <c r="J566" t="s">
        <v>6</v>
      </c>
    </row>
    <row r="567" spans="3:10" hidden="1">
      <c r="C567">
        <v>62003</v>
      </c>
      <c r="D567" t="s">
        <v>58</v>
      </c>
      <c r="E567" t="s">
        <v>306</v>
      </c>
      <c r="F567" s="41"/>
      <c r="G567" s="80" t="s">
        <v>22</v>
      </c>
      <c r="H567" s="80" t="s">
        <v>1998</v>
      </c>
      <c r="I567" s="81" t="s">
        <v>1607</v>
      </c>
      <c r="J567" t="s">
        <v>6</v>
      </c>
    </row>
    <row r="568" spans="3:10" hidden="1">
      <c r="C568">
        <v>62004</v>
      </c>
      <c r="D568" t="s">
        <v>49</v>
      </c>
      <c r="E568" t="s">
        <v>1608</v>
      </c>
      <c r="F568" s="41"/>
      <c r="G568" s="80" t="s">
        <v>22</v>
      </c>
      <c r="H568" s="80" t="s">
        <v>1998</v>
      </c>
      <c r="I568" s="81" t="s">
        <v>1607</v>
      </c>
      <c r="J568" t="s">
        <v>6</v>
      </c>
    </row>
    <row r="569" spans="3:10" hidden="1">
      <c r="C569">
        <v>63000</v>
      </c>
      <c r="D569" t="s">
        <v>48</v>
      </c>
      <c r="E569" t="s">
        <v>1609</v>
      </c>
      <c r="F569" s="41"/>
      <c r="G569" s="80" t="s">
        <v>22</v>
      </c>
      <c r="H569" s="80" t="s">
        <v>1998</v>
      </c>
      <c r="I569" s="81" t="s">
        <v>1609</v>
      </c>
      <c r="J569" t="s">
        <v>6</v>
      </c>
    </row>
    <row r="570" spans="3:10" hidden="1">
      <c r="C570">
        <v>63001</v>
      </c>
      <c r="D570" t="s">
        <v>49</v>
      </c>
      <c r="E570" t="s">
        <v>1263</v>
      </c>
      <c r="F570" s="41"/>
      <c r="G570" s="80" t="s">
        <v>22</v>
      </c>
      <c r="H570" s="80" t="s">
        <v>1998</v>
      </c>
      <c r="I570" s="81" t="s">
        <v>1609</v>
      </c>
      <c r="J570" t="s">
        <v>6</v>
      </c>
    </row>
    <row r="571" spans="3:10" hidden="1">
      <c r="C571">
        <v>63002</v>
      </c>
      <c r="D571" t="s">
        <v>49</v>
      </c>
      <c r="E571" t="s">
        <v>1264</v>
      </c>
      <c r="F571" s="41"/>
      <c r="G571" s="80" t="s">
        <v>22</v>
      </c>
      <c r="H571" s="80" t="s">
        <v>1998</v>
      </c>
      <c r="I571" s="81" t="s">
        <v>1609</v>
      </c>
      <c r="J571" t="s">
        <v>6</v>
      </c>
    </row>
    <row r="572" spans="3:10" hidden="1">
      <c r="C572">
        <v>63003</v>
      </c>
      <c r="D572" t="s">
        <v>58</v>
      </c>
      <c r="E572" t="s">
        <v>306</v>
      </c>
      <c r="F572" s="41"/>
      <c r="G572" s="80" t="s">
        <v>22</v>
      </c>
      <c r="H572" s="80" t="s">
        <v>1998</v>
      </c>
      <c r="I572" s="81" t="s">
        <v>1609</v>
      </c>
      <c r="J572" t="s">
        <v>6</v>
      </c>
    </row>
    <row r="573" spans="3:10" hidden="1">
      <c r="C573">
        <v>63004</v>
      </c>
      <c r="D573" t="s">
        <v>49</v>
      </c>
      <c r="E573" t="s">
        <v>1610</v>
      </c>
      <c r="F573" s="41"/>
      <c r="G573" s="80" t="s">
        <v>22</v>
      </c>
      <c r="H573" s="80" t="s">
        <v>1998</v>
      </c>
      <c r="I573" s="81" t="s">
        <v>1609</v>
      </c>
      <c r="J573" t="s">
        <v>6</v>
      </c>
    </row>
    <row r="574" spans="3:10" hidden="1">
      <c r="C574">
        <v>64000</v>
      </c>
      <c r="D574" t="s">
        <v>48</v>
      </c>
      <c r="E574" t="s">
        <v>1611</v>
      </c>
      <c r="F574" s="41"/>
      <c r="G574" s="80" t="s">
        <v>22</v>
      </c>
      <c r="H574" s="80" t="s">
        <v>1998</v>
      </c>
      <c r="I574" s="81" t="s">
        <v>1611</v>
      </c>
      <c r="J574" t="s">
        <v>6</v>
      </c>
    </row>
    <row r="575" spans="3:10" hidden="1">
      <c r="C575">
        <v>64001</v>
      </c>
      <c r="D575" t="s">
        <v>49</v>
      </c>
      <c r="E575" t="s">
        <v>1263</v>
      </c>
      <c r="F575" s="41"/>
      <c r="G575" s="80" t="s">
        <v>22</v>
      </c>
      <c r="H575" s="80" t="s">
        <v>1998</v>
      </c>
      <c r="I575" s="81" t="s">
        <v>1611</v>
      </c>
      <c r="J575" t="s">
        <v>6</v>
      </c>
    </row>
    <row r="576" spans="3:10" hidden="1">
      <c r="C576">
        <v>64002</v>
      </c>
      <c r="D576" t="s">
        <v>49</v>
      </c>
      <c r="E576" t="s">
        <v>1264</v>
      </c>
      <c r="F576" s="41"/>
      <c r="G576" s="80" t="s">
        <v>22</v>
      </c>
      <c r="H576" s="80" t="s">
        <v>1998</v>
      </c>
      <c r="I576" s="81" t="s">
        <v>1611</v>
      </c>
      <c r="J576" t="s">
        <v>6</v>
      </c>
    </row>
    <row r="577" spans="3:10" hidden="1">
      <c r="C577">
        <v>64003</v>
      </c>
      <c r="D577" t="s">
        <v>58</v>
      </c>
      <c r="E577" t="s">
        <v>306</v>
      </c>
      <c r="F577" s="41"/>
      <c r="G577" s="80" t="s">
        <v>22</v>
      </c>
      <c r="H577" s="80" t="s">
        <v>1998</v>
      </c>
      <c r="I577" s="81" t="s">
        <v>1611</v>
      </c>
      <c r="J577" t="s">
        <v>6</v>
      </c>
    </row>
    <row r="578" spans="3:10" hidden="1">
      <c r="C578">
        <v>64004</v>
      </c>
      <c r="D578" t="s">
        <v>49</v>
      </c>
      <c r="E578" t="s">
        <v>1612</v>
      </c>
      <c r="F578" s="41"/>
      <c r="G578" s="80" t="s">
        <v>22</v>
      </c>
      <c r="H578" s="80" t="s">
        <v>1998</v>
      </c>
      <c r="I578" s="81" t="s">
        <v>1611</v>
      </c>
      <c r="J578" t="s">
        <v>6</v>
      </c>
    </row>
    <row r="579" spans="3:10" hidden="1">
      <c r="C579">
        <v>65000</v>
      </c>
      <c r="D579" t="s">
        <v>48</v>
      </c>
      <c r="E579" t="s">
        <v>1613</v>
      </c>
      <c r="F579" s="41"/>
      <c r="G579" s="80" t="s">
        <v>22</v>
      </c>
      <c r="H579" s="80" t="s">
        <v>1998</v>
      </c>
      <c r="I579" s="81" t="s">
        <v>1613</v>
      </c>
      <c r="J579" t="s">
        <v>6</v>
      </c>
    </row>
    <row r="580" spans="3:10" hidden="1">
      <c r="C580">
        <v>65001</v>
      </c>
      <c r="D580" t="s">
        <v>49</v>
      </c>
      <c r="E580" t="s">
        <v>1263</v>
      </c>
      <c r="F580" s="41"/>
      <c r="G580" s="80" t="s">
        <v>22</v>
      </c>
      <c r="H580" s="80" t="s">
        <v>1998</v>
      </c>
      <c r="I580" s="81" t="s">
        <v>1613</v>
      </c>
      <c r="J580" t="s">
        <v>6</v>
      </c>
    </row>
    <row r="581" spans="3:10" hidden="1">
      <c r="C581">
        <v>65002</v>
      </c>
      <c r="D581" t="s">
        <v>49</v>
      </c>
      <c r="E581" t="s">
        <v>1264</v>
      </c>
      <c r="F581" s="41"/>
      <c r="G581" s="80" t="s">
        <v>22</v>
      </c>
      <c r="H581" s="80" t="s">
        <v>1998</v>
      </c>
      <c r="I581" s="81" t="s">
        <v>1613</v>
      </c>
      <c r="J581" t="s">
        <v>6</v>
      </c>
    </row>
    <row r="582" spans="3:10" hidden="1">
      <c r="C582">
        <v>65003</v>
      </c>
      <c r="D582" t="s">
        <v>58</v>
      </c>
      <c r="E582" t="s">
        <v>306</v>
      </c>
      <c r="F582" s="41"/>
      <c r="G582" s="80" t="s">
        <v>22</v>
      </c>
      <c r="H582" s="80" t="s">
        <v>1998</v>
      </c>
      <c r="I582" s="81" t="s">
        <v>1613</v>
      </c>
      <c r="J582" t="s">
        <v>6</v>
      </c>
    </row>
    <row r="583" spans="3:10" hidden="1">
      <c r="C583">
        <v>65004</v>
      </c>
      <c r="D583" t="s">
        <v>49</v>
      </c>
      <c r="E583" t="s">
        <v>1614</v>
      </c>
      <c r="F583" s="41"/>
      <c r="G583" s="80" t="s">
        <v>22</v>
      </c>
      <c r="H583" s="80" t="s">
        <v>1998</v>
      </c>
      <c r="I583" s="81" t="s">
        <v>1613</v>
      </c>
      <c r="J583" t="s">
        <v>6</v>
      </c>
    </row>
    <row r="584" spans="3:10" hidden="1">
      <c r="C584">
        <v>66000</v>
      </c>
      <c r="D584" t="s">
        <v>48</v>
      </c>
      <c r="E584" t="s">
        <v>1615</v>
      </c>
      <c r="F584" s="41"/>
      <c r="G584" s="80" t="s">
        <v>22</v>
      </c>
      <c r="H584" s="80" t="s">
        <v>1998</v>
      </c>
      <c r="I584" s="81" t="s">
        <v>1615</v>
      </c>
      <c r="J584" t="s">
        <v>6</v>
      </c>
    </row>
    <row r="585" spans="3:10" hidden="1">
      <c r="C585">
        <v>66001</v>
      </c>
      <c r="D585" t="s">
        <v>49</v>
      </c>
      <c r="E585" t="s">
        <v>1616</v>
      </c>
      <c r="F585" s="41"/>
      <c r="G585" s="80" t="s">
        <v>22</v>
      </c>
      <c r="H585" s="80" t="s">
        <v>1998</v>
      </c>
      <c r="I585" s="81" t="s">
        <v>1615</v>
      </c>
      <c r="J585" t="s">
        <v>6</v>
      </c>
    </row>
    <row r="586" spans="3:10" hidden="1">
      <c r="C586">
        <v>66002</v>
      </c>
      <c r="D586" t="s">
        <v>49</v>
      </c>
      <c r="E586" t="s">
        <v>1617</v>
      </c>
      <c r="F586" s="41"/>
      <c r="G586" s="80" t="s">
        <v>22</v>
      </c>
      <c r="H586" s="80" t="s">
        <v>1998</v>
      </c>
      <c r="I586" s="81" t="s">
        <v>1615</v>
      </c>
      <c r="J586" t="s">
        <v>6</v>
      </c>
    </row>
    <row r="587" spans="3:10" hidden="1">
      <c r="C587">
        <v>66003</v>
      </c>
      <c r="D587" t="s">
        <v>49</v>
      </c>
      <c r="E587" t="s">
        <v>1618</v>
      </c>
      <c r="F587" s="41"/>
      <c r="G587" s="80" t="s">
        <v>22</v>
      </c>
      <c r="H587" s="80" t="s">
        <v>1998</v>
      </c>
      <c r="I587" s="81" t="s">
        <v>1615</v>
      </c>
      <c r="J587" t="s">
        <v>6</v>
      </c>
    </row>
    <row r="588" spans="3:10" hidden="1">
      <c r="C588">
        <v>66004</v>
      </c>
      <c r="D588" t="s">
        <v>58</v>
      </c>
      <c r="E588" t="s">
        <v>306</v>
      </c>
      <c r="F588" s="41"/>
      <c r="G588" s="80" t="s">
        <v>22</v>
      </c>
      <c r="H588" s="80" t="s">
        <v>1998</v>
      </c>
      <c r="I588" s="81" t="s">
        <v>1615</v>
      </c>
      <c r="J588" t="s">
        <v>6</v>
      </c>
    </row>
    <row r="589" spans="3:10" hidden="1">
      <c r="C589">
        <v>66005</v>
      </c>
      <c r="D589" t="s">
        <v>49</v>
      </c>
      <c r="E589" t="s">
        <v>1619</v>
      </c>
      <c r="F589" s="41"/>
      <c r="G589" s="80" t="s">
        <v>22</v>
      </c>
      <c r="H589" s="80" t="s">
        <v>1998</v>
      </c>
      <c r="I589" s="81" t="s">
        <v>1615</v>
      </c>
      <c r="J589" t="s">
        <v>6</v>
      </c>
    </row>
    <row r="590" spans="3:10" hidden="1">
      <c r="C590">
        <v>67000</v>
      </c>
      <c r="D590" t="s">
        <v>48</v>
      </c>
      <c r="E590" t="s">
        <v>1620</v>
      </c>
      <c r="F590" s="41"/>
      <c r="G590" s="80" t="s">
        <v>22</v>
      </c>
      <c r="H590" s="80" t="s">
        <v>1998</v>
      </c>
      <c r="I590" s="81" t="s">
        <v>1620</v>
      </c>
      <c r="J590" t="s">
        <v>6</v>
      </c>
    </row>
    <row r="591" spans="3:10" hidden="1">
      <c r="C591">
        <v>67001</v>
      </c>
      <c r="D591" t="s">
        <v>831</v>
      </c>
      <c r="E591" t="s">
        <v>1621</v>
      </c>
      <c r="F591" s="41"/>
      <c r="G591" s="80" t="s">
        <v>22</v>
      </c>
      <c r="H591" s="80" t="s">
        <v>1998</v>
      </c>
      <c r="I591" s="81" t="s">
        <v>1620</v>
      </c>
      <c r="J591" t="s">
        <v>6</v>
      </c>
    </row>
    <row r="592" spans="3:10" hidden="1">
      <c r="C592">
        <v>67002</v>
      </c>
      <c r="D592" t="s">
        <v>831</v>
      </c>
      <c r="E592" t="s">
        <v>1622</v>
      </c>
      <c r="F592" s="41"/>
      <c r="G592" s="80" t="s">
        <v>22</v>
      </c>
      <c r="H592" s="80" t="s">
        <v>1998</v>
      </c>
      <c r="I592" s="81" t="s">
        <v>1620</v>
      </c>
      <c r="J592" t="s">
        <v>6</v>
      </c>
    </row>
    <row r="593" spans="3:10" hidden="1">
      <c r="C593">
        <v>67003</v>
      </c>
      <c r="D593" t="s">
        <v>831</v>
      </c>
      <c r="E593" t="s">
        <v>1623</v>
      </c>
      <c r="F593" s="41"/>
      <c r="G593" s="80" t="s">
        <v>22</v>
      </c>
      <c r="H593" s="80" t="s">
        <v>1998</v>
      </c>
      <c r="I593" s="81" t="s">
        <v>1620</v>
      </c>
      <c r="J593" t="s">
        <v>6</v>
      </c>
    </row>
    <row r="594" spans="3:10" hidden="1">
      <c r="C594">
        <v>67004</v>
      </c>
      <c r="D594" t="s">
        <v>58</v>
      </c>
      <c r="E594" t="s">
        <v>1624</v>
      </c>
      <c r="F594" s="41"/>
      <c r="G594" s="80" t="s">
        <v>22</v>
      </c>
      <c r="H594" s="80" t="s">
        <v>1998</v>
      </c>
      <c r="I594" s="81" t="s">
        <v>1620</v>
      </c>
      <c r="J594" t="s">
        <v>6</v>
      </c>
    </row>
    <row r="595" spans="3:10" hidden="1">
      <c r="C595">
        <v>67005</v>
      </c>
      <c r="D595" t="s">
        <v>49</v>
      </c>
      <c r="E595" t="s">
        <v>1625</v>
      </c>
      <c r="F595" s="41"/>
      <c r="G595" s="80" t="s">
        <v>22</v>
      </c>
      <c r="H595" s="80" t="s">
        <v>1998</v>
      </c>
      <c r="I595" s="81" t="s">
        <v>1620</v>
      </c>
      <c r="J595" t="s">
        <v>6</v>
      </c>
    </row>
    <row r="596" spans="3:10" hidden="1">
      <c r="C596">
        <v>68000</v>
      </c>
      <c r="D596" t="s">
        <v>48</v>
      </c>
      <c r="E596" t="s">
        <v>1626</v>
      </c>
      <c r="F596" s="41"/>
      <c r="G596" s="80" t="s">
        <v>22</v>
      </c>
      <c r="H596" s="80" t="s">
        <v>1998</v>
      </c>
      <c r="I596" s="81" t="s">
        <v>1626</v>
      </c>
      <c r="J596" t="s">
        <v>6</v>
      </c>
    </row>
    <row r="597" spans="3:10" hidden="1">
      <c r="C597">
        <v>68001</v>
      </c>
      <c r="D597" t="s">
        <v>49</v>
      </c>
      <c r="E597" t="s">
        <v>1263</v>
      </c>
      <c r="F597" s="41"/>
      <c r="G597" s="80" t="s">
        <v>22</v>
      </c>
      <c r="H597" s="80" t="s">
        <v>1998</v>
      </c>
      <c r="I597" s="81" t="s">
        <v>1626</v>
      </c>
      <c r="J597" t="s">
        <v>6</v>
      </c>
    </row>
    <row r="598" spans="3:10" hidden="1">
      <c r="C598">
        <v>68002</v>
      </c>
      <c r="D598" t="s">
        <v>49</v>
      </c>
      <c r="E598" t="s">
        <v>1264</v>
      </c>
      <c r="F598" s="41"/>
      <c r="G598" s="80" t="s">
        <v>22</v>
      </c>
      <c r="H598" s="80" t="s">
        <v>1998</v>
      </c>
      <c r="I598" s="81" t="s">
        <v>1626</v>
      </c>
      <c r="J598" t="s">
        <v>6</v>
      </c>
    </row>
    <row r="599" spans="3:10" hidden="1">
      <c r="C599">
        <v>68003</v>
      </c>
      <c r="D599" t="s">
        <v>58</v>
      </c>
      <c r="E599" t="s">
        <v>306</v>
      </c>
      <c r="F599" s="41"/>
      <c r="G599" s="80" t="s">
        <v>22</v>
      </c>
      <c r="H599" s="80" t="s">
        <v>1998</v>
      </c>
      <c r="I599" s="81" t="s">
        <v>1626</v>
      </c>
      <c r="J599" t="s">
        <v>6</v>
      </c>
    </row>
    <row r="600" spans="3:10" hidden="1">
      <c r="C600">
        <v>68004</v>
      </c>
      <c r="D600" t="s">
        <v>49</v>
      </c>
      <c r="E600" t="s">
        <v>1627</v>
      </c>
      <c r="F600" s="41"/>
      <c r="G600" s="80" t="s">
        <v>22</v>
      </c>
      <c r="H600" s="80" t="s">
        <v>1998</v>
      </c>
      <c r="I600" s="81" t="s">
        <v>1626</v>
      </c>
      <c r="J600" t="s">
        <v>6</v>
      </c>
    </row>
    <row r="601" spans="3:10" hidden="1">
      <c r="C601">
        <v>69000</v>
      </c>
      <c r="D601" t="s">
        <v>48</v>
      </c>
      <c r="E601" t="s">
        <v>1628</v>
      </c>
      <c r="F601" s="41"/>
      <c r="G601" s="80" t="s">
        <v>22</v>
      </c>
      <c r="H601" s="80" t="s">
        <v>1998</v>
      </c>
      <c r="I601" s="81" t="s">
        <v>1628</v>
      </c>
      <c r="J601" t="s">
        <v>6</v>
      </c>
    </row>
    <row r="602" spans="3:10" hidden="1">
      <c r="C602">
        <v>69001</v>
      </c>
      <c r="D602" t="s">
        <v>49</v>
      </c>
      <c r="E602" t="s">
        <v>1263</v>
      </c>
      <c r="F602" s="41"/>
      <c r="G602" s="80" t="s">
        <v>22</v>
      </c>
      <c r="H602" s="80" t="s">
        <v>1998</v>
      </c>
      <c r="I602" s="81" t="s">
        <v>1628</v>
      </c>
      <c r="J602" t="s">
        <v>6</v>
      </c>
    </row>
    <row r="603" spans="3:10" hidden="1">
      <c r="C603">
        <v>69002</v>
      </c>
      <c r="D603" t="s">
        <v>49</v>
      </c>
      <c r="E603" t="s">
        <v>1264</v>
      </c>
      <c r="F603" s="41"/>
      <c r="G603" s="80" t="s">
        <v>22</v>
      </c>
      <c r="H603" s="80" t="s">
        <v>1998</v>
      </c>
      <c r="I603" s="81" t="s">
        <v>1628</v>
      </c>
      <c r="J603" t="s">
        <v>6</v>
      </c>
    </row>
    <row r="604" spans="3:10" hidden="1">
      <c r="C604">
        <v>69003</v>
      </c>
      <c r="D604" t="s">
        <v>58</v>
      </c>
      <c r="E604" t="s">
        <v>306</v>
      </c>
      <c r="F604" s="41"/>
      <c r="G604" s="80" t="s">
        <v>22</v>
      </c>
      <c r="H604" s="80" t="s">
        <v>1998</v>
      </c>
      <c r="I604" s="81" t="s">
        <v>1628</v>
      </c>
      <c r="J604" t="s">
        <v>6</v>
      </c>
    </row>
    <row r="605" spans="3:10" hidden="1">
      <c r="C605">
        <v>69004</v>
      </c>
      <c r="D605" t="s">
        <v>49</v>
      </c>
      <c r="E605" t="s">
        <v>1360</v>
      </c>
      <c r="F605" s="41"/>
      <c r="G605" s="80" t="s">
        <v>22</v>
      </c>
      <c r="H605" s="80" t="s">
        <v>1998</v>
      </c>
      <c r="I605" s="81" t="s">
        <v>1628</v>
      </c>
      <c r="J605" t="s">
        <v>6</v>
      </c>
    </row>
    <row r="606" spans="3:10" hidden="1">
      <c r="C606">
        <v>70000</v>
      </c>
      <c r="D606" t="s">
        <v>48</v>
      </c>
      <c r="E606" t="s">
        <v>1629</v>
      </c>
      <c r="F606" s="41"/>
      <c r="G606" s="80" t="s">
        <v>22</v>
      </c>
      <c r="H606" s="80" t="s">
        <v>1998</v>
      </c>
      <c r="I606" s="81" t="s">
        <v>1629</v>
      </c>
      <c r="J606" t="s">
        <v>6</v>
      </c>
    </row>
    <row r="607" spans="3:10" hidden="1">
      <c r="C607">
        <v>70001</v>
      </c>
      <c r="D607" t="s">
        <v>49</v>
      </c>
      <c r="E607" t="s">
        <v>1263</v>
      </c>
      <c r="F607" s="41"/>
      <c r="G607" s="80" t="s">
        <v>22</v>
      </c>
      <c r="H607" s="80" t="s">
        <v>1998</v>
      </c>
      <c r="I607" s="81" t="s">
        <v>1629</v>
      </c>
      <c r="J607" t="s">
        <v>6</v>
      </c>
    </row>
    <row r="608" spans="3:10" hidden="1">
      <c r="C608">
        <v>70002</v>
      </c>
      <c r="D608" t="s">
        <v>49</v>
      </c>
      <c r="E608" t="s">
        <v>1264</v>
      </c>
      <c r="F608" s="41"/>
      <c r="G608" s="80" t="s">
        <v>22</v>
      </c>
      <c r="H608" s="80" t="s">
        <v>1998</v>
      </c>
      <c r="I608" s="81" t="s">
        <v>1629</v>
      </c>
      <c r="J608" t="s">
        <v>6</v>
      </c>
    </row>
    <row r="609" spans="3:10" hidden="1">
      <c r="C609">
        <v>70003</v>
      </c>
      <c r="D609" t="s">
        <v>58</v>
      </c>
      <c r="E609" t="s">
        <v>306</v>
      </c>
      <c r="F609" s="41"/>
      <c r="G609" s="80" t="s">
        <v>22</v>
      </c>
      <c r="H609" s="80" t="s">
        <v>1998</v>
      </c>
      <c r="I609" s="81" t="s">
        <v>1629</v>
      </c>
      <c r="J609" t="s">
        <v>6</v>
      </c>
    </row>
    <row r="610" spans="3:10" hidden="1">
      <c r="C610">
        <v>70004</v>
      </c>
      <c r="D610" t="s">
        <v>49</v>
      </c>
      <c r="E610" t="s">
        <v>1630</v>
      </c>
      <c r="F610" s="41"/>
      <c r="G610" s="80" t="s">
        <v>22</v>
      </c>
      <c r="H610" s="80" t="s">
        <v>1998</v>
      </c>
      <c r="I610" s="81" t="s">
        <v>1629</v>
      </c>
      <c r="J610" t="s">
        <v>6</v>
      </c>
    </row>
    <row r="611" spans="3:10" hidden="1">
      <c r="C611">
        <v>71000</v>
      </c>
      <c r="D611" t="s">
        <v>48</v>
      </c>
      <c r="E611" t="s">
        <v>1631</v>
      </c>
      <c r="F611" s="41"/>
      <c r="G611" s="80" t="s">
        <v>22</v>
      </c>
      <c r="H611" s="80" t="s">
        <v>1998</v>
      </c>
      <c r="I611" s="81" t="s">
        <v>1631</v>
      </c>
      <c r="J611" t="s">
        <v>6</v>
      </c>
    </row>
    <row r="612" spans="3:10" hidden="1">
      <c r="C612">
        <v>71001</v>
      </c>
      <c r="D612" t="s">
        <v>49</v>
      </c>
      <c r="E612" t="s">
        <v>1263</v>
      </c>
      <c r="F612" s="41"/>
      <c r="G612" s="80" t="s">
        <v>22</v>
      </c>
      <c r="H612" s="80" t="s">
        <v>1998</v>
      </c>
      <c r="I612" s="81" t="s">
        <v>1631</v>
      </c>
      <c r="J612" t="s">
        <v>6</v>
      </c>
    </row>
    <row r="613" spans="3:10" hidden="1">
      <c r="C613">
        <v>71002</v>
      </c>
      <c r="D613" t="s">
        <v>49</v>
      </c>
      <c r="E613" t="s">
        <v>1264</v>
      </c>
      <c r="F613" s="41"/>
      <c r="G613" s="80" t="s">
        <v>22</v>
      </c>
      <c r="H613" s="80" t="s">
        <v>1998</v>
      </c>
      <c r="I613" s="81" t="s">
        <v>1631</v>
      </c>
      <c r="J613" t="s">
        <v>6</v>
      </c>
    </row>
    <row r="614" spans="3:10" hidden="1">
      <c r="C614">
        <v>71003</v>
      </c>
      <c r="D614" t="s">
        <v>58</v>
      </c>
      <c r="E614" t="s">
        <v>306</v>
      </c>
      <c r="F614" s="41"/>
      <c r="G614" s="80" t="s">
        <v>22</v>
      </c>
      <c r="H614" s="80" t="s">
        <v>1998</v>
      </c>
      <c r="I614" s="81" t="s">
        <v>1631</v>
      </c>
      <c r="J614" t="s">
        <v>6</v>
      </c>
    </row>
    <row r="615" spans="3:10" hidden="1">
      <c r="C615">
        <v>71004</v>
      </c>
      <c r="D615" t="s">
        <v>49</v>
      </c>
      <c r="E615" t="s">
        <v>1632</v>
      </c>
      <c r="F615" s="41"/>
      <c r="G615" s="80" t="s">
        <v>22</v>
      </c>
      <c r="H615" s="80" t="s">
        <v>1998</v>
      </c>
      <c r="I615" s="81" t="s">
        <v>1631</v>
      </c>
      <c r="J615" t="s">
        <v>6</v>
      </c>
    </row>
    <row r="616" spans="3:10" hidden="1">
      <c r="C616">
        <v>72000</v>
      </c>
      <c r="D616" t="s">
        <v>48</v>
      </c>
      <c r="E616" t="s">
        <v>1633</v>
      </c>
      <c r="F616" s="41"/>
      <c r="G616" s="80" t="s">
        <v>22</v>
      </c>
      <c r="H616" s="80" t="s">
        <v>1998</v>
      </c>
      <c r="I616" s="81" t="s">
        <v>1633</v>
      </c>
      <c r="J616" t="s">
        <v>6</v>
      </c>
    </row>
    <row r="617" spans="3:10" hidden="1">
      <c r="C617">
        <v>72001</v>
      </c>
      <c r="D617" t="s">
        <v>49</v>
      </c>
      <c r="E617" t="s">
        <v>1263</v>
      </c>
      <c r="F617" s="41"/>
      <c r="G617" s="80" t="s">
        <v>22</v>
      </c>
      <c r="H617" s="80" t="s">
        <v>1998</v>
      </c>
      <c r="I617" s="81" t="s">
        <v>1633</v>
      </c>
      <c r="J617" t="s">
        <v>6</v>
      </c>
    </row>
    <row r="618" spans="3:10" hidden="1">
      <c r="C618">
        <v>72002</v>
      </c>
      <c r="D618" t="s">
        <v>49</v>
      </c>
      <c r="E618" t="s">
        <v>1264</v>
      </c>
      <c r="F618" s="41"/>
      <c r="G618" s="80" t="s">
        <v>22</v>
      </c>
      <c r="H618" s="80" t="s">
        <v>1998</v>
      </c>
      <c r="I618" s="81" t="s">
        <v>1633</v>
      </c>
      <c r="J618" t="s">
        <v>6</v>
      </c>
    </row>
    <row r="619" spans="3:10" hidden="1">
      <c r="C619">
        <v>72003</v>
      </c>
      <c r="D619" t="s">
        <v>58</v>
      </c>
      <c r="E619" t="s">
        <v>306</v>
      </c>
      <c r="F619" s="41"/>
      <c r="G619" s="80" t="s">
        <v>22</v>
      </c>
      <c r="H619" s="80" t="s">
        <v>1998</v>
      </c>
      <c r="I619" s="81" t="s">
        <v>1633</v>
      </c>
      <c r="J619" t="s">
        <v>6</v>
      </c>
    </row>
    <row r="620" spans="3:10" hidden="1">
      <c r="C620">
        <v>72004</v>
      </c>
      <c r="D620" t="s">
        <v>49</v>
      </c>
      <c r="E620" t="s">
        <v>1634</v>
      </c>
      <c r="F620" s="41"/>
      <c r="G620" s="80" t="s">
        <v>22</v>
      </c>
      <c r="H620" s="80" t="s">
        <v>1998</v>
      </c>
      <c r="I620" s="81" t="s">
        <v>1633</v>
      </c>
      <c r="J620" t="s">
        <v>6</v>
      </c>
    </row>
    <row r="621" spans="3:10" hidden="1">
      <c r="C621">
        <v>73000</v>
      </c>
      <c r="D621" t="s">
        <v>48</v>
      </c>
      <c r="E621" t="s">
        <v>1635</v>
      </c>
      <c r="F621" s="41"/>
      <c r="G621" s="80" t="s">
        <v>1206</v>
      </c>
      <c r="H621" s="80" t="s">
        <v>1998</v>
      </c>
      <c r="I621" s="81" t="s">
        <v>1635</v>
      </c>
      <c r="J621" t="s">
        <v>6</v>
      </c>
    </row>
    <row r="622" spans="3:10" hidden="1">
      <c r="C622">
        <v>73001</v>
      </c>
      <c r="D622" t="s">
        <v>831</v>
      </c>
      <c r="E622" t="s">
        <v>1636</v>
      </c>
      <c r="F622" s="41"/>
      <c r="G622" s="80" t="s">
        <v>1206</v>
      </c>
      <c r="H622" s="80" t="s">
        <v>1998</v>
      </c>
      <c r="I622" s="81" t="s">
        <v>1635</v>
      </c>
      <c r="J622" t="s">
        <v>6</v>
      </c>
    </row>
    <row r="623" spans="3:10" hidden="1">
      <c r="C623">
        <v>73002</v>
      </c>
      <c r="D623" t="s">
        <v>831</v>
      </c>
      <c r="E623" t="s">
        <v>1637</v>
      </c>
      <c r="F623" s="41"/>
      <c r="G623" s="80" t="s">
        <v>1206</v>
      </c>
      <c r="H623" s="80" t="s">
        <v>1998</v>
      </c>
      <c r="I623" s="81" t="s">
        <v>1635</v>
      </c>
      <c r="J623" t="s">
        <v>6</v>
      </c>
    </row>
    <row r="624" spans="3:10" hidden="1">
      <c r="C624">
        <v>73003</v>
      </c>
      <c r="D624" t="s">
        <v>831</v>
      </c>
      <c r="E624" t="s">
        <v>1638</v>
      </c>
      <c r="F624" s="41"/>
      <c r="G624" s="80" t="s">
        <v>1206</v>
      </c>
      <c r="H624" s="80" t="s">
        <v>1998</v>
      </c>
      <c r="I624" s="81" t="s">
        <v>1635</v>
      </c>
      <c r="J624" t="s">
        <v>6</v>
      </c>
    </row>
    <row r="625" spans="3:10" hidden="1">
      <c r="C625">
        <v>73004</v>
      </c>
      <c r="D625" t="s">
        <v>831</v>
      </c>
      <c r="E625" t="s">
        <v>1639</v>
      </c>
      <c r="F625" s="41"/>
      <c r="G625" s="80" t="s">
        <v>1206</v>
      </c>
      <c r="H625" s="80" t="s">
        <v>1998</v>
      </c>
      <c r="I625" s="81" t="s">
        <v>1635</v>
      </c>
      <c r="J625" t="s">
        <v>6</v>
      </c>
    </row>
    <row r="626" spans="3:10" hidden="1">
      <c r="C626">
        <v>73005</v>
      </c>
      <c r="D626" t="s">
        <v>831</v>
      </c>
      <c r="E626" t="s">
        <v>1640</v>
      </c>
      <c r="F626" s="41"/>
      <c r="G626" s="80" t="s">
        <v>1206</v>
      </c>
      <c r="H626" s="80" t="s">
        <v>1998</v>
      </c>
      <c r="I626" s="81" t="s">
        <v>1635</v>
      </c>
      <c r="J626" t="s">
        <v>6</v>
      </c>
    </row>
    <row r="627" spans="3:10" hidden="1">
      <c r="C627">
        <v>74000</v>
      </c>
      <c r="D627" t="s">
        <v>48</v>
      </c>
      <c r="E627" t="s">
        <v>1641</v>
      </c>
      <c r="F627" s="41"/>
      <c r="G627" s="80" t="s">
        <v>34</v>
      </c>
      <c r="H627" s="80" t="s">
        <v>1998</v>
      </c>
      <c r="I627" s="81" t="s">
        <v>1641</v>
      </c>
      <c r="J627" t="s">
        <v>6</v>
      </c>
    </row>
    <row r="628" spans="3:10" hidden="1">
      <c r="C628">
        <v>74001</v>
      </c>
      <c r="D628" t="s">
        <v>49</v>
      </c>
      <c r="E628" t="s">
        <v>1642</v>
      </c>
      <c r="F628" s="41"/>
      <c r="G628" s="80" t="s">
        <v>34</v>
      </c>
      <c r="H628" s="80" t="s">
        <v>1998</v>
      </c>
      <c r="I628" s="81" t="s">
        <v>1641</v>
      </c>
      <c r="J628" t="s">
        <v>6</v>
      </c>
    </row>
    <row r="629" spans="3:10" hidden="1">
      <c r="C629">
        <v>74002</v>
      </c>
      <c r="D629" t="s">
        <v>49</v>
      </c>
      <c r="E629" t="s">
        <v>1511</v>
      </c>
      <c r="F629" s="41"/>
      <c r="G629" s="80" t="s">
        <v>34</v>
      </c>
      <c r="H629" s="80" t="s">
        <v>1998</v>
      </c>
      <c r="I629" s="81" t="s">
        <v>1641</v>
      </c>
      <c r="J629" t="s">
        <v>6</v>
      </c>
    </row>
    <row r="630" spans="3:10" hidden="1">
      <c r="C630">
        <v>74003</v>
      </c>
      <c r="D630" t="s">
        <v>49</v>
      </c>
      <c r="E630" t="s">
        <v>1486</v>
      </c>
      <c r="F630" s="41"/>
      <c r="G630" s="80" t="s">
        <v>34</v>
      </c>
      <c r="H630" s="80" t="s">
        <v>1998</v>
      </c>
      <c r="I630" s="81" t="s">
        <v>1641</v>
      </c>
      <c r="J630" t="s">
        <v>6</v>
      </c>
    </row>
    <row r="631" spans="3:10" hidden="1">
      <c r="C631">
        <v>74004</v>
      </c>
      <c r="D631" t="s">
        <v>49</v>
      </c>
      <c r="E631" t="s">
        <v>1643</v>
      </c>
      <c r="F631" s="41"/>
      <c r="G631" s="80" t="s">
        <v>34</v>
      </c>
      <c r="H631" s="80" t="s">
        <v>1998</v>
      </c>
      <c r="I631" s="81" t="s">
        <v>1641</v>
      </c>
      <c r="J631" t="s">
        <v>6</v>
      </c>
    </row>
    <row r="632" spans="3:10" hidden="1">
      <c r="C632">
        <v>74005</v>
      </c>
      <c r="D632" t="s">
        <v>49</v>
      </c>
      <c r="E632" t="s">
        <v>1644</v>
      </c>
      <c r="F632" s="41"/>
      <c r="G632" s="80" t="s">
        <v>34</v>
      </c>
      <c r="H632" s="80" t="s">
        <v>1998</v>
      </c>
      <c r="I632" s="81" t="s">
        <v>1641</v>
      </c>
      <c r="J632" t="s">
        <v>6</v>
      </c>
    </row>
    <row r="633" spans="3:10" hidden="1">
      <c r="C633">
        <v>74006</v>
      </c>
      <c r="D633" t="s">
        <v>49</v>
      </c>
      <c r="E633" t="s">
        <v>1645</v>
      </c>
      <c r="F633" s="41"/>
      <c r="G633" s="80" t="s">
        <v>34</v>
      </c>
      <c r="H633" s="80" t="s">
        <v>1998</v>
      </c>
      <c r="I633" s="81" t="s">
        <v>1641</v>
      </c>
      <c r="J633" t="s">
        <v>6</v>
      </c>
    </row>
    <row r="634" spans="3:10" hidden="1">
      <c r="C634">
        <v>74007</v>
      </c>
      <c r="D634" t="s">
        <v>49</v>
      </c>
      <c r="E634" t="s">
        <v>1646</v>
      </c>
      <c r="F634" s="41"/>
      <c r="G634" s="80" t="s">
        <v>34</v>
      </c>
      <c r="H634" s="80" t="s">
        <v>1998</v>
      </c>
      <c r="I634" s="81" t="s">
        <v>1641</v>
      </c>
      <c r="J634" t="s">
        <v>6</v>
      </c>
    </row>
    <row r="635" spans="3:10" hidden="1">
      <c r="C635">
        <v>74008</v>
      </c>
      <c r="D635" t="s">
        <v>49</v>
      </c>
      <c r="E635" t="s">
        <v>1647</v>
      </c>
      <c r="F635" s="41"/>
      <c r="G635" s="80" t="s">
        <v>34</v>
      </c>
      <c r="H635" s="80" t="s">
        <v>1998</v>
      </c>
      <c r="I635" s="81" t="s">
        <v>1641</v>
      </c>
      <c r="J635" t="s">
        <v>6</v>
      </c>
    </row>
    <row r="636" spans="3:10" hidden="1">
      <c r="C636">
        <v>75000</v>
      </c>
      <c r="D636" t="s">
        <v>48</v>
      </c>
      <c r="E636" t="s">
        <v>1648</v>
      </c>
      <c r="F636" s="41"/>
      <c r="G636" s="80" t="s">
        <v>1206</v>
      </c>
      <c r="H636" s="80" t="s">
        <v>1998</v>
      </c>
      <c r="I636" s="81" t="s">
        <v>1648</v>
      </c>
      <c r="J636" t="s">
        <v>6</v>
      </c>
    </row>
    <row r="637" spans="3:10" hidden="1">
      <c r="C637">
        <v>75001</v>
      </c>
      <c r="D637" t="s">
        <v>124</v>
      </c>
      <c r="E637" t="s">
        <v>1649</v>
      </c>
      <c r="F637" s="41"/>
      <c r="G637" s="80" t="s">
        <v>1206</v>
      </c>
      <c r="H637" s="80" t="s">
        <v>1998</v>
      </c>
      <c r="I637" s="81" t="s">
        <v>1648</v>
      </c>
      <c r="J637" t="s">
        <v>6</v>
      </c>
    </row>
    <row r="638" spans="3:10" hidden="1">
      <c r="C638">
        <v>75002</v>
      </c>
      <c r="D638" t="s">
        <v>124</v>
      </c>
      <c r="E638" t="s">
        <v>1650</v>
      </c>
      <c r="F638" s="41"/>
      <c r="G638" s="80" t="s">
        <v>1206</v>
      </c>
      <c r="H638" s="80" t="s">
        <v>1998</v>
      </c>
      <c r="I638" s="81" t="s">
        <v>1648</v>
      </c>
      <c r="J638" t="s">
        <v>6</v>
      </c>
    </row>
    <row r="639" spans="3:10" hidden="1">
      <c r="C639">
        <v>75003</v>
      </c>
      <c r="D639" t="s">
        <v>124</v>
      </c>
      <c r="E639" t="s">
        <v>1651</v>
      </c>
      <c r="F639" s="41"/>
      <c r="G639" s="80" t="s">
        <v>1206</v>
      </c>
      <c r="H639" s="80" t="s">
        <v>1998</v>
      </c>
      <c r="I639" s="81" t="s">
        <v>1648</v>
      </c>
      <c r="J639" t="s">
        <v>6</v>
      </c>
    </row>
    <row r="640" spans="3:10" hidden="1">
      <c r="C640">
        <v>75004</v>
      </c>
      <c r="D640" t="s">
        <v>796</v>
      </c>
      <c r="E640" t="s">
        <v>1652</v>
      </c>
      <c r="F640" s="41" t="s">
        <v>1653</v>
      </c>
      <c r="G640" s="80" t="s">
        <v>1206</v>
      </c>
      <c r="H640" s="80" t="s">
        <v>1998</v>
      </c>
      <c r="I640" s="81" t="s">
        <v>1648</v>
      </c>
      <c r="J640" t="s">
        <v>6</v>
      </c>
    </row>
    <row r="641" spans="3:10" hidden="1">
      <c r="C641">
        <v>75005</v>
      </c>
      <c r="D641" t="s">
        <v>66</v>
      </c>
      <c r="E641" t="s">
        <v>1654</v>
      </c>
      <c r="F641" s="41"/>
      <c r="G641" s="80" t="s">
        <v>1206</v>
      </c>
      <c r="H641" s="80" t="s">
        <v>1998</v>
      </c>
      <c r="I641" s="81" t="s">
        <v>1648</v>
      </c>
      <c r="J641" t="s">
        <v>6</v>
      </c>
    </row>
    <row r="642" spans="3:10" hidden="1">
      <c r="C642">
        <v>75006</v>
      </c>
      <c r="D642" t="s">
        <v>49</v>
      </c>
      <c r="E642" t="s">
        <v>1655</v>
      </c>
      <c r="F642" s="41"/>
      <c r="G642" s="80" t="s">
        <v>1206</v>
      </c>
      <c r="H642" s="80" t="s">
        <v>1998</v>
      </c>
      <c r="I642" s="81" t="s">
        <v>1648</v>
      </c>
      <c r="J642" t="s">
        <v>6</v>
      </c>
    </row>
    <row r="643" spans="3:10" hidden="1">
      <c r="C643">
        <v>75007</v>
      </c>
      <c r="D643" t="s">
        <v>124</v>
      </c>
      <c r="E643" t="s">
        <v>1656</v>
      </c>
      <c r="F643" s="41"/>
      <c r="G643" s="80" t="s">
        <v>1206</v>
      </c>
      <c r="H643" s="80" t="s">
        <v>1998</v>
      </c>
      <c r="I643" s="81" t="s">
        <v>1648</v>
      </c>
      <c r="J643" t="s">
        <v>6</v>
      </c>
    </row>
    <row r="644" spans="3:10" hidden="1">
      <c r="C644">
        <v>76000</v>
      </c>
      <c r="D644" t="s">
        <v>48</v>
      </c>
      <c r="E644" t="s">
        <v>1657</v>
      </c>
      <c r="F644" s="41"/>
      <c r="G644" s="80" t="s">
        <v>18</v>
      </c>
      <c r="H644" s="80" t="s">
        <v>1998</v>
      </c>
      <c r="I644" s="81" t="s">
        <v>1657</v>
      </c>
      <c r="J644" t="s">
        <v>6</v>
      </c>
    </row>
    <row r="645" spans="3:10" hidden="1">
      <c r="C645">
        <v>76001</v>
      </c>
      <c r="D645" t="s">
        <v>49</v>
      </c>
      <c r="E645" t="s">
        <v>1263</v>
      </c>
      <c r="F645" s="41"/>
      <c r="G645" s="80" t="s">
        <v>18</v>
      </c>
      <c r="H645" s="80" t="s">
        <v>1998</v>
      </c>
      <c r="I645" s="81" t="s">
        <v>1657</v>
      </c>
      <c r="J645" t="s">
        <v>6</v>
      </c>
    </row>
    <row r="646" spans="3:10" hidden="1">
      <c r="C646">
        <v>76002</v>
      </c>
      <c r="D646" t="s">
        <v>49</v>
      </c>
      <c r="E646" t="s">
        <v>1264</v>
      </c>
      <c r="F646" s="41"/>
      <c r="G646" s="80" t="s">
        <v>18</v>
      </c>
      <c r="H646" s="80" t="s">
        <v>1998</v>
      </c>
      <c r="I646" s="81" t="s">
        <v>1657</v>
      </c>
      <c r="J646" t="s">
        <v>6</v>
      </c>
    </row>
    <row r="647" spans="3:10" hidden="1">
      <c r="C647">
        <v>76003</v>
      </c>
      <c r="D647" t="s">
        <v>49</v>
      </c>
      <c r="E647" t="s">
        <v>1658</v>
      </c>
      <c r="F647" s="41"/>
      <c r="G647" s="80" t="s">
        <v>18</v>
      </c>
      <c r="H647" s="80" t="s">
        <v>1998</v>
      </c>
      <c r="I647" s="81" t="s">
        <v>1657</v>
      </c>
      <c r="J647" t="s">
        <v>6</v>
      </c>
    </row>
    <row r="648" spans="3:10" hidden="1">
      <c r="C648">
        <v>76004</v>
      </c>
      <c r="D648" t="s">
        <v>58</v>
      </c>
      <c r="E648" t="s">
        <v>306</v>
      </c>
      <c r="F648" s="41"/>
      <c r="G648" s="80" t="s">
        <v>18</v>
      </c>
      <c r="H648" s="80" t="s">
        <v>1998</v>
      </c>
      <c r="I648" s="81" t="s">
        <v>1657</v>
      </c>
      <c r="J648" t="s">
        <v>6</v>
      </c>
    </row>
    <row r="649" spans="3:10" hidden="1">
      <c r="C649">
        <v>76005</v>
      </c>
      <c r="D649" t="s">
        <v>49</v>
      </c>
      <c r="E649" t="s">
        <v>1659</v>
      </c>
      <c r="F649" s="41"/>
      <c r="G649" s="80" t="s">
        <v>18</v>
      </c>
      <c r="H649" s="80" t="s">
        <v>1998</v>
      </c>
      <c r="I649" s="81" t="s">
        <v>1657</v>
      </c>
      <c r="J649" t="s">
        <v>6</v>
      </c>
    </row>
    <row r="650" spans="3:10" hidden="1">
      <c r="C650">
        <v>77000</v>
      </c>
      <c r="D650" t="s">
        <v>48</v>
      </c>
      <c r="E650" t="s">
        <v>1660</v>
      </c>
      <c r="F650" s="41"/>
      <c r="G650" s="80" t="s">
        <v>1206</v>
      </c>
      <c r="H650" s="80" t="s">
        <v>1998</v>
      </c>
      <c r="I650" s="81" t="s">
        <v>1660</v>
      </c>
      <c r="J650" t="s">
        <v>6</v>
      </c>
    </row>
    <row r="651" spans="3:10" hidden="1">
      <c r="C651">
        <v>77001</v>
      </c>
      <c r="D651" t="s">
        <v>49</v>
      </c>
      <c r="E651" t="s">
        <v>1391</v>
      </c>
      <c r="F651" s="41"/>
      <c r="G651" s="80" t="s">
        <v>1206</v>
      </c>
      <c r="H651" s="80" t="s">
        <v>1998</v>
      </c>
      <c r="I651" s="81" t="s">
        <v>1660</v>
      </c>
      <c r="J651" t="s">
        <v>6</v>
      </c>
    </row>
    <row r="652" spans="3:10" hidden="1">
      <c r="C652">
        <v>77002</v>
      </c>
      <c r="D652" t="s">
        <v>49</v>
      </c>
      <c r="E652" t="s">
        <v>1661</v>
      </c>
      <c r="F652" s="41"/>
      <c r="G652" s="80" t="s">
        <v>1206</v>
      </c>
      <c r="H652" s="80" t="s">
        <v>1998</v>
      </c>
      <c r="I652" s="81" t="s">
        <v>1660</v>
      </c>
      <c r="J652" t="s">
        <v>6</v>
      </c>
    </row>
    <row r="653" spans="3:10" hidden="1">
      <c r="C653">
        <v>77003</v>
      </c>
      <c r="D653" t="s">
        <v>49</v>
      </c>
      <c r="E653" t="s">
        <v>1662</v>
      </c>
      <c r="F653" s="41"/>
      <c r="G653" s="80" t="s">
        <v>1206</v>
      </c>
      <c r="H653" s="80" t="s">
        <v>1998</v>
      </c>
      <c r="I653" s="81" t="s">
        <v>1660</v>
      </c>
      <c r="J653" t="s">
        <v>6</v>
      </c>
    </row>
    <row r="654" spans="3:10" hidden="1">
      <c r="C654">
        <v>77004</v>
      </c>
      <c r="D654" t="s">
        <v>49</v>
      </c>
      <c r="E654" t="s">
        <v>1663</v>
      </c>
      <c r="F654" s="41"/>
      <c r="G654" s="80" t="s">
        <v>1206</v>
      </c>
      <c r="H654" s="80" t="s">
        <v>1998</v>
      </c>
      <c r="I654" s="81" t="s">
        <v>1660</v>
      </c>
      <c r="J654" t="s">
        <v>6</v>
      </c>
    </row>
    <row r="655" spans="3:10" hidden="1">
      <c r="C655">
        <v>77005</v>
      </c>
      <c r="D655" t="s">
        <v>49</v>
      </c>
      <c r="E655" t="s">
        <v>1664</v>
      </c>
      <c r="F655" s="41"/>
      <c r="G655" s="80" t="s">
        <v>1206</v>
      </c>
      <c r="H655" s="80" t="s">
        <v>1998</v>
      </c>
      <c r="I655" s="81" t="s">
        <v>1660</v>
      </c>
      <c r="J655" t="s">
        <v>6</v>
      </c>
    </row>
    <row r="656" spans="3:10" hidden="1">
      <c r="C656">
        <v>77006</v>
      </c>
      <c r="D656" t="s">
        <v>49</v>
      </c>
      <c r="E656" t="s">
        <v>1665</v>
      </c>
      <c r="F656" s="41"/>
      <c r="G656" s="80" t="s">
        <v>1206</v>
      </c>
      <c r="H656" s="80" t="s">
        <v>1998</v>
      </c>
      <c r="I656" s="81" t="s">
        <v>1660</v>
      </c>
      <c r="J656" t="s">
        <v>6</v>
      </c>
    </row>
    <row r="657" spans="3:10" hidden="1">
      <c r="C657">
        <v>78000</v>
      </c>
      <c r="D657" t="s">
        <v>48</v>
      </c>
      <c r="E657" t="s">
        <v>1666</v>
      </c>
      <c r="F657" s="41"/>
      <c r="G657" s="80" t="s">
        <v>18</v>
      </c>
      <c r="H657" s="80" t="s">
        <v>1998</v>
      </c>
      <c r="I657" s="81" t="s">
        <v>1666</v>
      </c>
      <c r="J657" t="s">
        <v>6</v>
      </c>
    </row>
    <row r="658" spans="3:10" hidden="1">
      <c r="C658">
        <v>78001</v>
      </c>
      <c r="D658" t="s">
        <v>49</v>
      </c>
      <c r="E658" t="s">
        <v>1263</v>
      </c>
      <c r="F658" s="41"/>
      <c r="G658" s="80" t="s">
        <v>18</v>
      </c>
      <c r="H658" s="80" t="s">
        <v>1998</v>
      </c>
      <c r="I658" s="81" t="s">
        <v>1666</v>
      </c>
      <c r="J658" t="s">
        <v>6</v>
      </c>
    </row>
    <row r="659" spans="3:10" hidden="1">
      <c r="C659">
        <v>78002</v>
      </c>
      <c r="D659" t="s">
        <v>49</v>
      </c>
      <c r="E659" t="s">
        <v>1264</v>
      </c>
      <c r="F659" s="41"/>
      <c r="G659" s="80" t="s">
        <v>18</v>
      </c>
      <c r="H659" s="80" t="s">
        <v>1998</v>
      </c>
      <c r="I659" s="81" t="s">
        <v>1666</v>
      </c>
      <c r="J659" t="s">
        <v>6</v>
      </c>
    </row>
    <row r="660" spans="3:10" hidden="1">
      <c r="C660">
        <v>78003</v>
      </c>
      <c r="D660" t="s">
        <v>58</v>
      </c>
      <c r="E660" t="s">
        <v>306</v>
      </c>
      <c r="F660" s="41"/>
      <c r="G660" s="80" t="s">
        <v>18</v>
      </c>
      <c r="H660" s="80" t="s">
        <v>1998</v>
      </c>
      <c r="I660" s="81" t="s">
        <v>1666</v>
      </c>
      <c r="J660" t="s">
        <v>6</v>
      </c>
    </row>
    <row r="661" spans="3:10" hidden="1">
      <c r="C661">
        <v>78004</v>
      </c>
      <c r="D661" t="s">
        <v>49</v>
      </c>
      <c r="E661" t="s">
        <v>1667</v>
      </c>
      <c r="F661" s="41"/>
      <c r="G661" s="80" t="s">
        <v>18</v>
      </c>
      <c r="H661" s="80" t="s">
        <v>1998</v>
      </c>
      <c r="I661" s="81" t="s">
        <v>1666</v>
      </c>
      <c r="J661" t="s">
        <v>6</v>
      </c>
    </row>
    <row r="662" spans="3:10" hidden="1">
      <c r="C662">
        <v>79000</v>
      </c>
      <c r="D662" t="s">
        <v>48</v>
      </c>
      <c r="E662" t="s">
        <v>73</v>
      </c>
      <c r="F662" s="41"/>
      <c r="G662" s="80" t="s">
        <v>8</v>
      </c>
      <c r="H662" s="80" t="s">
        <v>9</v>
      </c>
      <c r="I662" s="81" t="s">
        <v>73</v>
      </c>
      <c r="J662" t="s">
        <v>6</v>
      </c>
    </row>
    <row r="663" spans="3:10" hidden="1">
      <c r="C663">
        <v>79001</v>
      </c>
      <c r="D663" t="s">
        <v>49</v>
      </c>
      <c r="E663" t="s">
        <v>74</v>
      </c>
      <c r="F663" s="41"/>
      <c r="G663" s="80" t="s">
        <v>8</v>
      </c>
      <c r="H663" s="80" t="s">
        <v>9</v>
      </c>
      <c r="I663" s="81" t="s">
        <v>73</v>
      </c>
      <c r="J663" t="s">
        <v>6</v>
      </c>
    </row>
    <row r="664" spans="3:10" hidden="1">
      <c r="C664">
        <v>79002</v>
      </c>
      <c r="D664" t="s">
        <v>49</v>
      </c>
      <c r="E664" t="s">
        <v>75</v>
      </c>
      <c r="F664" s="41"/>
      <c r="G664" s="80" t="s">
        <v>8</v>
      </c>
      <c r="H664" s="80" t="s">
        <v>9</v>
      </c>
      <c r="I664" s="81" t="s">
        <v>73</v>
      </c>
      <c r="J664" t="s">
        <v>6</v>
      </c>
    </row>
    <row r="665" spans="3:10" hidden="1">
      <c r="C665">
        <v>79003</v>
      </c>
      <c r="D665" t="s">
        <v>49</v>
      </c>
      <c r="E665" t="s">
        <v>76</v>
      </c>
      <c r="F665" s="41"/>
      <c r="G665" s="80" t="s">
        <v>8</v>
      </c>
      <c r="H665" s="80" t="s">
        <v>9</v>
      </c>
      <c r="I665" s="81" t="s">
        <v>73</v>
      </c>
      <c r="J665" t="s">
        <v>6</v>
      </c>
    </row>
    <row r="666" spans="3:10" hidden="1">
      <c r="C666">
        <v>79004</v>
      </c>
      <c r="D666" t="s">
        <v>49</v>
      </c>
      <c r="E666" t="s">
        <v>77</v>
      </c>
      <c r="F666" s="41"/>
      <c r="G666" s="80" t="s">
        <v>8</v>
      </c>
      <c r="H666" s="80" t="s">
        <v>9</v>
      </c>
      <c r="I666" s="81" t="s">
        <v>73</v>
      </c>
      <c r="J666" t="s">
        <v>6</v>
      </c>
    </row>
    <row r="667" spans="3:10" hidden="1">
      <c r="C667">
        <v>79005</v>
      </c>
      <c r="D667" t="s">
        <v>49</v>
      </c>
      <c r="E667" t="s">
        <v>78</v>
      </c>
      <c r="F667" s="41"/>
      <c r="G667" s="80" t="s">
        <v>8</v>
      </c>
      <c r="H667" s="80" t="s">
        <v>9</v>
      </c>
      <c r="I667" s="81" t="s">
        <v>73</v>
      </c>
      <c r="J667" t="s">
        <v>6</v>
      </c>
    </row>
    <row r="668" spans="3:10" hidden="1">
      <c r="C668">
        <v>79006</v>
      </c>
      <c r="D668" t="s">
        <v>49</v>
      </c>
      <c r="E668" t="s">
        <v>79</v>
      </c>
      <c r="F668" s="41"/>
      <c r="G668" s="80" t="s">
        <v>8</v>
      </c>
      <c r="H668" s="80" t="s">
        <v>9</v>
      </c>
      <c r="I668" s="81" t="s">
        <v>73</v>
      </c>
      <c r="J668" t="s">
        <v>6</v>
      </c>
    </row>
    <row r="669" spans="3:10" hidden="1">
      <c r="C669">
        <v>79007</v>
      </c>
      <c r="D669" t="s">
        <v>49</v>
      </c>
      <c r="E669" t="s">
        <v>80</v>
      </c>
      <c r="F669" s="41"/>
      <c r="G669" s="80" t="s">
        <v>8</v>
      </c>
      <c r="H669" s="80" t="s">
        <v>9</v>
      </c>
      <c r="I669" s="81" t="s">
        <v>73</v>
      </c>
      <c r="J669" t="s">
        <v>6</v>
      </c>
    </row>
    <row r="670" spans="3:10" hidden="1">
      <c r="C670">
        <v>79008</v>
      </c>
      <c r="D670" t="s">
        <v>49</v>
      </c>
      <c r="E670" t="s">
        <v>81</v>
      </c>
      <c r="F670" s="41"/>
      <c r="G670" s="80" t="s">
        <v>8</v>
      </c>
      <c r="H670" s="80" t="s">
        <v>9</v>
      </c>
      <c r="I670" s="81" t="s">
        <v>73</v>
      </c>
      <c r="J670" t="s">
        <v>6</v>
      </c>
    </row>
    <row r="671" spans="3:10" hidden="1">
      <c r="C671">
        <v>79009</v>
      </c>
      <c r="D671" t="s">
        <v>49</v>
      </c>
      <c r="E671" t="s">
        <v>82</v>
      </c>
      <c r="F671" s="41"/>
      <c r="G671" s="80" t="s">
        <v>8</v>
      </c>
      <c r="H671" s="80" t="s">
        <v>9</v>
      </c>
      <c r="I671" s="81" t="s">
        <v>73</v>
      </c>
      <c r="J671" t="s">
        <v>6</v>
      </c>
    </row>
    <row r="672" spans="3:10" hidden="1">
      <c r="C672">
        <v>79010</v>
      </c>
      <c r="D672" t="s">
        <v>49</v>
      </c>
      <c r="E672" t="s">
        <v>57</v>
      </c>
      <c r="F672" s="41"/>
      <c r="G672" s="80" t="s">
        <v>8</v>
      </c>
      <c r="H672" s="80" t="s">
        <v>9</v>
      </c>
      <c r="I672" s="81" t="s">
        <v>73</v>
      </c>
      <c r="J672" t="s">
        <v>6</v>
      </c>
    </row>
    <row r="673" spans="3:10" hidden="1">
      <c r="C673">
        <v>79011</v>
      </c>
      <c r="D673" t="s">
        <v>58</v>
      </c>
      <c r="E673" t="s">
        <v>59</v>
      </c>
      <c r="F673" s="41"/>
      <c r="G673" s="80" t="s">
        <v>8</v>
      </c>
      <c r="H673" s="80" t="s">
        <v>9</v>
      </c>
      <c r="I673" s="81" t="s">
        <v>73</v>
      </c>
      <c r="J673" t="s">
        <v>6</v>
      </c>
    </row>
    <row r="674" spans="3:10" hidden="1">
      <c r="C674">
        <v>80000</v>
      </c>
      <c r="D674" t="s">
        <v>48</v>
      </c>
      <c r="E674" t="s">
        <v>83</v>
      </c>
      <c r="F674" s="41"/>
      <c r="G674" s="80" t="s">
        <v>8</v>
      </c>
      <c r="H674" s="80" t="s">
        <v>9</v>
      </c>
      <c r="I674" s="81" t="s">
        <v>83</v>
      </c>
      <c r="J674" t="s">
        <v>6</v>
      </c>
    </row>
    <row r="675" spans="3:10" hidden="1">
      <c r="C675">
        <v>80001</v>
      </c>
      <c r="D675" t="s">
        <v>49</v>
      </c>
      <c r="E675" t="s">
        <v>74</v>
      </c>
      <c r="F675" s="41"/>
      <c r="G675" s="80" t="s">
        <v>8</v>
      </c>
      <c r="H675" s="80" t="s">
        <v>9</v>
      </c>
      <c r="I675" s="81" t="s">
        <v>83</v>
      </c>
      <c r="J675" t="s">
        <v>6</v>
      </c>
    </row>
    <row r="676" spans="3:10" hidden="1">
      <c r="C676">
        <v>80002</v>
      </c>
      <c r="D676" t="s">
        <v>49</v>
      </c>
      <c r="E676" t="s">
        <v>75</v>
      </c>
      <c r="F676" s="41"/>
      <c r="G676" s="80" t="s">
        <v>8</v>
      </c>
      <c r="H676" s="80" t="s">
        <v>9</v>
      </c>
      <c r="I676" s="81" t="s">
        <v>83</v>
      </c>
      <c r="J676" t="s">
        <v>6</v>
      </c>
    </row>
    <row r="677" spans="3:10" hidden="1">
      <c r="C677">
        <v>80003</v>
      </c>
      <c r="D677" t="s">
        <v>49</v>
      </c>
      <c r="E677" t="s">
        <v>76</v>
      </c>
      <c r="F677" s="41"/>
      <c r="G677" s="80" t="s">
        <v>8</v>
      </c>
      <c r="H677" s="80" t="s">
        <v>9</v>
      </c>
      <c r="I677" s="81" t="s">
        <v>83</v>
      </c>
      <c r="J677" t="s">
        <v>6</v>
      </c>
    </row>
    <row r="678" spans="3:10" hidden="1">
      <c r="C678">
        <v>80004</v>
      </c>
      <c r="D678" t="s">
        <v>49</v>
      </c>
      <c r="E678" t="s">
        <v>77</v>
      </c>
      <c r="F678" s="41"/>
      <c r="G678" s="80" t="s">
        <v>8</v>
      </c>
      <c r="H678" s="80" t="s">
        <v>9</v>
      </c>
      <c r="I678" s="81" t="s">
        <v>83</v>
      </c>
      <c r="J678" t="s">
        <v>6</v>
      </c>
    </row>
    <row r="679" spans="3:10" hidden="1">
      <c r="C679">
        <v>80005</v>
      </c>
      <c r="D679" t="s">
        <v>49</v>
      </c>
      <c r="E679" t="s">
        <v>78</v>
      </c>
      <c r="F679" s="41"/>
      <c r="G679" s="80" t="s">
        <v>8</v>
      </c>
      <c r="H679" s="80" t="s">
        <v>9</v>
      </c>
      <c r="I679" s="81" t="s">
        <v>83</v>
      </c>
      <c r="J679" t="s">
        <v>6</v>
      </c>
    </row>
    <row r="680" spans="3:10" hidden="1">
      <c r="C680">
        <v>80006</v>
      </c>
      <c r="D680" t="s">
        <v>49</v>
      </c>
      <c r="E680" t="s">
        <v>79</v>
      </c>
      <c r="F680" s="41"/>
      <c r="G680" s="80" t="s">
        <v>8</v>
      </c>
      <c r="H680" s="80" t="s">
        <v>9</v>
      </c>
      <c r="I680" s="81" t="s">
        <v>83</v>
      </c>
      <c r="J680" t="s">
        <v>6</v>
      </c>
    </row>
    <row r="681" spans="3:10" hidden="1">
      <c r="C681">
        <v>80007</v>
      </c>
      <c r="D681" t="s">
        <v>49</v>
      </c>
      <c r="E681" t="s">
        <v>80</v>
      </c>
      <c r="F681" s="41"/>
      <c r="G681" s="80" t="s">
        <v>8</v>
      </c>
      <c r="H681" s="80" t="s">
        <v>9</v>
      </c>
      <c r="I681" s="81" t="s">
        <v>83</v>
      </c>
      <c r="J681" t="s">
        <v>6</v>
      </c>
    </row>
    <row r="682" spans="3:10" hidden="1">
      <c r="C682">
        <v>80008</v>
      </c>
      <c r="D682" t="s">
        <v>49</v>
      </c>
      <c r="E682" t="s">
        <v>84</v>
      </c>
      <c r="F682" s="41"/>
      <c r="G682" s="80" t="s">
        <v>8</v>
      </c>
      <c r="H682" s="80" t="s">
        <v>9</v>
      </c>
      <c r="I682" s="81" t="s">
        <v>83</v>
      </c>
      <c r="J682" t="s">
        <v>6</v>
      </c>
    </row>
    <row r="683" spans="3:10" hidden="1">
      <c r="C683">
        <v>80009</v>
      </c>
      <c r="D683" t="s">
        <v>49</v>
      </c>
      <c r="E683" t="s">
        <v>81</v>
      </c>
      <c r="F683" s="41"/>
      <c r="G683" s="80" t="s">
        <v>8</v>
      </c>
      <c r="H683" s="80" t="s">
        <v>9</v>
      </c>
      <c r="I683" s="81" t="s">
        <v>83</v>
      </c>
      <c r="J683" t="s">
        <v>6</v>
      </c>
    </row>
    <row r="684" spans="3:10" hidden="1">
      <c r="C684">
        <v>80010</v>
      </c>
      <c r="D684" t="s">
        <v>49</v>
      </c>
      <c r="E684" t="s">
        <v>82</v>
      </c>
      <c r="F684" s="41"/>
      <c r="G684" s="80" t="s">
        <v>8</v>
      </c>
      <c r="H684" s="80" t="s">
        <v>9</v>
      </c>
      <c r="I684" s="81" t="s">
        <v>83</v>
      </c>
      <c r="J684" t="s">
        <v>6</v>
      </c>
    </row>
    <row r="685" spans="3:10" hidden="1">
      <c r="C685">
        <v>80011</v>
      </c>
      <c r="D685" t="s">
        <v>49</v>
      </c>
      <c r="E685" t="s">
        <v>57</v>
      </c>
      <c r="F685" s="41"/>
      <c r="G685" s="80" t="s">
        <v>8</v>
      </c>
      <c r="H685" s="80" t="s">
        <v>9</v>
      </c>
      <c r="I685" s="81" t="s">
        <v>83</v>
      </c>
      <c r="J685" t="s">
        <v>6</v>
      </c>
    </row>
    <row r="686" spans="3:10" hidden="1">
      <c r="C686">
        <v>80012</v>
      </c>
      <c r="D686" t="s">
        <v>58</v>
      </c>
      <c r="E686" t="s">
        <v>59</v>
      </c>
      <c r="F686" s="41"/>
      <c r="G686" s="80" t="s">
        <v>8</v>
      </c>
      <c r="H686" s="80" t="s">
        <v>9</v>
      </c>
      <c r="I686" s="81" t="s">
        <v>83</v>
      </c>
      <c r="J686" t="s">
        <v>6</v>
      </c>
    </row>
    <row r="687" spans="3:10" hidden="1">
      <c r="C687">
        <v>81000</v>
      </c>
      <c r="D687" t="s">
        <v>48</v>
      </c>
      <c r="E687" t="s">
        <v>85</v>
      </c>
      <c r="F687" s="41"/>
      <c r="G687" s="80" t="s">
        <v>8</v>
      </c>
      <c r="H687" s="80" t="s">
        <v>9</v>
      </c>
      <c r="I687" s="81" t="s">
        <v>85</v>
      </c>
      <c r="J687" t="s">
        <v>6</v>
      </c>
    </row>
    <row r="688" spans="3:10" hidden="1">
      <c r="C688">
        <v>81001</v>
      </c>
      <c r="D688" t="s">
        <v>49</v>
      </c>
      <c r="E688" t="s">
        <v>75</v>
      </c>
      <c r="F688" s="41"/>
      <c r="G688" s="80" t="s">
        <v>8</v>
      </c>
      <c r="H688" s="80" t="s">
        <v>9</v>
      </c>
      <c r="I688" s="81" t="s">
        <v>85</v>
      </c>
      <c r="J688" t="s">
        <v>6</v>
      </c>
    </row>
    <row r="689" spans="3:10" hidden="1">
      <c r="C689">
        <v>81002</v>
      </c>
      <c r="D689" t="s">
        <v>49</v>
      </c>
      <c r="E689" t="s">
        <v>86</v>
      </c>
      <c r="F689" s="41"/>
      <c r="G689" s="80" t="s">
        <v>8</v>
      </c>
      <c r="H689" s="80" t="s">
        <v>9</v>
      </c>
      <c r="I689" s="81" t="s">
        <v>85</v>
      </c>
      <c r="J689" t="s">
        <v>6</v>
      </c>
    </row>
    <row r="690" spans="3:10" hidden="1">
      <c r="C690">
        <v>81003</v>
      </c>
      <c r="D690" t="s">
        <v>49</v>
      </c>
      <c r="E690" t="s">
        <v>87</v>
      </c>
      <c r="F690" s="41"/>
      <c r="G690" s="80" t="s">
        <v>8</v>
      </c>
      <c r="H690" s="80" t="s">
        <v>9</v>
      </c>
      <c r="I690" s="81" t="s">
        <v>85</v>
      </c>
      <c r="J690" t="s">
        <v>6</v>
      </c>
    </row>
    <row r="691" spans="3:10" hidden="1">
      <c r="C691">
        <v>81004</v>
      </c>
      <c r="D691" t="s">
        <v>49</v>
      </c>
      <c r="E691" t="s">
        <v>88</v>
      </c>
      <c r="F691" s="41"/>
      <c r="G691" s="80" t="s">
        <v>8</v>
      </c>
      <c r="H691" s="80" t="s">
        <v>9</v>
      </c>
      <c r="I691" s="81" t="s">
        <v>85</v>
      </c>
      <c r="J691" t="s">
        <v>6</v>
      </c>
    </row>
    <row r="692" spans="3:10" hidden="1">
      <c r="C692">
        <v>81005</v>
      </c>
      <c r="D692" t="s">
        <v>49</v>
      </c>
      <c r="E692" t="s">
        <v>89</v>
      </c>
      <c r="F692" s="41"/>
      <c r="G692" s="80" t="s">
        <v>8</v>
      </c>
      <c r="H692" s="80" t="s">
        <v>9</v>
      </c>
      <c r="I692" s="81" t="s">
        <v>85</v>
      </c>
      <c r="J692" t="s">
        <v>6</v>
      </c>
    </row>
    <row r="693" spans="3:10" hidden="1">
      <c r="C693">
        <v>81006</v>
      </c>
      <c r="D693" t="s">
        <v>49</v>
      </c>
      <c r="E693" t="s">
        <v>90</v>
      </c>
      <c r="F693" s="41"/>
      <c r="G693" s="80" t="s">
        <v>8</v>
      </c>
      <c r="H693" s="80" t="s">
        <v>9</v>
      </c>
      <c r="I693" s="81" t="s">
        <v>85</v>
      </c>
      <c r="J693" t="s">
        <v>6</v>
      </c>
    </row>
    <row r="694" spans="3:10" hidden="1">
      <c r="C694">
        <v>81007</v>
      </c>
      <c r="D694" t="s">
        <v>49</v>
      </c>
      <c r="E694" t="s">
        <v>82</v>
      </c>
      <c r="F694" s="41"/>
      <c r="G694" s="80" t="s">
        <v>8</v>
      </c>
      <c r="H694" s="80" t="s">
        <v>9</v>
      </c>
      <c r="I694" s="81" t="s">
        <v>85</v>
      </c>
      <c r="J694" t="s">
        <v>6</v>
      </c>
    </row>
    <row r="695" spans="3:10" hidden="1">
      <c r="C695">
        <v>81008</v>
      </c>
      <c r="D695" t="s">
        <v>49</v>
      </c>
      <c r="E695" t="s">
        <v>57</v>
      </c>
      <c r="F695" s="41"/>
      <c r="G695" s="80" t="s">
        <v>8</v>
      </c>
      <c r="H695" s="80" t="s">
        <v>9</v>
      </c>
      <c r="I695" s="81" t="s">
        <v>85</v>
      </c>
      <c r="J695" t="s">
        <v>6</v>
      </c>
    </row>
    <row r="696" spans="3:10" hidden="1">
      <c r="C696">
        <v>81009</v>
      </c>
      <c r="D696" t="s">
        <v>58</v>
      </c>
      <c r="E696" t="s">
        <v>59</v>
      </c>
      <c r="F696" s="41"/>
      <c r="G696" s="80" t="s">
        <v>8</v>
      </c>
      <c r="H696" s="80" t="s">
        <v>9</v>
      </c>
      <c r="I696" s="81" t="s">
        <v>85</v>
      </c>
      <c r="J696" t="s">
        <v>6</v>
      </c>
    </row>
    <row r="697" spans="3:10" hidden="1">
      <c r="C697">
        <v>82000</v>
      </c>
      <c r="D697" t="s">
        <v>48</v>
      </c>
      <c r="E697" t="s">
        <v>91</v>
      </c>
      <c r="F697" s="41"/>
      <c r="G697" s="80" t="s">
        <v>8</v>
      </c>
      <c r="H697" s="80" t="s">
        <v>9</v>
      </c>
      <c r="I697" s="81" t="s">
        <v>91</v>
      </c>
      <c r="J697" t="s">
        <v>6</v>
      </c>
    </row>
    <row r="698" spans="3:10" hidden="1">
      <c r="C698">
        <v>82001</v>
      </c>
      <c r="D698" t="s">
        <v>49</v>
      </c>
      <c r="E698" t="s">
        <v>75</v>
      </c>
      <c r="F698" s="41"/>
      <c r="G698" s="80" t="s">
        <v>8</v>
      </c>
      <c r="H698" s="80" t="s">
        <v>9</v>
      </c>
      <c r="I698" s="81" t="s">
        <v>91</v>
      </c>
      <c r="J698" t="s">
        <v>6</v>
      </c>
    </row>
    <row r="699" spans="3:10" hidden="1">
      <c r="C699">
        <v>82002</v>
      </c>
      <c r="D699" t="s">
        <v>49</v>
      </c>
      <c r="E699" t="s">
        <v>86</v>
      </c>
      <c r="F699" s="41"/>
      <c r="G699" s="80" t="s">
        <v>8</v>
      </c>
      <c r="H699" s="80" t="s">
        <v>9</v>
      </c>
      <c r="I699" s="81" t="s">
        <v>91</v>
      </c>
      <c r="J699" t="s">
        <v>6</v>
      </c>
    </row>
    <row r="700" spans="3:10" hidden="1">
      <c r="C700">
        <v>82003</v>
      </c>
      <c r="D700" t="s">
        <v>49</v>
      </c>
      <c r="E700" t="s">
        <v>87</v>
      </c>
      <c r="F700" s="41"/>
      <c r="G700" s="80" t="s">
        <v>8</v>
      </c>
      <c r="H700" s="80" t="s">
        <v>9</v>
      </c>
      <c r="I700" s="81" t="s">
        <v>91</v>
      </c>
      <c r="J700" t="s">
        <v>6</v>
      </c>
    </row>
    <row r="701" spans="3:10" hidden="1">
      <c r="C701">
        <v>82004</v>
      </c>
      <c r="D701" t="s">
        <v>49</v>
      </c>
      <c r="E701" t="s">
        <v>92</v>
      </c>
      <c r="F701" s="41"/>
      <c r="G701" s="80" t="s">
        <v>8</v>
      </c>
      <c r="H701" s="80" t="s">
        <v>9</v>
      </c>
      <c r="I701" s="81" t="s">
        <v>91</v>
      </c>
      <c r="J701" t="s">
        <v>6</v>
      </c>
    </row>
    <row r="702" spans="3:10" hidden="1">
      <c r="C702">
        <v>82005</v>
      </c>
      <c r="D702" t="s">
        <v>49</v>
      </c>
      <c r="E702" t="s">
        <v>90</v>
      </c>
      <c r="F702" s="41"/>
      <c r="G702" s="80" t="s">
        <v>8</v>
      </c>
      <c r="H702" s="80" t="s">
        <v>9</v>
      </c>
      <c r="I702" s="81" t="s">
        <v>91</v>
      </c>
      <c r="J702" t="s">
        <v>6</v>
      </c>
    </row>
    <row r="703" spans="3:10" hidden="1">
      <c r="C703">
        <v>82006</v>
      </c>
      <c r="D703" t="s">
        <v>49</v>
      </c>
      <c r="E703" t="s">
        <v>82</v>
      </c>
      <c r="F703" s="41"/>
      <c r="G703" s="80" t="s">
        <v>8</v>
      </c>
      <c r="H703" s="80" t="s">
        <v>9</v>
      </c>
      <c r="I703" s="81" t="s">
        <v>91</v>
      </c>
      <c r="J703" t="s">
        <v>6</v>
      </c>
    </row>
    <row r="704" spans="3:10" hidden="1">
      <c r="C704">
        <v>82007</v>
      </c>
      <c r="D704" t="s">
        <v>49</v>
      </c>
      <c r="E704" t="s">
        <v>57</v>
      </c>
      <c r="F704" s="41"/>
      <c r="G704" s="80" t="s">
        <v>8</v>
      </c>
      <c r="H704" s="80" t="s">
        <v>9</v>
      </c>
      <c r="I704" s="81" t="s">
        <v>91</v>
      </c>
      <c r="J704" t="s">
        <v>6</v>
      </c>
    </row>
    <row r="705" spans="3:10" hidden="1">
      <c r="C705">
        <v>82008</v>
      </c>
      <c r="D705" t="s">
        <v>58</v>
      </c>
      <c r="E705" t="s">
        <v>59</v>
      </c>
      <c r="F705" s="41"/>
      <c r="G705" s="80" t="s">
        <v>8</v>
      </c>
      <c r="H705" s="80" t="s">
        <v>9</v>
      </c>
      <c r="I705" s="81" t="s">
        <v>91</v>
      </c>
      <c r="J705" t="s">
        <v>6</v>
      </c>
    </row>
    <row r="706" spans="3:10" hidden="1">
      <c r="C706">
        <v>83000</v>
      </c>
      <c r="D706" t="s">
        <v>48</v>
      </c>
      <c r="E706" t="s">
        <v>93</v>
      </c>
      <c r="F706" s="41"/>
      <c r="G706" s="80" t="s">
        <v>8</v>
      </c>
      <c r="H706" s="80" t="s">
        <v>9</v>
      </c>
      <c r="I706" s="81" t="s">
        <v>93</v>
      </c>
      <c r="J706" t="s">
        <v>6</v>
      </c>
    </row>
    <row r="707" spans="3:10" hidden="1">
      <c r="C707">
        <v>83001</v>
      </c>
      <c r="D707" t="s">
        <v>49</v>
      </c>
      <c r="E707" t="s">
        <v>94</v>
      </c>
      <c r="F707" s="41"/>
      <c r="G707" s="80" t="s">
        <v>8</v>
      </c>
      <c r="H707" s="80" t="s">
        <v>9</v>
      </c>
      <c r="I707" s="81" t="s">
        <v>93</v>
      </c>
      <c r="J707" t="s">
        <v>6</v>
      </c>
    </row>
    <row r="708" spans="3:10" hidden="1">
      <c r="C708">
        <v>83002</v>
      </c>
      <c r="D708" t="s">
        <v>49</v>
      </c>
      <c r="E708" t="s">
        <v>95</v>
      </c>
      <c r="F708" s="41"/>
      <c r="G708" s="80" t="s">
        <v>8</v>
      </c>
      <c r="H708" s="80" t="s">
        <v>9</v>
      </c>
      <c r="I708" s="81" t="s">
        <v>93</v>
      </c>
      <c r="J708" t="s">
        <v>6</v>
      </c>
    </row>
    <row r="709" spans="3:10" hidden="1">
      <c r="C709">
        <v>83003</v>
      </c>
      <c r="D709" t="s">
        <v>49</v>
      </c>
      <c r="E709" t="s">
        <v>96</v>
      </c>
      <c r="F709" s="41"/>
      <c r="G709" s="80" t="s">
        <v>8</v>
      </c>
      <c r="H709" s="80" t="s">
        <v>9</v>
      </c>
      <c r="I709" s="81" t="s">
        <v>93</v>
      </c>
      <c r="J709" t="s">
        <v>6</v>
      </c>
    </row>
    <row r="710" spans="3:10" hidden="1">
      <c r="C710">
        <v>83004</v>
      </c>
      <c r="D710" t="s">
        <v>66</v>
      </c>
      <c r="E710" t="s">
        <v>97</v>
      </c>
      <c r="F710" s="41"/>
      <c r="G710" s="80" t="s">
        <v>8</v>
      </c>
      <c r="H710" s="80" t="s">
        <v>9</v>
      </c>
      <c r="I710" s="81" t="s">
        <v>93</v>
      </c>
      <c r="J710" t="s">
        <v>6</v>
      </c>
    </row>
    <row r="711" spans="3:10" hidden="1">
      <c r="C711">
        <v>83005</v>
      </c>
      <c r="D711" t="s">
        <v>66</v>
      </c>
      <c r="E711" t="s">
        <v>98</v>
      </c>
      <c r="F711" s="41"/>
      <c r="G711" s="80" t="s">
        <v>8</v>
      </c>
      <c r="H711" s="80" t="s">
        <v>9</v>
      </c>
      <c r="I711" s="81" t="s">
        <v>93</v>
      </c>
      <c r="J711" t="s">
        <v>6</v>
      </c>
    </row>
    <row r="712" spans="3:10" hidden="1">
      <c r="C712">
        <v>83006</v>
      </c>
      <c r="D712" t="s">
        <v>66</v>
      </c>
      <c r="E712" t="s">
        <v>99</v>
      </c>
      <c r="F712" s="41"/>
      <c r="G712" s="80" t="s">
        <v>8</v>
      </c>
      <c r="H712" s="80" t="s">
        <v>9</v>
      </c>
      <c r="I712" s="81" t="s">
        <v>93</v>
      </c>
      <c r="J712" t="s">
        <v>6</v>
      </c>
    </row>
    <row r="713" spans="3:10" hidden="1">
      <c r="C713">
        <v>83007</v>
      </c>
      <c r="D713" t="s">
        <v>66</v>
      </c>
      <c r="E713" t="s">
        <v>100</v>
      </c>
      <c r="F713" s="41"/>
      <c r="G713" s="80" t="s">
        <v>8</v>
      </c>
      <c r="H713" s="80" t="s">
        <v>9</v>
      </c>
      <c r="I713" s="81" t="s">
        <v>93</v>
      </c>
      <c r="J713" t="s">
        <v>6</v>
      </c>
    </row>
    <row r="714" spans="3:10" hidden="1">
      <c r="C714">
        <v>83008</v>
      </c>
      <c r="D714" t="s">
        <v>49</v>
      </c>
      <c r="E714" t="s">
        <v>101</v>
      </c>
      <c r="F714" s="41"/>
      <c r="G714" s="80" t="s">
        <v>8</v>
      </c>
      <c r="H714" s="80" t="s">
        <v>9</v>
      </c>
      <c r="I714" s="81" t="s">
        <v>93</v>
      </c>
      <c r="J714" t="s">
        <v>6</v>
      </c>
    </row>
    <row r="715" spans="3:10" hidden="1">
      <c r="C715">
        <v>83009</v>
      </c>
      <c r="D715" t="s">
        <v>49</v>
      </c>
      <c r="E715" t="s">
        <v>102</v>
      </c>
      <c r="F715" s="41"/>
      <c r="G715" s="80" t="s">
        <v>8</v>
      </c>
      <c r="H715" s="80" t="s">
        <v>9</v>
      </c>
      <c r="I715" s="81" t="s">
        <v>93</v>
      </c>
      <c r="J715" t="s">
        <v>6</v>
      </c>
    </row>
    <row r="716" spans="3:10" hidden="1">
      <c r="C716">
        <v>83010</v>
      </c>
      <c r="D716" t="s">
        <v>49</v>
      </c>
      <c r="E716" t="s">
        <v>57</v>
      </c>
      <c r="F716" s="41"/>
      <c r="G716" s="80" t="s">
        <v>8</v>
      </c>
      <c r="H716" s="80" t="s">
        <v>9</v>
      </c>
      <c r="I716" s="81" t="s">
        <v>93</v>
      </c>
      <c r="J716" t="s">
        <v>6</v>
      </c>
    </row>
    <row r="717" spans="3:10" hidden="1">
      <c r="C717">
        <v>83011</v>
      </c>
      <c r="D717" t="s">
        <v>58</v>
      </c>
      <c r="E717" t="s">
        <v>59</v>
      </c>
      <c r="F717" s="41"/>
      <c r="G717" s="80" t="s">
        <v>8</v>
      </c>
      <c r="H717" s="80" t="s">
        <v>9</v>
      </c>
      <c r="I717" s="81" t="s">
        <v>93</v>
      </c>
      <c r="J717" t="s">
        <v>6</v>
      </c>
    </row>
    <row r="718" spans="3:10" hidden="1">
      <c r="C718">
        <v>84000</v>
      </c>
      <c r="D718" t="s">
        <v>48</v>
      </c>
      <c r="E718" t="s">
        <v>103</v>
      </c>
      <c r="F718" s="41"/>
      <c r="G718" s="80" t="s">
        <v>13</v>
      </c>
      <c r="H718" s="80" t="s">
        <v>9</v>
      </c>
      <c r="I718" s="81" t="s">
        <v>103</v>
      </c>
      <c r="J718" t="s">
        <v>6</v>
      </c>
    </row>
    <row r="719" spans="3:10" hidden="1">
      <c r="C719">
        <v>84001</v>
      </c>
      <c r="D719" t="s">
        <v>49</v>
      </c>
      <c r="E719" t="s">
        <v>104</v>
      </c>
      <c r="F719" s="41"/>
      <c r="G719" s="80" t="s">
        <v>13</v>
      </c>
      <c r="H719" s="80" t="s">
        <v>9</v>
      </c>
      <c r="I719" s="81" t="s">
        <v>103</v>
      </c>
      <c r="J719" t="s">
        <v>6</v>
      </c>
    </row>
    <row r="720" spans="3:10" hidden="1">
      <c r="C720">
        <v>84002</v>
      </c>
      <c r="D720" t="s">
        <v>49</v>
      </c>
      <c r="E720" t="s">
        <v>105</v>
      </c>
      <c r="F720" s="41"/>
      <c r="G720" s="80" t="s">
        <v>13</v>
      </c>
      <c r="H720" s="80" t="s">
        <v>9</v>
      </c>
      <c r="I720" s="81" t="s">
        <v>103</v>
      </c>
      <c r="J720" t="s">
        <v>6</v>
      </c>
    </row>
    <row r="721" spans="3:10" hidden="1">
      <c r="C721">
        <v>84003</v>
      </c>
      <c r="D721" t="s">
        <v>49</v>
      </c>
      <c r="E721" t="s">
        <v>106</v>
      </c>
      <c r="F721" s="41"/>
      <c r="G721" s="80" t="s">
        <v>13</v>
      </c>
      <c r="H721" s="80" t="s">
        <v>9</v>
      </c>
      <c r="I721" s="81" t="s">
        <v>103</v>
      </c>
      <c r="J721" t="s">
        <v>6</v>
      </c>
    </row>
    <row r="722" spans="3:10" hidden="1">
      <c r="C722">
        <v>84004</v>
      </c>
      <c r="D722" t="s">
        <v>49</v>
      </c>
      <c r="E722" t="s">
        <v>107</v>
      </c>
      <c r="F722" s="41"/>
      <c r="G722" s="80" t="s">
        <v>13</v>
      </c>
      <c r="H722" s="80" t="s">
        <v>9</v>
      </c>
      <c r="I722" s="81" t="s">
        <v>103</v>
      </c>
      <c r="J722" t="s">
        <v>6</v>
      </c>
    </row>
    <row r="723" spans="3:10" hidden="1">
      <c r="C723">
        <v>84005</v>
      </c>
      <c r="D723" t="s">
        <v>49</v>
      </c>
      <c r="E723" t="s">
        <v>108</v>
      </c>
      <c r="F723" s="41"/>
      <c r="G723" s="80" t="s">
        <v>13</v>
      </c>
      <c r="H723" s="80" t="s">
        <v>9</v>
      </c>
      <c r="I723" s="81" t="s">
        <v>103</v>
      </c>
      <c r="J723" t="s">
        <v>6</v>
      </c>
    </row>
    <row r="724" spans="3:10" hidden="1">
      <c r="C724">
        <v>84006</v>
      </c>
      <c r="D724" t="s">
        <v>49</v>
      </c>
      <c r="E724" t="s">
        <v>109</v>
      </c>
      <c r="F724" s="41"/>
      <c r="G724" s="80" t="s">
        <v>13</v>
      </c>
      <c r="H724" s="80" t="s">
        <v>9</v>
      </c>
      <c r="I724" s="81" t="s">
        <v>103</v>
      </c>
      <c r="J724" t="s">
        <v>6</v>
      </c>
    </row>
    <row r="725" spans="3:10" hidden="1">
      <c r="C725">
        <v>84007</v>
      </c>
      <c r="D725" t="s">
        <v>49</v>
      </c>
      <c r="E725" t="s">
        <v>110</v>
      </c>
      <c r="F725" s="41"/>
      <c r="G725" s="80" t="s">
        <v>13</v>
      </c>
      <c r="H725" s="80" t="s">
        <v>9</v>
      </c>
      <c r="I725" s="81" t="s">
        <v>103</v>
      </c>
      <c r="J725" t="s">
        <v>6</v>
      </c>
    </row>
    <row r="726" spans="3:10" hidden="1">
      <c r="C726">
        <v>84008</v>
      </c>
      <c r="D726" t="s">
        <v>49</v>
      </c>
      <c r="E726" t="s">
        <v>111</v>
      </c>
      <c r="F726" s="41"/>
      <c r="G726" s="80" t="s">
        <v>13</v>
      </c>
      <c r="H726" s="80" t="s">
        <v>9</v>
      </c>
      <c r="I726" s="81" t="s">
        <v>103</v>
      </c>
      <c r="J726" t="s">
        <v>6</v>
      </c>
    </row>
    <row r="727" spans="3:10" hidden="1">
      <c r="C727">
        <v>84009</v>
      </c>
      <c r="D727" t="s">
        <v>49</v>
      </c>
      <c r="E727" t="s">
        <v>57</v>
      </c>
      <c r="F727" s="41"/>
      <c r="G727" s="80" t="s">
        <v>13</v>
      </c>
      <c r="H727" s="80" t="s">
        <v>9</v>
      </c>
      <c r="I727" s="81" t="s">
        <v>103</v>
      </c>
      <c r="J727" t="s">
        <v>6</v>
      </c>
    </row>
    <row r="728" spans="3:10" hidden="1">
      <c r="C728">
        <v>84010</v>
      </c>
      <c r="D728" t="s">
        <v>58</v>
      </c>
      <c r="E728" t="s">
        <v>59</v>
      </c>
      <c r="F728" s="41"/>
      <c r="G728" s="80" t="s">
        <v>13</v>
      </c>
      <c r="H728" s="80" t="s">
        <v>9</v>
      </c>
      <c r="I728" s="81" t="s">
        <v>103</v>
      </c>
      <c r="J728" t="s">
        <v>6</v>
      </c>
    </row>
    <row r="729" spans="3:10" hidden="1">
      <c r="C729">
        <v>85000</v>
      </c>
      <c r="D729" t="s">
        <v>48</v>
      </c>
      <c r="E729" t="s">
        <v>112</v>
      </c>
      <c r="F729" s="41"/>
      <c r="G729" s="80" t="s">
        <v>13</v>
      </c>
      <c r="H729" s="80" t="s">
        <v>9</v>
      </c>
      <c r="I729" s="81" t="s">
        <v>112</v>
      </c>
      <c r="J729" t="s">
        <v>6</v>
      </c>
    </row>
    <row r="730" spans="3:10" hidden="1">
      <c r="C730">
        <v>85001</v>
      </c>
      <c r="D730" t="s">
        <v>49</v>
      </c>
      <c r="E730" t="s">
        <v>104</v>
      </c>
      <c r="F730" s="41"/>
      <c r="G730" s="80" t="s">
        <v>13</v>
      </c>
      <c r="H730" s="80" t="s">
        <v>9</v>
      </c>
      <c r="I730" s="81" t="s">
        <v>112</v>
      </c>
      <c r="J730" t="s">
        <v>6</v>
      </c>
    </row>
    <row r="731" spans="3:10" hidden="1">
      <c r="C731">
        <v>85002</v>
      </c>
      <c r="D731" t="s">
        <v>49</v>
      </c>
      <c r="E731" t="s">
        <v>1668</v>
      </c>
      <c r="F731" s="41"/>
      <c r="G731" s="80" t="s">
        <v>13</v>
      </c>
      <c r="H731" s="80" t="s">
        <v>9</v>
      </c>
      <c r="I731" s="81" t="s">
        <v>112</v>
      </c>
      <c r="J731" t="s">
        <v>6</v>
      </c>
    </row>
    <row r="732" spans="3:10" hidden="1">
      <c r="C732">
        <v>85003</v>
      </c>
      <c r="D732" t="s">
        <v>49</v>
      </c>
      <c r="E732" t="s">
        <v>114</v>
      </c>
      <c r="F732" s="41"/>
      <c r="G732" s="80" t="s">
        <v>13</v>
      </c>
      <c r="H732" s="80" t="s">
        <v>9</v>
      </c>
      <c r="I732" s="81" t="s">
        <v>112</v>
      </c>
      <c r="J732" t="s">
        <v>6</v>
      </c>
    </row>
    <row r="733" spans="3:10" hidden="1">
      <c r="C733">
        <v>85004</v>
      </c>
      <c r="D733" t="s">
        <v>49</v>
      </c>
      <c r="E733" t="s">
        <v>115</v>
      </c>
      <c r="F733" s="41"/>
      <c r="G733" s="80" t="s">
        <v>13</v>
      </c>
      <c r="H733" s="80" t="s">
        <v>9</v>
      </c>
      <c r="I733" s="81" t="s">
        <v>112</v>
      </c>
      <c r="J733" t="s">
        <v>6</v>
      </c>
    </row>
    <row r="734" spans="3:10" hidden="1">
      <c r="C734">
        <v>85005</v>
      </c>
      <c r="D734" t="s">
        <v>49</v>
      </c>
      <c r="E734" t="s">
        <v>116</v>
      </c>
      <c r="F734" s="41"/>
      <c r="G734" s="80" t="s">
        <v>13</v>
      </c>
      <c r="H734" s="80" t="s">
        <v>9</v>
      </c>
      <c r="I734" s="81" t="s">
        <v>112</v>
      </c>
      <c r="J734" t="s">
        <v>6</v>
      </c>
    </row>
    <row r="735" spans="3:10" hidden="1">
      <c r="C735">
        <v>85006</v>
      </c>
      <c r="D735" t="s">
        <v>66</v>
      </c>
      <c r="E735" t="s">
        <v>107</v>
      </c>
      <c r="F735" s="41"/>
      <c r="G735" s="80" t="s">
        <v>13</v>
      </c>
      <c r="H735" s="80" t="s">
        <v>9</v>
      </c>
      <c r="I735" s="81" t="s">
        <v>112</v>
      </c>
      <c r="J735" t="s">
        <v>6</v>
      </c>
    </row>
    <row r="736" spans="3:10" hidden="1">
      <c r="C736">
        <v>85007</v>
      </c>
      <c r="D736" t="s">
        <v>66</v>
      </c>
      <c r="E736" t="s">
        <v>117</v>
      </c>
      <c r="F736" s="41"/>
      <c r="G736" s="80" t="s">
        <v>13</v>
      </c>
      <c r="H736" s="80" t="s">
        <v>9</v>
      </c>
      <c r="I736" s="81" t="s">
        <v>112</v>
      </c>
      <c r="J736" t="s">
        <v>6</v>
      </c>
    </row>
    <row r="737" spans="3:10" hidden="1">
      <c r="C737">
        <v>85008</v>
      </c>
      <c r="D737" t="s">
        <v>49</v>
      </c>
      <c r="E737" t="s">
        <v>57</v>
      </c>
      <c r="F737" s="41"/>
      <c r="G737" s="80" t="s">
        <v>13</v>
      </c>
      <c r="H737" s="80" t="s">
        <v>9</v>
      </c>
      <c r="I737" s="81" t="s">
        <v>112</v>
      </c>
      <c r="J737" t="s">
        <v>6</v>
      </c>
    </row>
    <row r="738" spans="3:10" hidden="1">
      <c r="C738">
        <v>85009</v>
      </c>
      <c r="D738" t="s">
        <v>58</v>
      </c>
      <c r="E738" t="s">
        <v>59</v>
      </c>
      <c r="F738" s="41"/>
      <c r="G738" s="80" t="s">
        <v>13</v>
      </c>
      <c r="H738" s="80" t="s">
        <v>9</v>
      </c>
      <c r="I738" s="81" t="s">
        <v>112</v>
      </c>
      <c r="J738" t="s">
        <v>6</v>
      </c>
    </row>
    <row r="739" spans="3:10" hidden="1">
      <c r="C739">
        <v>86000</v>
      </c>
      <c r="D739" t="s">
        <v>119</v>
      </c>
      <c r="E739" t="s">
        <v>118</v>
      </c>
      <c r="F739" s="41"/>
      <c r="G739" s="80" t="s">
        <v>13</v>
      </c>
      <c r="H739" s="80" t="s">
        <v>9</v>
      </c>
      <c r="I739" s="81" t="s">
        <v>118</v>
      </c>
      <c r="J739" t="s">
        <v>6</v>
      </c>
    </row>
    <row r="740" spans="3:10" hidden="1">
      <c r="C740">
        <v>86001</v>
      </c>
      <c r="D740" t="s">
        <v>120</v>
      </c>
      <c r="E740" t="s">
        <v>121</v>
      </c>
      <c r="F740" s="41" t="s">
        <v>122</v>
      </c>
      <c r="G740" s="80" t="s">
        <v>13</v>
      </c>
      <c r="H740" s="80" t="s">
        <v>9</v>
      </c>
      <c r="I740" s="81" t="s">
        <v>118</v>
      </c>
      <c r="J740" t="s">
        <v>6</v>
      </c>
    </row>
    <row r="741" spans="3:10" hidden="1">
      <c r="C741">
        <v>86002</v>
      </c>
      <c r="D741" t="s">
        <v>49</v>
      </c>
      <c r="E741" t="s">
        <v>123</v>
      </c>
      <c r="F741" s="41"/>
      <c r="G741" s="80" t="s">
        <v>13</v>
      </c>
      <c r="H741" s="80" t="s">
        <v>9</v>
      </c>
      <c r="I741" s="81" t="s">
        <v>118</v>
      </c>
      <c r="J741" t="s">
        <v>6</v>
      </c>
    </row>
    <row r="742" spans="3:10" hidden="1">
      <c r="C742">
        <v>86003</v>
      </c>
      <c r="D742" t="s">
        <v>124</v>
      </c>
      <c r="E742" t="s">
        <v>125</v>
      </c>
      <c r="F742" s="41"/>
      <c r="G742" s="80" t="s">
        <v>13</v>
      </c>
      <c r="H742" s="80" t="s">
        <v>9</v>
      </c>
      <c r="I742" s="81" t="s">
        <v>118</v>
      </c>
      <c r="J742" t="s">
        <v>6</v>
      </c>
    </row>
    <row r="743" spans="3:10" hidden="1">
      <c r="C743">
        <v>86004</v>
      </c>
      <c r="D743" t="s">
        <v>124</v>
      </c>
      <c r="E743" t="s">
        <v>126</v>
      </c>
      <c r="F743" s="41"/>
      <c r="G743" s="80" t="s">
        <v>13</v>
      </c>
      <c r="H743" s="80" t="s">
        <v>9</v>
      </c>
      <c r="I743" s="81" t="s">
        <v>118</v>
      </c>
      <c r="J743" t="s">
        <v>6</v>
      </c>
    </row>
    <row r="744" spans="3:10" hidden="1">
      <c r="C744">
        <v>86005</v>
      </c>
      <c r="D744" t="s">
        <v>66</v>
      </c>
      <c r="E744" t="s">
        <v>127</v>
      </c>
      <c r="F744" s="41" t="s">
        <v>128</v>
      </c>
      <c r="G744" s="80" t="s">
        <v>13</v>
      </c>
      <c r="H744" s="80" t="s">
        <v>9</v>
      </c>
      <c r="I744" s="81" t="s">
        <v>118</v>
      </c>
      <c r="J744" t="s">
        <v>6</v>
      </c>
    </row>
    <row r="745" spans="3:10" hidden="1">
      <c r="C745">
        <v>86006</v>
      </c>
      <c r="D745" t="s">
        <v>124</v>
      </c>
      <c r="E745" t="s">
        <v>129</v>
      </c>
      <c r="F745" s="41"/>
      <c r="G745" s="80" t="s">
        <v>13</v>
      </c>
      <c r="H745" s="80" t="s">
        <v>9</v>
      </c>
      <c r="I745" s="81" t="s">
        <v>118</v>
      </c>
      <c r="J745" t="s">
        <v>6</v>
      </c>
    </row>
    <row r="746" spans="3:10" hidden="1">
      <c r="C746">
        <v>86007</v>
      </c>
      <c r="D746" t="s">
        <v>49</v>
      </c>
      <c r="E746" t="s">
        <v>130</v>
      </c>
      <c r="F746" s="41"/>
      <c r="G746" s="80" t="s">
        <v>13</v>
      </c>
      <c r="H746" s="80" t="s">
        <v>9</v>
      </c>
      <c r="I746" s="81" t="s">
        <v>118</v>
      </c>
      <c r="J746" t="s">
        <v>6</v>
      </c>
    </row>
    <row r="747" spans="3:10" hidden="1">
      <c r="C747">
        <v>86008</v>
      </c>
      <c r="D747" t="s">
        <v>131</v>
      </c>
      <c r="E747" t="s">
        <v>132</v>
      </c>
      <c r="F747" s="41" t="s">
        <v>133</v>
      </c>
      <c r="G747" s="80" t="s">
        <v>13</v>
      </c>
      <c r="H747" s="80" t="s">
        <v>9</v>
      </c>
      <c r="I747" s="81" t="s">
        <v>118</v>
      </c>
      <c r="J747" t="s">
        <v>6</v>
      </c>
    </row>
    <row r="748" spans="3:10" hidden="1">
      <c r="C748">
        <v>86009</v>
      </c>
      <c r="D748" t="s">
        <v>124</v>
      </c>
      <c r="E748" t="s">
        <v>134</v>
      </c>
      <c r="F748" s="41"/>
      <c r="G748" s="80" t="s">
        <v>13</v>
      </c>
      <c r="H748" s="80" t="s">
        <v>9</v>
      </c>
      <c r="I748" s="81" t="s">
        <v>118</v>
      </c>
      <c r="J748" t="s">
        <v>6</v>
      </c>
    </row>
    <row r="749" spans="3:10" hidden="1">
      <c r="C749">
        <v>86010</v>
      </c>
      <c r="D749" t="s">
        <v>124</v>
      </c>
      <c r="E749" t="s">
        <v>135</v>
      </c>
      <c r="F749" s="41"/>
      <c r="G749" s="80" t="s">
        <v>13</v>
      </c>
      <c r="H749" s="80" t="s">
        <v>9</v>
      </c>
      <c r="I749" s="81" t="s">
        <v>118</v>
      </c>
      <c r="J749" t="s">
        <v>6</v>
      </c>
    </row>
    <row r="750" spans="3:10" hidden="1">
      <c r="C750">
        <v>86011</v>
      </c>
      <c r="D750" t="s">
        <v>66</v>
      </c>
      <c r="E750" t="s">
        <v>136</v>
      </c>
      <c r="F750" s="41"/>
      <c r="G750" s="80" t="s">
        <v>13</v>
      </c>
      <c r="H750" s="80" t="s">
        <v>9</v>
      </c>
      <c r="I750" s="81" t="s">
        <v>118</v>
      </c>
      <c r="J750" t="s">
        <v>6</v>
      </c>
    </row>
    <row r="751" spans="3:10" hidden="1">
      <c r="C751">
        <v>86012</v>
      </c>
      <c r="D751" t="s">
        <v>66</v>
      </c>
      <c r="E751" t="s">
        <v>137</v>
      </c>
      <c r="F751" s="41"/>
      <c r="G751" s="80" t="s">
        <v>13</v>
      </c>
      <c r="H751" s="80" t="s">
        <v>9</v>
      </c>
      <c r="I751" s="81" t="s">
        <v>118</v>
      </c>
      <c r="J751" t="s">
        <v>6</v>
      </c>
    </row>
    <row r="752" spans="3:10" hidden="1">
      <c r="C752">
        <v>86013</v>
      </c>
      <c r="D752" t="s">
        <v>49</v>
      </c>
      <c r="E752" t="s">
        <v>138</v>
      </c>
      <c r="F752" s="41"/>
      <c r="G752" s="80" t="s">
        <v>13</v>
      </c>
      <c r="H752" s="80" t="s">
        <v>9</v>
      </c>
      <c r="I752" s="81" t="s">
        <v>118</v>
      </c>
      <c r="J752" t="s">
        <v>6</v>
      </c>
    </row>
    <row r="753" spans="3:10" hidden="1">
      <c r="C753">
        <v>86014</v>
      </c>
      <c r="D753" t="s">
        <v>124</v>
      </c>
      <c r="E753" t="s">
        <v>139</v>
      </c>
      <c r="F753" s="41"/>
      <c r="G753" s="80" t="s">
        <v>13</v>
      </c>
      <c r="H753" s="80" t="s">
        <v>9</v>
      </c>
      <c r="I753" s="81" t="s">
        <v>118</v>
      </c>
      <c r="J753" t="s">
        <v>6</v>
      </c>
    </row>
    <row r="754" spans="3:10" hidden="1">
      <c r="C754">
        <v>86015</v>
      </c>
      <c r="D754" t="s">
        <v>124</v>
      </c>
      <c r="E754" t="s">
        <v>140</v>
      </c>
      <c r="F754" s="41"/>
      <c r="G754" s="80" t="s">
        <v>13</v>
      </c>
      <c r="H754" s="80" t="s">
        <v>9</v>
      </c>
      <c r="I754" s="81" t="s">
        <v>118</v>
      </c>
      <c r="J754" t="s">
        <v>6</v>
      </c>
    </row>
    <row r="755" spans="3:10" hidden="1">
      <c r="C755">
        <v>86016</v>
      </c>
      <c r="D755" t="s">
        <v>124</v>
      </c>
      <c r="E755" t="s">
        <v>141</v>
      </c>
      <c r="F755" s="41"/>
      <c r="G755" s="80" t="s">
        <v>13</v>
      </c>
      <c r="H755" s="80" t="s">
        <v>9</v>
      </c>
      <c r="I755" s="81" t="s">
        <v>118</v>
      </c>
      <c r="J755" t="s">
        <v>6</v>
      </c>
    </row>
    <row r="756" spans="3:10" hidden="1">
      <c r="C756">
        <v>86017</v>
      </c>
      <c r="D756" t="s">
        <v>124</v>
      </c>
      <c r="E756" t="s">
        <v>142</v>
      </c>
      <c r="F756" s="41"/>
      <c r="G756" s="80" t="s">
        <v>13</v>
      </c>
      <c r="H756" s="80" t="s">
        <v>9</v>
      </c>
      <c r="I756" s="81" t="s">
        <v>118</v>
      </c>
      <c r="J756" t="s">
        <v>6</v>
      </c>
    </row>
    <row r="757" spans="3:10" hidden="1">
      <c r="C757">
        <v>86018</v>
      </c>
      <c r="D757" t="s">
        <v>124</v>
      </c>
      <c r="E757" t="s">
        <v>143</v>
      </c>
      <c r="F757" s="41"/>
      <c r="G757" s="80" t="s">
        <v>13</v>
      </c>
      <c r="H757" s="80" t="s">
        <v>9</v>
      </c>
      <c r="I757" s="81" t="s">
        <v>118</v>
      </c>
      <c r="J757" t="s">
        <v>6</v>
      </c>
    </row>
    <row r="758" spans="3:10" hidden="1">
      <c r="C758">
        <v>86019</v>
      </c>
      <c r="D758" t="s">
        <v>124</v>
      </c>
      <c r="E758" t="s">
        <v>144</v>
      </c>
      <c r="F758" s="41"/>
      <c r="G758" s="80" t="s">
        <v>13</v>
      </c>
      <c r="H758" s="80" t="s">
        <v>9</v>
      </c>
      <c r="I758" s="81" t="s">
        <v>118</v>
      </c>
      <c r="J758" t="s">
        <v>6</v>
      </c>
    </row>
    <row r="759" spans="3:10" hidden="1">
      <c r="C759">
        <v>86020</v>
      </c>
      <c r="D759" t="s">
        <v>49</v>
      </c>
      <c r="E759" t="s">
        <v>145</v>
      </c>
      <c r="F759" s="41"/>
      <c r="G759" s="80" t="s">
        <v>13</v>
      </c>
      <c r="H759" s="80" t="s">
        <v>9</v>
      </c>
      <c r="I759" s="81" t="s">
        <v>118</v>
      </c>
      <c r="J759" t="s">
        <v>6</v>
      </c>
    </row>
    <row r="760" spans="3:10" hidden="1">
      <c r="C760">
        <v>86021</v>
      </c>
      <c r="D760" t="s">
        <v>124</v>
      </c>
      <c r="E760" t="s">
        <v>139</v>
      </c>
      <c r="F760" s="41"/>
      <c r="G760" s="80" t="s">
        <v>13</v>
      </c>
      <c r="H760" s="80" t="s">
        <v>9</v>
      </c>
      <c r="I760" s="81" t="s">
        <v>118</v>
      </c>
      <c r="J760" t="s">
        <v>6</v>
      </c>
    </row>
    <row r="761" spans="3:10" hidden="1">
      <c r="C761">
        <v>86022</v>
      </c>
      <c r="D761" t="s">
        <v>124</v>
      </c>
      <c r="E761" t="s">
        <v>140</v>
      </c>
      <c r="F761" s="41"/>
      <c r="G761" s="80" t="s">
        <v>13</v>
      </c>
      <c r="H761" s="80" t="s">
        <v>9</v>
      </c>
      <c r="I761" s="81" t="s">
        <v>118</v>
      </c>
      <c r="J761" t="s">
        <v>6</v>
      </c>
    </row>
    <row r="762" spans="3:10" hidden="1">
      <c r="C762">
        <v>86023</v>
      </c>
      <c r="D762" t="s">
        <v>124</v>
      </c>
      <c r="E762" t="s">
        <v>146</v>
      </c>
      <c r="F762" s="41"/>
      <c r="G762" s="80" t="s">
        <v>13</v>
      </c>
      <c r="H762" s="80" t="s">
        <v>9</v>
      </c>
      <c r="I762" s="81" t="s">
        <v>118</v>
      </c>
      <c r="J762" t="s">
        <v>6</v>
      </c>
    </row>
    <row r="763" spans="3:10" hidden="1">
      <c r="C763">
        <v>86024</v>
      </c>
      <c r="D763" t="s">
        <v>124</v>
      </c>
      <c r="E763" t="s">
        <v>147</v>
      </c>
      <c r="F763" s="41"/>
      <c r="G763" s="80" t="s">
        <v>13</v>
      </c>
      <c r="H763" s="80" t="s">
        <v>9</v>
      </c>
      <c r="I763" s="81" t="s">
        <v>118</v>
      </c>
      <c r="J763" t="s">
        <v>6</v>
      </c>
    </row>
    <row r="764" spans="3:10" hidden="1">
      <c r="C764">
        <v>86025</v>
      </c>
      <c r="D764" t="s">
        <v>124</v>
      </c>
      <c r="E764" t="s">
        <v>148</v>
      </c>
      <c r="F764" s="41"/>
      <c r="G764" s="80" t="s">
        <v>13</v>
      </c>
      <c r="H764" s="80" t="s">
        <v>9</v>
      </c>
      <c r="I764" s="81" t="s">
        <v>118</v>
      </c>
      <c r="J764" t="s">
        <v>6</v>
      </c>
    </row>
    <row r="765" spans="3:10" hidden="1">
      <c r="C765">
        <v>86026</v>
      </c>
      <c r="D765" t="s">
        <v>124</v>
      </c>
      <c r="E765" t="s">
        <v>149</v>
      </c>
      <c r="F765" s="41"/>
      <c r="G765" s="80" t="s">
        <v>13</v>
      </c>
      <c r="H765" s="80" t="s">
        <v>9</v>
      </c>
      <c r="I765" s="81" t="s">
        <v>118</v>
      </c>
      <c r="J765" t="s">
        <v>6</v>
      </c>
    </row>
    <row r="766" spans="3:10" hidden="1">
      <c r="C766">
        <v>86027</v>
      </c>
      <c r="D766" t="s">
        <v>124</v>
      </c>
      <c r="E766" t="s">
        <v>144</v>
      </c>
      <c r="F766" s="41"/>
      <c r="G766" s="80" t="s">
        <v>13</v>
      </c>
      <c r="H766" s="80" t="s">
        <v>9</v>
      </c>
      <c r="I766" s="81" t="s">
        <v>118</v>
      </c>
      <c r="J766" t="s">
        <v>6</v>
      </c>
    </row>
    <row r="767" spans="3:10" hidden="1">
      <c r="C767">
        <v>86028</v>
      </c>
      <c r="D767" t="s">
        <v>124</v>
      </c>
      <c r="E767" t="s">
        <v>150</v>
      </c>
      <c r="F767" s="41"/>
      <c r="G767" s="80" t="s">
        <v>13</v>
      </c>
      <c r="H767" s="80" t="s">
        <v>9</v>
      </c>
      <c r="I767" s="81" t="s">
        <v>118</v>
      </c>
      <c r="J767" t="s">
        <v>6</v>
      </c>
    </row>
    <row r="768" spans="3:10" hidden="1">
      <c r="C768">
        <v>86029</v>
      </c>
      <c r="D768" t="s">
        <v>124</v>
      </c>
      <c r="E768" t="s">
        <v>151</v>
      </c>
      <c r="F768" s="41"/>
      <c r="G768" s="80" t="s">
        <v>13</v>
      </c>
      <c r="H768" s="80" t="s">
        <v>9</v>
      </c>
      <c r="I768" s="81" t="s">
        <v>118</v>
      </c>
      <c r="J768" t="s">
        <v>6</v>
      </c>
    </row>
    <row r="769" spans="3:10" hidden="1">
      <c r="C769">
        <v>86030</v>
      </c>
      <c r="D769" t="s">
        <v>131</v>
      </c>
      <c r="E769" t="s">
        <v>152</v>
      </c>
      <c r="F769" s="41" t="s">
        <v>153</v>
      </c>
      <c r="G769" s="80" t="s">
        <v>13</v>
      </c>
      <c r="H769" s="80" t="s">
        <v>9</v>
      </c>
      <c r="I769" s="81" t="s">
        <v>118</v>
      </c>
      <c r="J769" t="s">
        <v>6</v>
      </c>
    </row>
    <row r="770" spans="3:10" hidden="1">
      <c r="C770">
        <v>86031</v>
      </c>
      <c r="D770" t="s">
        <v>124</v>
      </c>
      <c r="E770" t="s">
        <v>154</v>
      </c>
      <c r="F770" s="41"/>
      <c r="G770" s="80" t="s">
        <v>13</v>
      </c>
      <c r="H770" s="80" t="s">
        <v>9</v>
      </c>
      <c r="I770" s="81" t="s">
        <v>118</v>
      </c>
      <c r="J770" t="s">
        <v>6</v>
      </c>
    </row>
    <row r="771" spans="3:10" hidden="1">
      <c r="C771">
        <v>86032</v>
      </c>
      <c r="D771" t="s">
        <v>66</v>
      </c>
      <c r="E771" t="s">
        <v>155</v>
      </c>
      <c r="F771" s="41" t="s">
        <v>153</v>
      </c>
      <c r="G771" s="80" t="s">
        <v>13</v>
      </c>
      <c r="H771" s="80" t="s">
        <v>9</v>
      </c>
      <c r="I771" s="81" t="s">
        <v>118</v>
      </c>
      <c r="J771" t="s">
        <v>6</v>
      </c>
    </row>
    <row r="772" spans="3:10" hidden="1">
      <c r="C772">
        <v>86033</v>
      </c>
      <c r="D772" t="s">
        <v>131</v>
      </c>
      <c r="E772" t="s">
        <v>156</v>
      </c>
      <c r="F772" s="41" t="s">
        <v>157</v>
      </c>
      <c r="G772" s="80" t="s">
        <v>13</v>
      </c>
      <c r="H772" s="80" t="s">
        <v>9</v>
      </c>
      <c r="I772" s="81" t="s">
        <v>118</v>
      </c>
      <c r="J772" t="s">
        <v>6</v>
      </c>
    </row>
    <row r="773" spans="3:10" hidden="1">
      <c r="C773">
        <v>86034</v>
      </c>
      <c r="D773" t="s">
        <v>124</v>
      </c>
      <c r="E773" t="s">
        <v>158</v>
      </c>
      <c r="F773" s="41"/>
      <c r="G773" s="80" t="s">
        <v>13</v>
      </c>
      <c r="H773" s="80" t="s">
        <v>9</v>
      </c>
      <c r="I773" s="81" t="s">
        <v>118</v>
      </c>
      <c r="J773" t="s">
        <v>6</v>
      </c>
    </row>
    <row r="774" spans="3:10" hidden="1">
      <c r="C774">
        <v>86035</v>
      </c>
      <c r="D774" t="s">
        <v>49</v>
      </c>
      <c r="E774" t="s">
        <v>159</v>
      </c>
      <c r="F774" s="41"/>
      <c r="G774" s="80" t="s">
        <v>13</v>
      </c>
      <c r="H774" s="80" t="s">
        <v>9</v>
      </c>
      <c r="I774" s="81" t="s">
        <v>118</v>
      </c>
      <c r="J774" t="s">
        <v>6</v>
      </c>
    </row>
    <row r="775" spans="3:10" hidden="1">
      <c r="C775">
        <v>86036</v>
      </c>
      <c r="D775" t="s">
        <v>124</v>
      </c>
      <c r="E775" t="s">
        <v>1669</v>
      </c>
      <c r="F775" s="41"/>
      <c r="G775" s="80" t="s">
        <v>13</v>
      </c>
      <c r="H775" s="80" t="s">
        <v>9</v>
      </c>
      <c r="I775" s="81" t="s">
        <v>118</v>
      </c>
      <c r="J775" t="s">
        <v>6</v>
      </c>
    </row>
    <row r="776" spans="3:10" hidden="1">
      <c r="C776">
        <v>86037</v>
      </c>
      <c r="D776" t="s">
        <v>124</v>
      </c>
      <c r="E776" t="s">
        <v>161</v>
      </c>
      <c r="F776" s="41"/>
      <c r="G776" s="80" t="s">
        <v>13</v>
      </c>
      <c r="H776" s="80" t="s">
        <v>9</v>
      </c>
      <c r="I776" s="81" t="s">
        <v>118</v>
      </c>
      <c r="J776" t="s">
        <v>6</v>
      </c>
    </row>
    <row r="777" spans="3:10" hidden="1">
      <c r="C777">
        <v>86038</v>
      </c>
      <c r="D777" t="s">
        <v>124</v>
      </c>
      <c r="E777" t="s">
        <v>162</v>
      </c>
      <c r="F777" s="41"/>
      <c r="G777" s="80" t="s">
        <v>13</v>
      </c>
      <c r="H777" s="80" t="s">
        <v>9</v>
      </c>
      <c r="I777" s="81" t="s">
        <v>118</v>
      </c>
      <c r="J777" t="s">
        <v>6</v>
      </c>
    </row>
    <row r="778" spans="3:10" hidden="1">
      <c r="C778">
        <v>86039</v>
      </c>
      <c r="D778" t="s">
        <v>124</v>
      </c>
      <c r="E778" t="s">
        <v>163</v>
      </c>
      <c r="F778" s="41"/>
      <c r="G778" s="80" t="s">
        <v>13</v>
      </c>
      <c r="H778" s="80" t="s">
        <v>9</v>
      </c>
      <c r="I778" s="81" t="s">
        <v>118</v>
      </c>
      <c r="J778" t="s">
        <v>6</v>
      </c>
    </row>
    <row r="779" spans="3:10" hidden="1">
      <c r="C779">
        <v>86040</v>
      </c>
      <c r="D779" t="s">
        <v>124</v>
      </c>
      <c r="E779" t="s">
        <v>164</v>
      </c>
      <c r="F779" s="41"/>
      <c r="G779" s="80" t="s">
        <v>13</v>
      </c>
      <c r="H779" s="80" t="s">
        <v>9</v>
      </c>
      <c r="I779" s="81" t="s">
        <v>118</v>
      </c>
      <c r="J779" t="s">
        <v>6</v>
      </c>
    </row>
    <row r="780" spans="3:10" hidden="1">
      <c r="C780">
        <v>86041</v>
      </c>
      <c r="D780" t="s">
        <v>120</v>
      </c>
      <c r="E780" t="s">
        <v>165</v>
      </c>
      <c r="F780" s="41" t="s">
        <v>122</v>
      </c>
      <c r="G780" s="80" t="s">
        <v>13</v>
      </c>
      <c r="H780" s="80" t="s">
        <v>9</v>
      </c>
      <c r="I780" s="81" t="s">
        <v>118</v>
      </c>
      <c r="J780" t="s">
        <v>6</v>
      </c>
    </row>
    <row r="781" spans="3:10" hidden="1">
      <c r="C781">
        <v>86042</v>
      </c>
      <c r="D781" t="s">
        <v>49</v>
      </c>
      <c r="E781" t="s">
        <v>166</v>
      </c>
      <c r="F781" s="41"/>
      <c r="G781" s="80" t="s">
        <v>13</v>
      </c>
      <c r="H781" s="80" t="s">
        <v>9</v>
      </c>
      <c r="I781" s="81" t="s">
        <v>118</v>
      </c>
      <c r="J781" t="s">
        <v>6</v>
      </c>
    </row>
    <row r="782" spans="3:10" hidden="1">
      <c r="C782">
        <v>86043</v>
      </c>
      <c r="D782" t="s">
        <v>49</v>
      </c>
      <c r="E782" t="s">
        <v>167</v>
      </c>
      <c r="F782" s="41"/>
      <c r="G782" s="80" t="s">
        <v>13</v>
      </c>
      <c r="H782" s="80" t="s">
        <v>9</v>
      </c>
      <c r="I782" s="81" t="s">
        <v>118</v>
      </c>
      <c r="J782" t="s">
        <v>6</v>
      </c>
    </row>
    <row r="783" spans="3:10" hidden="1">
      <c r="C783">
        <v>86044</v>
      </c>
      <c r="D783" t="s">
        <v>49</v>
      </c>
      <c r="E783" t="s">
        <v>168</v>
      </c>
      <c r="F783" s="41"/>
      <c r="G783" s="80" t="s">
        <v>13</v>
      </c>
      <c r="H783" s="80" t="s">
        <v>9</v>
      </c>
      <c r="I783" s="81" t="s">
        <v>118</v>
      </c>
      <c r="J783" t="s">
        <v>6</v>
      </c>
    </row>
    <row r="784" spans="3:10" hidden="1">
      <c r="C784">
        <v>86045</v>
      </c>
      <c r="D784" t="s">
        <v>49</v>
      </c>
      <c r="E784" t="s">
        <v>169</v>
      </c>
      <c r="F784" s="41"/>
      <c r="G784" s="80" t="s">
        <v>13</v>
      </c>
      <c r="H784" s="80" t="s">
        <v>9</v>
      </c>
      <c r="I784" s="81" t="s">
        <v>118</v>
      </c>
      <c r="J784" t="s">
        <v>6</v>
      </c>
    </row>
    <row r="785" spans="3:10" hidden="1">
      <c r="C785">
        <v>86046</v>
      </c>
      <c r="D785" t="s">
        <v>124</v>
      </c>
      <c r="E785" t="s">
        <v>170</v>
      </c>
      <c r="F785" s="41"/>
      <c r="G785" s="80" t="s">
        <v>13</v>
      </c>
      <c r="H785" s="80" t="s">
        <v>9</v>
      </c>
      <c r="I785" s="81" t="s">
        <v>118</v>
      </c>
      <c r="J785" t="s">
        <v>6</v>
      </c>
    </row>
    <row r="786" spans="3:10" hidden="1">
      <c r="C786">
        <v>86047</v>
      </c>
      <c r="D786" t="s">
        <v>49</v>
      </c>
      <c r="E786" t="s">
        <v>171</v>
      </c>
      <c r="F786" s="41"/>
      <c r="G786" s="80" t="s">
        <v>13</v>
      </c>
      <c r="H786" s="80" t="s">
        <v>9</v>
      </c>
      <c r="I786" s="81" t="s">
        <v>118</v>
      </c>
      <c r="J786" t="s">
        <v>6</v>
      </c>
    </row>
    <row r="787" spans="3:10" hidden="1">
      <c r="C787">
        <v>86048</v>
      </c>
      <c r="D787" t="s">
        <v>58</v>
      </c>
      <c r="E787" t="s">
        <v>172</v>
      </c>
      <c r="F787" s="41"/>
      <c r="G787" s="80" t="s">
        <v>13</v>
      </c>
      <c r="H787" s="80" t="s">
        <v>9</v>
      </c>
      <c r="I787" s="81" t="s">
        <v>118</v>
      </c>
      <c r="J787" t="s">
        <v>6</v>
      </c>
    </row>
    <row r="788" spans="3:10" hidden="1">
      <c r="C788">
        <v>86049</v>
      </c>
      <c r="D788" t="s">
        <v>120</v>
      </c>
      <c r="E788" t="s">
        <v>173</v>
      </c>
      <c r="F788" s="41" t="s">
        <v>122</v>
      </c>
      <c r="G788" s="80" t="s">
        <v>13</v>
      </c>
      <c r="H788" s="80" t="s">
        <v>9</v>
      </c>
      <c r="I788" s="81" t="s">
        <v>118</v>
      </c>
      <c r="J788" t="s">
        <v>6</v>
      </c>
    </row>
    <row r="789" spans="3:10" hidden="1">
      <c r="C789">
        <v>86050</v>
      </c>
      <c r="D789" t="s">
        <v>49</v>
      </c>
      <c r="E789" t="s">
        <v>174</v>
      </c>
      <c r="F789" s="41"/>
      <c r="G789" s="80" t="s">
        <v>13</v>
      </c>
      <c r="H789" s="80" t="s">
        <v>9</v>
      </c>
      <c r="I789" s="81" t="s">
        <v>118</v>
      </c>
      <c r="J789" t="s">
        <v>6</v>
      </c>
    </row>
    <row r="790" spans="3:10" hidden="1">
      <c r="C790">
        <v>86051</v>
      </c>
      <c r="D790" t="s">
        <v>124</v>
      </c>
      <c r="E790" t="s">
        <v>175</v>
      </c>
      <c r="F790" s="41"/>
      <c r="G790" s="80" t="s">
        <v>13</v>
      </c>
      <c r="H790" s="80" t="s">
        <v>9</v>
      </c>
      <c r="I790" s="81" t="s">
        <v>118</v>
      </c>
      <c r="J790" t="s">
        <v>6</v>
      </c>
    </row>
    <row r="791" spans="3:10" hidden="1">
      <c r="C791">
        <v>86052</v>
      </c>
      <c r="D791" t="s">
        <v>124</v>
      </c>
      <c r="E791" t="s">
        <v>176</v>
      </c>
      <c r="F791" s="41"/>
      <c r="G791" s="80" t="s">
        <v>13</v>
      </c>
      <c r="H791" s="80" t="s">
        <v>9</v>
      </c>
      <c r="I791" s="81" t="s">
        <v>118</v>
      </c>
      <c r="J791" t="s">
        <v>6</v>
      </c>
    </row>
    <row r="792" spans="3:10" hidden="1">
      <c r="C792">
        <v>86053</v>
      </c>
      <c r="D792" t="s">
        <v>124</v>
      </c>
      <c r="E792" t="s">
        <v>177</v>
      </c>
      <c r="F792" s="41"/>
      <c r="G792" s="80" t="s">
        <v>13</v>
      </c>
      <c r="H792" s="80" t="s">
        <v>9</v>
      </c>
      <c r="I792" s="81" t="s">
        <v>118</v>
      </c>
      <c r="J792" t="s">
        <v>6</v>
      </c>
    </row>
    <row r="793" spans="3:10" hidden="1">
      <c r="C793">
        <v>86054</v>
      </c>
      <c r="D793" t="s">
        <v>124</v>
      </c>
      <c r="E793" t="s">
        <v>178</v>
      </c>
      <c r="F793" s="41"/>
      <c r="G793" s="80" t="s">
        <v>13</v>
      </c>
      <c r="H793" s="80" t="s">
        <v>9</v>
      </c>
      <c r="I793" s="81" t="s">
        <v>118</v>
      </c>
      <c r="J793" t="s">
        <v>6</v>
      </c>
    </row>
    <row r="794" spans="3:10" hidden="1">
      <c r="C794">
        <v>86055</v>
      </c>
      <c r="D794" t="s">
        <v>124</v>
      </c>
      <c r="E794" t="s">
        <v>179</v>
      </c>
      <c r="F794" s="41"/>
      <c r="G794" s="80" t="s">
        <v>13</v>
      </c>
      <c r="H794" s="80" t="s">
        <v>9</v>
      </c>
      <c r="I794" s="81" t="s">
        <v>118</v>
      </c>
      <c r="J794" t="s">
        <v>6</v>
      </c>
    </row>
    <row r="795" spans="3:10" hidden="1">
      <c r="C795">
        <v>86056</v>
      </c>
      <c r="D795" t="s">
        <v>124</v>
      </c>
      <c r="E795" t="s">
        <v>180</v>
      </c>
      <c r="F795" s="41"/>
      <c r="G795" s="80" t="s">
        <v>13</v>
      </c>
      <c r="H795" s="80" t="s">
        <v>9</v>
      </c>
      <c r="I795" s="81" t="s">
        <v>118</v>
      </c>
      <c r="J795" t="s">
        <v>6</v>
      </c>
    </row>
    <row r="796" spans="3:10" hidden="1">
      <c r="C796">
        <v>86057</v>
      </c>
      <c r="D796" t="s">
        <v>66</v>
      </c>
      <c r="E796" t="s">
        <v>181</v>
      </c>
      <c r="F796" s="41"/>
      <c r="G796" s="80" t="s">
        <v>13</v>
      </c>
      <c r="H796" s="80" t="s">
        <v>9</v>
      </c>
      <c r="I796" s="81" t="s">
        <v>118</v>
      </c>
      <c r="J796" t="s">
        <v>6</v>
      </c>
    </row>
    <row r="797" spans="3:10" hidden="1">
      <c r="C797">
        <v>86058</v>
      </c>
      <c r="D797" t="s">
        <v>120</v>
      </c>
      <c r="E797" t="s">
        <v>182</v>
      </c>
      <c r="F797" s="41" t="s">
        <v>122</v>
      </c>
      <c r="G797" s="80" t="s">
        <v>13</v>
      </c>
      <c r="H797" s="80" t="s">
        <v>9</v>
      </c>
      <c r="I797" s="81" t="s">
        <v>118</v>
      </c>
      <c r="J797" t="s">
        <v>6</v>
      </c>
    </row>
    <row r="798" spans="3:10" hidden="1">
      <c r="C798">
        <v>86059</v>
      </c>
      <c r="D798" t="s">
        <v>49</v>
      </c>
      <c r="E798" t="s">
        <v>183</v>
      </c>
      <c r="F798" s="41"/>
      <c r="G798" s="80" t="s">
        <v>13</v>
      </c>
      <c r="H798" s="80" t="s">
        <v>9</v>
      </c>
      <c r="I798" s="81" t="s">
        <v>118</v>
      </c>
      <c r="J798" t="s">
        <v>6</v>
      </c>
    </row>
    <row r="799" spans="3:10" hidden="1">
      <c r="C799">
        <v>86060</v>
      </c>
      <c r="D799" t="s">
        <v>124</v>
      </c>
      <c r="E799" t="s">
        <v>184</v>
      </c>
      <c r="F799" s="41"/>
      <c r="G799" s="80" t="s">
        <v>13</v>
      </c>
      <c r="H799" s="80" t="s">
        <v>9</v>
      </c>
      <c r="I799" s="81" t="s">
        <v>118</v>
      </c>
      <c r="J799" t="s">
        <v>6</v>
      </c>
    </row>
    <row r="800" spans="3:10" hidden="1">
      <c r="C800">
        <v>86061</v>
      </c>
      <c r="D800" t="s">
        <v>124</v>
      </c>
      <c r="E800" t="s">
        <v>185</v>
      </c>
      <c r="F800" s="41"/>
      <c r="G800" s="80" t="s">
        <v>13</v>
      </c>
      <c r="H800" s="80" t="s">
        <v>9</v>
      </c>
      <c r="I800" s="81" t="s">
        <v>118</v>
      </c>
      <c r="J800" t="s">
        <v>6</v>
      </c>
    </row>
    <row r="801" spans="3:10" hidden="1">
      <c r="C801">
        <v>86062</v>
      </c>
      <c r="D801" t="s">
        <v>124</v>
      </c>
      <c r="E801" t="s">
        <v>186</v>
      </c>
      <c r="F801" s="41"/>
      <c r="G801" s="80" t="s">
        <v>13</v>
      </c>
      <c r="H801" s="80" t="s">
        <v>9</v>
      </c>
      <c r="I801" s="81" t="s">
        <v>118</v>
      </c>
      <c r="J801" t="s">
        <v>6</v>
      </c>
    </row>
    <row r="802" spans="3:10" hidden="1">
      <c r="C802">
        <v>86063</v>
      </c>
      <c r="D802" t="s">
        <v>124</v>
      </c>
      <c r="E802" t="s">
        <v>187</v>
      </c>
      <c r="F802" s="41"/>
      <c r="G802" s="80" t="s">
        <v>13</v>
      </c>
      <c r="H802" s="80" t="s">
        <v>9</v>
      </c>
      <c r="I802" s="81" t="s">
        <v>118</v>
      </c>
      <c r="J802" t="s">
        <v>6</v>
      </c>
    </row>
    <row r="803" spans="3:10" hidden="1">
      <c r="C803">
        <v>86064</v>
      </c>
      <c r="D803" t="s">
        <v>131</v>
      </c>
      <c r="E803" t="s">
        <v>188</v>
      </c>
      <c r="F803" s="41" t="s">
        <v>189</v>
      </c>
      <c r="G803" s="80" t="s">
        <v>13</v>
      </c>
      <c r="H803" s="80" t="s">
        <v>9</v>
      </c>
      <c r="I803" s="81" t="s">
        <v>118</v>
      </c>
      <c r="J803" t="s">
        <v>6</v>
      </c>
    </row>
    <row r="804" spans="3:10" hidden="1">
      <c r="C804">
        <v>86065</v>
      </c>
      <c r="D804" t="s">
        <v>124</v>
      </c>
      <c r="E804" t="s">
        <v>190</v>
      </c>
      <c r="F804" s="41"/>
      <c r="G804" s="80" t="s">
        <v>13</v>
      </c>
      <c r="H804" s="80" t="s">
        <v>9</v>
      </c>
      <c r="I804" s="81" t="s">
        <v>118</v>
      </c>
      <c r="J804" t="s">
        <v>6</v>
      </c>
    </row>
    <row r="805" spans="3:10" hidden="1">
      <c r="C805">
        <v>86066</v>
      </c>
      <c r="D805" t="s">
        <v>124</v>
      </c>
      <c r="E805" t="s">
        <v>191</v>
      </c>
      <c r="F805" s="41"/>
      <c r="G805" s="80" t="s">
        <v>13</v>
      </c>
      <c r="H805" s="80" t="s">
        <v>9</v>
      </c>
      <c r="I805" s="81" t="s">
        <v>118</v>
      </c>
      <c r="J805" t="s">
        <v>6</v>
      </c>
    </row>
    <row r="806" spans="3:10" hidden="1">
      <c r="C806">
        <v>86067</v>
      </c>
      <c r="D806" t="s">
        <v>124</v>
      </c>
      <c r="E806" t="s">
        <v>192</v>
      </c>
      <c r="F806" s="41"/>
      <c r="G806" s="80" t="s">
        <v>13</v>
      </c>
      <c r="H806" s="80" t="s">
        <v>9</v>
      </c>
      <c r="I806" s="81" t="s">
        <v>118</v>
      </c>
      <c r="J806" t="s">
        <v>6</v>
      </c>
    </row>
    <row r="807" spans="3:10" hidden="1">
      <c r="C807">
        <v>86068</v>
      </c>
      <c r="D807" t="s">
        <v>124</v>
      </c>
      <c r="E807" t="s">
        <v>193</v>
      </c>
      <c r="F807" s="41"/>
      <c r="G807" s="80" t="s">
        <v>13</v>
      </c>
      <c r="H807" s="80" t="s">
        <v>9</v>
      </c>
      <c r="I807" s="81" t="s">
        <v>118</v>
      </c>
      <c r="J807" t="s">
        <v>6</v>
      </c>
    </row>
    <row r="808" spans="3:10" hidden="1">
      <c r="C808">
        <v>86069</v>
      </c>
      <c r="D808" t="s">
        <v>49</v>
      </c>
      <c r="E808" t="s">
        <v>194</v>
      </c>
      <c r="F808" s="41"/>
      <c r="G808" s="80" t="s">
        <v>13</v>
      </c>
      <c r="H808" s="80" t="s">
        <v>9</v>
      </c>
      <c r="I808" s="81" t="s">
        <v>118</v>
      </c>
      <c r="J808" t="s">
        <v>6</v>
      </c>
    </row>
    <row r="809" spans="3:10" hidden="1">
      <c r="C809">
        <v>86070</v>
      </c>
      <c r="D809" t="s">
        <v>49</v>
      </c>
      <c r="E809" t="s">
        <v>195</v>
      </c>
      <c r="F809" s="41"/>
      <c r="G809" s="80" t="s">
        <v>13</v>
      </c>
      <c r="H809" s="80" t="s">
        <v>9</v>
      </c>
      <c r="I809" s="81" t="s">
        <v>118</v>
      </c>
      <c r="J809" t="s">
        <v>6</v>
      </c>
    </row>
    <row r="810" spans="3:10" hidden="1">
      <c r="C810">
        <v>86071</v>
      </c>
      <c r="D810" t="s">
        <v>124</v>
      </c>
      <c r="E810" t="s">
        <v>196</v>
      </c>
      <c r="F810" s="41"/>
      <c r="G810" s="80" t="s">
        <v>13</v>
      </c>
      <c r="H810" s="80" t="s">
        <v>9</v>
      </c>
      <c r="I810" s="81" t="s">
        <v>118</v>
      </c>
      <c r="J810" t="s">
        <v>6</v>
      </c>
    </row>
    <row r="811" spans="3:10" hidden="1">
      <c r="C811">
        <v>86072</v>
      </c>
      <c r="D811" t="s">
        <v>66</v>
      </c>
      <c r="E811" t="s">
        <v>197</v>
      </c>
      <c r="F811" s="41"/>
      <c r="G811" s="80" t="s">
        <v>13</v>
      </c>
      <c r="H811" s="80" t="s">
        <v>9</v>
      </c>
      <c r="I811" s="81" t="s">
        <v>118</v>
      </c>
      <c r="J811" t="s">
        <v>6</v>
      </c>
    </row>
    <row r="812" spans="3:10" hidden="1">
      <c r="C812">
        <v>86073</v>
      </c>
      <c r="D812" t="s">
        <v>66</v>
      </c>
      <c r="E812" t="s">
        <v>198</v>
      </c>
      <c r="F812" s="41"/>
      <c r="G812" s="80" t="s">
        <v>13</v>
      </c>
      <c r="H812" s="80" t="s">
        <v>9</v>
      </c>
      <c r="I812" s="81" t="s">
        <v>118</v>
      </c>
      <c r="J812" t="s">
        <v>6</v>
      </c>
    </row>
    <row r="813" spans="3:10" hidden="1">
      <c r="C813">
        <v>86074</v>
      </c>
      <c r="D813" t="s">
        <v>131</v>
      </c>
      <c r="E813" t="s">
        <v>199</v>
      </c>
      <c r="F813" s="41" t="s">
        <v>200</v>
      </c>
      <c r="G813" s="80" t="s">
        <v>13</v>
      </c>
      <c r="H813" s="80" t="s">
        <v>9</v>
      </c>
      <c r="I813" s="81" t="s">
        <v>118</v>
      </c>
      <c r="J813" t="s">
        <v>6</v>
      </c>
    </row>
    <row r="814" spans="3:10" hidden="1">
      <c r="C814">
        <v>86075</v>
      </c>
      <c r="D814" t="s">
        <v>124</v>
      </c>
      <c r="E814" t="s">
        <v>201</v>
      </c>
      <c r="F814" s="41"/>
      <c r="G814" s="80" t="s">
        <v>13</v>
      </c>
      <c r="H814" s="80" t="s">
        <v>9</v>
      </c>
      <c r="I814" s="81" t="s">
        <v>118</v>
      </c>
      <c r="J814" t="s">
        <v>6</v>
      </c>
    </row>
    <row r="815" spans="3:10" hidden="1">
      <c r="C815">
        <v>86076</v>
      </c>
      <c r="D815" t="s">
        <v>120</v>
      </c>
      <c r="E815" t="s">
        <v>202</v>
      </c>
      <c r="F815" s="41" t="s">
        <v>122</v>
      </c>
      <c r="G815" s="80" t="s">
        <v>13</v>
      </c>
      <c r="H815" s="80" t="s">
        <v>9</v>
      </c>
      <c r="I815" s="81" t="s">
        <v>118</v>
      </c>
      <c r="J815" t="s">
        <v>6</v>
      </c>
    </row>
    <row r="816" spans="3:10" hidden="1">
      <c r="C816">
        <v>86077</v>
      </c>
      <c r="D816" t="s">
        <v>49</v>
      </c>
      <c r="E816" t="s">
        <v>203</v>
      </c>
      <c r="F816" s="41"/>
      <c r="G816" s="80" t="s">
        <v>13</v>
      </c>
      <c r="H816" s="80" t="s">
        <v>9</v>
      </c>
      <c r="I816" s="81" t="s">
        <v>118</v>
      </c>
      <c r="J816" t="s">
        <v>6</v>
      </c>
    </row>
    <row r="817" spans="3:10" hidden="1">
      <c r="C817">
        <v>86078</v>
      </c>
      <c r="D817" t="s">
        <v>131</v>
      </c>
      <c r="E817" t="s">
        <v>204</v>
      </c>
      <c r="F817" s="41" t="s">
        <v>200</v>
      </c>
      <c r="G817" s="80" t="s">
        <v>13</v>
      </c>
      <c r="H817" s="80" t="s">
        <v>9</v>
      </c>
      <c r="I817" s="81" t="s">
        <v>118</v>
      </c>
      <c r="J817" t="s">
        <v>6</v>
      </c>
    </row>
    <row r="818" spans="3:10" hidden="1">
      <c r="C818">
        <v>86079</v>
      </c>
      <c r="D818" t="s">
        <v>49</v>
      </c>
      <c r="E818" t="s">
        <v>205</v>
      </c>
      <c r="F818" s="41"/>
      <c r="G818" s="80" t="s">
        <v>13</v>
      </c>
      <c r="H818" s="80" t="s">
        <v>9</v>
      </c>
      <c r="I818" s="81" t="s">
        <v>118</v>
      </c>
      <c r="J818" t="s">
        <v>6</v>
      </c>
    </row>
    <row r="819" spans="3:10" hidden="1">
      <c r="C819">
        <v>86080</v>
      </c>
      <c r="D819" t="s">
        <v>124</v>
      </c>
      <c r="E819" t="s">
        <v>206</v>
      </c>
      <c r="F819" s="41"/>
      <c r="G819" s="80" t="s">
        <v>13</v>
      </c>
      <c r="H819" s="80" t="s">
        <v>9</v>
      </c>
      <c r="I819" s="81" t="s">
        <v>118</v>
      </c>
      <c r="J819" t="s">
        <v>6</v>
      </c>
    </row>
    <row r="820" spans="3:10" hidden="1">
      <c r="C820">
        <v>86081</v>
      </c>
      <c r="D820" t="s">
        <v>124</v>
      </c>
      <c r="E820" t="s">
        <v>207</v>
      </c>
      <c r="F820" s="41"/>
      <c r="G820" s="80" t="s">
        <v>13</v>
      </c>
      <c r="H820" s="80" t="s">
        <v>9</v>
      </c>
      <c r="I820" s="81" t="s">
        <v>118</v>
      </c>
      <c r="J820" t="s">
        <v>6</v>
      </c>
    </row>
    <row r="821" spans="3:10" hidden="1">
      <c r="C821">
        <v>86082</v>
      </c>
      <c r="D821" t="s">
        <v>49</v>
      </c>
      <c r="E821" t="s">
        <v>208</v>
      </c>
      <c r="F821" s="41"/>
      <c r="G821" s="80" t="s">
        <v>13</v>
      </c>
      <c r="H821" s="80" t="s">
        <v>9</v>
      </c>
      <c r="I821" s="81" t="s">
        <v>118</v>
      </c>
      <c r="J821" t="s">
        <v>6</v>
      </c>
    </row>
    <row r="822" spans="3:10" hidden="1">
      <c r="C822">
        <v>86083</v>
      </c>
      <c r="D822" t="s">
        <v>58</v>
      </c>
      <c r="E822" t="s">
        <v>209</v>
      </c>
      <c r="F822" s="41"/>
      <c r="G822" s="80" t="s">
        <v>13</v>
      </c>
      <c r="H822" s="80" t="s">
        <v>9</v>
      </c>
      <c r="I822" s="81" t="s">
        <v>118</v>
      </c>
      <c r="J822" t="s">
        <v>6</v>
      </c>
    </row>
    <row r="823" spans="3:10" hidden="1">
      <c r="C823">
        <v>86084</v>
      </c>
      <c r="D823" t="s">
        <v>49</v>
      </c>
      <c r="E823" t="s">
        <v>57</v>
      </c>
      <c r="F823" s="41"/>
      <c r="G823" s="80" t="s">
        <v>13</v>
      </c>
      <c r="H823" s="80" t="s">
        <v>9</v>
      </c>
      <c r="I823" s="81" t="s">
        <v>118</v>
      </c>
      <c r="J823" t="s">
        <v>6</v>
      </c>
    </row>
    <row r="824" spans="3:10" hidden="1">
      <c r="C824">
        <v>86085</v>
      </c>
      <c r="D824" t="s">
        <v>58</v>
      </c>
      <c r="E824" t="s">
        <v>59</v>
      </c>
      <c r="F824" s="41"/>
      <c r="G824" s="80" t="s">
        <v>13</v>
      </c>
      <c r="H824" s="80" t="s">
        <v>9</v>
      </c>
      <c r="I824" s="81" t="s">
        <v>118</v>
      </c>
      <c r="J824" t="s">
        <v>6</v>
      </c>
    </row>
    <row r="825" spans="3:10" hidden="1">
      <c r="C825">
        <v>87000</v>
      </c>
      <c r="D825" t="s">
        <v>48</v>
      </c>
      <c r="E825" t="s">
        <v>210</v>
      </c>
      <c r="F825" s="41"/>
      <c r="G825" s="80" t="s">
        <v>13</v>
      </c>
      <c r="H825" s="80" t="s">
        <v>9</v>
      </c>
      <c r="I825" s="81" t="s">
        <v>210</v>
      </c>
      <c r="J825" t="s">
        <v>6</v>
      </c>
    </row>
    <row r="826" spans="3:10" hidden="1">
      <c r="C826">
        <v>87001</v>
      </c>
      <c r="D826" t="s">
        <v>49</v>
      </c>
      <c r="E826" t="s">
        <v>211</v>
      </c>
      <c r="F826" s="41"/>
      <c r="G826" s="80" t="s">
        <v>13</v>
      </c>
      <c r="H826" s="80" t="s">
        <v>9</v>
      </c>
      <c r="I826" s="81" t="s">
        <v>210</v>
      </c>
      <c r="J826" t="s">
        <v>6</v>
      </c>
    </row>
    <row r="827" spans="3:10" hidden="1">
      <c r="C827">
        <v>87002</v>
      </c>
      <c r="D827" t="s">
        <v>49</v>
      </c>
      <c r="E827" t="s">
        <v>212</v>
      </c>
      <c r="F827" s="41"/>
      <c r="G827" s="80" t="s">
        <v>13</v>
      </c>
      <c r="H827" s="80" t="s">
        <v>9</v>
      </c>
      <c r="I827" s="81" t="s">
        <v>210</v>
      </c>
      <c r="J827" t="s">
        <v>6</v>
      </c>
    </row>
    <row r="828" spans="3:10" hidden="1">
      <c r="C828">
        <v>87003</v>
      </c>
      <c r="D828" t="s">
        <v>49</v>
      </c>
      <c r="E828" t="s">
        <v>57</v>
      </c>
      <c r="F828" s="41"/>
      <c r="G828" s="80" t="s">
        <v>13</v>
      </c>
      <c r="H828" s="80" t="s">
        <v>9</v>
      </c>
      <c r="I828" s="81" t="s">
        <v>210</v>
      </c>
      <c r="J828" t="s">
        <v>6</v>
      </c>
    </row>
    <row r="829" spans="3:10" hidden="1">
      <c r="C829">
        <v>87004</v>
      </c>
      <c r="D829" t="s">
        <v>58</v>
      </c>
      <c r="E829" t="s">
        <v>59</v>
      </c>
      <c r="F829" s="41"/>
      <c r="G829" s="80" t="s">
        <v>13</v>
      </c>
      <c r="H829" s="80" t="s">
        <v>9</v>
      </c>
      <c r="I829" s="81" t="s">
        <v>210</v>
      </c>
      <c r="J829" t="s">
        <v>6</v>
      </c>
    </row>
    <row r="830" spans="3:10" hidden="1">
      <c r="C830">
        <v>88000</v>
      </c>
      <c r="D830" t="s">
        <v>48</v>
      </c>
      <c r="E830" t="s">
        <v>213</v>
      </c>
      <c r="F830" s="41"/>
      <c r="G830" s="80" t="s">
        <v>13</v>
      </c>
      <c r="H830" s="80" t="s">
        <v>9</v>
      </c>
      <c r="I830" s="81" t="s">
        <v>213</v>
      </c>
      <c r="J830" t="s">
        <v>6</v>
      </c>
    </row>
    <row r="831" spans="3:10" hidden="1">
      <c r="C831">
        <v>88001</v>
      </c>
      <c r="D831" t="s">
        <v>49</v>
      </c>
      <c r="E831" t="s">
        <v>214</v>
      </c>
      <c r="F831" s="41"/>
      <c r="G831" s="80" t="s">
        <v>13</v>
      </c>
      <c r="H831" s="80" t="s">
        <v>9</v>
      </c>
      <c r="I831" s="81" t="s">
        <v>213</v>
      </c>
      <c r="J831" t="s">
        <v>6</v>
      </c>
    </row>
    <row r="832" spans="3:10" hidden="1">
      <c r="C832">
        <v>88002</v>
      </c>
      <c r="D832" t="s">
        <v>49</v>
      </c>
      <c r="E832" t="s">
        <v>215</v>
      </c>
      <c r="F832" s="41"/>
      <c r="G832" s="80" t="s">
        <v>13</v>
      </c>
      <c r="H832" s="80" t="s">
        <v>9</v>
      </c>
      <c r="I832" s="81" t="s">
        <v>213</v>
      </c>
      <c r="J832" t="s">
        <v>6</v>
      </c>
    </row>
    <row r="833" spans="3:10" hidden="1">
      <c r="C833">
        <v>88003</v>
      </c>
      <c r="D833" t="s">
        <v>49</v>
      </c>
      <c r="E833" t="s">
        <v>216</v>
      </c>
      <c r="F833" s="41"/>
      <c r="G833" s="80" t="s">
        <v>13</v>
      </c>
      <c r="H833" s="80" t="s">
        <v>9</v>
      </c>
      <c r="I833" s="81" t="s">
        <v>213</v>
      </c>
      <c r="J833" t="s">
        <v>6</v>
      </c>
    </row>
    <row r="834" spans="3:10" hidden="1">
      <c r="C834">
        <v>88004</v>
      </c>
      <c r="D834" t="s">
        <v>49</v>
      </c>
      <c r="E834" t="s">
        <v>217</v>
      </c>
      <c r="F834" s="41"/>
      <c r="G834" s="80" t="s">
        <v>13</v>
      </c>
      <c r="H834" s="80" t="s">
        <v>9</v>
      </c>
      <c r="I834" s="81" t="s">
        <v>213</v>
      </c>
      <c r="J834" t="s">
        <v>6</v>
      </c>
    </row>
    <row r="835" spans="3:10" hidden="1">
      <c r="C835">
        <v>88005</v>
      </c>
      <c r="D835" t="s">
        <v>49</v>
      </c>
      <c r="E835" t="s">
        <v>218</v>
      </c>
      <c r="F835" s="41"/>
      <c r="G835" s="80" t="s">
        <v>13</v>
      </c>
      <c r="H835" s="80" t="s">
        <v>9</v>
      </c>
      <c r="I835" s="81" t="s">
        <v>213</v>
      </c>
      <c r="J835" t="s">
        <v>6</v>
      </c>
    </row>
    <row r="836" spans="3:10" hidden="1">
      <c r="C836">
        <v>88006</v>
      </c>
      <c r="D836" t="s">
        <v>49</v>
      </c>
      <c r="E836" t="s">
        <v>57</v>
      </c>
      <c r="F836" s="41"/>
      <c r="G836" s="80" t="s">
        <v>13</v>
      </c>
      <c r="H836" s="80" t="s">
        <v>9</v>
      </c>
      <c r="I836" s="81" t="s">
        <v>213</v>
      </c>
      <c r="J836" t="s">
        <v>6</v>
      </c>
    </row>
    <row r="837" spans="3:10" hidden="1">
      <c r="C837">
        <v>88007</v>
      </c>
      <c r="D837" t="s">
        <v>58</v>
      </c>
      <c r="E837" t="s">
        <v>59</v>
      </c>
      <c r="F837" s="41"/>
      <c r="G837" s="80" t="s">
        <v>13</v>
      </c>
      <c r="H837" s="80" t="s">
        <v>9</v>
      </c>
      <c r="I837" s="81" t="s">
        <v>213</v>
      </c>
      <c r="J837" t="s">
        <v>6</v>
      </c>
    </row>
    <row r="838" spans="3:10" hidden="1">
      <c r="C838">
        <v>89000</v>
      </c>
      <c r="D838" t="s">
        <v>48</v>
      </c>
      <c r="E838" t="s">
        <v>219</v>
      </c>
      <c r="F838" s="41"/>
      <c r="G838" s="80" t="s">
        <v>13</v>
      </c>
      <c r="H838" s="80" t="s">
        <v>9</v>
      </c>
      <c r="I838" s="81" t="s">
        <v>219</v>
      </c>
      <c r="J838" t="s">
        <v>6</v>
      </c>
    </row>
    <row r="839" spans="3:10" hidden="1">
      <c r="C839">
        <v>89001</v>
      </c>
      <c r="D839" t="s">
        <v>49</v>
      </c>
      <c r="E839" t="s">
        <v>1670</v>
      </c>
      <c r="F839" s="41"/>
      <c r="G839" s="80" t="s">
        <v>13</v>
      </c>
      <c r="H839" s="80" t="s">
        <v>9</v>
      </c>
      <c r="I839" s="81" t="s">
        <v>219</v>
      </c>
      <c r="J839" t="s">
        <v>6</v>
      </c>
    </row>
    <row r="840" spans="3:10" hidden="1">
      <c r="C840">
        <v>89002</v>
      </c>
      <c r="D840" t="s">
        <v>49</v>
      </c>
      <c r="E840" t="s">
        <v>221</v>
      </c>
      <c r="F840" s="41"/>
      <c r="G840" s="80" t="s">
        <v>13</v>
      </c>
      <c r="H840" s="80" t="s">
        <v>9</v>
      </c>
      <c r="I840" s="81" t="s">
        <v>219</v>
      </c>
      <c r="J840" t="s">
        <v>6</v>
      </c>
    </row>
    <row r="841" spans="3:10" hidden="1">
      <c r="C841">
        <v>89003</v>
      </c>
      <c r="D841" t="s">
        <v>49</v>
      </c>
      <c r="E841" t="s">
        <v>222</v>
      </c>
      <c r="F841" s="41"/>
      <c r="G841" s="80" t="s">
        <v>13</v>
      </c>
      <c r="H841" s="80" t="s">
        <v>9</v>
      </c>
      <c r="I841" s="81" t="s">
        <v>219</v>
      </c>
      <c r="J841" t="s">
        <v>6</v>
      </c>
    </row>
    <row r="842" spans="3:10" hidden="1">
      <c r="C842">
        <v>89004</v>
      </c>
      <c r="D842" t="s">
        <v>49</v>
      </c>
      <c r="E842" t="s">
        <v>223</v>
      </c>
      <c r="F842" s="41"/>
      <c r="G842" s="80" t="s">
        <v>13</v>
      </c>
      <c r="H842" s="80" t="s">
        <v>9</v>
      </c>
      <c r="I842" s="81" t="s">
        <v>219</v>
      </c>
      <c r="J842" t="s">
        <v>6</v>
      </c>
    </row>
    <row r="843" spans="3:10" hidden="1">
      <c r="C843">
        <v>89005</v>
      </c>
      <c r="D843" t="s">
        <v>49</v>
      </c>
      <c r="E843" t="s">
        <v>1671</v>
      </c>
      <c r="F843" s="41"/>
      <c r="G843" s="80" t="s">
        <v>13</v>
      </c>
      <c r="H843" s="80" t="s">
        <v>9</v>
      </c>
      <c r="I843" s="81" t="s">
        <v>219</v>
      </c>
      <c r="J843" t="s">
        <v>6</v>
      </c>
    </row>
    <row r="844" spans="3:10" hidden="1">
      <c r="C844">
        <v>89006</v>
      </c>
      <c r="D844" t="s">
        <v>49</v>
      </c>
      <c r="E844" t="s">
        <v>57</v>
      </c>
      <c r="F844" s="41"/>
      <c r="G844" s="80" t="s">
        <v>13</v>
      </c>
      <c r="H844" s="80" t="s">
        <v>9</v>
      </c>
      <c r="I844" s="81" t="s">
        <v>219</v>
      </c>
      <c r="J844" t="s">
        <v>6</v>
      </c>
    </row>
    <row r="845" spans="3:10" hidden="1">
      <c r="C845">
        <v>89007</v>
      </c>
      <c r="D845" t="s">
        <v>58</v>
      </c>
      <c r="E845" t="s">
        <v>59</v>
      </c>
      <c r="F845" s="41"/>
      <c r="G845" s="80" t="s">
        <v>13</v>
      </c>
      <c r="H845" s="80" t="s">
        <v>9</v>
      </c>
      <c r="I845" s="81" t="s">
        <v>219</v>
      </c>
      <c r="J845" t="s">
        <v>6</v>
      </c>
    </row>
    <row r="846" spans="3:10" hidden="1">
      <c r="C846">
        <v>90000</v>
      </c>
      <c r="D846" t="s">
        <v>48</v>
      </c>
      <c r="E846" t="s">
        <v>225</v>
      </c>
      <c r="F846" s="41"/>
      <c r="G846" s="80" t="s">
        <v>13</v>
      </c>
      <c r="H846" s="80" t="s">
        <v>9</v>
      </c>
      <c r="I846" s="81" t="s">
        <v>225</v>
      </c>
      <c r="J846" t="s">
        <v>6</v>
      </c>
    </row>
    <row r="847" spans="3:10" hidden="1">
      <c r="C847">
        <v>90001</v>
      </c>
      <c r="D847" t="s">
        <v>49</v>
      </c>
      <c r="E847" t="s">
        <v>226</v>
      </c>
      <c r="F847" s="41"/>
      <c r="G847" s="80" t="s">
        <v>13</v>
      </c>
      <c r="H847" s="80" t="s">
        <v>9</v>
      </c>
      <c r="I847" s="81" t="s">
        <v>225</v>
      </c>
      <c r="J847" t="s">
        <v>6</v>
      </c>
    </row>
    <row r="848" spans="3:10" hidden="1">
      <c r="C848">
        <v>90002</v>
      </c>
      <c r="D848" t="s">
        <v>49</v>
      </c>
      <c r="E848" t="s">
        <v>227</v>
      </c>
      <c r="F848" s="41"/>
      <c r="G848" s="80" t="s">
        <v>13</v>
      </c>
      <c r="H848" s="80" t="s">
        <v>9</v>
      </c>
      <c r="I848" s="81" t="s">
        <v>225</v>
      </c>
      <c r="J848" t="s">
        <v>6</v>
      </c>
    </row>
    <row r="849" spans="3:10" hidden="1">
      <c r="C849">
        <v>90003</v>
      </c>
      <c r="D849" t="s">
        <v>49</v>
      </c>
      <c r="E849" t="s">
        <v>228</v>
      </c>
      <c r="F849" s="41"/>
      <c r="G849" s="80" t="s">
        <v>13</v>
      </c>
      <c r="H849" s="80" t="s">
        <v>9</v>
      </c>
      <c r="I849" s="81" t="s">
        <v>225</v>
      </c>
      <c r="J849" t="s">
        <v>6</v>
      </c>
    </row>
    <row r="850" spans="3:10" hidden="1">
      <c r="C850">
        <v>90004</v>
      </c>
      <c r="D850" t="s">
        <v>49</v>
      </c>
      <c r="E850" t="s">
        <v>229</v>
      </c>
      <c r="F850" s="41"/>
      <c r="G850" s="80" t="s">
        <v>13</v>
      </c>
      <c r="H850" s="80" t="s">
        <v>9</v>
      </c>
      <c r="I850" s="81" t="s">
        <v>225</v>
      </c>
      <c r="J850" t="s">
        <v>6</v>
      </c>
    </row>
    <row r="851" spans="3:10" hidden="1">
      <c r="C851">
        <v>90005</v>
      </c>
      <c r="D851" t="s">
        <v>49</v>
      </c>
      <c r="E851" t="s">
        <v>230</v>
      </c>
      <c r="F851" s="41"/>
      <c r="G851" s="80" t="s">
        <v>13</v>
      </c>
      <c r="H851" s="80" t="s">
        <v>9</v>
      </c>
      <c r="I851" s="81" t="s">
        <v>225</v>
      </c>
      <c r="J851" t="s">
        <v>6</v>
      </c>
    </row>
    <row r="852" spans="3:10" hidden="1">
      <c r="C852">
        <v>90006</v>
      </c>
      <c r="D852" t="s">
        <v>49</v>
      </c>
      <c r="E852" t="s">
        <v>231</v>
      </c>
      <c r="F852" s="41"/>
      <c r="G852" s="80" t="s">
        <v>13</v>
      </c>
      <c r="H852" s="80" t="s">
        <v>9</v>
      </c>
      <c r="I852" s="81" t="s">
        <v>225</v>
      </c>
      <c r="J852" t="s">
        <v>6</v>
      </c>
    </row>
    <row r="853" spans="3:10" hidden="1">
      <c r="C853">
        <v>90007</v>
      </c>
      <c r="D853" t="s">
        <v>49</v>
      </c>
      <c r="E853" t="s">
        <v>232</v>
      </c>
      <c r="F853" s="41"/>
      <c r="G853" s="80" t="s">
        <v>13</v>
      </c>
      <c r="H853" s="80" t="s">
        <v>9</v>
      </c>
      <c r="I853" s="81" t="s">
        <v>225</v>
      </c>
      <c r="J853" t="s">
        <v>6</v>
      </c>
    </row>
    <row r="854" spans="3:10" hidden="1">
      <c r="C854">
        <v>90008</v>
      </c>
      <c r="D854" t="s">
        <v>49</v>
      </c>
      <c r="E854" t="s">
        <v>233</v>
      </c>
      <c r="F854" s="41"/>
      <c r="G854" s="80" t="s">
        <v>13</v>
      </c>
      <c r="H854" s="80" t="s">
        <v>9</v>
      </c>
      <c r="I854" s="81" t="s">
        <v>225</v>
      </c>
      <c r="J854" t="s">
        <v>6</v>
      </c>
    </row>
    <row r="855" spans="3:10" hidden="1">
      <c r="C855">
        <v>90009</v>
      </c>
      <c r="D855" t="s">
        <v>66</v>
      </c>
      <c r="E855" t="s">
        <v>234</v>
      </c>
      <c r="F855" s="41"/>
      <c r="G855" s="80" t="s">
        <v>13</v>
      </c>
      <c r="H855" s="80" t="s">
        <v>9</v>
      </c>
      <c r="I855" s="81" t="s">
        <v>225</v>
      </c>
      <c r="J855" t="s">
        <v>6</v>
      </c>
    </row>
    <row r="856" spans="3:10" hidden="1">
      <c r="C856">
        <v>90010</v>
      </c>
      <c r="D856" t="s">
        <v>49</v>
      </c>
      <c r="E856" t="s">
        <v>57</v>
      </c>
      <c r="F856" s="41"/>
      <c r="G856" s="80" t="s">
        <v>13</v>
      </c>
      <c r="H856" s="80" t="s">
        <v>9</v>
      </c>
      <c r="I856" s="81" t="s">
        <v>225</v>
      </c>
      <c r="J856" t="s">
        <v>6</v>
      </c>
    </row>
    <row r="857" spans="3:10" hidden="1">
      <c r="C857">
        <v>90011</v>
      </c>
      <c r="D857" t="s">
        <v>58</v>
      </c>
      <c r="E857" t="s">
        <v>59</v>
      </c>
      <c r="F857" s="41"/>
      <c r="G857" s="80" t="s">
        <v>13</v>
      </c>
      <c r="H857" s="80" t="s">
        <v>9</v>
      </c>
      <c r="I857" s="81" t="s">
        <v>225</v>
      </c>
      <c r="J857" t="s">
        <v>6</v>
      </c>
    </row>
    <row r="858" spans="3:10" hidden="1">
      <c r="C858">
        <v>91000</v>
      </c>
      <c r="D858" t="s">
        <v>48</v>
      </c>
      <c r="E858" t="s">
        <v>235</v>
      </c>
      <c r="F858" s="41"/>
      <c r="G858" s="80" t="s">
        <v>18</v>
      </c>
      <c r="H858" s="80" t="s">
        <v>9</v>
      </c>
      <c r="I858" s="81" t="s">
        <v>235</v>
      </c>
      <c r="J858" t="s">
        <v>6</v>
      </c>
    </row>
    <row r="859" spans="3:10" hidden="1">
      <c r="C859">
        <v>91001</v>
      </c>
      <c r="D859" t="s">
        <v>49</v>
      </c>
      <c r="E859" t="s">
        <v>236</v>
      </c>
      <c r="F859" s="41"/>
      <c r="G859" s="80" t="s">
        <v>18</v>
      </c>
      <c r="H859" s="80" t="s">
        <v>9</v>
      </c>
      <c r="I859" s="81" t="s">
        <v>235</v>
      </c>
      <c r="J859" t="s">
        <v>6</v>
      </c>
    </row>
    <row r="860" spans="3:10" hidden="1">
      <c r="C860">
        <v>91002</v>
      </c>
      <c r="D860" t="s">
        <v>49</v>
      </c>
      <c r="E860" t="s">
        <v>237</v>
      </c>
      <c r="F860" s="41"/>
      <c r="G860" s="80" t="s">
        <v>18</v>
      </c>
      <c r="H860" s="80" t="s">
        <v>9</v>
      </c>
      <c r="I860" s="81" t="s">
        <v>235</v>
      </c>
      <c r="J860" t="s">
        <v>6</v>
      </c>
    </row>
    <row r="861" spans="3:10" hidden="1">
      <c r="C861">
        <v>91003</v>
      </c>
      <c r="D861" t="s">
        <v>49</v>
      </c>
      <c r="E861" t="s">
        <v>238</v>
      </c>
      <c r="F861" s="41"/>
      <c r="G861" s="80" t="s">
        <v>18</v>
      </c>
      <c r="H861" s="80" t="s">
        <v>9</v>
      </c>
      <c r="I861" s="81" t="s">
        <v>235</v>
      </c>
      <c r="J861" t="s">
        <v>6</v>
      </c>
    </row>
    <row r="862" spans="3:10" hidden="1">
      <c r="C862">
        <v>91004</v>
      </c>
      <c r="D862" t="s">
        <v>49</v>
      </c>
      <c r="E862" t="s">
        <v>1672</v>
      </c>
      <c r="F862" s="41"/>
      <c r="G862" s="80" t="s">
        <v>18</v>
      </c>
      <c r="H862" s="80" t="s">
        <v>9</v>
      </c>
      <c r="I862" s="81" t="s">
        <v>235</v>
      </c>
      <c r="J862" t="s">
        <v>6</v>
      </c>
    </row>
    <row r="863" spans="3:10" hidden="1">
      <c r="C863">
        <v>91005</v>
      </c>
      <c r="D863" t="s">
        <v>49</v>
      </c>
      <c r="E863" t="s">
        <v>240</v>
      </c>
      <c r="F863" s="41"/>
      <c r="G863" s="80" t="s">
        <v>18</v>
      </c>
      <c r="H863" s="80" t="s">
        <v>9</v>
      </c>
      <c r="I863" s="81" t="s">
        <v>235</v>
      </c>
      <c r="J863" t="s">
        <v>6</v>
      </c>
    </row>
    <row r="864" spans="3:10" hidden="1">
      <c r="C864">
        <v>91006</v>
      </c>
      <c r="D864" t="s">
        <v>49</v>
      </c>
      <c r="E864" t="s">
        <v>241</v>
      </c>
      <c r="F864" s="41"/>
      <c r="G864" s="80" t="s">
        <v>18</v>
      </c>
      <c r="H864" s="80" t="s">
        <v>9</v>
      </c>
      <c r="I864" s="81" t="s">
        <v>235</v>
      </c>
      <c r="J864" t="s">
        <v>6</v>
      </c>
    </row>
    <row r="865" spans="3:10" hidden="1">
      <c r="C865">
        <v>91007</v>
      </c>
      <c r="D865" t="s">
        <v>49</v>
      </c>
      <c r="E865" t="s">
        <v>242</v>
      </c>
      <c r="F865" s="41"/>
      <c r="G865" s="80" t="s">
        <v>18</v>
      </c>
      <c r="H865" s="80" t="s">
        <v>9</v>
      </c>
      <c r="I865" s="81" t="s">
        <v>235</v>
      </c>
      <c r="J865" t="s">
        <v>6</v>
      </c>
    </row>
    <row r="866" spans="3:10" hidden="1">
      <c r="C866">
        <v>91008</v>
      </c>
      <c r="D866" t="s">
        <v>49</v>
      </c>
      <c r="E866" t="s">
        <v>243</v>
      </c>
      <c r="F866" s="41"/>
      <c r="G866" s="80" t="s">
        <v>18</v>
      </c>
      <c r="H866" s="80" t="s">
        <v>9</v>
      </c>
      <c r="I866" s="81" t="s">
        <v>235</v>
      </c>
      <c r="J866" t="s">
        <v>6</v>
      </c>
    </row>
    <row r="867" spans="3:10" hidden="1">
      <c r="C867">
        <v>91009</v>
      </c>
      <c r="D867" t="s">
        <v>49</v>
      </c>
      <c r="E867" t="s">
        <v>244</v>
      </c>
      <c r="F867" s="41"/>
      <c r="G867" s="80" t="s">
        <v>18</v>
      </c>
      <c r="H867" s="80" t="s">
        <v>9</v>
      </c>
      <c r="I867" s="81" t="s">
        <v>235</v>
      </c>
      <c r="J867" t="s">
        <v>6</v>
      </c>
    </row>
    <row r="868" spans="3:10" hidden="1">
      <c r="C868">
        <v>91010</v>
      </c>
      <c r="D868" t="s">
        <v>49</v>
      </c>
      <c r="E868" t="s">
        <v>245</v>
      </c>
      <c r="F868" s="41"/>
      <c r="G868" s="80" t="s">
        <v>18</v>
      </c>
      <c r="H868" s="80" t="s">
        <v>9</v>
      </c>
      <c r="I868" s="81" t="s">
        <v>235</v>
      </c>
      <c r="J868" t="s">
        <v>6</v>
      </c>
    </row>
    <row r="869" spans="3:10" hidden="1">
      <c r="C869">
        <v>91011</v>
      </c>
      <c r="D869" t="s">
        <v>49</v>
      </c>
      <c r="E869" t="s">
        <v>246</v>
      </c>
      <c r="F869" s="41"/>
      <c r="G869" s="80" t="s">
        <v>18</v>
      </c>
      <c r="H869" s="80" t="s">
        <v>9</v>
      </c>
      <c r="I869" s="81" t="s">
        <v>235</v>
      </c>
      <c r="J869" t="s">
        <v>6</v>
      </c>
    </row>
    <row r="870" spans="3:10" hidden="1">
      <c r="C870">
        <v>91012</v>
      </c>
      <c r="D870" t="s">
        <v>49</v>
      </c>
      <c r="E870" t="s">
        <v>247</v>
      </c>
      <c r="F870" s="41"/>
      <c r="G870" s="80" t="s">
        <v>18</v>
      </c>
      <c r="H870" s="80" t="s">
        <v>9</v>
      </c>
      <c r="I870" s="81" t="s">
        <v>235</v>
      </c>
      <c r="J870" t="s">
        <v>6</v>
      </c>
    </row>
    <row r="871" spans="3:10" hidden="1">
      <c r="C871">
        <v>91013</v>
      </c>
      <c r="D871" t="s">
        <v>49</v>
      </c>
      <c r="E871" t="s">
        <v>57</v>
      </c>
      <c r="F871" s="41"/>
      <c r="G871" s="80" t="s">
        <v>18</v>
      </c>
      <c r="H871" s="80" t="s">
        <v>9</v>
      </c>
      <c r="I871" s="81" t="s">
        <v>235</v>
      </c>
      <c r="J871" t="s">
        <v>6</v>
      </c>
    </row>
    <row r="872" spans="3:10" hidden="1">
      <c r="C872">
        <v>91014</v>
      </c>
      <c r="D872" t="s">
        <v>58</v>
      </c>
      <c r="E872" t="s">
        <v>59</v>
      </c>
      <c r="F872" s="41"/>
      <c r="G872" s="80" t="s">
        <v>18</v>
      </c>
      <c r="H872" s="80" t="s">
        <v>9</v>
      </c>
      <c r="I872" s="81" t="s">
        <v>235</v>
      </c>
      <c r="J872" t="s">
        <v>6</v>
      </c>
    </row>
    <row r="873" spans="3:10" hidden="1">
      <c r="C873">
        <v>92000</v>
      </c>
      <c r="D873" t="s">
        <v>119</v>
      </c>
      <c r="E873" t="s">
        <v>248</v>
      </c>
      <c r="F873" s="41"/>
      <c r="G873" s="80" t="s">
        <v>18</v>
      </c>
      <c r="H873" s="80" t="s">
        <v>9</v>
      </c>
      <c r="I873" s="81" t="s">
        <v>248</v>
      </c>
      <c r="J873" t="s">
        <v>6</v>
      </c>
    </row>
    <row r="874" spans="3:10" hidden="1">
      <c r="C874">
        <v>92001</v>
      </c>
      <c r="D874" t="s">
        <v>120</v>
      </c>
      <c r="E874" t="s">
        <v>249</v>
      </c>
      <c r="F874" s="41"/>
      <c r="G874" s="80" t="s">
        <v>18</v>
      </c>
      <c r="H874" s="80" t="s">
        <v>9</v>
      </c>
      <c r="I874" s="81" t="s">
        <v>248</v>
      </c>
      <c r="J874" t="s">
        <v>6</v>
      </c>
    </row>
    <row r="875" spans="3:10" hidden="1">
      <c r="C875">
        <v>92002</v>
      </c>
      <c r="D875" t="s">
        <v>49</v>
      </c>
      <c r="E875" t="s">
        <v>250</v>
      </c>
      <c r="F875" s="41"/>
      <c r="G875" s="80" t="s">
        <v>18</v>
      </c>
      <c r="H875" s="80" t="s">
        <v>9</v>
      </c>
      <c r="I875" s="81" t="s">
        <v>248</v>
      </c>
      <c r="J875" t="s">
        <v>6</v>
      </c>
    </row>
    <row r="876" spans="3:10" hidden="1">
      <c r="C876">
        <v>92003</v>
      </c>
      <c r="D876" t="s">
        <v>124</v>
      </c>
      <c r="E876" t="s">
        <v>251</v>
      </c>
      <c r="F876" s="41"/>
      <c r="G876" s="80" t="s">
        <v>18</v>
      </c>
      <c r="H876" s="80" t="s">
        <v>9</v>
      </c>
      <c r="I876" s="81" t="s">
        <v>248</v>
      </c>
      <c r="J876" t="s">
        <v>6</v>
      </c>
    </row>
    <row r="877" spans="3:10" hidden="1">
      <c r="C877">
        <v>92004</v>
      </c>
      <c r="D877" t="s">
        <v>124</v>
      </c>
      <c r="E877" t="s">
        <v>252</v>
      </c>
      <c r="F877" s="41"/>
      <c r="G877" s="80" t="s">
        <v>18</v>
      </c>
      <c r="H877" s="80" t="s">
        <v>9</v>
      </c>
      <c r="I877" s="81" t="s">
        <v>248</v>
      </c>
      <c r="J877" t="s">
        <v>6</v>
      </c>
    </row>
    <row r="878" spans="3:10" hidden="1">
      <c r="C878">
        <v>92005</v>
      </c>
      <c r="D878" t="s">
        <v>49</v>
      </c>
      <c r="E878" t="s">
        <v>253</v>
      </c>
      <c r="F878" s="41"/>
      <c r="G878" s="80" t="s">
        <v>18</v>
      </c>
      <c r="H878" s="80" t="s">
        <v>9</v>
      </c>
      <c r="I878" s="81" t="s">
        <v>248</v>
      </c>
      <c r="J878" t="s">
        <v>6</v>
      </c>
    </row>
    <row r="879" spans="3:10" hidden="1">
      <c r="C879">
        <v>92006</v>
      </c>
      <c r="D879" t="s">
        <v>120</v>
      </c>
      <c r="E879" t="s">
        <v>254</v>
      </c>
      <c r="F879" s="41"/>
      <c r="G879" s="80" t="s">
        <v>18</v>
      </c>
      <c r="H879" s="80" t="s">
        <v>9</v>
      </c>
      <c r="I879" s="81" t="s">
        <v>248</v>
      </c>
      <c r="J879" t="s">
        <v>6</v>
      </c>
    </row>
    <row r="880" spans="3:10" hidden="1">
      <c r="C880">
        <v>92007</v>
      </c>
      <c r="D880" t="s">
        <v>49</v>
      </c>
      <c r="E880" t="s">
        <v>255</v>
      </c>
      <c r="F880" s="41"/>
      <c r="G880" s="80" t="s">
        <v>18</v>
      </c>
      <c r="H880" s="80" t="s">
        <v>9</v>
      </c>
      <c r="I880" s="81" t="s">
        <v>248</v>
      </c>
      <c r="J880" t="s">
        <v>6</v>
      </c>
    </row>
    <row r="881" spans="3:10" hidden="1">
      <c r="C881">
        <v>92008</v>
      </c>
      <c r="D881" t="s">
        <v>49</v>
      </c>
      <c r="E881" t="s">
        <v>256</v>
      </c>
      <c r="F881" s="41"/>
      <c r="G881" s="80" t="s">
        <v>18</v>
      </c>
      <c r="H881" s="80" t="s">
        <v>9</v>
      </c>
      <c r="I881" s="81" t="s">
        <v>248</v>
      </c>
      <c r="J881" t="s">
        <v>6</v>
      </c>
    </row>
    <row r="882" spans="3:10" hidden="1">
      <c r="C882">
        <v>92009</v>
      </c>
      <c r="D882" t="s">
        <v>49</v>
      </c>
      <c r="E882" t="s">
        <v>1673</v>
      </c>
      <c r="F882" s="41"/>
      <c r="G882" s="80" t="s">
        <v>18</v>
      </c>
      <c r="H882" s="80" t="s">
        <v>9</v>
      </c>
      <c r="I882" s="81" t="s">
        <v>248</v>
      </c>
      <c r="J882" t="s">
        <v>6</v>
      </c>
    </row>
    <row r="883" spans="3:10" hidden="1">
      <c r="C883">
        <v>92010</v>
      </c>
      <c r="D883" t="s">
        <v>49</v>
      </c>
      <c r="E883" t="s">
        <v>258</v>
      </c>
      <c r="F883" s="41"/>
      <c r="G883" s="80" t="s">
        <v>18</v>
      </c>
      <c r="H883" s="80" t="s">
        <v>9</v>
      </c>
      <c r="I883" s="81" t="s">
        <v>248</v>
      </c>
      <c r="J883" t="s">
        <v>6</v>
      </c>
    </row>
    <row r="884" spans="3:10" hidden="1">
      <c r="C884">
        <v>92011</v>
      </c>
      <c r="D884" t="s">
        <v>120</v>
      </c>
      <c r="E884" t="s">
        <v>259</v>
      </c>
      <c r="F884" s="41"/>
      <c r="G884" s="80" t="s">
        <v>18</v>
      </c>
      <c r="H884" s="80" t="s">
        <v>9</v>
      </c>
      <c r="I884" s="81" t="s">
        <v>248</v>
      </c>
      <c r="J884" t="s">
        <v>6</v>
      </c>
    </row>
    <row r="885" spans="3:10" hidden="1">
      <c r="C885">
        <v>92012</v>
      </c>
      <c r="D885" t="s">
        <v>49</v>
      </c>
      <c r="E885" t="s">
        <v>260</v>
      </c>
      <c r="F885" s="41"/>
      <c r="G885" s="80" t="s">
        <v>18</v>
      </c>
      <c r="H885" s="80" t="s">
        <v>9</v>
      </c>
      <c r="I885" s="81" t="s">
        <v>248</v>
      </c>
      <c r="J885" t="s">
        <v>6</v>
      </c>
    </row>
    <row r="886" spans="3:10" hidden="1">
      <c r="C886">
        <v>92013</v>
      </c>
      <c r="D886" t="s">
        <v>49</v>
      </c>
      <c r="E886" t="s">
        <v>261</v>
      </c>
      <c r="F886" s="41"/>
      <c r="G886" s="80" t="s">
        <v>18</v>
      </c>
      <c r="H886" s="80" t="s">
        <v>9</v>
      </c>
      <c r="I886" s="81" t="s">
        <v>248</v>
      </c>
      <c r="J886" t="s">
        <v>6</v>
      </c>
    </row>
    <row r="887" spans="3:10" hidden="1">
      <c r="C887">
        <v>92014</v>
      </c>
      <c r="D887" t="s">
        <v>49</v>
      </c>
      <c r="E887" t="s">
        <v>262</v>
      </c>
      <c r="F887" s="41"/>
      <c r="G887" s="80" t="s">
        <v>18</v>
      </c>
      <c r="H887" s="80" t="s">
        <v>9</v>
      </c>
      <c r="I887" s="81" t="s">
        <v>248</v>
      </c>
      <c r="J887" t="s">
        <v>6</v>
      </c>
    </row>
    <row r="888" spans="3:10" hidden="1">
      <c r="C888">
        <v>92015</v>
      </c>
      <c r="D888" t="s">
        <v>49</v>
      </c>
      <c r="E888" t="s">
        <v>263</v>
      </c>
      <c r="F888" s="41"/>
      <c r="G888" s="80" t="s">
        <v>18</v>
      </c>
      <c r="H888" s="80" t="s">
        <v>9</v>
      </c>
      <c r="I888" s="81" t="s">
        <v>248</v>
      </c>
      <c r="J888" t="s">
        <v>6</v>
      </c>
    </row>
    <row r="889" spans="3:10" hidden="1">
      <c r="C889">
        <v>92016</v>
      </c>
      <c r="D889" t="s">
        <v>49</v>
      </c>
      <c r="E889" t="s">
        <v>264</v>
      </c>
      <c r="F889" s="41"/>
      <c r="G889" s="80" t="s">
        <v>18</v>
      </c>
      <c r="H889" s="80" t="s">
        <v>9</v>
      </c>
      <c r="I889" s="81" t="s">
        <v>248</v>
      </c>
      <c r="J889" t="s">
        <v>6</v>
      </c>
    </row>
    <row r="890" spans="3:10" hidden="1">
      <c r="C890">
        <v>92017</v>
      </c>
      <c r="D890" t="s">
        <v>66</v>
      </c>
      <c r="E890" t="s">
        <v>265</v>
      </c>
      <c r="F890" s="41"/>
      <c r="G890" s="80" t="s">
        <v>18</v>
      </c>
      <c r="H890" s="80" t="s">
        <v>9</v>
      </c>
      <c r="I890" s="81" t="s">
        <v>248</v>
      </c>
      <c r="J890" t="s">
        <v>6</v>
      </c>
    </row>
    <row r="891" spans="3:10" hidden="1">
      <c r="C891">
        <v>92018</v>
      </c>
      <c r="D891" t="s">
        <v>66</v>
      </c>
      <c r="E891" t="s">
        <v>266</v>
      </c>
      <c r="F891" s="41"/>
      <c r="G891" s="80" t="s">
        <v>18</v>
      </c>
      <c r="H891" s="80" t="s">
        <v>9</v>
      </c>
      <c r="I891" s="81" t="s">
        <v>248</v>
      </c>
      <c r="J891" t="s">
        <v>6</v>
      </c>
    </row>
    <row r="892" spans="3:10" hidden="1">
      <c r="C892">
        <v>92019</v>
      </c>
      <c r="D892" t="s">
        <v>49</v>
      </c>
      <c r="E892" t="s">
        <v>267</v>
      </c>
      <c r="F892" s="41"/>
      <c r="G892" s="80" t="s">
        <v>18</v>
      </c>
      <c r="H892" s="80" t="s">
        <v>9</v>
      </c>
      <c r="I892" s="81" t="s">
        <v>248</v>
      </c>
      <c r="J892" t="s">
        <v>6</v>
      </c>
    </row>
    <row r="893" spans="3:10" hidden="1">
      <c r="C893">
        <v>92020</v>
      </c>
      <c r="D893" t="s">
        <v>49</v>
      </c>
      <c r="E893" t="s">
        <v>268</v>
      </c>
      <c r="F893" s="41"/>
      <c r="G893" s="80" t="s">
        <v>18</v>
      </c>
      <c r="H893" s="80" t="s">
        <v>9</v>
      </c>
      <c r="I893" s="81" t="s">
        <v>248</v>
      </c>
      <c r="J893" t="s">
        <v>6</v>
      </c>
    </row>
    <row r="894" spans="3:10" hidden="1">
      <c r="C894">
        <v>92021</v>
      </c>
      <c r="D894" t="s">
        <v>49</v>
      </c>
      <c r="E894" t="s">
        <v>269</v>
      </c>
      <c r="F894" s="41"/>
      <c r="G894" s="80" t="s">
        <v>18</v>
      </c>
      <c r="H894" s="80" t="s">
        <v>9</v>
      </c>
      <c r="I894" s="81" t="s">
        <v>248</v>
      </c>
      <c r="J894" t="s">
        <v>6</v>
      </c>
    </row>
    <row r="895" spans="3:10" hidden="1">
      <c r="C895">
        <v>92022</v>
      </c>
      <c r="D895" t="s">
        <v>49</v>
      </c>
      <c r="E895" t="s">
        <v>270</v>
      </c>
      <c r="F895" s="41"/>
      <c r="G895" s="80" t="s">
        <v>18</v>
      </c>
      <c r="H895" s="80" t="s">
        <v>9</v>
      </c>
      <c r="I895" s="81" t="s">
        <v>248</v>
      </c>
      <c r="J895" t="s">
        <v>6</v>
      </c>
    </row>
    <row r="896" spans="3:10" hidden="1">
      <c r="C896">
        <v>92023</v>
      </c>
      <c r="D896" t="s">
        <v>49</v>
      </c>
      <c r="E896" t="s">
        <v>271</v>
      </c>
      <c r="F896" s="41"/>
      <c r="G896" s="80" t="s">
        <v>18</v>
      </c>
      <c r="H896" s="80" t="s">
        <v>9</v>
      </c>
      <c r="I896" s="81" t="s">
        <v>248</v>
      </c>
      <c r="J896" t="s">
        <v>6</v>
      </c>
    </row>
    <row r="897" spans="3:10" hidden="1">
      <c r="C897">
        <v>92024</v>
      </c>
      <c r="D897" t="s">
        <v>49</v>
      </c>
      <c r="E897" t="s">
        <v>272</v>
      </c>
      <c r="F897" s="41"/>
      <c r="G897" s="80" t="s">
        <v>18</v>
      </c>
      <c r="H897" s="80" t="s">
        <v>9</v>
      </c>
      <c r="I897" s="81" t="s">
        <v>248</v>
      </c>
      <c r="J897" t="s">
        <v>6</v>
      </c>
    </row>
    <row r="898" spans="3:10" hidden="1">
      <c r="C898">
        <v>92025</v>
      </c>
      <c r="D898" t="s">
        <v>120</v>
      </c>
      <c r="E898" t="s">
        <v>273</v>
      </c>
      <c r="F898" s="41"/>
      <c r="G898" s="80" t="s">
        <v>18</v>
      </c>
      <c r="H898" s="80" t="s">
        <v>9</v>
      </c>
      <c r="I898" s="81" t="s">
        <v>248</v>
      </c>
      <c r="J898" t="s">
        <v>6</v>
      </c>
    </row>
    <row r="899" spans="3:10" hidden="1">
      <c r="C899">
        <v>92026</v>
      </c>
      <c r="D899" t="s">
        <v>49</v>
      </c>
      <c r="E899" t="s">
        <v>274</v>
      </c>
      <c r="F899" s="41"/>
      <c r="G899" s="80" t="s">
        <v>18</v>
      </c>
      <c r="H899" s="80" t="s">
        <v>9</v>
      </c>
      <c r="I899" s="81" t="s">
        <v>248</v>
      </c>
      <c r="J899" t="s">
        <v>6</v>
      </c>
    </row>
    <row r="900" spans="3:10" hidden="1">
      <c r="C900">
        <v>92027</v>
      </c>
      <c r="D900" t="s">
        <v>49</v>
      </c>
      <c r="E900" t="s">
        <v>275</v>
      </c>
      <c r="F900" s="41"/>
      <c r="G900" s="80" t="s">
        <v>18</v>
      </c>
      <c r="H900" s="80" t="s">
        <v>9</v>
      </c>
      <c r="I900" s="81" t="s">
        <v>248</v>
      </c>
      <c r="J900" t="s">
        <v>6</v>
      </c>
    </row>
    <row r="901" spans="3:10" hidden="1">
      <c r="C901">
        <v>92028</v>
      </c>
      <c r="D901" t="s">
        <v>49</v>
      </c>
      <c r="E901" t="s">
        <v>276</v>
      </c>
      <c r="F901" s="41"/>
      <c r="G901" s="80" t="s">
        <v>18</v>
      </c>
      <c r="H901" s="80" t="s">
        <v>9</v>
      </c>
      <c r="I901" s="81" t="s">
        <v>248</v>
      </c>
      <c r="J901" t="s">
        <v>6</v>
      </c>
    </row>
    <row r="902" spans="3:10" hidden="1">
      <c r="C902">
        <v>92029</v>
      </c>
      <c r="D902" t="s">
        <v>49</v>
      </c>
      <c r="E902" t="s">
        <v>277</v>
      </c>
      <c r="F902" s="41"/>
      <c r="G902" s="80" t="s">
        <v>18</v>
      </c>
      <c r="H902" s="80" t="s">
        <v>9</v>
      </c>
      <c r="I902" s="81" t="s">
        <v>248</v>
      </c>
      <c r="J902" t="s">
        <v>6</v>
      </c>
    </row>
    <row r="903" spans="3:10" hidden="1">
      <c r="C903">
        <v>92030</v>
      </c>
      <c r="D903" t="s">
        <v>120</v>
      </c>
      <c r="E903" t="s">
        <v>278</v>
      </c>
      <c r="F903" s="41"/>
      <c r="G903" s="80" t="s">
        <v>18</v>
      </c>
      <c r="H903" s="80" t="s">
        <v>9</v>
      </c>
      <c r="I903" s="81" t="s">
        <v>248</v>
      </c>
      <c r="J903" t="s">
        <v>6</v>
      </c>
    </row>
    <row r="904" spans="3:10" hidden="1">
      <c r="C904">
        <v>92031</v>
      </c>
      <c r="D904" t="s">
        <v>49</v>
      </c>
      <c r="E904" t="s">
        <v>279</v>
      </c>
      <c r="F904" s="41"/>
      <c r="G904" s="80" t="s">
        <v>18</v>
      </c>
      <c r="H904" s="80" t="s">
        <v>9</v>
      </c>
      <c r="I904" s="81" t="s">
        <v>248</v>
      </c>
      <c r="J904" t="s">
        <v>6</v>
      </c>
    </row>
    <row r="905" spans="3:10" hidden="1">
      <c r="C905">
        <v>92032</v>
      </c>
      <c r="D905" t="s">
        <v>124</v>
      </c>
      <c r="E905" t="s">
        <v>280</v>
      </c>
      <c r="F905" s="41"/>
      <c r="G905" s="80" t="s">
        <v>18</v>
      </c>
      <c r="H905" s="80" t="s">
        <v>9</v>
      </c>
      <c r="I905" s="81" t="s">
        <v>248</v>
      </c>
      <c r="J905" t="s">
        <v>6</v>
      </c>
    </row>
    <row r="906" spans="3:10" hidden="1">
      <c r="C906">
        <v>92033</v>
      </c>
      <c r="D906" t="s">
        <v>124</v>
      </c>
      <c r="E906" t="s">
        <v>281</v>
      </c>
      <c r="F906" s="41" t="s">
        <v>282</v>
      </c>
      <c r="G906" s="80" t="s">
        <v>18</v>
      </c>
      <c r="H906" s="80" t="s">
        <v>9</v>
      </c>
      <c r="I906" s="81" t="s">
        <v>248</v>
      </c>
      <c r="J906" t="s">
        <v>6</v>
      </c>
    </row>
    <row r="907" spans="3:10" hidden="1">
      <c r="C907">
        <v>92034</v>
      </c>
      <c r="D907" t="s">
        <v>124</v>
      </c>
      <c r="E907" t="s">
        <v>283</v>
      </c>
      <c r="F907" s="41" t="s">
        <v>282</v>
      </c>
      <c r="G907" s="80" t="s">
        <v>18</v>
      </c>
      <c r="H907" s="80" t="s">
        <v>9</v>
      </c>
      <c r="I907" s="81" t="s">
        <v>248</v>
      </c>
      <c r="J907" t="s">
        <v>6</v>
      </c>
    </row>
    <row r="908" spans="3:10" hidden="1">
      <c r="C908">
        <v>92035</v>
      </c>
      <c r="D908" t="s">
        <v>124</v>
      </c>
      <c r="E908" t="s">
        <v>284</v>
      </c>
      <c r="F908" s="41" t="s">
        <v>285</v>
      </c>
      <c r="G908" s="80" t="s">
        <v>18</v>
      </c>
      <c r="H908" s="80" t="s">
        <v>9</v>
      </c>
      <c r="I908" s="81" t="s">
        <v>248</v>
      </c>
      <c r="J908" t="s">
        <v>6</v>
      </c>
    </row>
    <row r="909" spans="3:10" hidden="1">
      <c r="C909">
        <v>92036</v>
      </c>
      <c r="D909" t="s">
        <v>131</v>
      </c>
      <c r="E909" t="s">
        <v>286</v>
      </c>
      <c r="F909" s="41" t="s">
        <v>287</v>
      </c>
      <c r="G909" s="80" t="s">
        <v>18</v>
      </c>
      <c r="H909" s="80" t="s">
        <v>9</v>
      </c>
      <c r="I909" s="81" t="s">
        <v>248</v>
      </c>
      <c r="J909" t="s">
        <v>6</v>
      </c>
    </row>
    <row r="910" spans="3:10" hidden="1">
      <c r="C910">
        <v>92037</v>
      </c>
      <c r="D910" t="s">
        <v>49</v>
      </c>
      <c r="E910" t="s">
        <v>288</v>
      </c>
      <c r="F910" s="41"/>
      <c r="G910" s="80" t="s">
        <v>18</v>
      </c>
      <c r="H910" s="80" t="s">
        <v>9</v>
      </c>
      <c r="I910" s="81" t="s">
        <v>248</v>
      </c>
      <c r="J910" t="s">
        <v>6</v>
      </c>
    </row>
    <row r="911" spans="3:10" hidden="1">
      <c r="C911">
        <v>92038</v>
      </c>
      <c r="D911" t="s">
        <v>49</v>
      </c>
      <c r="E911" t="s">
        <v>289</v>
      </c>
      <c r="F911" s="41"/>
      <c r="G911" s="80" t="s">
        <v>18</v>
      </c>
      <c r="H911" s="80" t="s">
        <v>9</v>
      </c>
      <c r="I911" s="81" t="s">
        <v>248</v>
      </c>
      <c r="J911" t="s">
        <v>6</v>
      </c>
    </row>
    <row r="912" spans="3:10" hidden="1">
      <c r="C912">
        <v>92039</v>
      </c>
      <c r="D912" t="s">
        <v>120</v>
      </c>
      <c r="E912" t="s">
        <v>290</v>
      </c>
      <c r="F912" s="41"/>
      <c r="G912" s="80" t="s">
        <v>18</v>
      </c>
      <c r="H912" s="80" t="s">
        <v>9</v>
      </c>
      <c r="I912" s="81" t="s">
        <v>248</v>
      </c>
      <c r="J912" t="s">
        <v>6</v>
      </c>
    </row>
    <row r="913" spans="3:10" hidden="1">
      <c r="C913">
        <v>92040</v>
      </c>
      <c r="D913" t="s">
        <v>49</v>
      </c>
      <c r="E913" t="s">
        <v>291</v>
      </c>
      <c r="F913" s="41"/>
      <c r="G913" s="80" t="s">
        <v>18</v>
      </c>
      <c r="H913" s="80" t="s">
        <v>9</v>
      </c>
      <c r="I913" s="81" t="s">
        <v>248</v>
      </c>
      <c r="J913" t="s">
        <v>6</v>
      </c>
    </row>
    <row r="914" spans="3:10" hidden="1">
      <c r="C914">
        <v>92041</v>
      </c>
      <c r="D914" t="s">
        <v>49</v>
      </c>
      <c r="E914" t="s">
        <v>292</v>
      </c>
      <c r="F914" s="41"/>
      <c r="G914" s="80" t="s">
        <v>18</v>
      </c>
      <c r="H914" s="80" t="s">
        <v>9</v>
      </c>
      <c r="I914" s="81" t="s">
        <v>248</v>
      </c>
      <c r="J914" t="s">
        <v>6</v>
      </c>
    </row>
    <row r="915" spans="3:10" hidden="1">
      <c r="C915">
        <v>92042</v>
      </c>
      <c r="D915" t="s">
        <v>131</v>
      </c>
      <c r="E915" t="s">
        <v>293</v>
      </c>
      <c r="F915" s="41" t="s">
        <v>287</v>
      </c>
      <c r="G915" s="80" t="s">
        <v>18</v>
      </c>
      <c r="H915" s="80" t="s">
        <v>9</v>
      </c>
      <c r="I915" s="81" t="s">
        <v>248</v>
      </c>
      <c r="J915" t="s">
        <v>6</v>
      </c>
    </row>
    <row r="916" spans="3:10" hidden="1">
      <c r="C916">
        <v>92043</v>
      </c>
      <c r="D916" t="s">
        <v>49</v>
      </c>
      <c r="E916" t="s">
        <v>294</v>
      </c>
      <c r="F916" s="41"/>
      <c r="G916" s="80" t="s">
        <v>18</v>
      </c>
      <c r="H916" s="80" t="s">
        <v>9</v>
      </c>
      <c r="I916" s="81" t="s">
        <v>248</v>
      </c>
      <c r="J916" t="s">
        <v>6</v>
      </c>
    </row>
    <row r="917" spans="3:10" hidden="1">
      <c r="C917">
        <v>92044</v>
      </c>
      <c r="D917" t="s">
        <v>49</v>
      </c>
      <c r="E917" t="s">
        <v>295</v>
      </c>
      <c r="F917" s="41"/>
      <c r="G917" s="80" t="s">
        <v>18</v>
      </c>
      <c r="H917" s="80" t="s">
        <v>9</v>
      </c>
      <c r="I917" s="81" t="s">
        <v>248</v>
      </c>
      <c r="J917" t="s">
        <v>6</v>
      </c>
    </row>
    <row r="918" spans="3:10" hidden="1">
      <c r="C918">
        <v>92045</v>
      </c>
      <c r="D918" t="s">
        <v>49</v>
      </c>
      <c r="E918" t="s">
        <v>296</v>
      </c>
      <c r="F918" s="41"/>
      <c r="G918" s="80" t="s">
        <v>18</v>
      </c>
      <c r="H918" s="80" t="s">
        <v>9</v>
      </c>
      <c r="I918" s="81" t="s">
        <v>248</v>
      </c>
      <c r="J918" t="s">
        <v>6</v>
      </c>
    </row>
    <row r="919" spans="3:10" hidden="1">
      <c r="C919">
        <v>92046</v>
      </c>
      <c r="D919" t="s">
        <v>120</v>
      </c>
      <c r="E919" t="s">
        <v>297</v>
      </c>
      <c r="F919" s="41"/>
      <c r="G919" s="80" t="s">
        <v>18</v>
      </c>
      <c r="H919" s="80" t="s">
        <v>9</v>
      </c>
      <c r="I919" s="81" t="s">
        <v>248</v>
      </c>
      <c r="J919" t="s">
        <v>6</v>
      </c>
    </row>
    <row r="920" spans="3:10" hidden="1">
      <c r="C920">
        <v>92047</v>
      </c>
      <c r="D920" t="s">
        <v>49</v>
      </c>
      <c r="E920" t="s">
        <v>298</v>
      </c>
      <c r="F920" s="41"/>
      <c r="G920" s="80" t="s">
        <v>18</v>
      </c>
      <c r="H920" s="80" t="s">
        <v>9</v>
      </c>
      <c r="I920" s="81" t="s">
        <v>248</v>
      </c>
      <c r="J920" t="s">
        <v>6</v>
      </c>
    </row>
    <row r="921" spans="3:10" hidden="1">
      <c r="C921">
        <v>92048</v>
      </c>
      <c r="D921" t="s">
        <v>58</v>
      </c>
      <c r="E921" t="s">
        <v>299</v>
      </c>
      <c r="F921" s="41"/>
      <c r="G921" s="80" t="s">
        <v>18</v>
      </c>
      <c r="H921" s="80" t="s">
        <v>9</v>
      </c>
      <c r="I921" s="81" t="s">
        <v>248</v>
      </c>
      <c r="J921" t="s">
        <v>6</v>
      </c>
    </row>
    <row r="922" spans="3:10" hidden="1">
      <c r="C922">
        <v>92049</v>
      </c>
      <c r="D922" t="s">
        <v>49</v>
      </c>
      <c r="E922" t="s">
        <v>300</v>
      </c>
      <c r="F922" s="41"/>
      <c r="G922" s="80" t="s">
        <v>18</v>
      </c>
      <c r="H922" s="80" t="s">
        <v>9</v>
      </c>
      <c r="I922" s="81" t="s">
        <v>248</v>
      </c>
      <c r="J922" t="s">
        <v>6</v>
      </c>
    </row>
    <row r="923" spans="3:10" hidden="1">
      <c r="C923">
        <v>92050</v>
      </c>
      <c r="D923" t="s">
        <v>49</v>
      </c>
      <c r="E923" t="s">
        <v>57</v>
      </c>
      <c r="F923" s="41"/>
      <c r="G923" s="80" t="s">
        <v>18</v>
      </c>
      <c r="H923" s="80" t="s">
        <v>9</v>
      </c>
      <c r="I923" s="81" t="s">
        <v>248</v>
      </c>
      <c r="J923" t="s">
        <v>6</v>
      </c>
    </row>
    <row r="924" spans="3:10" hidden="1">
      <c r="C924">
        <v>92051</v>
      </c>
      <c r="D924" t="s">
        <v>58</v>
      </c>
      <c r="E924" t="s">
        <v>59</v>
      </c>
      <c r="F924" s="41"/>
      <c r="G924" s="80" t="s">
        <v>18</v>
      </c>
      <c r="H924" s="80" t="s">
        <v>9</v>
      </c>
      <c r="I924" s="81" t="s">
        <v>248</v>
      </c>
      <c r="J924" t="s">
        <v>6</v>
      </c>
    </row>
    <row r="925" spans="3:10" hidden="1">
      <c r="C925">
        <v>93000</v>
      </c>
      <c r="D925" t="s">
        <v>119</v>
      </c>
      <c r="E925" t="s">
        <v>301</v>
      </c>
      <c r="F925" s="41"/>
      <c r="G925" s="80" t="s">
        <v>18</v>
      </c>
      <c r="H925" s="80" t="s">
        <v>9</v>
      </c>
      <c r="I925" s="81" t="s">
        <v>301</v>
      </c>
      <c r="J925" t="s">
        <v>6</v>
      </c>
    </row>
    <row r="926" spans="3:10" hidden="1">
      <c r="C926">
        <v>93001</v>
      </c>
      <c r="D926" t="s">
        <v>120</v>
      </c>
      <c r="E926" t="s">
        <v>249</v>
      </c>
      <c r="F926" s="41"/>
      <c r="G926" s="80" t="s">
        <v>18</v>
      </c>
      <c r="H926" s="80" t="s">
        <v>9</v>
      </c>
      <c r="I926" s="81" t="s">
        <v>301</v>
      </c>
      <c r="J926" t="s">
        <v>6</v>
      </c>
    </row>
    <row r="927" spans="3:10" hidden="1">
      <c r="C927">
        <v>93002</v>
      </c>
      <c r="D927" t="s">
        <v>49</v>
      </c>
      <c r="E927" t="s">
        <v>302</v>
      </c>
      <c r="F927" s="41"/>
      <c r="G927" s="80" t="s">
        <v>18</v>
      </c>
      <c r="H927" s="80" t="s">
        <v>9</v>
      </c>
      <c r="I927" s="81" t="s">
        <v>301</v>
      </c>
      <c r="J927" t="s">
        <v>6</v>
      </c>
    </row>
    <row r="928" spans="3:10" hidden="1">
      <c r="C928">
        <v>93003</v>
      </c>
      <c r="D928" t="s">
        <v>124</v>
      </c>
      <c r="E928" t="s">
        <v>251</v>
      </c>
      <c r="F928" s="41"/>
      <c r="G928" s="80" t="s">
        <v>18</v>
      </c>
      <c r="H928" s="80" t="s">
        <v>9</v>
      </c>
      <c r="I928" s="81" t="s">
        <v>301</v>
      </c>
      <c r="J928" t="s">
        <v>6</v>
      </c>
    </row>
    <row r="929" spans="3:10" hidden="1">
      <c r="C929">
        <v>93004</v>
      </c>
      <c r="D929" t="s">
        <v>124</v>
      </c>
      <c r="E929" t="s">
        <v>252</v>
      </c>
      <c r="F929" s="41"/>
      <c r="G929" s="80" t="s">
        <v>18</v>
      </c>
      <c r="H929" s="80" t="s">
        <v>9</v>
      </c>
      <c r="I929" s="81" t="s">
        <v>301</v>
      </c>
      <c r="J929" t="s">
        <v>6</v>
      </c>
    </row>
    <row r="930" spans="3:10" hidden="1">
      <c r="C930">
        <v>93005</v>
      </c>
      <c r="D930" t="s">
        <v>49</v>
      </c>
      <c r="E930" t="s">
        <v>253</v>
      </c>
      <c r="F930" s="41"/>
      <c r="G930" s="80" t="s">
        <v>18</v>
      </c>
      <c r="H930" s="80" t="s">
        <v>9</v>
      </c>
      <c r="I930" s="81" t="s">
        <v>301</v>
      </c>
      <c r="J930" t="s">
        <v>6</v>
      </c>
    </row>
    <row r="931" spans="3:10" hidden="1">
      <c r="C931">
        <v>93006</v>
      </c>
      <c r="D931" t="s">
        <v>120</v>
      </c>
      <c r="E931" t="s">
        <v>303</v>
      </c>
      <c r="F931" s="41"/>
      <c r="G931" s="80" t="s">
        <v>18</v>
      </c>
      <c r="H931" s="80" t="s">
        <v>9</v>
      </c>
      <c r="I931" s="81" t="s">
        <v>301</v>
      </c>
      <c r="J931" t="s">
        <v>6</v>
      </c>
    </row>
    <row r="932" spans="3:10" hidden="1">
      <c r="C932">
        <v>93007</v>
      </c>
      <c r="D932" t="s">
        <v>49</v>
      </c>
      <c r="E932" t="s">
        <v>304</v>
      </c>
      <c r="F932" s="41"/>
      <c r="G932" s="80" t="s">
        <v>18</v>
      </c>
      <c r="H932" s="80" t="s">
        <v>9</v>
      </c>
      <c r="I932" s="81" t="s">
        <v>301</v>
      </c>
      <c r="J932" t="s">
        <v>6</v>
      </c>
    </row>
    <row r="933" spans="3:10" hidden="1">
      <c r="C933">
        <v>93008</v>
      </c>
      <c r="D933" t="s">
        <v>49</v>
      </c>
      <c r="E933" t="s">
        <v>1673</v>
      </c>
      <c r="F933" s="41"/>
      <c r="G933" s="80" t="s">
        <v>18</v>
      </c>
      <c r="H933" s="80" t="s">
        <v>9</v>
      </c>
      <c r="I933" s="81" t="s">
        <v>301</v>
      </c>
      <c r="J933" t="s">
        <v>6</v>
      </c>
    </row>
    <row r="934" spans="3:10" hidden="1">
      <c r="C934">
        <v>93009</v>
      </c>
      <c r="D934" t="s">
        <v>120</v>
      </c>
      <c r="E934" t="s">
        <v>259</v>
      </c>
      <c r="F934" s="41"/>
      <c r="G934" s="80" t="s">
        <v>18</v>
      </c>
      <c r="H934" s="80" t="s">
        <v>9</v>
      </c>
      <c r="I934" s="81" t="s">
        <v>301</v>
      </c>
      <c r="J934" t="s">
        <v>6</v>
      </c>
    </row>
    <row r="935" spans="3:10" hidden="1">
      <c r="C935">
        <v>93010</v>
      </c>
      <c r="D935" t="s">
        <v>49</v>
      </c>
      <c r="E935" t="s">
        <v>260</v>
      </c>
      <c r="F935" s="41"/>
      <c r="G935" s="80" t="s">
        <v>18</v>
      </c>
      <c r="H935" s="80" t="s">
        <v>9</v>
      </c>
      <c r="I935" s="81" t="s">
        <v>301</v>
      </c>
      <c r="J935" t="s">
        <v>6</v>
      </c>
    </row>
    <row r="936" spans="3:10" hidden="1">
      <c r="C936">
        <v>93011</v>
      </c>
      <c r="D936" t="s">
        <v>120</v>
      </c>
      <c r="E936" t="s">
        <v>273</v>
      </c>
      <c r="F936" s="41"/>
      <c r="G936" s="80" t="s">
        <v>18</v>
      </c>
      <c r="H936" s="80" t="s">
        <v>9</v>
      </c>
      <c r="I936" s="81" t="s">
        <v>301</v>
      </c>
      <c r="J936" t="s">
        <v>6</v>
      </c>
    </row>
    <row r="937" spans="3:10" hidden="1">
      <c r="C937">
        <v>93012</v>
      </c>
      <c r="D937" t="s">
        <v>49</v>
      </c>
      <c r="E937" t="s">
        <v>276</v>
      </c>
      <c r="F937" s="41"/>
      <c r="G937" s="80" t="s">
        <v>18</v>
      </c>
      <c r="H937" s="80" t="s">
        <v>9</v>
      </c>
      <c r="I937" s="81" t="s">
        <v>301</v>
      </c>
      <c r="J937" t="s">
        <v>6</v>
      </c>
    </row>
    <row r="938" spans="3:10" hidden="1">
      <c r="C938">
        <v>93013</v>
      </c>
      <c r="D938" t="s">
        <v>58</v>
      </c>
      <c r="E938" t="s">
        <v>306</v>
      </c>
      <c r="F938" s="41"/>
      <c r="G938" s="80" t="s">
        <v>18</v>
      </c>
      <c r="H938" s="80" t="s">
        <v>9</v>
      </c>
      <c r="I938" s="81" t="s">
        <v>301</v>
      </c>
      <c r="J938" t="s">
        <v>6</v>
      </c>
    </row>
    <row r="939" spans="3:10" hidden="1">
      <c r="C939">
        <v>93014</v>
      </c>
      <c r="D939" t="s">
        <v>49</v>
      </c>
      <c r="E939" t="s">
        <v>307</v>
      </c>
      <c r="F939" s="41"/>
      <c r="G939" s="80" t="s">
        <v>18</v>
      </c>
      <c r="H939" s="80" t="s">
        <v>9</v>
      </c>
      <c r="I939" s="81" t="s">
        <v>301</v>
      </c>
      <c r="J939" t="s">
        <v>6</v>
      </c>
    </row>
    <row r="940" spans="3:10" hidden="1">
      <c r="C940">
        <v>93015</v>
      </c>
      <c r="D940" t="s">
        <v>49</v>
      </c>
      <c r="E940" t="s">
        <v>277</v>
      </c>
      <c r="F940" s="41"/>
      <c r="G940" s="80" t="s">
        <v>18</v>
      </c>
      <c r="H940" s="80" t="s">
        <v>9</v>
      </c>
      <c r="I940" s="81" t="s">
        <v>301</v>
      </c>
      <c r="J940" t="s">
        <v>6</v>
      </c>
    </row>
    <row r="941" spans="3:10" hidden="1">
      <c r="C941">
        <v>93016</v>
      </c>
      <c r="D941" t="s">
        <v>120</v>
      </c>
      <c r="E941" t="s">
        <v>278</v>
      </c>
      <c r="F941" s="41"/>
      <c r="G941" s="80" t="s">
        <v>18</v>
      </c>
      <c r="H941" s="80" t="s">
        <v>9</v>
      </c>
      <c r="I941" s="81" t="s">
        <v>301</v>
      </c>
      <c r="J941" t="s">
        <v>6</v>
      </c>
    </row>
    <row r="942" spans="3:10" hidden="1">
      <c r="C942">
        <v>93017</v>
      </c>
      <c r="D942" t="s">
        <v>49</v>
      </c>
      <c r="E942" t="s">
        <v>286</v>
      </c>
      <c r="F942" s="41"/>
      <c r="G942" s="80" t="s">
        <v>18</v>
      </c>
      <c r="H942" s="80" t="s">
        <v>9</v>
      </c>
      <c r="I942" s="81" t="s">
        <v>301</v>
      </c>
      <c r="J942" t="s">
        <v>6</v>
      </c>
    </row>
    <row r="943" spans="3:10" hidden="1">
      <c r="C943">
        <v>93018</v>
      </c>
      <c r="D943" t="s">
        <v>49</v>
      </c>
      <c r="E943" t="s">
        <v>288</v>
      </c>
      <c r="F943" s="41"/>
      <c r="G943" s="80" t="s">
        <v>18</v>
      </c>
      <c r="H943" s="80" t="s">
        <v>9</v>
      </c>
      <c r="I943" s="81" t="s">
        <v>301</v>
      </c>
      <c r="J943" t="s">
        <v>6</v>
      </c>
    </row>
    <row r="944" spans="3:10" hidden="1">
      <c r="C944">
        <v>93019</v>
      </c>
      <c r="D944" t="s">
        <v>120</v>
      </c>
      <c r="E944" t="s">
        <v>297</v>
      </c>
      <c r="F944" s="41"/>
      <c r="G944" s="80" t="s">
        <v>18</v>
      </c>
      <c r="H944" s="80" t="s">
        <v>9</v>
      </c>
      <c r="I944" s="81" t="s">
        <v>301</v>
      </c>
      <c r="J944" t="s">
        <v>6</v>
      </c>
    </row>
    <row r="945" spans="3:10" hidden="1">
      <c r="C945">
        <v>93020</v>
      </c>
      <c r="D945" t="s">
        <v>49</v>
      </c>
      <c r="E945" t="s">
        <v>298</v>
      </c>
      <c r="F945" s="41"/>
      <c r="G945" s="80" t="s">
        <v>18</v>
      </c>
      <c r="H945" s="80" t="s">
        <v>9</v>
      </c>
      <c r="I945" s="81" t="s">
        <v>301</v>
      </c>
      <c r="J945" t="s">
        <v>6</v>
      </c>
    </row>
    <row r="946" spans="3:10" hidden="1">
      <c r="C946">
        <v>93021</v>
      </c>
      <c r="D946" t="s">
        <v>58</v>
      </c>
      <c r="E946" t="s">
        <v>306</v>
      </c>
      <c r="F946" s="41"/>
      <c r="G946" s="80" t="s">
        <v>18</v>
      </c>
      <c r="H946" s="80" t="s">
        <v>9</v>
      </c>
      <c r="I946" s="81" t="s">
        <v>301</v>
      </c>
      <c r="J946" t="s">
        <v>6</v>
      </c>
    </row>
    <row r="947" spans="3:10" hidden="1">
      <c r="C947">
        <v>93022</v>
      </c>
      <c r="D947" t="s">
        <v>49</v>
      </c>
      <c r="E947" t="s">
        <v>300</v>
      </c>
      <c r="F947" s="41"/>
      <c r="G947" s="80" t="s">
        <v>18</v>
      </c>
      <c r="H947" s="80" t="s">
        <v>9</v>
      </c>
      <c r="I947" s="81" t="s">
        <v>301</v>
      </c>
      <c r="J947" t="s">
        <v>6</v>
      </c>
    </row>
    <row r="948" spans="3:10" hidden="1">
      <c r="C948">
        <v>93023</v>
      </c>
      <c r="D948" t="s">
        <v>49</v>
      </c>
      <c r="E948" t="s">
        <v>57</v>
      </c>
      <c r="F948" s="41"/>
      <c r="G948" s="80" t="s">
        <v>18</v>
      </c>
      <c r="H948" s="80" t="s">
        <v>9</v>
      </c>
      <c r="I948" s="81" t="s">
        <v>301</v>
      </c>
      <c r="J948" t="s">
        <v>6</v>
      </c>
    </row>
    <row r="949" spans="3:10" hidden="1">
      <c r="C949">
        <v>93024</v>
      </c>
      <c r="D949" t="s">
        <v>58</v>
      </c>
      <c r="E949" t="s">
        <v>59</v>
      </c>
      <c r="F949" s="41"/>
      <c r="G949" s="80" t="s">
        <v>18</v>
      </c>
      <c r="H949" s="80" t="s">
        <v>9</v>
      </c>
      <c r="I949" s="81" t="s">
        <v>301</v>
      </c>
      <c r="J949" t="s">
        <v>6</v>
      </c>
    </row>
    <row r="950" spans="3:10" hidden="1">
      <c r="C950">
        <v>94000</v>
      </c>
      <c r="D950" t="s">
        <v>119</v>
      </c>
      <c r="E950" t="s">
        <v>308</v>
      </c>
      <c r="F950" s="41"/>
      <c r="G950" s="80" t="s">
        <v>18</v>
      </c>
      <c r="H950" s="80" t="s">
        <v>9</v>
      </c>
      <c r="I950" s="81" t="s">
        <v>308</v>
      </c>
      <c r="J950" t="s">
        <v>6</v>
      </c>
    </row>
    <row r="951" spans="3:10" hidden="1">
      <c r="C951">
        <v>94001</v>
      </c>
      <c r="D951" t="s">
        <v>120</v>
      </c>
      <c r="E951" t="s">
        <v>309</v>
      </c>
      <c r="F951" s="41"/>
      <c r="G951" s="80" t="s">
        <v>18</v>
      </c>
      <c r="H951" s="80" t="s">
        <v>9</v>
      </c>
      <c r="I951" s="81" t="s">
        <v>308</v>
      </c>
      <c r="J951" t="s">
        <v>6</v>
      </c>
    </row>
    <row r="952" spans="3:10" hidden="1">
      <c r="C952">
        <v>94002</v>
      </c>
      <c r="D952" t="s">
        <v>49</v>
      </c>
      <c r="E952" t="s">
        <v>310</v>
      </c>
      <c r="F952" s="41"/>
      <c r="G952" s="80" t="s">
        <v>18</v>
      </c>
      <c r="H952" s="80" t="s">
        <v>9</v>
      </c>
      <c r="I952" s="81" t="s">
        <v>308</v>
      </c>
      <c r="J952" t="s">
        <v>6</v>
      </c>
    </row>
    <row r="953" spans="3:10" hidden="1">
      <c r="C953">
        <v>94003</v>
      </c>
      <c r="D953" t="s">
        <v>124</v>
      </c>
      <c r="E953" t="s">
        <v>311</v>
      </c>
      <c r="F953" s="41"/>
      <c r="G953" s="80" t="s">
        <v>18</v>
      </c>
      <c r="H953" s="80" t="s">
        <v>9</v>
      </c>
      <c r="I953" s="81" t="s">
        <v>308</v>
      </c>
      <c r="J953" t="s">
        <v>6</v>
      </c>
    </row>
    <row r="954" spans="3:10" hidden="1">
      <c r="C954">
        <v>94004</v>
      </c>
      <c r="D954" t="s">
        <v>49</v>
      </c>
      <c r="E954" t="s">
        <v>312</v>
      </c>
      <c r="F954" s="41"/>
      <c r="G954" s="80" t="s">
        <v>18</v>
      </c>
      <c r="H954" s="80" t="s">
        <v>9</v>
      </c>
      <c r="I954" s="81" t="s">
        <v>308</v>
      </c>
      <c r="J954" t="s">
        <v>6</v>
      </c>
    </row>
    <row r="955" spans="3:10" hidden="1">
      <c r="C955">
        <v>94005</v>
      </c>
      <c r="D955" t="s">
        <v>49</v>
      </c>
      <c r="E955" t="s">
        <v>1674</v>
      </c>
      <c r="F955" s="41"/>
      <c r="G955" s="80" t="s">
        <v>18</v>
      </c>
      <c r="H955" s="80" t="s">
        <v>9</v>
      </c>
      <c r="I955" s="81" t="s">
        <v>308</v>
      </c>
      <c r="J955" t="s">
        <v>6</v>
      </c>
    </row>
    <row r="956" spans="3:10" hidden="1">
      <c r="C956">
        <v>94006</v>
      </c>
      <c r="D956" t="s">
        <v>66</v>
      </c>
      <c r="E956" t="s">
        <v>314</v>
      </c>
      <c r="F956" s="41"/>
      <c r="G956" s="80" t="s">
        <v>18</v>
      </c>
      <c r="H956" s="80" t="s">
        <v>9</v>
      </c>
      <c r="I956" s="81" t="s">
        <v>308</v>
      </c>
      <c r="J956" t="s">
        <v>6</v>
      </c>
    </row>
    <row r="957" spans="3:10" hidden="1">
      <c r="C957">
        <v>94007</v>
      </c>
      <c r="D957" t="s">
        <v>66</v>
      </c>
      <c r="E957" t="s">
        <v>315</v>
      </c>
      <c r="F957" s="41"/>
      <c r="G957" s="80" t="s">
        <v>18</v>
      </c>
      <c r="H957" s="80" t="s">
        <v>9</v>
      </c>
      <c r="I957" s="81" t="s">
        <v>308</v>
      </c>
      <c r="J957" t="s">
        <v>6</v>
      </c>
    </row>
    <row r="958" spans="3:10" hidden="1">
      <c r="C958">
        <v>94008</v>
      </c>
      <c r="D958" t="s">
        <v>66</v>
      </c>
      <c r="E958" t="s">
        <v>316</v>
      </c>
      <c r="F958" s="41"/>
      <c r="G958" s="80" t="s">
        <v>18</v>
      </c>
      <c r="H958" s="80" t="s">
        <v>9</v>
      </c>
      <c r="I958" s="81" t="s">
        <v>308</v>
      </c>
      <c r="J958" t="s">
        <v>6</v>
      </c>
    </row>
    <row r="959" spans="3:10" hidden="1">
      <c r="C959">
        <v>94009</v>
      </c>
      <c r="D959" t="s">
        <v>66</v>
      </c>
      <c r="E959" t="s">
        <v>317</v>
      </c>
      <c r="F959" s="41"/>
      <c r="G959" s="80" t="s">
        <v>18</v>
      </c>
      <c r="H959" s="80" t="s">
        <v>9</v>
      </c>
      <c r="I959" s="81" t="s">
        <v>308</v>
      </c>
      <c r="J959" t="s">
        <v>6</v>
      </c>
    </row>
    <row r="960" spans="3:10" hidden="1">
      <c r="C960">
        <v>94010</v>
      </c>
      <c r="D960" t="s">
        <v>49</v>
      </c>
      <c r="E960" t="s">
        <v>318</v>
      </c>
      <c r="F960" s="41"/>
      <c r="G960" s="80" t="s">
        <v>18</v>
      </c>
      <c r="H960" s="80" t="s">
        <v>9</v>
      </c>
      <c r="I960" s="81" t="s">
        <v>308</v>
      </c>
      <c r="J960" t="s">
        <v>6</v>
      </c>
    </row>
    <row r="961" spans="3:10" hidden="1">
      <c r="C961">
        <v>94011</v>
      </c>
      <c r="D961" t="s">
        <v>120</v>
      </c>
      <c r="E961" t="s">
        <v>319</v>
      </c>
      <c r="F961" s="41"/>
      <c r="G961" s="80" t="s">
        <v>18</v>
      </c>
      <c r="H961" s="80" t="s">
        <v>9</v>
      </c>
      <c r="I961" s="81" t="s">
        <v>308</v>
      </c>
      <c r="J961" t="s">
        <v>6</v>
      </c>
    </row>
    <row r="962" spans="3:10" hidden="1">
      <c r="C962">
        <v>94012</v>
      </c>
      <c r="D962" t="s">
        <v>49</v>
      </c>
      <c r="E962" t="s">
        <v>320</v>
      </c>
      <c r="F962" s="41"/>
      <c r="G962" s="80" t="s">
        <v>18</v>
      </c>
      <c r="H962" s="80" t="s">
        <v>9</v>
      </c>
      <c r="I962" s="81" t="s">
        <v>308</v>
      </c>
      <c r="J962" t="s">
        <v>6</v>
      </c>
    </row>
    <row r="963" spans="3:10" hidden="1">
      <c r="C963">
        <v>94013</v>
      </c>
      <c r="D963" t="s">
        <v>49</v>
      </c>
      <c r="E963" t="s">
        <v>321</v>
      </c>
      <c r="F963" s="41"/>
      <c r="G963" s="80" t="s">
        <v>18</v>
      </c>
      <c r="H963" s="80" t="s">
        <v>9</v>
      </c>
      <c r="I963" s="81" t="s">
        <v>308</v>
      </c>
      <c r="J963" t="s">
        <v>6</v>
      </c>
    </row>
    <row r="964" spans="3:10" hidden="1">
      <c r="C964">
        <v>94014</v>
      </c>
      <c r="D964" t="s">
        <v>49</v>
      </c>
      <c r="E964" t="s">
        <v>322</v>
      </c>
      <c r="F964" s="41"/>
      <c r="G964" s="80" t="s">
        <v>18</v>
      </c>
      <c r="H964" s="80" t="s">
        <v>9</v>
      </c>
      <c r="I964" s="81" t="s">
        <v>308</v>
      </c>
      <c r="J964" t="s">
        <v>6</v>
      </c>
    </row>
    <row r="965" spans="3:10" hidden="1">
      <c r="C965">
        <v>94015</v>
      </c>
      <c r="D965" t="s">
        <v>49</v>
      </c>
      <c r="E965" t="s">
        <v>323</v>
      </c>
      <c r="F965" s="41"/>
      <c r="G965" s="80" t="s">
        <v>18</v>
      </c>
      <c r="H965" s="80" t="s">
        <v>9</v>
      </c>
      <c r="I965" s="81" t="s">
        <v>308</v>
      </c>
      <c r="J965" t="s">
        <v>6</v>
      </c>
    </row>
    <row r="966" spans="3:10" hidden="1">
      <c r="C966">
        <v>94016</v>
      </c>
      <c r="D966" t="s">
        <v>49</v>
      </c>
      <c r="E966" t="s">
        <v>57</v>
      </c>
      <c r="F966" s="41"/>
      <c r="G966" s="80" t="s">
        <v>18</v>
      </c>
      <c r="H966" s="80" t="s">
        <v>9</v>
      </c>
      <c r="I966" s="81" t="s">
        <v>308</v>
      </c>
      <c r="J966" t="s">
        <v>6</v>
      </c>
    </row>
    <row r="967" spans="3:10" hidden="1">
      <c r="C967">
        <v>94017</v>
      </c>
      <c r="D967" t="s">
        <v>58</v>
      </c>
      <c r="E967" t="s">
        <v>59</v>
      </c>
      <c r="F967" s="41"/>
      <c r="G967" s="80" t="s">
        <v>18</v>
      </c>
      <c r="H967" s="80" t="s">
        <v>9</v>
      </c>
      <c r="I967" s="81" t="s">
        <v>308</v>
      </c>
      <c r="J967" t="s">
        <v>6</v>
      </c>
    </row>
    <row r="968" spans="3:10" hidden="1">
      <c r="C968">
        <v>95000</v>
      </c>
      <c r="D968" t="s">
        <v>119</v>
      </c>
      <c r="E968" t="s">
        <v>324</v>
      </c>
      <c r="F968" s="41"/>
      <c r="G968" s="80" t="s">
        <v>18</v>
      </c>
      <c r="H968" s="80" t="s">
        <v>9</v>
      </c>
      <c r="I968" s="81" t="s">
        <v>324</v>
      </c>
      <c r="J968" t="s">
        <v>6</v>
      </c>
    </row>
    <row r="969" spans="3:10" hidden="1">
      <c r="C969">
        <v>95001</v>
      </c>
      <c r="D969" t="s">
        <v>120</v>
      </c>
      <c r="E969" t="s">
        <v>325</v>
      </c>
      <c r="F969" s="41"/>
      <c r="G969" s="80" t="s">
        <v>18</v>
      </c>
      <c r="H969" s="80" t="s">
        <v>9</v>
      </c>
      <c r="I969" s="81" t="s">
        <v>324</v>
      </c>
      <c r="J969" t="s">
        <v>6</v>
      </c>
    </row>
    <row r="970" spans="3:10" hidden="1">
      <c r="C970">
        <v>95002</v>
      </c>
      <c r="D970" t="s">
        <v>49</v>
      </c>
      <c r="E970" t="s">
        <v>326</v>
      </c>
      <c r="F970" s="41"/>
      <c r="G970" s="80" t="s">
        <v>18</v>
      </c>
      <c r="H970" s="80" t="s">
        <v>9</v>
      </c>
      <c r="I970" s="81" t="s">
        <v>324</v>
      </c>
      <c r="J970" t="s">
        <v>6</v>
      </c>
    </row>
    <row r="971" spans="3:10" hidden="1">
      <c r="C971">
        <v>95003</v>
      </c>
      <c r="D971" t="s">
        <v>49</v>
      </c>
      <c r="E971" t="s">
        <v>327</v>
      </c>
      <c r="F971" s="41"/>
      <c r="G971" s="80" t="s">
        <v>18</v>
      </c>
      <c r="H971" s="80" t="s">
        <v>9</v>
      </c>
      <c r="I971" s="81" t="s">
        <v>324</v>
      </c>
      <c r="J971" t="s">
        <v>6</v>
      </c>
    </row>
    <row r="972" spans="3:10" hidden="1">
      <c r="C972">
        <v>95004</v>
      </c>
      <c r="D972" t="s">
        <v>49</v>
      </c>
      <c r="E972" t="s">
        <v>328</v>
      </c>
      <c r="F972" s="41"/>
      <c r="G972" s="80" t="s">
        <v>18</v>
      </c>
      <c r="H972" s="80" t="s">
        <v>9</v>
      </c>
      <c r="I972" s="81" t="s">
        <v>324</v>
      </c>
      <c r="J972" t="s">
        <v>6</v>
      </c>
    </row>
    <row r="973" spans="3:10" hidden="1">
      <c r="C973">
        <v>95005</v>
      </c>
      <c r="D973" t="s">
        <v>49</v>
      </c>
      <c r="E973" t="s">
        <v>329</v>
      </c>
      <c r="F973" s="41"/>
      <c r="G973" s="80" t="s">
        <v>18</v>
      </c>
      <c r="H973" s="80" t="s">
        <v>9</v>
      </c>
      <c r="I973" s="81" t="s">
        <v>324</v>
      </c>
      <c r="J973" t="s">
        <v>6</v>
      </c>
    </row>
    <row r="974" spans="3:10" hidden="1">
      <c r="C974">
        <v>95006</v>
      </c>
      <c r="D974" t="s">
        <v>124</v>
      </c>
      <c r="E974" t="s">
        <v>330</v>
      </c>
      <c r="F974" s="41"/>
      <c r="G974" s="80" t="s">
        <v>18</v>
      </c>
      <c r="H974" s="80" t="s">
        <v>9</v>
      </c>
      <c r="I974" s="81" t="s">
        <v>324</v>
      </c>
      <c r="J974" t="s">
        <v>6</v>
      </c>
    </row>
    <row r="975" spans="3:10" hidden="1">
      <c r="C975">
        <v>95007</v>
      </c>
      <c r="D975" t="s">
        <v>124</v>
      </c>
      <c r="E975" t="s">
        <v>331</v>
      </c>
      <c r="F975" s="41"/>
      <c r="G975" s="80" t="s">
        <v>18</v>
      </c>
      <c r="H975" s="80" t="s">
        <v>9</v>
      </c>
      <c r="I975" s="81" t="s">
        <v>324</v>
      </c>
      <c r="J975" t="s">
        <v>6</v>
      </c>
    </row>
    <row r="976" spans="3:10" hidden="1">
      <c r="C976">
        <v>95008</v>
      </c>
      <c r="D976" t="s">
        <v>49</v>
      </c>
      <c r="E976" t="s">
        <v>332</v>
      </c>
      <c r="F976" s="41"/>
      <c r="G976" s="80" t="s">
        <v>18</v>
      </c>
      <c r="H976" s="80" t="s">
        <v>9</v>
      </c>
      <c r="I976" s="81" t="s">
        <v>324</v>
      </c>
      <c r="J976" t="s">
        <v>6</v>
      </c>
    </row>
    <row r="977" spans="3:10" hidden="1">
      <c r="C977">
        <v>95009</v>
      </c>
      <c r="D977" t="s">
        <v>58</v>
      </c>
      <c r="E977" t="s">
        <v>333</v>
      </c>
      <c r="F977" s="41"/>
      <c r="G977" s="80" t="s">
        <v>18</v>
      </c>
      <c r="H977" s="80" t="s">
        <v>9</v>
      </c>
      <c r="I977" s="81" t="s">
        <v>324</v>
      </c>
      <c r="J977" t="s">
        <v>6</v>
      </c>
    </row>
    <row r="978" spans="3:10" hidden="1">
      <c r="C978">
        <v>95010</v>
      </c>
      <c r="D978" t="s">
        <v>120</v>
      </c>
      <c r="E978" t="s">
        <v>334</v>
      </c>
      <c r="F978" s="41"/>
      <c r="G978" s="80" t="s">
        <v>18</v>
      </c>
      <c r="H978" s="80" t="s">
        <v>9</v>
      </c>
      <c r="I978" s="81" t="s">
        <v>324</v>
      </c>
      <c r="J978" t="s">
        <v>6</v>
      </c>
    </row>
    <row r="979" spans="3:10" hidden="1">
      <c r="C979">
        <v>95011</v>
      </c>
      <c r="D979" t="s">
        <v>49</v>
      </c>
      <c r="E979" t="s">
        <v>335</v>
      </c>
      <c r="F979" s="41"/>
      <c r="G979" s="80" t="s">
        <v>18</v>
      </c>
      <c r="H979" s="80" t="s">
        <v>9</v>
      </c>
      <c r="I979" s="81" t="s">
        <v>324</v>
      </c>
      <c r="J979" t="s">
        <v>6</v>
      </c>
    </row>
    <row r="980" spans="3:10" hidden="1">
      <c r="C980">
        <v>95012</v>
      </c>
      <c r="D980" t="s">
        <v>49</v>
      </c>
      <c r="E980" t="s">
        <v>336</v>
      </c>
      <c r="F980" s="41"/>
      <c r="G980" s="80" t="s">
        <v>18</v>
      </c>
      <c r="H980" s="80" t="s">
        <v>9</v>
      </c>
      <c r="I980" s="81" t="s">
        <v>324</v>
      </c>
      <c r="J980" t="s">
        <v>6</v>
      </c>
    </row>
    <row r="981" spans="3:10" hidden="1">
      <c r="C981">
        <v>95013</v>
      </c>
      <c r="D981" t="s">
        <v>49</v>
      </c>
      <c r="E981" t="s">
        <v>337</v>
      </c>
      <c r="F981" s="41"/>
      <c r="G981" s="80" t="s">
        <v>18</v>
      </c>
      <c r="H981" s="80" t="s">
        <v>9</v>
      </c>
      <c r="I981" s="81" t="s">
        <v>324</v>
      </c>
      <c r="J981" t="s">
        <v>6</v>
      </c>
    </row>
    <row r="982" spans="3:10" hidden="1">
      <c r="C982">
        <v>95014</v>
      </c>
      <c r="D982" t="s">
        <v>49</v>
      </c>
      <c r="E982" t="s">
        <v>318</v>
      </c>
      <c r="F982" s="41"/>
      <c r="G982" s="80" t="s">
        <v>18</v>
      </c>
      <c r="H982" s="80" t="s">
        <v>9</v>
      </c>
      <c r="I982" s="81" t="s">
        <v>324</v>
      </c>
      <c r="J982" t="s">
        <v>6</v>
      </c>
    </row>
    <row r="983" spans="3:10" hidden="1">
      <c r="C983">
        <v>95015</v>
      </c>
      <c r="D983" t="s">
        <v>58</v>
      </c>
      <c r="E983" t="s">
        <v>333</v>
      </c>
      <c r="F983" s="41"/>
      <c r="G983" s="80" t="s">
        <v>18</v>
      </c>
      <c r="H983" s="80" t="s">
        <v>9</v>
      </c>
      <c r="I983" s="81" t="s">
        <v>324</v>
      </c>
      <c r="J983" t="s">
        <v>6</v>
      </c>
    </row>
    <row r="984" spans="3:10" hidden="1">
      <c r="C984">
        <v>95016</v>
      </c>
      <c r="D984" t="s">
        <v>49</v>
      </c>
      <c r="E984" t="s">
        <v>57</v>
      </c>
      <c r="F984" s="41"/>
      <c r="G984" s="80" t="s">
        <v>18</v>
      </c>
      <c r="H984" s="80" t="s">
        <v>9</v>
      </c>
      <c r="I984" s="81" t="s">
        <v>324</v>
      </c>
      <c r="J984" t="s">
        <v>6</v>
      </c>
    </row>
    <row r="985" spans="3:10" hidden="1">
      <c r="C985">
        <v>95017</v>
      </c>
      <c r="D985" t="s">
        <v>58</v>
      </c>
      <c r="E985" t="s">
        <v>59</v>
      </c>
      <c r="F985" s="41"/>
      <c r="G985" s="80" t="s">
        <v>18</v>
      </c>
      <c r="H985" s="80" t="s">
        <v>9</v>
      </c>
      <c r="I985" s="81" t="s">
        <v>324</v>
      </c>
      <c r="J985" t="s">
        <v>6</v>
      </c>
    </row>
    <row r="986" spans="3:10" hidden="1">
      <c r="C986">
        <v>96000</v>
      </c>
      <c r="D986" t="s">
        <v>48</v>
      </c>
      <c r="E986" t="s">
        <v>338</v>
      </c>
      <c r="F986" s="41"/>
      <c r="G986" s="80" t="s">
        <v>18</v>
      </c>
      <c r="H986" s="80" t="s">
        <v>9</v>
      </c>
      <c r="I986" s="81" t="s">
        <v>338</v>
      </c>
      <c r="J986" t="s">
        <v>6</v>
      </c>
    </row>
    <row r="987" spans="3:10" hidden="1">
      <c r="C987">
        <v>96001</v>
      </c>
      <c r="D987" t="s">
        <v>49</v>
      </c>
      <c r="E987" t="s">
        <v>339</v>
      </c>
      <c r="F987" s="41"/>
      <c r="G987" s="80" t="s">
        <v>18</v>
      </c>
      <c r="H987" s="80" t="s">
        <v>9</v>
      </c>
      <c r="I987" s="81" t="s">
        <v>338</v>
      </c>
      <c r="J987" t="s">
        <v>6</v>
      </c>
    </row>
    <row r="988" spans="3:10" hidden="1">
      <c r="C988">
        <v>96002</v>
      </c>
      <c r="D988" t="s">
        <v>49</v>
      </c>
      <c r="E988" t="s">
        <v>340</v>
      </c>
      <c r="F988" s="41"/>
      <c r="G988" s="80" t="s">
        <v>18</v>
      </c>
      <c r="H988" s="80" t="s">
        <v>9</v>
      </c>
      <c r="I988" s="81" t="s">
        <v>338</v>
      </c>
      <c r="J988" t="s">
        <v>6</v>
      </c>
    </row>
    <row r="989" spans="3:10" hidden="1">
      <c r="C989">
        <v>96003</v>
      </c>
      <c r="D989" t="s">
        <v>49</v>
      </c>
      <c r="E989" t="s">
        <v>341</v>
      </c>
      <c r="F989" s="41"/>
      <c r="G989" s="80" t="s">
        <v>18</v>
      </c>
      <c r="H989" s="80" t="s">
        <v>9</v>
      </c>
      <c r="I989" s="81" t="s">
        <v>338</v>
      </c>
      <c r="J989" t="s">
        <v>6</v>
      </c>
    </row>
    <row r="990" spans="3:10" hidden="1">
      <c r="C990">
        <v>96004</v>
      </c>
      <c r="D990" t="s">
        <v>49</v>
      </c>
      <c r="E990" t="s">
        <v>342</v>
      </c>
      <c r="F990" s="41"/>
      <c r="G990" s="80" t="s">
        <v>18</v>
      </c>
      <c r="H990" s="80" t="s">
        <v>9</v>
      </c>
      <c r="I990" s="81" t="s">
        <v>338</v>
      </c>
      <c r="J990" t="s">
        <v>6</v>
      </c>
    </row>
    <row r="991" spans="3:10" hidden="1">
      <c r="C991">
        <v>96005</v>
      </c>
      <c r="D991" t="s">
        <v>49</v>
      </c>
      <c r="E991" t="s">
        <v>57</v>
      </c>
      <c r="F991" s="41"/>
      <c r="G991" s="80" t="s">
        <v>18</v>
      </c>
      <c r="H991" s="80" t="s">
        <v>9</v>
      </c>
      <c r="I991" s="81" t="s">
        <v>338</v>
      </c>
      <c r="J991" t="s">
        <v>6</v>
      </c>
    </row>
    <row r="992" spans="3:10" hidden="1">
      <c r="C992">
        <v>96006</v>
      </c>
      <c r="D992" t="s">
        <v>58</v>
      </c>
      <c r="E992" t="s">
        <v>59</v>
      </c>
      <c r="F992" s="41"/>
      <c r="G992" s="80" t="s">
        <v>18</v>
      </c>
      <c r="H992" s="80" t="s">
        <v>9</v>
      </c>
      <c r="I992" s="81" t="s">
        <v>338</v>
      </c>
      <c r="J992" t="s">
        <v>6</v>
      </c>
    </row>
    <row r="993" spans="3:10" hidden="1">
      <c r="C993">
        <v>97000</v>
      </c>
      <c r="D993" t="s">
        <v>48</v>
      </c>
      <c r="E993" t="s">
        <v>1675</v>
      </c>
      <c r="F993" s="41"/>
      <c r="G993" s="80" t="s">
        <v>18</v>
      </c>
      <c r="H993" s="80" t="s">
        <v>9</v>
      </c>
      <c r="I993" s="81" t="s">
        <v>1675</v>
      </c>
      <c r="J993" t="s">
        <v>6</v>
      </c>
    </row>
    <row r="994" spans="3:10" hidden="1">
      <c r="C994">
        <v>97001</v>
      </c>
      <c r="D994" t="s">
        <v>49</v>
      </c>
      <c r="E994" t="s">
        <v>339</v>
      </c>
      <c r="F994" s="41"/>
      <c r="G994" s="80" t="s">
        <v>18</v>
      </c>
      <c r="H994" s="80" t="s">
        <v>9</v>
      </c>
      <c r="I994" s="81" t="s">
        <v>1675</v>
      </c>
      <c r="J994" t="s">
        <v>6</v>
      </c>
    </row>
    <row r="995" spans="3:10" hidden="1">
      <c r="C995">
        <v>97002</v>
      </c>
      <c r="D995" t="s">
        <v>49</v>
      </c>
      <c r="E995" t="s">
        <v>340</v>
      </c>
      <c r="F995" s="41"/>
      <c r="G995" s="80" t="s">
        <v>18</v>
      </c>
      <c r="H995" s="80" t="s">
        <v>9</v>
      </c>
      <c r="I995" s="81" t="s">
        <v>1675</v>
      </c>
      <c r="J995" t="s">
        <v>6</v>
      </c>
    </row>
    <row r="996" spans="3:10" hidden="1">
      <c r="C996">
        <v>97003</v>
      </c>
      <c r="D996" t="s">
        <v>49</v>
      </c>
      <c r="E996" t="s">
        <v>341</v>
      </c>
      <c r="F996" s="41"/>
      <c r="G996" s="80" t="s">
        <v>18</v>
      </c>
      <c r="H996" s="80" t="s">
        <v>9</v>
      </c>
      <c r="I996" s="81" t="s">
        <v>1675</v>
      </c>
      <c r="J996" t="s">
        <v>6</v>
      </c>
    </row>
    <row r="997" spans="3:10" hidden="1">
      <c r="C997">
        <v>97004</v>
      </c>
      <c r="D997" t="s">
        <v>49</v>
      </c>
      <c r="E997" t="s">
        <v>1676</v>
      </c>
      <c r="F997" s="41"/>
      <c r="G997" s="80" t="s">
        <v>18</v>
      </c>
      <c r="H997" s="80" t="s">
        <v>9</v>
      </c>
      <c r="I997" s="81" t="s">
        <v>1675</v>
      </c>
      <c r="J997" t="s">
        <v>6</v>
      </c>
    </row>
    <row r="998" spans="3:10" hidden="1">
      <c r="C998">
        <v>97005</v>
      </c>
      <c r="D998" t="s">
        <v>49</v>
      </c>
      <c r="E998" t="s">
        <v>57</v>
      </c>
      <c r="F998" s="41"/>
      <c r="G998" s="80" t="s">
        <v>18</v>
      </c>
      <c r="H998" s="80" t="s">
        <v>9</v>
      </c>
      <c r="I998" s="81" t="s">
        <v>1675</v>
      </c>
      <c r="J998" t="s">
        <v>6</v>
      </c>
    </row>
    <row r="999" spans="3:10" hidden="1">
      <c r="C999">
        <v>97006</v>
      </c>
      <c r="D999" t="s">
        <v>58</v>
      </c>
      <c r="E999" t="s">
        <v>59</v>
      </c>
      <c r="F999" s="41"/>
      <c r="G999" s="80" t="s">
        <v>18</v>
      </c>
      <c r="H999" s="80" t="s">
        <v>9</v>
      </c>
      <c r="I999" s="81" t="s">
        <v>1675</v>
      </c>
      <c r="J999" t="s">
        <v>6</v>
      </c>
    </row>
    <row r="1000" spans="3:10" hidden="1">
      <c r="C1000">
        <v>98000</v>
      </c>
      <c r="D1000" t="s">
        <v>48</v>
      </c>
      <c r="E1000" t="s">
        <v>345</v>
      </c>
      <c r="F1000" s="41"/>
      <c r="G1000" s="80" t="s">
        <v>18</v>
      </c>
      <c r="H1000" s="80" t="s">
        <v>9</v>
      </c>
      <c r="I1000" s="81" t="s">
        <v>345</v>
      </c>
      <c r="J1000" t="s">
        <v>6</v>
      </c>
    </row>
    <row r="1001" spans="3:10" hidden="1">
      <c r="C1001">
        <v>98001</v>
      </c>
      <c r="D1001" t="s">
        <v>49</v>
      </c>
      <c r="E1001" t="s">
        <v>339</v>
      </c>
      <c r="F1001" s="41"/>
      <c r="G1001" s="80" t="s">
        <v>18</v>
      </c>
      <c r="H1001" s="80" t="s">
        <v>9</v>
      </c>
      <c r="I1001" s="81" t="s">
        <v>345</v>
      </c>
      <c r="J1001" t="s">
        <v>6</v>
      </c>
    </row>
    <row r="1002" spans="3:10" hidden="1">
      <c r="C1002">
        <v>98002</v>
      </c>
      <c r="D1002" t="s">
        <v>49</v>
      </c>
      <c r="E1002" t="s">
        <v>340</v>
      </c>
      <c r="F1002" s="41"/>
      <c r="G1002" s="80" t="s">
        <v>18</v>
      </c>
      <c r="H1002" s="80" t="s">
        <v>9</v>
      </c>
      <c r="I1002" s="81" t="s">
        <v>345</v>
      </c>
      <c r="J1002" t="s">
        <v>6</v>
      </c>
    </row>
    <row r="1003" spans="3:10" hidden="1">
      <c r="C1003">
        <v>98003</v>
      </c>
      <c r="D1003" t="s">
        <v>49</v>
      </c>
      <c r="E1003" t="s">
        <v>341</v>
      </c>
      <c r="F1003" s="41"/>
      <c r="G1003" s="80" t="s">
        <v>18</v>
      </c>
      <c r="H1003" s="80" t="s">
        <v>9</v>
      </c>
      <c r="I1003" s="81" t="s">
        <v>345</v>
      </c>
      <c r="J1003" t="s">
        <v>6</v>
      </c>
    </row>
    <row r="1004" spans="3:10" hidden="1">
      <c r="C1004">
        <v>98004</v>
      </c>
      <c r="D1004" t="s">
        <v>49</v>
      </c>
      <c r="E1004" t="s">
        <v>346</v>
      </c>
      <c r="F1004" s="41"/>
      <c r="G1004" s="80" t="s">
        <v>18</v>
      </c>
      <c r="H1004" s="80" t="s">
        <v>9</v>
      </c>
      <c r="I1004" s="81" t="s">
        <v>345</v>
      </c>
      <c r="J1004" t="s">
        <v>6</v>
      </c>
    </row>
    <row r="1005" spans="3:10" hidden="1">
      <c r="C1005">
        <v>98005</v>
      </c>
      <c r="D1005" t="s">
        <v>49</v>
      </c>
      <c r="E1005" t="s">
        <v>57</v>
      </c>
      <c r="F1005" s="41"/>
      <c r="G1005" s="80" t="s">
        <v>18</v>
      </c>
      <c r="H1005" s="80" t="s">
        <v>9</v>
      </c>
      <c r="I1005" s="81" t="s">
        <v>345</v>
      </c>
      <c r="J1005" t="s">
        <v>6</v>
      </c>
    </row>
    <row r="1006" spans="3:10" hidden="1">
      <c r="C1006">
        <v>98006</v>
      </c>
      <c r="D1006" t="s">
        <v>58</v>
      </c>
      <c r="E1006" t="s">
        <v>59</v>
      </c>
      <c r="F1006" s="41"/>
      <c r="G1006" s="80" t="s">
        <v>18</v>
      </c>
      <c r="H1006" s="80" t="s">
        <v>9</v>
      </c>
      <c r="I1006" s="81" t="s">
        <v>345</v>
      </c>
      <c r="J1006" t="s">
        <v>6</v>
      </c>
    </row>
    <row r="1007" spans="3:10" hidden="1">
      <c r="C1007">
        <v>99000</v>
      </c>
      <c r="D1007" t="s">
        <v>48</v>
      </c>
      <c r="E1007" t="s">
        <v>347</v>
      </c>
      <c r="F1007" s="41"/>
      <c r="G1007" s="80" t="s">
        <v>18</v>
      </c>
      <c r="H1007" s="80" t="s">
        <v>9</v>
      </c>
      <c r="I1007" s="81" t="s">
        <v>347</v>
      </c>
      <c r="J1007" t="s">
        <v>6</v>
      </c>
    </row>
    <row r="1008" spans="3:10" hidden="1">
      <c r="C1008">
        <v>99001</v>
      </c>
      <c r="D1008" t="s">
        <v>49</v>
      </c>
      <c r="E1008" t="s">
        <v>348</v>
      </c>
      <c r="F1008" s="41"/>
      <c r="G1008" s="80" t="s">
        <v>18</v>
      </c>
      <c r="H1008" s="80" t="s">
        <v>9</v>
      </c>
      <c r="I1008" s="81" t="s">
        <v>347</v>
      </c>
      <c r="J1008" t="s">
        <v>6</v>
      </c>
    </row>
    <row r="1009" spans="3:10" hidden="1">
      <c r="C1009">
        <v>99002</v>
      </c>
      <c r="D1009" t="s">
        <v>49</v>
      </c>
      <c r="E1009" t="s">
        <v>349</v>
      </c>
      <c r="F1009" s="41"/>
      <c r="G1009" s="80" t="s">
        <v>18</v>
      </c>
      <c r="H1009" s="80" t="s">
        <v>9</v>
      </c>
      <c r="I1009" s="81" t="s">
        <v>347</v>
      </c>
      <c r="J1009" t="s">
        <v>6</v>
      </c>
    </row>
    <row r="1010" spans="3:10" hidden="1">
      <c r="C1010">
        <v>99003</v>
      </c>
      <c r="D1010" t="s">
        <v>49</v>
      </c>
      <c r="E1010" t="s">
        <v>350</v>
      </c>
      <c r="F1010" s="41"/>
      <c r="G1010" s="80" t="s">
        <v>18</v>
      </c>
      <c r="H1010" s="80" t="s">
        <v>9</v>
      </c>
      <c r="I1010" s="81" t="s">
        <v>347</v>
      </c>
      <c r="J1010" t="s">
        <v>6</v>
      </c>
    </row>
    <row r="1011" spans="3:10" hidden="1">
      <c r="C1011">
        <v>99004</v>
      </c>
      <c r="D1011" t="s">
        <v>49</v>
      </c>
      <c r="E1011" t="s">
        <v>351</v>
      </c>
      <c r="F1011" s="41"/>
      <c r="G1011" s="80" t="s">
        <v>18</v>
      </c>
      <c r="H1011" s="80" t="s">
        <v>9</v>
      </c>
      <c r="I1011" s="81" t="s">
        <v>347</v>
      </c>
      <c r="J1011" t="s">
        <v>6</v>
      </c>
    </row>
    <row r="1012" spans="3:10" hidden="1">
      <c r="C1012">
        <v>99005</v>
      </c>
      <c r="D1012" t="s">
        <v>49</v>
      </c>
      <c r="E1012" t="s">
        <v>352</v>
      </c>
      <c r="F1012" s="41"/>
      <c r="G1012" s="80" t="s">
        <v>18</v>
      </c>
      <c r="H1012" s="80" t="s">
        <v>9</v>
      </c>
      <c r="I1012" s="81" t="s">
        <v>347</v>
      </c>
      <c r="J1012" t="s">
        <v>6</v>
      </c>
    </row>
    <row r="1013" spans="3:10" hidden="1">
      <c r="C1013">
        <v>99006</v>
      </c>
      <c r="D1013" t="s">
        <v>49</v>
      </c>
      <c r="E1013" t="s">
        <v>353</v>
      </c>
      <c r="F1013" s="41"/>
      <c r="G1013" s="80" t="s">
        <v>18</v>
      </c>
      <c r="H1013" s="80" t="s">
        <v>9</v>
      </c>
      <c r="I1013" s="81" t="s">
        <v>347</v>
      </c>
      <c r="J1013" t="s">
        <v>6</v>
      </c>
    </row>
    <row r="1014" spans="3:10" hidden="1">
      <c r="C1014">
        <v>99007</v>
      </c>
      <c r="D1014" t="s">
        <v>49</v>
      </c>
      <c r="E1014" t="s">
        <v>354</v>
      </c>
      <c r="F1014" s="41"/>
      <c r="G1014" s="80" t="s">
        <v>18</v>
      </c>
      <c r="H1014" s="80" t="s">
        <v>9</v>
      </c>
      <c r="I1014" s="81" t="s">
        <v>347</v>
      </c>
      <c r="J1014" t="s">
        <v>6</v>
      </c>
    </row>
    <row r="1015" spans="3:10" hidden="1">
      <c r="C1015">
        <v>99008</v>
      </c>
      <c r="D1015" t="s">
        <v>49</v>
      </c>
      <c r="E1015" t="s">
        <v>57</v>
      </c>
      <c r="F1015" s="41"/>
      <c r="G1015" s="80" t="s">
        <v>18</v>
      </c>
      <c r="H1015" s="80" t="s">
        <v>9</v>
      </c>
      <c r="I1015" s="81" t="s">
        <v>347</v>
      </c>
      <c r="J1015" t="s">
        <v>6</v>
      </c>
    </row>
    <row r="1016" spans="3:10" hidden="1">
      <c r="C1016">
        <v>99009</v>
      </c>
      <c r="D1016" t="s">
        <v>58</v>
      </c>
      <c r="E1016" t="s">
        <v>59</v>
      </c>
      <c r="F1016" s="41"/>
      <c r="G1016" s="80" t="s">
        <v>18</v>
      </c>
      <c r="H1016" s="80" t="s">
        <v>9</v>
      </c>
      <c r="I1016" s="81" t="s">
        <v>347</v>
      </c>
      <c r="J1016" t="s">
        <v>6</v>
      </c>
    </row>
    <row r="1017" spans="3:10" hidden="1">
      <c r="C1017">
        <v>100000</v>
      </c>
      <c r="D1017" t="s">
        <v>48</v>
      </c>
      <c r="E1017" t="s">
        <v>355</v>
      </c>
      <c r="F1017" s="41"/>
      <c r="G1017" s="80" t="s">
        <v>18</v>
      </c>
      <c r="H1017" s="80" t="s">
        <v>9</v>
      </c>
      <c r="I1017" s="81" t="s">
        <v>355</v>
      </c>
      <c r="J1017" t="s">
        <v>6</v>
      </c>
    </row>
    <row r="1018" spans="3:10" hidden="1">
      <c r="C1018">
        <v>100001</v>
      </c>
      <c r="D1018" t="s">
        <v>49</v>
      </c>
      <c r="E1018" t="s">
        <v>339</v>
      </c>
      <c r="F1018" s="41"/>
      <c r="G1018" s="80" t="s">
        <v>18</v>
      </c>
      <c r="H1018" s="80" t="s">
        <v>9</v>
      </c>
      <c r="I1018" s="81" t="s">
        <v>355</v>
      </c>
      <c r="J1018" t="s">
        <v>6</v>
      </c>
    </row>
    <row r="1019" spans="3:10" hidden="1">
      <c r="C1019">
        <v>100002</v>
      </c>
      <c r="D1019" t="s">
        <v>49</v>
      </c>
      <c r="E1019" t="s">
        <v>265</v>
      </c>
      <c r="F1019" s="41"/>
      <c r="G1019" s="80" t="s">
        <v>18</v>
      </c>
      <c r="H1019" s="80" t="s">
        <v>9</v>
      </c>
      <c r="I1019" s="81" t="s">
        <v>355</v>
      </c>
      <c r="J1019" t="s">
        <v>6</v>
      </c>
    </row>
    <row r="1020" spans="3:10" hidden="1">
      <c r="C1020">
        <v>100003</v>
      </c>
      <c r="D1020" t="s">
        <v>49</v>
      </c>
      <c r="E1020" t="s">
        <v>340</v>
      </c>
      <c r="F1020" s="41"/>
      <c r="G1020" s="80" t="s">
        <v>18</v>
      </c>
      <c r="H1020" s="80" t="s">
        <v>9</v>
      </c>
      <c r="I1020" s="81" t="s">
        <v>355</v>
      </c>
      <c r="J1020" t="s">
        <v>6</v>
      </c>
    </row>
    <row r="1021" spans="3:10" hidden="1">
      <c r="C1021">
        <v>100004</v>
      </c>
      <c r="D1021" t="s">
        <v>49</v>
      </c>
      <c r="E1021" t="s">
        <v>356</v>
      </c>
      <c r="F1021" s="41"/>
      <c r="G1021" s="80" t="s">
        <v>18</v>
      </c>
      <c r="H1021" s="80" t="s">
        <v>9</v>
      </c>
      <c r="I1021" s="81" t="s">
        <v>355</v>
      </c>
      <c r="J1021" t="s">
        <v>6</v>
      </c>
    </row>
    <row r="1022" spans="3:10" hidden="1">
      <c r="C1022">
        <v>100005</v>
      </c>
      <c r="D1022" t="s">
        <v>49</v>
      </c>
      <c r="E1022" t="s">
        <v>357</v>
      </c>
      <c r="F1022" s="41"/>
      <c r="G1022" s="80" t="s">
        <v>18</v>
      </c>
      <c r="H1022" s="80" t="s">
        <v>9</v>
      </c>
      <c r="I1022" s="81" t="s">
        <v>355</v>
      </c>
      <c r="J1022" t="s">
        <v>6</v>
      </c>
    </row>
    <row r="1023" spans="3:10" hidden="1">
      <c r="C1023">
        <v>100006</v>
      </c>
      <c r="D1023" t="s">
        <v>49</v>
      </c>
      <c r="E1023" t="s">
        <v>358</v>
      </c>
      <c r="F1023" s="41"/>
      <c r="G1023" s="80" t="s">
        <v>18</v>
      </c>
      <c r="H1023" s="80" t="s">
        <v>9</v>
      </c>
      <c r="I1023" s="81" t="s">
        <v>355</v>
      </c>
      <c r="J1023" t="s">
        <v>6</v>
      </c>
    </row>
    <row r="1024" spans="3:10" hidden="1">
      <c r="C1024">
        <v>100007</v>
      </c>
      <c r="D1024" t="s">
        <v>49</v>
      </c>
      <c r="E1024" t="s">
        <v>57</v>
      </c>
      <c r="F1024" s="41"/>
      <c r="G1024" s="80" t="s">
        <v>18</v>
      </c>
      <c r="H1024" s="80" t="s">
        <v>9</v>
      </c>
      <c r="I1024" s="81" t="s">
        <v>355</v>
      </c>
      <c r="J1024" t="s">
        <v>6</v>
      </c>
    </row>
    <row r="1025" spans="3:10" hidden="1">
      <c r="C1025">
        <v>100008</v>
      </c>
      <c r="D1025" t="s">
        <v>58</v>
      </c>
      <c r="E1025" t="s">
        <v>59</v>
      </c>
      <c r="F1025" s="41"/>
      <c r="G1025" s="80" t="s">
        <v>18</v>
      </c>
      <c r="H1025" s="80" t="s">
        <v>9</v>
      </c>
      <c r="I1025" s="81" t="s">
        <v>355</v>
      </c>
      <c r="J1025" t="s">
        <v>6</v>
      </c>
    </row>
    <row r="1026" spans="3:10" hidden="1">
      <c r="C1026">
        <v>101000</v>
      </c>
      <c r="D1026" t="s">
        <v>119</v>
      </c>
      <c r="E1026" t="s">
        <v>359</v>
      </c>
      <c r="F1026" s="41"/>
      <c r="G1026" s="80" t="s">
        <v>18</v>
      </c>
      <c r="H1026" s="80" t="s">
        <v>9</v>
      </c>
      <c r="I1026" s="81" t="s">
        <v>359</v>
      </c>
      <c r="J1026" t="s">
        <v>6</v>
      </c>
    </row>
    <row r="1027" spans="3:10" hidden="1">
      <c r="C1027">
        <v>101001</v>
      </c>
      <c r="D1027" t="s">
        <v>120</v>
      </c>
      <c r="E1027" t="s">
        <v>360</v>
      </c>
      <c r="F1027" s="41"/>
      <c r="G1027" s="80" t="s">
        <v>18</v>
      </c>
      <c r="H1027" s="80" t="s">
        <v>9</v>
      </c>
      <c r="I1027" s="81" t="s">
        <v>359</v>
      </c>
      <c r="J1027" t="s">
        <v>6</v>
      </c>
    </row>
    <row r="1028" spans="3:10" hidden="1">
      <c r="C1028">
        <v>101002</v>
      </c>
      <c r="D1028" t="s">
        <v>49</v>
      </c>
      <c r="E1028" t="s">
        <v>1677</v>
      </c>
      <c r="F1028" s="41"/>
      <c r="G1028" s="80" t="s">
        <v>18</v>
      </c>
      <c r="H1028" s="80" t="s">
        <v>9</v>
      </c>
      <c r="I1028" s="81" t="s">
        <v>359</v>
      </c>
      <c r="J1028" t="s">
        <v>6</v>
      </c>
    </row>
    <row r="1029" spans="3:10" hidden="1">
      <c r="C1029">
        <v>101003</v>
      </c>
      <c r="D1029" t="s">
        <v>49</v>
      </c>
      <c r="E1029" t="s">
        <v>1322</v>
      </c>
      <c r="F1029" s="41"/>
      <c r="G1029" s="80" t="s">
        <v>18</v>
      </c>
      <c r="H1029" s="80" t="s">
        <v>9</v>
      </c>
      <c r="I1029" s="81" t="s">
        <v>359</v>
      </c>
      <c r="J1029" t="s">
        <v>6</v>
      </c>
    </row>
    <row r="1030" spans="3:10" hidden="1">
      <c r="C1030">
        <v>101004</v>
      </c>
      <c r="D1030" t="s">
        <v>49</v>
      </c>
      <c r="E1030" t="s">
        <v>1678</v>
      </c>
      <c r="F1030" s="41"/>
      <c r="G1030" s="80" t="s">
        <v>18</v>
      </c>
      <c r="H1030" s="80" t="s">
        <v>9</v>
      </c>
      <c r="I1030" s="81" t="s">
        <v>359</v>
      </c>
      <c r="J1030" t="s">
        <v>6</v>
      </c>
    </row>
    <row r="1031" spans="3:10" hidden="1">
      <c r="C1031">
        <v>101005</v>
      </c>
      <c r="D1031" t="s">
        <v>49</v>
      </c>
      <c r="E1031" t="s">
        <v>1679</v>
      </c>
      <c r="F1031" s="41"/>
      <c r="G1031" s="80" t="s">
        <v>18</v>
      </c>
      <c r="H1031" s="80" t="s">
        <v>9</v>
      </c>
      <c r="I1031" s="81" t="s">
        <v>359</v>
      </c>
      <c r="J1031" t="s">
        <v>6</v>
      </c>
    </row>
    <row r="1032" spans="3:10" hidden="1">
      <c r="C1032">
        <v>101006</v>
      </c>
      <c r="D1032" t="s">
        <v>49</v>
      </c>
      <c r="E1032" t="s">
        <v>1680</v>
      </c>
      <c r="F1032" s="41"/>
      <c r="G1032" s="80" t="s">
        <v>18</v>
      </c>
      <c r="H1032" s="80" t="s">
        <v>9</v>
      </c>
      <c r="I1032" s="81" t="s">
        <v>359</v>
      </c>
      <c r="J1032" t="s">
        <v>6</v>
      </c>
    </row>
    <row r="1033" spans="3:10" hidden="1">
      <c r="C1033">
        <v>101007</v>
      </c>
      <c r="D1033" t="s">
        <v>49</v>
      </c>
      <c r="E1033" t="s">
        <v>365</v>
      </c>
      <c r="F1033" s="41"/>
      <c r="G1033" s="80" t="s">
        <v>18</v>
      </c>
      <c r="H1033" s="80" t="s">
        <v>9</v>
      </c>
      <c r="I1033" s="81" t="s">
        <v>359</v>
      </c>
      <c r="J1033" t="s">
        <v>6</v>
      </c>
    </row>
    <row r="1034" spans="3:10" hidden="1">
      <c r="C1034">
        <v>101008</v>
      </c>
      <c r="D1034" t="s">
        <v>120</v>
      </c>
      <c r="E1034" t="s">
        <v>1681</v>
      </c>
      <c r="F1034" s="41"/>
      <c r="G1034" s="80" t="s">
        <v>18</v>
      </c>
      <c r="H1034" s="80" t="s">
        <v>9</v>
      </c>
      <c r="I1034" s="81" t="s">
        <v>359</v>
      </c>
      <c r="J1034" t="s">
        <v>6</v>
      </c>
    </row>
    <row r="1035" spans="3:10" hidden="1">
      <c r="C1035">
        <v>101009</v>
      </c>
      <c r="D1035" t="s">
        <v>49</v>
      </c>
      <c r="E1035" t="s">
        <v>1324</v>
      </c>
      <c r="F1035" s="41"/>
      <c r="G1035" s="80" t="s">
        <v>18</v>
      </c>
      <c r="H1035" s="80" t="s">
        <v>9</v>
      </c>
      <c r="I1035" s="81" t="s">
        <v>359</v>
      </c>
      <c r="J1035" t="s">
        <v>6</v>
      </c>
    </row>
    <row r="1036" spans="3:10" hidden="1">
      <c r="C1036">
        <v>101010</v>
      </c>
      <c r="D1036" t="s">
        <v>49</v>
      </c>
      <c r="E1036" t="s">
        <v>1682</v>
      </c>
      <c r="F1036" s="41"/>
      <c r="G1036" s="80" t="s">
        <v>18</v>
      </c>
      <c r="H1036" s="80" t="s">
        <v>9</v>
      </c>
      <c r="I1036" s="81" t="s">
        <v>359</v>
      </c>
      <c r="J1036" t="s">
        <v>6</v>
      </c>
    </row>
    <row r="1037" spans="3:10" hidden="1">
      <c r="C1037">
        <v>101011</v>
      </c>
      <c r="D1037" t="s">
        <v>49</v>
      </c>
      <c r="E1037" t="s">
        <v>1683</v>
      </c>
      <c r="F1037" s="41"/>
      <c r="G1037" s="80" t="s">
        <v>18</v>
      </c>
      <c r="H1037" s="80" t="s">
        <v>9</v>
      </c>
      <c r="I1037" s="81" t="s">
        <v>359</v>
      </c>
      <c r="J1037" t="s">
        <v>6</v>
      </c>
    </row>
    <row r="1038" spans="3:10" hidden="1">
      <c r="C1038">
        <v>101012</v>
      </c>
      <c r="D1038" t="s">
        <v>49</v>
      </c>
      <c r="E1038" t="s">
        <v>364</v>
      </c>
      <c r="F1038" s="41"/>
      <c r="G1038" s="80" t="s">
        <v>18</v>
      </c>
      <c r="H1038" s="80" t="s">
        <v>9</v>
      </c>
      <c r="I1038" s="81" t="s">
        <v>359</v>
      </c>
      <c r="J1038" t="s">
        <v>6</v>
      </c>
    </row>
    <row r="1039" spans="3:10" hidden="1">
      <c r="C1039">
        <v>101013</v>
      </c>
      <c r="D1039" t="s">
        <v>120</v>
      </c>
      <c r="E1039" t="s">
        <v>1326</v>
      </c>
      <c r="F1039" s="41"/>
      <c r="G1039" s="80" t="s">
        <v>18</v>
      </c>
      <c r="H1039" s="80" t="s">
        <v>9</v>
      </c>
      <c r="I1039" s="81" t="s">
        <v>359</v>
      </c>
      <c r="J1039" t="s">
        <v>6</v>
      </c>
    </row>
    <row r="1040" spans="3:10" hidden="1">
      <c r="C1040">
        <v>101014</v>
      </c>
      <c r="D1040" t="s">
        <v>49</v>
      </c>
      <c r="E1040" t="s">
        <v>1684</v>
      </c>
      <c r="F1040" s="41"/>
      <c r="G1040" s="80" t="s">
        <v>18</v>
      </c>
      <c r="H1040" s="80" t="s">
        <v>9</v>
      </c>
      <c r="I1040" s="81" t="s">
        <v>359</v>
      </c>
      <c r="J1040" t="s">
        <v>6</v>
      </c>
    </row>
    <row r="1041" spans="3:10" hidden="1">
      <c r="C1041">
        <v>101015</v>
      </c>
      <c r="D1041" t="s">
        <v>49</v>
      </c>
      <c r="E1041" t="s">
        <v>1685</v>
      </c>
      <c r="F1041" s="41"/>
      <c r="G1041" s="80" t="s">
        <v>18</v>
      </c>
      <c r="H1041" s="80" t="s">
        <v>9</v>
      </c>
      <c r="I1041" s="81" t="s">
        <v>359</v>
      </c>
      <c r="J1041" t="s">
        <v>6</v>
      </c>
    </row>
    <row r="1042" spans="3:10" hidden="1">
      <c r="C1042">
        <v>101016</v>
      </c>
      <c r="D1042" t="s">
        <v>49</v>
      </c>
      <c r="E1042" t="s">
        <v>1686</v>
      </c>
      <c r="F1042" s="41"/>
      <c r="G1042" s="80" t="s">
        <v>18</v>
      </c>
      <c r="H1042" s="80" t="s">
        <v>9</v>
      </c>
      <c r="I1042" s="81" t="s">
        <v>359</v>
      </c>
      <c r="J1042" t="s">
        <v>6</v>
      </c>
    </row>
    <row r="1043" spans="3:10" hidden="1">
      <c r="C1043">
        <v>101017</v>
      </c>
      <c r="D1043" t="s">
        <v>58</v>
      </c>
      <c r="E1043" t="s">
        <v>59</v>
      </c>
      <c r="F1043" s="41"/>
      <c r="G1043" s="80" t="s">
        <v>18</v>
      </c>
      <c r="H1043" s="80" t="s">
        <v>9</v>
      </c>
      <c r="I1043" s="81" t="s">
        <v>359</v>
      </c>
      <c r="J1043" t="s">
        <v>6</v>
      </c>
    </row>
    <row r="1044" spans="3:10" hidden="1">
      <c r="C1044">
        <v>101018</v>
      </c>
      <c r="D1044" t="s">
        <v>120</v>
      </c>
      <c r="E1044" t="s">
        <v>1330</v>
      </c>
      <c r="F1044" s="41"/>
      <c r="G1044" s="80" t="s">
        <v>18</v>
      </c>
      <c r="H1044" s="80" t="s">
        <v>9</v>
      </c>
      <c r="I1044" s="81" t="s">
        <v>359</v>
      </c>
      <c r="J1044" t="s">
        <v>6</v>
      </c>
    </row>
    <row r="1045" spans="3:10" hidden="1">
      <c r="C1045">
        <v>101019</v>
      </c>
      <c r="D1045" t="s">
        <v>49</v>
      </c>
      <c r="E1045" t="s">
        <v>1687</v>
      </c>
      <c r="F1045" s="41"/>
      <c r="G1045" s="80" t="s">
        <v>18</v>
      </c>
      <c r="H1045" s="80" t="s">
        <v>9</v>
      </c>
      <c r="I1045" s="81" t="s">
        <v>359</v>
      </c>
      <c r="J1045" t="s">
        <v>6</v>
      </c>
    </row>
    <row r="1046" spans="3:10" hidden="1">
      <c r="C1046">
        <v>101020</v>
      </c>
      <c r="D1046" t="s">
        <v>49</v>
      </c>
      <c r="E1046" t="s">
        <v>1688</v>
      </c>
      <c r="F1046" s="41"/>
      <c r="G1046" s="80" t="s">
        <v>18</v>
      </c>
      <c r="H1046" s="80" t="s">
        <v>9</v>
      </c>
      <c r="I1046" s="81" t="s">
        <v>359</v>
      </c>
      <c r="J1046" t="s">
        <v>6</v>
      </c>
    </row>
    <row r="1047" spans="3:10" hidden="1">
      <c r="C1047">
        <v>101021</v>
      </c>
      <c r="D1047" t="s">
        <v>49</v>
      </c>
      <c r="E1047" t="s">
        <v>1689</v>
      </c>
      <c r="F1047" s="41"/>
      <c r="G1047" s="80" t="s">
        <v>18</v>
      </c>
      <c r="H1047" s="80" t="s">
        <v>9</v>
      </c>
      <c r="I1047" s="81" t="s">
        <v>359</v>
      </c>
      <c r="J1047" t="s">
        <v>6</v>
      </c>
    </row>
    <row r="1048" spans="3:10" hidden="1">
      <c r="C1048">
        <v>101022</v>
      </c>
      <c r="D1048" t="s">
        <v>49</v>
      </c>
      <c r="E1048" t="s">
        <v>1690</v>
      </c>
      <c r="F1048" s="41"/>
      <c r="G1048" s="80" t="s">
        <v>18</v>
      </c>
      <c r="H1048" s="80" t="s">
        <v>9</v>
      </c>
      <c r="I1048" s="81" t="s">
        <v>359</v>
      </c>
      <c r="J1048" t="s">
        <v>6</v>
      </c>
    </row>
    <row r="1049" spans="3:10" hidden="1">
      <c r="C1049">
        <v>101023</v>
      </c>
      <c r="D1049" t="s">
        <v>49</v>
      </c>
      <c r="E1049" t="s">
        <v>1691</v>
      </c>
      <c r="F1049" s="41"/>
      <c r="G1049" s="80" t="s">
        <v>18</v>
      </c>
      <c r="H1049" s="80" t="s">
        <v>9</v>
      </c>
      <c r="I1049" s="81" t="s">
        <v>359</v>
      </c>
      <c r="J1049" t="s">
        <v>6</v>
      </c>
    </row>
    <row r="1050" spans="3:10" hidden="1">
      <c r="C1050">
        <v>101024</v>
      </c>
      <c r="D1050" t="s">
        <v>49</v>
      </c>
      <c r="E1050" t="s">
        <v>1334</v>
      </c>
      <c r="F1050" s="41"/>
      <c r="G1050" s="80" t="s">
        <v>18</v>
      </c>
      <c r="H1050" s="80" t="s">
        <v>9</v>
      </c>
      <c r="I1050" s="81" t="s">
        <v>359</v>
      </c>
      <c r="J1050" t="s">
        <v>6</v>
      </c>
    </row>
    <row r="1051" spans="3:10" hidden="1">
      <c r="C1051">
        <v>101025</v>
      </c>
      <c r="D1051" t="s">
        <v>49</v>
      </c>
      <c r="E1051" t="s">
        <v>1692</v>
      </c>
      <c r="F1051" s="41"/>
      <c r="G1051" s="80" t="s">
        <v>18</v>
      </c>
      <c r="H1051" s="80" t="s">
        <v>9</v>
      </c>
      <c r="I1051" s="81" t="s">
        <v>359</v>
      </c>
      <c r="J1051" t="s">
        <v>6</v>
      </c>
    </row>
    <row r="1052" spans="3:10" hidden="1">
      <c r="C1052">
        <v>101026</v>
      </c>
      <c r="D1052" t="s">
        <v>49</v>
      </c>
      <c r="E1052" t="s">
        <v>1693</v>
      </c>
      <c r="F1052" s="41"/>
      <c r="G1052" s="80" t="s">
        <v>18</v>
      </c>
      <c r="H1052" s="80" t="s">
        <v>9</v>
      </c>
      <c r="I1052" s="81" t="s">
        <v>359</v>
      </c>
      <c r="J1052" t="s">
        <v>6</v>
      </c>
    </row>
    <row r="1053" spans="3:10" hidden="1">
      <c r="C1053">
        <v>101027</v>
      </c>
      <c r="D1053" t="s">
        <v>58</v>
      </c>
      <c r="E1053" t="s">
        <v>59</v>
      </c>
      <c r="F1053" s="41"/>
      <c r="G1053" s="80" t="s">
        <v>18</v>
      </c>
      <c r="H1053" s="80" t="s">
        <v>9</v>
      </c>
      <c r="I1053" s="81" t="s">
        <v>359</v>
      </c>
      <c r="J1053" t="s">
        <v>6</v>
      </c>
    </row>
    <row r="1054" spans="3:10" hidden="1">
      <c r="C1054">
        <v>102000</v>
      </c>
      <c r="D1054" t="s">
        <v>119</v>
      </c>
      <c r="E1054" t="s">
        <v>372</v>
      </c>
      <c r="F1054" s="41"/>
      <c r="G1054" s="80" t="s">
        <v>18</v>
      </c>
      <c r="H1054" s="80" t="s">
        <v>9</v>
      </c>
      <c r="I1054" s="81" t="s">
        <v>372</v>
      </c>
      <c r="J1054" t="s">
        <v>6</v>
      </c>
    </row>
    <row r="1055" spans="3:10" hidden="1">
      <c r="C1055">
        <v>102001</v>
      </c>
      <c r="D1055" t="s">
        <v>120</v>
      </c>
      <c r="E1055" t="s">
        <v>360</v>
      </c>
      <c r="F1055" s="41"/>
      <c r="G1055" s="80" t="s">
        <v>18</v>
      </c>
      <c r="H1055" s="80" t="s">
        <v>9</v>
      </c>
      <c r="I1055" s="81" t="s">
        <v>372</v>
      </c>
      <c r="J1055" t="s">
        <v>6</v>
      </c>
    </row>
    <row r="1056" spans="3:10" hidden="1">
      <c r="C1056">
        <v>102002</v>
      </c>
      <c r="D1056" t="s">
        <v>49</v>
      </c>
      <c r="E1056" t="s">
        <v>373</v>
      </c>
      <c r="F1056" s="41"/>
      <c r="G1056" s="80" t="s">
        <v>18</v>
      </c>
      <c r="H1056" s="80" t="s">
        <v>9</v>
      </c>
      <c r="I1056" s="81" t="s">
        <v>372</v>
      </c>
      <c r="J1056" t="s">
        <v>6</v>
      </c>
    </row>
    <row r="1057" spans="3:10" hidden="1">
      <c r="C1057">
        <v>102003</v>
      </c>
      <c r="D1057" t="s">
        <v>49</v>
      </c>
      <c r="E1057" t="s">
        <v>374</v>
      </c>
      <c r="F1057" s="41"/>
      <c r="G1057" s="80" t="s">
        <v>18</v>
      </c>
      <c r="H1057" s="80" t="s">
        <v>9</v>
      </c>
      <c r="I1057" s="81" t="s">
        <v>372</v>
      </c>
      <c r="J1057" t="s">
        <v>6</v>
      </c>
    </row>
    <row r="1058" spans="3:10" hidden="1">
      <c r="C1058">
        <v>102004</v>
      </c>
      <c r="D1058" t="s">
        <v>120</v>
      </c>
      <c r="E1058" t="s">
        <v>366</v>
      </c>
      <c r="F1058" s="41"/>
      <c r="G1058" s="80" t="s">
        <v>18</v>
      </c>
      <c r="H1058" s="80" t="s">
        <v>9</v>
      </c>
      <c r="I1058" s="81" t="s">
        <v>372</v>
      </c>
      <c r="J1058" t="s">
        <v>6</v>
      </c>
    </row>
    <row r="1059" spans="3:10" hidden="1">
      <c r="C1059">
        <v>102005</v>
      </c>
      <c r="D1059" t="s">
        <v>49</v>
      </c>
      <c r="E1059" t="s">
        <v>375</v>
      </c>
      <c r="F1059" s="41"/>
      <c r="G1059" s="80" t="s">
        <v>18</v>
      </c>
      <c r="H1059" s="80" t="s">
        <v>9</v>
      </c>
      <c r="I1059" s="81" t="s">
        <v>372</v>
      </c>
      <c r="J1059" t="s">
        <v>6</v>
      </c>
    </row>
    <row r="1060" spans="3:10" hidden="1">
      <c r="C1060">
        <v>102006</v>
      </c>
      <c r="D1060" t="s">
        <v>49</v>
      </c>
      <c r="E1060" t="s">
        <v>376</v>
      </c>
      <c r="F1060" s="41"/>
      <c r="G1060" s="80" t="s">
        <v>18</v>
      </c>
      <c r="H1060" s="80" t="s">
        <v>9</v>
      </c>
      <c r="I1060" s="81" t="s">
        <v>372</v>
      </c>
      <c r="J1060" t="s">
        <v>6</v>
      </c>
    </row>
    <row r="1061" spans="3:10" hidden="1">
      <c r="C1061">
        <v>102007</v>
      </c>
      <c r="D1061" t="s">
        <v>49</v>
      </c>
      <c r="E1061" t="s">
        <v>377</v>
      </c>
      <c r="F1061" s="41"/>
      <c r="G1061" s="80" t="s">
        <v>18</v>
      </c>
      <c r="H1061" s="80" t="s">
        <v>9</v>
      </c>
      <c r="I1061" s="81" t="s">
        <v>372</v>
      </c>
      <c r="J1061" t="s">
        <v>6</v>
      </c>
    </row>
    <row r="1062" spans="3:10" hidden="1">
      <c r="C1062">
        <v>102008</v>
      </c>
      <c r="D1062" t="s">
        <v>49</v>
      </c>
      <c r="E1062" t="s">
        <v>1694</v>
      </c>
      <c r="F1062" s="41"/>
      <c r="G1062" s="80" t="s">
        <v>18</v>
      </c>
      <c r="H1062" s="80" t="s">
        <v>9</v>
      </c>
      <c r="I1062" s="81" t="s">
        <v>372</v>
      </c>
      <c r="J1062" t="s">
        <v>6</v>
      </c>
    </row>
    <row r="1063" spans="3:10" hidden="1">
      <c r="C1063">
        <v>102009</v>
      </c>
      <c r="D1063" t="s">
        <v>49</v>
      </c>
      <c r="E1063" t="s">
        <v>379</v>
      </c>
      <c r="F1063" s="41"/>
      <c r="G1063" s="80" t="s">
        <v>18</v>
      </c>
      <c r="H1063" s="80" t="s">
        <v>9</v>
      </c>
      <c r="I1063" s="81" t="s">
        <v>372</v>
      </c>
      <c r="J1063" t="s">
        <v>6</v>
      </c>
    </row>
    <row r="1064" spans="3:10" hidden="1">
      <c r="C1064">
        <v>102010</v>
      </c>
      <c r="D1064" t="s">
        <v>49</v>
      </c>
      <c r="E1064" t="s">
        <v>380</v>
      </c>
      <c r="F1064" s="41"/>
      <c r="G1064" s="80" t="s">
        <v>18</v>
      </c>
      <c r="H1064" s="80" t="s">
        <v>9</v>
      </c>
      <c r="I1064" s="81" t="s">
        <v>372</v>
      </c>
      <c r="J1064" t="s">
        <v>6</v>
      </c>
    </row>
    <row r="1065" spans="3:10" hidden="1">
      <c r="C1065">
        <v>102011</v>
      </c>
      <c r="D1065" t="s">
        <v>49</v>
      </c>
      <c r="E1065" t="s">
        <v>57</v>
      </c>
      <c r="F1065" s="41"/>
      <c r="G1065" s="80" t="s">
        <v>18</v>
      </c>
      <c r="H1065" s="80" t="s">
        <v>9</v>
      </c>
      <c r="I1065" s="81" t="s">
        <v>372</v>
      </c>
      <c r="J1065" t="s">
        <v>6</v>
      </c>
    </row>
    <row r="1066" spans="3:10" hidden="1">
      <c r="C1066">
        <v>102012</v>
      </c>
      <c r="D1066" t="s">
        <v>58</v>
      </c>
      <c r="E1066" t="s">
        <v>59</v>
      </c>
      <c r="F1066" s="41"/>
      <c r="G1066" s="80" t="s">
        <v>18</v>
      </c>
      <c r="H1066" s="80" t="s">
        <v>9</v>
      </c>
      <c r="I1066" s="81" t="s">
        <v>372</v>
      </c>
      <c r="J1066" t="s">
        <v>6</v>
      </c>
    </row>
    <row r="1067" spans="3:10" hidden="1">
      <c r="C1067">
        <v>103000</v>
      </c>
      <c r="D1067" t="s">
        <v>48</v>
      </c>
      <c r="E1067" t="s">
        <v>381</v>
      </c>
      <c r="F1067" s="41"/>
      <c r="G1067" s="80" t="s">
        <v>18</v>
      </c>
      <c r="H1067" s="80" t="s">
        <v>9</v>
      </c>
      <c r="I1067" s="81" t="s">
        <v>381</v>
      </c>
      <c r="J1067" t="s">
        <v>6</v>
      </c>
    </row>
    <row r="1068" spans="3:10" hidden="1">
      <c r="C1068">
        <v>103001</v>
      </c>
      <c r="D1068" t="s">
        <v>49</v>
      </c>
      <c r="E1068" t="s">
        <v>382</v>
      </c>
      <c r="F1068" s="41"/>
      <c r="G1068" s="80" t="s">
        <v>18</v>
      </c>
      <c r="H1068" s="80" t="s">
        <v>9</v>
      </c>
      <c r="I1068" s="81" t="s">
        <v>381</v>
      </c>
      <c r="J1068" t="s">
        <v>6</v>
      </c>
    </row>
    <row r="1069" spans="3:10" hidden="1">
      <c r="C1069">
        <v>103002</v>
      </c>
      <c r="D1069" t="s">
        <v>49</v>
      </c>
      <c r="E1069" t="s">
        <v>383</v>
      </c>
      <c r="F1069" s="41"/>
      <c r="G1069" s="80" t="s">
        <v>18</v>
      </c>
      <c r="H1069" s="80" t="s">
        <v>9</v>
      </c>
      <c r="I1069" s="81" t="s">
        <v>381</v>
      </c>
      <c r="J1069" t="s">
        <v>6</v>
      </c>
    </row>
    <row r="1070" spans="3:10" hidden="1">
      <c r="C1070">
        <v>103003</v>
      </c>
      <c r="D1070" t="s">
        <v>49</v>
      </c>
      <c r="E1070" t="s">
        <v>384</v>
      </c>
      <c r="F1070" s="41"/>
      <c r="G1070" s="80" t="s">
        <v>18</v>
      </c>
      <c r="H1070" s="80" t="s">
        <v>9</v>
      </c>
      <c r="I1070" s="81" t="s">
        <v>381</v>
      </c>
      <c r="J1070" t="s">
        <v>6</v>
      </c>
    </row>
    <row r="1071" spans="3:10" hidden="1">
      <c r="C1071">
        <v>103004</v>
      </c>
      <c r="D1071" t="s">
        <v>49</v>
      </c>
      <c r="E1071" t="s">
        <v>385</v>
      </c>
      <c r="F1071" s="41"/>
      <c r="G1071" s="80" t="s">
        <v>18</v>
      </c>
      <c r="H1071" s="80" t="s">
        <v>9</v>
      </c>
      <c r="I1071" s="81" t="s">
        <v>381</v>
      </c>
      <c r="J1071" t="s">
        <v>6</v>
      </c>
    </row>
    <row r="1072" spans="3:10" hidden="1">
      <c r="C1072">
        <v>103005</v>
      </c>
      <c r="D1072" t="s">
        <v>49</v>
      </c>
      <c r="E1072" t="s">
        <v>386</v>
      </c>
      <c r="F1072" s="41"/>
      <c r="G1072" s="80" t="s">
        <v>18</v>
      </c>
      <c r="H1072" s="80" t="s">
        <v>9</v>
      </c>
      <c r="I1072" s="81" t="s">
        <v>381</v>
      </c>
      <c r="J1072" t="s">
        <v>6</v>
      </c>
    </row>
    <row r="1073" spans="3:10" hidden="1">
      <c r="C1073">
        <v>103006</v>
      </c>
      <c r="D1073" t="s">
        <v>49</v>
      </c>
      <c r="E1073" t="s">
        <v>387</v>
      </c>
      <c r="F1073" s="41"/>
      <c r="G1073" s="80" t="s">
        <v>18</v>
      </c>
      <c r="H1073" s="80" t="s">
        <v>9</v>
      </c>
      <c r="I1073" s="81" t="s">
        <v>381</v>
      </c>
      <c r="J1073" t="s">
        <v>6</v>
      </c>
    </row>
    <row r="1074" spans="3:10" hidden="1">
      <c r="C1074">
        <v>103007</v>
      </c>
      <c r="D1074" t="s">
        <v>49</v>
      </c>
      <c r="E1074" t="s">
        <v>388</v>
      </c>
      <c r="F1074" s="41"/>
      <c r="G1074" s="80" t="s">
        <v>18</v>
      </c>
      <c r="H1074" s="80" t="s">
        <v>9</v>
      </c>
      <c r="I1074" s="81" t="s">
        <v>381</v>
      </c>
      <c r="J1074" t="s">
        <v>6</v>
      </c>
    </row>
    <row r="1075" spans="3:10" hidden="1">
      <c r="C1075">
        <v>103008</v>
      </c>
      <c r="D1075" t="s">
        <v>49</v>
      </c>
      <c r="E1075" t="s">
        <v>389</v>
      </c>
      <c r="F1075" s="41"/>
      <c r="G1075" s="80" t="s">
        <v>18</v>
      </c>
      <c r="H1075" s="80" t="s">
        <v>9</v>
      </c>
      <c r="I1075" s="81" t="s">
        <v>381</v>
      </c>
      <c r="J1075" t="s">
        <v>6</v>
      </c>
    </row>
    <row r="1076" spans="3:10" hidden="1">
      <c r="C1076">
        <v>103009</v>
      </c>
      <c r="D1076" t="s">
        <v>49</v>
      </c>
      <c r="E1076" t="s">
        <v>390</v>
      </c>
      <c r="F1076" s="41"/>
      <c r="G1076" s="80" t="s">
        <v>18</v>
      </c>
      <c r="H1076" s="80" t="s">
        <v>9</v>
      </c>
      <c r="I1076" s="81" t="s">
        <v>381</v>
      </c>
      <c r="J1076" t="s">
        <v>6</v>
      </c>
    </row>
    <row r="1077" spans="3:10" hidden="1">
      <c r="C1077">
        <v>103010</v>
      </c>
      <c r="D1077" t="s">
        <v>49</v>
      </c>
      <c r="E1077" t="s">
        <v>391</v>
      </c>
      <c r="F1077" s="41"/>
      <c r="G1077" s="80" t="s">
        <v>18</v>
      </c>
      <c r="H1077" s="80" t="s">
        <v>9</v>
      </c>
      <c r="I1077" s="81" t="s">
        <v>381</v>
      </c>
      <c r="J1077" t="s">
        <v>6</v>
      </c>
    </row>
    <row r="1078" spans="3:10" hidden="1">
      <c r="C1078">
        <v>103011</v>
      </c>
      <c r="D1078" t="s">
        <v>49</v>
      </c>
      <c r="E1078" t="s">
        <v>392</v>
      </c>
      <c r="F1078" s="41"/>
      <c r="G1078" s="80" t="s">
        <v>18</v>
      </c>
      <c r="H1078" s="80" t="s">
        <v>9</v>
      </c>
      <c r="I1078" s="81" t="s">
        <v>381</v>
      </c>
      <c r="J1078" t="s">
        <v>6</v>
      </c>
    </row>
    <row r="1079" spans="3:10" hidden="1">
      <c r="C1079">
        <v>103012</v>
      </c>
      <c r="D1079" t="s">
        <v>49</v>
      </c>
      <c r="E1079" t="s">
        <v>393</v>
      </c>
      <c r="F1079" s="41"/>
      <c r="G1079" s="80" t="s">
        <v>18</v>
      </c>
      <c r="H1079" s="80" t="s">
        <v>9</v>
      </c>
      <c r="I1079" s="81" t="s">
        <v>381</v>
      </c>
      <c r="J1079" t="s">
        <v>6</v>
      </c>
    </row>
    <row r="1080" spans="3:10" hidden="1">
      <c r="C1080">
        <v>103013</v>
      </c>
      <c r="D1080" t="s">
        <v>49</v>
      </c>
      <c r="E1080" t="s">
        <v>57</v>
      </c>
      <c r="F1080" s="41"/>
      <c r="G1080" s="80" t="s">
        <v>18</v>
      </c>
      <c r="H1080" s="80" t="s">
        <v>9</v>
      </c>
      <c r="I1080" s="81" t="s">
        <v>381</v>
      </c>
      <c r="J1080" t="s">
        <v>6</v>
      </c>
    </row>
    <row r="1081" spans="3:10" hidden="1">
      <c r="C1081">
        <v>103014</v>
      </c>
      <c r="D1081" t="s">
        <v>58</v>
      </c>
      <c r="E1081" t="s">
        <v>59</v>
      </c>
      <c r="F1081" s="41"/>
      <c r="G1081" s="80" t="s">
        <v>18</v>
      </c>
      <c r="H1081" s="80" t="s">
        <v>9</v>
      </c>
      <c r="I1081" s="81" t="s">
        <v>381</v>
      </c>
      <c r="J1081" t="s">
        <v>6</v>
      </c>
    </row>
    <row r="1082" spans="3:10" hidden="1">
      <c r="C1082">
        <v>104000</v>
      </c>
      <c r="D1082" t="s">
        <v>48</v>
      </c>
      <c r="E1082" t="s">
        <v>394</v>
      </c>
      <c r="F1082" s="41"/>
      <c r="G1082" s="80" t="s">
        <v>18</v>
      </c>
      <c r="H1082" s="80" t="s">
        <v>9</v>
      </c>
      <c r="I1082" s="81" t="s">
        <v>394</v>
      </c>
      <c r="J1082" t="s">
        <v>6</v>
      </c>
    </row>
    <row r="1083" spans="3:10" hidden="1">
      <c r="C1083">
        <v>104001</v>
      </c>
      <c r="D1083" t="s">
        <v>49</v>
      </c>
      <c r="E1083" t="s">
        <v>361</v>
      </c>
      <c r="F1083" s="41"/>
      <c r="G1083" s="80" t="s">
        <v>18</v>
      </c>
      <c r="H1083" s="80" t="s">
        <v>9</v>
      </c>
      <c r="I1083" s="81" t="s">
        <v>394</v>
      </c>
      <c r="J1083" t="s">
        <v>6</v>
      </c>
    </row>
    <row r="1084" spans="3:10" hidden="1">
      <c r="C1084">
        <v>104002</v>
      </c>
      <c r="D1084" t="s">
        <v>49</v>
      </c>
      <c r="E1084" t="s">
        <v>395</v>
      </c>
      <c r="F1084" s="41"/>
      <c r="G1084" s="80" t="s">
        <v>18</v>
      </c>
      <c r="H1084" s="80" t="s">
        <v>9</v>
      </c>
      <c r="I1084" s="81" t="s">
        <v>394</v>
      </c>
      <c r="J1084" t="s">
        <v>6</v>
      </c>
    </row>
    <row r="1085" spans="3:10" hidden="1">
      <c r="C1085">
        <v>104003</v>
      </c>
      <c r="D1085" t="s">
        <v>49</v>
      </c>
      <c r="E1085" t="s">
        <v>396</v>
      </c>
      <c r="F1085" s="41"/>
      <c r="G1085" s="80" t="s">
        <v>18</v>
      </c>
      <c r="H1085" s="80" t="s">
        <v>9</v>
      </c>
      <c r="I1085" s="81" t="s">
        <v>394</v>
      </c>
      <c r="J1085" t="s">
        <v>6</v>
      </c>
    </row>
    <row r="1086" spans="3:10" hidden="1">
      <c r="C1086">
        <v>104004</v>
      </c>
      <c r="D1086" t="s">
        <v>49</v>
      </c>
      <c r="E1086" t="s">
        <v>397</v>
      </c>
      <c r="F1086" s="41"/>
      <c r="G1086" s="80" t="s">
        <v>18</v>
      </c>
      <c r="H1086" s="80" t="s">
        <v>9</v>
      </c>
      <c r="I1086" s="81" t="s">
        <v>394</v>
      </c>
      <c r="J1086" t="s">
        <v>6</v>
      </c>
    </row>
    <row r="1087" spans="3:10" hidden="1">
      <c r="C1087">
        <v>104005</v>
      </c>
      <c r="D1087" t="s">
        <v>49</v>
      </c>
      <c r="E1087" t="s">
        <v>398</v>
      </c>
      <c r="F1087" s="41"/>
      <c r="G1087" s="80" t="s">
        <v>18</v>
      </c>
      <c r="H1087" s="80" t="s">
        <v>9</v>
      </c>
      <c r="I1087" s="81" t="s">
        <v>394</v>
      </c>
      <c r="J1087" t="s">
        <v>6</v>
      </c>
    </row>
    <row r="1088" spans="3:10" hidden="1">
      <c r="C1088">
        <v>104006</v>
      </c>
      <c r="D1088" t="s">
        <v>49</v>
      </c>
      <c r="E1088" t="s">
        <v>399</v>
      </c>
      <c r="F1088" s="41"/>
      <c r="G1088" s="80" t="s">
        <v>18</v>
      </c>
      <c r="H1088" s="80" t="s">
        <v>9</v>
      </c>
      <c r="I1088" s="81" t="s">
        <v>394</v>
      </c>
      <c r="J1088" t="s">
        <v>6</v>
      </c>
    </row>
    <row r="1089" spans="3:10" hidden="1">
      <c r="C1089">
        <v>104007</v>
      </c>
      <c r="D1089" t="s">
        <v>49</v>
      </c>
      <c r="E1089" t="s">
        <v>57</v>
      </c>
      <c r="F1089" s="41"/>
      <c r="G1089" s="80" t="s">
        <v>18</v>
      </c>
      <c r="H1089" s="80" t="s">
        <v>9</v>
      </c>
      <c r="I1089" s="81" t="s">
        <v>394</v>
      </c>
      <c r="J1089" t="s">
        <v>6</v>
      </c>
    </row>
    <row r="1090" spans="3:10" hidden="1">
      <c r="C1090">
        <v>104008</v>
      </c>
      <c r="D1090" t="s">
        <v>58</v>
      </c>
      <c r="E1090" t="s">
        <v>59</v>
      </c>
      <c r="F1090" s="41"/>
      <c r="G1090" s="80" t="s">
        <v>18</v>
      </c>
      <c r="H1090" s="80" t="s">
        <v>9</v>
      </c>
      <c r="I1090" s="81" t="s">
        <v>394</v>
      </c>
      <c r="J1090" t="s">
        <v>6</v>
      </c>
    </row>
    <row r="1091" spans="3:10" hidden="1">
      <c r="C1091">
        <v>105000</v>
      </c>
      <c r="D1091" t="s">
        <v>119</v>
      </c>
      <c r="E1091" t="s">
        <v>400</v>
      </c>
      <c r="F1091" s="41"/>
      <c r="G1091" s="80" t="s">
        <v>18</v>
      </c>
      <c r="H1091" s="80" t="s">
        <v>9</v>
      </c>
      <c r="I1091" s="81" t="s">
        <v>400</v>
      </c>
      <c r="J1091" t="s">
        <v>6</v>
      </c>
    </row>
    <row r="1092" spans="3:10" hidden="1">
      <c r="C1092">
        <v>105001</v>
      </c>
      <c r="D1092" t="s">
        <v>120</v>
      </c>
      <c r="E1092" t="s">
        <v>360</v>
      </c>
      <c r="F1092" s="41"/>
      <c r="G1092" s="80" t="s">
        <v>18</v>
      </c>
      <c r="H1092" s="80" t="s">
        <v>9</v>
      </c>
      <c r="I1092" s="81" t="s">
        <v>400</v>
      </c>
      <c r="J1092" t="s">
        <v>6</v>
      </c>
    </row>
    <row r="1093" spans="3:10" hidden="1">
      <c r="C1093">
        <v>105002</v>
      </c>
      <c r="D1093" t="s">
        <v>49</v>
      </c>
      <c r="E1093" t="s">
        <v>373</v>
      </c>
      <c r="F1093" s="41"/>
      <c r="G1093" s="80" t="s">
        <v>18</v>
      </c>
      <c r="H1093" s="80" t="s">
        <v>9</v>
      </c>
      <c r="I1093" s="81" t="s">
        <v>400</v>
      </c>
      <c r="J1093" t="s">
        <v>6</v>
      </c>
    </row>
    <row r="1094" spans="3:10" hidden="1">
      <c r="C1094">
        <v>105003</v>
      </c>
      <c r="D1094" t="s">
        <v>49</v>
      </c>
      <c r="E1094" t="s">
        <v>374</v>
      </c>
      <c r="F1094" s="41"/>
      <c r="G1094" s="80" t="s">
        <v>18</v>
      </c>
      <c r="H1094" s="80" t="s">
        <v>9</v>
      </c>
      <c r="I1094" s="81" t="s">
        <v>400</v>
      </c>
      <c r="J1094" t="s">
        <v>6</v>
      </c>
    </row>
    <row r="1095" spans="3:10" hidden="1">
      <c r="C1095">
        <v>105004</v>
      </c>
      <c r="D1095" t="s">
        <v>120</v>
      </c>
      <c r="E1095" t="s">
        <v>366</v>
      </c>
      <c r="F1095" s="41"/>
      <c r="G1095" s="80" t="s">
        <v>18</v>
      </c>
      <c r="H1095" s="80" t="s">
        <v>9</v>
      </c>
      <c r="I1095" s="81" t="s">
        <v>400</v>
      </c>
      <c r="J1095" t="s">
        <v>6</v>
      </c>
    </row>
    <row r="1096" spans="3:10" hidden="1">
      <c r="C1096">
        <v>105005</v>
      </c>
      <c r="D1096" t="s">
        <v>49</v>
      </c>
      <c r="E1096" t="s">
        <v>375</v>
      </c>
      <c r="F1096" s="41"/>
      <c r="G1096" s="80" t="s">
        <v>18</v>
      </c>
      <c r="H1096" s="80" t="s">
        <v>9</v>
      </c>
      <c r="I1096" s="81" t="s">
        <v>400</v>
      </c>
      <c r="J1096" t="s">
        <v>6</v>
      </c>
    </row>
    <row r="1097" spans="3:10" hidden="1">
      <c r="C1097">
        <v>105006</v>
      </c>
      <c r="D1097" t="s">
        <v>49</v>
      </c>
      <c r="E1097" t="s">
        <v>376</v>
      </c>
      <c r="F1097" s="41"/>
      <c r="G1097" s="80" t="s">
        <v>18</v>
      </c>
      <c r="H1097" s="80" t="s">
        <v>9</v>
      </c>
      <c r="I1097" s="81" t="s">
        <v>400</v>
      </c>
      <c r="J1097" t="s">
        <v>6</v>
      </c>
    </row>
    <row r="1098" spans="3:10" hidden="1">
      <c r="C1098">
        <v>105007</v>
      </c>
      <c r="D1098" t="s">
        <v>49</v>
      </c>
      <c r="E1098" t="s">
        <v>377</v>
      </c>
      <c r="F1098" s="41"/>
      <c r="G1098" s="80" t="s">
        <v>18</v>
      </c>
      <c r="H1098" s="80" t="s">
        <v>9</v>
      </c>
      <c r="I1098" s="81" t="s">
        <v>400</v>
      </c>
      <c r="J1098" t="s">
        <v>6</v>
      </c>
    </row>
    <row r="1099" spans="3:10" hidden="1">
      <c r="C1099">
        <v>105008</v>
      </c>
      <c r="D1099" t="s">
        <v>49</v>
      </c>
      <c r="E1099" t="s">
        <v>1694</v>
      </c>
      <c r="F1099" s="41"/>
      <c r="G1099" s="80" t="s">
        <v>18</v>
      </c>
      <c r="H1099" s="80" t="s">
        <v>9</v>
      </c>
      <c r="I1099" s="81" t="s">
        <v>400</v>
      </c>
      <c r="J1099" t="s">
        <v>6</v>
      </c>
    </row>
    <row r="1100" spans="3:10" hidden="1">
      <c r="C1100">
        <v>105009</v>
      </c>
      <c r="D1100" t="s">
        <v>49</v>
      </c>
      <c r="E1100" t="s">
        <v>379</v>
      </c>
      <c r="F1100" s="41"/>
      <c r="G1100" s="80" t="s">
        <v>18</v>
      </c>
      <c r="H1100" s="80" t="s">
        <v>9</v>
      </c>
      <c r="I1100" s="81" t="s">
        <v>400</v>
      </c>
      <c r="J1100" t="s">
        <v>6</v>
      </c>
    </row>
    <row r="1101" spans="3:10" hidden="1">
      <c r="C1101">
        <v>105010</v>
      </c>
      <c r="D1101" t="s">
        <v>49</v>
      </c>
      <c r="E1101" t="s">
        <v>380</v>
      </c>
      <c r="F1101" s="41"/>
      <c r="G1101" s="80" t="s">
        <v>18</v>
      </c>
      <c r="H1101" s="80" t="s">
        <v>9</v>
      </c>
      <c r="I1101" s="81" t="s">
        <v>400</v>
      </c>
      <c r="J1101" t="s">
        <v>6</v>
      </c>
    </row>
    <row r="1102" spans="3:10" hidden="1">
      <c r="C1102">
        <v>105011</v>
      </c>
      <c r="D1102" t="s">
        <v>120</v>
      </c>
      <c r="E1102" t="s">
        <v>401</v>
      </c>
      <c r="F1102" s="41"/>
      <c r="G1102" s="80" t="s">
        <v>18</v>
      </c>
      <c r="H1102" s="80" t="s">
        <v>9</v>
      </c>
      <c r="I1102" s="81" t="s">
        <v>400</v>
      </c>
      <c r="J1102" t="s">
        <v>6</v>
      </c>
    </row>
    <row r="1103" spans="3:10" hidden="1">
      <c r="C1103">
        <v>105012</v>
      </c>
      <c r="D1103" t="s">
        <v>49</v>
      </c>
      <c r="E1103" t="s">
        <v>402</v>
      </c>
      <c r="F1103" s="41"/>
      <c r="G1103" s="80" t="s">
        <v>18</v>
      </c>
      <c r="H1103" s="80" t="s">
        <v>9</v>
      </c>
      <c r="I1103" s="81" t="s">
        <v>400</v>
      </c>
      <c r="J1103" t="s">
        <v>6</v>
      </c>
    </row>
    <row r="1104" spans="3:10" hidden="1">
      <c r="C1104">
        <v>105013</v>
      </c>
      <c r="D1104" t="s">
        <v>49</v>
      </c>
      <c r="E1104" t="s">
        <v>403</v>
      </c>
      <c r="F1104" s="41"/>
      <c r="G1104" s="80" t="s">
        <v>18</v>
      </c>
      <c r="H1104" s="80" t="s">
        <v>9</v>
      </c>
      <c r="I1104" s="81" t="s">
        <v>400</v>
      </c>
      <c r="J1104" t="s">
        <v>6</v>
      </c>
    </row>
    <row r="1105" spans="3:10" hidden="1">
      <c r="C1105">
        <v>105014</v>
      </c>
      <c r="D1105" t="s">
        <v>66</v>
      </c>
      <c r="E1105" t="s">
        <v>404</v>
      </c>
      <c r="F1105" s="41"/>
      <c r="G1105" s="80" t="s">
        <v>18</v>
      </c>
      <c r="H1105" s="80" t="s">
        <v>9</v>
      </c>
      <c r="I1105" s="81" t="s">
        <v>400</v>
      </c>
      <c r="J1105" t="s">
        <v>6</v>
      </c>
    </row>
    <row r="1106" spans="3:10" hidden="1">
      <c r="C1106">
        <v>105015</v>
      </c>
      <c r="D1106" t="s">
        <v>66</v>
      </c>
      <c r="E1106" t="s">
        <v>405</v>
      </c>
      <c r="F1106" s="41"/>
      <c r="G1106" s="80" t="s">
        <v>18</v>
      </c>
      <c r="H1106" s="80" t="s">
        <v>9</v>
      </c>
      <c r="I1106" s="81" t="s">
        <v>400</v>
      </c>
      <c r="J1106" t="s">
        <v>6</v>
      </c>
    </row>
    <row r="1107" spans="3:10" hidden="1">
      <c r="C1107">
        <v>105016</v>
      </c>
      <c r="D1107" t="s">
        <v>66</v>
      </c>
      <c r="E1107" t="s">
        <v>406</v>
      </c>
      <c r="F1107" s="41"/>
      <c r="G1107" s="80" t="s">
        <v>18</v>
      </c>
      <c r="H1107" s="80" t="s">
        <v>9</v>
      </c>
      <c r="I1107" s="81" t="s">
        <v>400</v>
      </c>
      <c r="J1107" t="s">
        <v>6</v>
      </c>
    </row>
    <row r="1108" spans="3:10" hidden="1">
      <c r="C1108">
        <v>105017</v>
      </c>
      <c r="D1108" t="s">
        <v>66</v>
      </c>
      <c r="E1108" t="s">
        <v>407</v>
      </c>
      <c r="F1108" s="41"/>
      <c r="G1108" s="80" t="s">
        <v>18</v>
      </c>
      <c r="H1108" s="80" t="s">
        <v>9</v>
      </c>
      <c r="I1108" s="81" t="s">
        <v>400</v>
      </c>
      <c r="J1108" t="s">
        <v>6</v>
      </c>
    </row>
    <row r="1109" spans="3:10" hidden="1">
      <c r="C1109">
        <v>105018</v>
      </c>
      <c r="D1109" t="s">
        <v>49</v>
      </c>
      <c r="E1109" t="s">
        <v>408</v>
      </c>
      <c r="F1109" s="41"/>
      <c r="G1109" s="80" t="s">
        <v>18</v>
      </c>
      <c r="H1109" s="80" t="s">
        <v>9</v>
      </c>
      <c r="I1109" s="81" t="s">
        <v>400</v>
      </c>
      <c r="J1109" t="s">
        <v>6</v>
      </c>
    </row>
    <row r="1110" spans="3:10" hidden="1">
      <c r="C1110">
        <v>105019</v>
      </c>
      <c r="D1110" t="s">
        <v>49</v>
      </c>
      <c r="E1110" t="s">
        <v>409</v>
      </c>
      <c r="F1110" s="41"/>
      <c r="G1110" s="80" t="s">
        <v>18</v>
      </c>
      <c r="H1110" s="80" t="s">
        <v>9</v>
      </c>
      <c r="I1110" s="81" t="s">
        <v>400</v>
      </c>
      <c r="J1110" t="s">
        <v>6</v>
      </c>
    </row>
    <row r="1111" spans="3:10" hidden="1">
      <c r="C1111">
        <v>105020</v>
      </c>
      <c r="D1111" t="s">
        <v>66</v>
      </c>
      <c r="E1111" t="s">
        <v>410</v>
      </c>
      <c r="F1111" s="41"/>
      <c r="G1111" s="80" t="s">
        <v>18</v>
      </c>
      <c r="H1111" s="80" t="s">
        <v>9</v>
      </c>
      <c r="I1111" s="81" t="s">
        <v>400</v>
      </c>
      <c r="J1111" t="s">
        <v>6</v>
      </c>
    </row>
    <row r="1112" spans="3:10" hidden="1">
      <c r="C1112">
        <v>105021</v>
      </c>
      <c r="D1112" t="s">
        <v>49</v>
      </c>
      <c r="E1112" t="s">
        <v>408</v>
      </c>
      <c r="F1112" s="41"/>
      <c r="G1112" s="80" t="s">
        <v>18</v>
      </c>
      <c r="H1112" s="80" t="s">
        <v>9</v>
      </c>
      <c r="I1112" s="81" t="s">
        <v>400</v>
      </c>
      <c r="J1112" t="s">
        <v>6</v>
      </c>
    </row>
    <row r="1113" spans="3:10" hidden="1">
      <c r="C1113">
        <v>105022</v>
      </c>
      <c r="D1113" t="s">
        <v>49</v>
      </c>
      <c r="E1113" t="s">
        <v>57</v>
      </c>
      <c r="F1113" s="41"/>
      <c r="G1113" s="80" t="s">
        <v>18</v>
      </c>
      <c r="H1113" s="80" t="s">
        <v>9</v>
      </c>
      <c r="I1113" s="81" t="s">
        <v>400</v>
      </c>
      <c r="J1113" t="s">
        <v>6</v>
      </c>
    </row>
    <row r="1114" spans="3:10" hidden="1">
      <c r="C1114">
        <v>105023</v>
      </c>
      <c r="D1114" t="s">
        <v>58</v>
      </c>
      <c r="E1114" t="s">
        <v>59</v>
      </c>
      <c r="F1114" s="41"/>
      <c r="G1114" s="80" t="s">
        <v>18</v>
      </c>
      <c r="H1114" s="80" t="s">
        <v>9</v>
      </c>
      <c r="I1114" s="81" t="s">
        <v>400</v>
      </c>
      <c r="J1114" t="s">
        <v>6</v>
      </c>
    </row>
    <row r="1115" spans="3:10" hidden="1">
      <c r="C1115">
        <v>106000</v>
      </c>
      <c r="D1115" t="s">
        <v>48</v>
      </c>
      <c r="E1115" t="s">
        <v>411</v>
      </c>
      <c r="F1115" s="41"/>
      <c r="G1115" s="80" t="s">
        <v>18</v>
      </c>
      <c r="H1115" s="80" t="s">
        <v>9</v>
      </c>
      <c r="I1115" s="81" t="s">
        <v>411</v>
      </c>
      <c r="J1115" t="s">
        <v>6</v>
      </c>
    </row>
    <row r="1116" spans="3:10" hidden="1">
      <c r="C1116">
        <v>106001</v>
      </c>
      <c r="D1116" t="s">
        <v>49</v>
      </c>
      <c r="E1116" t="s">
        <v>412</v>
      </c>
      <c r="F1116" s="41"/>
      <c r="G1116" s="80" t="s">
        <v>18</v>
      </c>
      <c r="H1116" s="80" t="s">
        <v>9</v>
      </c>
      <c r="I1116" s="81" t="s">
        <v>411</v>
      </c>
      <c r="J1116" t="s">
        <v>6</v>
      </c>
    </row>
    <row r="1117" spans="3:10" hidden="1">
      <c r="C1117">
        <v>106002</v>
      </c>
      <c r="D1117" t="s">
        <v>49</v>
      </c>
      <c r="E1117" t="s">
        <v>413</v>
      </c>
      <c r="F1117" s="41"/>
      <c r="G1117" s="80" t="s">
        <v>18</v>
      </c>
      <c r="H1117" s="80" t="s">
        <v>9</v>
      </c>
      <c r="I1117" s="81" t="s">
        <v>411</v>
      </c>
      <c r="J1117" t="s">
        <v>6</v>
      </c>
    </row>
    <row r="1118" spans="3:10" hidden="1">
      <c r="C1118">
        <v>106003</v>
      </c>
      <c r="D1118" t="s">
        <v>49</v>
      </c>
      <c r="E1118" t="s">
        <v>414</v>
      </c>
      <c r="F1118" s="41"/>
      <c r="G1118" s="80" t="s">
        <v>18</v>
      </c>
      <c r="H1118" s="80" t="s">
        <v>9</v>
      </c>
      <c r="I1118" s="81" t="s">
        <v>411</v>
      </c>
      <c r="J1118" t="s">
        <v>6</v>
      </c>
    </row>
    <row r="1119" spans="3:10" hidden="1">
      <c r="C1119">
        <v>106004</v>
      </c>
      <c r="D1119" t="s">
        <v>49</v>
      </c>
      <c r="E1119" t="s">
        <v>1694</v>
      </c>
      <c r="F1119" s="41"/>
      <c r="G1119" s="80" t="s">
        <v>18</v>
      </c>
      <c r="H1119" s="80" t="s">
        <v>9</v>
      </c>
      <c r="I1119" s="81" t="s">
        <v>411</v>
      </c>
      <c r="J1119" t="s">
        <v>6</v>
      </c>
    </row>
    <row r="1120" spans="3:10" hidden="1">
      <c r="C1120">
        <v>106005</v>
      </c>
      <c r="D1120" t="s">
        <v>49</v>
      </c>
      <c r="E1120" t="s">
        <v>415</v>
      </c>
      <c r="F1120" s="41"/>
      <c r="G1120" s="80" t="s">
        <v>18</v>
      </c>
      <c r="H1120" s="80" t="s">
        <v>9</v>
      </c>
      <c r="I1120" s="81" t="s">
        <v>411</v>
      </c>
      <c r="J1120" t="s">
        <v>6</v>
      </c>
    </row>
    <row r="1121" spans="3:10" hidden="1">
      <c r="C1121">
        <v>106006</v>
      </c>
      <c r="D1121" t="s">
        <v>49</v>
      </c>
      <c r="E1121" t="s">
        <v>416</v>
      </c>
      <c r="F1121" s="41"/>
      <c r="G1121" s="80" t="s">
        <v>18</v>
      </c>
      <c r="H1121" s="80" t="s">
        <v>9</v>
      </c>
      <c r="I1121" s="81" t="s">
        <v>411</v>
      </c>
      <c r="J1121" t="s">
        <v>6</v>
      </c>
    </row>
    <row r="1122" spans="3:10" hidden="1">
      <c r="C1122">
        <v>106007</v>
      </c>
      <c r="D1122" t="s">
        <v>49</v>
      </c>
      <c r="E1122" t="s">
        <v>57</v>
      </c>
      <c r="F1122" s="41"/>
      <c r="G1122" s="80" t="s">
        <v>18</v>
      </c>
      <c r="H1122" s="80" t="s">
        <v>9</v>
      </c>
      <c r="I1122" s="81" t="s">
        <v>411</v>
      </c>
      <c r="J1122" t="s">
        <v>6</v>
      </c>
    </row>
    <row r="1123" spans="3:10" hidden="1">
      <c r="C1123">
        <v>106008</v>
      </c>
      <c r="D1123" t="s">
        <v>58</v>
      </c>
      <c r="E1123" t="s">
        <v>59</v>
      </c>
      <c r="F1123" s="41"/>
      <c r="G1123" s="80" t="s">
        <v>18</v>
      </c>
      <c r="H1123" s="80" t="s">
        <v>9</v>
      </c>
      <c r="I1123" s="81" t="s">
        <v>411</v>
      </c>
      <c r="J1123" t="s">
        <v>6</v>
      </c>
    </row>
    <row r="1124" spans="3:10" hidden="1">
      <c r="C1124">
        <v>107000</v>
      </c>
      <c r="D1124" t="s">
        <v>119</v>
      </c>
      <c r="E1124" t="s">
        <v>417</v>
      </c>
      <c r="F1124" s="41"/>
      <c r="G1124" s="80" t="s">
        <v>18</v>
      </c>
      <c r="H1124" s="80" t="s">
        <v>9</v>
      </c>
      <c r="I1124" s="81" t="s">
        <v>417</v>
      </c>
      <c r="J1124" t="s">
        <v>6</v>
      </c>
    </row>
    <row r="1125" spans="3:10" hidden="1">
      <c r="C1125">
        <v>107001</v>
      </c>
      <c r="D1125" t="s">
        <v>120</v>
      </c>
      <c r="E1125" t="s">
        <v>418</v>
      </c>
      <c r="F1125" s="41"/>
      <c r="G1125" s="80" t="s">
        <v>18</v>
      </c>
      <c r="H1125" s="80" t="s">
        <v>9</v>
      </c>
      <c r="I1125" s="81" t="s">
        <v>417</v>
      </c>
      <c r="J1125" t="s">
        <v>6</v>
      </c>
    </row>
    <row r="1126" spans="3:10" hidden="1">
      <c r="C1126">
        <v>107002</v>
      </c>
      <c r="D1126" t="s">
        <v>49</v>
      </c>
      <c r="E1126" t="s">
        <v>1093</v>
      </c>
      <c r="F1126" s="41"/>
      <c r="G1126" s="80" t="s">
        <v>18</v>
      </c>
      <c r="H1126" s="80" t="s">
        <v>9</v>
      </c>
      <c r="I1126" s="81" t="s">
        <v>417</v>
      </c>
      <c r="J1126" t="s">
        <v>6</v>
      </c>
    </row>
    <row r="1127" spans="3:10" hidden="1">
      <c r="C1127">
        <v>107003</v>
      </c>
      <c r="D1127" t="s">
        <v>49</v>
      </c>
      <c r="E1127" t="s">
        <v>420</v>
      </c>
      <c r="F1127" s="41"/>
      <c r="G1127" s="80" t="s">
        <v>18</v>
      </c>
      <c r="H1127" s="80" t="s">
        <v>9</v>
      </c>
      <c r="I1127" s="81" t="s">
        <v>417</v>
      </c>
      <c r="J1127" t="s">
        <v>6</v>
      </c>
    </row>
    <row r="1128" spans="3:10" hidden="1">
      <c r="C1128">
        <v>107004</v>
      </c>
      <c r="D1128" t="s">
        <v>49</v>
      </c>
      <c r="E1128" t="s">
        <v>421</v>
      </c>
      <c r="F1128" s="41"/>
      <c r="G1128" s="80" t="s">
        <v>18</v>
      </c>
      <c r="H1128" s="80" t="s">
        <v>9</v>
      </c>
      <c r="I1128" s="81" t="s">
        <v>417</v>
      </c>
      <c r="J1128" t="s">
        <v>6</v>
      </c>
    </row>
    <row r="1129" spans="3:10" hidden="1">
      <c r="C1129">
        <v>107005</v>
      </c>
      <c r="D1129" t="s">
        <v>120</v>
      </c>
      <c r="E1129" t="s">
        <v>422</v>
      </c>
      <c r="F1129" s="41"/>
      <c r="G1129" s="80" t="s">
        <v>18</v>
      </c>
      <c r="H1129" s="80" t="s">
        <v>9</v>
      </c>
      <c r="I1129" s="81" t="s">
        <v>417</v>
      </c>
      <c r="J1129" t="s">
        <v>6</v>
      </c>
    </row>
    <row r="1130" spans="3:10" hidden="1">
      <c r="C1130">
        <v>107006</v>
      </c>
      <c r="D1130" t="s">
        <v>49</v>
      </c>
      <c r="E1130" t="s">
        <v>423</v>
      </c>
      <c r="F1130" s="41"/>
      <c r="G1130" s="80" t="s">
        <v>18</v>
      </c>
      <c r="H1130" s="80" t="s">
        <v>9</v>
      </c>
      <c r="I1130" s="81" t="s">
        <v>417</v>
      </c>
      <c r="J1130" t="s">
        <v>6</v>
      </c>
    </row>
    <row r="1131" spans="3:10" hidden="1">
      <c r="C1131">
        <v>107007</v>
      </c>
      <c r="D1131" t="s">
        <v>49</v>
      </c>
      <c r="E1131" t="s">
        <v>424</v>
      </c>
      <c r="F1131" s="41"/>
      <c r="G1131" s="80" t="s">
        <v>18</v>
      </c>
      <c r="H1131" s="80" t="s">
        <v>9</v>
      </c>
      <c r="I1131" s="81" t="s">
        <v>417</v>
      </c>
      <c r="J1131" t="s">
        <v>6</v>
      </c>
    </row>
    <row r="1132" spans="3:10" hidden="1">
      <c r="C1132">
        <v>107008</v>
      </c>
      <c r="D1132" t="s">
        <v>49</v>
      </c>
      <c r="E1132" t="s">
        <v>425</v>
      </c>
      <c r="F1132" s="41"/>
      <c r="G1132" s="80" t="s">
        <v>18</v>
      </c>
      <c r="H1132" s="80" t="s">
        <v>9</v>
      </c>
      <c r="I1132" s="81" t="s">
        <v>417</v>
      </c>
      <c r="J1132" t="s">
        <v>6</v>
      </c>
    </row>
    <row r="1133" spans="3:10" hidden="1">
      <c r="C1133">
        <v>107009</v>
      </c>
      <c r="D1133" t="s">
        <v>49</v>
      </c>
      <c r="E1133" t="s">
        <v>426</v>
      </c>
      <c r="F1133" s="41"/>
      <c r="G1133" s="80" t="s">
        <v>18</v>
      </c>
      <c r="H1133" s="80" t="s">
        <v>9</v>
      </c>
      <c r="I1133" s="81" t="s">
        <v>417</v>
      </c>
      <c r="J1133" t="s">
        <v>6</v>
      </c>
    </row>
    <row r="1134" spans="3:10" hidden="1">
      <c r="C1134">
        <v>107010</v>
      </c>
      <c r="D1134" t="s">
        <v>49</v>
      </c>
      <c r="E1134" t="s">
        <v>57</v>
      </c>
      <c r="F1134" s="41"/>
      <c r="G1134" s="80" t="s">
        <v>18</v>
      </c>
      <c r="H1134" s="80" t="s">
        <v>9</v>
      </c>
      <c r="I1134" s="81" t="s">
        <v>417</v>
      </c>
      <c r="J1134" t="s">
        <v>6</v>
      </c>
    </row>
    <row r="1135" spans="3:10" hidden="1">
      <c r="C1135">
        <v>107011</v>
      </c>
      <c r="D1135" t="s">
        <v>58</v>
      </c>
      <c r="E1135" t="s">
        <v>59</v>
      </c>
      <c r="F1135" s="41"/>
      <c r="G1135" s="80" t="s">
        <v>18</v>
      </c>
      <c r="H1135" s="80" t="s">
        <v>9</v>
      </c>
      <c r="I1135" s="81" t="s">
        <v>417</v>
      </c>
      <c r="J1135" t="s">
        <v>6</v>
      </c>
    </row>
    <row r="1136" spans="3:10" hidden="1">
      <c r="C1136">
        <v>108000</v>
      </c>
      <c r="D1136" t="s">
        <v>48</v>
      </c>
      <c r="E1136" t="s">
        <v>427</v>
      </c>
      <c r="F1136" s="41"/>
      <c r="G1136" s="80" t="s">
        <v>8</v>
      </c>
      <c r="H1136" s="80" t="s">
        <v>9</v>
      </c>
      <c r="I1136" s="81" t="s">
        <v>427</v>
      </c>
      <c r="J1136" t="s">
        <v>6</v>
      </c>
    </row>
    <row r="1137" spans="3:10" hidden="1">
      <c r="C1137">
        <v>108001</v>
      </c>
      <c r="D1137" t="s">
        <v>49</v>
      </c>
      <c r="E1137" t="s">
        <v>74</v>
      </c>
      <c r="F1137" s="41"/>
      <c r="G1137" s="80" t="s">
        <v>8</v>
      </c>
      <c r="H1137" s="80" t="s">
        <v>9</v>
      </c>
      <c r="I1137" s="81" t="s">
        <v>427</v>
      </c>
      <c r="J1137" t="s">
        <v>6</v>
      </c>
    </row>
    <row r="1138" spans="3:10" hidden="1">
      <c r="C1138">
        <v>108002</v>
      </c>
      <c r="D1138" t="s">
        <v>49</v>
      </c>
      <c r="E1138" t="s">
        <v>75</v>
      </c>
      <c r="F1138" s="41"/>
      <c r="G1138" s="80" t="s">
        <v>8</v>
      </c>
      <c r="H1138" s="80" t="s">
        <v>9</v>
      </c>
      <c r="I1138" s="81" t="s">
        <v>427</v>
      </c>
      <c r="J1138" t="s">
        <v>6</v>
      </c>
    </row>
    <row r="1139" spans="3:10" hidden="1">
      <c r="C1139">
        <v>108003</v>
      </c>
      <c r="D1139" t="s">
        <v>49</v>
      </c>
      <c r="E1139" t="s">
        <v>76</v>
      </c>
      <c r="F1139" s="41"/>
      <c r="G1139" s="80" t="s">
        <v>8</v>
      </c>
      <c r="H1139" s="80" t="s">
        <v>9</v>
      </c>
      <c r="I1139" s="81" t="s">
        <v>427</v>
      </c>
      <c r="J1139" t="s">
        <v>6</v>
      </c>
    </row>
    <row r="1140" spans="3:10" hidden="1">
      <c r="C1140">
        <v>108004</v>
      </c>
      <c r="D1140" t="s">
        <v>49</v>
      </c>
      <c r="E1140" t="s">
        <v>77</v>
      </c>
      <c r="F1140" s="41"/>
      <c r="G1140" s="80" t="s">
        <v>8</v>
      </c>
      <c r="H1140" s="80" t="s">
        <v>9</v>
      </c>
      <c r="I1140" s="81" t="s">
        <v>427</v>
      </c>
      <c r="J1140" t="s">
        <v>6</v>
      </c>
    </row>
    <row r="1141" spans="3:10" hidden="1">
      <c r="C1141">
        <v>108005</v>
      </c>
      <c r="D1141" t="s">
        <v>49</v>
      </c>
      <c r="E1141" t="s">
        <v>78</v>
      </c>
      <c r="F1141" s="41"/>
      <c r="G1141" s="80" t="s">
        <v>8</v>
      </c>
      <c r="H1141" s="80" t="s">
        <v>9</v>
      </c>
      <c r="I1141" s="81" t="s">
        <v>427</v>
      </c>
      <c r="J1141" t="s">
        <v>6</v>
      </c>
    </row>
    <row r="1142" spans="3:10" hidden="1">
      <c r="C1142">
        <v>108006</v>
      </c>
      <c r="D1142" t="s">
        <v>49</v>
      </c>
      <c r="E1142" t="s">
        <v>81</v>
      </c>
      <c r="F1142" s="41"/>
      <c r="G1142" s="80" t="s">
        <v>8</v>
      </c>
      <c r="H1142" s="80" t="s">
        <v>9</v>
      </c>
      <c r="I1142" s="81" t="s">
        <v>427</v>
      </c>
      <c r="J1142" t="s">
        <v>6</v>
      </c>
    </row>
    <row r="1143" spans="3:10" hidden="1">
      <c r="C1143">
        <v>108007</v>
      </c>
      <c r="D1143" t="s">
        <v>49</v>
      </c>
      <c r="E1143" t="s">
        <v>82</v>
      </c>
      <c r="F1143" s="41"/>
      <c r="G1143" s="80" t="s">
        <v>8</v>
      </c>
      <c r="H1143" s="80" t="s">
        <v>9</v>
      </c>
      <c r="I1143" s="81" t="s">
        <v>427</v>
      </c>
      <c r="J1143" t="s">
        <v>6</v>
      </c>
    </row>
    <row r="1144" spans="3:10" hidden="1">
      <c r="C1144">
        <v>108008</v>
      </c>
      <c r="D1144" t="s">
        <v>49</v>
      </c>
      <c r="E1144" t="s">
        <v>57</v>
      </c>
      <c r="F1144" s="41"/>
      <c r="G1144" s="80" t="s">
        <v>8</v>
      </c>
      <c r="H1144" s="80" t="s">
        <v>9</v>
      </c>
      <c r="I1144" s="81" t="s">
        <v>427</v>
      </c>
      <c r="J1144" t="s">
        <v>6</v>
      </c>
    </row>
    <row r="1145" spans="3:10" hidden="1">
      <c r="C1145">
        <v>108009</v>
      </c>
      <c r="D1145" t="s">
        <v>58</v>
      </c>
      <c r="E1145" t="s">
        <v>59</v>
      </c>
      <c r="F1145" s="41"/>
      <c r="G1145" s="80" t="s">
        <v>8</v>
      </c>
      <c r="H1145" s="80" t="s">
        <v>9</v>
      </c>
      <c r="I1145" s="81" t="s">
        <v>427</v>
      </c>
      <c r="J1145" t="s">
        <v>6</v>
      </c>
    </row>
    <row r="1146" spans="3:10" hidden="1">
      <c r="C1146">
        <v>109000</v>
      </c>
      <c r="D1146" t="s">
        <v>48</v>
      </c>
      <c r="E1146" t="s">
        <v>428</v>
      </c>
      <c r="F1146" s="41"/>
      <c r="G1146" s="80" t="s">
        <v>8</v>
      </c>
      <c r="H1146" s="80" t="s">
        <v>9</v>
      </c>
      <c r="I1146" s="81" t="s">
        <v>428</v>
      </c>
      <c r="J1146" t="s">
        <v>6</v>
      </c>
    </row>
    <row r="1147" spans="3:10" hidden="1">
      <c r="C1147">
        <v>109001</v>
      </c>
      <c r="D1147" t="s">
        <v>49</v>
      </c>
      <c r="E1147" t="s">
        <v>429</v>
      </c>
      <c r="F1147" s="41"/>
      <c r="G1147" s="80" t="s">
        <v>8</v>
      </c>
      <c r="H1147" s="80" t="s">
        <v>9</v>
      </c>
      <c r="I1147" s="81" t="s">
        <v>428</v>
      </c>
      <c r="J1147" t="s">
        <v>6</v>
      </c>
    </row>
    <row r="1148" spans="3:10" hidden="1">
      <c r="C1148">
        <v>109002</v>
      </c>
      <c r="D1148" t="s">
        <v>49</v>
      </c>
      <c r="E1148" t="s">
        <v>430</v>
      </c>
      <c r="F1148" s="41"/>
      <c r="G1148" s="80" t="s">
        <v>8</v>
      </c>
      <c r="H1148" s="80" t="s">
        <v>9</v>
      </c>
      <c r="I1148" s="81" t="s">
        <v>428</v>
      </c>
      <c r="J1148" t="s">
        <v>6</v>
      </c>
    </row>
    <row r="1149" spans="3:10" hidden="1">
      <c r="C1149">
        <v>109003</v>
      </c>
      <c r="D1149" t="s">
        <v>49</v>
      </c>
      <c r="E1149" t="s">
        <v>431</v>
      </c>
      <c r="F1149" s="41"/>
      <c r="G1149" s="80" t="s">
        <v>8</v>
      </c>
      <c r="H1149" s="80" t="s">
        <v>9</v>
      </c>
      <c r="I1149" s="81" t="s">
        <v>428</v>
      </c>
      <c r="J1149" t="s">
        <v>6</v>
      </c>
    </row>
    <row r="1150" spans="3:10" hidden="1">
      <c r="C1150">
        <v>109004</v>
      </c>
      <c r="D1150" t="s">
        <v>49</v>
      </c>
      <c r="E1150" t="s">
        <v>432</v>
      </c>
      <c r="F1150" s="41"/>
      <c r="G1150" s="80" t="s">
        <v>8</v>
      </c>
      <c r="H1150" s="80" t="s">
        <v>9</v>
      </c>
      <c r="I1150" s="81" t="s">
        <v>428</v>
      </c>
      <c r="J1150" t="s">
        <v>6</v>
      </c>
    </row>
    <row r="1151" spans="3:10" hidden="1">
      <c r="C1151">
        <v>109005</v>
      </c>
      <c r="D1151" t="s">
        <v>49</v>
      </c>
      <c r="E1151" t="s">
        <v>433</v>
      </c>
      <c r="F1151" s="41"/>
      <c r="G1151" s="80" t="s">
        <v>8</v>
      </c>
      <c r="H1151" s="80" t="s">
        <v>9</v>
      </c>
      <c r="I1151" s="81" t="s">
        <v>428</v>
      </c>
      <c r="J1151" t="s">
        <v>6</v>
      </c>
    </row>
    <row r="1152" spans="3:10" hidden="1">
      <c r="C1152">
        <v>109006</v>
      </c>
      <c r="D1152" t="s">
        <v>49</v>
      </c>
      <c r="E1152" t="s">
        <v>434</v>
      </c>
      <c r="F1152" s="41"/>
      <c r="G1152" s="80" t="s">
        <v>8</v>
      </c>
      <c r="H1152" s="80" t="s">
        <v>9</v>
      </c>
      <c r="I1152" s="81" t="s">
        <v>428</v>
      </c>
      <c r="J1152" t="s">
        <v>6</v>
      </c>
    </row>
    <row r="1153" spans="3:10" hidden="1">
      <c r="C1153">
        <v>109007</v>
      </c>
      <c r="D1153" t="s">
        <v>49</v>
      </c>
      <c r="E1153" t="s">
        <v>435</v>
      </c>
      <c r="F1153" s="41"/>
      <c r="G1153" s="80" t="s">
        <v>8</v>
      </c>
      <c r="H1153" s="80" t="s">
        <v>9</v>
      </c>
      <c r="I1153" s="81" t="s">
        <v>428</v>
      </c>
      <c r="J1153" t="s">
        <v>6</v>
      </c>
    </row>
    <row r="1154" spans="3:10" hidden="1">
      <c r="C1154">
        <v>109008</v>
      </c>
      <c r="D1154" t="s">
        <v>49</v>
      </c>
      <c r="E1154" t="s">
        <v>436</v>
      </c>
      <c r="F1154" s="41"/>
      <c r="G1154" s="80" t="s">
        <v>8</v>
      </c>
      <c r="H1154" s="80" t="s">
        <v>9</v>
      </c>
      <c r="I1154" s="81" t="s">
        <v>428</v>
      </c>
      <c r="J1154" t="s">
        <v>6</v>
      </c>
    </row>
    <row r="1155" spans="3:10" hidden="1">
      <c r="C1155">
        <v>109009</v>
      </c>
      <c r="D1155" t="s">
        <v>49</v>
      </c>
      <c r="E1155" t="s">
        <v>1695</v>
      </c>
      <c r="F1155" s="41"/>
      <c r="G1155" s="80" t="s">
        <v>8</v>
      </c>
      <c r="H1155" s="80" t="s">
        <v>9</v>
      </c>
      <c r="I1155" s="81" t="s">
        <v>428</v>
      </c>
      <c r="J1155" t="s">
        <v>6</v>
      </c>
    </row>
    <row r="1156" spans="3:10" hidden="1">
      <c r="C1156">
        <v>109010</v>
      </c>
      <c r="D1156" t="s">
        <v>49</v>
      </c>
      <c r="E1156" t="s">
        <v>438</v>
      </c>
      <c r="F1156" s="41"/>
      <c r="G1156" s="80" t="s">
        <v>8</v>
      </c>
      <c r="H1156" s="80" t="s">
        <v>9</v>
      </c>
      <c r="I1156" s="81" t="s">
        <v>428</v>
      </c>
      <c r="J1156" t="s">
        <v>6</v>
      </c>
    </row>
    <row r="1157" spans="3:10" hidden="1">
      <c r="C1157">
        <v>109011</v>
      </c>
      <c r="D1157" t="s">
        <v>49</v>
      </c>
      <c r="E1157" t="s">
        <v>57</v>
      </c>
      <c r="F1157" s="41"/>
      <c r="G1157" s="80" t="s">
        <v>8</v>
      </c>
      <c r="H1157" s="80" t="s">
        <v>9</v>
      </c>
      <c r="I1157" s="81" t="s">
        <v>428</v>
      </c>
      <c r="J1157" t="s">
        <v>6</v>
      </c>
    </row>
    <row r="1158" spans="3:10" hidden="1">
      <c r="C1158">
        <v>109012</v>
      </c>
      <c r="D1158" t="s">
        <v>58</v>
      </c>
      <c r="E1158" t="s">
        <v>59</v>
      </c>
      <c r="F1158" s="41"/>
      <c r="G1158" s="80" t="s">
        <v>8</v>
      </c>
      <c r="H1158" s="80" t="s">
        <v>9</v>
      </c>
      <c r="I1158" s="81" t="s">
        <v>428</v>
      </c>
      <c r="J1158" t="s">
        <v>6</v>
      </c>
    </row>
    <row r="1159" spans="3:10" hidden="1">
      <c r="C1159">
        <v>110000</v>
      </c>
      <c r="D1159" t="s">
        <v>48</v>
      </c>
      <c r="E1159" t="s">
        <v>439</v>
      </c>
      <c r="F1159" s="41"/>
      <c r="G1159" s="80" t="s">
        <v>8</v>
      </c>
      <c r="H1159" s="80" t="s">
        <v>9</v>
      </c>
      <c r="I1159" s="81" t="s">
        <v>439</v>
      </c>
      <c r="J1159" t="s">
        <v>6</v>
      </c>
    </row>
    <row r="1160" spans="3:10" hidden="1">
      <c r="C1160">
        <v>110001</v>
      </c>
      <c r="D1160" t="s">
        <v>49</v>
      </c>
      <c r="E1160" t="s">
        <v>74</v>
      </c>
      <c r="F1160" s="41"/>
      <c r="G1160" s="80" t="s">
        <v>8</v>
      </c>
      <c r="H1160" s="80" t="s">
        <v>9</v>
      </c>
      <c r="I1160" s="81" t="s">
        <v>439</v>
      </c>
      <c r="J1160" t="s">
        <v>6</v>
      </c>
    </row>
    <row r="1161" spans="3:10" hidden="1">
      <c r="C1161">
        <v>110002</v>
      </c>
      <c r="D1161" t="s">
        <v>49</v>
      </c>
      <c r="E1161" t="s">
        <v>440</v>
      </c>
      <c r="F1161" s="41"/>
      <c r="G1161" s="80" t="s">
        <v>8</v>
      </c>
      <c r="H1161" s="80" t="s">
        <v>9</v>
      </c>
      <c r="I1161" s="81" t="s">
        <v>439</v>
      </c>
      <c r="J1161" t="s">
        <v>6</v>
      </c>
    </row>
    <row r="1162" spans="3:10" hidden="1">
      <c r="C1162">
        <v>110003</v>
      </c>
      <c r="D1162" t="s">
        <v>66</v>
      </c>
      <c r="E1162" t="s">
        <v>441</v>
      </c>
      <c r="F1162" s="41"/>
      <c r="G1162" s="80" t="s">
        <v>8</v>
      </c>
      <c r="H1162" s="80" t="s">
        <v>9</v>
      </c>
      <c r="I1162" s="81" t="s">
        <v>439</v>
      </c>
      <c r="J1162" t="s">
        <v>6</v>
      </c>
    </row>
    <row r="1163" spans="3:10" hidden="1">
      <c r="C1163">
        <v>110004</v>
      </c>
      <c r="D1163" t="s">
        <v>66</v>
      </c>
      <c r="E1163" t="s">
        <v>442</v>
      </c>
      <c r="F1163" s="41"/>
      <c r="G1163" s="80" t="s">
        <v>8</v>
      </c>
      <c r="H1163" s="80" t="s">
        <v>9</v>
      </c>
      <c r="I1163" s="81" t="s">
        <v>439</v>
      </c>
      <c r="J1163" t="s">
        <v>6</v>
      </c>
    </row>
    <row r="1164" spans="3:10" hidden="1">
      <c r="C1164">
        <v>110005</v>
      </c>
      <c r="D1164" t="s">
        <v>66</v>
      </c>
      <c r="E1164" t="s">
        <v>340</v>
      </c>
      <c r="F1164" s="41"/>
      <c r="G1164" s="80" t="s">
        <v>8</v>
      </c>
      <c r="H1164" s="80" t="s">
        <v>9</v>
      </c>
      <c r="I1164" s="81" t="s">
        <v>439</v>
      </c>
      <c r="J1164" t="s">
        <v>6</v>
      </c>
    </row>
    <row r="1165" spans="3:10" hidden="1">
      <c r="C1165">
        <v>110006</v>
      </c>
      <c r="D1165" t="s">
        <v>49</v>
      </c>
      <c r="E1165" t="s">
        <v>57</v>
      </c>
      <c r="F1165" s="41"/>
      <c r="G1165" s="80" t="s">
        <v>8</v>
      </c>
      <c r="H1165" s="80" t="s">
        <v>9</v>
      </c>
      <c r="I1165" s="81" t="s">
        <v>439</v>
      </c>
      <c r="J1165" t="s">
        <v>6</v>
      </c>
    </row>
    <row r="1166" spans="3:10" hidden="1">
      <c r="C1166">
        <v>110007</v>
      </c>
      <c r="D1166" t="s">
        <v>58</v>
      </c>
      <c r="E1166" t="s">
        <v>59</v>
      </c>
      <c r="F1166" s="41"/>
      <c r="G1166" s="80" t="s">
        <v>8</v>
      </c>
      <c r="H1166" s="80" t="s">
        <v>9</v>
      </c>
      <c r="I1166" s="81" t="s">
        <v>439</v>
      </c>
      <c r="J1166" t="s">
        <v>6</v>
      </c>
    </row>
    <row r="1167" spans="3:10" hidden="1">
      <c r="C1167">
        <v>111000</v>
      </c>
      <c r="D1167" t="s">
        <v>119</v>
      </c>
      <c r="E1167" t="s">
        <v>443</v>
      </c>
      <c r="F1167" s="41"/>
      <c r="G1167" s="80" t="s">
        <v>18</v>
      </c>
      <c r="H1167" s="80" t="s">
        <v>9</v>
      </c>
      <c r="I1167" s="81" t="s">
        <v>443</v>
      </c>
      <c r="J1167" t="s">
        <v>6</v>
      </c>
    </row>
    <row r="1168" spans="3:10" hidden="1">
      <c r="C1168">
        <v>111001</v>
      </c>
      <c r="D1168" t="s">
        <v>120</v>
      </c>
      <c r="E1168" t="s">
        <v>249</v>
      </c>
      <c r="F1168" s="41"/>
      <c r="G1168" s="80" t="s">
        <v>18</v>
      </c>
      <c r="H1168" s="80" t="s">
        <v>9</v>
      </c>
      <c r="I1168" s="81" t="s">
        <v>443</v>
      </c>
      <c r="J1168" t="s">
        <v>6</v>
      </c>
    </row>
    <row r="1169" spans="3:10" hidden="1">
      <c r="C1169">
        <v>111002</v>
      </c>
      <c r="D1169" t="s">
        <v>49</v>
      </c>
      <c r="E1169" t="s">
        <v>250</v>
      </c>
      <c r="F1169" s="41"/>
      <c r="G1169" s="80" t="s">
        <v>18</v>
      </c>
      <c r="H1169" s="80" t="s">
        <v>9</v>
      </c>
      <c r="I1169" s="81" t="s">
        <v>443</v>
      </c>
      <c r="J1169" t="s">
        <v>6</v>
      </c>
    </row>
    <row r="1170" spans="3:10" hidden="1">
      <c r="C1170">
        <v>111003</v>
      </c>
      <c r="D1170" t="s">
        <v>124</v>
      </c>
      <c r="E1170" t="s">
        <v>251</v>
      </c>
      <c r="F1170" s="41"/>
      <c r="G1170" s="80" t="s">
        <v>18</v>
      </c>
      <c r="H1170" s="80" t="s">
        <v>9</v>
      </c>
      <c r="I1170" s="81" t="s">
        <v>443</v>
      </c>
      <c r="J1170" t="s">
        <v>6</v>
      </c>
    </row>
    <row r="1171" spans="3:10" hidden="1">
      <c r="C1171">
        <v>111004</v>
      </c>
      <c r="D1171" t="s">
        <v>124</v>
      </c>
      <c r="E1171" t="s">
        <v>252</v>
      </c>
      <c r="F1171" s="41"/>
      <c r="G1171" s="80" t="s">
        <v>18</v>
      </c>
      <c r="H1171" s="80" t="s">
        <v>9</v>
      </c>
      <c r="I1171" s="81" t="s">
        <v>443</v>
      </c>
      <c r="J1171" t="s">
        <v>6</v>
      </c>
    </row>
    <row r="1172" spans="3:10" hidden="1">
      <c r="C1172">
        <v>111005</v>
      </c>
      <c r="D1172" t="s">
        <v>49</v>
      </c>
      <c r="E1172" t="s">
        <v>253</v>
      </c>
      <c r="F1172" s="41"/>
      <c r="G1172" s="80" t="s">
        <v>18</v>
      </c>
      <c r="H1172" s="80" t="s">
        <v>9</v>
      </c>
      <c r="I1172" s="81" t="s">
        <v>443</v>
      </c>
      <c r="J1172" t="s">
        <v>6</v>
      </c>
    </row>
    <row r="1173" spans="3:10" hidden="1">
      <c r="C1173">
        <v>111006</v>
      </c>
      <c r="D1173" t="s">
        <v>120</v>
      </c>
      <c r="E1173" t="s">
        <v>254</v>
      </c>
      <c r="F1173" s="41"/>
      <c r="G1173" s="80" t="s">
        <v>18</v>
      </c>
      <c r="H1173" s="80" t="s">
        <v>9</v>
      </c>
      <c r="I1173" s="81" t="s">
        <v>443</v>
      </c>
      <c r="J1173" t="s">
        <v>6</v>
      </c>
    </row>
    <row r="1174" spans="3:10" hidden="1">
      <c r="C1174">
        <v>111007</v>
      </c>
      <c r="D1174" t="s">
        <v>49</v>
      </c>
      <c r="E1174" t="s">
        <v>255</v>
      </c>
      <c r="F1174" s="41"/>
      <c r="G1174" s="80" t="s">
        <v>18</v>
      </c>
      <c r="H1174" s="80" t="s">
        <v>9</v>
      </c>
      <c r="I1174" s="81" t="s">
        <v>443</v>
      </c>
      <c r="J1174" t="s">
        <v>6</v>
      </c>
    </row>
    <row r="1175" spans="3:10" hidden="1">
      <c r="C1175">
        <v>111008</v>
      </c>
      <c r="D1175" t="s">
        <v>49</v>
      </c>
      <c r="E1175" t="s">
        <v>256</v>
      </c>
      <c r="F1175" s="41"/>
      <c r="G1175" s="80" t="s">
        <v>18</v>
      </c>
      <c r="H1175" s="80" t="s">
        <v>9</v>
      </c>
      <c r="I1175" s="81" t="s">
        <v>443</v>
      </c>
      <c r="J1175" t="s">
        <v>6</v>
      </c>
    </row>
    <row r="1176" spans="3:10" hidden="1">
      <c r="C1176">
        <v>111009</v>
      </c>
      <c r="D1176" t="s">
        <v>49</v>
      </c>
      <c r="E1176" t="s">
        <v>1673</v>
      </c>
      <c r="F1176" s="41"/>
      <c r="G1176" s="80" t="s">
        <v>18</v>
      </c>
      <c r="H1176" s="80" t="s">
        <v>9</v>
      </c>
      <c r="I1176" s="81" t="s">
        <v>443</v>
      </c>
      <c r="J1176" t="s">
        <v>6</v>
      </c>
    </row>
    <row r="1177" spans="3:10" hidden="1">
      <c r="C1177">
        <v>111010</v>
      </c>
      <c r="D1177" t="s">
        <v>49</v>
      </c>
      <c r="E1177" t="s">
        <v>258</v>
      </c>
      <c r="F1177" s="41"/>
      <c r="G1177" s="80" t="s">
        <v>18</v>
      </c>
      <c r="H1177" s="80" t="s">
        <v>9</v>
      </c>
      <c r="I1177" s="81" t="s">
        <v>443</v>
      </c>
      <c r="J1177" t="s">
        <v>6</v>
      </c>
    </row>
    <row r="1178" spans="3:10" hidden="1">
      <c r="C1178">
        <v>111011</v>
      </c>
      <c r="D1178" t="s">
        <v>120</v>
      </c>
      <c r="E1178" t="s">
        <v>273</v>
      </c>
      <c r="F1178" s="41"/>
      <c r="G1178" s="80" t="s">
        <v>18</v>
      </c>
      <c r="H1178" s="80" t="s">
        <v>9</v>
      </c>
      <c r="I1178" s="81" t="s">
        <v>443</v>
      </c>
      <c r="J1178" t="s">
        <v>6</v>
      </c>
    </row>
    <row r="1179" spans="3:10" hidden="1">
      <c r="C1179">
        <v>111012</v>
      </c>
      <c r="D1179" t="s">
        <v>49</v>
      </c>
      <c r="E1179" t="s">
        <v>274</v>
      </c>
      <c r="F1179" s="41"/>
      <c r="G1179" s="80" t="s">
        <v>18</v>
      </c>
      <c r="H1179" s="80" t="s">
        <v>9</v>
      </c>
      <c r="I1179" s="81" t="s">
        <v>443</v>
      </c>
      <c r="J1179" t="s">
        <v>6</v>
      </c>
    </row>
    <row r="1180" spans="3:10" hidden="1">
      <c r="C1180">
        <v>111013</v>
      </c>
      <c r="D1180" t="s">
        <v>49</v>
      </c>
      <c r="E1180" t="s">
        <v>275</v>
      </c>
      <c r="F1180" s="41"/>
      <c r="G1180" s="80" t="s">
        <v>18</v>
      </c>
      <c r="H1180" s="80" t="s">
        <v>9</v>
      </c>
      <c r="I1180" s="81" t="s">
        <v>443</v>
      </c>
      <c r="J1180" t="s">
        <v>6</v>
      </c>
    </row>
    <row r="1181" spans="3:10" hidden="1">
      <c r="C1181">
        <v>111014</v>
      </c>
      <c r="D1181" t="s">
        <v>49</v>
      </c>
      <c r="E1181" t="s">
        <v>276</v>
      </c>
      <c r="F1181" s="41"/>
      <c r="G1181" s="80" t="s">
        <v>18</v>
      </c>
      <c r="H1181" s="80" t="s">
        <v>9</v>
      </c>
      <c r="I1181" s="81" t="s">
        <v>443</v>
      </c>
      <c r="J1181" t="s">
        <v>6</v>
      </c>
    </row>
    <row r="1182" spans="3:10" hidden="1">
      <c r="C1182">
        <v>111015</v>
      </c>
      <c r="D1182" t="s">
        <v>49</v>
      </c>
      <c r="E1182" t="s">
        <v>277</v>
      </c>
      <c r="F1182" s="41"/>
      <c r="G1182" s="80" t="s">
        <v>18</v>
      </c>
      <c r="H1182" s="80" t="s">
        <v>9</v>
      </c>
      <c r="I1182" s="81" t="s">
        <v>443</v>
      </c>
      <c r="J1182" t="s">
        <v>6</v>
      </c>
    </row>
    <row r="1183" spans="3:10" hidden="1">
      <c r="C1183">
        <v>111016</v>
      </c>
      <c r="D1183" t="s">
        <v>120</v>
      </c>
      <c r="E1183" t="s">
        <v>278</v>
      </c>
      <c r="F1183" s="41"/>
      <c r="G1183" s="80" t="s">
        <v>18</v>
      </c>
      <c r="H1183" s="80" t="s">
        <v>9</v>
      </c>
      <c r="I1183" s="81" t="s">
        <v>443</v>
      </c>
      <c r="J1183" t="s">
        <v>6</v>
      </c>
    </row>
    <row r="1184" spans="3:10" hidden="1">
      <c r="C1184">
        <v>111017</v>
      </c>
      <c r="D1184" t="s">
        <v>49</v>
      </c>
      <c r="E1184" t="s">
        <v>279</v>
      </c>
      <c r="F1184" s="41"/>
      <c r="G1184" s="80" t="s">
        <v>18</v>
      </c>
      <c r="H1184" s="80" t="s">
        <v>9</v>
      </c>
      <c r="I1184" s="81" t="s">
        <v>443</v>
      </c>
      <c r="J1184" t="s">
        <v>6</v>
      </c>
    </row>
    <row r="1185" spans="3:10" hidden="1">
      <c r="C1185">
        <v>111018</v>
      </c>
      <c r="D1185" t="s">
        <v>124</v>
      </c>
      <c r="E1185" t="s">
        <v>280</v>
      </c>
      <c r="F1185" s="41"/>
      <c r="G1185" s="80" t="s">
        <v>18</v>
      </c>
      <c r="H1185" s="80" t="s">
        <v>9</v>
      </c>
      <c r="I1185" s="81" t="s">
        <v>443</v>
      </c>
      <c r="J1185" t="s">
        <v>6</v>
      </c>
    </row>
    <row r="1186" spans="3:10" hidden="1">
      <c r="C1186">
        <v>111019</v>
      </c>
      <c r="D1186" t="s">
        <v>124</v>
      </c>
      <c r="E1186" t="s">
        <v>281</v>
      </c>
      <c r="F1186" s="41"/>
      <c r="G1186" s="80" t="s">
        <v>18</v>
      </c>
      <c r="H1186" s="80" t="s">
        <v>9</v>
      </c>
      <c r="I1186" s="81" t="s">
        <v>443</v>
      </c>
      <c r="J1186" t="s">
        <v>6</v>
      </c>
    </row>
    <row r="1187" spans="3:10" hidden="1">
      <c r="C1187">
        <v>111020</v>
      </c>
      <c r="D1187" t="s">
        <v>124</v>
      </c>
      <c r="E1187" t="s">
        <v>283</v>
      </c>
      <c r="F1187" s="41"/>
      <c r="G1187" s="80" t="s">
        <v>18</v>
      </c>
      <c r="H1187" s="80" t="s">
        <v>9</v>
      </c>
      <c r="I1187" s="81" t="s">
        <v>443</v>
      </c>
      <c r="J1187" t="s">
        <v>6</v>
      </c>
    </row>
    <row r="1188" spans="3:10" hidden="1">
      <c r="C1188">
        <v>111021</v>
      </c>
      <c r="D1188" t="s">
        <v>124</v>
      </c>
      <c r="E1188" t="s">
        <v>284</v>
      </c>
      <c r="F1188" s="41"/>
      <c r="G1188" s="80" t="s">
        <v>18</v>
      </c>
      <c r="H1188" s="80" t="s">
        <v>9</v>
      </c>
      <c r="I1188" s="81" t="s">
        <v>443</v>
      </c>
      <c r="J1188" t="s">
        <v>6</v>
      </c>
    </row>
    <row r="1189" spans="3:10" hidden="1">
      <c r="C1189">
        <v>111022</v>
      </c>
      <c r="D1189" t="s">
        <v>131</v>
      </c>
      <c r="E1189" t="s">
        <v>286</v>
      </c>
      <c r="F1189" s="41" t="s">
        <v>287</v>
      </c>
      <c r="G1189" s="80" t="s">
        <v>18</v>
      </c>
      <c r="H1189" s="80" t="s">
        <v>9</v>
      </c>
      <c r="I1189" s="81" t="s">
        <v>443</v>
      </c>
      <c r="J1189" t="s">
        <v>6</v>
      </c>
    </row>
    <row r="1190" spans="3:10" hidden="1">
      <c r="C1190">
        <v>111023</v>
      </c>
      <c r="D1190" t="s">
        <v>49</v>
      </c>
      <c r="E1190" t="s">
        <v>288</v>
      </c>
      <c r="F1190" s="41"/>
      <c r="G1190" s="80" t="s">
        <v>18</v>
      </c>
      <c r="H1190" s="80" t="s">
        <v>9</v>
      </c>
      <c r="I1190" s="81" t="s">
        <v>443</v>
      </c>
      <c r="J1190" t="s">
        <v>6</v>
      </c>
    </row>
    <row r="1191" spans="3:10" hidden="1">
      <c r="C1191">
        <v>111024</v>
      </c>
      <c r="D1191" t="s">
        <v>49</v>
      </c>
      <c r="E1191" t="s">
        <v>289</v>
      </c>
      <c r="F1191" s="41"/>
      <c r="G1191" s="80" t="s">
        <v>18</v>
      </c>
      <c r="H1191" s="80" t="s">
        <v>9</v>
      </c>
      <c r="I1191" s="81" t="s">
        <v>443</v>
      </c>
      <c r="J1191" t="s">
        <v>6</v>
      </c>
    </row>
    <row r="1192" spans="3:10" hidden="1">
      <c r="C1192">
        <v>111025</v>
      </c>
      <c r="D1192" t="s">
        <v>120</v>
      </c>
      <c r="E1192" t="s">
        <v>290</v>
      </c>
      <c r="F1192" s="41"/>
      <c r="G1192" s="80" t="s">
        <v>18</v>
      </c>
      <c r="H1192" s="80" t="s">
        <v>9</v>
      </c>
      <c r="I1192" s="81" t="s">
        <v>443</v>
      </c>
      <c r="J1192" t="s">
        <v>6</v>
      </c>
    </row>
    <row r="1193" spans="3:10" hidden="1">
      <c r="C1193">
        <v>111026</v>
      </c>
      <c r="D1193" t="s">
        <v>49</v>
      </c>
      <c r="E1193" t="s">
        <v>291</v>
      </c>
      <c r="F1193" s="41"/>
      <c r="G1193" s="80" t="s">
        <v>18</v>
      </c>
      <c r="H1193" s="80" t="s">
        <v>9</v>
      </c>
      <c r="I1193" s="81" t="s">
        <v>443</v>
      </c>
      <c r="J1193" t="s">
        <v>6</v>
      </c>
    </row>
    <row r="1194" spans="3:10" hidden="1">
      <c r="C1194">
        <v>111027</v>
      </c>
      <c r="D1194" t="s">
        <v>49</v>
      </c>
      <c r="E1194" t="s">
        <v>292</v>
      </c>
      <c r="F1194" s="41"/>
      <c r="G1194" s="80" t="s">
        <v>18</v>
      </c>
      <c r="H1194" s="80" t="s">
        <v>9</v>
      </c>
      <c r="I1194" s="81" t="s">
        <v>443</v>
      </c>
      <c r="J1194" t="s">
        <v>6</v>
      </c>
    </row>
    <row r="1195" spans="3:10" hidden="1">
      <c r="C1195">
        <v>111028</v>
      </c>
      <c r="D1195" t="s">
        <v>131</v>
      </c>
      <c r="E1195" t="s">
        <v>293</v>
      </c>
      <c r="F1195" s="41" t="s">
        <v>287</v>
      </c>
      <c r="G1195" s="80" t="s">
        <v>18</v>
      </c>
      <c r="H1195" s="80" t="s">
        <v>9</v>
      </c>
      <c r="I1195" s="81" t="s">
        <v>443</v>
      </c>
      <c r="J1195" t="s">
        <v>6</v>
      </c>
    </row>
    <row r="1196" spans="3:10" hidden="1">
      <c r="C1196">
        <v>111029</v>
      </c>
      <c r="D1196" t="s">
        <v>49</v>
      </c>
      <c r="E1196" t="s">
        <v>294</v>
      </c>
      <c r="F1196" s="41"/>
      <c r="G1196" s="80" t="s">
        <v>18</v>
      </c>
      <c r="H1196" s="80" t="s">
        <v>9</v>
      </c>
      <c r="I1196" s="81" t="s">
        <v>443</v>
      </c>
      <c r="J1196" t="s">
        <v>6</v>
      </c>
    </row>
    <row r="1197" spans="3:10" hidden="1">
      <c r="C1197">
        <v>111030</v>
      </c>
      <c r="D1197" t="s">
        <v>49</v>
      </c>
      <c r="E1197" t="s">
        <v>295</v>
      </c>
      <c r="F1197" s="41"/>
      <c r="G1197" s="80" t="s">
        <v>18</v>
      </c>
      <c r="H1197" s="80" t="s">
        <v>9</v>
      </c>
      <c r="I1197" s="81" t="s">
        <v>443</v>
      </c>
      <c r="J1197" t="s">
        <v>6</v>
      </c>
    </row>
    <row r="1198" spans="3:10" hidden="1">
      <c r="C1198">
        <v>111031</v>
      </c>
      <c r="D1198" t="s">
        <v>49</v>
      </c>
      <c r="E1198" t="s">
        <v>296</v>
      </c>
      <c r="F1198" s="41"/>
      <c r="G1198" s="80" t="s">
        <v>18</v>
      </c>
      <c r="H1198" s="80" t="s">
        <v>9</v>
      </c>
      <c r="I1198" s="81" t="s">
        <v>443</v>
      </c>
      <c r="J1198" t="s">
        <v>6</v>
      </c>
    </row>
    <row r="1199" spans="3:10" hidden="1">
      <c r="C1199">
        <v>111032</v>
      </c>
      <c r="D1199" t="s">
        <v>120</v>
      </c>
      <c r="E1199" t="s">
        <v>297</v>
      </c>
      <c r="F1199" s="41"/>
      <c r="G1199" s="80" t="s">
        <v>18</v>
      </c>
      <c r="H1199" s="80" t="s">
        <v>9</v>
      </c>
      <c r="I1199" s="81" t="s">
        <v>443</v>
      </c>
      <c r="J1199" t="s">
        <v>6</v>
      </c>
    </row>
    <row r="1200" spans="3:10" hidden="1">
      <c r="C1200">
        <v>111033</v>
      </c>
      <c r="D1200" t="s">
        <v>49</v>
      </c>
      <c r="E1200" t="s">
        <v>298</v>
      </c>
      <c r="F1200" s="41"/>
      <c r="G1200" s="80" t="s">
        <v>18</v>
      </c>
      <c r="H1200" s="80" t="s">
        <v>9</v>
      </c>
      <c r="I1200" s="81" t="s">
        <v>443</v>
      </c>
      <c r="J1200" t="s">
        <v>6</v>
      </c>
    </row>
    <row r="1201" spans="3:10" hidden="1">
      <c r="C1201">
        <v>111034</v>
      </c>
      <c r="D1201" t="s">
        <v>58</v>
      </c>
      <c r="E1201" t="s">
        <v>299</v>
      </c>
      <c r="F1201" s="41"/>
      <c r="G1201" s="80" t="s">
        <v>18</v>
      </c>
      <c r="H1201" s="80" t="s">
        <v>9</v>
      </c>
      <c r="I1201" s="81" t="s">
        <v>443</v>
      </c>
      <c r="J1201" t="s">
        <v>6</v>
      </c>
    </row>
    <row r="1202" spans="3:10" hidden="1">
      <c r="C1202">
        <v>111035</v>
      </c>
      <c r="D1202" t="s">
        <v>49</v>
      </c>
      <c r="E1202" t="s">
        <v>300</v>
      </c>
      <c r="F1202" s="41"/>
      <c r="G1202" s="80" t="s">
        <v>18</v>
      </c>
      <c r="H1202" s="80" t="s">
        <v>9</v>
      </c>
      <c r="I1202" s="81" t="s">
        <v>443</v>
      </c>
      <c r="J1202" t="s">
        <v>6</v>
      </c>
    </row>
    <row r="1203" spans="3:10" hidden="1">
      <c r="C1203">
        <v>111036</v>
      </c>
      <c r="D1203" t="s">
        <v>49</v>
      </c>
      <c r="E1203" t="s">
        <v>57</v>
      </c>
      <c r="F1203" s="41"/>
      <c r="G1203" s="80" t="s">
        <v>18</v>
      </c>
      <c r="H1203" s="80" t="s">
        <v>9</v>
      </c>
      <c r="I1203" s="81" t="s">
        <v>443</v>
      </c>
      <c r="J1203" t="s">
        <v>6</v>
      </c>
    </row>
    <row r="1204" spans="3:10" hidden="1">
      <c r="C1204">
        <v>111037</v>
      </c>
      <c r="D1204" t="s">
        <v>58</v>
      </c>
      <c r="E1204" t="s">
        <v>59</v>
      </c>
      <c r="F1204" s="41"/>
      <c r="G1204" s="80" t="s">
        <v>18</v>
      </c>
      <c r="H1204" s="80" t="s">
        <v>9</v>
      </c>
      <c r="I1204" s="81" t="s">
        <v>443</v>
      </c>
      <c r="J1204" t="s">
        <v>6</v>
      </c>
    </row>
    <row r="1205" spans="3:10" hidden="1">
      <c r="C1205">
        <v>112000</v>
      </c>
      <c r="D1205" t="s">
        <v>48</v>
      </c>
      <c r="E1205" t="s">
        <v>444</v>
      </c>
      <c r="F1205" s="41"/>
      <c r="G1205" s="80" t="s">
        <v>18</v>
      </c>
      <c r="H1205" s="80" t="s">
        <v>9</v>
      </c>
      <c r="I1205" s="81" t="s">
        <v>444</v>
      </c>
      <c r="J1205" t="s">
        <v>6</v>
      </c>
    </row>
    <row r="1206" spans="3:10" hidden="1">
      <c r="C1206">
        <v>112001</v>
      </c>
      <c r="D1206" t="s">
        <v>49</v>
      </c>
      <c r="E1206" t="s">
        <v>445</v>
      </c>
      <c r="F1206" s="41"/>
      <c r="G1206" s="80" t="s">
        <v>18</v>
      </c>
      <c r="H1206" s="80" t="s">
        <v>9</v>
      </c>
      <c r="I1206" s="81" t="s">
        <v>444</v>
      </c>
      <c r="J1206" t="s">
        <v>6</v>
      </c>
    </row>
    <row r="1207" spans="3:10" hidden="1">
      <c r="C1207">
        <v>112002</v>
      </c>
      <c r="D1207" t="s">
        <v>49</v>
      </c>
      <c r="E1207" t="s">
        <v>260</v>
      </c>
      <c r="F1207" s="41"/>
      <c r="G1207" s="80" t="s">
        <v>18</v>
      </c>
      <c r="H1207" s="80" t="s">
        <v>9</v>
      </c>
      <c r="I1207" s="81" t="s">
        <v>444</v>
      </c>
      <c r="J1207" t="s">
        <v>6</v>
      </c>
    </row>
    <row r="1208" spans="3:10" hidden="1">
      <c r="C1208">
        <v>112003</v>
      </c>
      <c r="D1208" t="s">
        <v>49</v>
      </c>
      <c r="E1208" t="s">
        <v>261</v>
      </c>
      <c r="F1208" s="41"/>
      <c r="G1208" s="80" t="s">
        <v>18</v>
      </c>
      <c r="H1208" s="80" t="s">
        <v>9</v>
      </c>
      <c r="I1208" s="81" t="s">
        <v>444</v>
      </c>
      <c r="J1208" t="s">
        <v>6</v>
      </c>
    </row>
    <row r="1209" spans="3:10" hidden="1">
      <c r="C1209">
        <v>112004</v>
      </c>
      <c r="D1209" t="s">
        <v>49</v>
      </c>
      <c r="E1209" t="s">
        <v>446</v>
      </c>
      <c r="F1209" s="41"/>
      <c r="G1209" s="80" t="s">
        <v>18</v>
      </c>
      <c r="H1209" s="80" t="s">
        <v>9</v>
      </c>
      <c r="I1209" s="81" t="s">
        <v>444</v>
      </c>
      <c r="J1209" t="s">
        <v>6</v>
      </c>
    </row>
    <row r="1210" spans="3:10" hidden="1">
      <c r="C1210">
        <v>112005</v>
      </c>
      <c r="D1210" t="s">
        <v>49</v>
      </c>
      <c r="E1210" t="s">
        <v>447</v>
      </c>
      <c r="F1210" s="41"/>
      <c r="G1210" s="80" t="s">
        <v>18</v>
      </c>
      <c r="H1210" s="80" t="s">
        <v>9</v>
      </c>
      <c r="I1210" s="81" t="s">
        <v>444</v>
      </c>
      <c r="J1210" t="s">
        <v>6</v>
      </c>
    </row>
    <row r="1211" spans="3:10" hidden="1">
      <c r="C1211">
        <v>112006</v>
      </c>
      <c r="D1211" t="s">
        <v>49</v>
      </c>
      <c r="E1211" t="s">
        <v>1696</v>
      </c>
      <c r="F1211" s="41"/>
      <c r="G1211" s="80" t="s">
        <v>18</v>
      </c>
      <c r="H1211" s="80" t="s">
        <v>9</v>
      </c>
      <c r="I1211" s="81" t="s">
        <v>444</v>
      </c>
      <c r="J1211" t="s">
        <v>6</v>
      </c>
    </row>
    <row r="1212" spans="3:10" hidden="1">
      <c r="C1212">
        <v>112007</v>
      </c>
      <c r="D1212" t="s">
        <v>49</v>
      </c>
      <c r="E1212" t="s">
        <v>57</v>
      </c>
      <c r="F1212" s="41"/>
      <c r="G1212" s="80" t="s">
        <v>18</v>
      </c>
      <c r="H1212" s="80" t="s">
        <v>9</v>
      </c>
      <c r="I1212" s="81" t="s">
        <v>444</v>
      </c>
      <c r="J1212" t="s">
        <v>6</v>
      </c>
    </row>
    <row r="1213" spans="3:10" hidden="1">
      <c r="C1213">
        <v>112008</v>
      </c>
      <c r="D1213" t="s">
        <v>58</v>
      </c>
      <c r="E1213" t="s">
        <v>59</v>
      </c>
      <c r="F1213" s="41"/>
      <c r="G1213" s="80" t="s">
        <v>18</v>
      </c>
      <c r="H1213" s="80" t="s">
        <v>9</v>
      </c>
      <c r="I1213" s="81" t="s">
        <v>444</v>
      </c>
      <c r="J1213" t="s">
        <v>6</v>
      </c>
    </row>
    <row r="1214" spans="3:10" hidden="1">
      <c r="C1214">
        <v>113000</v>
      </c>
      <c r="D1214" t="s">
        <v>48</v>
      </c>
      <c r="E1214" t="s">
        <v>449</v>
      </c>
      <c r="F1214" s="41"/>
      <c r="G1214" s="80" t="s">
        <v>18</v>
      </c>
      <c r="H1214" s="80" t="s">
        <v>9</v>
      </c>
      <c r="I1214" s="81" t="s">
        <v>449</v>
      </c>
      <c r="J1214" t="s">
        <v>6</v>
      </c>
    </row>
    <row r="1215" spans="3:10" hidden="1">
      <c r="C1215">
        <v>113001</v>
      </c>
      <c r="D1215" t="s">
        <v>49</v>
      </c>
      <c r="E1215" t="s">
        <v>339</v>
      </c>
      <c r="F1215" s="41"/>
      <c r="G1215" s="80" t="s">
        <v>18</v>
      </c>
      <c r="H1215" s="80" t="s">
        <v>9</v>
      </c>
      <c r="I1215" s="81" t="s">
        <v>449</v>
      </c>
      <c r="J1215" t="s">
        <v>6</v>
      </c>
    </row>
    <row r="1216" spans="3:10" hidden="1">
      <c r="C1216">
        <v>113002</v>
      </c>
      <c r="D1216" t="s">
        <v>49</v>
      </c>
      <c r="E1216" t="s">
        <v>340</v>
      </c>
      <c r="F1216" s="41"/>
      <c r="G1216" s="80" t="s">
        <v>18</v>
      </c>
      <c r="H1216" s="80" t="s">
        <v>9</v>
      </c>
      <c r="I1216" s="81" t="s">
        <v>449</v>
      </c>
      <c r="J1216" t="s">
        <v>6</v>
      </c>
    </row>
    <row r="1217" spans="3:10" hidden="1">
      <c r="C1217">
        <v>113003</v>
      </c>
      <c r="D1217" t="s">
        <v>49</v>
      </c>
      <c r="E1217" t="s">
        <v>341</v>
      </c>
      <c r="F1217" s="41"/>
      <c r="G1217" s="80" t="s">
        <v>18</v>
      </c>
      <c r="H1217" s="80" t="s">
        <v>9</v>
      </c>
      <c r="I1217" s="81" t="s">
        <v>449</v>
      </c>
      <c r="J1217" t="s">
        <v>6</v>
      </c>
    </row>
    <row r="1218" spans="3:10" hidden="1">
      <c r="C1218">
        <v>113004</v>
      </c>
      <c r="D1218" t="s">
        <v>49</v>
      </c>
      <c r="E1218" t="s">
        <v>450</v>
      </c>
      <c r="F1218" s="41"/>
      <c r="G1218" s="80" t="s">
        <v>18</v>
      </c>
      <c r="H1218" s="80" t="s">
        <v>9</v>
      </c>
      <c r="I1218" s="81" t="s">
        <v>449</v>
      </c>
      <c r="J1218" t="s">
        <v>6</v>
      </c>
    </row>
    <row r="1219" spans="3:10" hidden="1">
      <c r="C1219">
        <v>113005</v>
      </c>
      <c r="D1219" t="s">
        <v>49</v>
      </c>
      <c r="E1219" t="s">
        <v>57</v>
      </c>
      <c r="F1219" s="41"/>
      <c r="G1219" s="80" t="s">
        <v>18</v>
      </c>
      <c r="H1219" s="80" t="s">
        <v>9</v>
      </c>
      <c r="I1219" s="81" t="s">
        <v>449</v>
      </c>
      <c r="J1219" t="s">
        <v>6</v>
      </c>
    </row>
    <row r="1220" spans="3:10" hidden="1">
      <c r="C1220">
        <v>113006</v>
      </c>
      <c r="D1220" t="s">
        <v>58</v>
      </c>
      <c r="E1220" t="s">
        <v>59</v>
      </c>
      <c r="F1220" s="41"/>
      <c r="G1220" s="80" t="s">
        <v>18</v>
      </c>
      <c r="H1220" s="80" t="s">
        <v>9</v>
      </c>
      <c r="I1220" s="81" t="s">
        <v>449</v>
      </c>
      <c r="J1220" t="s">
        <v>6</v>
      </c>
    </row>
    <row r="1221" spans="3:10" hidden="1">
      <c r="C1221">
        <v>114000</v>
      </c>
      <c r="D1221" t="s">
        <v>48</v>
      </c>
      <c r="E1221" t="s">
        <v>451</v>
      </c>
      <c r="F1221" s="41"/>
      <c r="G1221" s="80" t="s">
        <v>18</v>
      </c>
      <c r="H1221" s="80" t="s">
        <v>9</v>
      </c>
      <c r="I1221" s="81" t="s">
        <v>451</v>
      </c>
      <c r="J1221" t="s">
        <v>6</v>
      </c>
    </row>
    <row r="1222" spans="3:10" hidden="1">
      <c r="C1222">
        <v>114001</v>
      </c>
      <c r="D1222" t="s">
        <v>49</v>
      </c>
      <c r="E1222" t="s">
        <v>339</v>
      </c>
      <c r="F1222" s="41"/>
      <c r="G1222" s="80" t="s">
        <v>18</v>
      </c>
      <c r="H1222" s="80" t="s">
        <v>9</v>
      </c>
      <c r="I1222" s="81" t="s">
        <v>451</v>
      </c>
      <c r="J1222" t="s">
        <v>6</v>
      </c>
    </row>
    <row r="1223" spans="3:10" hidden="1">
      <c r="C1223">
        <v>114002</v>
      </c>
      <c r="D1223" t="s">
        <v>49</v>
      </c>
      <c r="E1223" t="s">
        <v>340</v>
      </c>
      <c r="F1223" s="41"/>
      <c r="G1223" s="80" t="s">
        <v>18</v>
      </c>
      <c r="H1223" s="80" t="s">
        <v>9</v>
      </c>
      <c r="I1223" s="81" t="s">
        <v>451</v>
      </c>
      <c r="J1223" t="s">
        <v>6</v>
      </c>
    </row>
    <row r="1224" spans="3:10" hidden="1">
      <c r="C1224">
        <v>114003</v>
      </c>
      <c r="D1224" t="s">
        <v>49</v>
      </c>
      <c r="E1224" t="s">
        <v>341</v>
      </c>
      <c r="F1224" s="41"/>
      <c r="G1224" s="80" t="s">
        <v>18</v>
      </c>
      <c r="H1224" s="80" t="s">
        <v>9</v>
      </c>
      <c r="I1224" s="81" t="s">
        <v>451</v>
      </c>
      <c r="J1224" t="s">
        <v>6</v>
      </c>
    </row>
    <row r="1225" spans="3:10" hidden="1">
      <c r="C1225">
        <v>114004</v>
      </c>
      <c r="D1225" t="s">
        <v>49</v>
      </c>
      <c r="E1225" t="s">
        <v>452</v>
      </c>
      <c r="F1225" s="41"/>
      <c r="G1225" s="80" t="s">
        <v>18</v>
      </c>
      <c r="H1225" s="80" t="s">
        <v>9</v>
      </c>
      <c r="I1225" s="81" t="s">
        <v>451</v>
      </c>
      <c r="J1225" t="s">
        <v>6</v>
      </c>
    </row>
    <row r="1226" spans="3:10" hidden="1">
      <c r="C1226">
        <v>114005</v>
      </c>
      <c r="D1226" t="s">
        <v>49</v>
      </c>
      <c r="E1226" t="s">
        <v>57</v>
      </c>
      <c r="F1226" s="41"/>
      <c r="G1226" s="80" t="s">
        <v>18</v>
      </c>
      <c r="H1226" s="80" t="s">
        <v>9</v>
      </c>
      <c r="I1226" s="81" t="s">
        <v>451</v>
      </c>
      <c r="J1226" t="s">
        <v>6</v>
      </c>
    </row>
    <row r="1227" spans="3:10" hidden="1">
      <c r="C1227">
        <v>114006</v>
      </c>
      <c r="D1227" t="s">
        <v>58</v>
      </c>
      <c r="E1227" t="s">
        <v>59</v>
      </c>
      <c r="F1227" s="41"/>
      <c r="G1227" s="80" t="s">
        <v>18</v>
      </c>
      <c r="H1227" s="80" t="s">
        <v>9</v>
      </c>
      <c r="I1227" s="81" t="s">
        <v>451</v>
      </c>
      <c r="J1227" t="s">
        <v>6</v>
      </c>
    </row>
    <row r="1228" spans="3:10" hidden="1">
      <c r="C1228">
        <v>115000</v>
      </c>
      <c r="D1228" t="s">
        <v>48</v>
      </c>
      <c r="E1228" t="s">
        <v>453</v>
      </c>
      <c r="F1228" s="41"/>
      <c r="G1228" s="80" t="s">
        <v>22</v>
      </c>
      <c r="H1228" s="80" t="s">
        <v>9</v>
      </c>
      <c r="I1228" s="81" t="s">
        <v>453</v>
      </c>
      <c r="J1228" t="s">
        <v>6</v>
      </c>
    </row>
    <row r="1229" spans="3:10" hidden="1">
      <c r="C1229">
        <v>115001</v>
      </c>
      <c r="D1229" t="s">
        <v>49</v>
      </c>
      <c r="E1229" t="s">
        <v>454</v>
      </c>
      <c r="F1229" s="41"/>
      <c r="G1229" s="80" t="s">
        <v>22</v>
      </c>
      <c r="H1229" s="80" t="s">
        <v>9</v>
      </c>
      <c r="I1229" s="81" t="s">
        <v>453</v>
      </c>
      <c r="J1229" t="s">
        <v>6</v>
      </c>
    </row>
    <row r="1230" spans="3:10" hidden="1">
      <c r="C1230">
        <v>115002</v>
      </c>
      <c r="D1230" t="s">
        <v>49</v>
      </c>
      <c r="E1230" t="s">
        <v>455</v>
      </c>
      <c r="F1230" s="41"/>
      <c r="G1230" s="80" t="s">
        <v>22</v>
      </c>
      <c r="H1230" s="80" t="s">
        <v>9</v>
      </c>
      <c r="I1230" s="81" t="s">
        <v>453</v>
      </c>
      <c r="J1230" t="s">
        <v>6</v>
      </c>
    </row>
    <row r="1231" spans="3:10" hidden="1">
      <c r="C1231">
        <v>115003</v>
      </c>
      <c r="D1231" t="s">
        <v>49</v>
      </c>
      <c r="E1231" t="s">
        <v>1697</v>
      </c>
      <c r="F1231" s="41"/>
      <c r="G1231" s="80" t="s">
        <v>22</v>
      </c>
      <c r="H1231" s="80" t="s">
        <v>9</v>
      </c>
      <c r="I1231" s="81" t="s">
        <v>453</v>
      </c>
      <c r="J1231" t="s">
        <v>6</v>
      </c>
    </row>
    <row r="1232" spans="3:10" hidden="1">
      <c r="C1232">
        <v>115004</v>
      </c>
      <c r="D1232" t="s">
        <v>49</v>
      </c>
      <c r="E1232" t="s">
        <v>457</v>
      </c>
      <c r="F1232" s="41"/>
      <c r="G1232" s="80" t="s">
        <v>22</v>
      </c>
      <c r="H1232" s="80" t="s">
        <v>9</v>
      </c>
      <c r="I1232" s="81" t="s">
        <v>453</v>
      </c>
      <c r="J1232" t="s">
        <v>6</v>
      </c>
    </row>
    <row r="1233" spans="3:10" hidden="1">
      <c r="C1233">
        <v>115005</v>
      </c>
      <c r="D1233" t="s">
        <v>49</v>
      </c>
      <c r="E1233" t="s">
        <v>458</v>
      </c>
      <c r="F1233" s="41"/>
      <c r="G1233" s="80" t="s">
        <v>22</v>
      </c>
      <c r="H1233" s="80" t="s">
        <v>9</v>
      </c>
      <c r="I1233" s="81" t="s">
        <v>453</v>
      </c>
      <c r="J1233" t="s">
        <v>6</v>
      </c>
    </row>
    <row r="1234" spans="3:10" hidden="1">
      <c r="C1234">
        <v>115006</v>
      </c>
      <c r="D1234" t="s">
        <v>49</v>
      </c>
      <c r="E1234" t="s">
        <v>459</v>
      </c>
      <c r="F1234" s="41"/>
      <c r="G1234" s="80" t="s">
        <v>22</v>
      </c>
      <c r="H1234" s="80" t="s">
        <v>9</v>
      </c>
      <c r="I1234" s="81" t="s">
        <v>453</v>
      </c>
      <c r="J1234" t="s">
        <v>6</v>
      </c>
    </row>
    <row r="1235" spans="3:10" hidden="1">
      <c r="C1235">
        <v>115007</v>
      </c>
      <c r="D1235" t="s">
        <v>49</v>
      </c>
      <c r="E1235" t="s">
        <v>460</v>
      </c>
      <c r="F1235" s="41"/>
      <c r="G1235" s="80" t="s">
        <v>22</v>
      </c>
      <c r="H1235" s="80" t="s">
        <v>9</v>
      </c>
      <c r="I1235" s="81" t="s">
        <v>453</v>
      </c>
      <c r="J1235" t="s">
        <v>6</v>
      </c>
    </row>
    <row r="1236" spans="3:10" hidden="1">
      <c r="C1236">
        <v>115008</v>
      </c>
      <c r="D1236" t="s">
        <v>49</v>
      </c>
      <c r="E1236" t="s">
        <v>461</v>
      </c>
      <c r="F1236" s="41"/>
      <c r="G1236" s="80" t="s">
        <v>22</v>
      </c>
      <c r="H1236" s="80" t="s">
        <v>9</v>
      </c>
      <c r="I1236" s="81" t="s">
        <v>453</v>
      </c>
      <c r="J1236" t="s">
        <v>6</v>
      </c>
    </row>
    <row r="1237" spans="3:10" hidden="1">
      <c r="C1237">
        <v>115009</v>
      </c>
      <c r="D1237" t="s">
        <v>49</v>
      </c>
      <c r="E1237" t="s">
        <v>462</v>
      </c>
      <c r="F1237" s="41"/>
      <c r="G1237" s="80" t="s">
        <v>22</v>
      </c>
      <c r="H1237" s="80" t="s">
        <v>9</v>
      </c>
      <c r="I1237" s="81" t="s">
        <v>453</v>
      </c>
      <c r="J1237" t="s">
        <v>6</v>
      </c>
    </row>
    <row r="1238" spans="3:10" hidden="1">
      <c r="C1238">
        <v>115010</v>
      </c>
      <c r="D1238" t="s">
        <v>49</v>
      </c>
      <c r="E1238" t="s">
        <v>57</v>
      </c>
      <c r="F1238" s="41"/>
      <c r="G1238" s="80" t="s">
        <v>22</v>
      </c>
      <c r="H1238" s="80" t="s">
        <v>9</v>
      </c>
      <c r="I1238" s="81" t="s">
        <v>453</v>
      </c>
      <c r="J1238" t="s">
        <v>6</v>
      </c>
    </row>
    <row r="1239" spans="3:10" hidden="1">
      <c r="C1239">
        <v>115011</v>
      </c>
      <c r="D1239" t="s">
        <v>58</v>
      </c>
      <c r="E1239" t="s">
        <v>59</v>
      </c>
      <c r="F1239" s="41"/>
      <c r="G1239" s="80" t="s">
        <v>22</v>
      </c>
      <c r="H1239" s="80" t="s">
        <v>9</v>
      </c>
      <c r="I1239" s="81" t="s">
        <v>453</v>
      </c>
      <c r="J1239" t="s">
        <v>6</v>
      </c>
    </row>
    <row r="1240" spans="3:10" hidden="1">
      <c r="C1240">
        <v>116000</v>
      </c>
      <c r="D1240" t="s">
        <v>48</v>
      </c>
      <c r="E1240" t="s">
        <v>463</v>
      </c>
      <c r="F1240" s="41"/>
      <c r="G1240" s="80" t="s">
        <v>22</v>
      </c>
      <c r="H1240" s="80" t="s">
        <v>9</v>
      </c>
      <c r="I1240" s="81" t="s">
        <v>463</v>
      </c>
      <c r="J1240" t="s">
        <v>6</v>
      </c>
    </row>
    <row r="1241" spans="3:10" hidden="1">
      <c r="C1241">
        <v>116001</v>
      </c>
      <c r="D1241" t="s">
        <v>49</v>
      </c>
      <c r="E1241" t="s">
        <v>454</v>
      </c>
      <c r="F1241" s="41"/>
      <c r="G1241" s="80" t="s">
        <v>22</v>
      </c>
      <c r="H1241" s="80" t="s">
        <v>9</v>
      </c>
      <c r="I1241" s="81" t="s">
        <v>463</v>
      </c>
      <c r="J1241" t="s">
        <v>6</v>
      </c>
    </row>
    <row r="1242" spans="3:10" hidden="1">
      <c r="C1242">
        <v>116002</v>
      </c>
      <c r="D1242" t="s">
        <v>49</v>
      </c>
      <c r="E1242" t="s">
        <v>455</v>
      </c>
      <c r="F1242" s="41"/>
      <c r="G1242" s="80" t="s">
        <v>22</v>
      </c>
      <c r="H1242" s="80" t="s">
        <v>9</v>
      </c>
      <c r="I1242" s="81" t="s">
        <v>463</v>
      </c>
      <c r="J1242" t="s">
        <v>6</v>
      </c>
    </row>
    <row r="1243" spans="3:10" hidden="1">
      <c r="C1243">
        <v>116003</v>
      </c>
      <c r="D1243" t="s">
        <v>49</v>
      </c>
      <c r="E1243" t="s">
        <v>1697</v>
      </c>
      <c r="F1243" s="41"/>
      <c r="G1243" s="80" t="s">
        <v>22</v>
      </c>
      <c r="H1243" s="80" t="s">
        <v>9</v>
      </c>
      <c r="I1243" s="81" t="s">
        <v>463</v>
      </c>
      <c r="J1243" t="s">
        <v>6</v>
      </c>
    </row>
    <row r="1244" spans="3:10" hidden="1">
      <c r="C1244">
        <v>116004</v>
      </c>
      <c r="D1244" t="s">
        <v>49</v>
      </c>
      <c r="E1244" t="s">
        <v>464</v>
      </c>
      <c r="F1244" s="41"/>
      <c r="G1244" s="80" t="s">
        <v>22</v>
      </c>
      <c r="H1244" s="80" t="s">
        <v>9</v>
      </c>
      <c r="I1244" s="81" t="s">
        <v>463</v>
      </c>
      <c r="J1244" t="s">
        <v>6</v>
      </c>
    </row>
    <row r="1245" spans="3:10" hidden="1">
      <c r="C1245">
        <v>116005</v>
      </c>
      <c r="D1245" t="s">
        <v>49</v>
      </c>
      <c r="E1245" t="s">
        <v>458</v>
      </c>
      <c r="F1245" s="41"/>
      <c r="G1245" s="80" t="s">
        <v>22</v>
      </c>
      <c r="H1245" s="80" t="s">
        <v>9</v>
      </c>
      <c r="I1245" s="81" t="s">
        <v>463</v>
      </c>
      <c r="J1245" t="s">
        <v>6</v>
      </c>
    </row>
    <row r="1246" spans="3:10" hidden="1">
      <c r="C1246">
        <v>116006</v>
      </c>
      <c r="D1246" t="s">
        <v>49</v>
      </c>
      <c r="E1246" t="s">
        <v>459</v>
      </c>
      <c r="F1246" s="41"/>
      <c r="G1246" s="80" t="s">
        <v>22</v>
      </c>
      <c r="H1246" s="80" t="s">
        <v>9</v>
      </c>
      <c r="I1246" s="81" t="s">
        <v>463</v>
      </c>
      <c r="J1246" t="s">
        <v>6</v>
      </c>
    </row>
    <row r="1247" spans="3:10" hidden="1">
      <c r="C1247">
        <v>116007</v>
      </c>
      <c r="D1247" t="s">
        <v>49</v>
      </c>
      <c r="E1247" t="s">
        <v>465</v>
      </c>
      <c r="F1247" s="41"/>
      <c r="G1247" s="80" t="s">
        <v>22</v>
      </c>
      <c r="H1247" s="80" t="s">
        <v>9</v>
      </c>
      <c r="I1247" s="81" t="s">
        <v>463</v>
      </c>
      <c r="J1247" t="s">
        <v>6</v>
      </c>
    </row>
    <row r="1248" spans="3:10" hidden="1">
      <c r="C1248">
        <v>116008</v>
      </c>
      <c r="D1248" t="s">
        <v>49</v>
      </c>
      <c r="E1248" t="s">
        <v>466</v>
      </c>
      <c r="F1248" s="41"/>
      <c r="G1248" s="80" t="s">
        <v>22</v>
      </c>
      <c r="H1248" s="80" t="s">
        <v>9</v>
      </c>
      <c r="I1248" s="81" t="s">
        <v>463</v>
      </c>
      <c r="J1248" t="s">
        <v>6</v>
      </c>
    </row>
    <row r="1249" spans="3:10" hidden="1">
      <c r="C1249">
        <v>116009</v>
      </c>
      <c r="D1249" t="s">
        <v>49</v>
      </c>
      <c r="E1249" t="s">
        <v>467</v>
      </c>
      <c r="F1249" s="41"/>
      <c r="G1249" s="80" t="s">
        <v>22</v>
      </c>
      <c r="H1249" s="80" t="s">
        <v>9</v>
      </c>
      <c r="I1249" s="81" t="s">
        <v>463</v>
      </c>
      <c r="J1249" t="s">
        <v>6</v>
      </c>
    </row>
    <row r="1250" spans="3:10" hidden="1">
      <c r="C1250">
        <v>116010</v>
      </c>
      <c r="D1250" t="s">
        <v>49</v>
      </c>
      <c r="E1250" t="s">
        <v>461</v>
      </c>
      <c r="F1250" s="41"/>
      <c r="G1250" s="80" t="s">
        <v>22</v>
      </c>
      <c r="H1250" s="80" t="s">
        <v>9</v>
      </c>
      <c r="I1250" s="81" t="s">
        <v>463</v>
      </c>
      <c r="J1250" t="s">
        <v>6</v>
      </c>
    </row>
    <row r="1251" spans="3:10" hidden="1">
      <c r="C1251">
        <v>116011</v>
      </c>
      <c r="D1251" t="s">
        <v>49</v>
      </c>
      <c r="E1251" t="s">
        <v>468</v>
      </c>
      <c r="F1251" s="41"/>
      <c r="G1251" s="80" t="s">
        <v>22</v>
      </c>
      <c r="H1251" s="80" t="s">
        <v>9</v>
      </c>
      <c r="I1251" s="81" t="s">
        <v>463</v>
      </c>
      <c r="J1251" t="s">
        <v>6</v>
      </c>
    </row>
    <row r="1252" spans="3:10" hidden="1">
      <c r="C1252">
        <v>116012</v>
      </c>
      <c r="D1252" t="s">
        <v>49</v>
      </c>
      <c r="E1252" t="s">
        <v>57</v>
      </c>
      <c r="F1252" s="41"/>
      <c r="G1252" s="80" t="s">
        <v>22</v>
      </c>
      <c r="H1252" s="80" t="s">
        <v>9</v>
      </c>
      <c r="I1252" s="81" t="s">
        <v>463</v>
      </c>
      <c r="J1252" t="s">
        <v>6</v>
      </c>
    </row>
    <row r="1253" spans="3:10" hidden="1">
      <c r="C1253">
        <v>116013</v>
      </c>
      <c r="D1253" t="s">
        <v>58</v>
      </c>
      <c r="E1253" t="s">
        <v>59</v>
      </c>
      <c r="F1253" s="41"/>
      <c r="G1253" s="80" t="s">
        <v>22</v>
      </c>
      <c r="H1253" s="80" t="s">
        <v>9</v>
      </c>
      <c r="I1253" s="81" t="s">
        <v>463</v>
      </c>
      <c r="J1253" t="s">
        <v>6</v>
      </c>
    </row>
    <row r="1254" spans="3:10" hidden="1">
      <c r="C1254">
        <v>117000</v>
      </c>
      <c r="D1254" t="s">
        <v>48</v>
      </c>
      <c r="E1254" t="s">
        <v>469</v>
      </c>
      <c r="F1254" s="41"/>
      <c r="G1254" s="80" t="s">
        <v>22</v>
      </c>
      <c r="H1254" s="80" t="s">
        <v>9</v>
      </c>
      <c r="I1254" s="81" t="s">
        <v>469</v>
      </c>
      <c r="J1254" t="s">
        <v>6</v>
      </c>
    </row>
    <row r="1255" spans="3:10" hidden="1">
      <c r="C1255">
        <v>117001</v>
      </c>
      <c r="D1255" t="s">
        <v>49</v>
      </c>
      <c r="E1255" t="s">
        <v>470</v>
      </c>
      <c r="F1255" s="41"/>
      <c r="G1255" s="80" t="s">
        <v>22</v>
      </c>
      <c r="H1255" s="80" t="s">
        <v>9</v>
      </c>
      <c r="I1255" s="81" t="s">
        <v>469</v>
      </c>
      <c r="J1255" t="s">
        <v>6</v>
      </c>
    </row>
    <row r="1256" spans="3:10" hidden="1">
      <c r="C1256">
        <v>117002</v>
      </c>
      <c r="D1256" t="s">
        <v>49</v>
      </c>
      <c r="E1256" t="s">
        <v>471</v>
      </c>
      <c r="F1256" s="41"/>
      <c r="G1256" s="80" t="s">
        <v>22</v>
      </c>
      <c r="H1256" s="80" t="s">
        <v>9</v>
      </c>
      <c r="I1256" s="81" t="s">
        <v>469</v>
      </c>
      <c r="J1256" t="s">
        <v>6</v>
      </c>
    </row>
    <row r="1257" spans="3:10" hidden="1">
      <c r="C1257">
        <v>117003</v>
      </c>
      <c r="D1257" t="s">
        <v>49</v>
      </c>
      <c r="E1257" t="s">
        <v>472</v>
      </c>
      <c r="F1257" s="41"/>
      <c r="G1257" s="80" t="s">
        <v>22</v>
      </c>
      <c r="H1257" s="80" t="s">
        <v>9</v>
      </c>
      <c r="I1257" s="81" t="s">
        <v>469</v>
      </c>
      <c r="J1257" t="s">
        <v>6</v>
      </c>
    </row>
    <row r="1258" spans="3:10" hidden="1">
      <c r="C1258">
        <v>117004</v>
      </c>
      <c r="D1258" t="s">
        <v>49</v>
      </c>
      <c r="E1258" t="s">
        <v>473</v>
      </c>
      <c r="F1258" s="41"/>
      <c r="G1258" s="80" t="s">
        <v>22</v>
      </c>
      <c r="H1258" s="80" t="s">
        <v>9</v>
      </c>
      <c r="I1258" s="81" t="s">
        <v>469</v>
      </c>
      <c r="J1258" t="s">
        <v>6</v>
      </c>
    </row>
    <row r="1259" spans="3:10" hidden="1">
      <c r="C1259">
        <v>117005</v>
      </c>
      <c r="D1259" t="s">
        <v>49</v>
      </c>
      <c r="E1259" t="s">
        <v>57</v>
      </c>
      <c r="F1259" s="41"/>
      <c r="G1259" s="80" t="s">
        <v>22</v>
      </c>
      <c r="H1259" s="80" t="s">
        <v>9</v>
      </c>
      <c r="I1259" s="81" t="s">
        <v>469</v>
      </c>
      <c r="J1259" t="s">
        <v>6</v>
      </c>
    </row>
    <row r="1260" spans="3:10" hidden="1">
      <c r="C1260">
        <v>117006</v>
      </c>
      <c r="D1260" t="s">
        <v>58</v>
      </c>
      <c r="E1260" t="s">
        <v>59</v>
      </c>
      <c r="F1260" s="41"/>
      <c r="G1260" s="80" t="s">
        <v>22</v>
      </c>
      <c r="H1260" s="80" t="s">
        <v>9</v>
      </c>
      <c r="I1260" s="81" t="s">
        <v>469</v>
      </c>
      <c r="J1260" t="s">
        <v>6</v>
      </c>
    </row>
    <row r="1261" spans="3:10" hidden="1">
      <c r="C1261">
        <v>118000</v>
      </c>
      <c r="D1261" t="s">
        <v>48</v>
      </c>
      <c r="E1261" t="s">
        <v>474</v>
      </c>
      <c r="F1261" s="41"/>
      <c r="G1261" s="80" t="s">
        <v>22</v>
      </c>
      <c r="H1261" s="80" t="s">
        <v>9</v>
      </c>
      <c r="I1261" s="81" t="s">
        <v>474</v>
      </c>
      <c r="J1261" t="s">
        <v>6</v>
      </c>
    </row>
    <row r="1262" spans="3:10" hidden="1">
      <c r="C1262">
        <v>118001</v>
      </c>
      <c r="D1262" t="s">
        <v>49</v>
      </c>
      <c r="E1262" t="s">
        <v>475</v>
      </c>
      <c r="F1262" s="41"/>
      <c r="G1262" s="80" t="s">
        <v>22</v>
      </c>
      <c r="H1262" s="80" t="s">
        <v>9</v>
      </c>
      <c r="I1262" s="81" t="s">
        <v>474</v>
      </c>
      <c r="J1262" t="s">
        <v>6</v>
      </c>
    </row>
    <row r="1263" spans="3:10" hidden="1">
      <c r="C1263">
        <v>118002</v>
      </c>
      <c r="D1263" t="s">
        <v>49</v>
      </c>
      <c r="E1263" t="s">
        <v>476</v>
      </c>
      <c r="F1263" s="41"/>
      <c r="G1263" s="80" t="s">
        <v>22</v>
      </c>
      <c r="H1263" s="80" t="s">
        <v>9</v>
      </c>
      <c r="I1263" s="81" t="s">
        <v>474</v>
      </c>
      <c r="J1263" t="s">
        <v>6</v>
      </c>
    </row>
    <row r="1264" spans="3:10" hidden="1">
      <c r="C1264">
        <v>118003</v>
      </c>
      <c r="D1264" t="s">
        <v>49</v>
      </c>
      <c r="E1264" t="s">
        <v>477</v>
      </c>
      <c r="F1264" s="41"/>
      <c r="G1264" s="80" t="s">
        <v>22</v>
      </c>
      <c r="H1264" s="80" t="s">
        <v>9</v>
      </c>
      <c r="I1264" s="81" t="s">
        <v>474</v>
      </c>
      <c r="J1264" t="s">
        <v>6</v>
      </c>
    </row>
    <row r="1265" spans="3:10" hidden="1">
      <c r="C1265">
        <v>118004</v>
      </c>
      <c r="D1265" t="s">
        <v>49</v>
      </c>
      <c r="E1265" t="s">
        <v>478</v>
      </c>
      <c r="F1265" s="41"/>
      <c r="G1265" s="80" t="s">
        <v>22</v>
      </c>
      <c r="H1265" s="80" t="s">
        <v>9</v>
      </c>
      <c r="I1265" s="81" t="s">
        <v>474</v>
      </c>
      <c r="J1265" t="s">
        <v>6</v>
      </c>
    </row>
    <row r="1266" spans="3:10" hidden="1">
      <c r="C1266">
        <v>118005</v>
      </c>
      <c r="D1266" t="s">
        <v>49</v>
      </c>
      <c r="E1266" t="s">
        <v>479</v>
      </c>
      <c r="F1266" s="41"/>
      <c r="G1266" s="80" t="s">
        <v>22</v>
      </c>
      <c r="H1266" s="80" t="s">
        <v>9</v>
      </c>
      <c r="I1266" s="81" t="s">
        <v>474</v>
      </c>
      <c r="J1266" t="s">
        <v>6</v>
      </c>
    </row>
    <row r="1267" spans="3:10" hidden="1">
      <c r="C1267">
        <v>118006</v>
      </c>
      <c r="D1267" t="s">
        <v>49</v>
      </c>
      <c r="E1267" t="s">
        <v>480</v>
      </c>
      <c r="F1267" s="41"/>
      <c r="G1267" s="80" t="s">
        <v>22</v>
      </c>
      <c r="H1267" s="80" t="s">
        <v>9</v>
      </c>
      <c r="I1267" s="81" t="s">
        <v>474</v>
      </c>
      <c r="J1267" t="s">
        <v>6</v>
      </c>
    </row>
    <row r="1268" spans="3:10" hidden="1">
      <c r="C1268">
        <v>118007</v>
      </c>
      <c r="D1268" t="s">
        <v>49</v>
      </c>
      <c r="E1268" t="s">
        <v>481</v>
      </c>
      <c r="F1268" s="41"/>
      <c r="G1268" s="80" t="s">
        <v>22</v>
      </c>
      <c r="H1268" s="80" t="s">
        <v>9</v>
      </c>
      <c r="I1268" s="81" t="s">
        <v>474</v>
      </c>
      <c r="J1268" t="s">
        <v>6</v>
      </c>
    </row>
    <row r="1269" spans="3:10" hidden="1">
      <c r="C1269">
        <v>118008</v>
      </c>
      <c r="D1269" t="s">
        <v>49</v>
      </c>
      <c r="E1269" t="s">
        <v>482</v>
      </c>
      <c r="F1269" s="41"/>
      <c r="G1269" s="80" t="s">
        <v>22</v>
      </c>
      <c r="H1269" s="80" t="s">
        <v>9</v>
      </c>
      <c r="I1269" s="81" t="s">
        <v>474</v>
      </c>
      <c r="J1269" t="s">
        <v>6</v>
      </c>
    </row>
    <row r="1270" spans="3:10" hidden="1">
      <c r="C1270">
        <v>118009</v>
      </c>
      <c r="D1270" t="s">
        <v>49</v>
      </c>
      <c r="E1270" t="s">
        <v>483</v>
      </c>
      <c r="F1270" s="41"/>
      <c r="G1270" s="80" t="s">
        <v>22</v>
      </c>
      <c r="H1270" s="80" t="s">
        <v>9</v>
      </c>
      <c r="I1270" s="81" t="s">
        <v>474</v>
      </c>
      <c r="J1270" t="s">
        <v>6</v>
      </c>
    </row>
    <row r="1271" spans="3:10" hidden="1">
      <c r="C1271">
        <v>118010</v>
      </c>
      <c r="D1271" t="s">
        <v>49</v>
      </c>
      <c r="E1271" t="s">
        <v>57</v>
      </c>
      <c r="F1271" s="41"/>
      <c r="G1271" s="80" t="s">
        <v>22</v>
      </c>
      <c r="H1271" s="80" t="s">
        <v>9</v>
      </c>
      <c r="I1271" s="81" t="s">
        <v>474</v>
      </c>
      <c r="J1271" t="s">
        <v>6</v>
      </c>
    </row>
    <row r="1272" spans="3:10" hidden="1">
      <c r="C1272">
        <v>118011</v>
      </c>
      <c r="D1272" t="s">
        <v>58</v>
      </c>
      <c r="E1272" t="s">
        <v>59</v>
      </c>
      <c r="F1272" s="41"/>
      <c r="G1272" s="80" t="s">
        <v>22</v>
      </c>
      <c r="H1272" s="80" t="s">
        <v>9</v>
      </c>
      <c r="I1272" s="81" t="s">
        <v>474</v>
      </c>
      <c r="J1272" t="s">
        <v>6</v>
      </c>
    </row>
    <row r="1273" spans="3:10" hidden="1">
      <c r="C1273">
        <v>119000</v>
      </c>
      <c r="D1273" t="s">
        <v>48</v>
      </c>
      <c r="E1273" t="s">
        <v>484</v>
      </c>
      <c r="F1273" s="41"/>
      <c r="G1273" s="80" t="s">
        <v>22</v>
      </c>
      <c r="H1273" s="80" t="s">
        <v>9</v>
      </c>
      <c r="I1273" s="81" t="s">
        <v>484</v>
      </c>
      <c r="J1273" t="s">
        <v>6</v>
      </c>
    </row>
    <row r="1274" spans="3:10" hidden="1">
      <c r="C1274">
        <v>119001</v>
      </c>
      <c r="D1274" t="s">
        <v>49</v>
      </c>
      <c r="E1274" t="s">
        <v>485</v>
      </c>
      <c r="F1274" s="41"/>
      <c r="G1274" s="80" t="s">
        <v>22</v>
      </c>
      <c r="H1274" s="80" t="s">
        <v>9</v>
      </c>
      <c r="I1274" s="81" t="s">
        <v>484</v>
      </c>
      <c r="J1274" t="s">
        <v>6</v>
      </c>
    </row>
    <row r="1275" spans="3:10" hidden="1">
      <c r="C1275">
        <v>119002</v>
      </c>
      <c r="D1275" t="s">
        <v>49</v>
      </c>
      <c r="E1275" t="s">
        <v>486</v>
      </c>
      <c r="F1275" s="41"/>
      <c r="G1275" s="80" t="s">
        <v>22</v>
      </c>
      <c r="H1275" s="80" t="s">
        <v>9</v>
      </c>
      <c r="I1275" s="81" t="s">
        <v>484</v>
      </c>
      <c r="J1275" t="s">
        <v>6</v>
      </c>
    </row>
    <row r="1276" spans="3:10" hidden="1">
      <c r="C1276">
        <v>119003</v>
      </c>
      <c r="D1276" t="s">
        <v>49</v>
      </c>
      <c r="E1276" t="s">
        <v>487</v>
      </c>
      <c r="F1276" s="41"/>
      <c r="G1276" s="80" t="s">
        <v>22</v>
      </c>
      <c r="H1276" s="80" t="s">
        <v>9</v>
      </c>
      <c r="I1276" s="81" t="s">
        <v>484</v>
      </c>
      <c r="J1276" t="s">
        <v>6</v>
      </c>
    </row>
    <row r="1277" spans="3:10" hidden="1">
      <c r="C1277">
        <v>119004</v>
      </c>
      <c r="D1277" t="s">
        <v>49</v>
      </c>
      <c r="E1277" t="s">
        <v>488</v>
      </c>
      <c r="F1277" s="41"/>
      <c r="G1277" s="80" t="s">
        <v>22</v>
      </c>
      <c r="H1277" s="80" t="s">
        <v>9</v>
      </c>
      <c r="I1277" s="81" t="s">
        <v>484</v>
      </c>
      <c r="J1277" t="s">
        <v>6</v>
      </c>
    </row>
    <row r="1278" spans="3:10" hidden="1">
      <c r="C1278">
        <v>119005</v>
      </c>
      <c r="D1278" t="s">
        <v>49</v>
      </c>
      <c r="E1278" t="s">
        <v>489</v>
      </c>
      <c r="F1278" s="41"/>
      <c r="G1278" s="80" t="s">
        <v>22</v>
      </c>
      <c r="H1278" s="80" t="s">
        <v>9</v>
      </c>
      <c r="I1278" s="81" t="s">
        <v>484</v>
      </c>
      <c r="J1278" t="s">
        <v>6</v>
      </c>
    </row>
    <row r="1279" spans="3:10" hidden="1">
      <c r="C1279">
        <v>119006</v>
      </c>
      <c r="D1279" t="s">
        <v>49</v>
      </c>
      <c r="E1279" t="s">
        <v>481</v>
      </c>
      <c r="F1279" s="41"/>
      <c r="G1279" s="80" t="s">
        <v>22</v>
      </c>
      <c r="H1279" s="80" t="s">
        <v>9</v>
      </c>
      <c r="I1279" s="81" t="s">
        <v>484</v>
      </c>
      <c r="J1279" t="s">
        <v>6</v>
      </c>
    </row>
    <row r="1280" spans="3:10" hidden="1">
      <c r="C1280">
        <v>119007</v>
      </c>
      <c r="D1280" t="s">
        <v>49</v>
      </c>
      <c r="E1280" t="s">
        <v>57</v>
      </c>
      <c r="F1280" s="41"/>
      <c r="G1280" s="80" t="s">
        <v>22</v>
      </c>
      <c r="H1280" s="80" t="s">
        <v>9</v>
      </c>
      <c r="I1280" s="81" t="s">
        <v>484</v>
      </c>
      <c r="J1280" t="s">
        <v>6</v>
      </c>
    </row>
    <row r="1281" spans="3:10" hidden="1">
      <c r="C1281">
        <v>119008</v>
      </c>
      <c r="D1281" t="s">
        <v>58</v>
      </c>
      <c r="E1281" t="s">
        <v>59</v>
      </c>
      <c r="F1281" s="41"/>
      <c r="G1281" s="80" t="s">
        <v>22</v>
      </c>
      <c r="H1281" s="80" t="s">
        <v>9</v>
      </c>
      <c r="I1281" s="81" t="s">
        <v>484</v>
      </c>
      <c r="J1281" t="s">
        <v>6</v>
      </c>
    </row>
    <row r="1282" spans="3:10" hidden="1">
      <c r="C1282">
        <v>120000</v>
      </c>
      <c r="D1282" t="s">
        <v>119</v>
      </c>
      <c r="E1282" t="s">
        <v>490</v>
      </c>
      <c r="F1282" s="41"/>
      <c r="G1282" s="80" t="s">
        <v>22</v>
      </c>
      <c r="H1282" s="80" t="s">
        <v>9</v>
      </c>
      <c r="I1282" s="81" t="s">
        <v>490</v>
      </c>
      <c r="J1282" t="s">
        <v>6</v>
      </c>
    </row>
    <row r="1283" spans="3:10" hidden="1">
      <c r="C1283">
        <v>120001</v>
      </c>
      <c r="D1283" t="s">
        <v>120</v>
      </c>
      <c r="E1283" t="s">
        <v>491</v>
      </c>
      <c r="F1283" s="41"/>
      <c r="G1283" s="80" t="s">
        <v>22</v>
      </c>
      <c r="H1283" s="80" t="s">
        <v>9</v>
      </c>
      <c r="I1283" s="81" t="s">
        <v>490</v>
      </c>
      <c r="J1283" t="s">
        <v>6</v>
      </c>
    </row>
    <row r="1284" spans="3:10" hidden="1">
      <c r="C1284">
        <v>120002</v>
      </c>
      <c r="D1284" t="s">
        <v>49</v>
      </c>
      <c r="E1284" t="s">
        <v>492</v>
      </c>
      <c r="F1284" s="41"/>
      <c r="G1284" s="80" t="s">
        <v>22</v>
      </c>
      <c r="H1284" s="80" t="s">
        <v>9</v>
      </c>
      <c r="I1284" s="81" t="s">
        <v>490</v>
      </c>
      <c r="J1284" t="s">
        <v>6</v>
      </c>
    </row>
    <row r="1285" spans="3:10" hidden="1">
      <c r="C1285">
        <v>120003</v>
      </c>
      <c r="D1285" t="s">
        <v>49</v>
      </c>
      <c r="E1285" t="s">
        <v>493</v>
      </c>
      <c r="F1285" s="41"/>
      <c r="G1285" s="80" t="s">
        <v>22</v>
      </c>
      <c r="H1285" s="80" t="s">
        <v>9</v>
      </c>
      <c r="I1285" s="81" t="s">
        <v>490</v>
      </c>
      <c r="J1285" t="s">
        <v>6</v>
      </c>
    </row>
    <row r="1286" spans="3:10" hidden="1">
      <c r="C1286">
        <v>120004</v>
      </c>
      <c r="D1286" t="s">
        <v>49</v>
      </c>
      <c r="E1286" t="s">
        <v>494</v>
      </c>
      <c r="F1286" s="41"/>
      <c r="G1286" s="80" t="s">
        <v>22</v>
      </c>
      <c r="H1286" s="80" t="s">
        <v>9</v>
      </c>
      <c r="I1286" s="81" t="s">
        <v>490</v>
      </c>
      <c r="J1286" t="s">
        <v>6</v>
      </c>
    </row>
    <row r="1287" spans="3:10" hidden="1">
      <c r="C1287">
        <v>120005</v>
      </c>
      <c r="D1287" t="s">
        <v>120</v>
      </c>
      <c r="E1287" t="s">
        <v>495</v>
      </c>
      <c r="F1287" s="41"/>
      <c r="G1287" s="80" t="s">
        <v>22</v>
      </c>
      <c r="H1287" s="80" t="s">
        <v>9</v>
      </c>
      <c r="I1287" s="81" t="s">
        <v>490</v>
      </c>
      <c r="J1287" t="s">
        <v>6</v>
      </c>
    </row>
    <row r="1288" spans="3:10" hidden="1">
      <c r="C1288">
        <v>120006</v>
      </c>
      <c r="D1288" t="s">
        <v>49</v>
      </c>
      <c r="E1288" t="s">
        <v>496</v>
      </c>
      <c r="F1288" s="41"/>
      <c r="G1288" s="80" t="s">
        <v>22</v>
      </c>
      <c r="H1288" s="80" t="s">
        <v>9</v>
      </c>
      <c r="I1288" s="81" t="s">
        <v>490</v>
      </c>
      <c r="J1288" t="s">
        <v>6</v>
      </c>
    </row>
    <row r="1289" spans="3:10" hidden="1">
      <c r="C1289">
        <v>120007</v>
      </c>
      <c r="D1289" t="s">
        <v>49</v>
      </c>
      <c r="E1289" t="s">
        <v>497</v>
      </c>
      <c r="F1289" s="41"/>
      <c r="G1289" s="80" t="s">
        <v>22</v>
      </c>
      <c r="H1289" s="80" t="s">
        <v>9</v>
      </c>
      <c r="I1289" s="81" t="s">
        <v>490</v>
      </c>
      <c r="J1289" t="s">
        <v>6</v>
      </c>
    </row>
    <row r="1290" spans="3:10" hidden="1">
      <c r="C1290">
        <v>120008</v>
      </c>
      <c r="D1290" t="s">
        <v>49</v>
      </c>
      <c r="E1290" t="s">
        <v>498</v>
      </c>
      <c r="F1290" s="41"/>
      <c r="G1290" s="80" t="s">
        <v>22</v>
      </c>
      <c r="H1290" s="80" t="s">
        <v>9</v>
      </c>
      <c r="I1290" s="81" t="s">
        <v>490</v>
      </c>
      <c r="J1290" t="s">
        <v>6</v>
      </c>
    </row>
    <row r="1291" spans="3:10" hidden="1">
      <c r="C1291">
        <v>120009</v>
      </c>
      <c r="D1291" t="s">
        <v>49</v>
      </c>
      <c r="E1291" t="s">
        <v>499</v>
      </c>
      <c r="F1291" s="41"/>
      <c r="G1291" s="80" t="s">
        <v>22</v>
      </c>
      <c r="H1291" s="80" t="s">
        <v>9</v>
      </c>
      <c r="I1291" s="81" t="s">
        <v>490</v>
      </c>
      <c r="J1291" t="s">
        <v>6</v>
      </c>
    </row>
    <row r="1292" spans="3:10" hidden="1">
      <c r="C1292">
        <v>120010</v>
      </c>
      <c r="D1292" t="s">
        <v>49</v>
      </c>
      <c r="E1292" t="s">
        <v>500</v>
      </c>
      <c r="F1292" s="41"/>
      <c r="G1292" s="80" t="s">
        <v>22</v>
      </c>
      <c r="H1292" s="80" t="s">
        <v>9</v>
      </c>
      <c r="I1292" s="81" t="s">
        <v>490</v>
      </c>
      <c r="J1292" t="s">
        <v>6</v>
      </c>
    </row>
    <row r="1293" spans="3:10" hidden="1">
      <c r="C1293">
        <v>120011</v>
      </c>
      <c r="D1293" t="s">
        <v>49</v>
      </c>
      <c r="E1293" t="s">
        <v>57</v>
      </c>
      <c r="F1293" s="41"/>
      <c r="G1293" s="80" t="s">
        <v>22</v>
      </c>
      <c r="H1293" s="80" t="s">
        <v>9</v>
      </c>
      <c r="I1293" s="81" t="s">
        <v>490</v>
      </c>
      <c r="J1293" t="s">
        <v>6</v>
      </c>
    </row>
    <row r="1294" spans="3:10" hidden="1">
      <c r="C1294">
        <v>120012</v>
      </c>
      <c r="D1294" t="s">
        <v>58</v>
      </c>
      <c r="E1294" t="s">
        <v>59</v>
      </c>
      <c r="F1294" s="41"/>
      <c r="G1294" s="80" t="s">
        <v>22</v>
      </c>
      <c r="H1294" s="80" t="s">
        <v>9</v>
      </c>
      <c r="I1294" s="81" t="s">
        <v>490</v>
      </c>
      <c r="J1294" t="s">
        <v>6</v>
      </c>
    </row>
    <row r="1295" spans="3:10" hidden="1">
      <c r="C1295">
        <v>121000</v>
      </c>
      <c r="D1295" t="s">
        <v>119</v>
      </c>
      <c r="E1295" t="s">
        <v>501</v>
      </c>
      <c r="F1295" s="41"/>
      <c r="G1295" s="80" t="s">
        <v>22</v>
      </c>
      <c r="H1295" s="80" t="s">
        <v>9</v>
      </c>
      <c r="I1295" s="81" t="s">
        <v>501</v>
      </c>
      <c r="J1295" t="s">
        <v>6</v>
      </c>
    </row>
    <row r="1296" spans="3:10" hidden="1">
      <c r="C1296">
        <v>121001</v>
      </c>
      <c r="D1296" t="s">
        <v>120</v>
      </c>
      <c r="E1296" t="s">
        <v>491</v>
      </c>
      <c r="F1296" s="41"/>
      <c r="G1296" s="80" t="s">
        <v>22</v>
      </c>
      <c r="H1296" s="80" t="s">
        <v>9</v>
      </c>
      <c r="I1296" s="81" t="s">
        <v>501</v>
      </c>
      <c r="J1296" t="s">
        <v>6</v>
      </c>
    </row>
    <row r="1297" spans="3:10" hidden="1">
      <c r="C1297">
        <v>121002</v>
      </c>
      <c r="D1297" t="s">
        <v>49</v>
      </c>
      <c r="E1297" t="s">
        <v>502</v>
      </c>
      <c r="F1297" s="41"/>
      <c r="G1297" s="80" t="s">
        <v>22</v>
      </c>
      <c r="H1297" s="80" t="s">
        <v>9</v>
      </c>
      <c r="I1297" s="81" t="s">
        <v>501</v>
      </c>
      <c r="J1297" t="s">
        <v>6</v>
      </c>
    </row>
    <row r="1298" spans="3:10" hidden="1">
      <c r="C1298">
        <v>121003</v>
      </c>
      <c r="D1298" t="s">
        <v>49</v>
      </c>
      <c r="E1298" t="s">
        <v>503</v>
      </c>
      <c r="F1298" s="41"/>
      <c r="G1298" s="80" t="s">
        <v>22</v>
      </c>
      <c r="H1298" s="80" t="s">
        <v>9</v>
      </c>
      <c r="I1298" s="81" t="s">
        <v>501</v>
      </c>
      <c r="J1298" t="s">
        <v>6</v>
      </c>
    </row>
    <row r="1299" spans="3:10" hidden="1">
      <c r="C1299">
        <v>121004</v>
      </c>
      <c r="D1299" t="s">
        <v>120</v>
      </c>
      <c r="E1299" t="s">
        <v>504</v>
      </c>
      <c r="F1299" s="41"/>
      <c r="G1299" s="80" t="s">
        <v>22</v>
      </c>
      <c r="H1299" s="80" t="s">
        <v>9</v>
      </c>
      <c r="I1299" s="81" t="s">
        <v>501</v>
      </c>
      <c r="J1299" t="s">
        <v>6</v>
      </c>
    </row>
    <row r="1300" spans="3:10" hidden="1">
      <c r="C1300">
        <v>121005</v>
      </c>
      <c r="D1300" t="s">
        <v>49</v>
      </c>
      <c r="E1300" t="s">
        <v>505</v>
      </c>
      <c r="F1300" s="41"/>
      <c r="G1300" s="80" t="s">
        <v>22</v>
      </c>
      <c r="H1300" s="80" t="s">
        <v>9</v>
      </c>
      <c r="I1300" s="81" t="s">
        <v>501</v>
      </c>
      <c r="J1300" t="s">
        <v>6</v>
      </c>
    </row>
    <row r="1301" spans="3:10" hidden="1">
      <c r="C1301">
        <v>121006</v>
      </c>
      <c r="D1301" t="s">
        <v>49</v>
      </c>
      <c r="E1301" t="s">
        <v>506</v>
      </c>
      <c r="F1301" s="41"/>
      <c r="G1301" s="80" t="s">
        <v>22</v>
      </c>
      <c r="H1301" s="80" t="s">
        <v>9</v>
      </c>
      <c r="I1301" s="81" t="s">
        <v>501</v>
      </c>
      <c r="J1301" t="s">
        <v>6</v>
      </c>
    </row>
    <row r="1302" spans="3:10" hidden="1">
      <c r="C1302">
        <v>121007</v>
      </c>
      <c r="D1302" t="s">
        <v>49</v>
      </c>
      <c r="E1302" t="s">
        <v>507</v>
      </c>
      <c r="F1302" s="41"/>
      <c r="G1302" s="80" t="s">
        <v>22</v>
      </c>
      <c r="H1302" s="80" t="s">
        <v>9</v>
      </c>
      <c r="I1302" s="81" t="s">
        <v>501</v>
      </c>
      <c r="J1302" t="s">
        <v>6</v>
      </c>
    </row>
    <row r="1303" spans="3:10" hidden="1">
      <c r="C1303">
        <v>121008</v>
      </c>
      <c r="D1303" t="s">
        <v>49</v>
      </c>
      <c r="E1303" t="s">
        <v>508</v>
      </c>
      <c r="F1303" s="41"/>
      <c r="G1303" s="80" t="s">
        <v>22</v>
      </c>
      <c r="H1303" s="80" t="s">
        <v>9</v>
      </c>
      <c r="I1303" s="81" t="s">
        <v>501</v>
      </c>
      <c r="J1303" t="s">
        <v>6</v>
      </c>
    </row>
    <row r="1304" spans="3:10" hidden="1">
      <c r="C1304">
        <v>121009</v>
      </c>
      <c r="D1304" t="s">
        <v>49</v>
      </c>
      <c r="E1304" t="s">
        <v>509</v>
      </c>
      <c r="F1304" s="41"/>
      <c r="G1304" s="80" t="s">
        <v>22</v>
      </c>
      <c r="H1304" s="80" t="s">
        <v>9</v>
      </c>
      <c r="I1304" s="81" t="s">
        <v>501</v>
      </c>
      <c r="J1304" t="s">
        <v>6</v>
      </c>
    </row>
    <row r="1305" spans="3:10" hidden="1">
      <c r="C1305">
        <v>121010</v>
      </c>
      <c r="D1305" t="s">
        <v>49</v>
      </c>
      <c r="E1305" t="s">
        <v>510</v>
      </c>
      <c r="F1305" s="41"/>
      <c r="G1305" s="80" t="s">
        <v>22</v>
      </c>
      <c r="H1305" s="80" t="s">
        <v>9</v>
      </c>
      <c r="I1305" s="81" t="s">
        <v>501</v>
      </c>
      <c r="J1305" t="s">
        <v>6</v>
      </c>
    </row>
    <row r="1306" spans="3:10" hidden="1">
      <c r="C1306">
        <v>121011</v>
      </c>
      <c r="D1306" t="s">
        <v>49</v>
      </c>
      <c r="E1306" t="s">
        <v>57</v>
      </c>
      <c r="F1306" s="41"/>
      <c r="G1306" s="80" t="s">
        <v>22</v>
      </c>
      <c r="H1306" s="80" t="s">
        <v>9</v>
      </c>
      <c r="I1306" s="81" t="s">
        <v>501</v>
      </c>
      <c r="J1306" t="s">
        <v>6</v>
      </c>
    </row>
    <row r="1307" spans="3:10" hidden="1">
      <c r="C1307">
        <v>121012</v>
      </c>
      <c r="D1307" t="s">
        <v>58</v>
      </c>
      <c r="E1307" t="s">
        <v>59</v>
      </c>
      <c r="F1307" s="41"/>
      <c r="G1307" s="80" t="s">
        <v>22</v>
      </c>
      <c r="H1307" s="80" t="s">
        <v>9</v>
      </c>
      <c r="I1307" s="81" t="s">
        <v>501</v>
      </c>
      <c r="J1307" t="s">
        <v>6</v>
      </c>
    </row>
    <row r="1308" spans="3:10" hidden="1">
      <c r="C1308">
        <v>122000</v>
      </c>
      <c r="D1308" t="s">
        <v>119</v>
      </c>
      <c r="E1308" t="s">
        <v>511</v>
      </c>
      <c r="F1308" s="41"/>
      <c r="G1308" s="80" t="s">
        <v>22</v>
      </c>
      <c r="H1308" s="80" t="s">
        <v>9</v>
      </c>
      <c r="I1308" s="81" t="s">
        <v>511</v>
      </c>
      <c r="J1308" t="s">
        <v>6</v>
      </c>
    </row>
    <row r="1309" spans="3:10" hidden="1">
      <c r="C1309">
        <v>122001</v>
      </c>
      <c r="D1309" t="s">
        <v>49</v>
      </c>
      <c r="E1309" t="s">
        <v>1698</v>
      </c>
      <c r="F1309" s="41"/>
      <c r="G1309" s="80" t="s">
        <v>22</v>
      </c>
      <c r="H1309" s="80" t="s">
        <v>9</v>
      </c>
      <c r="I1309" s="81" t="s">
        <v>511</v>
      </c>
      <c r="J1309" t="s">
        <v>6</v>
      </c>
    </row>
    <row r="1310" spans="3:10" hidden="1">
      <c r="C1310">
        <v>122002</v>
      </c>
      <c r="D1310" t="s">
        <v>49</v>
      </c>
      <c r="E1310" t="s">
        <v>1699</v>
      </c>
      <c r="F1310" s="41"/>
      <c r="G1310" s="80" t="s">
        <v>22</v>
      </c>
      <c r="H1310" s="80" t="s">
        <v>9</v>
      </c>
      <c r="I1310" s="81" t="s">
        <v>511</v>
      </c>
      <c r="J1310" t="s">
        <v>6</v>
      </c>
    </row>
    <row r="1311" spans="3:10" hidden="1">
      <c r="C1311">
        <v>122003</v>
      </c>
      <c r="D1311" t="s">
        <v>49</v>
      </c>
      <c r="E1311" t="s">
        <v>514</v>
      </c>
      <c r="F1311" s="41"/>
      <c r="G1311" s="80" t="s">
        <v>22</v>
      </c>
      <c r="H1311" s="80" t="s">
        <v>9</v>
      </c>
      <c r="I1311" s="81" t="s">
        <v>511</v>
      </c>
      <c r="J1311" t="s">
        <v>6</v>
      </c>
    </row>
    <row r="1312" spans="3:10" hidden="1">
      <c r="C1312">
        <v>122004</v>
      </c>
      <c r="D1312" t="s">
        <v>49</v>
      </c>
      <c r="E1312" t="s">
        <v>515</v>
      </c>
      <c r="F1312" s="41"/>
      <c r="G1312" s="80" t="s">
        <v>22</v>
      </c>
      <c r="H1312" s="80" t="s">
        <v>9</v>
      </c>
      <c r="I1312" s="81" t="s">
        <v>511</v>
      </c>
      <c r="J1312" t="s">
        <v>6</v>
      </c>
    </row>
    <row r="1313" spans="3:10" hidden="1">
      <c r="C1313">
        <v>122005</v>
      </c>
      <c r="D1313" t="s">
        <v>49</v>
      </c>
      <c r="E1313" t="s">
        <v>57</v>
      </c>
      <c r="F1313" s="41"/>
      <c r="G1313" s="80" t="s">
        <v>22</v>
      </c>
      <c r="H1313" s="80" t="s">
        <v>9</v>
      </c>
      <c r="I1313" s="81" t="s">
        <v>511</v>
      </c>
      <c r="J1313" t="s">
        <v>6</v>
      </c>
    </row>
    <row r="1314" spans="3:10" hidden="1">
      <c r="C1314">
        <v>122006</v>
      </c>
      <c r="D1314" t="s">
        <v>58</v>
      </c>
      <c r="E1314" t="s">
        <v>59</v>
      </c>
      <c r="F1314" s="41"/>
      <c r="G1314" s="80" t="s">
        <v>22</v>
      </c>
      <c r="H1314" s="80" t="s">
        <v>9</v>
      </c>
      <c r="I1314" s="81" t="s">
        <v>511</v>
      </c>
      <c r="J1314" t="s">
        <v>6</v>
      </c>
    </row>
    <row r="1315" spans="3:10" hidden="1">
      <c r="C1315">
        <v>123000</v>
      </c>
      <c r="D1315" t="s">
        <v>119</v>
      </c>
      <c r="E1315" t="s">
        <v>516</v>
      </c>
      <c r="F1315" s="41"/>
      <c r="G1315" s="80" t="s">
        <v>22</v>
      </c>
      <c r="H1315" s="80" t="s">
        <v>9</v>
      </c>
      <c r="I1315" s="81" t="s">
        <v>516</v>
      </c>
      <c r="J1315" t="s">
        <v>6</v>
      </c>
    </row>
    <row r="1316" spans="3:10" hidden="1">
      <c r="C1316">
        <v>123001</v>
      </c>
      <c r="D1316" t="s">
        <v>49</v>
      </c>
      <c r="E1316" t="s">
        <v>517</v>
      </c>
      <c r="F1316" s="41"/>
      <c r="G1316" s="80" t="s">
        <v>22</v>
      </c>
      <c r="H1316" s="80" t="s">
        <v>9</v>
      </c>
      <c r="I1316" s="81" t="s">
        <v>516</v>
      </c>
      <c r="J1316" t="s">
        <v>6</v>
      </c>
    </row>
    <row r="1317" spans="3:10" hidden="1">
      <c r="C1317">
        <v>123002</v>
      </c>
      <c r="D1317" t="s">
        <v>49</v>
      </c>
      <c r="E1317" t="s">
        <v>518</v>
      </c>
      <c r="F1317" s="41"/>
      <c r="G1317" s="80" t="s">
        <v>22</v>
      </c>
      <c r="H1317" s="80" t="s">
        <v>9</v>
      </c>
      <c r="I1317" s="81" t="s">
        <v>516</v>
      </c>
      <c r="J1317" t="s">
        <v>6</v>
      </c>
    </row>
    <row r="1318" spans="3:10" hidden="1">
      <c r="C1318">
        <v>123003</v>
      </c>
      <c r="D1318" t="s">
        <v>49</v>
      </c>
      <c r="E1318" t="s">
        <v>519</v>
      </c>
      <c r="F1318" s="41"/>
      <c r="G1318" s="80" t="s">
        <v>22</v>
      </c>
      <c r="H1318" s="80" t="s">
        <v>9</v>
      </c>
      <c r="I1318" s="81" t="s">
        <v>516</v>
      </c>
      <c r="J1318" t="s">
        <v>6</v>
      </c>
    </row>
    <row r="1319" spans="3:10" hidden="1">
      <c r="C1319">
        <v>123004</v>
      </c>
      <c r="D1319" t="s">
        <v>49</v>
      </c>
      <c r="E1319" t="s">
        <v>520</v>
      </c>
      <c r="F1319" s="41"/>
      <c r="G1319" s="80" t="s">
        <v>22</v>
      </c>
      <c r="H1319" s="80" t="s">
        <v>9</v>
      </c>
      <c r="I1319" s="81" t="s">
        <v>516</v>
      </c>
      <c r="J1319" t="s">
        <v>6</v>
      </c>
    </row>
    <row r="1320" spans="3:10" hidden="1">
      <c r="C1320">
        <v>123005</v>
      </c>
      <c r="D1320" t="s">
        <v>49</v>
      </c>
      <c r="E1320" t="s">
        <v>521</v>
      </c>
      <c r="F1320" s="41"/>
      <c r="G1320" s="80" t="s">
        <v>22</v>
      </c>
      <c r="H1320" s="80" t="s">
        <v>9</v>
      </c>
      <c r="I1320" s="81" t="s">
        <v>516</v>
      </c>
      <c r="J1320" t="s">
        <v>6</v>
      </c>
    </row>
    <row r="1321" spans="3:10" hidden="1">
      <c r="C1321">
        <v>123006</v>
      </c>
      <c r="D1321" t="s">
        <v>49</v>
      </c>
      <c r="E1321" t="s">
        <v>57</v>
      </c>
      <c r="F1321" s="41"/>
      <c r="G1321" s="80" t="s">
        <v>22</v>
      </c>
      <c r="H1321" s="80" t="s">
        <v>9</v>
      </c>
      <c r="I1321" s="81" t="s">
        <v>516</v>
      </c>
      <c r="J1321" t="s">
        <v>6</v>
      </c>
    </row>
    <row r="1322" spans="3:10" hidden="1">
      <c r="C1322">
        <v>123007</v>
      </c>
      <c r="D1322" t="s">
        <v>58</v>
      </c>
      <c r="E1322" t="s">
        <v>59</v>
      </c>
      <c r="F1322" s="41"/>
      <c r="G1322" s="80" t="s">
        <v>22</v>
      </c>
      <c r="H1322" s="80" t="s">
        <v>9</v>
      </c>
      <c r="I1322" s="81" t="s">
        <v>516</v>
      </c>
      <c r="J1322" t="s">
        <v>6</v>
      </c>
    </row>
    <row r="1323" spans="3:10" hidden="1">
      <c r="C1323">
        <v>124000</v>
      </c>
      <c r="D1323" t="s">
        <v>119</v>
      </c>
      <c r="E1323" t="s">
        <v>522</v>
      </c>
      <c r="F1323" s="41"/>
      <c r="G1323" s="80" t="s">
        <v>22</v>
      </c>
      <c r="H1323" s="80" t="s">
        <v>9</v>
      </c>
      <c r="I1323" s="81" t="s">
        <v>522</v>
      </c>
      <c r="J1323" t="s">
        <v>6</v>
      </c>
    </row>
    <row r="1324" spans="3:10" hidden="1">
      <c r="C1324">
        <v>124001</v>
      </c>
      <c r="D1324" t="s">
        <v>523</v>
      </c>
      <c r="E1324" t="s">
        <v>524</v>
      </c>
      <c r="F1324" s="41"/>
      <c r="G1324" s="80" t="s">
        <v>22</v>
      </c>
      <c r="H1324" s="80" t="s">
        <v>9</v>
      </c>
      <c r="I1324" s="81" t="s">
        <v>522</v>
      </c>
      <c r="J1324" t="s">
        <v>6</v>
      </c>
    </row>
    <row r="1325" spans="3:10" hidden="1">
      <c r="C1325">
        <v>124002</v>
      </c>
      <c r="D1325" t="s">
        <v>49</v>
      </c>
      <c r="E1325" t="s">
        <v>525</v>
      </c>
      <c r="F1325" s="41"/>
      <c r="G1325" s="80" t="s">
        <v>22</v>
      </c>
      <c r="H1325" s="80" t="s">
        <v>9</v>
      </c>
      <c r="I1325" s="81" t="s">
        <v>522</v>
      </c>
      <c r="J1325" t="s">
        <v>6</v>
      </c>
    </row>
    <row r="1326" spans="3:10" hidden="1">
      <c r="C1326">
        <v>124003</v>
      </c>
      <c r="D1326" t="s">
        <v>49</v>
      </c>
      <c r="E1326" t="s">
        <v>526</v>
      </c>
      <c r="F1326" s="41"/>
      <c r="G1326" s="80" t="s">
        <v>22</v>
      </c>
      <c r="H1326" s="80" t="s">
        <v>9</v>
      </c>
      <c r="I1326" s="81" t="s">
        <v>522</v>
      </c>
      <c r="J1326" t="s">
        <v>6</v>
      </c>
    </row>
    <row r="1327" spans="3:10" hidden="1">
      <c r="C1327">
        <v>124004</v>
      </c>
      <c r="D1327" t="s">
        <v>49</v>
      </c>
      <c r="E1327" t="s">
        <v>527</v>
      </c>
      <c r="F1327" s="41"/>
      <c r="G1327" s="80" t="s">
        <v>22</v>
      </c>
      <c r="H1327" s="80" t="s">
        <v>9</v>
      </c>
      <c r="I1327" s="81" t="s">
        <v>522</v>
      </c>
      <c r="J1327" t="s">
        <v>6</v>
      </c>
    </row>
    <row r="1328" spans="3:10" hidden="1">
      <c r="C1328">
        <v>124005</v>
      </c>
      <c r="D1328" t="s">
        <v>523</v>
      </c>
      <c r="E1328" t="s">
        <v>528</v>
      </c>
      <c r="F1328" s="41"/>
      <c r="G1328" s="80" t="s">
        <v>22</v>
      </c>
      <c r="H1328" s="80" t="s">
        <v>9</v>
      </c>
      <c r="I1328" s="81" t="s">
        <v>522</v>
      </c>
      <c r="J1328" t="s">
        <v>6</v>
      </c>
    </row>
    <row r="1329" spans="3:10" hidden="1">
      <c r="C1329">
        <v>124006</v>
      </c>
      <c r="D1329" t="s">
        <v>49</v>
      </c>
      <c r="E1329" t="s">
        <v>529</v>
      </c>
      <c r="F1329" s="41"/>
      <c r="G1329" s="80" t="s">
        <v>22</v>
      </c>
      <c r="H1329" s="80" t="s">
        <v>9</v>
      </c>
      <c r="I1329" s="81" t="s">
        <v>522</v>
      </c>
      <c r="J1329" t="s">
        <v>6</v>
      </c>
    </row>
    <row r="1330" spans="3:10" hidden="1">
      <c r="C1330">
        <v>124007</v>
      </c>
      <c r="D1330" t="s">
        <v>49</v>
      </c>
      <c r="E1330" t="s">
        <v>530</v>
      </c>
      <c r="F1330" s="41"/>
      <c r="G1330" s="80" t="s">
        <v>22</v>
      </c>
      <c r="H1330" s="80" t="s">
        <v>9</v>
      </c>
      <c r="I1330" s="81" t="s">
        <v>522</v>
      </c>
      <c r="J1330" t="s">
        <v>6</v>
      </c>
    </row>
    <row r="1331" spans="3:10" hidden="1">
      <c r="C1331">
        <v>124008</v>
      </c>
      <c r="D1331" t="s">
        <v>49</v>
      </c>
      <c r="E1331" t="s">
        <v>531</v>
      </c>
      <c r="F1331" s="41"/>
      <c r="G1331" s="80" t="s">
        <v>22</v>
      </c>
      <c r="H1331" s="80" t="s">
        <v>9</v>
      </c>
      <c r="I1331" s="81" t="s">
        <v>522</v>
      </c>
      <c r="J1331" t="s">
        <v>6</v>
      </c>
    </row>
    <row r="1332" spans="3:10" hidden="1">
      <c r="C1332">
        <v>124009</v>
      </c>
      <c r="D1332" t="s">
        <v>49</v>
      </c>
      <c r="E1332" t="s">
        <v>532</v>
      </c>
      <c r="F1332" s="41"/>
      <c r="G1332" s="80" t="s">
        <v>22</v>
      </c>
      <c r="H1332" s="80" t="s">
        <v>9</v>
      </c>
      <c r="I1332" s="81" t="s">
        <v>522</v>
      </c>
      <c r="J1332" t="s">
        <v>6</v>
      </c>
    </row>
    <row r="1333" spans="3:10" hidden="1">
      <c r="C1333">
        <v>124010</v>
      </c>
      <c r="D1333" t="s">
        <v>49</v>
      </c>
      <c r="E1333" t="s">
        <v>533</v>
      </c>
      <c r="F1333" s="41"/>
      <c r="G1333" s="80" t="s">
        <v>22</v>
      </c>
      <c r="H1333" s="80" t="s">
        <v>9</v>
      </c>
      <c r="I1333" s="81" t="s">
        <v>522</v>
      </c>
      <c r="J1333" t="s">
        <v>6</v>
      </c>
    </row>
    <row r="1334" spans="3:10" hidden="1">
      <c r="C1334">
        <v>124011</v>
      </c>
      <c r="D1334" t="s">
        <v>49</v>
      </c>
      <c r="E1334" t="s">
        <v>534</v>
      </c>
      <c r="F1334" s="41"/>
      <c r="G1334" s="80" t="s">
        <v>22</v>
      </c>
      <c r="H1334" s="80" t="s">
        <v>9</v>
      </c>
      <c r="I1334" s="81" t="s">
        <v>522</v>
      </c>
      <c r="J1334" t="s">
        <v>6</v>
      </c>
    </row>
    <row r="1335" spans="3:10" hidden="1">
      <c r="C1335">
        <v>124012</v>
      </c>
      <c r="D1335" t="s">
        <v>49</v>
      </c>
      <c r="E1335" t="s">
        <v>535</v>
      </c>
      <c r="F1335" s="41"/>
      <c r="G1335" s="80" t="s">
        <v>22</v>
      </c>
      <c r="H1335" s="80" t="s">
        <v>9</v>
      </c>
      <c r="I1335" s="81" t="s">
        <v>522</v>
      </c>
      <c r="J1335" t="s">
        <v>6</v>
      </c>
    </row>
    <row r="1336" spans="3:10" hidden="1">
      <c r="C1336">
        <v>124013</v>
      </c>
      <c r="D1336" t="s">
        <v>49</v>
      </c>
      <c r="E1336" t="s">
        <v>536</v>
      </c>
      <c r="F1336" s="41"/>
      <c r="G1336" s="80" t="s">
        <v>22</v>
      </c>
      <c r="H1336" s="80" t="s">
        <v>9</v>
      </c>
      <c r="I1336" s="81" t="s">
        <v>522</v>
      </c>
      <c r="J1336" t="s">
        <v>6</v>
      </c>
    </row>
    <row r="1337" spans="3:10" hidden="1">
      <c r="C1337">
        <v>124014</v>
      </c>
      <c r="D1337" t="s">
        <v>49</v>
      </c>
      <c r="E1337" t="s">
        <v>537</v>
      </c>
      <c r="F1337" s="41"/>
      <c r="G1337" s="80" t="s">
        <v>22</v>
      </c>
      <c r="H1337" s="80" t="s">
        <v>9</v>
      </c>
      <c r="I1337" s="81" t="s">
        <v>522</v>
      </c>
      <c r="J1337" t="s">
        <v>6</v>
      </c>
    </row>
    <row r="1338" spans="3:10" hidden="1">
      <c r="C1338">
        <v>124015</v>
      </c>
      <c r="D1338" t="s">
        <v>49</v>
      </c>
      <c r="E1338" t="s">
        <v>538</v>
      </c>
      <c r="F1338" s="41"/>
      <c r="G1338" s="80" t="s">
        <v>22</v>
      </c>
      <c r="H1338" s="80" t="s">
        <v>9</v>
      </c>
      <c r="I1338" s="81" t="s">
        <v>522</v>
      </c>
      <c r="J1338" t="s">
        <v>6</v>
      </c>
    </row>
    <row r="1339" spans="3:10" hidden="1">
      <c r="C1339">
        <v>124016</v>
      </c>
      <c r="D1339" t="s">
        <v>49</v>
      </c>
      <c r="E1339" t="s">
        <v>57</v>
      </c>
      <c r="F1339" s="41"/>
      <c r="G1339" s="80" t="s">
        <v>22</v>
      </c>
      <c r="H1339" s="80" t="s">
        <v>9</v>
      </c>
      <c r="I1339" s="81" t="s">
        <v>522</v>
      </c>
      <c r="J1339" t="s">
        <v>6</v>
      </c>
    </row>
    <row r="1340" spans="3:10" hidden="1">
      <c r="C1340">
        <v>124017</v>
      </c>
      <c r="D1340" t="s">
        <v>58</v>
      </c>
      <c r="E1340" t="s">
        <v>59</v>
      </c>
      <c r="F1340" s="41"/>
      <c r="G1340" s="80" t="s">
        <v>22</v>
      </c>
      <c r="H1340" s="80" t="s">
        <v>9</v>
      </c>
      <c r="I1340" s="81" t="s">
        <v>522</v>
      </c>
      <c r="J1340" t="s">
        <v>6</v>
      </c>
    </row>
    <row r="1341" spans="3:10" hidden="1">
      <c r="C1341">
        <v>125000</v>
      </c>
      <c r="D1341" t="s">
        <v>48</v>
      </c>
      <c r="E1341" t="s">
        <v>539</v>
      </c>
      <c r="F1341" s="41"/>
      <c r="G1341" s="80" t="s">
        <v>22</v>
      </c>
      <c r="H1341" s="80" t="s">
        <v>9</v>
      </c>
      <c r="I1341" s="81" t="s">
        <v>539</v>
      </c>
      <c r="J1341" t="s">
        <v>6</v>
      </c>
    </row>
    <row r="1342" spans="3:10" hidden="1">
      <c r="C1342">
        <v>125001</v>
      </c>
      <c r="D1342" t="s">
        <v>49</v>
      </c>
      <c r="E1342" t="s">
        <v>540</v>
      </c>
      <c r="F1342" s="41"/>
      <c r="G1342" s="80" t="s">
        <v>22</v>
      </c>
      <c r="H1342" s="80" t="s">
        <v>9</v>
      </c>
      <c r="I1342" s="81" t="s">
        <v>539</v>
      </c>
      <c r="J1342" t="s">
        <v>6</v>
      </c>
    </row>
    <row r="1343" spans="3:10" hidden="1">
      <c r="C1343">
        <v>125002</v>
      </c>
      <c r="D1343" t="s">
        <v>49</v>
      </c>
      <c r="E1343" t="s">
        <v>541</v>
      </c>
      <c r="F1343" s="41"/>
      <c r="G1343" s="80" t="s">
        <v>22</v>
      </c>
      <c r="H1343" s="80" t="s">
        <v>9</v>
      </c>
      <c r="I1343" s="81" t="s">
        <v>539</v>
      </c>
      <c r="J1343" t="s">
        <v>6</v>
      </c>
    </row>
    <row r="1344" spans="3:10" hidden="1">
      <c r="C1344">
        <v>125003</v>
      </c>
      <c r="D1344" t="s">
        <v>49</v>
      </c>
      <c r="E1344" t="s">
        <v>542</v>
      </c>
      <c r="F1344" s="41"/>
      <c r="G1344" s="80" t="s">
        <v>22</v>
      </c>
      <c r="H1344" s="80" t="s">
        <v>9</v>
      </c>
      <c r="I1344" s="81" t="s">
        <v>539</v>
      </c>
      <c r="J1344" t="s">
        <v>6</v>
      </c>
    </row>
    <row r="1345" spans="3:10" hidden="1">
      <c r="C1345">
        <v>125004</v>
      </c>
      <c r="D1345" t="s">
        <v>49</v>
      </c>
      <c r="E1345" t="s">
        <v>543</v>
      </c>
      <c r="F1345" s="41"/>
      <c r="G1345" s="80" t="s">
        <v>22</v>
      </c>
      <c r="H1345" s="80" t="s">
        <v>9</v>
      </c>
      <c r="I1345" s="81" t="s">
        <v>539</v>
      </c>
      <c r="J1345" t="s">
        <v>6</v>
      </c>
    </row>
    <row r="1346" spans="3:10" hidden="1">
      <c r="C1346">
        <v>125005</v>
      </c>
      <c r="D1346" t="s">
        <v>49</v>
      </c>
      <c r="E1346" t="s">
        <v>544</v>
      </c>
      <c r="F1346" s="41"/>
      <c r="G1346" s="80" t="s">
        <v>22</v>
      </c>
      <c r="H1346" s="80" t="s">
        <v>9</v>
      </c>
      <c r="I1346" s="81" t="s">
        <v>539</v>
      </c>
      <c r="J1346" t="s">
        <v>6</v>
      </c>
    </row>
    <row r="1347" spans="3:10" hidden="1">
      <c r="C1347">
        <v>125006</v>
      </c>
      <c r="D1347" t="s">
        <v>49</v>
      </c>
      <c r="E1347" t="s">
        <v>545</v>
      </c>
      <c r="F1347" s="41"/>
      <c r="G1347" s="80" t="s">
        <v>22</v>
      </c>
      <c r="H1347" s="80" t="s">
        <v>9</v>
      </c>
      <c r="I1347" s="81" t="s">
        <v>539</v>
      </c>
      <c r="J1347" t="s">
        <v>6</v>
      </c>
    </row>
    <row r="1348" spans="3:10" hidden="1">
      <c r="C1348">
        <v>125007</v>
      </c>
      <c r="D1348" t="s">
        <v>49</v>
      </c>
      <c r="E1348" t="s">
        <v>546</v>
      </c>
      <c r="F1348" s="41"/>
      <c r="G1348" s="80" t="s">
        <v>22</v>
      </c>
      <c r="H1348" s="80" t="s">
        <v>9</v>
      </c>
      <c r="I1348" s="81" t="s">
        <v>539</v>
      </c>
      <c r="J1348" t="s">
        <v>6</v>
      </c>
    </row>
    <row r="1349" spans="3:10" hidden="1">
      <c r="C1349">
        <v>125008</v>
      </c>
      <c r="D1349" t="s">
        <v>49</v>
      </c>
      <c r="E1349" t="s">
        <v>57</v>
      </c>
      <c r="F1349" s="41"/>
      <c r="G1349" s="80" t="s">
        <v>22</v>
      </c>
      <c r="H1349" s="80" t="s">
        <v>9</v>
      </c>
      <c r="I1349" s="81" t="s">
        <v>539</v>
      </c>
      <c r="J1349" t="s">
        <v>6</v>
      </c>
    </row>
    <row r="1350" spans="3:10" hidden="1">
      <c r="C1350">
        <v>125009</v>
      </c>
      <c r="D1350" t="s">
        <v>58</v>
      </c>
      <c r="E1350" t="s">
        <v>59</v>
      </c>
      <c r="F1350" s="41"/>
      <c r="G1350" s="80" t="s">
        <v>22</v>
      </c>
      <c r="H1350" s="80" t="s">
        <v>9</v>
      </c>
      <c r="I1350" s="81" t="s">
        <v>539</v>
      </c>
      <c r="J1350" t="s">
        <v>6</v>
      </c>
    </row>
    <row r="1351" spans="3:10" hidden="1">
      <c r="C1351">
        <v>126000</v>
      </c>
      <c r="D1351" t="s">
        <v>48</v>
      </c>
      <c r="E1351" t="s">
        <v>547</v>
      </c>
      <c r="F1351" s="41"/>
      <c r="G1351" s="80" t="s">
        <v>22</v>
      </c>
      <c r="H1351" s="80" t="s">
        <v>9</v>
      </c>
      <c r="I1351" s="81" t="s">
        <v>547</v>
      </c>
      <c r="J1351" t="s">
        <v>6</v>
      </c>
    </row>
    <row r="1352" spans="3:10" hidden="1">
      <c r="C1352">
        <v>126001</v>
      </c>
      <c r="D1352" t="s">
        <v>49</v>
      </c>
      <c r="E1352" t="s">
        <v>548</v>
      </c>
      <c r="F1352" s="41"/>
      <c r="G1352" s="80" t="s">
        <v>22</v>
      </c>
      <c r="H1352" s="80" t="s">
        <v>9</v>
      </c>
      <c r="I1352" s="81" t="s">
        <v>547</v>
      </c>
      <c r="J1352" t="s">
        <v>6</v>
      </c>
    </row>
    <row r="1353" spans="3:10" hidden="1">
      <c r="C1353">
        <v>126002</v>
      </c>
      <c r="D1353" t="s">
        <v>49</v>
      </c>
      <c r="E1353" t="s">
        <v>549</v>
      </c>
      <c r="F1353" s="41"/>
      <c r="G1353" s="80" t="s">
        <v>22</v>
      </c>
      <c r="H1353" s="80" t="s">
        <v>9</v>
      </c>
      <c r="I1353" s="81" t="s">
        <v>547</v>
      </c>
      <c r="J1353" t="s">
        <v>6</v>
      </c>
    </row>
    <row r="1354" spans="3:10" hidden="1">
      <c r="C1354">
        <v>126003</v>
      </c>
      <c r="D1354" t="s">
        <v>49</v>
      </c>
      <c r="E1354" t="s">
        <v>550</v>
      </c>
      <c r="F1354" s="41"/>
      <c r="G1354" s="80" t="s">
        <v>22</v>
      </c>
      <c r="H1354" s="80" t="s">
        <v>9</v>
      </c>
      <c r="I1354" s="81" t="s">
        <v>547</v>
      </c>
      <c r="J1354" t="s">
        <v>6</v>
      </c>
    </row>
    <row r="1355" spans="3:10" hidden="1">
      <c r="C1355">
        <v>126004</v>
      </c>
      <c r="D1355" t="s">
        <v>49</v>
      </c>
      <c r="E1355" t="s">
        <v>551</v>
      </c>
      <c r="F1355" s="41"/>
      <c r="G1355" s="80" t="s">
        <v>22</v>
      </c>
      <c r="H1355" s="80" t="s">
        <v>9</v>
      </c>
      <c r="I1355" s="81" t="s">
        <v>547</v>
      </c>
      <c r="J1355" t="s">
        <v>6</v>
      </c>
    </row>
    <row r="1356" spans="3:10" hidden="1">
      <c r="C1356">
        <v>126005</v>
      </c>
      <c r="D1356" t="s">
        <v>49</v>
      </c>
      <c r="E1356" t="s">
        <v>552</v>
      </c>
      <c r="F1356" s="41"/>
      <c r="G1356" s="80" t="s">
        <v>22</v>
      </c>
      <c r="H1356" s="80" t="s">
        <v>9</v>
      </c>
      <c r="I1356" s="81" t="s">
        <v>547</v>
      </c>
      <c r="J1356" t="s">
        <v>6</v>
      </c>
    </row>
    <row r="1357" spans="3:10" hidden="1">
      <c r="C1357">
        <v>126006</v>
      </c>
      <c r="D1357" t="s">
        <v>49</v>
      </c>
      <c r="E1357" t="s">
        <v>553</v>
      </c>
      <c r="F1357" s="41"/>
      <c r="G1357" s="80" t="s">
        <v>22</v>
      </c>
      <c r="H1357" s="80" t="s">
        <v>9</v>
      </c>
      <c r="I1357" s="81" t="s">
        <v>547</v>
      </c>
      <c r="J1357" t="s">
        <v>6</v>
      </c>
    </row>
    <row r="1358" spans="3:10" hidden="1">
      <c r="C1358">
        <v>126007</v>
      </c>
      <c r="D1358" t="s">
        <v>49</v>
      </c>
      <c r="E1358" t="s">
        <v>554</v>
      </c>
      <c r="F1358" s="41"/>
      <c r="G1358" s="80" t="s">
        <v>22</v>
      </c>
      <c r="H1358" s="80" t="s">
        <v>9</v>
      </c>
      <c r="I1358" s="81" t="s">
        <v>547</v>
      </c>
      <c r="J1358" t="s">
        <v>6</v>
      </c>
    </row>
    <row r="1359" spans="3:10" hidden="1">
      <c r="C1359">
        <v>126008</v>
      </c>
      <c r="D1359" t="s">
        <v>49</v>
      </c>
      <c r="E1359" t="s">
        <v>1700</v>
      </c>
      <c r="F1359" s="41"/>
      <c r="G1359" s="80" t="s">
        <v>22</v>
      </c>
      <c r="H1359" s="80" t="s">
        <v>9</v>
      </c>
      <c r="I1359" s="81" t="s">
        <v>547</v>
      </c>
      <c r="J1359" t="s">
        <v>6</v>
      </c>
    </row>
    <row r="1360" spans="3:10" hidden="1">
      <c r="C1360">
        <v>126009</v>
      </c>
      <c r="D1360" t="s">
        <v>49</v>
      </c>
      <c r="E1360" t="s">
        <v>556</v>
      </c>
      <c r="F1360" s="41"/>
      <c r="G1360" s="80" t="s">
        <v>22</v>
      </c>
      <c r="H1360" s="80" t="s">
        <v>9</v>
      </c>
      <c r="I1360" s="81" t="s">
        <v>547</v>
      </c>
      <c r="J1360" t="s">
        <v>6</v>
      </c>
    </row>
    <row r="1361" spans="3:10" hidden="1">
      <c r="C1361">
        <v>126010</v>
      </c>
      <c r="D1361" t="s">
        <v>49</v>
      </c>
      <c r="E1361" t="s">
        <v>57</v>
      </c>
      <c r="F1361" s="41"/>
      <c r="G1361" s="80" t="s">
        <v>22</v>
      </c>
      <c r="H1361" s="80" t="s">
        <v>9</v>
      </c>
      <c r="I1361" s="81" t="s">
        <v>547</v>
      </c>
      <c r="J1361" t="s">
        <v>6</v>
      </c>
    </row>
    <row r="1362" spans="3:10" hidden="1">
      <c r="C1362">
        <v>126011</v>
      </c>
      <c r="D1362" t="s">
        <v>58</v>
      </c>
      <c r="E1362" t="s">
        <v>59</v>
      </c>
      <c r="F1362" s="41"/>
      <c r="G1362" s="80" t="s">
        <v>22</v>
      </c>
      <c r="H1362" s="80" t="s">
        <v>9</v>
      </c>
      <c r="I1362" s="81" t="s">
        <v>547</v>
      </c>
      <c r="J1362" t="s">
        <v>6</v>
      </c>
    </row>
    <row r="1363" spans="3:10" hidden="1">
      <c r="C1363">
        <v>127000</v>
      </c>
      <c r="D1363" t="s">
        <v>48</v>
      </c>
      <c r="E1363" t="s">
        <v>557</v>
      </c>
      <c r="F1363" s="41"/>
      <c r="G1363" s="80" t="s">
        <v>22</v>
      </c>
      <c r="H1363" s="80" t="s">
        <v>9</v>
      </c>
      <c r="I1363" s="81" t="s">
        <v>557</v>
      </c>
      <c r="J1363" t="s">
        <v>6</v>
      </c>
    </row>
    <row r="1364" spans="3:10" hidden="1">
      <c r="C1364">
        <v>127001</v>
      </c>
      <c r="D1364" t="s">
        <v>49</v>
      </c>
      <c r="E1364" t="s">
        <v>558</v>
      </c>
      <c r="F1364" s="41"/>
      <c r="G1364" s="80" t="s">
        <v>22</v>
      </c>
      <c r="H1364" s="80" t="s">
        <v>9</v>
      </c>
      <c r="I1364" s="81" t="s">
        <v>557</v>
      </c>
      <c r="J1364" t="s">
        <v>6</v>
      </c>
    </row>
    <row r="1365" spans="3:10" hidden="1">
      <c r="C1365">
        <v>127002</v>
      </c>
      <c r="D1365" t="s">
        <v>49</v>
      </c>
      <c r="E1365" t="s">
        <v>559</v>
      </c>
      <c r="F1365" s="41"/>
      <c r="G1365" s="80" t="s">
        <v>22</v>
      </c>
      <c r="H1365" s="80" t="s">
        <v>9</v>
      </c>
      <c r="I1365" s="81" t="s">
        <v>557</v>
      </c>
      <c r="J1365" t="s">
        <v>6</v>
      </c>
    </row>
    <row r="1366" spans="3:10" hidden="1">
      <c r="C1366">
        <v>127003</v>
      </c>
      <c r="D1366" t="s">
        <v>49</v>
      </c>
      <c r="E1366" t="s">
        <v>560</v>
      </c>
      <c r="F1366" s="41"/>
      <c r="G1366" s="80" t="s">
        <v>22</v>
      </c>
      <c r="H1366" s="80" t="s">
        <v>9</v>
      </c>
      <c r="I1366" s="81" t="s">
        <v>557</v>
      </c>
      <c r="J1366" t="s">
        <v>6</v>
      </c>
    </row>
    <row r="1367" spans="3:10" hidden="1">
      <c r="C1367">
        <v>127004</v>
      </c>
      <c r="D1367" t="s">
        <v>49</v>
      </c>
      <c r="E1367" t="s">
        <v>561</v>
      </c>
      <c r="F1367" s="41"/>
      <c r="G1367" s="80" t="s">
        <v>22</v>
      </c>
      <c r="H1367" s="80" t="s">
        <v>9</v>
      </c>
      <c r="I1367" s="81" t="s">
        <v>557</v>
      </c>
      <c r="J1367" t="s">
        <v>6</v>
      </c>
    </row>
    <row r="1368" spans="3:10" hidden="1">
      <c r="C1368">
        <v>127005</v>
      </c>
      <c r="D1368" t="s">
        <v>49</v>
      </c>
      <c r="E1368" t="s">
        <v>562</v>
      </c>
      <c r="F1368" s="41"/>
      <c r="G1368" s="80" t="s">
        <v>22</v>
      </c>
      <c r="H1368" s="80" t="s">
        <v>9</v>
      </c>
      <c r="I1368" s="81" t="s">
        <v>557</v>
      </c>
      <c r="J1368" t="s">
        <v>6</v>
      </c>
    </row>
    <row r="1369" spans="3:10" hidden="1">
      <c r="C1369">
        <v>127006</v>
      </c>
      <c r="D1369" t="s">
        <v>49</v>
      </c>
      <c r="E1369" t="s">
        <v>563</v>
      </c>
      <c r="F1369" s="41"/>
      <c r="G1369" s="80" t="s">
        <v>22</v>
      </c>
      <c r="H1369" s="80" t="s">
        <v>9</v>
      </c>
      <c r="I1369" s="81" t="s">
        <v>557</v>
      </c>
      <c r="J1369" t="s">
        <v>6</v>
      </c>
    </row>
    <row r="1370" spans="3:10" hidden="1">
      <c r="C1370">
        <v>127007</v>
      </c>
      <c r="D1370" t="s">
        <v>49</v>
      </c>
      <c r="E1370" t="s">
        <v>564</v>
      </c>
      <c r="F1370" s="41"/>
      <c r="G1370" s="80" t="s">
        <v>22</v>
      </c>
      <c r="H1370" s="80" t="s">
        <v>9</v>
      </c>
      <c r="I1370" s="81" t="s">
        <v>557</v>
      </c>
      <c r="J1370" t="s">
        <v>6</v>
      </c>
    </row>
    <row r="1371" spans="3:10" hidden="1">
      <c r="C1371">
        <v>127008</v>
      </c>
      <c r="D1371" t="s">
        <v>49</v>
      </c>
      <c r="E1371" t="s">
        <v>416</v>
      </c>
      <c r="F1371" s="41"/>
      <c r="G1371" s="80" t="s">
        <v>22</v>
      </c>
      <c r="H1371" s="80" t="s">
        <v>9</v>
      </c>
      <c r="I1371" s="81" t="s">
        <v>557</v>
      </c>
      <c r="J1371" t="s">
        <v>6</v>
      </c>
    </row>
    <row r="1372" spans="3:10" hidden="1">
      <c r="C1372">
        <v>127009</v>
      </c>
      <c r="D1372" t="s">
        <v>49</v>
      </c>
      <c r="E1372" t="s">
        <v>565</v>
      </c>
      <c r="F1372" s="41"/>
      <c r="G1372" s="80" t="s">
        <v>22</v>
      </c>
      <c r="H1372" s="80" t="s">
        <v>9</v>
      </c>
      <c r="I1372" s="81" t="s">
        <v>557</v>
      </c>
      <c r="J1372" t="s">
        <v>6</v>
      </c>
    </row>
    <row r="1373" spans="3:10" hidden="1">
      <c r="C1373">
        <v>127010</v>
      </c>
      <c r="D1373" t="s">
        <v>49</v>
      </c>
      <c r="E1373" t="s">
        <v>566</v>
      </c>
      <c r="F1373" s="41"/>
      <c r="G1373" s="80" t="s">
        <v>22</v>
      </c>
      <c r="H1373" s="80" t="s">
        <v>9</v>
      </c>
      <c r="I1373" s="81" t="s">
        <v>557</v>
      </c>
      <c r="J1373" t="s">
        <v>6</v>
      </c>
    </row>
    <row r="1374" spans="3:10" hidden="1">
      <c r="C1374">
        <v>127011</v>
      </c>
      <c r="D1374" t="s">
        <v>49</v>
      </c>
      <c r="E1374" t="s">
        <v>57</v>
      </c>
      <c r="F1374" s="41"/>
      <c r="G1374" s="80" t="s">
        <v>22</v>
      </c>
      <c r="H1374" s="80" t="s">
        <v>9</v>
      </c>
      <c r="I1374" s="81" t="s">
        <v>557</v>
      </c>
      <c r="J1374" t="s">
        <v>6</v>
      </c>
    </row>
    <row r="1375" spans="3:10" hidden="1">
      <c r="C1375">
        <v>127012</v>
      </c>
      <c r="D1375" t="s">
        <v>58</v>
      </c>
      <c r="E1375" t="s">
        <v>59</v>
      </c>
      <c r="F1375" s="41"/>
      <c r="G1375" s="80" t="s">
        <v>22</v>
      </c>
      <c r="H1375" s="80" t="s">
        <v>9</v>
      </c>
      <c r="I1375" s="81" t="s">
        <v>557</v>
      </c>
      <c r="J1375" t="s">
        <v>6</v>
      </c>
    </row>
    <row r="1376" spans="3:10" hidden="1">
      <c r="C1376">
        <v>128000</v>
      </c>
      <c r="D1376" t="s">
        <v>48</v>
      </c>
      <c r="E1376" t="s">
        <v>568</v>
      </c>
      <c r="F1376" s="41"/>
      <c r="G1376" s="80" t="s">
        <v>567</v>
      </c>
      <c r="H1376" s="80" t="s">
        <v>9</v>
      </c>
      <c r="I1376" s="81" t="s">
        <v>568</v>
      </c>
      <c r="J1376" t="s">
        <v>6</v>
      </c>
    </row>
    <row r="1377" spans="3:10" hidden="1">
      <c r="C1377">
        <v>128001</v>
      </c>
      <c r="D1377" t="s">
        <v>49</v>
      </c>
      <c r="E1377" t="s">
        <v>569</v>
      </c>
      <c r="F1377" s="41"/>
      <c r="G1377" s="80" t="s">
        <v>567</v>
      </c>
      <c r="H1377" s="80" t="s">
        <v>9</v>
      </c>
      <c r="I1377" s="81" t="s">
        <v>568</v>
      </c>
      <c r="J1377" t="s">
        <v>6</v>
      </c>
    </row>
    <row r="1378" spans="3:10" hidden="1">
      <c r="C1378">
        <v>128002</v>
      </c>
      <c r="D1378" t="s">
        <v>49</v>
      </c>
      <c r="E1378" t="s">
        <v>570</v>
      </c>
      <c r="F1378" s="41"/>
      <c r="G1378" s="80" t="s">
        <v>567</v>
      </c>
      <c r="H1378" s="80" t="s">
        <v>9</v>
      </c>
      <c r="I1378" s="81" t="s">
        <v>568</v>
      </c>
      <c r="J1378" t="s">
        <v>6</v>
      </c>
    </row>
    <row r="1379" spans="3:10" hidden="1">
      <c r="C1379">
        <v>128003</v>
      </c>
      <c r="D1379" t="s">
        <v>49</v>
      </c>
      <c r="E1379" t="s">
        <v>571</v>
      </c>
      <c r="F1379" s="41"/>
      <c r="G1379" s="80" t="s">
        <v>567</v>
      </c>
      <c r="H1379" s="80" t="s">
        <v>9</v>
      </c>
      <c r="I1379" s="81" t="s">
        <v>568</v>
      </c>
      <c r="J1379" t="s">
        <v>6</v>
      </c>
    </row>
    <row r="1380" spans="3:10" hidden="1">
      <c r="C1380">
        <v>128004</v>
      </c>
      <c r="D1380" t="s">
        <v>49</v>
      </c>
      <c r="E1380" t="s">
        <v>572</v>
      </c>
      <c r="F1380" s="41"/>
      <c r="G1380" s="80" t="s">
        <v>567</v>
      </c>
      <c r="H1380" s="80" t="s">
        <v>9</v>
      </c>
      <c r="I1380" s="81" t="s">
        <v>568</v>
      </c>
      <c r="J1380" t="s">
        <v>6</v>
      </c>
    </row>
    <row r="1381" spans="3:10" hidden="1">
      <c r="C1381">
        <v>128005</v>
      </c>
      <c r="D1381" t="s">
        <v>49</v>
      </c>
      <c r="E1381" t="s">
        <v>573</v>
      </c>
      <c r="F1381" s="41"/>
      <c r="G1381" s="80" t="s">
        <v>567</v>
      </c>
      <c r="H1381" s="80" t="s">
        <v>9</v>
      </c>
      <c r="I1381" s="81" t="s">
        <v>568</v>
      </c>
      <c r="J1381" t="s">
        <v>6</v>
      </c>
    </row>
    <row r="1382" spans="3:10" hidden="1">
      <c r="C1382">
        <v>128006</v>
      </c>
      <c r="D1382" t="s">
        <v>49</v>
      </c>
      <c r="E1382" t="s">
        <v>574</v>
      </c>
      <c r="F1382" s="41"/>
      <c r="G1382" s="80" t="s">
        <v>567</v>
      </c>
      <c r="H1382" s="80" t="s">
        <v>9</v>
      </c>
      <c r="I1382" s="81" t="s">
        <v>568</v>
      </c>
      <c r="J1382" t="s">
        <v>6</v>
      </c>
    </row>
    <row r="1383" spans="3:10" hidden="1">
      <c r="C1383">
        <v>128007</v>
      </c>
      <c r="D1383" t="s">
        <v>49</v>
      </c>
      <c r="E1383" t="s">
        <v>575</v>
      </c>
      <c r="F1383" s="41"/>
      <c r="G1383" s="80" t="s">
        <v>567</v>
      </c>
      <c r="H1383" s="80" t="s">
        <v>9</v>
      </c>
      <c r="I1383" s="81" t="s">
        <v>568</v>
      </c>
      <c r="J1383" t="s">
        <v>6</v>
      </c>
    </row>
    <row r="1384" spans="3:10" hidden="1">
      <c r="C1384">
        <v>128008</v>
      </c>
      <c r="D1384" t="s">
        <v>49</v>
      </c>
      <c r="E1384" t="s">
        <v>576</v>
      </c>
      <c r="F1384" s="41"/>
      <c r="G1384" s="80" t="s">
        <v>567</v>
      </c>
      <c r="H1384" s="80" t="s">
        <v>9</v>
      </c>
      <c r="I1384" s="81" t="s">
        <v>568</v>
      </c>
      <c r="J1384" t="s">
        <v>6</v>
      </c>
    </row>
    <row r="1385" spans="3:10" hidden="1">
      <c r="C1385">
        <v>128009</v>
      </c>
      <c r="D1385" t="s">
        <v>49</v>
      </c>
      <c r="E1385" t="s">
        <v>57</v>
      </c>
      <c r="F1385" s="41"/>
      <c r="G1385" s="80" t="s">
        <v>567</v>
      </c>
      <c r="H1385" s="80" t="s">
        <v>9</v>
      </c>
      <c r="I1385" s="81" t="s">
        <v>568</v>
      </c>
      <c r="J1385" t="s">
        <v>6</v>
      </c>
    </row>
    <row r="1386" spans="3:10" hidden="1">
      <c r="C1386">
        <v>128010</v>
      </c>
      <c r="D1386" t="s">
        <v>58</v>
      </c>
      <c r="E1386" t="s">
        <v>59</v>
      </c>
      <c r="F1386" s="41"/>
      <c r="G1386" s="80" t="s">
        <v>567</v>
      </c>
      <c r="H1386" s="80" t="s">
        <v>9</v>
      </c>
      <c r="I1386" s="81" t="s">
        <v>568</v>
      </c>
      <c r="J1386" t="s">
        <v>6</v>
      </c>
    </row>
    <row r="1387" spans="3:10" hidden="1">
      <c r="C1387">
        <v>129000</v>
      </c>
      <c r="D1387" t="s">
        <v>48</v>
      </c>
      <c r="E1387" t="s">
        <v>577</v>
      </c>
      <c r="F1387" s="41"/>
      <c r="G1387" s="80" t="s">
        <v>567</v>
      </c>
      <c r="H1387" s="80" t="s">
        <v>9</v>
      </c>
      <c r="I1387" s="81" t="s">
        <v>577</v>
      </c>
      <c r="J1387" t="s">
        <v>6</v>
      </c>
    </row>
    <row r="1388" spans="3:10" hidden="1">
      <c r="C1388">
        <v>129001</v>
      </c>
      <c r="D1388" t="s">
        <v>49</v>
      </c>
      <c r="E1388" t="s">
        <v>578</v>
      </c>
      <c r="F1388" s="41"/>
      <c r="G1388" s="80" t="s">
        <v>567</v>
      </c>
      <c r="H1388" s="80" t="s">
        <v>9</v>
      </c>
      <c r="I1388" s="81" t="s">
        <v>577</v>
      </c>
      <c r="J1388" t="s">
        <v>6</v>
      </c>
    </row>
    <row r="1389" spans="3:10" hidden="1">
      <c r="C1389">
        <v>129002</v>
      </c>
      <c r="D1389" t="s">
        <v>49</v>
      </c>
      <c r="E1389" t="s">
        <v>579</v>
      </c>
      <c r="F1389" s="41"/>
      <c r="G1389" s="80" t="s">
        <v>567</v>
      </c>
      <c r="H1389" s="80" t="s">
        <v>9</v>
      </c>
      <c r="I1389" s="81" t="s">
        <v>577</v>
      </c>
      <c r="J1389" t="s">
        <v>6</v>
      </c>
    </row>
    <row r="1390" spans="3:10" hidden="1">
      <c r="C1390">
        <v>129003</v>
      </c>
      <c r="D1390" t="s">
        <v>49</v>
      </c>
      <c r="E1390" t="s">
        <v>580</v>
      </c>
      <c r="F1390" s="41"/>
      <c r="G1390" s="80" t="s">
        <v>567</v>
      </c>
      <c r="H1390" s="80" t="s">
        <v>9</v>
      </c>
      <c r="I1390" s="81" t="s">
        <v>577</v>
      </c>
      <c r="J1390" t="s">
        <v>6</v>
      </c>
    </row>
    <row r="1391" spans="3:10" hidden="1">
      <c r="C1391">
        <v>129004</v>
      </c>
      <c r="D1391" t="s">
        <v>49</v>
      </c>
      <c r="E1391" t="s">
        <v>545</v>
      </c>
      <c r="F1391" s="41"/>
      <c r="G1391" s="80" t="s">
        <v>567</v>
      </c>
      <c r="H1391" s="80" t="s">
        <v>9</v>
      </c>
      <c r="I1391" s="81" t="s">
        <v>577</v>
      </c>
      <c r="J1391" t="s">
        <v>6</v>
      </c>
    </row>
    <row r="1392" spans="3:10" hidden="1">
      <c r="C1392">
        <v>129005</v>
      </c>
      <c r="D1392" t="s">
        <v>49</v>
      </c>
      <c r="E1392" t="s">
        <v>581</v>
      </c>
      <c r="F1392" s="41"/>
      <c r="G1392" s="80" t="s">
        <v>567</v>
      </c>
      <c r="H1392" s="80" t="s">
        <v>9</v>
      </c>
      <c r="I1392" s="81" t="s">
        <v>577</v>
      </c>
      <c r="J1392" t="s">
        <v>6</v>
      </c>
    </row>
    <row r="1393" spans="3:10" hidden="1">
      <c r="C1393">
        <v>129006</v>
      </c>
      <c r="D1393" t="s">
        <v>49</v>
      </c>
      <c r="E1393" t="s">
        <v>57</v>
      </c>
      <c r="F1393" s="41"/>
      <c r="G1393" s="80" t="s">
        <v>567</v>
      </c>
      <c r="H1393" s="80" t="s">
        <v>9</v>
      </c>
      <c r="I1393" s="81" t="s">
        <v>577</v>
      </c>
      <c r="J1393" t="s">
        <v>6</v>
      </c>
    </row>
    <row r="1394" spans="3:10" hidden="1">
      <c r="C1394">
        <v>129007</v>
      </c>
      <c r="D1394" t="s">
        <v>58</v>
      </c>
      <c r="E1394" t="s">
        <v>59</v>
      </c>
      <c r="F1394" s="41"/>
      <c r="G1394" s="80" t="s">
        <v>567</v>
      </c>
      <c r="H1394" s="80" t="s">
        <v>9</v>
      </c>
      <c r="I1394" s="81" t="s">
        <v>577</v>
      </c>
      <c r="J1394" t="s">
        <v>6</v>
      </c>
    </row>
    <row r="1395" spans="3:10" hidden="1">
      <c r="C1395">
        <v>130000</v>
      </c>
      <c r="D1395" t="s">
        <v>48</v>
      </c>
      <c r="E1395" t="s">
        <v>582</v>
      </c>
      <c r="F1395" s="41"/>
      <c r="G1395" s="80" t="s">
        <v>567</v>
      </c>
      <c r="H1395" s="80" t="s">
        <v>9</v>
      </c>
      <c r="I1395" s="81" t="s">
        <v>582</v>
      </c>
      <c r="J1395" t="s">
        <v>6</v>
      </c>
    </row>
    <row r="1396" spans="3:10" hidden="1">
      <c r="C1396">
        <v>130001</v>
      </c>
      <c r="D1396" t="s">
        <v>49</v>
      </c>
      <c r="E1396" t="s">
        <v>583</v>
      </c>
      <c r="F1396" s="41"/>
      <c r="G1396" s="80" t="s">
        <v>567</v>
      </c>
      <c r="H1396" s="80" t="s">
        <v>9</v>
      </c>
      <c r="I1396" s="81" t="s">
        <v>582</v>
      </c>
      <c r="J1396" t="s">
        <v>6</v>
      </c>
    </row>
    <row r="1397" spans="3:10" hidden="1">
      <c r="C1397">
        <v>130002</v>
      </c>
      <c r="D1397" t="s">
        <v>49</v>
      </c>
      <c r="E1397" t="s">
        <v>584</v>
      </c>
      <c r="F1397" s="41"/>
      <c r="G1397" s="80" t="s">
        <v>567</v>
      </c>
      <c r="H1397" s="80" t="s">
        <v>9</v>
      </c>
      <c r="I1397" s="81" t="s">
        <v>582</v>
      </c>
      <c r="J1397" t="s">
        <v>6</v>
      </c>
    </row>
    <row r="1398" spans="3:10" hidden="1">
      <c r="C1398">
        <v>130003</v>
      </c>
      <c r="D1398" t="s">
        <v>49</v>
      </c>
      <c r="E1398" t="s">
        <v>585</v>
      </c>
      <c r="F1398" s="41"/>
      <c r="G1398" s="80" t="s">
        <v>567</v>
      </c>
      <c r="H1398" s="80" t="s">
        <v>9</v>
      </c>
      <c r="I1398" s="81" t="s">
        <v>582</v>
      </c>
      <c r="J1398" t="s">
        <v>6</v>
      </c>
    </row>
    <row r="1399" spans="3:10" hidden="1">
      <c r="C1399">
        <v>130004</v>
      </c>
      <c r="D1399" t="s">
        <v>49</v>
      </c>
      <c r="E1399" t="s">
        <v>57</v>
      </c>
      <c r="F1399" s="41"/>
      <c r="G1399" s="80" t="s">
        <v>567</v>
      </c>
      <c r="H1399" s="80" t="s">
        <v>9</v>
      </c>
      <c r="I1399" s="81" t="s">
        <v>582</v>
      </c>
      <c r="J1399" t="s">
        <v>6</v>
      </c>
    </row>
    <row r="1400" spans="3:10" hidden="1">
      <c r="C1400">
        <v>130005</v>
      </c>
      <c r="D1400" t="s">
        <v>58</v>
      </c>
      <c r="E1400" t="s">
        <v>59</v>
      </c>
      <c r="F1400" s="41"/>
      <c r="G1400" s="80" t="s">
        <v>567</v>
      </c>
      <c r="H1400" s="80" t="s">
        <v>9</v>
      </c>
      <c r="I1400" s="81" t="s">
        <v>582</v>
      </c>
      <c r="J1400" t="s">
        <v>6</v>
      </c>
    </row>
    <row r="1401" spans="3:10" hidden="1">
      <c r="C1401">
        <v>131000</v>
      </c>
      <c r="D1401" t="s">
        <v>48</v>
      </c>
      <c r="E1401" t="s">
        <v>586</v>
      </c>
      <c r="F1401" s="41"/>
      <c r="G1401" s="80" t="s">
        <v>567</v>
      </c>
      <c r="H1401" s="80" t="s">
        <v>9</v>
      </c>
      <c r="I1401" s="81" t="s">
        <v>586</v>
      </c>
      <c r="J1401" t="s">
        <v>6</v>
      </c>
    </row>
    <row r="1402" spans="3:10" hidden="1">
      <c r="C1402">
        <v>131001</v>
      </c>
      <c r="D1402" t="s">
        <v>49</v>
      </c>
      <c r="E1402" t="s">
        <v>587</v>
      </c>
      <c r="F1402" s="41"/>
      <c r="G1402" s="80" t="s">
        <v>567</v>
      </c>
      <c r="H1402" s="80" t="s">
        <v>9</v>
      </c>
      <c r="I1402" s="81" t="s">
        <v>586</v>
      </c>
      <c r="J1402" t="s">
        <v>6</v>
      </c>
    </row>
    <row r="1403" spans="3:10" hidden="1">
      <c r="C1403">
        <v>131002</v>
      </c>
      <c r="D1403" t="s">
        <v>49</v>
      </c>
      <c r="E1403" t="s">
        <v>588</v>
      </c>
      <c r="F1403" s="41"/>
      <c r="G1403" s="80" t="s">
        <v>567</v>
      </c>
      <c r="H1403" s="80" t="s">
        <v>9</v>
      </c>
      <c r="I1403" s="81" t="s">
        <v>586</v>
      </c>
      <c r="J1403" t="s">
        <v>6</v>
      </c>
    </row>
    <row r="1404" spans="3:10" hidden="1">
      <c r="C1404">
        <v>131003</v>
      </c>
      <c r="D1404" t="s">
        <v>49</v>
      </c>
      <c r="E1404" t="s">
        <v>589</v>
      </c>
      <c r="F1404" s="41"/>
      <c r="G1404" s="80" t="s">
        <v>567</v>
      </c>
      <c r="H1404" s="80" t="s">
        <v>9</v>
      </c>
      <c r="I1404" s="81" t="s">
        <v>586</v>
      </c>
      <c r="J1404" t="s">
        <v>6</v>
      </c>
    </row>
    <row r="1405" spans="3:10" hidden="1">
      <c r="C1405">
        <v>131004</v>
      </c>
      <c r="D1405" t="s">
        <v>49</v>
      </c>
      <c r="E1405" t="s">
        <v>590</v>
      </c>
      <c r="F1405" s="41"/>
      <c r="G1405" s="80" t="s">
        <v>567</v>
      </c>
      <c r="H1405" s="80" t="s">
        <v>9</v>
      </c>
      <c r="I1405" s="81" t="s">
        <v>586</v>
      </c>
      <c r="J1405" t="s">
        <v>6</v>
      </c>
    </row>
    <row r="1406" spans="3:10" hidden="1">
      <c r="C1406">
        <v>131005</v>
      </c>
      <c r="D1406" t="s">
        <v>49</v>
      </c>
      <c r="E1406" t="s">
        <v>591</v>
      </c>
      <c r="F1406" s="41"/>
      <c r="G1406" s="80" t="s">
        <v>567</v>
      </c>
      <c r="H1406" s="80" t="s">
        <v>9</v>
      </c>
      <c r="I1406" s="81" t="s">
        <v>586</v>
      </c>
      <c r="J1406" t="s">
        <v>6</v>
      </c>
    </row>
    <row r="1407" spans="3:10" hidden="1">
      <c r="C1407">
        <v>131006</v>
      </c>
      <c r="D1407" t="s">
        <v>49</v>
      </c>
      <c r="E1407" t="s">
        <v>592</v>
      </c>
      <c r="F1407" s="41"/>
      <c r="G1407" s="80" t="s">
        <v>567</v>
      </c>
      <c r="H1407" s="80" t="s">
        <v>9</v>
      </c>
      <c r="I1407" s="81" t="s">
        <v>586</v>
      </c>
      <c r="J1407" t="s">
        <v>6</v>
      </c>
    </row>
    <row r="1408" spans="3:10" hidden="1">
      <c r="C1408">
        <v>131007</v>
      </c>
      <c r="D1408" t="s">
        <v>49</v>
      </c>
      <c r="E1408" t="s">
        <v>593</v>
      </c>
      <c r="F1408" s="41"/>
      <c r="G1408" s="80" t="s">
        <v>567</v>
      </c>
      <c r="H1408" s="80" t="s">
        <v>9</v>
      </c>
      <c r="I1408" s="81" t="s">
        <v>586</v>
      </c>
      <c r="J1408" t="s">
        <v>6</v>
      </c>
    </row>
    <row r="1409" spans="3:10" hidden="1">
      <c r="C1409">
        <v>131008</v>
      </c>
      <c r="D1409" t="s">
        <v>49</v>
      </c>
      <c r="E1409" t="s">
        <v>594</v>
      </c>
      <c r="F1409" s="41"/>
      <c r="G1409" s="80" t="s">
        <v>567</v>
      </c>
      <c r="H1409" s="80" t="s">
        <v>9</v>
      </c>
      <c r="I1409" s="81" t="s">
        <v>586</v>
      </c>
      <c r="J1409" t="s">
        <v>6</v>
      </c>
    </row>
    <row r="1410" spans="3:10" hidden="1">
      <c r="C1410">
        <v>131009</v>
      </c>
      <c r="D1410" t="s">
        <v>49</v>
      </c>
      <c r="E1410" t="s">
        <v>595</v>
      </c>
      <c r="F1410" s="41"/>
      <c r="G1410" s="80" t="s">
        <v>567</v>
      </c>
      <c r="H1410" s="80" t="s">
        <v>9</v>
      </c>
      <c r="I1410" s="81" t="s">
        <v>586</v>
      </c>
      <c r="J1410" t="s">
        <v>6</v>
      </c>
    </row>
    <row r="1411" spans="3:10" hidden="1">
      <c r="C1411">
        <v>131010</v>
      </c>
      <c r="D1411" t="s">
        <v>49</v>
      </c>
      <c r="E1411" t="s">
        <v>596</v>
      </c>
      <c r="F1411" s="41"/>
      <c r="G1411" s="80" t="s">
        <v>567</v>
      </c>
      <c r="H1411" s="80" t="s">
        <v>9</v>
      </c>
      <c r="I1411" s="81" t="s">
        <v>586</v>
      </c>
      <c r="J1411" t="s">
        <v>6</v>
      </c>
    </row>
    <row r="1412" spans="3:10" hidden="1">
      <c r="C1412">
        <v>131011</v>
      </c>
      <c r="D1412" t="s">
        <v>49</v>
      </c>
      <c r="E1412" t="s">
        <v>597</v>
      </c>
      <c r="F1412" s="41"/>
      <c r="G1412" s="80" t="s">
        <v>567</v>
      </c>
      <c r="H1412" s="80" t="s">
        <v>9</v>
      </c>
      <c r="I1412" s="81" t="s">
        <v>586</v>
      </c>
      <c r="J1412" t="s">
        <v>6</v>
      </c>
    </row>
    <row r="1413" spans="3:10" hidden="1">
      <c r="C1413">
        <v>131012</v>
      </c>
      <c r="D1413" t="s">
        <v>49</v>
      </c>
      <c r="E1413" t="s">
        <v>57</v>
      </c>
      <c r="F1413" s="41"/>
      <c r="G1413" s="80" t="s">
        <v>567</v>
      </c>
      <c r="H1413" s="80" t="s">
        <v>9</v>
      </c>
      <c r="I1413" s="81" t="s">
        <v>586</v>
      </c>
      <c r="J1413" t="s">
        <v>6</v>
      </c>
    </row>
    <row r="1414" spans="3:10" hidden="1">
      <c r="C1414">
        <v>131013</v>
      </c>
      <c r="D1414" t="s">
        <v>58</v>
      </c>
      <c r="E1414" t="s">
        <v>59</v>
      </c>
      <c r="F1414" s="41"/>
      <c r="G1414" s="80" t="s">
        <v>567</v>
      </c>
      <c r="H1414" s="80" t="s">
        <v>9</v>
      </c>
      <c r="I1414" s="81" t="s">
        <v>586</v>
      </c>
      <c r="J1414" t="s">
        <v>6</v>
      </c>
    </row>
    <row r="1415" spans="3:10" hidden="1">
      <c r="C1415">
        <v>132000</v>
      </c>
      <c r="D1415" t="s">
        <v>48</v>
      </c>
      <c r="E1415" t="s">
        <v>599</v>
      </c>
      <c r="F1415" s="41"/>
      <c r="G1415" s="80" t="s">
        <v>598</v>
      </c>
      <c r="H1415" s="80" t="s">
        <v>9</v>
      </c>
      <c r="I1415" s="81" t="s">
        <v>599</v>
      </c>
      <c r="J1415" t="s">
        <v>6</v>
      </c>
    </row>
    <row r="1416" spans="3:10" hidden="1">
      <c r="C1416">
        <v>132001</v>
      </c>
      <c r="D1416" t="s">
        <v>49</v>
      </c>
      <c r="E1416" t="s">
        <v>600</v>
      </c>
      <c r="F1416" s="41"/>
      <c r="G1416" s="80" t="s">
        <v>598</v>
      </c>
      <c r="H1416" s="80" t="s">
        <v>9</v>
      </c>
      <c r="I1416" s="81" t="s">
        <v>599</v>
      </c>
      <c r="J1416" t="s">
        <v>6</v>
      </c>
    </row>
    <row r="1417" spans="3:10" hidden="1">
      <c r="C1417">
        <v>132002</v>
      </c>
      <c r="D1417" t="s">
        <v>49</v>
      </c>
      <c r="E1417" t="s">
        <v>601</v>
      </c>
      <c r="F1417" s="41"/>
      <c r="G1417" s="80" t="s">
        <v>598</v>
      </c>
      <c r="H1417" s="80" t="s">
        <v>9</v>
      </c>
      <c r="I1417" s="81" t="s">
        <v>599</v>
      </c>
      <c r="J1417" t="s">
        <v>6</v>
      </c>
    </row>
    <row r="1418" spans="3:10" hidden="1">
      <c r="C1418">
        <v>132003</v>
      </c>
      <c r="D1418" t="s">
        <v>49</v>
      </c>
      <c r="E1418" t="s">
        <v>602</v>
      </c>
      <c r="F1418" s="41"/>
      <c r="G1418" s="80" t="s">
        <v>598</v>
      </c>
      <c r="H1418" s="80" t="s">
        <v>9</v>
      </c>
      <c r="I1418" s="81" t="s">
        <v>599</v>
      </c>
      <c r="J1418" t="s">
        <v>6</v>
      </c>
    </row>
    <row r="1419" spans="3:10" hidden="1">
      <c r="C1419">
        <v>132004</v>
      </c>
      <c r="D1419" t="s">
        <v>49</v>
      </c>
      <c r="E1419" t="s">
        <v>603</v>
      </c>
      <c r="F1419" s="41"/>
      <c r="G1419" s="80" t="s">
        <v>598</v>
      </c>
      <c r="H1419" s="80" t="s">
        <v>9</v>
      </c>
      <c r="I1419" s="81" t="s">
        <v>599</v>
      </c>
      <c r="J1419" t="s">
        <v>6</v>
      </c>
    </row>
    <row r="1420" spans="3:10" hidden="1">
      <c r="C1420">
        <v>132005</v>
      </c>
      <c r="D1420" t="s">
        <v>49</v>
      </c>
      <c r="E1420" t="s">
        <v>57</v>
      </c>
      <c r="F1420" s="41"/>
      <c r="G1420" s="80" t="s">
        <v>598</v>
      </c>
      <c r="H1420" s="80" t="s">
        <v>9</v>
      </c>
      <c r="I1420" s="81" t="s">
        <v>599</v>
      </c>
      <c r="J1420" t="s">
        <v>6</v>
      </c>
    </row>
    <row r="1421" spans="3:10" hidden="1">
      <c r="C1421">
        <v>132006</v>
      </c>
      <c r="D1421" t="s">
        <v>58</v>
      </c>
      <c r="E1421" t="s">
        <v>59</v>
      </c>
      <c r="F1421" s="41"/>
      <c r="G1421" s="80" t="s">
        <v>598</v>
      </c>
      <c r="H1421" s="80" t="s">
        <v>9</v>
      </c>
      <c r="I1421" s="81" t="s">
        <v>599</v>
      </c>
      <c r="J1421" t="s">
        <v>6</v>
      </c>
    </row>
    <row r="1422" spans="3:10" hidden="1">
      <c r="C1422">
        <v>133000</v>
      </c>
      <c r="D1422" t="s">
        <v>48</v>
      </c>
      <c r="E1422" t="s">
        <v>604</v>
      </c>
      <c r="F1422" s="41"/>
      <c r="G1422" s="80" t="s">
        <v>598</v>
      </c>
      <c r="H1422" s="80" t="s">
        <v>9</v>
      </c>
      <c r="I1422" s="81" t="s">
        <v>604</v>
      </c>
      <c r="J1422" t="s">
        <v>6</v>
      </c>
    </row>
    <row r="1423" spans="3:10" hidden="1">
      <c r="C1423">
        <v>133001</v>
      </c>
      <c r="D1423" t="s">
        <v>49</v>
      </c>
      <c r="E1423" t="s">
        <v>605</v>
      </c>
      <c r="F1423" s="41"/>
      <c r="G1423" s="80" t="s">
        <v>598</v>
      </c>
      <c r="H1423" s="80" t="s">
        <v>9</v>
      </c>
      <c r="I1423" s="81" t="s">
        <v>604</v>
      </c>
      <c r="J1423" t="s">
        <v>6</v>
      </c>
    </row>
    <row r="1424" spans="3:10" hidden="1">
      <c r="C1424">
        <v>133002</v>
      </c>
      <c r="D1424" t="s">
        <v>49</v>
      </c>
      <c r="E1424" t="s">
        <v>606</v>
      </c>
      <c r="F1424" s="41"/>
      <c r="G1424" s="80" t="s">
        <v>598</v>
      </c>
      <c r="H1424" s="80" t="s">
        <v>9</v>
      </c>
      <c r="I1424" s="81" t="s">
        <v>604</v>
      </c>
      <c r="J1424" t="s">
        <v>6</v>
      </c>
    </row>
    <row r="1425" spans="3:10" hidden="1">
      <c r="C1425">
        <v>133003</v>
      </c>
      <c r="D1425" t="s">
        <v>49</v>
      </c>
      <c r="E1425" t="s">
        <v>607</v>
      </c>
      <c r="F1425" s="41"/>
      <c r="G1425" s="80" t="s">
        <v>598</v>
      </c>
      <c r="H1425" s="80" t="s">
        <v>9</v>
      </c>
      <c r="I1425" s="81" t="s">
        <v>604</v>
      </c>
      <c r="J1425" t="s">
        <v>6</v>
      </c>
    </row>
    <row r="1426" spans="3:10" hidden="1">
      <c r="C1426">
        <v>133004</v>
      </c>
      <c r="D1426" t="s">
        <v>49</v>
      </c>
      <c r="E1426" t="s">
        <v>608</v>
      </c>
      <c r="F1426" s="41"/>
      <c r="G1426" s="80" t="s">
        <v>598</v>
      </c>
      <c r="H1426" s="80" t="s">
        <v>9</v>
      </c>
      <c r="I1426" s="81" t="s">
        <v>604</v>
      </c>
      <c r="J1426" t="s">
        <v>6</v>
      </c>
    </row>
    <row r="1427" spans="3:10" hidden="1">
      <c r="C1427">
        <v>133005</v>
      </c>
      <c r="D1427" t="s">
        <v>49</v>
      </c>
      <c r="E1427" t="s">
        <v>609</v>
      </c>
      <c r="F1427" s="41"/>
      <c r="G1427" s="80" t="s">
        <v>598</v>
      </c>
      <c r="H1427" s="80" t="s">
        <v>9</v>
      </c>
      <c r="I1427" s="81" t="s">
        <v>604</v>
      </c>
      <c r="J1427" t="s">
        <v>6</v>
      </c>
    </row>
    <row r="1428" spans="3:10" hidden="1">
      <c r="C1428">
        <v>133006</v>
      </c>
      <c r="D1428" t="s">
        <v>49</v>
      </c>
      <c r="E1428" t="s">
        <v>57</v>
      </c>
      <c r="F1428" s="41"/>
      <c r="G1428" s="80" t="s">
        <v>598</v>
      </c>
      <c r="H1428" s="80" t="s">
        <v>9</v>
      </c>
      <c r="I1428" s="81" t="s">
        <v>604</v>
      </c>
      <c r="J1428" t="s">
        <v>6</v>
      </c>
    </row>
    <row r="1429" spans="3:10" hidden="1">
      <c r="C1429">
        <v>133007</v>
      </c>
      <c r="D1429" t="s">
        <v>58</v>
      </c>
      <c r="E1429" t="s">
        <v>59</v>
      </c>
      <c r="F1429" s="41"/>
      <c r="G1429" s="80" t="s">
        <v>598</v>
      </c>
      <c r="H1429" s="80" t="s">
        <v>9</v>
      </c>
      <c r="I1429" s="81" t="s">
        <v>604</v>
      </c>
      <c r="J1429" t="s">
        <v>6</v>
      </c>
    </row>
    <row r="1430" spans="3:10" hidden="1">
      <c r="C1430">
        <v>134000</v>
      </c>
      <c r="D1430" t="s">
        <v>48</v>
      </c>
      <c r="E1430" t="s">
        <v>610</v>
      </c>
      <c r="F1430" s="41"/>
      <c r="G1430" s="80" t="s">
        <v>598</v>
      </c>
      <c r="H1430" s="80" t="s">
        <v>9</v>
      </c>
      <c r="I1430" s="81" t="s">
        <v>610</v>
      </c>
      <c r="J1430" t="s">
        <v>6</v>
      </c>
    </row>
    <row r="1431" spans="3:10" hidden="1">
      <c r="C1431">
        <v>134001</v>
      </c>
      <c r="D1431" t="s">
        <v>49</v>
      </c>
      <c r="E1431" t="s">
        <v>611</v>
      </c>
      <c r="F1431" s="41"/>
      <c r="G1431" s="80" t="s">
        <v>598</v>
      </c>
      <c r="H1431" s="80" t="s">
        <v>9</v>
      </c>
      <c r="I1431" s="81" t="s">
        <v>610</v>
      </c>
      <c r="J1431" t="s">
        <v>6</v>
      </c>
    </row>
    <row r="1432" spans="3:10" hidden="1">
      <c r="C1432">
        <v>134002</v>
      </c>
      <c r="D1432" t="s">
        <v>49</v>
      </c>
      <c r="E1432" t="s">
        <v>612</v>
      </c>
      <c r="F1432" s="41"/>
      <c r="G1432" s="80" t="s">
        <v>598</v>
      </c>
      <c r="H1432" s="80" t="s">
        <v>9</v>
      </c>
      <c r="I1432" s="81" t="s">
        <v>610</v>
      </c>
      <c r="J1432" t="s">
        <v>6</v>
      </c>
    </row>
    <row r="1433" spans="3:10" hidden="1">
      <c r="C1433">
        <v>134003</v>
      </c>
      <c r="D1433" t="s">
        <v>49</v>
      </c>
      <c r="E1433" t="s">
        <v>613</v>
      </c>
      <c r="F1433" s="41"/>
      <c r="G1433" s="80" t="s">
        <v>598</v>
      </c>
      <c r="H1433" s="80" t="s">
        <v>9</v>
      </c>
      <c r="I1433" s="81" t="s">
        <v>610</v>
      </c>
      <c r="J1433" t="s">
        <v>6</v>
      </c>
    </row>
    <row r="1434" spans="3:10" hidden="1">
      <c r="C1434">
        <v>134004</v>
      </c>
      <c r="D1434" t="s">
        <v>49</v>
      </c>
      <c r="E1434" t="s">
        <v>614</v>
      </c>
      <c r="F1434" s="41"/>
      <c r="G1434" s="80" t="s">
        <v>598</v>
      </c>
      <c r="H1434" s="80" t="s">
        <v>9</v>
      </c>
      <c r="I1434" s="81" t="s">
        <v>610</v>
      </c>
      <c r="J1434" t="s">
        <v>6</v>
      </c>
    </row>
    <row r="1435" spans="3:10" hidden="1">
      <c r="C1435">
        <v>134005</v>
      </c>
      <c r="D1435" t="s">
        <v>49</v>
      </c>
      <c r="E1435" t="s">
        <v>615</v>
      </c>
      <c r="F1435" s="41"/>
      <c r="G1435" s="80" t="s">
        <v>598</v>
      </c>
      <c r="H1435" s="80" t="s">
        <v>9</v>
      </c>
      <c r="I1435" s="81" t="s">
        <v>610</v>
      </c>
      <c r="J1435" t="s">
        <v>6</v>
      </c>
    </row>
    <row r="1436" spans="3:10" hidden="1">
      <c r="C1436">
        <v>134006</v>
      </c>
      <c r="D1436" t="s">
        <v>49</v>
      </c>
      <c r="E1436" t="s">
        <v>616</v>
      </c>
      <c r="F1436" s="41"/>
      <c r="G1436" s="80" t="s">
        <v>598</v>
      </c>
      <c r="H1436" s="80" t="s">
        <v>9</v>
      </c>
      <c r="I1436" s="81" t="s">
        <v>610</v>
      </c>
      <c r="J1436" t="s">
        <v>6</v>
      </c>
    </row>
    <row r="1437" spans="3:10" hidden="1">
      <c r="C1437">
        <v>134007</v>
      </c>
      <c r="D1437" t="s">
        <v>49</v>
      </c>
      <c r="E1437" t="s">
        <v>617</v>
      </c>
      <c r="F1437" s="41"/>
      <c r="G1437" s="80" t="s">
        <v>598</v>
      </c>
      <c r="H1437" s="80" t="s">
        <v>9</v>
      </c>
      <c r="I1437" s="81" t="s">
        <v>610</v>
      </c>
      <c r="J1437" t="s">
        <v>6</v>
      </c>
    </row>
    <row r="1438" spans="3:10" hidden="1">
      <c r="C1438">
        <v>134008</v>
      </c>
      <c r="D1438" t="s">
        <v>49</v>
      </c>
      <c r="E1438" t="s">
        <v>57</v>
      </c>
      <c r="F1438" s="41"/>
      <c r="G1438" s="80" t="s">
        <v>598</v>
      </c>
      <c r="H1438" s="80" t="s">
        <v>9</v>
      </c>
      <c r="I1438" s="81" t="s">
        <v>610</v>
      </c>
      <c r="J1438" t="s">
        <v>6</v>
      </c>
    </row>
    <row r="1439" spans="3:10" hidden="1">
      <c r="C1439">
        <v>134009</v>
      </c>
      <c r="D1439" t="s">
        <v>58</v>
      </c>
      <c r="E1439" t="s">
        <v>59</v>
      </c>
      <c r="F1439" s="41"/>
      <c r="G1439" s="80" t="s">
        <v>598</v>
      </c>
      <c r="H1439" s="80" t="s">
        <v>9</v>
      </c>
      <c r="I1439" s="81" t="s">
        <v>610</v>
      </c>
      <c r="J1439" t="s">
        <v>6</v>
      </c>
    </row>
    <row r="1440" spans="3:10" hidden="1">
      <c r="C1440">
        <v>135000</v>
      </c>
      <c r="D1440" t="s">
        <v>48</v>
      </c>
      <c r="E1440" t="s">
        <v>618</v>
      </c>
      <c r="F1440" s="41"/>
      <c r="G1440" s="80" t="s">
        <v>598</v>
      </c>
      <c r="H1440" s="80" t="s">
        <v>9</v>
      </c>
      <c r="I1440" s="81" t="s">
        <v>618</v>
      </c>
      <c r="J1440" t="s">
        <v>6</v>
      </c>
    </row>
    <row r="1441" spans="3:10" hidden="1">
      <c r="C1441">
        <v>135001</v>
      </c>
      <c r="D1441" t="s">
        <v>49</v>
      </c>
      <c r="E1441" t="s">
        <v>619</v>
      </c>
      <c r="F1441" s="41"/>
      <c r="G1441" s="80" t="s">
        <v>598</v>
      </c>
      <c r="H1441" s="80" t="s">
        <v>9</v>
      </c>
      <c r="I1441" s="81" t="s">
        <v>618</v>
      </c>
      <c r="J1441" t="s">
        <v>6</v>
      </c>
    </row>
    <row r="1442" spans="3:10" hidden="1">
      <c r="C1442">
        <v>135002</v>
      </c>
      <c r="D1442" t="s">
        <v>49</v>
      </c>
      <c r="E1442" t="s">
        <v>620</v>
      </c>
      <c r="F1442" s="41"/>
      <c r="G1442" s="80" t="s">
        <v>598</v>
      </c>
      <c r="H1442" s="80" t="s">
        <v>9</v>
      </c>
      <c r="I1442" s="81" t="s">
        <v>618</v>
      </c>
      <c r="J1442" t="s">
        <v>6</v>
      </c>
    </row>
    <row r="1443" spans="3:10" hidden="1">
      <c r="C1443">
        <v>135003</v>
      </c>
      <c r="D1443" t="s">
        <v>49</v>
      </c>
      <c r="E1443" t="s">
        <v>621</v>
      </c>
      <c r="F1443" s="41"/>
      <c r="G1443" s="80" t="s">
        <v>598</v>
      </c>
      <c r="H1443" s="80" t="s">
        <v>9</v>
      </c>
      <c r="I1443" s="81" t="s">
        <v>618</v>
      </c>
      <c r="J1443" t="s">
        <v>6</v>
      </c>
    </row>
    <row r="1444" spans="3:10" hidden="1">
      <c r="C1444">
        <v>135004</v>
      </c>
      <c r="D1444" t="s">
        <v>49</v>
      </c>
      <c r="E1444" t="s">
        <v>622</v>
      </c>
      <c r="F1444" s="41"/>
      <c r="G1444" s="80" t="s">
        <v>598</v>
      </c>
      <c r="H1444" s="80" t="s">
        <v>9</v>
      </c>
      <c r="I1444" s="81" t="s">
        <v>618</v>
      </c>
      <c r="J1444" t="s">
        <v>6</v>
      </c>
    </row>
    <row r="1445" spans="3:10" hidden="1">
      <c r="C1445">
        <v>135005</v>
      </c>
      <c r="D1445" t="s">
        <v>49</v>
      </c>
      <c r="E1445" t="s">
        <v>623</v>
      </c>
      <c r="F1445" s="41"/>
      <c r="G1445" s="80" t="s">
        <v>598</v>
      </c>
      <c r="H1445" s="80" t="s">
        <v>9</v>
      </c>
      <c r="I1445" s="81" t="s">
        <v>618</v>
      </c>
      <c r="J1445" t="s">
        <v>6</v>
      </c>
    </row>
    <row r="1446" spans="3:10" hidden="1">
      <c r="C1446">
        <v>135006</v>
      </c>
      <c r="D1446" t="s">
        <v>49</v>
      </c>
      <c r="E1446" t="s">
        <v>624</v>
      </c>
      <c r="F1446" s="41"/>
      <c r="G1446" s="80" t="s">
        <v>598</v>
      </c>
      <c r="H1446" s="80" t="s">
        <v>9</v>
      </c>
      <c r="I1446" s="81" t="s">
        <v>618</v>
      </c>
      <c r="J1446" t="s">
        <v>6</v>
      </c>
    </row>
    <row r="1447" spans="3:10" hidden="1">
      <c r="C1447">
        <v>135007</v>
      </c>
      <c r="D1447" t="s">
        <v>49</v>
      </c>
      <c r="E1447" t="s">
        <v>625</v>
      </c>
      <c r="F1447" s="41"/>
      <c r="G1447" s="80" t="s">
        <v>598</v>
      </c>
      <c r="H1447" s="80" t="s">
        <v>9</v>
      </c>
      <c r="I1447" s="81" t="s">
        <v>618</v>
      </c>
      <c r="J1447" t="s">
        <v>6</v>
      </c>
    </row>
    <row r="1448" spans="3:10" hidden="1">
      <c r="C1448">
        <v>135008</v>
      </c>
      <c r="D1448" t="s">
        <v>49</v>
      </c>
      <c r="E1448" t="s">
        <v>626</v>
      </c>
      <c r="F1448" s="41"/>
      <c r="G1448" s="80" t="s">
        <v>598</v>
      </c>
      <c r="H1448" s="80" t="s">
        <v>9</v>
      </c>
      <c r="I1448" s="81" t="s">
        <v>618</v>
      </c>
      <c r="J1448" t="s">
        <v>6</v>
      </c>
    </row>
    <row r="1449" spans="3:10" hidden="1">
      <c r="C1449">
        <v>135009</v>
      </c>
      <c r="D1449" t="s">
        <v>49</v>
      </c>
      <c r="E1449" t="s">
        <v>57</v>
      </c>
      <c r="F1449" s="41"/>
      <c r="G1449" s="80" t="s">
        <v>598</v>
      </c>
      <c r="H1449" s="80" t="s">
        <v>9</v>
      </c>
      <c r="I1449" s="81" t="s">
        <v>618</v>
      </c>
      <c r="J1449" t="s">
        <v>6</v>
      </c>
    </row>
    <row r="1450" spans="3:10" hidden="1">
      <c r="C1450">
        <v>135010</v>
      </c>
      <c r="D1450" t="s">
        <v>58</v>
      </c>
      <c r="E1450" t="s">
        <v>59</v>
      </c>
      <c r="F1450" s="41"/>
      <c r="G1450" s="80" t="s">
        <v>598</v>
      </c>
      <c r="H1450" s="80" t="s">
        <v>9</v>
      </c>
      <c r="I1450" s="81" t="s">
        <v>618</v>
      </c>
      <c r="J1450" t="s">
        <v>6</v>
      </c>
    </row>
    <row r="1451" spans="3:10" hidden="1">
      <c r="C1451">
        <v>136000</v>
      </c>
      <c r="D1451" t="s">
        <v>48</v>
      </c>
      <c r="E1451" t="s">
        <v>627</v>
      </c>
      <c r="F1451" s="41"/>
      <c r="G1451" s="80" t="s">
        <v>598</v>
      </c>
      <c r="H1451" s="80" t="s">
        <v>9</v>
      </c>
      <c r="I1451" s="81" t="s">
        <v>627</v>
      </c>
      <c r="J1451" t="s">
        <v>6</v>
      </c>
    </row>
    <row r="1452" spans="3:10" hidden="1">
      <c r="C1452">
        <v>136001</v>
      </c>
      <c r="D1452" t="s">
        <v>49</v>
      </c>
      <c r="E1452" t="s">
        <v>628</v>
      </c>
      <c r="F1452" s="41"/>
      <c r="G1452" s="80" t="s">
        <v>598</v>
      </c>
      <c r="H1452" s="80" t="s">
        <v>9</v>
      </c>
      <c r="I1452" s="81" t="s">
        <v>627</v>
      </c>
      <c r="J1452" t="s">
        <v>6</v>
      </c>
    </row>
    <row r="1453" spans="3:10" hidden="1">
      <c r="C1453">
        <v>136002</v>
      </c>
      <c r="D1453" t="s">
        <v>49</v>
      </c>
      <c r="E1453" t="s">
        <v>1701</v>
      </c>
      <c r="F1453" s="41"/>
      <c r="G1453" s="80" t="s">
        <v>598</v>
      </c>
      <c r="H1453" s="80" t="s">
        <v>9</v>
      </c>
      <c r="I1453" s="81" t="s">
        <v>627</v>
      </c>
      <c r="J1453" t="s">
        <v>6</v>
      </c>
    </row>
    <row r="1454" spans="3:10" hidden="1">
      <c r="C1454">
        <v>136003</v>
      </c>
      <c r="D1454" t="s">
        <v>49</v>
      </c>
      <c r="E1454" t="s">
        <v>630</v>
      </c>
      <c r="F1454" s="41"/>
      <c r="G1454" s="80" t="s">
        <v>598</v>
      </c>
      <c r="H1454" s="80" t="s">
        <v>9</v>
      </c>
      <c r="I1454" s="81" t="s">
        <v>627</v>
      </c>
      <c r="J1454" t="s">
        <v>6</v>
      </c>
    </row>
    <row r="1455" spans="3:10" hidden="1">
      <c r="C1455">
        <v>136004</v>
      </c>
      <c r="D1455" t="s">
        <v>49</v>
      </c>
      <c r="E1455" t="s">
        <v>57</v>
      </c>
      <c r="F1455" s="41"/>
      <c r="G1455" s="80" t="s">
        <v>598</v>
      </c>
      <c r="H1455" s="80" t="s">
        <v>9</v>
      </c>
      <c r="I1455" s="81" t="s">
        <v>627</v>
      </c>
      <c r="J1455" t="s">
        <v>6</v>
      </c>
    </row>
    <row r="1456" spans="3:10" hidden="1">
      <c r="C1456">
        <v>136005</v>
      </c>
      <c r="D1456" t="s">
        <v>58</v>
      </c>
      <c r="E1456" t="s">
        <v>59</v>
      </c>
      <c r="F1456" s="41"/>
      <c r="G1456" s="80" t="s">
        <v>598</v>
      </c>
      <c r="H1456" s="80" t="s">
        <v>9</v>
      </c>
      <c r="I1456" s="81" t="s">
        <v>627</v>
      </c>
      <c r="J1456" t="s">
        <v>6</v>
      </c>
    </row>
    <row r="1457" spans="3:10" hidden="1">
      <c r="C1457">
        <v>137000</v>
      </c>
      <c r="D1457" t="s">
        <v>48</v>
      </c>
      <c r="E1457" t="s">
        <v>631</v>
      </c>
      <c r="F1457" s="41"/>
      <c r="G1457" s="80" t="s">
        <v>598</v>
      </c>
      <c r="H1457" s="80" t="s">
        <v>9</v>
      </c>
      <c r="I1457" s="81" t="s">
        <v>631</v>
      </c>
      <c r="J1457" t="s">
        <v>6</v>
      </c>
    </row>
    <row r="1458" spans="3:10" hidden="1">
      <c r="C1458">
        <v>137001</v>
      </c>
      <c r="D1458" t="s">
        <v>49</v>
      </c>
      <c r="E1458" t="s">
        <v>632</v>
      </c>
      <c r="F1458" s="41"/>
      <c r="G1458" s="80" t="s">
        <v>598</v>
      </c>
      <c r="H1458" s="80" t="s">
        <v>9</v>
      </c>
      <c r="I1458" s="81" t="s">
        <v>631</v>
      </c>
      <c r="J1458" t="s">
        <v>6</v>
      </c>
    </row>
    <row r="1459" spans="3:10" hidden="1">
      <c r="C1459">
        <v>137002</v>
      </c>
      <c r="D1459" t="s">
        <v>49</v>
      </c>
      <c r="E1459" t="s">
        <v>633</v>
      </c>
      <c r="F1459" s="41"/>
      <c r="G1459" s="80" t="s">
        <v>598</v>
      </c>
      <c r="H1459" s="80" t="s">
        <v>9</v>
      </c>
      <c r="I1459" s="81" t="s">
        <v>631</v>
      </c>
      <c r="J1459" t="s">
        <v>6</v>
      </c>
    </row>
    <row r="1460" spans="3:10" hidden="1">
      <c r="C1460">
        <v>137003</v>
      </c>
      <c r="D1460" t="s">
        <v>49</v>
      </c>
      <c r="E1460" t="s">
        <v>634</v>
      </c>
      <c r="F1460" s="41"/>
      <c r="G1460" s="80" t="s">
        <v>598</v>
      </c>
      <c r="H1460" s="80" t="s">
        <v>9</v>
      </c>
      <c r="I1460" s="81" t="s">
        <v>631</v>
      </c>
      <c r="J1460" t="s">
        <v>6</v>
      </c>
    </row>
    <row r="1461" spans="3:10" hidden="1">
      <c r="C1461">
        <v>137004</v>
      </c>
      <c r="D1461" t="s">
        <v>49</v>
      </c>
      <c r="E1461" t="s">
        <v>635</v>
      </c>
      <c r="F1461" s="41"/>
      <c r="G1461" s="80" t="s">
        <v>598</v>
      </c>
      <c r="H1461" s="80" t="s">
        <v>9</v>
      </c>
      <c r="I1461" s="81" t="s">
        <v>631</v>
      </c>
      <c r="J1461" t="s">
        <v>6</v>
      </c>
    </row>
    <row r="1462" spans="3:10" hidden="1">
      <c r="C1462">
        <v>137005</v>
      </c>
      <c r="D1462" t="s">
        <v>49</v>
      </c>
      <c r="E1462" t="s">
        <v>636</v>
      </c>
      <c r="F1462" s="41"/>
      <c r="G1462" s="80" t="s">
        <v>598</v>
      </c>
      <c r="H1462" s="80" t="s">
        <v>9</v>
      </c>
      <c r="I1462" s="81" t="s">
        <v>631</v>
      </c>
      <c r="J1462" t="s">
        <v>6</v>
      </c>
    </row>
    <row r="1463" spans="3:10" hidden="1">
      <c r="C1463">
        <v>137006</v>
      </c>
      <c r="D1463" t="s">
        <v>49</v>
      </c>
      <c r="E1463" t="s">
        <v>637</v>
      </c>
      <c r="F1463" s="41"/>
      <c r="G1463" s="80" t="s">
        <v>598</v>
      </c>
      <c r="H1463" s="80" t="s">
        <v>9</v>
      </c>
      <c r="I1463" s="81" t="s">
        <v>631</v>
      </c>
      <c r="J1463" t="s">
        <v>6</v>
      </c>
    </row>
    <row r="1464" spans="3:10" hidden="1">
      <c r="C1464">
        <v>137007</v>
      </c>
      <c r="D1464" t="s">
        <v>49</v>
      </c>
      <c r="E1464" t="s">
        <v>638</v>
      </c>
      <c r="F1464" s="41"/>
      <c r="G1464" s="80" t="s">
        <v>598</v>
      </c>
      <c r="H1464" s="80" t="s">
        <v>9</v>
      </c>
      <c r="I1464" s="81" t="s">
        <v>631</v>
      </c>
      <c r="J1464" t="s">
        <v>6</v>
      </c>
    </row>
    <row r="1465" spans="3:10" hidden="1">
      <c r="C1465">
        <v>137008</v>
      </c>
      <c r="D1465" t="s">
        <v>49</v>
      </c>
      <c r="E1465" t="s">
        <v>57</v>
      </c>
      <c r="F1465" s="41"/>
      <c r="G1465" s="80" t="s">
        <v>598</v>
      </c>
      <c r="H1465" s="80" t="s">
        <v>9</v>
      </c>
      <c r="I1465" s="81" t="s">
        <v>631</v>
      </c>
      <c r="J1465" t="s">
        <v>6</v>
      </c>
    </row>
    <row r="1466" spans="3:10" hidden="1">
      <c r="C1466">
        <v>137009</v>
      </c>
      <c r="D1466" t="s">
        <v>58</v>
      </c>
      <c r="E1466" t="s">
        <v>59</v>
      </c>
      <c r="F1466" s="41"/>
      <c r="G1466" s="80" t="s">
        <v>598</v>
      </c>
      <c r="H1466" s="80" t="s">
        <v>9</v>
      </c>
      <c r="I1466" s="81" t="s">
        <v>631</v>
      </c>
      <c r="J1466" t="s">
        <v>6</v>
      </c>
    </row>
    <row r="1467" spans="3:10" hidden="1">
      <c r="C1467">
        <v>138000</v>
      </c>
      <c r="D1467" t="s">
        <v>48</v>
      </c>
      <c r="E1467" t="s">
        <v>639</v>
      </c>
      <c r="F1467" s="41"/>
      <c r="G1467" s="80" t="s">
        <v>598</v>
      </c>
      <c r="H1467" s="80" t="s">
        <v>9</v>
      </c>
      <c r="I1467" s="81" t="s">
        <v>639</v>
      </c>
      <c r="J1467" t="s">
        <v>6</v>
      </c>
    </row>
    <row r="1468" spans="3:10" hidden="1">
      <c r="C1468">
        <v>138001</v>
      </c>
      <c r="D1468" t="s">
        <v>49</v>
      </c>
      <c r="E1468" t="s">
        <v>640</v>
      </c>
      <c r="F1468" s="41"/>
      <c r="G1468" s="80" t="s">
        <v>598</v>
      </c>
      <c r="H1468" s="80" t="s">
        <v>9</v>
      </c>
      <c r="I1468" s="81" t="s">
        <v>639</v>
      </c>
      <c r="J1468" t="s">
        <v>6</v>
      </c>
    </row>
    <row r="1469" spans="3:10" hidden="1">
      <c r="C1469">
        <v>138002</v>
      </c>
      <c r="D1469" t="s">
        <v>49</v>
      </c>
      <c r="E1469" t="s">
        <v>641</v>
      </c>
      <c r="F1469" s="41"/>
      <c r="G1469" s="80" t="s">
        <v>598</v>
      </c>
      <c r="H1469" s="80" t="s">
        <v>9</v>
      </c>
      <c r="I1469" s="81" t="s">
        <v>639</v>
      </c>
      <c r="J1469" t="s">
        <v>6</v>
      </c>
    </row>
    <row r="1470" spans="3:10" hidden="1">
      <c r="C1470">
        <v>138003</v>
      </c>
      <c r="D1470" t="s">
        <v>49</v>
      </c>
      <c r="E1470" t="s">
        <v>642</v>
      </c>
      <c r="F1470" s="41"/>
      <c r="G1470" s="80" t="s">
        <v>598</v>
      </c>
      <c r="H1470" s="80" t="s">
        <v>9</v>
      </c>
      <c r="I1470" s="81" t="s">
        <v>639</v>
      </c>
      <c r="J1470" t="s">
        <v>6</v>
      </c>
    </row>
    <row r="1471" spans="3:10" hidden="1">
      <c r="C1471">
        <v>138004</v>
      </c>
      <c r="D1471" t="s">
        <v>49</v>
      </c>
      <c r="E1471" t="s">
        <v>643</v>
      </c>
      <c r="F1471" s="41"/>
      <c r="G1471" s="80" t="s">
        <v>598</v>
      </c>
      <c r="H1471" s="80" t="s">
        <v>9</v>
      </c>
      <c r="I1471" s="81" t="s">
        <v>639</v>
      </c>
      <c r="J1471" t="s">
        <v>6</v>
      </c>
    </row>
    <row r="1472" spans="3:10" hidden="1">
      <c r="C1472">
        <v>138005</v>
      </c>
      <c r="D1472" t="s">
        <v>49</v>
      </c>
      <c r="E1472" t="s">
        <v>57</v>
      </c>
      <c r="F1472" s="41"/>
      <c r="G1472" s="80" t="s">
        <v>598</v>
      </c>
      <c r="H1472" s="80" t="s">
        <v>9</v>
      </c>
      <c r="I1472" s="81" t="s">
        <v>639</v>
      </c>
      <c r="J1472" t="s">
        <v>6</v>
      </c>
    </row>
    <row r="1473" spans="3:10" hidden="1">
      <c r="C1473">
        <v>138006</v>
      </c>
      <c r="D1473" t="s">
        <v>58</v>
      </c>
      <c r="E1473" t="s">
        <v>59</v>
      </c>
      <c r="F1473" s="41"/>
      <c r="G1473" s="80" t="s">
        <v>598</v>
      </c>
      <c r="H1473" s="80" t="s">
        <v>9</v>
      </c>
      <c r="I1473" s="81" t="s">
        <v>639</v>
      </c>
      <c r="J1473" t="s">
        <v>6</v>
      </c>
    </row>
    <row r="1474" spans="3:10" hidden="1">
      <c r="C1474">
        <v>139000</v>
      </c>
      <c r="D1474" t="s">
        <v>48</v>
      </c>
      <c r="E1474" t="s">
        <v>644</v>
      </c>
      <c r="F1474" s="41"/>
      <c r="G1474" s="80" t="s">
        <v>598</v>
      </c>
      <c r="H1474" s="80" t="s">
        <v>9</v>
      </c>
      <c r="I1474" s="81" t="s">
        <v>644</v>
      </c>
      <c r="J1474" t="s">
        <v>6</v>
      </c>
    </row>
    <row r="1475" spans="3:10" hidden="1">
      <c r="C1475">
        <v>139001</v>
      </c>
      <c r="D1475" t="s">
        <v>49</v>
      </c>
      <c r="E1475" t="s">
        <v>645</v>
      </c>
      <c r="F1475" s="41"/>
      <c r="G1475" s="80" t="s">
        <v>598</v>
      </c>
      <c r="H1475" s="80" t="s">
        <v>9</v>
      </c>
      <c r="I1475" s="81" t="s">
        <v>644</v>
      </c>
      <c r="J1475" t="s">
        <v>6</v>
      </c>
    </row>
    <row r="1476" spans="3:10" hidden="1">
      <c r="C1476">
        <v>139002</v>
      </c>
      <c r="D1476" t="s">
        <v>49</v>
      </c>
      <c r="E1476" t="s">
        <v>646</v>
      </c>
      <c r="F1476" s="41"/>
      <c r="G1476" s="80" t="s">
        <v>598</v>
      </c>
      <c r="H1476" s="80" t="s">
        <v>9</v>
      </c>
      <c r="I1476" s="81" t="s">
        <v>644</v>
      </c>
      <c r="J1476" t="s">
        <v>6</v>
      </c>
    </row>
    <row r="1477" spans="3:10" hidden="1">
      <c r="C1477">
        <v>139003</v>
      </c>
      <c r="D1477" t="s">
        <v>49</v>
      </c>
      <c r="E1477" t="s">
        <v>647</v>
      </c>
      <c r="F1477" s="41"/>
      <c r="G1477" s="80" t="s">
        <v>598</v>
      </c>
      <c r="H1477" s="80" t="s">
        <v>9</v>
      </c>
      <c r="I1477" s="81" t="s">
        <v>644</v>
      </c>
      <c r="J1477" t="s">
        <v>6</v>
      </c>
    </row>
    <row r="1478" spans="3:10" hidden="1">
      <c r="C1478">
        <v>139004</v>
      </c>
      <c r="D1478" t="s">
        <v>49</v>
      </c>
      <c r="E1478" t="s">
        <v>648</v>
      </c>
      <c r="F1478" s="41"/>
      <c r="G1478" s="80" t="s">
        <v>598</v>
      </c>
      <c r="H1478" s="80" t="s">
        <v>9</v>
      </c>
      <c r="I1478" s="81" t="s">
        <v>644</v>
      </c>
      <c r="J1478" t="s">
        <v>6</v>
      </c>
    </row>
    <row r="1479" spans="3:10" hidden="1">
      <c r="C1479">
        <v>139005</v>
      </c>
      <c r="D1479" t="s">
        <v>49</v>
      </c>
      <c r="E1479" t="s">
        <v>649</v>
      </c>
      <c r="F1479" s="41"/>
      <c r="G1479" s="80" t="s">
        <v>598</v>
      </c>
      <c r="H1479" s="80" t="s">
        <v>9</v>
      </c>
      <c r="I1479" s="81" t="s">
        <v>644</v>
      </c>
      <c r="J1479" t="s">
        <v>6</v>
      </c>
    </row>
    <row r="1480" spans="3:10" hidden="1">
      <c r="C1480">
        <v>139006</v>
      </c>
      <c r="D1480" t="s">
        <v>49</v>
      </c>
      <c r="E1480" t="s">
        <v>650</v>
      </c>
      <c r="F1480" s="41"/>
      <c r="G1480" s="80" t="s">
        <v>598</v>
      </c>
      <c r="H1480" s="80" t="s">
        <v>9</v>
      </c>
      <c r="I1480" s="81" t="s">
        <v>644</v>
      </c>
      <c r="J1480" t="s">
        <v>6</v>
      </c>
    </row>
    <row r="1481" spans="3:10" hidden="1">
      <c r="C1481">
        <v>139007</v>
      </c>
      <c r="D1481" t="s">
        <v>49</v>
      </c>
      <c r="E1481" t="s">
        <v>57</v>
      </c>
      <c r="F1481" s="41"/>
      <c r="G1481" s="80" t="s">
        <v>598</v>
      </c>
      <c r="H1481" s="80" t="s">
        <v>9</v>
      </c>
      <c r="I1481" s="81" t="s">
        <v>644</v>
      </c>
      <c r="J1481" t="s">
        <v>6</v>
      </c>
    </row>
    <row r="1482" spans="3:10" hidden="1">
      <c r="C1482">
        <v>139008</v>
      </c>
      <c r="D1482" t="s">
        <v>58</v>
      </c>
      <c r="E1482" t="s">
        <v>59</v>
      </c>
      <c r="F1482" s="41"/>
      <c r="G1482" s="80" t="s">
        <v>598</v>
      </c>
      <c r="H1482" s="80" t="s">
        <v>9</v>
      </c>
      <c r="I1482" s="81" t="s">
        <v>644</v>
      </c>
      <c r="J1482" t="s">
        <v>6</v>
      </c>
    </row>
    <row r="1483" spans="3:10" hidden="1">
      <c r="C1483">
        <v>140000</v>
      </c>
      <c r="D1483" t="s">
        <v>48</v>
      </c>
      <c r="E1483" t="s">
        <v>651</v>
      </c>
      <c r="F1483" s="41"/>
      <c r="G1483" s="80" t="s">
        <v>598</v>
      </c>
      <c r="H1483" s="80" t="s">
        <v>9</v>
      </c>
      <c r="I1483" s="81" t="s">
        <v>651</v>
      </c>
      <c r="J1483" t="s">
        <v>6</v>
      </c>
    </row>
    <row r="1484" spans="3:10" hidden="1">
      <c r="C1484">
        <v>140001</v>
      </c>
      <c r="D1484" t="s">
        <v>49</v>
      </c>
      <c r="E1484" t="s">
        <v>652</v>
      </c>
      <c r="F1484" s="41"/>
      <c r="G1484" s="80" t="s">
        <v>598</v>
      </c>
      <c r="H1484" s="80" t="s">
        <v>9</v>
      </c>
      <c r="I1484" s="81" t="s">
        <v>651</v>
      </c>
      <c r="J1484" t="s">
        <v>6</v>
      </c>
    </row>
    <row r="1485" spans="3:10" hidden="1">
      <c r="C1485">
        <v>140002</v>
      </c>
      <c r="D1485" t="s">
        <v>49</v>
      </c>
      <c r="E1485" t="s">
        <v>653</v>
      </c>
      <c r="F1485" s="41"/>
      <c r="G1485" s="80" t="s">
        <v>598</v>
      </c>
      <c r="H1485" s="80" t="s">
        <v>9</v>
      </c>
      <c r="I1485" s="81" t="s">
        <v>651</v>
      </c>
      <c r="J1485" t="s">
        <v>6</v>
      </c>
    </row>
    <row r="1486" spans="3:10" hidden="1">
      <c r="C1486">
        <v>140003</v>
      </c>
      <c r="D1486" t="s">
        <v>49</v>
      </c>
      <c r="E1486" t="s">
        <v>654</v>
      </c>
      <c r="F1486" s="41"/>
      <c r="G1486" s="80" t="s">
        <v>598</v>
      </c>
      <c r="H1486" s="80" t="s">
        <v>9</v>
      </c>
      <c r="I1486" s="81" t="s">
        <v>651</v>
      </c>
      <c r="J1486" t="s">
        <v>6</v>
      </c>
    </row>
    <row r="1487" spans="3:10" hidden="1">
      <c r="C1487">
        <v>140004</v>
      </c>
      <c r="D1487" t="s">
        <v>49</v>
      </c>
      <c r="E1487" t="s">
        <v>57</v>
      </c>
      <c r="F1487" s="41"/>
      <c r="G1487" s="80" t="s">
        <v>598</v>
      </c>
      <c r="H1487" s="80" t="s">
        <v>9</v>
      </c>
      <c r="I1487" s="81" t="s">
        <v>651</v>
      </c>
      <c r="J1487" t="s">
        <v>6</v>
      </c>
    </row>
    <row r="1488" spans="3:10" hidden="1">
      <c r="C1488">
        <v>140005</v>
      </c>
      <c r="D1488" t="s">
        <v>58</v>
      </c>
      <c r="E1488" t="s">
        <v>59</v>
      </c>
      <c r="F1488" s="41"/>
      <c r="G1488" s="80" t="s">
        <v>598</v>
      </c>
      <c r="H1488" s="80" t="s">
        <v>9</v>
      </c>
      <c r="I1488" s="81" t="s">
        <v>651</v>
      </c>
      <c r="J1488" t="s">
        <v>6</v>
      </c>
    </row>
    <row r="1489" spans="3:10" hidden="1">
      <c r="C1489">
        <v>141000</v>
      </c>
      <c r="D1489" t="s">
        <v>48</v>
      </c>
      <c r="E1489" t="s">
        <v>655</v>
      </c>
      <c r="F1489" s="41"/>
      <c r="G1489" s="80" t="s">
        <v>598</v>
      </c>
      <c r="H1489" s="80" t="s">
        <v>9</v>
      </c>
      <c r="I1489" s="81" t="s">
        <v>655</v>
      </c>
      <c r="J1489" t="s">
        <v>6</v>
      </c>
    </row>
    <row r="1490" spans="3:10" hidden="1">
      <c r="C1490">
        <v>141001</v>
      </c>
      <c r="D1490" t="s">
        <v>49</v>
      </c>
      <c r="E1490" t="s">
        <v>656</v>
      </c>
      <c r="F1490" s="41"/>
      <c r="G1490" s="80" t="s">
        <v>598</v>
      </c>
      <c r="H1490" s="80" t="s">
        <v>9</v>
      </c>
      <c r="I1490" s="81" t="s">
        <v>655</v>
      </c>
      <c r="J1490" t="s">
        <v>6</v>
      </c>
    </row>
    <row r="1491" spans="3:10" hidden="1">
      <c r="C1491">
        <v>141002</v>
      </c>
      <c r="D1491" t="s">
        <v>49</v>
      </c>
      <c r="E1491" t="s">
        <v>657</v>
      </c>
      <c r="F1491" s="41"/>
      <c r="G1491" s="80" t="s">
        <v>598</v>
      </c>
      <c r="H1491" s="80" t="s">
        <v>9</v>
      </c>
      <c r="I1491" s="81" t="s">
        <v>655</v>
      </c>
      <c r="J1491" t="s">
        <v>6</v>
      </c>
    </row>
    <row r="1492" spans="3:10" hidden="1">
      <c r="C1492">
        <v>141003</v>
      </c>
      <c r="D1492" t="s">
        <v>49</v>
      </c>
      <c r="E1492" t="s">
        <v>658</v>
      </c>
      <c r="F1492" s="41"/>
      <c r="G1492" s="80" t="s">
        <v>598</v>
      </c>
      <c r="H1492" s="80" t="s">
        <v>9</v>
      </c>
      <c r="I1492" s="81" t="s">
        <v>655</v>
      </c>
      <c r="J1492" t="s">
        <v>6</v>
      </c>
    </row>
    <row r="1493" spans="3:10" hidden="1">
      <c r="C1493">
        <v>141004</v>
      </c>
      <c r="D1493" t="s">
        <v>49</v>
      </c>
      <c r="E1493" t="s">
        <v>659</v>
      </c>
      <c r="F1493" s="41"/>
      <c r="G1493" s="80" t="s">
        <v>598</v>
      </c>
      <c r="H1493" s="80" t="s">
        <v>9</v>
      </c>
      <c r="I1493" s="81" t="s">
        <v>655</v>
      </c>
      <c r="J1493" t="s">
        <v>6</v>
      </c>
    </row>
    <row r="1494" spans="3:10" hidden="1">
      <c r="C1494">
        <v>141005</v>
      </c>
      <c r="D1494" t="s">
        <v>49</v>
      </c>
      <c r="E1494" t="s">
        <v>660</v>
      </c>
      <c r="F1494" s="41"/>
      <c r="G1494" s="80" t="s">
        <v>598</v>
      </c>
      <c r="H1494" s="80" t="s">
        <v>9</v>
      </c>
      <c r="I1494" s="81" t="s">
        <v>655</v>
      </c>
      <c r="J1494" t="s">
        <v>6</v>
      </c>
    </row>
    <row r="1495" spans="3:10" hidden="1">
      <c r="C1495">
        <v>141006</v>
      </c>
      <c r="D1495" t="s">
        <v>49</v>
      </c>
      <c r="E1495" t="s">
        <v>661</v>
      </c>
      <c r="F1495" s="41"/>
      <c r="G1495" s="80" t="s">
        <v>598</v>
      </c>
      <c r="H1495" s="80" t="s">
        <v>9</v>
      </c>
      <c r="I1495" s="81" t="s">
        <v>655</v>
      </c>
      <c r="J1495" t="s">
        <v>6</v>
      </c>
    </row>
    <row r="1496" spans="3:10" hidden="1">
      <c r="C1496">
        <v>141007</v>
      </c>
      <c r="D1496" t="s">
        <v>49</v>
      </c>
      <c r="E1496" t="s">
        <v>662</v>
      </c>
      <c r="F1496" s="41"/>
      <c r="G1496" s="80" t="s">
        <v>598</v>
      </c>
      <c r="H1496" s="80" t="s">
        <v>9</v>
      </c>
      <c r="I1496" s="81" t="s">
        <v>655</v>
      </c>
      <c r="J1496" t="s">
        <v>6</v>
      </c>
    </row>
    <row r="1497" spans="3:10" hidden="1">
      <c r="C1497">
        <v>141008</v>
      </c>
      <c r="D1497" t="s">
        <v>49</v>
      </c>
      <c r="E1497" t="s">
        <v>57</v>
      </c>
      <c r="F1497" s="41"/>
      <c r="G1497" s="80" t="s">
        <v>598</v>
      </c>
      <c r="H1497" s="80" t="s">
        <v>9</v>
      </c>
      <c r="I1497" s="81" t="s">
        <v>655</v>
      </c>
      <c r="J1497" t="s">
        <v>6</v>
      </c>
    </row>
    <row r="1498" spans="3:10" hidden="1">
      <c r="C1498">
        <v>141009</v>
      </c>
      <c r="D1498" t="s">
        <v>58</v>
      </c>
      <c r="E1498" t="s">
        <v>59</v>
      </c>
      <c r="F1498" s="41"/>
      <c r="G1498" s="80" t="s">
        <v>598</v>
      </c>
      <c r="H1498" s="80" t="s">
        <v>9</v>
      </c>
      <c r="I1498" s="81" t="s">
        <v>655</v>
      </c>
      <c r="J1498" t="s">
        <v>6</v>
      </c>
    </row>
    <row r="1499" spans="3:10" hidden="1">
      <c r="C1499">
        <v>142000</v>
      </c>
      <c r="D1499" t="s">
        <v>48</v>
      </c>
      <c r="E1499" t="s">
        <v>663</v>
      </c>
      <c r="F1499" s="41"/>
      <c r="G1499" s="80" t="s">
        <v>598</v>
      </c>
      <c r="H1499" s="80" t="s">
        <v>9</v>
      </c>
      <c r="I1499" s="81" t="s">
        <v>663</v>
      </c>
      <c r="J1499" t="s">
        <v>6</v>
      </c>
    </row>
    <row r="1500" spans="3:10" hidden="1">
      <c r="C1500">
        <v>142001</v>
      </c>
      <c r="D1500" t="s">
        <v>49</v>
      </c>
      <c r="E1500" t="s">
        <v>664</v>
      </c>
      <c r="F1500" s="41"/>
      <c r="G1500" s="80" t="s">
        <v>598</v>
      </c>
      <c r="H1500" s="80" t="s">
        <v>9</v>
      </c>
      <c r="I1500" s="81" t="s">
        <v>663</v>
      </c>
      <c r="J1500" t="s">
        <v>6</v>
      </c>
    </row>
    <row r="1501" spans="3:10" hidden="1">
      <c r="C1501">
        <v>142002</v>
      </c>
      <c r="D1501" t="s">
        <v>49</v>
      </c>
      <c r="E1501" t="s">
        <v>665</v>
      </c>
      <c r="F1501" s="41"/>
      <c r="G1501" s="80" t="s">
        <v>598</v>
      </c>
      <c r="H1501" s="80" t="s">
        <v>9</v>
      </c>
      <c r="I1501" s="81" t="s">
        <v>663</v>
      </c>
      <c r="J1501" t="s">
        <v>6</v>
      </c>
    </row>
    <row r="1502" spans="3:10" hidden="1">
      <c r="C1502">
        <v>142003</v>
      </c>
      <c r="D1502" t="s">
        <v>49</v>
      </c>
      <c r="E1502" t="s">
        <v>666</v>
      </c>
      <c r="F1502" s="41"/>
      <c r="G1502" s="80" t="s">
        <v>598</v>
      </c>
      <c r="H1502" s="80" t="s">
        <v>9</v>
      </c>
      <c r="I1502" s="81" t="s">
        <v>663</v>
      </c>
      <c r="J1502" t="s">
        <v>6</v>
      </c>
    </row>
    <row r="1503" spans="3:10" hidden="1">
      <c r="C1503">
        <v>142004</v>
      </c>
      <c r="D1503" t="s">
        <v>49</v>
      </c>
      <c r="E1503" t="s">
        <v>667</v>
      </c>
      <c r="F1503" s="41"/>
      <c r="G1503" s="80" t="s">
        <v>598</v>
      </c>
      <c r="H1503" s="80" t="s">
        <v>9</v>
      </c>
      <c r="I1503" s="81" t="s">
        <v>663</v>
      </c>
      <c r="J1503" t="s">
        <v>6</v>
      </c>
    </row>
    <row r="1504" spans="3:10" hidden="1">
      <c r="C1504">
        <v>142005</v>
      </c>
      <c r="D1504" t="s">
        <v>49</v>
      </c>
      <c r="E1504" t="s">
        <v>623</v>
      </c>
      <c r="F1504" s="41"/>
      <c r="G1504" s="80" t="s">
        <v>598</v>
      </c>
      <c r="H1504" s="80" t="s">
        <v>9</v>
      </c>
      <c r="I1504" s="81" t="s">
        <v>663</v>
      </c>
      <c r="J1504" t="s">
        <v>6</v>
      </c>
    </row>
    <row r="1505" spans="3:10" hidden="1">
      <c r="C1505">
        <v>142006</v>
      </c>
      <c r="D1505" t="s">
        <v>49</v>
      </c>
      <c r="E1505" t="s">
        <v>668</v>
      </c>
      <c r="F1505" s="41"/>
      <c r="G1505" s="80" t="s">
        <v>598</v>
      </c>
      <c r="H1505" s="80" t="s">
        <v>9</v>
      </c>
      <c r="I1505" s="81" t="s">
        <v>663</v>
      </c>
      <c r="J1505" t="s">
        <v>6</v>
      </c>
    </row>
    <row r="1506" spans="3:10" hidden="1">
      <c r="C1506">
        <v>142007</v>
      </c>
      <c r="D1506" t="s">
        <v>49</v>
      </c>
      <c r="E1506" t="s">
        <v>57</v>
      </c>
      <c r="F1506" s="41"/>
      <c r="G1506" s="80" t="s">
        <v>598</v>
      </c>
      <c r="H1506" s="80" t="s">
        <v>9</v>
      </c>
      <c r="I1506" s="81" t="s">
        <v>663</v>
      </c>
      <c r="J1506" t="s">
        <v>6</v>
      </c>
    </row>
    <row r="1507" spans="3:10" hidden="1">
      <c r="C1507">
        <v>142008</v>
      </c>
      <c r="D1507" t="s">
        <v>58</v>
      </c>
      <c r="E1507" t="s">
        <v>59</v>
      </c>
      <c r="F1507" s="41"/>
      <c r="G1507" s="80" t="s">
        <v>598</v>
      </c>
      <c r="H1507" s="80" t="s">
        <v>9</v>
      </c>
      <c r="I1507" s="81" t="s">
        <v>663</v>
      </c>
      <c r="J1507" t="s">
        <v>6</v>
      </c>
    </row>
    <row r="1508" spans="3:10" hidden="1">
      <c r="C1508">
        <v>143000</v>
      </c>
      <c r="D1508" t="s">
        <v>48</v>
      </c>
      <c r="E1508" t="s">
        <v>669</v>
      </c>
      <c r="F1508" s="41"/>
      <c r="G1508" s="80" t="s">
        <v>598</v>
      </c>
      <c r="H1508" s="80" t="s">
        <v>9</v>
      </c>
      <c r="I1508" s="81" t="s">
        <v>669</v>
      </c>
      <c r="J1508" t="s">
        <v>6</v>
      </c>
    </row>
    <row r="1509" spans="3:10" hidden="1">
      <c r="C1509">
        <v>143001</v>
      </c>
      <c r="D1509" t="s">
        <v>49</v>
      </c>
      <c r="E1509" t="s">
        <v>645</v>
      </c>
      <c r="F1509" s="41"/>
      <c r="G1509" s="80" t="s">
        <v>598</v>
      </c>
      <c r="H1509" s="80" t="s">
        <v>9</v>
      </c>
      <c r="I1509" s="81" t="s">
        <v>669</v>
      </c>
      <c r="J1509" t="s">
        <v>6</v>
      </c>
    </row>
    <row r="1510" spans="3:10" hidden="1">
      <c r="C1510">
        <v>143002</v>
      </c>
      <c r="D1510" t="s">
        <v>49</v>
      </c>
      <c r="E1510" t="s">
        <v>646</v>
      </c>
      <c r="F1510" s="41"/>
      <c r="G1510" s="80" t="s">
        <v>598</v>
      </c>
      <c r="H1510" s="80" t="s">
        <v>9</v>
      </c>
      <c r="I1510" s="81" t="s">
        <v>669</v>
      </c>
      <c r="J1510" t="s">
        <v>6</v>
      </c>
    </row>
    <row r="1511" spans="3:10" hidden="1">
      <c r="C1511">
        <v>143003</v>
      </c>
      <c r="D1511" t="s">
        <v>49</v>
      </c>
      <c r="E1511" t="s">
        <v>670</v>
      </c>
      <c r="F1511" s="41"/>
      <c r="G1511" s="80" t="s">
        <v>598</v>
      </c>
      <c r="H1511" s="80" t="s">
        <v>9</v>
      </c>
      <c r="I1511" s="81" t="s">
        <v>669</v>
      </c>
      <c r="J1511" t="s">
        <v>6</v>
      </c>
    </row>
    <row r="1512" spans="3:10" hidden="1">
      <c r="C1512">
        <v>143004</v>
      </c>
      <c r="D1512" t="s">
        <v>49</v>
      </c>
      <c r="E1512" t="s">
        <v>671</v>
      </c>
      <c r="F1512" s="41"/>
      <c r="G1512" s="80" t="s">
        <v>598</v>
      </c>
      <c r="H1512" s="80" t="s">
        <v>9</v>
      </c>
      <c r="I1512" s="81" t="s">
        <v>669</v>
      </c>
      <c r="J1512" t="s">
        <v>6</v>
      </c>
    </row>
    <row r="1513" spans="3:10" hidden="1">
      <c r="C1513">
        <v>143005</v>
      </c>
      <c r="D1513" t="s">
        <v>49</v>
      </c>
      <c r="E1513" t="s">
        <v>648</v>
      </c>
      <c r="F1513" s="41"/>
      <c r="G1513" s="80" t="s">
        <v>598</v>
      </c>
      <c r="H1513" s="80" t="s">
        <v>9</v>
      </c>
      <c r="I1513" s="81" t="s">
        <v>669</v>
      </c>
      <c r="J1513" t="s">
        <v>6</v>
      </c>
    </row>
    <row r="1514" spans="3:10" hidden="1">
      <c r="C1514">
        <v>143006</v>
      </c>
      <c r="D1514" t="s">
        <v>49</v>
      </c>
      <c r="E1514" t="s">
        <v>649</v>
      </c>
      <c r="F1514" s="41"/>
      <c r="G1514" s="80" t="s">
        <v>598</v>
      </c>
      <c r="H1514" s="80" t="s">
        <v>9</v>
      </c>
      <c r="I1514" s="81" t="s">
        <v>669</v>
      </c>
      <c r="J1514" t="s">
        <v>6</v>
      </c>
    </row>
    <row r="1515" spans="3:10" hidden="1">
      <c r="C1515">
        <v>143007</v>
      </c>
      <c r="D1515" t="s">
        <v>49</v>
      </c>
      <c r="E1515" t="s">
        <v>672</v>
      </c>
      <c r="F1515" s="41"/>
      <c r="G1515" s="80" t="s">
        <v>598</v>
      </c>
      <c r="H1515" s="80" t="s">
        <v>9</v>
      </c>
      <c r="I1515" s="81" t="s">
        <v>669</v>
      </c>
      <c r="J1515" t="s">
        <v>6</v>
      </c>
    </row>
    <row r="1516" spans="3:10" hidden="1">
      <c r="C1516">
        <v>143008</v>
      </c>
      <c r="D1516" t="s">
        <v>49</v>
      </c>
      <c r="E1516" t="s">
        <v>650</v>
      </c>
      <c r="F1516" s="41"/>
      <c r="G1516" s="80" t="s">
        <v>598</v>
      </c>
      <c r="H1516" s="80" t="s">
        <v>9</v>
      </c>
      <c r="I1516" s="81" t="s">
        <v>669</v>
      </c>
      <c r="J1516" t="s">
        <v>6</v>
      </c>
    </row>
    <row r="1517" spans="3:10" hidden="1">
      <c r="C1517">
        <v>143009</v>
      </c>
      <c r="D1517" t="s">
        <v>49</v>
      </c>
      <c r="E1517" t="s">
        <v>57</v>
      </c>
      <c r="F1517" s="41"/>
      <c r="G1517" s="80" t="s">
        <v>598</v>
      </c>
      <c r="H1517" s="80" t="s">
        <v>9</v>
      </c>
      <c r="I1517" s="81" t="s">
        <v>669</v>
      </c>
      <c r="J1517" t="s">
        <v>6</v>
      </c>
    </row>
    <row r="1518" spans="3:10" hidden="1">
      <c r="C1518">
        <v>143010</v>
      </c>
      <c r="D1518" t="s">
        <v>58</v>
      </c>
      <c r="E1518" t="s">
        <v>59</v>
      </c>
      <c r="F1518" s="41"/>
      <c r="G1518" s="80" t="s">
        <v>598</v>
      </c>
      <c r="H1518" s="80" t="s">
        <v>9</v>
      </c>
      <c r="I1518" s="81" t="s">
        <v>669</v>
      </c>
      <c r="J1518" t="s">
        <v>6</v>
      </c>
    </row>
    <row r="1519" spans="3:10" hidden="1">
      <c r="C1519">
        <v>144000</v>
      </c>
      <c r="D1519" t="s">
        <v>48</v>
      </c>
      <c r="E1519" t="s">
        <v>673</v>
      </c>
      <c r="F1519" s="41"/>
      <c r="G1519" s="80" t="s">
        <v>598</v>
      </c>
      <c r="H1519" s="80" t="s">
        <v>9</v>
      </c>
      <c r="I1519" s="81" t="s">
        <v>673</v>
      </c>
      <c r="J1519" t="s">
        <v>6</v>
      </c>
    </row>
    <row r="1520" spans="3:10" hidden="1">
      <c r="C1520">
        <v>144001</v>
      </c>
      <c r="D1520" t="s">
        <v>49</v>
      </c>
      <c r="E1520" t="s">
        <v>674</v>
      </c>
      <c r="F1520" s="41"/>
      <c r="G1520" s="80" t="s">
        <v>598</v>
      </c>
      <c r="H1520" s="80" t="s">
        <v>9</v>
      </c>
      <c r="I1520" s="81" t="s">
        <v>673</v>
      </c>
      <c r="J1520" t="s">
        <v>6</v>
      </c>
    </row>
    <row r="1521" spans="3:10" hidden="1">
      <c r="C1521">
        <v>144002</v>
      </c>
      <c r="D1521" t="s">
        <v>49</v>
      </c>
      <c r="E1521" t="s">
        <v>675</v>
      </c>
      <c r="F1521" s="41"/>
      <c r="G1521" s="80" t="s">
        <v>598</v>
      </c>
      <c r="H1521" s="80" t="s">
        <v>9</v>
      </c>
      <c r="I1521" s="81" t="s">
        <v>673</v>
      </c>
      <c r="J1521" t="s">
        <v>6</v>
      </c>
    </row>
    <row r="1522" spans="3:10" hidden="1">
      <c r="C1522">
        <v>144003</v>
      </c>
      <c r="D1522" t="s">
        <v>124</v>
      </c>
      <c r="E1522" t="s">
        <v>676</v>
      </c>
      <c r="F1522" s="41"/>
      <c r="G1522" s="80" t="s">
        <v>598</v>
      </c>
      <c r="H1522" s="80" t="s">
        <v>9</v>
      </c>
      <c r="I1522" s="81" t="s">
        <v>673</v>
      </c>
      <c r="J1522" t="s">
        <v>6</v>
      </c>
    </row>
    <row r="1523" spans="3:10" hidden="1">
      <c r="C1523">
        <v>144004</v>
      </c>
      <c r="D1523" t="s">
        <v>49</v>
      </c>
      <c r="E1523" t="s">
        <v>677</v>
      </c>
      <c r="F1523" s="41"/>
      <c r="G1523" s="80" t="s">
        <v>598</v>
      </c>
      <c r="H1523" s="80" t="s">
        <v>9</v>
      </c>
      <c r="I1523" s="81" t="s">
        <v>673</v>
      </c>
      <c r="J1523" t="s">
        <v>6</v>
      </c>
    </row>
    <row r="1524" spans="3:10" hidden="1">
      <c r="C1524">
        <v>144005</v>
      </c>
      <c r="D1524" t="s">
        <v>49</v>
      </c>
      <c r="E1524" t="s">
        <v>678</v>
      </c>
      <c r="F1524" s="41"/>
      <c r="G1524" s="80" t="s">
        <v>598</v>
      </c>
      <c r="H1524" s="80" t="s">
        <v>9</v>
      </c>
      <c r="I1524" s="81" t="s">
        <v>673</v>
      </c>
      <c r="J1524" t="s">
        <v>6</v>
      </c>
    </row>
    <row r="1525" spans="3:10" hidden="1">
      <c r="C1525">
        <v>144006</v>
      </c>
      <c r="D1525" t="s">
        <v>49</v>
      </c>
      <c r="E1525" t="s">
        <v>679</v>
      </c>
      <c r="F1525" s="41"/>
      <c r="G1525" s="80" t="s">
        <v>598</v>
      </c>
      <c r="H1525" s="80" t="s">
        <v>9</v>
      </c>
      <c r="I1525" s="81" t="s">
        <v>673</v>
      </c>
      <c r="J1525" t="s">
        <v>6</v>
      </c>
    </row>
    <row r="1526" spans="3:10" hidden="1">
      <c r="C1526">
        <v>144007</v>
      </c>
      <c r="D1526" t="s">
        <v>49</v>
      </c>
      <c r="E1526" t="s">
        <v>680</v>
      </c>
      <c r="F1526" s="41"/>
      <c r="G1526" s="80" t="s">
        <v>598</v>
      </c>
      <c r="H1526" s="80" t="s">
        <v>9</v>
      </c>
      <c r="I1526" s="81" t="s">
        <v>673</v>
      </c>
      <c r="J1526" t="s">
        <v>6</v>
      </c>
    </row>
    <row r="1527" spans="3:10" hidden="1">
      <c r="C1527">
        <v>144008</v>
      </c>
      <c r="D1527" t="s">
        <v>49</v>
      </c>
      <c r="E1527" t="s">
        <v>57</v>
      </c>
      <c r="F1527" s="41"/>
      <c r="G1527" s="80" t="s">
        <v>598</v>
      </c>
      <c r="H1527" s="80" t="s">
        <v>9</v>
      </c>
      <c r="I1527" s="81" t="s">
        <v>673</v>
      </c>
      <c r="J1527" t="s">
        <v>6</v>
      </c>
    </row>
    <row r="1528" spans="3:10" hidden="1">
      <c r="C1528">
        <v>144009</v>
      </c>
      <c r="D1528" t="s">
        <v>58</v>
      </c>
      <c r="E1528" t="s">
        <v>59</v>
      </c>
      <c r="F1528" s="41"/>
      <c r="G1528" s="80" t="s">
        <v>598</v>
      </c>
      <c r="H1528" s="80" t="s">
        <v>9</v>
      </c>
      <c r="I1528" s="81" t="s">
        <v>673</v>
      </c>
      <c r="J1528" t="s">
        <v>6</v>
      </c>
    </row>
    <row r="1529" spans="3:10" hidden="1">
      <c r="C1529">
        <v>145000</v>
      </c>
      <c r="D1529" t="s">
        <v>48</v>
      </c>
      <c r="E1529" t="s">
        <v>681</v>
      </c>
      <c r="F1529" s="41"/>
      <c r="G1529" s="80" t="s">
        <v>598</v>
      </c>
      <c r="H1529" s="80" t="s">
        <v>9</v>
      </c>
      <c r="I1529" s="81" t="s">
        <v>681</v>
      </c>
      <c r="J1529" t="s">
        <v>6</v>
      </c>
    </row>
    <row r="1530" spans="3:10" hidden="1">
      <c r="C1530">
        <v>145001</v>
      </c>
      <c r="D1530" t="s">
        <v>49</v>
      </c>
      <c r="E1530" t="s">
        <v>674</v>
      </c>
      <c r="F1530" s="41"/>
      <c r="G1530" s="80" t="s">
        <v>598</v>
      </c>
      <c r="H1530" s="80" t="s">
        <v>9</v>
      </c>
      <c r="I1530" s="81" t="s">
        <v>681</v>
      </c>
      <c r="J1530" t="s">
        <v>6</v>
      </c>
    </row>
    <row r="1531" spans="3:10" hidden="1">
      <c r="C1531">
        <v>145002</v>
      </c>
      <c r="D1531" t="s">
        <v>49</v>
      </c>
      <c r="E1531" t="s">
        <v>675</v>
      </c>
      <c r="F1531" s="41"/>
      <c r="G1531" s="80" t="s">
        <v>598</v>
      </c>
      <c r="H1531" s="80" t="s">
        <v>9</v>
      </c>
      <c r="I1531" s="81" t="s">
        <v>681</v>
      </c>
      <c r="J1531" t="s">
        <v>6</v>
      </c>
    </row>
    <row r="1532" spans="3:10" hidden="1">
      <c r="C1532">
        <v>145003</v>
      </c>
      <c r="D1532" t="s">
        <v>49</v>
      </c>
      <c r="E1532" t="s">
        <v>682</v>
      </c>
      <c r="F1532" s="41"/>
      <c r="G1532" s="80" t="s">
        <v>598</v>
      </c>
      <c r="H1532" s="80" t="s">
        <v>9</v>
      </c>
      <c r="I1532" s="81" t="s">
        <v>681</v>
      </c>
      <c r="J1532" t="s">
        <v>6</v>
      </c>
    </row>
    <row r="1533" spans="3:10" hidden="1">
      <c r="C1533">
        <v>145004</v>
      </c>
      <c r="D1533" t="s">
        <v>49</v>
      </c>
      <c r="E1533" t="s">
        <v>678</v>
      </c>
      <c r="F1533" s="41"/>
      <c r="G1533" s="80" t="s">
        <v>598</v>
      </c>
      <c r="H1533" s="80" t="s">
        <v>9</v>
      </c>
      <c r="I1533" s="81" t="s">
        <v>681</v>
      </c>
      <c r="J1533" t="s">
        <v>6</v>
      </c>
    </row>
    <row r="1534" spans="3:10" hidden="1">
      <c r="C1534">
        <v>145005</v>
      </c>
      <c r="D1534" t="s">
        <v>49</v>
      </c>
      <c r="E1534" t="s">
        <v>679</v>
      </c>
      <c r="F1534" s="41"/>
      <c r="G1534" s="80" t="s">
        <v>598</v>
      </c>
      <c r="H1534" s="80" t="s">
        <v>9</v>
      </c>
      <c r="I1534" s="81" t="s">
        <v>681</v>
      </c>
      <c r="J1534" t="s">
        <v>6</v>
      </c>
    </row>
    <row r="1535" spans="3:10" hidden="1">
      <c r="C1535">
        <v>145006</v>
      </c>
      <c r="D1535" t="s">
        <v>49</v>
      </c>
      <c r="E1535" t="s">
        <v>683</v>
      </c>
      <c r="F1535" s="41"/>
      <c r="G1535" s="80" t="s">
        <v>598</v>
      </c>
      <c r="H1535" s="80" t="s">
        <v>9</v>
      </c>
      <c r="I1535" s="81" t="s">
        <v>681</v>
      </c>
      <c r="J1535" t="s">
        <v>6</v>
      </c>
    </row>
    <row r="1536" spans="3:10" hidden="1">
      <c r="C1536">
        <v>145007</v>
      </c>
      <c r="D1536" t="s">
        <v>49</v>
      </c>
      <c r="E1536" t="s">
        <v>57</v>
      </c>
      <c r="F1536" s="41"/>
      <c r="G1536" s="80" t="s">
        <v>598</v>
      </c>
      <c r="H1536" s="80" t="s">
        <v>9</v>
      </c>
      <c r="I1536" s="81" t="s">
        <v>681</v>
      </c>
      <c r="J1536" t="s">
        <v>6</v>
      </c>
    </row>
    <row r="1537" spans="3:10" hidden="1">
      <c r="C1537">
        <v>145008</v>
      </c>
      <c r="D1537" t="s">
        <v>58</v>
      </c>
      <c r="E1537" t="s">
        <v>59</v>
      </c>
      <c r="F1537" s="41"/>
      <c r="G1537" s="80" t="s">
        <v>598</v>
      </c>
      <c r="H1537" s="80" t="s">
        <v>9</v>
      </c>
      <c r="I1537" s="81" t="s">
        <v>681</v>
      </c>
      <c r="J1537" t="s">
        <v>6</v>
      </c>
    </row>
    <row r="1538" spans="3:10" hidden="1">
      <c r="C1538">
        <v>146000</v>
      </c>
      <c r="D1538" t="s">
        <v>119</v>
      </c>
      <c r="E1538" t="s">
        <v>684</v>
      </c>
      <c r="F1538" s="41"/>
      <c r="G1538" s="80" t="s">
        <v>32</v>
      </c>
      <c r="H1538" s="80" t="s">
        <v>9</v>
      </c>
      <c r="I1538" s="81" t="s">
        <v>684</v>
      </c>
      <c r="J1538" t="s">
        <v>6</v>
      </c>
    </row>
    <row r="1539" spans="3:10" hidden="1">
      <c r="C1539">
        <v>146001</v>
      </c>
      <c r="D1539" t="s">
        <v>120</v>
      </c>
      <c r="E1539" t="s">
        <v>685</v>
      </c>
      <c r="F1539" s="41"/>
      <c r="G1539" s="80" t="s">
        <v>32</v>
      </c>
      <c r="H1539" s="80" t="s">
        <v>9</v>
      </c>
      <c r="I1539" s="81" t="s">
        <v>684</v>
      </c>
      <c r="J1539" t="s">
        <v>6</v>
      </c>
    </row>
    <row r="1540" spans="3:10" hidden="1">
      <c r="C1540">
        <v>146002</v>
      </c>
      <c r="D1540" t="s">
        <v>49</v>
      </c>
      <c r="E1540" t="s">
        <v>686</v>
      </c>
      <c r="F1540" s="41"/>
      <c r="G1540" s="80" t="s">
        <v>32</v>
      </c>
      <c r="H1540" s="80" t="s">
        <v>9</v>
      </c>
      <c r="I1540" s="81" t="s">
        <v>684</v>
      </c>
      <c r="J1540" t="s">
        <v>6</v>
      </c>
    </row>
    <row r="1541" spans="3:10" hidden="1">
      <c r="C1541">
        <v>146003</v>
      </c>
      <c r="D1541" t="s">
        <v>49</v>
      </c>
      <c r="E1541" t="s">
        <v>687</v>
      </c>
      <c r="F1541" s="41"/>
      <c r="G1541" s="80" t="s">
        <v>32</v>
      </c>
      <c r="H1541" s="80" t="s">
        <v>9</v>
      </c>
      <c r="I1541" s="81" t="s">
        <v>684</v>
      </c>
      <c r="J1541" t="s">
        <v>6</v>
      </c>
    </row>
    <row r="1542" spans="3:10" hidden="1">
      <c r="C1542">
        <v>146004</v>
      </c>
      <c r="D1542" t="s">
        <v>49</v>
      </c>
      <c r="E1542" t="s">
        <v>688</v>
      </c>
      <c r="F1542" s="41"/>
      <c r="G1542" s="80" t="s">
        <v>32</v>
      </c>
      <c r="H1542" s="80" t="s">
        <v>9</v>
      </c>
      <c r="I1542" s="81" t="s">
        <v>684</v>
      </c>
      <c r="J1542" t="s">
        <v>6</v>
      </c>
    </row>
    <row r="1543" spans="3:10" hidden="1">
      <c r="C1543">
        <v>146005</v>
      </c>
      <c r="D1543" t="s">
        <v>49</v>
      </c>
      <c r="E1543" t="s">
        <v>689</v>
      </c>
      <c r="F1543" s="41"/>
      <c r="G1543" s="80" t="s">
        <v>32</v>
      </c>
      <c r="H1543" s="80" t="s">
        <v>9</v>
      </c>
      <c r="I1543" s="81" t="s">
        <v>684</v>
      </c>
      <c r="J1543" t="s">
        <v>6</v>
      </c>
    </row>
    <row r="1544" spans="3:10" hidden="1">
      <c r="C1544">
        <v>146006</v>
      </c>
      <c r="D1544" t="s">
        <v>120</v>
      </c>
      <c r="E1544" t="s">
        <v>690</v>
      </c>
      <c r="F1544" s="41"/>
      <c r="G1544" s="80" t="s">
        <v>32</v>
      </c>
      <c r="H1544" s="80" t="s">
        <v>9</v>
      </c>
      <c r="I1544" s="81" t="s">
        <v>684</v>
      </c>
      <c r="J1544" t="s">
        <v>6</v>
      </c>
    </row>
    <row r="1545" spans="3:10" hidden="1">
      <c r="C1545">
        <v>146007</v>
      </c>
      <c r="D1545" t="s">
        <v>49</v>
      </c>
      <c r="E1545" t="s">
        <v>691</v>
      </c>
      <c r="F1545" s="41"/>
      <c r="G1545" s="80" t="s">
        <v>32</v>
      </c>
      <c r="H1545" s="80" t="s">
        <v>9</v>
      </c>
      <c r="I1545" s="81" t="s">
        <v>684</v>
      </c>
      <c r="J1545" t="s">
        <v>6</v>
      </c>
    </row>
    <row r="1546" spans="3:10" hidden="1">
      <c r="C1546">
        <v>146008</v>
      </c>
      <c r="D1546" t="s">
        <v>49</v>
      </c>
      <c r="E1546" t="s">
        <v>692</v>
      </c>
      <c r="F1546" s="41"/>
      <c r="G1546" s="80" t="s">
        <v>32</v>
      </c>
      <c r="H1546" s="80" t="s">
        <v>9</v>
      </c>
      <c r="I1546" s="81" t="s">
        <v>684</v>
      </c>
      <c r="J1546" t="s">
        <v>6</v>
      </c>
    </row>
    <row r="1547" spans="3:10" hidden="1">
      <c r="C1547">
        <v>146009</v>
      </c>
      <c r="D1547" t="s">
        <v>49</v>
      </c>
      <c r="E1547" t="s">
        <v>693</v>
      </c>
      <c r="F1547" s="41"/>
      <c r="G1547" s="80" t="s">
        <v>32</v>
      </c>
      <c r="H1547" s="80" t="s">
        <v>9</v>
      </c>
      <c r="I1547" s="81" t="s">
        <v>684</v>
      </c>
      <c r="J1547" t="s">
        <v>6</v>
      </c>
    </row>
    <row r="1548" spans="3:10" hidden="1">
      <c r="C1548">
        <v>146010</v>
      </c>
      <c r="D1548" t="s">
        <v>49</v>
      </c>
      <c r="E1548" t="s">
        <v>694</v>
      </c>
      <c r="F1548" s="41"/>
      <c r="G1548" s="80" t="s">
        <v>32</v>
      </c>
      <c r="H1548" s="80" t="s">
        <v>9</v>
      </c>
      <c r="I1548" s="81" t="s">
        <v>684</v>
      </c>
      <c r="J1548" t="s">
        <v>6</v>
      </c>
    </row>
    <row r="1549" spans="3:10" hidden="1">
      <c r="C1549">
        <v>146011</v>
      </c>
      <c r="D1549" t="s">
        <v>49</v>
      </c>
      <c r="E1549" t="s">
        <v>695</v>
      </c>
      <c r="F1549" s="41"/>
      <c r="G1549" s="80" t="s">
        <v>32</v>
      </c>
      <c r="H1549" s="80" t="s">
        <v>9</v>
      </c>
      <c r="I1549" s="81" t="s">
        <v>684</v>
      </c>
      <c r="J1549" t="s">
        <v>6</v>
      </c>
    </row>
    <row r="1550" spans="3:10" hidden="1">
      <c r="C1550">
        <v>146012</v>
      </c>
      <c r="D1550" t="s">
        <v>49</v>
      </c>
      <c r="E1550" t="s">
        <v>696</v>
      </c>
      <c r="F1550" s="41"/>
      <c r="G1550" s="80" t="s">
        <v>32</v>
      </c>
      <c r="H1550" s="80" t="s">
        <v>9</v>
      </c>
      <c r="I1550" s="81" t="s">
        <v>684</v>
      </c>
      <c r="J1550" t="s">
        <v>6</v>
      </c>
    </row>
    <row r="1551" spans="3:10" hidden="1">
      <c r="C1551">
        <v>146013</v>
      </c>
      <c r="D1551" t="s">
        <v>120</v>
      </c>
      <c r="E1551" t="s">
        <v>697</v>
      </c>
      <c r="F1551" s="41"/>
      <c r="G1551" s="80" t="s">
        <v>32</v>
      </c>
      <c r="H1551" s="80" t="s">
        <v>9</v>
      </c>
      <c r="I1551" s="81" t="s">
        <v>684</v>
      </c>
      <c r="J1551" t="s">
        <v>6</v>
      </c>
    </row>
    <row r="1552" spans="3:10" hidden="1">
      <c r="C1552">
        <v>146014</v>
      </c>
      <c r="D1552" t="s">
        <v>49</v>
      </c>
      <c r="E1552" t="s">
        <v>698</v>
      </c>
      <c r="F1552" s="41"/>
      <c r="G1552" s="80" t="s">
        <v>32</v>
      </c>
      <c r="H1552" s="80" t="s">
        <v>9</v>
      </c>
      <c r="I1552" s="81" t="s">
        <v>684</v>
      </c>
      <c r="J1552" t="s">
        <v>6</v>
      </c>
    </row>
    <row r="1553" spans="3:10" hidden="1">
      <c r="C1553">
        <v>146015</v>
      </c>
      <c r="D1553" t="s">
        <v>49</v>
      </c>
      <c r="E1553" t="s">
        <v>699</v>
      </c>
      <c r="F1553" s="41"/>
      <c r="G1553" s="80" t="s">
        <v>32</v>
      </c>
      <c r="H1553" s="80" t="s">
        <v>9</v>
      </c>
      <c r="I1553" s="81" t="s">
        <v>684</v>
      </c>
      <c r="J1553" t="s">
        <v>6</v>
      </c>
    </row>
    <row r="1554" spans="3:10" hidden="1">
      <c r="C1554">
        <v>146016</v>
      </c>
      <c r="D1554" t="s">
        <v>49</v>
      </c>
      <c r="E1554" t="s">
        <v>700</v>
      </c>
      <c r="F1554" s="41"/>
      <c r="G1554" s="80" t="s">
        <v>32</v>
      </c>
      <c r="H1554" s="80" t="s">
        <v>9</v>
      </c>
      <c r="I1554" s="81" t="s">
        <v>684</v>
      </c>
      <c r="J1554" t="s">
        <v>6</v>
      </c>
    </row>
    <row r="1555" spans="3:10" hidden="1">
      <c r="C1555">
        <v>146017</v>
      </c>
      <c r="D1555" t="s">
        <v>49</v>
      </c>
      <c r="E1555" t="s">
        <v>701</v>
      </c>
      <c r="F1555" s="41"/>
      <c r="G1555" s="80" t="s">
        <v>32</v>
      </c>
      <c r="H1555" s="80" t="s">
        <v>9</v>
      </c>
      <c r="I1555" s="81" t="s">
        <v>684</v>
      </c>
      <c r="J1555" t="s">
        <v>6</v>
      </c>
    </row>
    <row r="1556" spans="3:10" hidden="1">
      <c r="C1556">
        <v>146018</v>
      </c>
      <c r="D1556" t="s">
        <v>49</v>
      </c>
      <c r="E1556" t="s">
        <v>702</v>
      </c>
      <c r="F1556" s="41"/>
      <c r="G1556" s="80" t="s">
        <v>32</v>
      </c>
      <c r="H1556" s="80" t="s">
        <v>9</v>
      </c>
      <c r="I1556" s="81" t="s">
        <v>684</v>
      </c>
      <c r="J1556" t="s">
        <v>6</v>
      </c>
    </row>
    <row r="1557" spans="3:10" hidden="1">
      <c r="C1557">
        <v>146019</v>
      </c>
      <c r="D1557" t="s">
        <v>49</v>
      </c>
      <c r="E1557" t="s">
        <v>703</v>
      </c>
      <c r="F1557" s="41"/>
      <c r="G1557" s="80" t="s">
        <v>32</v>
      </c>
      <c r="H1557" s="80" t="s">
        <v>9</v>
      </c>
      <c r="I1557" s="81" t="s">
        <v>684</v>
      </c>
      <c r="J1557" t="s">
        <v>6</v>
      </c>
    </row>
    <row r="1558" spans="3:10" hidden="1">
      <c r="C1558">
        <v>146020</v>
      </c>
      <c r="D1558" t="s">
        <v>49</v>
      </c>
      <c r="E1558" t="s">
        <v>704</v>
      </c>
      <c r="F1558" s="41"/>
      <c r="G1558" s="80" t="s">
        <v>32</v>
      </c>
      <c r="H1558" s="80" t="s">
        <v>9</v>
      </c>
      <c r="I1558" s="81" t="s">
        <v>684</v>
      </c>
      <c r="J1558" t="s">
        <v>6</v>
      </c>
    </row>
    <row r="1559" spans="3:10" hidden="1">
      <c r="C1559">
        <v>146021</v>
      </c>
      <c r="D1559" t="s">
        <v>120</v>
      </c>
      <c r="E1559" t="s">
        <v>705</v>
      </c>
      <c r="F1559" s="41"/>
      <c r="G1559" s="80" t="s">
        <v>32</v>
      </c>
      <c r="H1559" s="80" t="s">
        <v>9</v>
      </c>
      <c r="I1559" s="81" t="s">
        <v>684</v>
      </c>
      <c r="J1559" t="s">
        <v>6</v>
      </c>
    </row>
    <row r="1560" spans="3:10" hidden="1">
      <c r="C1560">
        <v>146022</v>
      </c>
      <c r="D1560" t="s">
        <v>49</v>
      </c>
      <c r="E1560" t="s">
        <v>706</v>
      </c>
      <c r="F1560" s="41"/>
      <c r="G1560" s="80" t="s">
        <v>32</v>
      </c>
      <c r="H1560" s="80" t="s">
        <v>9</v>
      </c>
      <c r="I1560" s="81" t="s">
        <v>684</v>
      </c>
      <c r="J1560" t="s">
        <v>6</v>
      </c>
    </row>
    <row r="1561" spans="3:10" hidden="1">
      <c r="C1561">
        <v>146023</v>
      </c>
      <c r="D1561" t="s">
        <v>49</v>
      </c>
      <c r="E1561" t="s">
        <v>707</v>
      </c>
      <c r="F1561" s="41"/>
      <c r="G1561" s="80" t="s">
        <v>32</v>
      </c>
      <c r="H1561" s="80" t="s">
        <v>9</v>
      </c>
      <c r="I1561" s="81" t="s">
        <v>684</v>
      </c>
      <c r="J1561" t="s">
        <v>6</v>
      </c>
    </row>
    <row r="1562" spans="3:10" hidden="1">
      <c r="C1562">
        <v>146024</v>
      </c>
      <c r="D1562" t="s">
        <v>49</v>
      </c>
      <c r="E1562" t="s">
        <v>708</v>
      </c>
      <c r="F1562" s="41"/>
      <c r="G1562" s="80" t="s">
        <v>32</v>
      </c>
      <c r="H1562" s="80" t="s">
        <v>9</v>
      </c>
      <c r="I1562" s="81" t="s">
        <v>684</v>
      </c>
      <c r="J1562" t="s">
        <v>6</v>
      </c>
    </row>
    <row r="1563" spans="3:10" hidden="1">
      <c r="C1563">
        <v>146025</v>
      </c>
      <c r="D1563" t="s">
        <v>49</v>
      </c>
      <c r="E1563" t="s">
        <v>709</v>
      </c>
      <c r="F1563" s="41"/>
      <c r="G1563" s="80" t="s">
        <v>32</v>
      </c>
      <c r="H1563" s="80" t="s">
        <v>9</v>
      </c>
      <c r="I1563" s="81" t="s">
        <v>684</v>
      </c>
      <c r="J1563" t="s">
        <v>6</v>
      </c>
    </row>
    <row r="1564" spans="3:10" hidden="1">
      <c r="C1564">
        <v>146026</v>
      </c>
      <c r="D1564" t="s">
        <v>49</v>
      </c>
      <c r="E1564" t="s">
        <v>57</v>
      </c>
      <c r="F1564" s="41"/>
      <c r="G1564" s="80" t="s">
        <v>32</v>
      </c>
      <c r="H1564" s="80" t="s">
        <v>9</v>
      </c>
      <c r="I1564" s="81" t="s">
        <v>684</v>
      </c>
      <c r="J1564" t="s">
        <v>6</v>
      </c>
    </row>
    <row r="1565" spans="3:10" hidden="1">
      <c r="C1565">
        <v>146027</v>
      </c>
      <c r="D1565" t="s">
        <v>58</v>
      </c>
      <c r="E1565" t="s">
        <v>59</v>
      </c>
      <c r="F1565" s="41"/>
      <c r="G1565" s="80" t="s">
        <v>32</v>
      </c>
      <c r="H1565" s="80" t="s">
        <v>9</v>
      </c>
      <c r="I1565" s="81" t="s">
        <v>684</v>
      </c>
      <c r="J1565" t="s">
        <v>6</v>
      </c>
    </row>
    <row r="1566" spans="3:10" hidden="1">
      <c r="C1566">
        <v>147000</v>
      </c>
      <c r="D1566" t="s">
        <v>119</v>
      </c>
      <c r="E1566" t="s">
        <v>710</v>
      </c>
      <c r="F1566" s="41"/>
      <c r="G1566" s="80" t="s">
        <v>32</v>
      </c>
      <c r="H1566" s="80" t="s">
        <v>9</v>
      </c>
      <c r="I1566" s="81" t="s">
        <v>710</v>
      </c>
      <c r="J1566" t="s">
        <v>6</v>
      </c>
    </row>
    <row r="1567" spans="3:10" hidden="1">
      <c r="C1567">
        <v>147001</v>
      </c>
      <c r="D1567" t="s">
        <v>120</v>
      </c>
      <c r="E1567" t="s">
        <v>685</v>
      </c>
      <c r="F1567" s="41"/>
      <c r="G1567" s="80" t="s">
        <v>32</v>
      </c>
      <c r="H1567" s="80" t="s">
        <v>9</v>
      </c>
      <c r="I1567" s="81" t="s">
        <v>710</v>
      </c>
      <c r="J1567" t="s">
        <v>6</v>
      </c>
    </row>
    <row r="1568" spans="3:10" hidden="1">
      <c r="C1568">
        <v>147002</v>
      </c>
      <c r="D1568" t="s">
        <v>49</v>
      </c>
      <c r="E1568" t="s">
        <v>711</v>
      </c>
      <c r="F1568" s="41"/>
      <c r="G1568" s="80" t="s">
        <v>32</v>
      </c>
      <c r="H1568" s="80" t="s">
        <v>9</v>
      </c>
      <c r="I1568" s="81" t="s">
        <v>710</v>
      </c>
      <c r="J1568" t="s">
        <v>6</v>
      </c>
    </row>
    <row r="1569" spans="3:10" hidden="1">
      <c r="C1569">
        <v>147003</v>
      </c>
      <c r="D1569" t="s">
        <v>49</v>
      </c>
      <c r="E1569" t="s">
        <v>712</v>
      </c>
      <c r="F1569" s="41"/>
      <c r="G1569" s="80" t="s">
        <v>32</v>
      </c>
      <c r="H1569" s="80" t="s">
        <v>9</v>
      </c>
      <c r="I1569" s="81" t="s">
        <v>710</v>
      </c>
      <c r="J1569" t="s">
        <v>6</v>
      </c>
    </row>
    <row r="1570" spans="3:10" hidden="1">
      <c r="C1570">
        <v>147004</v>
      </c>
      <c r="D1570" t="s">
        <v>49</v>
      </c>
      <c r="E1570" t="s">
        <v>713</v>
      </c>
      <c r="F1570" s="41"/>
      <c r="G1570" s="80" t="s">
        <v>32</v>
      </c>
      <c r="H1570" s="80" t="s">
        <v>9</v>
      </c>
      <c r="I1570" s="81" t="s">
        <v>710</v>
      </c>
      <c r="J1570" t="s">
        <v>6</v>
      </c>
    </row>
    <row r="1571" spans="3:10" hidden="1">
      <c r="C1571">
        <v>147005</v>
      </c>
      <c r="D1571" t="s">
        <v>49</v>
      </c>
      <c r="E1571" t="s">
        <v>714</v>
      </c>
      <c r="F1571" s="41"/>
      <c r="G1571" s="80" t="s">
        <v>32</v>
      </c>
      <c r="H1571" s="80" t="s">
        <v>9</v>
      </c>
      <c r="I1571" s="81" t="s">
        <v>710</v>
      </c>
      <c r="J1571" t="s">
        <v>6</v>
      </c>
    </row>
    <row r="1572" spans="3:10" hidden="1">
      <c r="C1572">
        <v>147006</v>
      </c>
      <c r="D1572" t="s">
        <v>120</v>
      </c>
      <c r="E1572" t="s">
        <v>690</v>
      </c>
      <c r="F1572" s="41"/>
      <c r="G1572" s="80" t="s">
        <v>32</v>
      </c>
      <c r="H1572" s="80" t="s">
        <v>9</v>
      </c>
      <c r="I1572" s="81" t="s">
        <v>710</v>
      </c>
      <c r="J1572" t="s">
        <v>6</v>
      </c>
    </row>
    <row r="1573" spans="3:10" hidden="1">
      <c r="C1573">
        <v>147007</v>
      </c>
      <c r="D1573" t="s">
        <v>49</v>
      </c>
      <c r="E1573" t="s">
        <v>715</v>
      </c>
      <c r="F1573" s="41"/>
      <c r="G1573" s="80" t="s">
        <v>32</v>
      </c>
      <c r="H1573" s="80" t="s">
        <v>9</v>
      </c>
      <c r="I1573" s="81" t="s">
        <v>710</v>
      </c>
      <c r="J1573" t="s">
        <v>6</v>
      </c>
    </row>
    <row r="1574" spans="3:10" hidden="1">
      <c r="C1574">
        <v>147008</v>
      </c>
      <c r="D1574" t="s">
        <v>49</v>
      </c>
      <c r="E1574" t="s">
        <v>716</v>
      </c>
      <c r="F1574" s="41"/>
      <c r="G1574" s="80" t="s">
        <v>32</v>
      </c>
      <c r="H1574" s="80" t="s">
        <v>9</v>
      </c>
      <c r="I1574" s="81" t="s">
        <v>710</v>
      </c>
      <c r="J1574" t="s">
        <v>6</v>
      </c>
    </row>
    <row r="1575" spans="3:10" hidden="1">
      <c r="C1575">
        <v>147009</v>
      </c>
      <c r="D1575" t="s">
        <v>49</v>
      </c>
      <c r="E1575" t="s">
        <v>717</v>
      </c>
      <c r="F1575" s="41"/>
      <c r="G1575" s="80" t="s">
        <v>32</v>
      </c>
      <c r="H1575" s="80" t="s">
        <v>9</v>
      </c>
      <c r="I1575" s="81" t="s">
        <v>710</v>
      </c>
      <c r="J1575" t="s">
        <v>6</v>
      </c>
    </row>
    <row r="1576" spans="3:10" hidden="1">
      <c r="C1576">
        <v>147010</v>
      </c>
      <c r="D1576" t="s">
        <v>49</v>
      </c>
      <c r="E1576" t="s">
        <v>718</v>
      </c>
      <c r="F1576" s="41"/>
      <c r="G1576" s="80" t="s">
        <v>32</v>
      </c>
      <c r="H1576" s="80" t="s">
        <v>9</v>
      </c>
      <c r="I1576" s="81" t="s">
        <v>710</v>
      </c>
      <c r="J1576" t="s">
        <v>6</v>
      </c>
    </row>
    <row r="1577" spans="3:10" hidden="1">
      <c r="C1577">
        <v>147011</v>
      </c>
      <c r="D1577" t="s">
        <v>49</v>
      </c>
      <c r="E1577" t="s">
        <v>719</v>
      </c>
      <c r="F1577" s="41"/>
      <c r="G1577" s="80" t="s">
        <v>32</v>
      </c>
      <c r="H1577" s="80" t="s">
        <v>9</v>
      </c>
      <c r="I1577" s="81" t="s">
        <v>710</v>
      </c>
      <c r="J1577" t="s">
        <v>6</v>
      </c>
    </row>
    <row r="1578" spans="3:10" hidden="1">
      <c r="C1578">
        <v>147012</v>
      </c>
      <c r="D1578" t="s">
        <v>49</v>
      </c>
      <c r="E1578" t="s">
        <v>720</v>
      </c>
      <c r="F1578" s="41"/>
      <c r="G1578" s="80" t="s">
        <v>32</v>
      </c>
      <c r="H1578" s="80" t="s">
        <v>9</v>
      </c>
      <c r="I1578" s="81" t="s">
        <v>710</v>
      </c>
      <c r="J1578" t="s">
        <v>6</v>
      </c>
    </row>
    <row r="1579" spans="3:10" hidden="1">
      <c r="C1579">
        <v>147013</v>
      </c>
      <c r="D1579" t="s">
        <v>49</v>
      </c>
      <c r="E1579" t="s">
        <v>721</v>
      </c>
      <c r="F1579" s="41"/>
      <c r="G1579" s="80" t="s">
        <v>32</v>
      </c>
      <c r="H1579" s="80" t="s">
        <v>9</v>
      </c>
      <c r="I1579" s="81" t="s">
        <v>710</v>
      </c>
      <c r="J1579" t="s">
        <v>6</v>
      </c>
    </row>
    <row r="1580" spans="3:10" hidden="1">
      <c r="C1580">
        <v>147014</v>
      </c>
      <c r="D1580" t="s">
        <v>49</v>
      </c>
      <c r="E1580" t="s">
        <v>722</v>
      </c>
      <c r="F1580" s="41"/>
      <c r="G1580" s="80" t="s">
        <v>32</v>
      </c>
      <c r="H1580" s="80" t="s">
        <v>9</v>
      </c>
      <c r="I1580" s="81" t="s">
        <v>710</v>
      </c>
      <c r="J1580" t="s">
        <v>6</v>
      </c>
    </row>
    <row r="1581" spans="3:10" hidden="1">
      <c r="C1581">
        <v>147015</v>
      </c>
      <c r="D1581" t="s">
        <v>120</v>
      </c>
      <c r="E1581" t="s">
        <v>697</v>
      </c>
      <c r="F1581" s="41"/>
      <c r="G1581" s="80" t="s">
        <v>32</v>
      </c>
      <c r="H1581" s="80" t="s">
        <v>9</v>
      </c>
      <c r="I1581" s="81" t="s">
        <v>710</v>
      </c>
      <c r="J1581" t="s">
        <v>6</v>
      </c>
    </row>
    <row r="1582" spans="3:10" hidden="1">
      <c r="C1582">
        <v>147016</v>
      </c>
      <c r="D1582" t="s">
        <v>49</v>
      </c>
      <c r="E1582" t="s">
        <v>723</v>
      </c>
      <c r="F1582" s="41"/>
      <c r="G1582" s="80" t="s">
        <v>32</v>
      </c>
      <c r="H1582" s="80" t="s">
        <v>9</v>
      </c>
      <c r="I1582" s="81" t="s">
        <v>710</v>
      </c>
      <c r="J1582" t="s">
        <v>6</v>
      </c>
    </row>
    <row r="1583" spans="3:10" hidden="1">
      <c r="C1583">
        <v>147017</v>
      </c>
      <c r="D1583" t="s">
        <v>49</v>
      </c>
      <c r="E1583" t="s">
        <v>724</v>
      </c>
      <c r="F1583" s="41"/>
      <c r="G1583" s="80" t="s">
        <v>32</v>
      </c>
      <c r="H1583" s="80" t="s">
        <v>9</v>
      </c>
      <c r="I1583" s="81" t="s">
        <v>710</v>
      </c>
      <c r="J1583" t="s">
        <v>6</v>
      </c>
    </row>
    <row r="1584" spans="3:10" hidden="1">
      <c r="C1584">
        <v>147018</v>
      </c>
      <c r="D1584" t="s">
        <v>49</v>
      </c>
      <c r="E1584" t="s">
        <v>725</v>
      </c>
      <c r="F1584" s="41"/>
      <c r="G1584" s="80" t="s">
        <v>32</v>
      </c>
      <c r="H1584" s="80" t="s">
        <v>9</v>
      </c>
      <c r="I1584" s="81" t="s">
        <v>710</v>
      </c>
      <c r="J1584" t="s">
        <v>6</v>
      </c>
    </row>
    <row r="1585" spans="3:10" hidden="1">
      <c r="C1585">
        <v>147019</v>
      </c>
      <c r="D1585" t="s">
        <v>49</v>
      </c>
      <c r="E1585" t="s">
        <v>726</v>
      </c>
      <c r="F1585" s="41"/>
      <c r="G1585" s="80" t="s">
        <v>32</v>
      </c>
      <c r="H1585" s="80" t="s">
        <v>9</v>
      </c>
      <c r="I1585" s="81" t="s">
        <v>710</v>
      </c>
      <c r="J1585" t="s">
        <v>6</v>
      </c>
    </row>
    <row r="1586" spans="3:10" hidden="1">
      <c r="C1586">
        <v>147020</v>
      </c>
      <c r="D1586" t="s">
        <v>49</v>
      </c>
      <c r="E1586" t="s">
        <v>727</v>
      </c>
      <c r="F1586" s="41"/>
      <c r="G1586" s="80" t="s">
        <v>32</v>
      </c>
      <c r="H1586" s="80" t="s">
        <v>9</v>
      </c>
      <c r="I1586" s="81" t="s">
        <v>710</v>
      </c>
      <c r="J1586" t="s">
        <v>6</v>
      </c>
    </row>
    <row r="1587" spans="3:10" hidden="1">
      <c r="C1587">
        <v>147021</v>
      </c>
      <c r="D1587" t="s">
        <v>49</v>
      </c>
      <c r="E1587" t="s">
        <v>728</v>
      </c>
      <c r="F1587" s="41"/>
      <c r="G1587" s="80" t="s">
        <v>32</v>
      </c>
      <c r="H1587" s="80" t="s">
        <v>9</v>
      </c>
      <c r="I1587" s="81" t="s">
        <v>710</v>
      </c>
      <c r="J1587" t="s">
        <v>6</v>
      </c>
    </row>
    <row r="1588" spans="3:10" hidden="1">
      <c r="C1588">
        <v>147022</v>
      </c>
      <c r="D1588" t="s">
        <v>49</v>
      </c>
      <c r="E1588" t="s">
        <v>729</v>
      </c>
      <c r="F1588" s="41"/>
      <c r="G1588" s="80" t="s">
        <v>32</v>
      </c>
      <c r="H1588" s="80" t="s">
        <v>9</v>
      </c>
      <c r="I1588" s="81" t="s">
        <v>710</v>
      </c>
      <c r="J1588" t="s">
        <v>6</v>
      </c>
    </row>
    <row r="1589" spans="3:10" hidden="1">
      <c r="C1589">
        <v>147023</v>
      </c>
      <c r="D1589" t="s">
        <v>120</v>
      </c>
      <c r="E1589" t="s">
        <v>705</v>
      </c>
      <c r="F1589" s="41"/>
      <c r="G1589" s="80" t="s">
        <v>32</v>
      </c>
      <c r="H1589" s="80" t="s">
        <v>9</v>
      </c>
      <c r="I1589" s="81" t="s">
        <v>710</v>
      </c>
      <c r="J1589" t="s">
        <v>6</v>
      </c>
    </row>
    <row r="1590" spans="3:10" hidden="1">
      <c r="C1590">
        <v>147024</v>
      </c>
      <c r="D1590" t="s">
        <v>49</v>
      </c>
      <c r="E1590" t="s">
        <v>730</v>
      </c>
      <c r="F1590" s="41"/>
      <c r="G1590" s="80" t="s">
        <v>32</v>
      </c>
      <c r="H1590" s="80" t="s">
        <v>9</v>
      </c>
      <c r="I1590" s="81" t="s">
        <v>710</v>
      </c>
      <c r="J1590" t="s">
        <v>6</v>
      </c>
    </row>
    <row r="1591" spans="3:10" hidden="1">
      <c r="C1591">
        <v>147025</v>
      </c>
      <c r="D1591" t="s">
        <v>49</v>
      </c>
      <c r="E1591" t="s">
        <v>731</v>
      </c>
      <c r="F1591" s="41"/>
      <c r="G1591" s="80" t="s">
        <v>32</v>
      </c>
      <c r="H1591" s="80" t="s">
        <v>9</v>
      </c>
      <c r="I1591" s="81" t="s">
        <v>710</v>
      </c>
      <c r="J1591" t="s">
        <v>6</v>
      </c>
    </row>
    <row r="1592" spans="3:10" hidden="1">
      <c r="C1592">
        <v>147026</v>
      </c>
      <c r="D1592" t="s">
        <v>49</v>
      </c>
      <c r="E1592" t="s">
        <v>732</v>
      </c>
      <c r="F1592" s="41"/>
      <c r="G1592" s="80" t="s">
        <v>32</v>
      </c>
      <c r="H1592" s="80" t="s">
        <v>9</v>
      </c>
      <c r="I1592" s="81" t="s">
        <v>710</v>
      </c>
      <c r="J1592" t="s">
        <v>6</v>
      </c>
    </row>
    <row r="1593" spans="3:10" hidden="1">
      <c r="C1593">
        <v>147027</v>
      </c>
      <c r="D1593" t="s">
        <v>49</v>
      </c>
      <c r="E1593" t="s">
        <v>57</v>
      </c>
      <c r="F1593" s="41"/>
      <c r="G1593" s="80" t="s">
        <v>32</v>
      </c>
      <c r="H1593" s="80" t="s">
        <v>9</v>
      </c>
      <c r="I1593" s="81" t="s">
        <v>710</v>
      </c>
      <c r="J1593" t="s">
        <v>6</v>
      </c>
    </row>
    <row r="1594" spans="3:10" hidden="1">
      <c r="C1594">
        <v>147028</v>
      </c>
      <c r="D1594" t="s">
        <v>58</v>
      </c>
      <c r="E1594" t="s">
        <v>59</v>
      </c>
      <c r="F1594" s="41"/>
      <c r="G1594" s="80" t="s">
        <v>32</v>
      </c>
      <c r="H1594" s="80" t="s">
        <v>9</v>
      </c>
      <c r="I1594" s="81" t="s">
        <v>710</v>
      </c>
      <c r="J1594" t="s">
        <v>6</v>
      </c>
    </row>
    <row r="1595" spans="3:10" hidden="1">
      <c r="C1595">
        <v>148000</v>
      </c>
      <c r="D1595" t="s">
        <v>119</v>
      </c>
      <c r="E1595" t="s">
        <v>733</v>
      </c>
      <c r="F1595" s="41"/>
      <c r="G1595" s="80" t="s">
        <v>32</v>
      </c>
      <c r="H1595" s="80" t="s">
        <v>9</v>
      </c>
      <c r="I1595" s="81" t="s">
        <v>733</v>
      </c>
      <c r="J1595" t="s">
        <v>6</v>
      </c>
    </row>
    <row r="1596" spans="3:10" hidden="1">
      <c r="C1596">
        <v>148001</v>
      </c>
      <c r="D1596" t="s">
        <v>120</v>
      </c>
      <c r="E1596" t="s">
        <v>685</v>
      </c>
      <c r="F1596" s="41"/>
      <c r="G1596" s="80" t="s">
        <v>32</v>
      </c>
      <c r="H1596" s="80" t="s">
        <v>9</v>
      </c>
      <c r="I1596" s="81" t="s">
        <v>733</v>
      </c>
      <c r="J1596" t="s">
        <v>6</v>
      </c>
    </row>
    <row r="1597" spans="3:10" hidden="1">
      <c r="C1597">
        <v>148002</v>
      </c>
      <c r="D1597" t="s">
        <v>49</v>
      </c>
      <c r="E1597" t="s">
        <v>734</v>
      </c>
      <c r="F1597" s="41"/>
      <c r="G1597" s="80" t="s">
        <v>32</v>
      </c>
      <c r="H1597" s="80" t="s">
        <v>9</v>
      </c>
      <c r="I1597" s="81" t="s">
        <v>733</v>
      </c>
      <c r="J1597" t="s">
        <v>6</v>
      </c>
    </row>
    <row r="1598" spans="3:10" hidden="1">
      <c r="C1598">
        <v>148003</v>
      </c>
      <c r="D1598" t="s">
        <v>49</v>
      </c>
      <c r="E1598" t="s">
        <v>735</v>
      </c>
      <c r="F1598" s="41"/>
      <c r="G1598" s="80" t="s">
        <v>32</v>
      </c>
      <c r="H1598" s="80" t="s">
        <v>9</v>
      </c>
      <c r="I1598" s="81" t="s">
        <v>733</v>
      </c>
      <c r="J1598" t="s">
        <v>6</v>
      </c>
    </row>
    <row r="1599" spans="3:10" hidden="1">
      <c r="C1599">
        <v>148004</v>
      </c>
      <c r="D1599" t="s">
        <v>49</v>
      </c>
      <c r="E1599" t="s">
        <v>736</v>
      </c>
      <c r="F1599" s="41"/>
      <c r="G1599" s="80" t="s">
        <v>32</v>
      </c>
      <c r="H1599" s="80" t="s">
        <v>9</v>
      </c>
      <c r="I1599" s="81" t="s">
        <v>733</v>
      </c>
      <c r="J1599" t="s">
        <v>6</v>
      </c>
    </row>
    <row r="1600" spans="3:10" hidden="1">
      <c r="C1600">
        <v>148005</v>
      </c>
      <c r="D1600" t="s">
        <v>120</v>
      </c>
      <c r="E1600" t="s">
        <v>690</v>
      </c>
      <c r="F1600" s="41"/>
      <c r="G1600" s="80" t="s">
        <v>32</v>
      </c>
      <c r="H1600" s="80" t="s">
        <v>9</v>
      </c>
      <c r="I1600" s="81" t="s">
        <v>733</v>
      </c>
      <c r="J1600" t="s">
        <v>6</v>
      </c>
    </row>
    <row r="1601" spans="3:10" hidden="1">
      <c r="C1601">
        <v>148006</v>
      </c>
      <c r="D1601" t="s">
        <v>49</v>
      </c>
      <c r="E1601" t="s">
        <v>737</v>
      </c>
      <c r="F1601" s="41"/>
      <c r="G1601" s="80" t="s">
        <v>32</v>
      </c>
      <c r="H1601" s="80" t="s">
        <v>9</v>
      </c>
      <c r="I1601" s="81" t="s">
        <v>733</v>
      </c>
      <c r="J1601" t="s">
        <v>6</v>
      </c>
    </row>
    <row r="1602" spans="3:10" hidden="1">
      <c r="C1602">
        <v>148007</v>
      </c>
      <c r="D1602" t="s">
        <v>49</v>
      </c>
      <c r="E1602" t="s">
        <v>1702</v>
      </c>
      <c r="F1602" s="41"/>
      <c r="G1602" s="80" t="s">
        <v>32</v>
      </c>
      <c r="H1602" s="80" t="s">
        <v>9</v>
      </c>
      <c r="I1602" s="81" t="s">
        <v>733</v>
      </c>
      <c r="J1602" t="s">
        <v>6</v>
      </c>
    </row>
    <row r="1603" spans="3:10" hidden="1">
      <c r="C1603">
        <v>148008</v>
      </c>
      <c r="D1603" t="s">
        <v>49</v>
      </c>
      <c r="E1603" t="s">
        <v>722</v>
      </c>
      <c r="F1603" s="41"/>
      <c r="G1603" s="80" t="s">
        <v>32</v>
      </c>
      <c r="H1603" s="80" t="s">
        <v>9</v>
      </c>
      <c r="I1603" s="81" t="s">
        <v>733</v>
      </c>
      <c r="J1603" t="s">
        <v>6</v>
      </c>
    </row>
    <row r="1604" spans="3:10" hidden="1">
      <c r="C1604">
        <v>148009</v>
      </c>
      <c r="D1604" t="s">
        <v>120</v>
      </c>
      <c r="E1604" t="s">
        <v>697</v>
      </c>
      <c r="F1604" s="41"/>
      <c r="G1604" s="80" t="s">
        <v>32</v>
      </c>
      <c r="H1604" s="80" t="s">
        <v>9</v>
      </c>
      <c r="I1604" s="81" t="s">
        <v>733</v>
      </c>
      <c r="J1604" t="s">
        <v>6</v>
      </c>
    </row>
    <row r="1605" spans="3:10" hidden="1">
      <c r="C1605">
        <v>148010</v>
      </c>
      <c r="D1605" t="s">
        <v>49</v>
      </c>
      <c r="E1605" t="s">
        <v>1703</v>
      </c>
      <c r="F1605" s="41"/>
      <c r="G1605" s="80" t="s">
        <v>32</v>
      </c>
      <c r="H1605" s="80" t="s">
        <v>9</v>
      </c>
      <c r="I1605" s="81" t="s">
        <v>733</v>
      </c>
      <c r="J1605" t="s">
        <v>6</v>
      </c>
    </row>
    <row r="1606" spans="3:10" hidden="1">
      <c r="C1606">
        <v>148011</v>
      </c>
      <c r="D1606" t="s">
        <v>49</v>
      </c>
      <c r="E1606" t="s">
        <v>729</v>
      </c>
      <c r="F1606" s="41"/>
      <c r="G1606" s="80" t="s">
        <v>32</v>
      </c>
      <c r="H1606" s="80" t="s">
        <v>9</v>
      </c>
      <c r="I1606" s="81" t="s">
        <v>733</v>
      </c>
      <c r="J1606" t="s">
        <v>6</v>
      </c>
    </row>
    <row r="1607" spans="3:10" hidden="1">
      <c r="C1607">
        <v>148012</v>
      </c>
      <c r="D1607" t="s">
        <v>120</v>
      </c>
      <c r="E1607" t="s">
        <v>705</v>
      </c>
      <c r="F1607" s="41"/>
      <c r="G1607" s="80" t="s">
        <v>32</v>
      </c>
      <c r="H1607" s="80" t="s">
        <v>9</v>
      </c>
      <c r="I1607" s="81" t="s">
        <v>733</v>
      </c>
      <c r="J1607" t="s">
        <v>6</v>
      </c>
    </row>
    <row r="1608" spans="3:10" hidden="1">
      <c r="C1608">
        <v>148013</v>
      </c>
      <c r="D1608" t="s">
        <v>49</v>
      </c>
      <c r="E1608" t="s">
        <v>732</v>
      </c>
      <c r="F1608" s="41"/>
      <c r="G1608" s="80" t="s">
        <v>32</v>
      </c>
      <c r="H1608" s="80" t="s">
        <v>9</v>
      </c>
      <c r="I1608" s="81" t="s">
        <v>733</v>
      </c>
      <c r="J1608" t="s">
        <v>6</v>
      </c>
    </row>
    <row r="1609" spans="3:10" hidden="1">
      <c r="C1609">
        <v>148014</v>
      </c>
      <c r="D1609" t="s">
        <v>49</v>
      </c>
      <c r="E1609" t="s">
        <v>57</v>
      </c>
      <c r="F1609" s="41"/>
      <c r="G1609" s="80" t="s">
        <v>32</v>
      </c>
      <c r="H1609" s="80" t="s">
        <v>9</v>
      </c>
      <c r="I1609" s="81" t="s">
        <v>733</v>
      </c>
      <c r="J1609" t="s">
        <v>6</v>
      </c>
    </row>
    <row r="1610" spans="3:10" hidden="1">
      <c r="C1610">
        <v>148015</v>
      </c>
      <c r="D1610" t="s">
        <v>58</v>
      </c>
      <c r="E1610" t="s">
        <v>59</v>
      </c>
      <c r="F1610" s="41"/>
      <c r="G1610" s="80" t="s">
        <v>32</v>
      </c>
      <c r="H1610" s="80" t="s">
        <v>9</v>
      </c>
      <c r="I1610" s="81" t="s">
        <v>733</v>
      </c>
      <c r="J1610" t="s">
        <v>6</v>
      </c>
    </row>
    <row r="1611" spans="3:10" hidden="1">
      <c r="C1611">
        <v>149000</v>
      </c>
      <c r="D1611" t="s">
        <v>119</v>
      </c>
      <c r="E1611" t="s">
        <v>740</v>
      </c>
      <c r="F1611" s="41"/>
      <c r="G1611" s="80" t="s">
        <v>32</v>
      </c>
      <c r="H1611" s="80" t="s">
        <v>9</v>
      </c>
      <c r="I1611" s="81" t="s">
        <v>740</v>
      </c>
      <c r="J1611" t="s">
        <v>6</v>
      </c>
    </row>
    <row r="1612" spans="3:10" hidden="1">
      <c r="C1612">
        <v>149001</v>
      </c>
      <c r="D1612" t="s">
        <v>120</v>
      </c>
      <c r="E1612" t="s">
        <v>685</v>
      </c>
      <c r="F1612" s="41"/>
      <c r="G1612" s="80" t="s">
        <v>32</v>
      </c>
      <c r="H1612" s="80" t="s">
        <v>9</v>
      </c>
      <c r="I1612" s="81" t="s">
        <v>740</v>
      </c>
      <c r="J1612" t="s">
        <v>6</v>
      </c>
    </row>
    <row r="1613" spans="3:10" hidden="1">
      <c r="C1613">
        <v>149002</v>
      </c>
      <c r="D1613" t="s">
        <v>49</v>
      </c>
      <c r="E1613" t="s">
        <v>734</v>
      </c>
      <c r="F1613" s="41"/>
      <c r="G1613" s="80" t="s">
        <v>32</v>
      </c>
      <c r="H1613" s="80" t="s">
        <v>9</v>
      </c>
      <c r="I1613" s="81" t="s">
        <v>740</v>
      </c>
      <c r="J1613" t="s">
        <v>6</v>
      </c>
    </row>
    <row r="1614" spans="3:10" hidden="1">
      <c r="C1614">
        <v>149003</v>
      </c>
      <c r="D1614" t="s">
        <v>49</v>
      </c>
      <c r="E1614" t="s">
        <v>741</v>
      </c>
      <c r="F1614" s="41"/>
      <c r="G1614" s="80" t="s">
        <v>32</v>
      </c>
      <c r="H1614" s="80" t="s">
        <v>9</v>
      </c>
      <c r="I1614" s="81" t="s">
        <v>740</v>
      </c>
      <c r="J1614" t="s">
        <v>6</v>
      </c>
    </row>
    <row r="1615" spans="3:10" hidden="1">
      <c r="C1615">
        <v>149004</v>
      </c>
      <c r="D1615" t="s">
        <v>49</v>
      </c>
      <c r="E1615" t="s">
        <v>736</v>
      </c>
      <c r="F1615" s="41"/>
      <c r="G1615" s="80" t="s">
        <v>32</v>
      </c>
      <c r="H1615" s="80" t="s">
        <v>9</v>
      </c>
      <c r="I1615" s="81" t="s">
        <v>740</v>
      </c>
      <c r="J1615" t="s">
        <v>6</v>
      </c>
    </row>
    <row r="1616" spans="3:10" hidden="1">
      <c r="C1616">
        <v>149005</v>
      </c>
      <c r="D1616" t="s">
        <v>120</v>
      </c>
      <c r="E1616" t="s">
        <v>690</v>
      </c>
      <c r="F1616" s="41"/>
      <c r="G1616" s="80" t="s">
        <v>32</v>
      </c>
      <c r="H1616" s="80" t="s">
        <v>9</v>
      </c>
      <c r="I1616" s="81" t="s">
        <v>740</v>
      </c>
      <c r="J1616" t="s">
        <v>6</v>
      </c>
    </row>
    <row r="1617" spans="3:10" hidden="1">
      <c r="C1617">
        <v>149006</v>
      </c>
      <c r="D1617" t="s">
        <v>49</v>
      </c>
      <c r="E1617" t="s">
        <v>742</v>
      </c>
      <c r="F1617" s="41"/>
      <c r="G1617" s="80" t="s">
        <v>32</v>
      </c>
      <c r="H1617" s="80" t="s">
        <v>9</v>
      </c>
      <c r="I1617" s="81" t="s">
        <v>740</v>
      </c>
      <c r="J1617" t="s">
        <v>6</v>
      </c>
    </row>
    <row r="1618" spans="3:10" hidden="1">
      <c r="C1618">
        <v>149007</v>
      </c>
      <c r="D1618" t="s">
        <v>49</v>
      </c>
      <c r="E1618" t="s">
        <v>743</v>
      </c>
      <c r="F1618" s="41"/>
      <c r="G1618" s="80" t="s">
        <v>32</v>
      </c>
      <c r="H1618" s="80" t="s">
        <v>9</v>
      </c>
      <c r="I1618" s="81" t="s">
        <v>740</v>
      </c>
      <c r="J1618" t="s">
        <v>6</v>
      </c>
    </row>
    <row r="1619" spans="3:10" hidden="1">
      <c r="C1619">
        <v>149008</v>
      </c>
      <c r="D1619" t="s">
        <v>49</v>
      </c>
      <c r="E1619" t="s">
        <v>744</v>
      </c>
      <c r="F1619" s="41"/>
      <c r="G1619" s="80" t="s">
        <v>32</v>
      </c>
      <c r="H1619" s="80" t="s">
        <v>9</v>
      </c>
      <c r="I1619" s="81" t="s">
        <v>740</v>
      </c>
      <c r="J1619" t="s">
        <v>6</v>
      </c>
    </row>
    <row r="1620" spans="3:10" hidden="1">
      <c r="C1620">
        <v>149009</v>
      </c>
      <c r="D1620" t="s">
        <v>49</v>
      </c>
      <c r="E1620" t="s">
        <v>57</v>
      </c>
      <c r="F1620" s="41"/>
      <c r="G1620" s="80" t="s">
        <v>32</v>
      </c>
      <c r="H1620" s="80" t="s">
        <v>9</v>
      </c>
      <c r="I1620" s="81" t="s">
        <v>740</v>
      </c>
      <c r="J1620" t="s">
        <v>6</v>
      </c>
    </row>
    <row r="1621" spans="3:10" hidden="1">
      <c r="C1621">
        <v>149010</v>
      </c>
      <c r="D1621" t="s">
        <v>58</v>
      </c>
      <c r="E1621" t="s">
        <v>59</v>
      </c>
      <c r="F1621" s="41"/>
      <c r="G1621" s="80" t="s">
        <v>32</v>
      </c>
      <c r="H1621" s="80" t="s">
        <v>9</v>
      </c>
      <c r="I1621" s="81" t="s">
        <v>740</v>
      </c>
      <c r="J1621" t="s">
        <v>6</v>
      </c>
    </row>
    <row r="1622" spans="3:10" hidden="1">
      <c r="C1622">
        <v>150000</v>
      </c>
      <c r="D1622" t="s">
        <v>119</v>
      </c>
      <c r="E1622" t="s">
        <v>745</v>
      </c>
      <c r="F1622" s="41"/>
      <c r="G1622" s="80" t="s">
        <v>32</v>
      </c>
      <c r="H1622" s="80" t="s">
        <v>9</v>
      </c>
      <c r="I1622" s="81" t="s">
        <v>745</v>
      </c>
      <c r="J1622" t="s">
        <v>6</v>
      </c>
    </row>
    <row r="1623" spans="3:10" hidden="1">
      <c r="C1623">
        <v>150001</v>
      </c>
      <c r="D1623" t="s">
        <v>120</v>
      </c>
      <c r="E1623" t="s">
        <v>685</v>
      </c>
      <c r="F1623" s="41"/>
      <c r="G1623" s="80" t="s">
        <v>32</v>
      </c>
      <c r="H1623" s="80" t="s">
        <v>9</v>
      </c>
      <c r="I1623" s="81" t="s">
        <v>745</v>
      </c>
      <c r="J1623" t="s">
        <v>6</v>
      </c>
    </row>
    <row r="1624" spans="3:10" hidden="1">
      <c r="C1624">
        <v>150002</v>
      </c>
      <c r="D1624" t="s">
        <v>49</v>
      </c>
      <c r="E1624" t="s">
        <v>734</v>
      </c>
      <c r="F1624" s="41"/>
      <c r="G1624" s="80" t="s">
        <v>32</v>
      </c>
      <c r="H1624" s="80" t="s">
        <v>9</v>
      </c>
      <c r="I1624" s="81" t="s">
        <v>745</v>
      </c>
      <c r="J1624" t="s">
        <v>6</v>
      </c>
    </row>
    <row r="1625" spans="3:10" hidden="1">
      <c r="C1625">
        <v>150003</v>
      </c>
      <c r="D1625" t="s">
        <v>49</v>
      </c>
      <c r="E1625" t="s">
        <v>741</v>
      </c>
      <c r="F1625" s="41"/>
      <c r="G1625" s="80" t="s">
        <v>32</v>
      </c>
      <c r="H1625" s="80" t="s">
        <v>9</v>
      </c>
      <c r="I1625" s="81" t="s">
        <v>745</v>
      </c>
      <c r="J1625" t="s">
        <v>6</v>
      </c>
    </row>
    <row r="1626" spans="3:10" hidden="1">
      <c r="C1626">
        <v>150004</v>
      </c>
      <c r="D1626" t="s">
        <v>49</v>
      </c>
      <c r="E1626" t="s">
        <v>736</v>
      </c>
      <c r="F1626" s="41"/>
      <c r="G1626" s="80" t="s">
        <v>32</v>
      </c>
      <c r="H1626" s="80" t="s">
        <v>9</v>
      </c>
      <c r="I1626" s="81" t="s">
        <v>745</v>
      </c>
      <c r="J1626" t="s">
        <v>6</v>
      </c>
    </row>
    <row r="1627" spans="3:10" hidden="1">
      <c r="C1627">
        <v>150005</v>
      </c>
      <c r="D1627" t="s">
        <v>120</v>
      </c>
      <c r="E1627" t="s">
        <v>690</v>
      </c>
      <c r="F1627" s="41"/>
      <c r="G1627" s="80" t="s">
        <v>32</v>
      </c>
      <c r="H1627" s="80" t="s">
        <v>9</v>
      </c>
      <c r="I1627" s="81" t="s">
        <v>745</v>
      </c>
      <c r="J1627" t="s">
        <v>6</v>
      </c>
    </row>
    <row r="1628" spans="3:10" hidden="1">
      <c r="C1628">
        <v>150006</v>
      </c>
      <c r="D1628" t="s">
        <v>49</v>
      </c>
      <c r="E1628" t="s">
        <v>737</v>
      </c>
      <c r="F1628" s="41"/>
      <c r="G1628" s="80" t="s">
        <v>32</v>
      </c>
      <c r="H1628" s="80" t="s">
        <v>9</v>
      </c>
      <c r="I1628" s="81" t="s">
        <v>745</v>
      </c>
      <c r="J1628" t="s">
        <v>6</v>
      </c>
    </row>
    <row r="1629" spans="3:10" hidden="1">
      <c r="C1629">
        <v>150007</v>
      </c>
      <c r="D1629" t="s">
        <v>49</v>
      </c>
      <c r="E1629" t="s">
        <v>1702</v>
      </c>
      <c r="F1629" s="41"/>
      <c r="G1629" s="80" t="s">
        <v>32</v>
      </c>
      <c r="H1629" s="80" t="s">
        <v>9</v>
      </c>
      <c r="I1629" s="81" t="s">
        <v>745</v>
      </c>
      <c r="J1629" t="s">
        <v>6</v>
      </c>
    </row>
    <row r="1630" spans="3:10" hidden="1">
      <c r="C1630">
        <v>150008</v>
      </c>
      <c r="D1630" t="s">
        <v>49</v>
      </c>
      <c r="E1630" t="s">
        <v>722</v>
      </c>
      <c r="F1630" s="41"/>
      <c r="G1630" s="80" t="s">
        <v>32</v>
      </c>
      <c r="H1630" s="80" t="s">
        <v>9</v>
      </c>
      <c r="I1630" s="81" t="s">
        <v>745</v>
      </c>
      <c r="J1630" t="s">
        <v>6</v>
      </c>
    </row>
    <row r="1631" spans="3:10" hidden="1">
      <c r="C1631">
        <v>150009</v>
      </c>
      <c r="D1631" t="s">
        <v>120</v>
      </c>
      <c r="E1631" t="s">
        <v>697</v>
      </c>
      <c r="F1631" s="41"/>
      <c r="G1631" s="80" t="s">
        <v>32</v>
      </c>
      <c r="H1631" s="80" t="s">
        <v>9</v>
      </c>
      <c r="I1631" s="81" t="s">
        <v>745</v>
      </c>
      <c r="J1631" t="s">
        <v>6</v>
      </c>
    </row>
    <row r="1632" spans="3:10" hidden="1">
      <c r="C1632">
        <v>150010</v>
      </c>
      <c r="D1632" t="s">
        <v>49</v>
      </c>
      <c r="E1632" t="s">
        <v>1703</v>
      </c>
      <c r="F1632" s="41"/>
      <c r="G1632" s="80" t="s">
        <v>32</v>
      </c>
      <c r="H1632" s="80" t="s">
        <v>9</v>
      </c>
      <c r="I1632" s="81" t="s">
        <v>745</v>
      </c>
      <c r="J1632" t="s">
        <v>6</v>
      </c>
    </row>
    <row r="1633" spans="3:10" hidden="1">
      <c r="C1633">
        <v>150011</v>
      </c>
      <c r="D1633" t="s">
        <v>49</v>
      </c>
      <c r="E1633" t="s">
        <v>729</v>
      </c>
      <c r="F1633" s="41"/>
      <c r="G1633" s="80" t="s">
        <v>32</v>
      </c>
      <c r="H1633" s="80" t="s">
        <v>9</v>
      </c>
      <c r="I1633" s="81" t="s">
        <v>745</v>
      </c>
      <c r="J1633" t="s">
        <v>6</v>
      </c>
    </row>
    <row r="1634" spans="3:10" hidden="1">
      <c r="C1634">
        <v>150012</v>
      </c>
      <c r="D1634" t="s">
        <v>120</v>
      </c>
      <c r="E1634" t="s">
        <v>705</v>
      </c>
      <c r="F1634" s="41"/>
      <c r="G1634" s="80" t="s">
        <v>32</v>
      </c>
      <c r="H1634" s="80" t="s">
        <v>9</v>
      </c>
      <c r="I1634" s="81" t="s">
        <v>745</v>
      </c>
      <c r="J1634" t="s">
        <v>6</v>
      </c>
    </row>
    <row r="1635" spans="3:10" hidden="1">
      <c r="C1635">
        <v>150013</v>
      </c>
      <c r="D1635" t="s">
        <v>49</v>
      </c>
      <c r="E1635" t="s">
        <v>746</v>
      </c>
      <c r="F1635" s="41"/>
      <c r="G1635" s="80" t="s">
        <v>32</v>
      </c>
      <c r="H1635" s="80" t="s">
        <v>9</v>
      </c>
      <c r="I1635" s="81" t="s">
        <v>745</v>
      </c>
      <c r="J1635" t="s">
        <v>6</v>
      </c>
    </row>
    <row r="1636" spans="3:10" hidden="1">
      <c r="C1636">
        <v>150014</v>
      </c>
      <c r="D1636" t="s">
        <v>49</v>
      </c>
      <c r="E1636" t="s">
        <v>747</v>
      </c>
      <c r="F1636" s="41"/>
      <c r="G1636" s="80" t="s">
        <v>32</v>
      </c>
      <c r="H1636" s="80" t="s">
        <v>9</v>
      </c>
      <c r="I1636" s="81" t="s">
        <v>745</v>
      </c>
      <c r="J1636" t="s">
        <v>6</v>
      </c>
    </row>
    <row r="1637" spans="3:10" hidden="1">
      <c r="C1637">
        <v>150015</v>
      </c>
      <c r="D1637" t="s">
        <v>49</v>
      </c>
      <c r="E1637" t="s">
        <v>732</v>
      </c>
      <c r="F1637" s="41"/>
      <c r="G1637" s="80" t="s">
        <v>32</v>
      </c>
      <c r="H1637" s="80" t="s">
        <v>9</v>
      </c>
      <c r="I1637" s="81" t="s">
        <v>745</v>
      </c>
      <c r="J1637" t="s">
        <v>6</v>
      </c>
    </row>
    <row r="1638" spans="3:10" hidden="1">
      <c r="C1638">
        <v>150016</v>
      </c>
      <c r="D1638" t="s">
        <v>49</v>
      </c>
      <c r="E1638" t="s">
        <v>57</v>
      </c>
      <c r="F1638" s="41"/>
      <c r="G1638" s="80" t="s">
        <v>32</v>
      </c>
      <c r="H1638" s="80" t="s">
        <v>9</v>
      </c>
      <c r="I1638" s="81" t="s">
        <v>745</v>
      </c>
      <c r="J1638" t="s">
        <v>6</v>
      </c>
    </row>
    <row r="1639" spans="3:10" hidden="1">
      <c r="C1639">
        <v>150017</v>
      </c>
      <c r="D1639" t="s">
        <v>58</v>
      </c>
      <c r="E1639" t="s">
        <v>59</v>
      </c>
      <c r="F1639" s="41"/>
      <c r="G1639" s="80" t="s">
        <v>32</v>
      </c>
      <c r="H1639" s="80" t="s">
        <v>9</v>
      </c>
      <c r="I1639" s="81" t="s">
        <v>745</v>
      </c>
      <c r="J1639" t="s">
        <v>6</v>
      </c>
    </row>
    <row r="1640" spans="3:10" hidden="1">
      <c r="C1640">
        <v>151000</v>
      </c>
      <c r="D1640" t="s">
        <v>119</v>
      </c>
      <c r="E1640" t="s">
        <v>748</v>
      </c>
      <c r="F1640" s="41"/>
      <c r="G1640" s="80" t="s">
        <v>32</v>
      </c>
      <c r="H1640" s="80" t="s">
        <v>9</v>
      </c>
      <c r="I1640" s="81" t="s">
        <v>748</v>
      </c>
      <c r="J1640" t="s">
        <v>6</v>
      </c>
    </row>
    <row r="1641" spans="3:10" hidden="1">
      <c r="C1641">
        <v>151001</v>
      </c>
      <c r="D1641" t="s">
        <v>120</v>
      </c>
      <c r="E1641" t="s">
        <v>690</v>
      </c>
      <c r="F1641" s="41"/>
      <c r="G1641" s="80" t="s">
        <v>32</v>
      </c>
      <c r="H1641" s="80" t="s">
        <v>9</v>
      </c>
      <c r="I1641" s="81" t="s">
        <v>748</v>
      </c>
      <c r="J1641" t="s">
        <v>6</v>
      </c>
    </row>
    <row r="1642" spans="3:10" hidden="1">
      <c r="C1642">
        <v>151002</v>
      </c>
      <c r="D1642" t="s">
        <v>49</v>
      </c>
      <c r="E1642" t="s">
        <v>749</v>
      </c>
      <c r="F1642" s="41"/>
      <c r="G1642" s="80" t="s">
        <v>32</v>
      </c>
      <c r="H1642" s="80" t="s">
        <v>9</v>
      </c>
      <c r="I1642" s="81" t="s">
        <v>748</v>
      </c>
      <c r="J1642" t="s">
        <v>6</v>
      </c>
    </row>
    <row r="1643" spans="3:10" hidden="1">
      <c r="C1643">
        <v>151003</v>
      </c>
      <c r="D1643" t="s">
        <v>49</v>
      </c>
      <c r="E1643" t="s">
        <v>750</v>
      </c>
      <c r="F1643" s="41"/>
      <c r="G1643" s="80" t="s">
        <v>32</v>
      </c>
      <c r="H1643" s="80" t="s">
        <v>9</v>
      </c>
      <c r="I1643" s="81" t="s">
        <v>748</v>
      </c>
      <c r="J1643" t="s">
        <v>6</v>
      </c>
    </row>
    <row r="1644" spans="3:10" hidden="1">
      <c r="C1644">
        <v>151004</v>
      </c>
      <c r="D1644" t="s">
        <v>49</v>
      </c>
      <c r="E1644" t="s">
        <v>751</v>
      </c>
      <c r="F1644" s="41"/>
      <c r="G1644" s="80" t="s">
        <v>32</v>
      </c>
      <c r="H1644" s="80" t="s">
        <v>9</v>
      </c>
      <c r="I1644" s="81" t="s">
        <v>748</v>
      </c>
      <c r="J1644" t="s">
        <v>6</v>
      </c>
    </row>
    <row r="1645" spans="3:10" hidden="1">
      <c r="C1645">
        <v>151005</v>
      </c>
      <c r="D1645" t="s">
        <v>49</v>
      </c>
      <c r="E1645" t="s">
        <v>752</v>
      </c>
      <c r="F1645" s="41"/>
      <c r="G1645" s="80" t="s">
        <v>32</v>
      </c>
      <c r="H1645" s="80" t="s">
        <v>9</v>
      </c>
      <c r="I1645" s="81" t="s">
        <v>748</v>
      </c>
      <c r="J1645" t="s">
        <v>6</v>
      </c>
    </row>
    <row r="1646" spans="3:10" hidden="1">
      <c r="C1646">
        <v>151006</v>
      </c>
      <c r="D1646" t="s">
        <v>49</v>
      </c>
      <c r="E1646" t="s">
        <v>753</v>
      </c>
      <c r="F1646" s="41"/>
      <c r="G1646" s="80" t="s">
        <v>32</v>
      </c>
      <c r="H1646" s="80" t="s">
        <v>9</v>
      </c>
      <c r="I1646" s="81" t="s">
        <v>748</v>
      </c>
      <c r="J1646" t="s">
        <v>6</v>
      </c>
    </row>
    <row r="1647" spans="3:10" hidden="1">
      <c r="C1647">
        <v>151007</v>
      </c>
      <c r="D1647" t="s">
        <v>49</v>
      </c>
      <c r="E1647" t="s">
        <v>1704</v>
      </c>
      <c r="F1647" s="41"/>
      <c r="G1647" s="80" t="s">
        <v>32</v>
      </c>
      <c r="H1647" s="80" t="s">
        <v>9</v>
      </c>
      <c r="I1647" s="81" t="s">
        <v>748</v>
      </c>
      <c r="J1647" t="s">
        <v>6</v>
      </c>
    </row>
    <row r="1648" spans="3:10" hidden="1">
      <c r="C1648">
        <v>151008</v>
      </c>
      <c r="D1648" t="s">
        <v>49</v>
      </c>
      <c r="E1648" t="s">
        <v>755</v>
      </c>
      <c r="F1648" s="41"/>
      <c r="G1648" s="80" t="s">
        <v>32</v>
      </c>
      <c r="H1648" s="80" t="s">
        <v>9</v>
      </c>
      <c r="I1648" s="81" t="s">
        <v>748</v>
      </c>
      <c r="J1648" t="s">
        <v>6</v>
      </c>
    </row>
    <row r="1649" spans="3:10" hidden="1">
      <c r="C1649">
        <v>151009</v>
      </c>
      <c r="D1649" t="s">
        <v>49</v>
      </c>
      <c r="E1649" t="s">
        <v>756</v>
      </c>
      <c r="F1649" s="41"/>
      <c r="G1649" s="80" t="s">
        <v>32</v>
      </c>
      <c r="H1649" s="80" t="s">
        <v>9</v>
      </c>
      <c r="I1649" s="81" t="s">
        <v>748</v>
      </c>
      <c r="J1649" t="s">
        <v>6</v>
      </c>
    </row>
    <row r="1650" spans="3:10" hidden="1">
      <c r="C1650">
        <v>151010</v>
      </c>
      <c r="D1650" t="s">
        <v>49</v>
      </c>
      <c r="E1650" t="s">
        <v>757</v>
      </c>
      <c r="F1650" s="41"/>
      <c r="G1650" s="80" t="s">
        <v>32</v>
      </c>
      <c r="H1650" s="80" t="s">
        <v>9</v>
      </c>
      <c r="I1650" s="81" t="s">
        <v>748</v>
      </c>
      <c r="J1650" t="s">
        <v>6</v>
      </c>
    </row>
    <row r="1651" spans="3:10" hidden="1">
      <c r="C1651">
        <v>151011</v>
      </c>
      <c r="D1651" t="s">
        <v>49</v>
      </c>
      <c r="E1651" t="s">
        <v>758</v>
      </c>
      <c r="F1651" s="41"/>
      <c r="G1651" s="80" t="s">
        <v>32</v>
      </c>
      <c r="H1651" s="80" t="s">
        <v>9</v>
      </c>
      <c r="I1651" s="81" t="s">
        <v>748</v>
      </c>
      <c r="J1651" t="s">
        <v>6</v>
      </c>
    </row>
    <row r="1652" spans="3:10" hidden="1">
      <c r="C1652">
        <v>151012</v>
      </c>
      <c r="D1652" t="s">
        <v>49</v>
      </c>
      <c r="E1652" t="s">
        <v>759</v>
      </c>
      <c r="F1652" s="41"/>
      <c r="G1652" s="80" t="s">
        <v>32</v>
      </c>
      <c r="H1652" s="80" t="s">
        <v>9</v>
      </c>
      <c r="I1652" s="81" t="s">
        <v>748</v>
      </c>
      <c r="J1652" t="s">
        <v>6</v>
      </c>
    </row>
    <row r="1653" spans="3:10" hidden="1">
      <c r="C1653">
        <v>151013</v>
      </c>
      <c r="D1653" t="s">
        <v>120</v>
      </c>
      <c r="E1653" t="s">
        <v>697</v>
      </c>
      <c r="F1653" s="41"/>
      <c r="G1653" s="80" t="s">
        <v>32</v>
      </c>
      <c r="H1653" s="80" t="s">
        <v>9</v>
      </c>
      <c r="I1653" s="81" t="s">
        <v>748</v>
      </c>
      <c r="J1653" t="s">
        <v>6</v>
      </c>
    </row>
    <row r="1654" spans="3:10" hidden="1">
      <c r="C1654">
        <v>151014</v>
      </c>
      <c r="D1654" t="s">
        <v>49</v>
      </c>
      <c r="E1654" t="s">
        <v>1705</v>
      </c>
      <c r="F1654" s="41"/>
      <c r="G1654" s="80" t="s">
        <v>32</v>
      </c>
      <c r="H1654" s="80" t="s">
        <v>9</v>
      </c>
      <c r="I1654" s="81" t="s">
        <v>748</v>
      </c>
      <c r="J1654" t="s">
        <v>6</v>
      </c>
    </row>
    <row r="1655" spans="3:10" hidden="1">
      <c r="C1655">
        <v>151015</v>
      </c>
      <c r="D1655" t="s">
        <v>49</v>
      </c>
      <c r="E1655" t="s">
        <v>761</v>
      </c>
      <c r="F1655" s="41"/>
      <c r="G1655" s="80" t="s">
        <v>32</v>
      </c>
      <c r="H1655" s="80" t="s">
        <v>9</v>
      </c>
      <c r="I1655" s="81" t="s">
        <v>748</v>
      </c>
      <c r="J1655" t="s">
        <v>6</v>
      </c>
    </row>
    <row r="1656" spans="3:10" hidden="1">
      <c r="C1656">
        <v>151016</v>
      </c>
      <c r="D1656" t="s">
        <v>49</v>
      </c>
      <c r="E1656" t="s">
        <v>762</v>
      </c>
      <c r="F1656" s="41"/>
      <c r="G1656" s="80" t="s">
        <v>32</v>
      </c>
      <c r="H1656" s="80" t="s">
        <v>9</v>
      </c>
      <c r="I1656" s="81" t="s">
        <v>748</v>
      </c>
      <c r="J1656" t="s">
        <v>6</v>
      </c>
    </row>
    <row r="1657" spans="3:10" hidden="1">
      <c r="C1657">
        <v>151017</v>
      </c>
      <c r="D1657" t="s">
        <v>49</v>
      </c>
      <c r="E1657" t="s">
        <v>763</v>
      </c>
      <c r="F1657" s="41"/>
      <c r="G1657" s="80" t="s">
        <v>32</v>
      </c>
      <c r="H1657" s="80" t="s">
        <v>9</v>
      </c>
      <c r="I1657" s="81" t="s">
        <v>748</v>
      </c>
      <c r="J1657" t="s">
        <v>6</v>
      </c>
    </row>
    <row r="1658" spans="3:10" hidden="1">
      <c r="C1658">
        <v>151018</v>
      </c>
      <c r="D1658" t="s">
        <v>49</v>
      </c>
      <c r="E1658" t="s">
        <v>764</v>
      </c>
      <c r="F1658" s="41"/>
      <c r="G1658" s="80" t="s">
        <v>32</v>
      </c>
      <c r="H1658" s="80" t="s">
        <v>9</v>
      </c>
      <c r="I1658" s="81" t="s">
        <v>748</v>
      </c>
      <c r="J1658" t="s">
        <v>6</v>
      </c>
    </row>
    <row r="1659" spans="3:10" hidden="1">
      <c r="C1659">
        <v>151019</v>
      </c>
      <c r="D1659" t="s">
        <v>49</v>
      </c>
      <c r="E1659" t="s">
        <v>765</v>
      </c>
      <c r="F1659" s="41"/>
      <c r="G1659" s="80" t="s">
        <v>32</v>
      </c>
      <c r="H1659" s="80" t="s">
        <v>9</v>
      </c>
      <c r="I1659" s="81" t="s">
        <v>748</v>
      </c>
      <c r="J1659" t="s">
        <v>6</v>
      </c>
    </row>
    <row r="1660" spans="3:10" hidden="1">
      <c r="C1660">
        <v>151020</v>
      </c>
      <c r="D1660" t="s">
        <v>49</v>
      </c>
      <c r="E1660" t="s">
        <v>57</v>
      </c>
      <c r="F1660" s="41"/>
      <c r="G1660" s="80" t="s">
        <v>32</v>
      </c>
      <c r="H1660" s="80" t="s">
        <v>9</v>
      </c>
      <c r="I1660" s="81" t="s">
        <v>748</v>
      </c>
      <c r="J1660" t="s">
        <v>6</v>
      </c>
    </row>
    <row r="1661" spans="3:10" hidden="1">
      <c r="C1661">
        <v>151021</v>
      </c>
      <c r="D1661" t="s">
        <v>58</v>
      </c>
      <c r="E1661" t="s">
        <v>59</v>
      </c>
      <c r="F1661" s="41"/>
      <c r="G1661" s="80" t="s">
        <v>32</v>
      </c>
      <c r="H1661" s="80" t="s">
        <v>9</v>
      </c>
      <c r="I1661" s="81" t="s">
        <v>748</v>
      </c>
      <c r="J1661" t="s">
        <v>6</v>
      </c>
    </row>
    <row r="1662" spans="3:10" hidden="1">
      <c r="C1662">
        <v>152000</v>
      </c>
      <c r="D1662" t="s">
        <v>119</v>
      </c>
      <c r="E1662" t="s">
        <v>766</v>
      </c>
      <c r="F1662" s="41"/>
      <c r="G1662" s="80" t="s">
        <v>32</v>
      </c>
      <c r="H1662" s="80" t="s">
        <v>9</v>
      </c>
      <c r="I1662" s="81" t="s">
        <v>766</v>
      </c>
      <c r="J1662" t="s">
        <v>6</v>
      </c>
    </row>
    <row r="1663" spans="3:10" hidden="1">
      <c r="C1663">
        <v>152001</v>
      </c>
      <c r="D1663" t="s">
        <v>120</v>
      </c>
      <c r="E1663" t="s">
        <v>690</v>
      </c>
      <c r="F1663" s="41"/>
      <c r="G1663" s="80" t="s">
        <v>32</v>
      </c>
      <c r="H1663" s="80" t="s">
        <v>9</v>
      </c>
      <c r="I1663" s="81" t="s">
        <v>766</v>
      </c>
      <c r="J1663" t="s">
        <v>6</v>
      </c>
    </row>
    <row r="1664" spans="3:10" hidden="1">
      <c r="C1664">
        <v>152002</v>
      </c>
      <c r="D1664" t="s">
        <v>49</v>
      </c>
      <c r="E1664" t="s">
        <v>767</v>
      </c>
      <c r="F1664" s="41"/>
      <c r="G1664" s="80" t="s">
        <v>32</v>
      </c>
      <c r="H1664" s="80" t="s">
        <v>9</v>
      </c>
      <c r="I1664" s="81" t="s">
        <v>766</v>
      </c>
      <c r="J1664" t="s">
        <v>6</v>
      </c>
    </row>
    <row r="1665" spans="3:10" hidden="1">
      <c r="C1665">
        <v>152003</v>
      </c>
      <c r="D1665" t="s">
        <v>49</v>
      </c>
      <c r="E1665" t="s">
        <v>768</v>
      </c>
      <c r="F1665" s="41"/>
      <c r="G1665" s="80" t="s">
        <v>32</v>
      </c>
      <c r="H1665" s="80" t="s">
        <v>9</v>
      </c>
      <c r="I1665" s="81" t="s">
        <v>766</v>
      </c>
      <c r="J1665" t="s">
        <v>6</v>
      </c>
    </row>
    <row r="1666" spans="3:10" hidden="1">
      <c r="C1666">
        <v>152004</v>
      </c>
      <c r="D1666" t="s">
        <v>49</v>
      </c>
      <c r="E1666" t="s">
        <v>769</v>
      </c>
      <c r="F1666" s="41"/>
      <c r="G1666" s="80" t="s">
        <v>32</v>
      </c>
      <c r="H1666" s="80" t="s">
        <v>9</v>
      </c>
      <c r="I1666" s="81" t="s">
        <v>766</v>
      </c>
      <c r="J1666" t="s">
        <v>6</v>
      </c>
    </row>
    <row r="1667" spans="3:10" hidden="1">
      <c r="C1667">
        <v>152005</v>
      </c>
      <c r="D1667" t="s">
        <v>49</v>
      </c>
      <c r="E1667" t="s">
        <v>770</v>
      </c>
      <c r="F1667" s="41"/>
      <c r="G1667" s="80" t="s">
        <v>32</v>
      </c>
      <c r="H1667" s="80" t="s">
        <v>9</v>
      </c>
      <c r="I1667" s="81" t="s">
        <v>766</v>
      </c>
      <c r="J1667" t="s">
        <v>6</v>
      </c>
    </row>
    <row r="1668" spans="3:10" hidden="1">
      <c r="C1668">
        <v>152006</v>
      </c>
      <c r="D1668" t="s">
        <v>49</v>
      </c>
      <c r="E1668" t="s">
        <v>771</v>
      </c>
      <c r="F1668" s="41"/>
      <c r="G1668" s="80" t="s">
        <v>32</v>
      </c>
      <c r="H1668" s="80" t="s">
        <v>9</v>
      </c>
      <c r="I1668" s="81" t="s">
        <v>766</v>
      </c>
      <c r="J1668" t="s">
        <v>6</v>
      </c>
    </row>
    <row r="1669" spans="3:10" hidden="1">
      <c r="C1669">
        <v>152007</v>
      </c>
      <c r="D1669" t="s">
        <v>49</v>
      </c>
      <c r="E1669" t="s">
        <v>772</v>
      </c>
      <c r="F1669" s="41"/>
      <c r="G1669" s="80" t="s">
        <v>32</v>
      </c>
      <c r="H1669" s="80" t="s">
        <v>9</v>
      </c>
      <c r="I1669" s="81" t="s">
        <v>766</v>
      </c>
      <c r="J1669" t="s">
        <v>6</v>
      </c>
    </row>
    <row r="1670" spans="3:10" hidden="1">
      <c r="C1670">
        <v>152008</v>
      </c>
      <c r="D1670" t="s">
        <v>49</v>
      </c>
      <c r="E1670" t="s">
        <v>773</v>
      </c>
      <c r="F1670" s="41"/>
      <c r="G1670" s="80" t="s">
        <v>32</v>
      </c>
      <c r="H1670" s="80" t="s">
        <v>9</v>
      </c>
      <c r="I1670" s="81" t="s">
        <v>766</v>
      </c>
      <c r="J1670" t="s">
        <v>6</v>
      </c>
    </row>
    <row r="1671" spans="3:10" hidden="1">
      <c r="C1671">
        <v>152009</v>
      </c>
      <c r="D1671" t="s">
        <v>120</v>
      </c>
      <c r="E1671" t="s">
        <v>697</v>
      </c>
      <c r="F1671" s="41"/>
      <c r="G1671" s="80" t="s">
        <v>32</v>
      </c>
      <c r="H1671" s="80" t="s">
        <v>9</v>
      </c>
      <c r="I1671" s="81" t="s">
        <v>766</v>
      </c>
      <c r="J1671" t="s">
        <v>6</v>
      </c>
    </row>
    <row r="1672" spans="3:10" hidden="1">
      <c r="C1672">
        <v>152010</v>
      </c>
      <c r="D1672" t="s">
        <v>49</v>
      </c>
      <c r="E1672" t="s">
        <v>774</v>
      </c>
      <c r="F1672" s="41"/>
      <c r="G1672" s="80" t="s">
        <v>32</v>
      </c>
      <c r="H1672" s="80" t="s">
        <v>9</v>
      </c>
      <c r="I1672" s="81" t="s">
        <v>766</v>
      </c>
      <c r="J1672" t="s">
        <v>6</v>
      </c>
    </row>
    <row r="1673" spans="3:10" hidden="1">
      <c r="C1673">
        <v>152011</v>
      </c>
      <c r="D1673" t="s">
        <v>49</v>
      </c>
      <c r="E1673" t="s">
        <v>775</v>
      </c>
      <c r="F1673" s="41"/>
      <c r="G1673" s="80" t="s">
        <v>32</v>
      </c>
      <c r="H1673" s="80" t="s">
        <v>9</v>
      </c>
      <c r="I1673" s="81" t="s">
        <v>766</v>
      </c>
      <c r="J1673" t="s">
        <v>6</v>
      </c>
    </row>
    <row r="1674" spans="3:10" hidden="1">
      <c r="C1674">
        <v>152012</v>
      </c>
      <c r="D1674" t="s">
        <v>49</v>
      </c>
      <c r="E1674" t="s">
        <v>776</v>
      </c>
      <c r="F1674" s="41"/>
      <c r="G1674" s="80" t="s">
        <v>32</v>
      </c>
      <c r="H1674" s="80" t="s">
        <v>9</v>
      </c>
      <c r="I1674" s="81" t="s">
        <v>766</v>
      </c>
      <c r="J1674" t="s">
        <v>6</v>
      </c>
    </row>
    <row r="1675" spans="3:10" hidden="1">
      <c r="C1675">
        <v>152013</v>
      </c>
      <c r="D1675" t="s">
        <v>49</v>
      </c>
      <c r="E1675" t="s">
        <v>57</v>
      </c>
      <c r="F1675" s="41"/>
      <c r="G1675" s="80" t="s">
        <v>32</v>
      </c>
      <c r="H1675" s="80" t="s">
        <v>9</v>
      </c>
      <c r="I1675" s="81" t="s">
        <v>766</v>
      </c>
      <c r="J1675" t="s">
        <v>6</v>
      </c>
    </row>
    <row r="1676" spans="3:10" hidden="1">
      <c r="C1676">
        <v>152014</v>
      </c>
      <c r="D1676" t="s">
        <v>58</v>
      </c>
      <c r="E1676" t="s">
        <v>59</v>
      </c>
      <c r="F1676" s="41"/>
      <c r="G1676" s="80" t="s">
        <v>32</v>
      </c>
      <c r="H1676" s="80" t="s">
        <v>9</v>
      </c>
      <c r="I1676" s="81" t="s">
        <v>766</v>
      </c>
      <c r="J1676" t="s">
        <v>6</v>
      </c>
    </row>
    <row r="1677" spans="3:10" hidden="1">
      <c r="C1677">
        <v>153000</v>
      </c>
      <c r="D1677" t="s">
        <v>119</v>
      </c>
      <c r="E1677" t="s">
        <v>777</v>
      </c>
      <c r="F1677" s="41"/>
      <c r="G1677" s="80" t="s">
        <v>32</v>
      </c>
      <c r="H1677" s="80" t="s">
        <v>9</v>
      </c>
      <c r="I1677" s="81" t="s">
        <v>777</v>
      </c>
      <c r="J1677" t="s">
        <v>6</v>
      </c>
    </row>
    <row r="1678" spans="3:10" hidden="1">
      <c r="C1678">
        <v>153001</v>
      </c>
      <c r="D1678" t="s">
        <v>120</v>
      </c>
      <c r="E1678" t="s">
        <v>690</v>
      </c>
      <c r="F1678" s="41"/>
      <c r="G1678" s="80" t="s">
        <v>32</v>
      </c>
      <c r="H1678" s="80" t="s">
        <v>9</v>
      </c>
      <c r="I1678" s="81" t="s">
        <v>777</v>
      </c>
      <c r="J1678" t="s">
        <v>6</v>
      </c>
    </row>
    <row r="1679" spans="3:10" hidden="1">
      <c r="C1679">
        <v>153002</v>
      </c>
      <c r="D1679" t="s">
        <v>49</v>
      </c>
      <c r="E1679" t="s">
        <v>767</v>
      </c>
      <c r="F1679" s="41"/>
      <c r="G1679" s="80" t="s">
        <v>32</v>
      </c>
      <c r="H1679" s="80" t="s">
        <v>9</v>
      </c>
      <c r="I1679" s="81" t="s">
        <v>777</v>
      </c>
      <c r="J1679" t="s">
        <v>6</v>
      </c>
    </row>
    <row r="1680" spans="3:10" hidden="1">
      <c r="C1680">
        <v>153003</v>
      </c>
      <c r="D1680" t="s">
        <v>49</v>
      </c>
      <c r="E1680" t="s">
        <v>768</v>
      </c>
      <c r="F1680" s="41"/>
      <c r="G1680" s="80" t="s">
        <v>32</v>
      </c>
      <c r="H1680" s="80" t="s">
        <v>9</v>
      </c>
      <c r="I1680" s="81" t="s">
        <v>777</v>
      </c>
      <c r="J1680" t="s">
        <v>6</v>
      </c>
    </row>
    <row r="1681" spans="3:10" hidden="1">
      <c r="C1681">
        <v>153004</v>
      </c>
      <c r="D1681" t="s">
        <v>49</v>
      </c>
      <c r="E1681" t="s">
        <v>772</v>
      </c>
      <c r="F1681" s="41"/>
      <c r="G1681" s="80" t="s">
        <v>32</v>
      </c>
      <c r="H1681" s="80" t="s">
        <v>9</v>
      </c>
      <c r="I1681" s="81" t="s">
        <v>777</v>
      </c>
      <c r="J1681" t="s">
        <v>6</v>
      </c>
    </row>
    <row r="1682" spans="3:10" hidden="1">
      <c r="C1682">
        <v>153005</v>
      </c>
      <c r="D1682" t="s">
        <v>49</v>
      </c>
      <c r="E1682" t="s">
        <v>773</v>
      </c>
      <c r="F1682" s="41"/>
      <c r="G1682" s="80" t="s">
        <v>32</v>
      </c>
      <c r="H1682" s="80" t="s">
        <v>9</v>
      </c>
      <c r="I1682" s="81" t="s">
        <v>777</v>
      </c>
      <c r="J1682" t="s">
        <v>6</v>
      </c>
    </row>
    <row r="1683" spans="3:10" hidden="1">
      <c r="C1683">
        <v>153006</v>
      </c>
      <c r="D1683" t="s">
        <v>120</v>
      </c>
      <c r="E1683" t="s">
        <v>697</v>
      </c>
      <c r="F1683" s="41"/>
      <c r="G1683" s="80" t="s">
        <v>32</v>
      </c>
      <c r="H1683" s="80" t="s">
        <v>9</v>
      </c>
      <c r="I1683" s="81" t="s">
        <v>777</v>
      </c>
      <c r="J1683" t="s">
        <v>6</v>
      </c>
    </row>
    <row r="1684" spans="3:10" hidden="1">
      <c r="C1684">
        <v>153007</v>
      </c>
      <c r="D1684" t="s">
        <v>49</v>
      </c>
      <c r="E1684" t="s">
        <v>776</v>
      </c>
      <c r="F1684" s="41"/>
      <c r="G1684" s="80" t="s">
        <v>32</v>
      </c>
      <c r="H1684" s="80" t="s">
        <v>9</v>
      </c>
      <c r="I1684" s="81" t="s">
        <v>777</v>
      </c>
      <c r="J1684" t="s">
        <v>6</v>
      </c>
    </row>
    <row r="1685" spans="3:10" hidden="1">
      <c r="C1685">
        <v>153008</v>
      </c>
      <c r="D1685" t="s">
        <v>58</v>
      </c>
      <c r="E1685" t="s">
        <v>773</v>
      </c>
      <c r="F1685" s="41"/>
      <c r="G1685" s="80" t="s">
        <v>32</v>
      </c>
      <c r="H1685" s="80" t="s">
        <v>9</v>
      </c>
      <c r="I1685" s="81" t="s">
        <v>777</v>
      </c>
      <c r="J1685" t="s">
        <v>6</v>
      </c>
    </row>
    <row r="1686" spans="3:10" hidden="1">
      <c r="C1686">
        <v>153009</v>
      </c>
      <c r="D1686" t="s">
        <v>120</v>
      </c>
      <c r="E1686" t="s">
        <v>778</v>
      </c>
      <c r="F1686" s="41"/>
      <c r="G1686" s="80" t="s">
        <v>32</v>
      </c>
      <c r="H1686" s="80" t="s">
        <v>9</v>
      </c>
      <c r="I1686" s="81" t="s">
        <v>777</v>
      </c>
      <c r="J1686" t="s">
        <v>6</v>
      </c>
    </row>
    <row r="1687" spans="3:10" hidden="1">
      <c r="C1687">
        <v>153010</v>
      </c>
      <c r="D1687" t="s">
        <v>49</v>
      </c>
      <c r="E1687" t="s">
        <v>779</v>
      </c>
      <c r="F1687" s="41"/>
      <c r="G1687" s="80" t="s">
        <v>32</v>
      </c>
      <c r="H1687" s="80" t="s">
        <v>9</v>
      </c>
      <c r="I1687" s="81" t="s">
        <v>777</v>
      </c>
      <c r="J1687" t="s">
        <v>6</v>
      </c>
    </row>
    <row r="1688" spans="3:10" hidden="1">
      <c r="C1688">
        <v>153011</v>
      </c>
      <c r="D1688" t="s">
        <v>49</v>
      </c>
      <c r="E1688" t="s">
        <v>780</v>
      </c>
      <c r="F1688" s="41"/>
      <c r="G1688" s="80" t="s">
        <v>32</v>
      </c>
      <c r="H1688" s="80" t="s">
        <v>9</v>
      </c>
      <c r="I1688" s="81" t="s">
        <v>777</v>
      </c>
      <c r="J1688" t="s">
        <v>6</v>
      </c>
    </row>
    <row r="1689" spans="3:10" hidden="1">
      <c r="C1689">
        <v>153012</v>
      </c>
      <c r="D1689" t="s">
        <v>49</v>
      </c>
      <c r="E1689" t="s">
        <v>781</v>
      </c>
      <c r="F1689" s="41"/>
      <c r="G1689" s="80" t="s">
        <v>32</v>
      </c>
      <c r="H1689" s="80" t="s">
        <v>9</v>
      </c>
      <c r="I1689" s="81" t="s">
        <v>777</v>
      </c>
      <c r="J1689" t="s">
        <v>6</v>
      </c>
    </row>
    <row r="1690" spans="3:10" hidden="1">
      <c r="C1690">
        <v>153013</v>
      </c>
      <c r="D1690" t="s">
        <v>49</v>
      </c>
      <c r="E1690" t="s">
        <v>782</v>
      </c>
      <c r="F1690" s="41"/>
      <c r="G1690" s="80" t="s">
        <v>32</v>
      </c>
      <c r="H1690" s="80" t="s">
        <v>9</v>
      </c>
      <c r="I1690" s="81" t="s">
        <v>777</v>
      </c>
      <c r="J1690" t="s">
        <v>6</v>
      </c>
    </row>
    <row r="1691" spans="3:10" hidden="1">
      <c r="C1691">
        <v>153014</v>
      </c>
      <c r="D1691" t="s">
        <v>49</v>
      </c>
      <c r="E1691" t="s">
        <v>783</v>
      </c>
      <c r="F1691" s="41"/>
      <c r="G1691" s="80" t="s">
        <v>32</v>
      </c>
      <c r="H1691" s="80" t="s">
        <v>9</v>
      </c>
      <c r="I1691" s="81" t="s">
        <v>777</v>
      </c>
      <c r="J1691" t="s">
        <v>6</v>
      </c>
    </row>
    <row r="1692" spans="3:10" hidden="1">
      <c r="C1692">
        <v>153015</v>
      </c>
      <c r="D1692" t="s">
        <v>49</v>
      </c>
      <c r="E1692" t="s">
        <v>784</v>
      </c>
      <c r="F1692" s="41"/>
      <c r="G1692" s="80" t="s">
        <v>32</v>
      </c>
      <c r="H1692" s="80" t="s">
        <v>9</v>
      </c>
      <c r="I1692" s="81" t="s">
        <v>777</v>
      </c>
      <c r="J1692" t="s">
        <v>6</v>
      </c>
    </row>
    <row r="1693" spans="3:10" hidden="1">
      <c r="C1693">
        <v>153016</v>
      </c>
      <c r="D1693" t="s">
        <v>49</v>
      </c>
      <c r="E1693" t="s">
        <v>785</v>
      </c>
      <c r="F1693" s="41"/>
      <c r="G1693" s="80" t="s">
        <v>32</v>
      </c>
      <c r="H1693" s="80" t="s">
        <v>9</v>
      </c>
      <c r="I1693" s="81" t="s">
        <v>777</v>
      </c>
      <c r="J1693" t="s">
        <v>6</v>
      </c>
    </row>
    <row r="1694" spans="3:10" hidden="1">
      <c r="C1694">
        <v>153017</v>
      </c>
      <c r="D1694" t="s">
        <v>49</v>
      </c>
      <c r="E1694" t="s">
        <v>786</v>
      </c>
      <c r="F1694" s="41"/>
      <c r="G1694" s="80" t="s">
        <v>32</v>
      </c>
      <c r="H1694" s="80" t="s">
        <v>9</v>
      </c>
      <c r="I1694" s="81" t="s">
        <v>777</v>
      </c>
      <c r="J1694" t="s">
        <v>6</v>
      </c>
    </row>
    <row r="1695" spans="3:10" hidden="1">
      <c r="C1695">
        <v>153018</v>
      </c>
      <c r="D1695" t="s">
        <v>58</v>
      </c>
      <c r="E1695" t="s">
        <v>773</v>
      </c>
      <c r="F1695" s="41"/>
      <c r="G1695" s="80" t="s">
        <v>32</v>
      </c>
      <c r="H1695" s="80" t="s">
        <v>9</v>
      </c>
      <c r="I1695" s="81" t="s">
        <v>777</v>
      </c>
      <c r="J1695" t="s">
        <v>6</v>
      </c>
    </row>
    <row r="1696" spans="3:10" hidden="1">
      <c r="C1696">
        <v>153019</v>
      </c>
      <c r="D1696" t="s">
        <v>49</v>
      </c>
      <c r="E1696" t="s">
        <v>57</v>
      </c>
      <c r="F1696" s="41"/>
      <c r="G1696" s="80" t="s">
        <v>32</v>
      </c>
      <c r="H1696" s="80" t="s">
        <v>9</v>
      </c>
      <c r="I1696" s="81" t="s">
        <v>777</v>
      </c>
      <c r="J1696" t="s">
        <v>6</v>
      </c>
    </row>
    <row r="1697" spans="3:10" hidden="1">
      <c r="C1697">
        <v>153020</v>
      </c>
      <c r="D1697" t="s">
        <v>58</v>
      </c>
      <c r="E1697" t="s">
        <v>59</v>
      </c>
      <c r="F1697" s="41"/>
      <c r="G1697" s="80" t="s">
        <v>32</v>
      </c>
      <c r="H1697" s="80" t="s">
        <v>9</v>
      </c>
      <c r="I1697" s="81" t="s">
        <v>777</v>
      </c>
      <c r="J1697" t="s">
        <v>6</v>
      </c>
    </row>
    <row r="1698" spans="3:10" hidden="1">
      <c r="C1698">
        <v>154000</v>
      </c>
      <c r="D1698" t="s">
        <v>48</v>
      </c>
      <c r="E1698" t="s">
        <v>787</v>
      </c>
      <c r="F1698" s="41"/>
      <c r="G1698" s="80" t="s">
        <v>32</v>
      </c>
      <c r="H1698" s="80" t="s">
        <v>9</v>
      </c>
      <c r="I1698" s="81" t="s">
        <v>787</v>
      </c>
      <c r="J1698" t="s">
        <v>6</v>
      </c>
    </row>
    <row r="1699" spans="3:10" hidden="1">
      <c r="C1699">
        <v>154001</v>
      </c>
      <c r="D1699" t="s">
        <v>49</v>
      </c>
      <c r="E1699" t="s">
        <v>767</v>
      </c>
      <c r="F1699" s="41"/>
      <c r="G1699" s="80" t="s">
        <v>32</v>
      </c>
      <c r="H1699" s="80" t="s">
        <v>9</v>
      </c>
      <c r="I1699" s="81" t="s">
        <v>787</v>
      </c>
      <c r="J1699" t="s">
        <v>6</v>
      </c>
    </row>
    <row r="1700" spans="3:10" hidden="1">
      <c r="C1700">
        <v>154002</v>
      </c>
      <c r="D1700" t="s">
        <v>49</v>
      </c>
      <c r="E1700" t="s">
        <v>768</v>
      </c>
      <c r="F1700" s="41"/>
      <c r="G1700" s="80" t="s">
        <v>32</v>
      </c>
      <c r="H1700" s="80" t="s">
        <v>9</v>
      </c>
      <c r="I1700" s="81" t="s">
        <v>787</v>
      </c>
      <c r="J1700" t="s">
        <v>6</v>
      </c>
    </row>
    <row r="1701" spans="3:10" hidden="1">
      <c r="C1701">
        <v>154003</v>
      </c>
      <c r="D1701" t="s">
        <v>49</v>
      </c>
      <c r="E1701" t="s">
        <v>772</v>
      </c>
      <c r="F1701" s="41"/>
      <c r="G1701" s="80" t="s">
        <v>32</v>
      </c>
      <c r="H1701" s="80" t="s">
        <v>9</v>
      </c>
      <c r="I1701" s="81" t="s">
        <v>787</v>
      </c>
      <c r="J1701" t="s">
        <v>6</v>
      </c>
    </row>
    <row r="1702" spans="3:10" hidden="1">
      <c r="C1702">
        <v>154004</v>
      </c>
      <c r="D1702" t="s">
        <v>49</v>
      </c>
      <c r="E1702" t="s">
        <v>773</v>
      </c>
      <c r="F1702" s="41"/>
      <c r="G1702" s="80" t="s">
        <v>32</v>
      </c>
      <c r="H1702" s="80" t="s">
        <v>9</v>
      </c>
      <c r="I1702" s="81" t="s">
        <v>787</v>
      </c>
      <c r="J1702" t="s">
        <v>6</v>
      </c>
    </row>
    <row r="1703" spans="3:10" hidden="1">
      <c r="C1703">
        <v>154005</v>
      </c>
      <c r="D1703" t="s">
        <v>49</v>
      </c>
      <c r="E1703" t="s">
        <v>57</v>
      </c>
      <c r="F1703" s="41"/>
      <c r="G1703" s="80" t="s">
        <v>32</v>
      </c>
      <c r="H1703" s="80" t="s">
        <v>9</v>
      </c>
      <c r="I1703" s="81" t="s">
        <v>787</v>
      </c>
      <c r="J1703" t="s">
        <v>6</v>
      </c>
    </row>
    <row r="1704" spans="3:10" hidden="1">
      <c r="C1704">
        <v>154006</v>
      </c>
      <c r="D1704" t="s">
        <v>58</v>
      </c>
      <c r="E1704" t="s">
        <v>59</v>
      </c>
      <c r="F1704" s="41"/>
      <c r="G1704" s="80" t="s">
        <v>32</v>
      </c>
      <c r="H1704" s="80" t="s">
        <v>9</v>
      </c>
      <c r="I1704" s="81" t="s">
        <v>787</v>
      </c>
      <c r="J1704" t="s">
        <v>6</v>
      </c>
    </row>
    <row r="1705" spans="3:10" hidden="1">
      <c r="C1705">
        <v>155000</v>
      </c>
      <c r="D1705" t="s">
        <v>48</v>
      </c>
      <c r="E1705" t="s">
        <v>788</v>
      </c>
      <c r="F1705" s="41"/>
      <c r="G1705" s="80" t="s">
        <v>18</v>
      </c>
      <c r="H1705" s="80" t="s">
        <v>9</v>
      </c>
      <c r="I1705" s="81" t="s">
        <v>788</v>
      </c>
      <c r="J1705" t="s">
        <v>6</v>
      </c>
    </row>
    <row r="1706" spans="3:10" hidden="1">
      <c r="C1706">
        <v>155001</v>
      </c>
      <c r="D1706" t="s">
        <v>49</v>
      </c>
      <c r="E1706" t="s">
        <v>789</v>
      </c>
      <c r="F1706" s="41"/>
      <c r="G1706" s="80" t="s">
        <v>18</v>
      </c>
      <c r="H1706" s="80" t="s">
        <v>9</v>
      </c>
      <c r="I1706" s="81" t="s">
        <v>788</v>
      </c>
      <c r="J1706" t="s">
        <v>6</v>
      </c>
    </row>
    <row r="1707" spans="3:10" hidden="1">
      <c r="C1707">
        <v>155002</v>
      </c>
      <c r="D1707" t="s">
        <v>49</v>
      </c>
      <c r="E1707" t="s">
        <v>790</v>
      </c>
      <c r="F1707" s="41"/>
      <c r="G1707" s="80" t="s">
        <v>18</v>
      </c>
      <c r="H1707" s="80" t="s">
        <v>9</v>
      </c>
      <c r="I1707" s="81" t="s">
        <v>788</v>
      </c>
      <c r="J1707" t="s">
        <v>6</v>
      </c>
    </row>
    <row r="1708" spans="3:10" hidden="1">
      <c r="C1708">
        <v>155003</v>
      </c>
      <c r="D1708" t="s">
        <v>791</v>
      </c>
      <c r="E1708" t="s">
        <v>792</v>
      </c>
      <c r="F1708" s="41"/>
      <c r="G1708" s="80" t="s">
        <v>18</v>
      </c>
      <c r="H1708" s="80" t="s">
        <v>9</v>
      </c>
      <c r="I1708" s="81" t="s">
        <v>788</v>
      </c>
      <c r="J1708" t="s">
        <v>6</v>
      </c>
    </row>
    <row r="1709" spans="3:10" hidden="1">
      <c r="C1709">
        <v>155004</v>
      </c>
      <c r="D1709" t="s">
        <v>791</v>
      </c>
      <c r="E1709" t="s">
        <v>793</v>
      </c>
      <c r="F1709" s="41"/>
      <c r="G1709" s="80" t="s">
        <v>18</v>
      </c>
      <c r="H1709" s="80" t="s">
        <v>9</v>
      </c>
      <c r="I1709" s="81" t="s">
        <v>788</v>
      </c>
      <c r="J1709" t="s">
        <v>6</v>
      </c>
    </row>
    <row r="1710" spans="3:10" hidden="1">
      <c r="C1710">
        <v>155005</v>
      </c>
      <c r="D1710" t="s">
        <v>791</v>
      </c>
      <c r="E1710" t="s">
        <v>794</v>
      </c>
      <c r="F1710" s="41"/>
      <c r="G1710" s="80" t="s">
        <v>18</v>
      </c>
      <c r="H1710" s="80" t="s">
        <v>9</v>
      </c>
      <c r="I1710" s="81" t="s">
        <v>788</v>
      </c>
      <c r="J1710" t="s">
        <v>6</v>
      </c>
    </row>
    <row r="1711" spans="3:10" hidden="1">
      <c r="C1711">
        <v>155006</v>
      </c>
      <c r="D1711" t="s">
        <v>791</v>
      </c>
      <c r="E1711" t="s">
        <v>795</v>
      </c>
      <c r="F1711" s="41"/>
      <c r="G1711" s="80" t="s">
        <v>18</v>
      </c>
      <c r="H1711" s="80" t="s">
        <v>9</v>
      </c>
      <c r="I1711" s="81" t="s">
        <v>788</v>
      </c>
      <c r="J1711" t="s">
        <v>6</v>
      </c>
    </row>
    <row r="1712" spans="3:10" hidden="1">
      <c r="C1712">
        <v>155007</v>
      </c>
      <c r="D1712" t="s">
        <v>796</v>
      </c>
      <c r="E1712" t="s">
        <v>797</v>
      </c>
      <c r="F1712" s="41" t="s">
        <v>153</v>
      </c>
      <c r="G1712" s="80" t="s">
        <v>18</v>
      </c>
      <c r="H1712" s="80" t="s">
        <v>9</v>
      </c>
      <c r="I1712" s="81" t="s">
        <v>788</v>
      </c>
      <c r="J1712" t="s">
        <v>6</v>
      </c>
    </row>
    <row r="1713" spans="3:10" hidden="1">
      <c r="C1713">
        <v>155008</v>
      </c>
      <c r="D1713" t="s">
        <v>791</v>
      </c>
      <c r="E1713" t="s">
        <v>798</v>
      </c>
      <c r="F1713" s="41"/>
      <c r="G1713" s="80" t="s">
        <v>18</v>
      </c>
      <c r="H1713" s="80" t="s">
        <v>9</v>
      </c>
      <c r="I1713" s="81" t="s">
        <v>788</v>
      </c>
      <c r="J1713" t="s">
        <v>6</v>
      </c>
    </row>
    <row r="1714" spans="3:10" hidden="1">
      <c r="C1714">
        <v>155009</v>
      </c>
      <c r="D1714" t="s">
        <v>49</v>
      </c>
      <c r="E1714" t="s">
        <v>799</v>
      </c>
      <c r="F1714" s="41"/>
      <c r="G1714" s="80" t="s">
        <v>18</v>
      </c>
      <c r="H1714" s="80" t="s">
        <v>9</v>
      </c>
      <c r="I1714" s="81" t="s">
        <v>788</v>
      </c>
      <c r="J1714" t="s">
        <v>6</v>
      </c>
    </row>
    <row r="1715" spans="3:10" hidden="1">
      <c r="C1715">
        <v>155010</v>
      </c>
      <c r="D1715" t="s">
        <v>49</v>
      </c>
      <c r="E1715" t="s">
        <v>800</v>
      </c>
      <c r="F1715" s="41"/>
      <c r="G1715" s="80" t="s">
        <v>18</v>
      </c>
      <c r="H1715" s="80" t="s">
        <v>9</v>
      </c>
      <c r="I1715" s="81" t="s">
        <v>788</v>
      </c>
      <c r="J1715" t="s">
        <v>6</v>
      </c>
    </row>
    <row r="1716" spans="3:10" hidden="1">
      <c r="C1716">
        <v>155011</v>
      </c>
      <c r="D1716" t="s">
        <v>49</v>
      </c>
      <c r="E1716" t="s">
        <v>801</v>
      </c>
      <c r="F1716" s="41"/>
      <c r="G1716" s="80" t="s">
        <v>18</v>
      </c>
      <c r="H1716" s="80" t="s">
        <v>9</v>
      </c>
      <c r="I1716" s="81" t="s">
        <v>788</v>
      </c>
      <c r="J1716" t="s">
        <v>6</v>
      </c>
    </row>
    <row r="1717" spans="3:10" hidden="1">
      <c r="C1717">
        <v>155012</v>
      </c>
      <c r="D1717" t="s">
        <v>802</v>
      </c>
      <c r="E1717" t="s">
        <v>803</v>
      </c>
      <c r="F1717" s="41"/>
      <c r="G1717" s="80" t="s">
        <v>18</v>
      </c>
      <c r="H1717" s="80" t="s">
        <v>9</v>
      </c>
      <c r="I1717" s="81" t="s">
        <v>788</v>
      </c>
      <c r="J1717" t="s">
        <v>6</v>
      </c>
    </row>
    <row r="1718" spans="3:10" hidden="1">
      <c r="C1718">
        <v>155013</v>
      </c>
      <c r="D1718" t="s">
        <v>49</v>
      </c>
      <c r="E1718" t="s">
        <v>57</v>
      </c>
      <c r="F1718" s="41"/>
      <c r="G1718" s="80" t="s">
        <v>18</v>
      </c>
      <c r="H1718" s="80" t="s">
        <v>9</v>
      </c>
      <c r="I1718" s="81" t="s">
        <v>788</v>
      </c>
      <c r="J1718" t="s">
        <v>6</v>
      </c>
    </row>
    <row r="1719" spans="3:10" hidden="1">
      <c r="C1719">
        <v>155014</v>
      </c>
      <c r="D1719" t="s">
        <v>58</v>
      </c>
      <c r="E1719" t="s">
        <v>59</v>
      </c>
      <c r="F1719" s="41"/>
      <c r="G1719" s="80" t="s">
        <v>18</v>
      </c>
      <c r="H1719" s="80" t="s">
        <v>9</v>
      </c>
      <c r="I1719" s="81" t="s">
        <v>788</v>
      </c>
      <c r="J1719" t="s">
        <v>6</v>
      </c>
    </row>
    <row r="1720" spans="3:10" hidden="1">
      <c r="C1720">
        <v>156000</v>
      </c>
      <c r="D1720" t="s">
        <v>43</v>
      </c>
      <c r="E1720" t="s">
        <v>804</v>
      </c>
      <c r="F1720" s="41"/>
      <c r="G1720" s="80" t="s">
        <v>18</v>
      </c>
      <c r="H1720" s="80" t="s">
        <v>9</v>
      </c>
      <c r="I1720" s="81" t="s">
        <v>804</v>
      </c>
      <c r="J1720" t="s">
        <v>6</v>
      </c>
    </row>
    <row r="1721" spans="3:10" hidden="1">
      <c r="C1721">
        <v>156001</v>
      </c>
      <c r="D1721" t="s">
        <v>120</v>
      </c>
      <c r="E1721" t="s">
        <v>805</v>
      </c>
      <c r="F1721" s="41"/>
      <c r="G1721" s="80" t="s">
        <v>18</v>
      </c>
      <c r="H1721" s="80" t="s">
        <v>9</v>
      </c>
      <c r="I1721" s="81" t="s">
        <v>804</v>
      </c>
      <c r="J1721" t="s">
        <v>6</v>
      </c>
    </row>
    <row r="1722" spans="3:10" hidden="1">
      <c r="C1722">
        <v>156002</v>
      </c>
      <c r="D1722" t="s">
        <v>49</v>
      </c>
      <c r="E1722" t="s">
        <v>806</v>
      </c>
      <c r="F1722" s="41"/>
      <c r="G1722" s="80" t="s">
        <v>18</v>
      </c>
      <c r="H1722" s="80" t="s">
        <v>9</v>
      </c>
      <c r="I1722" s="81" t="s">
        <v>804</v>
      </c>
      <c r="J1722" t="s">
        <v>6</v>
      </c>
    </row>
    <row r="1723" spans="3:10" hidden="1">
      <c r="C1723">
        <v>156003</v>
      </c>
      <c r="D1723" t="s">
        <v>49</v>
      </c>
      <c r="E1723" t="s">
        <v>807</v>
      </c>
      <c r="F1723" s="41"/>
      <c r="G1723" s="80" t="s">
        <v>18</v>
      </c>
      <c r="H1723" s="80" t="s">
        <v>9</v>
      </c>
      <c r="I1723" s="81" t="s">
        <v>804</v>
      </c>
      <c r="J1723" t="s">
        <v>6</v>
      </c>
    </row>
    <row r="1724" spans="3:10" hidden="1">
      <c r="C1724">
        <v>156004</v>
      </c>
      <c r="D1724" t="s">
        <v>49</v>
      </c>
      <c r="E1724" t="s">
        <v>808</v>
      </c>
      <c r="F1724" s="41"/>
      <c r="G1724" s="80" t="s">
        <v>18</v>
      </c>
      <c r="H1724" s="80" t="s">
        <v>9</v>
      </c>
      <c r="I1724" s="81" t="s">
        <v>804</v>
      </c>
      <c r="J1724" t="s">
        <v>6</v>
      </c>
    </row>
    <row r="1725" spans="3:10" hidden="1">
      <c r="C1725">
        <v>156005</v>
      </c>
      <c r="D1725" t="s">
        <v>49</v>
      </c>
      <c r="E1725" t="s">
        <v>1706</v>
      </c>
      <c r="F1725" s="41"/>
      <c r="G1725" s="80" t="s">
        <v>18</v>
      </c>
      <c r="H1725" s="80" t="s">
        <v>9</v>
      </c>
      <c r="I1725" s="81" t="s">
        <v>804</v>
      </c>
      <c r="J1725" t="s">
        <v>6</v>
      </c>
    </row>
    <row r="1726" spans="3:10" hidden="1">
      <c r="C1726">
        <v>156006</v>
      </c>
      <c r="D1726" t="s">
        <v>791</v>
      </c>
      <c r="E1726" t="s">
        <v>810</v>
      </c>
      <c r="F1726" s="41"/>
      <c r="G1726" s="80" t="s">
        <v>18</v>
      </c>
      <c r="H1726" s="80" t="s">
        <v>9</v>
      </c>
      <c r="I1726" s="81" t="s">
        <v>804</v>
      </c>
      <c r="J1726" t="s">
        <v>6</v>
      </c>
    </row>
    <row r="1727" spans="3:10" hidden="1">
      <c r="C1727">
        <v>156007</v>
      </c>
      <c r="D1727" t="s">
        <v>49</v>
      </c>
      <c r="E1727" t="s">
        <v>811</v>
      </c>
      <c r="F1727" s="41"/>
      <c r="G1727" s="80" t="s">
        <v>18</v>
      </c>
      <c r="H1727" s="80" t="s">
        <v>9</v>
      </c>
      <c r="I1727" s="81" t="s">
        <v>804</v>
      </c>
      <c r="J1727" t="s">
        <v>6</v>
      </c>
    </row>
    <row r="1728" spans="3:10" hidden="1">
      <c r="C1728">
        <v>156008</v>
      </c>
      <c r="D1728" t="s">
        <v>49</v>
      </c>
      <c r="E1728" t="s">
        <v>812</v>
      </c>
      <c r="F1728" s="41"/>
      <c r="G1728" s="80" t="s">
        <v>18</v>
      </c>
      <c r="H1728" s="80" t="s">
        <v>9</v>
      </c>
      <c r="I1728" s="81" t="s">
        <v>804</v>
      </c>
      <c r="J1728" t="s">
        <v>6</v>
      </c>
    </row>
    <row r="1729" spans="3:10" hidden="1">
      <c r="C1729">
        <v>156009</v>
      </c>
      <c r="D1729" t="s">
        <v>49</v>
      </c>
      <c r="E1729" t="s">
        <v>813</v>
      </c>
      <c r="F1729" s="41"/>
      <c r="G1729" s="80" t="s">
        <v>18</v>
      </c>
      <c r="H1729" s="80" t="s">
        <v>9</v>
      </c>
      <c r="I1729" s="81" t="s">
        <v>804</v>
      </c>
      <c r="J1729" t="s">
        <v>6</v>
      </c>
    </row>
    <row r="1730" spans="3:10" hidden="1">
      <c r="C1730">
        <v>156010</v>
      </c>
      <c r="D1730" t="s">
        <v>120</v>
      </c>
      <c r="E1730" t="s">
        <v>814</v>
      </c>
      <c r="F1730" s="41"/>
      <c r="G1730" s="80" t="s">
        <v>18</v>
      </c>
      <c r="H1730" s="80" t="s">
        <v>9</v>
      </c>
      <c r="I1730" s="81" t="s">
        <v>804</v>
      </c>
      <c r="J1730" t="s">
        <v>6</v>
      </c>
    </row>
    <row r="1731" spans="3:10" hidden="1">
      <c r="C1731">
        <v>156011</v>
      </c>
      <c r="D1731" t="s">
        <v>49</v>
      </c>
      <c r="E1731" t="s">
        <v>806</v>
      </c>
      <c r="F1731" s="41"/>
      <c r="G1731" s="80" t="s">
        <v>18</v>
      </c>
      <c r="H1731" s="80" t="s">
        <v>9</v>
      </c>
      <c r="I1731" s="81" t="s">
        <v>804</v>
      </c>
      <c r="J1731" t="s">
        <v>6</v>
      </c>
    </row>
    <row r="1732" spans="3:10" hidden="1">
      <c r="C1732">
        <v>156012</v>
      </c>
      <c r="D1732" t="s">
        <v>49</v>
      </c>
      <c r="E1732" t="s">
        <v>815</v>
      </c>
      <c r="F1732" s="41"/>
      <c r="G1732" s="80" t="s">
        <v>18</v>
      </c>
      <c r="H1732" s="80" t="s">
        <v>9</v>
      </c>
      <c r="I1732" s="81" t="s">
        <v>804</v>
      </c>
      <c r="J1732" t="s">
        <v>6</v>
      </c>
    </row>
    <row r="1733" spans="3:10" hidden="1">
      <c r="C1733">
        <v>156013</v>
      </c>
      <c r="D1733" t="s">
        <v>49</v>
      </c>
      <c r="E1733" t="s">
        <v>816</v>
      </c>
      <c r="F1733" s="41"/>
      <c r="G1733" s="80" t="s">
        <v>18</v>
      </c>
      <c r="H1733" s="80" t="s">
        <v>9</v>
      </c>
      <c r="I1733" s="81" t="s">
        <v>804</v>
      </c>
      <c r="J1733" t="s">
        <v>6</v>
      </c>
    </row>
    <row r="1734" spans="3:10" hidden="1">
      <c r="C1734">
        <v>156014</v>
      </c>
      <c r="D1734" t="s">
        <v>49</v>
      </c>
      <c r="E1734" t="s">
        <v>817</v>
      </c>
      <c r="F1734" s="41"/>
      <c r="G1734" s="80" t="s">
        <v>18</v>
      </c>
      <c r="H1734" s="80" t="s">
        <v>9</v>
      </c>
      <c r="I1734" s="81" t="s">
        <v>804</v>
      </c>
      <c r="J1734" t="s">
        <v>6</v>
      </c>
    </row>
    <row r="1735" spans="3:10" hidden="1">
      <c r="C1735">
        <v>156015</v>
      </c>
      <c r="D1735" t="s">
        <v>49</v>
      </c>
      <c r="E1735" t="s">
        <v>818</v>
      </c>
      <c r="F1735" s="41"/>
      <c r="G1735" s="80" t="s">
        <v>18</v>
      </c>
      <c r="H1735" s="80" t="s">
        <v>9</v>
      </c>
      <c r="I1735" s="81" t="s">
        <v>804</v>
      </c>
      <c r="J1735" t="s">
        <v>6</v>
      </c>
    </row>
    <row r="1736" spans="3:10" hidden="1">
      <c r="C1736">
        <v>156016</v>
      </c>
      <c r="D1736" t="s">
        <v>49</v>
      </c>
      <c r="E1736" t="s">
        <v>819</v>
      </c>
      <c r="F1736" s="41"/>
      <c r="G1736" s="80" t="s">
        <v>18</v>
      </c>
      <c r="H1736" s="80" t="s">
        <v>9</v>
      </c>
      <c r="I1736" s="81" t="s">
        <v>804</v>
      </c>
      <c r="J1736" t="s">
        <v>6</v>
      </c>
    </row>
    <row r="1737" spans="3:10" hidden="1">
      <c r="C1737">
        <v>156017</v>
      </c>
      <c r="D1737" t="s">
        <v>49</v>
      </c>
      <c r="E1737" t="s">
        <v>820</v>
      </c>
      <c r="F1737" s="41"/>
      <c r="G1737" s="80" t="s">
        <v>18</v>
      </c>
      <c r="H1737" s="80" t="s">
        <v>9</v>
      </c>
      <c r="I1737" s="81" t="s">
        <v>804</v>
      </c>
      <c r="J1737" t="s">
        <v>6</v>
      </c>
    </row>
    <row r="1738" spans="3:10" hidden="1">
      <c r="C1738">
        <v>156018</v>
      </c>
      <c r="D1738" t="s">
        <v>49</v>
      </c>
      <c r="E1738" t="s">
        <v>813</v>
      </c>
      <c r="F1738" s="41"/>
      <c r="G1738" s="80" t="s">
        <v>18</v>
      </c>
      <c r="H1738" s="80" t="s">
        <v>9</v>
      </c>
      <c r="I1738" s="81" t="s">
        <v>804</v>
      </c>
      <c r="J1738" t="s">
        <v>6</v>
      </c>
    </row>
    <row r="1739" spans="3:10" hidden="1">
      <c r="C1739">
        <v>156019</v>
      </c>
      <c r="D1739" t="s">
        <v>120</v>
      </c>
      <c r="E1739" t="s">
        <v>821</v>
      </c>
      <c r="F1739" s="41"/>
      <c r="G1739" s="80" t="s">
        <v>18</v>
      </c>
      <c r="H1739" s="80" t="s">
        <v>9</v>
      </c>
      <c r="I1739" s="81" t="s">
        <v>804</v>
      </c>
      <c r="J1739" t="s">
        <v>6</v>
      </c>
    </row>
    <row r="1740" spans="3:10" hidden="1">
      <c r="C1740">
        <v>156020</v>
      </c>
      <c r="D1740" t="s">
        <v>49</v>
      </c>
      <c r="E1740" t="s">
        <v>822</v>
      </c>
      <c r="F1740" s="41"/>
      <c r="G1740" s="80" t="s">
        <v>18</v>
      </c>
      <c r="H1740" s="80" t="s">
        <v>9</v>
      </c>
      <c r="I1740" s="81" t="s">
        <v>804</v>
      </c>
      <c r="J1740" t="s">
        <v>6</v>
      </c>
    </row>
    <row r="1741" spans="3:10" hidden="1">
      <c r="C1741">
        <v>156021</v>
      </c>
      <c r="D1741" t="s">
        <v>49</v>
      </c>
      <c r="E1741" t="s">
        <v>823</v>
      </c>
      <c r="F1741" s="41"/>
      <c r="G1741" s="80" t="s">
        <v>18</v>
      </c>
      <c r="H1741" s="80" t="s">
        <v>9</v>
      </c>
      <c r="I1741" s="81" t="s">
        <v>804</v>
      </c>
      <c r="J1741" t="s">
        <v>6</v>
      </c>
    </row>
    <row r="1742" spans="3:10" hidden="1">
      <c r="C1742">
        <v>156022</v>
      </c>
      <c r="D1742" t="s">
        <v>49</v>
      </c>
      <c r="E1742" t="s">
        <v>57</v>
      </c>
      <c r="F1742" s="41"/>
      <c r="G1742" s="80" t="s">
        <v>18</v>
      </c>
      <c r="H1742" s="80" t="s">
        <v>9</v>
      </c>
      <c r="I1742" s="81" t="s">
        <v>804</v>
      </c>
      <c r="J1742" t="s">
        <v>6</v>
      </c>
    </row>
    <row r="1743" spans="3:10" hidden="1">
      <c r="C1743">
        <v>156023</v>
      </c>
      <c r="D1743" t="s">
        <v>58</v>
      </c>
      <c r="E1743" t="s">
        <v>59</v>
      </c>
      <c r="F1743" s="41"/>
      <c r="G1743" s="80" t="s">
        <v>18</v>
      </c>
      <c r="H1743" s="80" t="s">
        <v>9</v>
      </c>
      <c r="I1743" s="81" t="s">
        <v>804</v>
      </c>
      <c r="J1743" t="s">
        <v>6</v>
      </c>
    </row>
    <row r="1744" spans="3:10" hidden="1">
      <c r="C1744">
        <v>157000</v>
      </c>
      <c r="D1744" t="s">
        <v>48</v>
      </c>
      <c r="E1744" t="s">
        <v>824</v>
      </c>
      <c r="F1744" s="41"/>
      <c r="G1744" s="80" t="s">
        <v>18</v>
      </c>
      <c r="H1744" s="80" t="s">
        <v>9</v>
      </c>
      <c r="I1744" s="81" t="s">
        <v>824</v>
      </c>
      <c r="J1744" t="s">
        <v>6</v>
      </c>
    </row>
    <row r="1745" spans="3:10" hidden="1">
      <c r="C1745">
        <v>157001</v>
      </c>
      <c r="D1745" t="s">
        <v>49</v>
      </c>
      <c r="E1745" t="s">
        <v>260</v>
      </c>
      <c r="F1745" s="41"/>
      <c r="G1745" s="80" t="s">
        <v>18</v>
      </c>
      <c r="H1745" s="80" t="s">
        <v>9</v>
      </c>
      <c r="I1745" s="81" t="s">
        <v>824</v>
      </c>
      <c r="J1745" t="s">
        <v>6</v>
      </c>
    </row>
    <row r="1746" spans="3:10" hidden="1">
      <c r="C1746">
        <v>157002</v>
      </c>
      <c r="D1746" t="s">
        <v>49</v>
      </c>
      <c r="E1746" t="s">
        <v>261</v>
      </c>
      <c r="F1746" s="41"/>
      <c r="G1746" s="80" t="s">
        <v>18</v>
      </c>
      <c r="H1746" s="80" t="s">
        <v>9</v>
      </c>
      <c r="I1746" s="81" t="s">
        <v>824</v>
      </c>
      <c r="J1746" t="s">
        <v>6</v>
      </c>
    </row>
    <row r="1747" spans="3:10" hidden="1">
      <c r="C1747">
        <v>157003</v>
      </c>
      <c r="D1747" t="s">
        <v>49</v>
      </c>
      <c r="E1747" t="s">
        <v>262</v>
      </c>
      <c r="F1747" s="41"/>
      <c r="G1747" s="80" t="s">
        <v>18</v>
      </c>
      <c r="H1747" s="80" t="s">
        <v>9</v>
      </c>
      <c r="I1747" s="81" t="s">
        <v>824</v>
      </c>
      <c r="J1747" t="s">
        <v>6</v>
      </c>
    </row>
    <row r="1748" spans="3:10" hidden="1">
      <c r="C1748">
        <v>157004</v>
      </c>
      <c r="D1748" t="s">
        <v>49</v>
      </c>
      <c r="E1748" t="s">
        <v>263</v>
      </c>
      <c r="F1748" s="41"/>
      <c r="G1748" s="80" t="s">
        <v>18</v>
      </c>
      <c r="H1748" s="80" t="s">
        <v>9</v>
      </c>
      <c r="I1748" s="81" t="s">
        <v>824</v>
      </c>
      <c r="J1748" t="s">
        <v>6</v>
      </c>
    </row>
    <row r="1749" spans="3:10" hidden="1">
      <c r="C1749">
        <v>157005</v>
      </c>
      <c r="D1749" t="s">
        <v>49</v>
      </c>
      <c r="E1749" t="s">
        <v>264</v>
      </c>
      <c r="F1749" s="41"/>
      <c r="G1749" s="80" t="s">
        <v>18</v>
      </c>
      <c r="H1749" s="80" t="s">
        <v>9</v>
      </c>
      <c r="I1749" s="81" t="s">
        <v>824</v>
      </c>
      <c r="J1749" t="s">
        <v>6</v>
      </c>
    </row>
    <row r="1750" spans="3:10" hidden="1">
      <c r="C1750">
        <v>157006</v>
      </c>
      <c r="D1750" t="s">
        <v>66</v>
      </c>
      <c r="E1750" t="s">
        <v>265</v>
      </c>
      <c r="F1750" s="41"/>
      <c r="G1750" s="80" t="s">
        <v>18</v>
      </c>
      <c r="H1750" s="80" t="s">
        <v>9</v>
      </c>
      <c r="I1750" s="81" t="s">
        <v>824</v>
      </c>
      <c r="J1750" t="s">
        <v>6</v>
      </c>
    </row>
    <row r="1751" spans="3:10" hidden="1">
      <c r="C1751">
        <v>157007</v>
      </c>
      <c r="D1751" t="s">
        <v>66</v>
      </c>
      <c r="E1751" t="s">
        <v>266</v>
      </c>
      <c r="F1751" s="41"/>
      <c r="G1751" s="80" t="s">
        <v>18</v>
      </c>
      <c r="H1751" s="80" t="s">
        <v>9</v>
      </c>
      <c r="I1751" s="81" t="s">
        <v>824</v>
      </c>
      <c r="J1751" t="s">
        <v>6</v>
      </c>
    </row>
    <row r="1752" spans="3:10" hidden="1">
      <c r="C1752">
        <v>157008</v>
      </c>
      <c r="D1752" t="s">
        <v>49</v>
      </c>
      <c r="E1752" t="s">
        <v>267</v>
      </c>
      <c r="F1752" s="41"/>
      <c r="G1752" s="80" t="s">
        <v>18</v>
      </c>
      <c r="H1752" s="80" t="s">
        <v>9</v>
      </c>
      <c r="I1752" s="81" t="s">
        <v>824</v>
      </c>
      <c r="J1752" t="s">
        <v>6</v>
      </c>
    </row>
    <row r="1753" spans="3:10" hidden="1">
      <c r="C1753">
        <v>157009</v>
      </c>
      <c r="D1753" t="s">
        <v>49</v>
      </c>
      <c r="E1753" t="s">
        <v>268</v>
      </c>
      <c r="F1753" s="41"/>
      <c r="G1753" s="80" t="s">
        <v>18</v>
      </c>
      <c r="H1753" s="80" t="s">
        <v>9</v>
      </c>
      <c r="I1753" s="81" t="s">
        <v>824</v>
      </c>
      <c r="J1753" t="s">
        <v>6</v>
      </c>
    </row>
    <row r="1754" spans="3:10" hidden="1">
      <c r="C1754">
        <v>157010</v>
      </c>
      <c r="D1754" t="s">
        <v>49</v>
      </c>
      <c r="E1754" t="s">
        <v>269</v>
      </c>
      <c r="F1754" s="41"/>
      <c r="G1754" s="80" t="s">
        <v>18</v>
      </c>
      <c r="H1754" s="80" t="s">
        <v>9</v>
      </c>
      <c r="I1754" s="81" t="s">
        <v>824</v>
      </c>
      <c r="J1754" t="s">
        <v>6</v>
      </c>
    </row>
    <row r="1755" spans="3:10" hidden="1">
      <c r="C1755">
        <v>157011</v>
      </c>
      <c r="D1755" t="s">
        <v>49</v>
      </c>
      <c r="E1755" t="s">
        <v>270</v>
      </c>
      <c r="F1755" s="41"/>
      <c r="G1755" s="80" t="s">
        <v>18</v>
      </c>
      <c r="H1755" s="80" t="s">
        <v>9</v>
      </c>
      <c r="I1755" s="81" t="s">
        <v>824</v>
      </c>
      <c r="J1755" t="s">
        <v>6</v>
      </c>
    </row>
    <row r="1756" spans="3:10" hidden="1">
      <c r="C1756">
        <v>157012</v>
      </c>
      <c r="D1756" t="s">
        <v>49</v>
      </c>
      <c r="E1756" t="s">
        <v>271</v>
      </c>
      <c r="F1756" s="41"/>
      <c r="G1756" s="80" t="s">
        <v>18</v>
      </c>
      <c r="H1756" s="80" t="s">
        <v>9</v>
      </c>
      <c r="I1756" s="81" t="s">
        <v>824</v>
      </c>
      <c r="J1756" t="s">
        <v>6</v>
      </c>
    </row>
    <row r="1757" spans="3:10" hidden="1">
      <c r="C1757">
        <v>157013</v>
      </c>
      <c r="D1757" t="s">
        <v>49</v>
      </c>
      <c r="E1757" t="s">
        <v>272</v>
      </c>
      <c r="F1757" s="41"/>
      <c r="G1757" s="80" t="s">
        <v>18</v>
      </c>
      <c r="H1757" s="80" t="s">
        <v>9</v>
      </c>
      <c r="I1757" s="81" t="s">
        <v>824</v>
      </c>
      <c r="J1757" t="s">
        <v>6</v>
      </c>
    </row>
    <row r="1758" spans="3:10" hidden="1">
      <c r="C1758">
        <v>157014</v>
      </c>
      <c r="D1758" t="s">
        <v>49</v>
      </c>
      <c r="E1758" t="s">
        <v>57</v>
      </c>
      <c r="F1758" s="41"/>
      <c r="G1758" s="80" t="s">
        <v>18</v>
      </c>
      <c r="H1758" s="80" t="s">
        <v>9</v>
      </c>
      <c r="I1758" s="81" t="s">
        <v>824</v>
      </c>
      <c r="J1758" t="s">
        <v>6</v>
      </c>
    </row>
    <row r="1759" spans="3:10" hidden="1">
      <c r="C1759">
        <v>157015</v>
      </c>
      <c r="D1759" t="s">
        <v>58</v>
      </c>
      <c r="E1759" t="s">
        <v>59</v>
      </c>
      <c r="F1759" s="41"/>
      <c r="G1759" s="80" t="s">
        <v>18</v>
      </c>
      <c r="H1759" s="80" t="s">
        <v>9</v>
      </c>
      <c r="I1759" s="81" t="s">
        <v>824</v>
      </c>
      <c r="J1759" t="s">
        <v>6</v>
      </c>
    </row>
    <row r="1760" spans="3:10" hidden="1">
      <c r="C1760">
        <v>158000</v>
      </c>
      <c r="D1760" t="s">
        <v>48</v>
      </c>
      <c r="E1760" t="s">
        <v>825</v>
      </c>
      <c r="F1760" s="41"/>
      <c r="G1760" s="80" t="s">
        <v>18</v>
      </c>
      <c r="H1760" s="80" t="s">
        <v>9</v>
      </c>
      <c r="I1760" s="81" t="s">
        <v>825</v>
      </c>
      <c r="J1760" t="s">
        <v>6</v>
      </c>
    </row>
    <row r="1761" spans="3:10" hidden="1">
      <c r="C1761">
        <v>158001</v>
      </c>
      <c r="D1761" t="s">
        <v>49</v>
      </c>
      <c r="E1761" t="s">
        <v>826</v>
      </c>
      <c r="F1761" s="41"/>
      <c r="G1761" s="80" t="s">
        <v>18</v>
      </c>
      <c r="H1761" s="80" t="s">
        <v>9</v>
      </c>
      <c r="I1761" s="81" t="s">
        <v>825</v>
      </c>
      <c r="J1761" t="s">
        <v>6</v>
      </c>
    </row>
    <row r="1762" spans="3:10" hidden="1">
      <c r="C1762">
        <v>158002</v>
      </c>
      <c r="D1762" t="s">
        <v>49</v>
      </c>
      <c r="E1762" t="s">
        <v>827</v>
      </c>
      <c r="F1762" s="41"/>
      <c r="G1762" s="80" t="s">
        <v>18</v>
      </c>
      <c r="H1762" s="80" t="s">
        <v>9</v>
      </c>
      <c r="I1762" s="81" t="s">
        <v>825</v>
      </c>
      <c r="J1762" t="s">
        <v>6</v>
      </c>
    </row>
    <row r="1763" spans="3:10" hidden="1">
      <c r="C1763">
        <v>158003</v>
      </c>
      <c r="D1763" t="s">
        <v>49</v>
      </c>
      <c r="E1763" t="s">
        <v>828</v>
      </c>
      <c r="F1763" s="41"/>
      <c r="G1763" s="80" t="s">
        <v>18</v>
      </c>
      <c r="H1763" s="80" t="s">
        <v>9</v>
      </c>
      <c r="I1763" s="81" t="s">
        <v>825</v>
      </c>
      <c r="J1763" t="s">
        <v>6</v>
      </c>
    </row>
    <row r="1764" spans="3:10" hidden="1">
      <c r="C1764">
        <v>158004</v>
      </c>
      <c r="D1764" t="s">
        <v>49</v>
      </c>
      <c r="E1764" t="s">
        <v>341</v>
      </c>
      <c r="F1764" s="41"/>
      <c r="G1764" s="80" t="s">
        <v>18</v>
      </c>
      <c r="H1764" s="80" t="s">
        <v>9</v>
      </c>
      <c r="I1764" s="81" t="s">
        <v>825</v>
      </c>
      <c r="J1764" t="s">
        <v>6</v>
      </c>
    </row>
    <row r="1765" spans="3:10" hidden="1">
      <c r="C1765">
        <v>158005</v>
      </c>
      <c r="D1765" t="s">
        <v>49</v>
      </c>
      <c r="E1765" t="s">
        <v>1707</v>
      </c>
      <c r="F1765" s="41"/>
      <c r="G1765" s="80" t="s">
        <v>18</v>
      </c>
      <c r="H1765" s="80" t="s">
        <v>9</v>
      </c>
      <c r="I1765" s="81" t="s">
        <v>825</v>
      </c>
      <c r="J1765" t="s">
        <v>6</v>
      </c>
    </row>
    <row r="1766" spans="3:10" hidden="1">
      <c r="C1766">
        <v>158006</v>
      </c>
      <c r="D1766" t="s">
        <v>49</v>
      </c>
      <c r="E1766" t="s">
        <v>57</v>
      </c>
      <c r="F1766" s="41"/>
      <c r="G1766" s="80" t="s">
        <v>18</v>
      </c>
      <c r="H1766" s="80" t="s">
        <v>9</v>
      </c>
      <c r="I1766" s="81" t="s">
        <v>825</v>
      </c>
      <c r="J1766" t="s">
        <v>6</v>
      </c>
    </row>
    <row r="1767" spans="3:10" hidden="1">
      <c r="C1767">
        <v>158007</v>
      </c>
      <c r="D1767" t="s">
        <v>58</v>
      </c>
      <c r="E1767" t="s">
        <v>59</v>
      </c>
      <c r="F1767" s="41"/>
      <c r="G1767" s="80" t="s">
        <v>18</v>
      </c>
      <c r="H1767" s="80" t="s">
        <v>9</v>
      </c>
      <c r="I1767" s="81" t="s">
        <v>825</v>
      </c>
      <c r="J1767" t="s">
        <v>6</v>
      </c>
    </row>
    <row r="1768" spans="3:10" hidden="1">
      <c r="C1768">
        <v>159000</v>
      </c>
      <c r="D1768" t="s">
        <v>48</v>
      </c>
      <c r="E1768" t="s">
        <v>830</v>
      </c>
      <c r="F1768" s="41"/>
      <c r="G1768" s="80" t="s">
        <v>18</v>
      </c>
      <c r="H1768" s="80" t="s">
        <v>9</v>
      </c>
      <c r="I1768" s="81" t="s">
        <v>830</v>
      </c>
      <c r="J1768" t="s">
        <v>6</v>
      </c>
    </row>
    <row r="1769" spans="3:10" hidden="1">
      <c r="C1769">
        <v>159001</v>
      </c>
      <c r="D1769" t="s">
        <v>831</v>
      </c>
      <c r="E1769" t="s">
        <v>832</v>
      </c>
      <c r="F1769" s="41"/>
      <c r="G1769" s="80" t="s">
        <v>18</v>
      </c>
      <c r="H1769" s="80" t="s">
        <v>9</v>
      </c>
      <c r="I1769" s="81" t="s">
        <v>830</v>
      </c>
      <c r="J1769" t="s">
        <v>6</v>
      </c>
    </row>
    <row r="1770" spans="3:10" hidden="1">
      <c r="C1770">
        <v>159002</v>
      </c>
      <c r="D1770" t="s">
        <v>833</v>
      </c>
      <c r="E1770" t="s">
        <v>834</v>
      </c>
      <c r="F1770" s="41"/>
      <c r="G1770" s="80" t="s">
        <v>18</v>
      </c>
      <c r="H1770" s="80" t="s">
        <v>9</v>
      </c>
      <c r="I1770" s="81" t="s">
        <v>830</v>
      </c>
      <c r="J1770" t="s">
        <v>6</v>
      </c>
    </row>
    <row r="1771" spans="3:10" hidden="1">
      <c r="C1771">
        <v>159003</v>
      </c>
      <c r="D1771" t="s">
        <v>831</v>
      </c>
      <c r="E1771" t="s">
        <v>835</v>
      </c>
      <c r="F1771" s="41"/>
      <c r="G1771" s="80" t="s">
        <v>18</v>
      </c>
      <c r="H1771" s="80" t="s">
        <v>9</v>
      </c>
      <c r="I1771" s="81" t="s">
        <v>830</v>
      </c>
      <c r="J1771" t="s">
        <v>6</v>
      </c>
    </row>
    <row r="1772" spans="3:10" hidden="1">
      <c r="C1772">
        <v>159004</v>
      </c>
      <c r="D1772" t="s">
        <v>831</v>
      </c>
      <c r="E1772" t="s">
        <v>836</v>
      </c>
      <c r="F1772" s="41"/>
      <c r="G1772" s="80" t="s">
        <v>18</v>
      </c>
      <c r="H1772" s="80" t="s">
        <v>9</v>
      </c>
      <c r="I1772" s="81" t="s">
        <v>830</v>
      </c>
      <c r="J1772" t="s">
        <v>6</v>
      </c>
    </row>
    <row r="1773" spans="3:10" hidden="1">
      <c r="C1773">
        <v>159005</v>
      </c>
      <c r="D1773" t="s">
        <v>831</v>
      </c>
      <c r="E1773" t="s">
        <v>837</v>
      </c>
      <c r="F1773" s="41"/>
      <c r="G1773" s="80" t="s">
        <v>18</v>
      </c>
      <c r="H1773" s="80" t="s">
        <v>9</v>
      </c>
      <c r="I1773" s="81" t="s">
        <v>830</v>
      </c>
      <c r="J1773" t="s">
        <v>6</v>
      </c>
    </row>
    <row r="1774" spans="3:10" hidden="1">
      <c r="C1774">
        <v>159006</v>
      </c>
      <c r="D1774" t="s">
        <v>831</v>
      </c>
      <c r="E1774" t="s">
        <v>838</v>
      </c>
      <c r="F1774" s="41"/>
      <c r="G1774" s="80" t="s">
        <v>18</v>
      </c>
      <c r="H1774" s="80" t="s">
        <v>9</v>
      </c>
      <c r="I1774" s="81" t="s">
        <v>830</v>
      </c>
      <c r="J1774" t="s">
        <v>6</v>
      </c>
    </row>
    <row r="1775" spans="3:10" hidden="1">
      <c r="C1775">
        <v>159007</v>
      </c>
      <c r="D1775" t="s">
        <v>49</v>
      </c>
      <c r="E1775" t="s">
        <v>57</v>
      </c>
      <c r="F1775" s="41"/>
      <c r="G1775" s="80" t="s">
        <v>18</v>
      </c>
      <c r="H1775" s="80" t="s">
        <v>9</v>
      </c>
      <c r="I1775" s="81" t="s">
        <v>830</v>
      </c>
      <c r="J1775" t="s">
        <v>6</v>
      </c>
    </row>
    <row r="1776" spans="3:10" hidden="1">
      <c r="C1776">
        <v>159008</v>
      </c>
      <c r="D1776" t="s">
        <v>58</v>
      </c>
      <c r="E1776" t="s">
        <v>59</v>
      </c>
      <c r="F1776" s="41"/>
      <c r="G1776" s="80" t="s">
        <v>18</v>
      </c>
      <c r="H1776" s="80" t="s">
        <v>9</v>
      </c>
      <c r="I1776" s="81" t="s">
        <v>830</v>
      </c>
      <c r="J1776" t="s">
        <v>6</v>
      </c>
    </row>
    <row r="1777" spans="3:10" hidden="1">
      <c r="C1777">
        <v>160000</v>
      </c>
      <c r="D1777" t="s">
        <v>48</v>
      </c>
      <c r="E1777" t="s">
        <v>839</v>
      </c>
      <c r="F1777" s="41"/>
      <c r="G1777" s="80" t="s">
        <v>8</v>
      </c>
      <c r="H1777" s="80" t="s">
        <v>9</v>
      </c>
      <c r="I1777" s="81" t="s">
        <v>839</v>
      </c>
      <c r="J1777" t="s">
        <v>6</v>
      </c>
    </row>
    <row r="1778" spans="3:10" hidden="1">
      <c r="C1778">
        <v>160001</v>
      </c>
      <c r="D1778" t="s">
        <v>49</v>
      </c>
      <c r="E1778" t="s">
        <v>840</v>
      </c>
      <c r="F1778" s="41"/>
      <c r="G1778" s="80" t="s">
        <v>8</v>
      </c>
      <c r="H1778" s="80" t="s">
        <v>9</v>
      </c>
      <c r="I1778" s="81" t="s">
        <v>839</v>
      </c>
      <c r="J1778" t="s">
        <v>6</v>
      </c>
    </row>
    <row r="1779" spans="3:10" hidden="1">
      <c r="C1779">
        <v>160002</v>
      </c>
      <c r="D1779" t="s">
        <v>49</v>
      </c>
      <c r="E1779" t="s">
        <v>841</v>
      </c>
      <c r="F1779" s="41"/>
      <c r="G1779" s="80" t="s">
        <v>8</v>
      </c>
      <c r="H1779" s="80" t="s">
        <v>9</v>
      </c>
      <c r="I1779" s="81" t="s">
        <v>839</v>
      </c>
      <c r="J1779" t="s">
        <v>6</v>
      </c>
    </row>
    <row r="1780" spans="3:10" hidden="1">
      <c r="C1780">
        <v>160003</v>
      </c>
      <c r="D1780" t="s">
        <v>49</v>
      </c>
      <c r="E1780" t="s">
        <v>842</v>
      </c>
      <c r="F1780" s="41"/>
      <c r="G1780" s="80" t="s">
        <v>8</v>
      </c>
      <c r="H1780" s="80" t="s">
        <v>9</v>
      </c>
      <c r="I1780" s="81" t="s">
        <v>839</v>
      </c>
      <c r="J1780" t="s">
        <v>6</v>
      </c>
    </row>
    <row r="1781" spans="3:10" hidden="1">
      <c r="C1781">
        <v>160004</v>
      </c>
      <c r="D1781" t="s">
        <v>49</v>
      </c>
      <c r="E1781" t="s">
        <v>843</v>
      </c>
      <c r="F1781" s="41"/>
      <c r="G1781" s="80" t="s">
        <v>8</v>
      </c>
      <c r="H1781" s="80" t="s">
        <v>9</v>
      </c>
      <c r="I1781" s="81" t="s">
        <v>839</v>
      </c>
      <c r="J1781" t="s">
        <v>6</v>
      </c>
    </row>
    <row r="1782" spans="3:10" hidden="1">
      <c r="C1782">
        <v>160005</v>
      </c>
      <c r="D1782" t="s">
        <v>49</v>
      </c>
      <c r="E1782" t="s">
        <v>844</v>
      </c>
      <c r="F1782" s="41"/>
      <c r="G1782" s="80" t="s">
        <v>8</v>
      </c>
      <c r="H1782" s="80" t="s">
        <v>9</v>
      </c>
      <c r="I1782" s="81" t="s">
        <v>839</v>
      </c>
      <c r="J1782" t="s">
        <v>6</v>
      </c>
    </row>
    <row r="1783" spans="3:10" hidden="1">
      <c r="C1783">
        <v>160006</v>
      </c>
      <c r="D1783" t="s">
        <v>49</v>
      </c>
      <c r="E1783" t="s">
        <v>80</v>
      </c>
      <c r="F1783" s="41"/>
      <c r="G1783" s="80" t="s">
        <v>8</v>
      </c>
      <c r="H1783" s="80" t="s">
        <v>9</v>
      </c>
      <c r="I1783" s="81" t="s">
        <v>839</v>
      </c>
      <c r="J1783" t="s">
        <v>6</v>
      </c>
    </row>
    <row r="1784" spans="3:10" hidden="1">
      <c r="C1784">
        <v>160007</v>
      </c>
      <c r="D1784" t="s">
        <v>49</v>
      </c>
      <c r="E1784" t="s">
        <v>845</v>
      </c>
      <c r="F1784" s="41"/>
      <c r="G1784" s="80" t="s">
        <v>8</v>
      </c>
      <c r="H1784" s="80" t="s">
        <v>9</v>
      </c>
      <c r="I1784" s="81" t="s">
        <v>839</v>
      </c>
      <c r="J1784" t="s">
        <v>6</v>
      </c>
    </row>
    <row r="1785" spans="3:10" hidden="1">
      <c r="C1785">
        <v>160008</v>
      </c>
      <c r="D1785" t="s">
        <v>49</v>
      </c>
      <c r="E1785" t="s">
        <v>81</v>
      </c>
      <c r="F1785" s="41"/>
      <c r="G1785" s="80" t="s">
        <v>8</v>
      </c>
      <c r="H1785" s="80" t="s">
        <v>9</v>
      </c>
      <c r="I1785" s="81" t="s">
        <v>839</v>
      </c>
      <c r="J1785" t="s">
        <v>6</v>
      </c>
    </row>
    <row r="1786" spans="3:10" hidden="1">
      <c r="C1786">
        <v>160009</v>
      </c>
      <c r="D1786" t="s">
        <v>49</v>
      </c>
      <c r="E1786" t="s">
        <v>82</v>
      </c>
      <c r="F1786" s="41"/>
      <c r="G1786" s="80" t="s">
        <v>8</v>
      </c>
      <c r="H1786" s="80" t="s">
        <v>9</v>
      </c>
      <c r="I1786" s="81" t="s">
        <v>839</v>
      </c>
      <c r="J1786" t="s">
        <v>6</v>
      </c>
    </row>
    <row r="1787" spans="3:10" hidden="1">
      <c r="C1787">
        <v>160010</v>
      </c>
      <c r="D1787" t="s">
        <v>49</v>
      </c>
      <c r="E1787" t="s">
        <v>846</v>
      </c>
      <c r="F1787" s="41"/>
      <c r="G1787" s="80" t="s">
        <v>8</v>
      </c>
      <c r="H1787" s="80" t="s">
        <v>9</v>
      </c>
      <c r="I1787" s="81" t="s">
        <v>839</v>
      </c>
      <c r="J1787" t="s">
        <v>6</v>
      </c>
    </row>
    <row r="1788" spans="3:10" hidden="1">
      <c r="C1788">
        <v>160011</v>
      </c>
      <c r="D1788" t="s">
        <v>49</v>
      </c>
      <c r="E1788" t="s">
        <v>847</v>
      </c>
      <c r="F1788" s="41"/>
      <c r="G1788" s="80" t="s">
        <v>8</v>
      </c>
      <c r="H1788" s="80" t="s">
        <v>9</v>
      </c>
      <c r="I1788" s="81" t="s">
        <v>839</v>
      </c>
      <c r="J1788" t="s">
        <v>6</v>
      </c>
    </row>
    <row r="1789" spans="3:10" hidden="1">
      <c r="C1789">
        <v>160012</v>
      </c>
      <c r="D1789" t="s">
        <v>49</v>
      </c>
      <c r="E1789" t="s">
        <v>848</v>
      </c>
      <c r="F1789" s="41"/>
      <c r="G1789" s="80" t="s">
        <v>8</v>
      </c>
      <c r="H1789" s="80" t="s">
        <v>9</v>
      </c>
      <c r="I1789" s="81" t="s">
        <v>839</v>
      </c>
      <c r="J1789" t="s">
        <v>6</v>
      </c>
    </row>
    <row r="1790" spans="3:10" hidden="1">
      <c r="C1790">
        <v>160013</v>
      </c>
      <c r="D1790" t="s">
        <v>49</v>
      </c>
      <c r="E1790" t="s">
        <v>849</v>
      </c>
      <c r="F1790" s="41"/>
      <c r="G1790" s="80" t="s">
        <v>8</v>
      </c>
      <c r="H1790" s="80" t="s">
        <v>9</v>
      </c>
      <c r="I1790" s="81" t="s">
        <v>839</v>
      </c>
      <c r="J1790" t="s">
        <v>6</v>
      </c>
    </row>
    <row r="1791" spans="3:10" hidden="1">
      <c r="C1791">
        <v>160014</v>
      </c>
      <c r="D1791" t="s">
        <v>49</v>
      </c>
      <c r="E1791" t="s">
        <v>850</v>
      </c>
      <c r="F1791" s="41"/>
      <c r="G1791" s="80" t="s">
        <v>8</v>
      </c>
      <c r="H1791" s="80" t="s">
        <v>9</v>
      </c>
      <c r="I1791" s="81" t="s">
        <v>839</v>
      </c>
      <c r="J1791" t="s">
        <v>6</v>
      </c>
    </row>
    <row r="1792" spans="3:10" hidden="1">
      <c r="C1792">
        <v>160015</v>
      </c>
      <c r="D1792" t="s">
        <v>49</v>
      </c>
      <c r="E1792" t="s">
        <v>851</v>
      </c>
      <c r="F1792" s="41"/>
      <c r="G1792" s="80" t="s">
        <v>8</v>
      </c>
      <c r="H1792" s="80" t="s">
        <v>9</v>
      </c>
      <c r="I1792" s="81" t="s">
        <v>839</v>
      </c>
      <c r="J1792" t="s">
        <v>6</v>
      </c>
    </row>
    <row r="1793" spans="3:10" hidden="1">
      <c r="C1793">
        <v>160016</v>
      </c>
      <c r="D1793" t="s">
        <v>49</v>
      </c>
      <c r="E1793" t="s">
        <v>57</v>
      </c>
      <c r="F1793" s="41"/>
      <c r="G1793" s="80" t="s">
        <v>8</v>
      </c>
      <c r="H1793" s="80" t="s">
        <v>9</v>
      </c>
      <c r="I1793" s="81" t="s">
        <v>839</v>
      </c>
      <c r="J1793" t="s">
        <v>6</v>
      </c>
    </row>
    <row r="1794" spans="3:10" hidden="1">
      <c r="C1794">
        <v>160017</v>
      </c>
      <c r="D1794" t="s">
        <v>58</v>
      </c>
      <c r="E1794" t="s">
        <v>59</v>
      </c>
      <c r="F1794" s="41"/>
      <c r="G1794" s="80" t="s">
        <v>8</v>
      </c>
      <c r="H1794" s="80" t="s">
        <v>9</v>
      </c>
      <c r="I1794" s="81" t="s">
        <v>839</v>
      </c>
      <c r="J1794" t="s">
        <v>6</v>
      </c>
    </row>
    <row r="1795" spans="3:10" hidden="1">
      <c r="C1795">
        <v>161000</v>
      </c>
      <c r="D1795" t="s">
        <v>119</v>
      </c>
      <c r="E1795" t="s">
        <v>1708</v>
      </c>
      <c r="F1795" s="41"/>
      <c r="G1795" s="80" t="s">
        <v>598</v>
      </c>
      <c r="H1795" s="80" t="s">
        <v>9</v>
      </c>
      <c r="I1795" s="81" t="s">
        <v>1708</v>
      </c>
      <c r="J1795" t="s">
        <v>6</v>
      </c>
    </row>
    <row r="1796" spans="3:10" hidden="1">
      <c r="C1796">
        <v>161001</v>
      </c>
      <c r="D1796" t="s">
        <v>120</v>
      </c>
      <c r="E1796" t="s">
        <v>853</v>
      </c>
      <c r="F1796" s="41"/>
      <c r="G1796" s="80" t="s">
        <v>598</v>
      </c>
      <c r="H1796" s="80" t="s">
        <v>9</v>
      </c>
      <c r="I1796" s="81" t="s">
        <v>1708</v>
      </c>
      <c r="J1796" t="s">
        <v>6</v>
      </c>
    </row>
    <row r="1797" spans="3:10" hidden="1">
      <c r="C1797">
        <v>161002</v>
      </c>
      <c r="D1797" t="s">
        <v>49</v>
      </c>
      <c r="E1797" t="s">
        <v>854</v>
      </c>
      <c r="F1797" s="41"/>
      <c r="G1797" s="80" t="s">
        <v>598</v>
      </c>
      <c r="H1797" s="80" t="s">
        <v>9</v>
      </c>
      <c r="I1797" s="81" t="s">
        <v>1708</v>
      </c>
      <c r="J1797" t="s">
        <v>6</v>
      </c>
    </row>
    <row r="1798" spans="3:10" hidden="1">
      <c r="C1798">
        <v>161003</v>
      </c>
      <c r="D1798" t="s">
        <v>49</v>
      </c>
      <c r="E1798" t="s">
        <v>855</v>
      </c>
      <c r="F1798" s="41"/>
      <c r="G1798" s="80" t="s">
        <v>598</v>
      </c>
      <c r="H1798" s="80" t="s">
        <v>9</v>
      </c>
      <c r="I1798" s="81" t="s">
        <v>1708</v>
      </c>
      <c r="J1798" t="s">
        <v>6</v>
      </c>
    </row>
    <row r="1799" spans="3:10" hidden="1">
      <c r="C1799">
        <v>161004</v>
      </c>
      <c r="D1799" t="s">
        <v>831</v>
      </c>
      <c r="E1799" t="s">
        <v>856</v>
      </c>
      <c r="F1799" s="41"/>
      <c r="G1799" s="80" t="s">
        <v>598</v>
      </c>
      <c r="H1799" s="80" t="s">
        <v>9</v>
      </c>
      <c r="I1799" s="81" t="s">
        <v>1708</v>
      </c>
      <c r="J1799" t="s">
        <v>6</v>
      </c>
    </row>
    <row r="1800" spans="3:10" hidden="1">
      <c r="C1800">
        <v>161005</v>
      </c>
      <c r="D1800" t="s">
        <v>831</v>
      </c>
      <c r="E1800" t="s">
        <v>857</v>
      </c>
      <c r="F1800" s="41"/>
      <c r="G1800" s="80" t="s">
        <v>598</v>
      </c>
      <c r="H1800" s="80" t="s">
        <v>9</v>
      </c>
      <c r="I1800" s="81" t="s">
        <v>1708</v>
      </c>
      <c r="J1800" t="s">
        <v>6</v>
      </c>
    </row>
    <row r="1801" spans="3:10" hidden="1">
      <c r="C1801">
        <v>161006</v>
      </c>
      <c r="D1801" t="s">
        <v>831</v>
      </c>
      <c r="E1801" t="s">
        <v>858</v>
      </c>
      <c r="F1801" s="41"/>
      <c r="G1801" s="80" t="s">
        <v>598</v>
      </c>
      <c r="H1801" s="80" t="s">
        <v>9</v>
      </c>
      <c r="I1801" s="81" t="s">
        <v>1708</v>
      </c>
      <c r="J1801" t="s">
        <v>6</v>
      </c>
    </row>
    <row r="1802" spans="3:10" hidden="1">
      <c r="C1802">
        <v>161007</v>
      </c>
      <c r="D1802" t="s">
        <v>831</v>
      </c>
      <c r="E1802" t="s">
        <v>859</v>
      </c>
      <c r="F1802" s="41"/>
      <c r="G1802" s="80" t="s">
        <v>598</v>
      </c>
      <c r="H1802" s="80" t="s">
        <v>9</v>
      </c>
      <c r="I1802" s="81" t="s">
        <v>1708</v>
      </c>
      <c r="J1802" t="s">
        <v>6</v>
      </c>
    </row>
    <row r="1803" spans="3:10" hidden="1">
      <c r="C1803">
        <v>161008</v>
      </c>
      <c r="D1803" t="s">
        <v>831</v>
      </c>
      <c r="E1803" t="s">
        <v>860</v>
      </c>
      <c r="F1803" s="41"/>
      <c r="G1803" s="80" t="s">
        <v>598</v>
      </c>
      <c r="H1803" s="80" t="s">
        <v>9</v>
      </c>
      <c r="I1803" s="81" t="s">
        <v>1708</v>
      </c>
      <c r="J1803" t="s">
        <v>6</v>
      </c>
    </row>
    <row r="1804" spans="3:10" hidden="1">
      <c r="C1804">
        <v>161009</v>
      </c>
      <c r="D1804" t="s">
        <v>861</v>
      </c>
      <c r="E1804" t="s">
        <v>862</v>
      </c>
      <c r="F1804" s="41"/>
      <c r="G1804" s="80" t="s">
        <v>598</v>
      </c>
      <c r="H1804" s="80" t="s">
        <v>9</v>
      </c>
      <c r="I1804" s="81" t="s">
        <v>1708</v>
      </c>
      <c r="J1804" t="s">
        <v>6</v>
      </c>
    </row>
    <row r="1805" spans="3:10" hidden="1">
      <c r="C1805">
        <v>161010</v>
      </c>
      <c r="D1805" t="s">
        <v>831</v>
      </c>
      <c r="E1805" t="s">
        <v>863</v>
      </c>
      <c r="F1805" s="41"/>
      <c r="G1805" s="80" t="s">
        <v>598</v>
      </c>
      <c r="H1805" s="80" t="s">
        <v>9</v>
      </c>
      <c r="I1805" s="81" t="s">
        <v>1708</v>
      </c>
      <c r="J1805" t="s">
        <v>6</v>
      </c>
    </row>
    <row r="1806" spans="3:10" hidden="1">
      <c r="C1806">
        <v>161011</v>
      </c>
      <c r="D1806" t="s">
        <v>831</v>
      </c>
      <c r="E1806" t="s">
        <v>864</v>
      </c>
      <c r="F1806" s="41"/>
      <c r="G1806" s="80" t="s">
        <v>598</v>
      </c>
      <c r="H1806" s="80" t="s">
        <v>9</v>
      </c>
      <c r="I1806" s="81" t="s">
        <v>1708</v>
      </c>
      <c r="J1806" t="s">
        <v>6</v>
      </c>
    </row>
    <row r="1807" spans="3:10" hidden="1">
      <c r="C1807">
        <v>161012</v>
      </c>
      <c r="D1807" t="s">
        <v>831</v>
      </c>
      <c r="E1807" t="s">
        <v>865</v>
      </c>
      <c r="F1807" s="41"/>
      <c r="G1807" s="80" t="s">
        <v>598</v>
      </c>
      <c r="H1807" s="80" t="s">
        <v>9</v>
      </c>
      <c r="I1807" s="81" t="s">
        <v>1708</v>
      </c>
      <c r="J1807" t="s">
        <v>6</v>
      </c>
    </row>
    <row r="1808" spans="3:10" hidden="1">
      <c r="C1808">
        <v>161013</v>
      </c>
      <c r="D1808" t="s">
        <v>831</v>
      </c>
      <c r="E1808" t="s">
        <v>866</v>
      </c>
      <c r="F1808" s="41"/>
      <c r="G1808" s="80" t="s">
        <v>598</v>
      </c>
      <c r="H1808" s="80" t="s">
        <v>9</v>
      </c>
      <c r="I1808" s="81" t="s">
        <v>1708</v>
      </c>
      <c r="J1808" t="s">
        <v>6</v>
      </c>
    </row>
    <row r="1809" spans="3:10" hidden="1">
      <c r="C1809">
        <v>161014</v>
      </c>
      <c r="D1809" t="s">
        <v>831</v>
      </c>
      <c r="E1809" t="s">
        <v>867</v>
      </c>
      <c r="F1809" s="41"/>
      <c r="G1809" s="80" t="s">
        <v>598</v>
      </c>
      <c r="H1809" s="80" t="s">
        <v>9</v>
      </c>
      <c r="I1809" s="81" t="s">
        <v>1708</v>
      </c>
      <c r="J1809" t="s">
        <v>6</v>
      </c>
    </row>
    <row r="1810" spans="3:10" hidden="1">
      <c r="C1810">
        <v>161015</v>
      </c>
      <c r="D1810" t="s">
        <v>861</v>
      </c>
      <c r="E1810" t="s">
        <v>868</v>
      </c>
      <c r="F1810" s="41"/>
      <c r="G1810" s="80" t="s">
        <v>598</v>
      </c>
      <c r="H1810" s="80" t="s">
        <v>9</v>
      </c>
      <c r="I1810" s="81" t="s">
        <v>1708</v>
      </c>
      <c r="J1810" t="s">
        <v>6</v>
      </c>
    </row>
    <row r="1811" spans="3:10" hidden="1">
      <c r="C1811">
        <v>161016</v>
      </c>
      <c r="D1811" t="s">
        <v>831</v>
      </c>
      <c r="E1811" t="s">
        <v>869</v>
      </c>
      <c r="F1811" s="41"/>
      <c r="G1811" s="80" t="s">
        <v>598</v>
      </c>
      <c r="H1811" s="80" t="s">
        <v>9</v>
      </c>
      <c r="I1811" s="81" t="s">
        <v>1708</v>
      </c>
      <c r="J1811" t="s">
        <v>6</v>
      </c>
    </row>
    <row r="1812" spans="3:10" hidden="1">
      <c r="C1812">
        <v>161017</v>
      </c>
      <c r="D1812" t="s">
        <v>831</v>
      </c>
      <c r="E1812" t="s">
        <v>870</v>
      </c>
      <c r="F1812" s="41"/>
      <c r="G1812" s="80" t="s">
        <v>598</v>
      </c>
      <c r="H1812" s="80" t="s">
        <v>9</v>
      </c>
      <c r="I1812" s="81" t="s">
        <v>1708</v>
      </c>
      <c r="J1812" t="s">
        <v>6</v>
      </c>
    </row>
    <row r="1813" spans="3:10" hidden="1">
      <c r="C1813">
        <v>161018</v>
      </c>
      <c r="D1813" t="s">
        <v>831</v>
      </c>
      <c r="E1813" t="s">
        <v>871</v>
      </c>
      <c r="F1813" s="41"/>
      <c r="G1813" s="80" t="s">
        <v>598</v>
      </c>
      <c r="H1813" s="80" t="s">
        <v>9</v>
      </c>
      <c r="I1813" s="81" t="s">
        <v>1708</v>
      </c>
      <c r="J1813" t="s">
        <v>6</v>
      </c>
    </row>
    <row r="1814" spans="3:10" hidden="1">
      <c r="C1814">
        <v>161019</v>
      </c>
      <c r="D1814" t="s">
        <v>831</v>
      </c>
      <c r="E1814" t="s">
        <v>872</v>
      </c>
      <c r="F1814" s="41"/>
      <c r="G1814" s="80" t="s">
        <v>598</v>
      </c>
      <c r="H1814" s="80" t="s">
        <v>9</v>
      </c>
      <c r="I1814" s="81" t="s">
        <v>1708</v>
      </c>
      <c r="J1814" t="s">
        <v>6</v>
      </c>
    </row>
    <row r="1815" spans="3:10" hidden="1">
      <c r="C1815">
        <v>161020</v>
      </c>
      <c r="D1815" t="s">
        <v>831</v>
      </c>
      <c r="E1815" t="s">
        <v>873</v>
      </c>
      <c r="F1815" s="41"/>
      <c r="G1815" s="80" t="s">
        <v>598</v>
      </c>
      <c r="H1815" s="80" t="s">
        <v>9</v>
      </c>
      <c r="I1815" s="81" t="s">
        <v>1708</v>
      </c>
      <c r="J1815" t="s">
        <v>6</v>
      </c>
    </row>
    <row r="1816" spans="3:10" hidden="1">
      <c r="C1816">
        <v>161021</v>
      </c>
      <c r="D1816" t="s">
        <v>831</v>
      </c>
      <c r="E1816" t="s">
        <v>874</v>
      </c>
      <c r="F1816" s="41"/>
      <c r="G1816" s="80" t="s">
        <v>598</v>
      </c>
      <c r="H1816" s="80" t="s">
        <v>9</v>
      </c>
      <c r="I1816" s="81" t="s">
        <v>1708</v>
      </c>
      <c r="J1816" t="s">
        <v>6</v>
      </c>
    </row>
    <row r="1817" spans="3:10" hidden="1">
      <c r="C1817">
        <v>161022</v>
      </c>
      <c r="D1817" t="s">
        <v>861</v>
      </c>
      <c r="E1817" t="s">
        <v>875</v>
      </c>
      <c r="F1817" s="41"/>
      <c r="G1817" s="80" t="s">
        <v>598</v>
      </c>
      <c r="H1817" s="80" t="s">
        <v>9</v>
      </c>
      <c r="I1817" s="81" t="s">
        <v>1708</v>
      </c>
      <c r="J1817" t="s">
        <v>6</v>
      </c>
    </row>
    <row r="1818" spans="3:10" hidden="1">
      <c r="C1818">
        <v>161023</v>
      </c>
      <c r="D1818" t="s">
        <v>831</v>
      </c>
      <c r="E1818" t="s">
        <v>876</v>
      </c>
      <c r="F1818" s="41"/>
      <c r="G1818" s="80" t="s">
        <v>598</v>
      </c>
      <c r="H1818" s="80" t="s">
        <v>9</v>
      </c>
      <c r="I1818" s="81" t="s">
        <v>1708</v>
      </c>
      <c r="J1818" t="s">
        <v>6</v>
      </c>
    </row>
    <row r="1819" spans="3:10" hidden="1">
      <c r="C1819">
        <v>161024</v>
      </c>
      <c r="D1819" t="s">
        <v>831</v>
      </c>
      <c r="E1819" t="s">
        <v>877</v>
      </c>
      <c r="F1819" s="41"/>
      <c r="G1819" s="80" t="s">
        <v>598</v>
      </c>
      <c r="H1819" s="80" t="s">
        <v>9</v>
      </c>
      <c r="I1819" s="81" t="s">
        <v>1708</v>
      </c>
      <c r="J1819" t="s">
        <v>6</v>
      </c>
    </row>
    <row r="1820" spans="3:10" hidden="1">
      <c r="C1820">
        <v>161025</v>
      </c>
      <c r="D1820" t="s">
        <v>831</v>
      </c>
      <c r="E1820" t="s">
        <v>878</v>
      </c>
      <c r="F1820" s="41"/>
      <c r="G1820" s="80" t="s">
        <v>598</v>
      </c>
      <c r="H1820" s="80" t="s">
        <v>9</v>
      </c>
      <c r="I1820" s="81" t="s">
        <v>1708</v>
      </c>
      <c r="J1820" t="s">
        <v>6</v>
      </c>
    </row>
    <row r="1821" spans="3:10" hidden="1">
      <c r="C1821">
        <v>161026</v>
      </c>
      <c r="D1821" t="s">
        <v>831</v>
      </c>
      <c r="E1821" t="s">
        <v>879</v>
      </c>
      <c r="F1821" s="41"/>
      <c r="G1821" s="80" t="s">
        <v>598</v>
      </c>
      <c r="H1821" s="80" t="s">
        <v>9</v>
      </c>
      <c r="I1821" s="81" t="s">
        <v>1708</v>
      </c>
      <c r="J1821" t="s">
        <v>6</v>
      </c>
    </row>
    <row r="1822" spans="3:10" hidden="1">
      <c r="C1822">
        <v>161027</v>
      </c>
      <c r="D1822" t="s">
        <v>831</v>
      </c>
      <c r="E1822" t="s">
        <v>880</v>
      </c>
      <c r="F1822" s="41"/>
      <c r="G1822" s="80" t="s">
        <v>598</v>
      </c>
      <c r="H1822" s="80" t="s">
        <v>9</v>
      </c>
      <c r="I1822" s="81" t="s">
        <v>1708</v>
      </c>
      <c r="J1822" t="s">
        <v>6</v>
      </c>
    </row>
    <row r="1823" spans="3:10" hidden="1">
      <c r="C1823">
        <v>161028</v>
      </c>
      <c r="D1823" t="s">
        <v>831</v>
      </c>
      <c r="E1823" t="s">
        <v>881</v>
      </c>
      <c r="F1823" s="41"/>
      <c r="G1823" s="80" t="s">
        <v>598</v>
      </c>
      <c r="H1823" s="80" t="s">
        <v>9</v>
      </c>
      <c r="I1823" s="81" t="s">
        <v>1708</v>
      </c>
      <c r="J1823" t="s">
        <v>6</v>
      </c>
    </row>
    <row r="1824" spans="3:10" hidden="1">
      <c r="C1824">
        <v>161029</v>
      </c>
      <c r="D1824" t="s">
        <v>831</v>
      </c>
      <c r="E1824" t="s">
        <v>882</v>
      </c>
      <c r="F1824" s="41"/>
      <c r="G1824" s="80" t="s">
        <v>598</v>
      </c>
      <c r="H1824" s="80" t="s">
        <v>9</v>
      </c>
      <c r="I1824" s="81" t="s">
        <v>1708</v>
      </c>
      <c r="J1824" t="s">
        <v>6</v>
      </c>
    </row>
    <row r="1825" spans="3:10" hidden="1">
      <c r="C1825">
        <v>161030</v>
      </c>
      <c r="D1825" t="s">
        <v>58</v>
      </c>
      <c r="E1825" t="s">
        <v>883</v>
      </c>
      <c r="F1825" s="41"/>
      <c r="G1825" s="80" t="s">
        <v>598</v>
      </c>
      <c r="H1825" s="80" t="s">
        <v>9</v>
      </c>
      <c r="I1825" s="81" t="s">
        <v>1708</v>
      </c>
      <c r="J1825" t="s">
        <v>6</v>
      </c>
    </row>
    <row r="1826" spans="3:10" hidden="1">
      <c r="C1826">
        <v>161031</v>
      </c>
      <c r="D1826" t="s">
        <v>49</v>
      </c>
      <c r="E1826" t="s">
        <v>57</v>
      </c>
      <c r="F1826" s="41"/>
      <c r="G1826" s="80" t="s">
        <v>598</v>
      </c>
      <c r="H1826" s="80" t="s">
        <v>9</v>
      </c>
      <c r="I1826" s="81" t="s">
        <v>1708</v>
      </c>
      <c r="J1826" t="s">
        <v>6</v>
      </c>
    </row>
    <row r="1827" spans="3:10" hidden="1">
      <c r="C1827">
        <v>161032</v>
      </c>
      <c r="D1827" t="s">
        <v>58</v>
      </c>
      <c r="E1827" t="s">
        <v>59</v>
      </c>
      <c r="F1827" s="41"/>
      <c r="G1827" s="80" t="s">
        <v>598</v>
      </c>
      <c r="H1827" s="80" t="s">
        <v>9</v>
      </c>
      <c r="I1827" s="81" t="s">
        <v>1708</v>
      </c>
      <c r="J1827" t="s">
        <v>6</v>
      </c>
    </row>
    <row r="1828" spans="3:10" hidden="1">
      <c r="C1828">
        <v>162000</v>
      </c>
      <c r="D1828" t="s">
        <v>48</v>
      </c>
      <c r="E1828" t="s">
        <v>884</v>
      </c>
      <c r="F1828" s="41"/>
      <c r="G1828" s="80" t="s">
        <v>22</v>
      </c>
      <c r="H1828" s="80" t="s">
        <v>9</v>
      </c>
      <c r="I1828" s="81" t="s">
        <v>884</v>
      </c>
      <c r="J1828" t="s">
        <v>6</v>
      </c>
    </row>
    <row r="1829" spans="3:10" hidden="1">
      <c r="C1829">
        <v>162001</v>
      </c>
      <c r="D1829" t="s">
        <v>49</v>
      </c>
      <c r="E1829" t="s">
        <v>540</v>
      </c>
      <c r="F1829" s="41"/>
      <c r="G1829" s="80" t="s">
        <v>22</v>
      </c>
      <c r="H1829" s="80" t="s">
        <v>9</v>
      </c>
      <c r="I1829" s="81" t="s">
        <v>884</v>
      </c>
      <c r="J1829" t="s">
        <v>6</v>
      </c>
    </row>
    <row r="1830" spans="3:10" hidden="1">
      <c r="C1830">
        <v>162002</v>
      </c>
      <c r="D1830" t="s">
        <v>49</v>
      </c>
      <c r="E1830" t="s">
        <v>541</v>
      </c>
      <c r="F1830" s="41"/>
      <c r="G1830" s="80" t="s">
        <v>22</v>
      </c>
      <c r="H1830" s="80" t="s">
        <v>9</v>
      </c>
      <c r="I1830" s="81" t="s">
        <v>884</v>
      </c>
      <c r="J1830" t="s">
        <v>6</v>
      </c>
    </row>
    <row r="1831" spans="3:10" hidden="1">
      <c r="C1831">
        <v>162003</v>
      </c>
      <c r="D1831" t="s">
        <v>49</v>
      </c>
      <c r="E1831" t="s">
        <v>542</v>
      </c>
      <c r="F1831" s="41"/>
      <c r="G1831" s="80" t="s">
        <v>22</v>
      </c>
      <c r="H1831" s="80" t="s">
        <v>9</v>
      </c>
      <c r="I1831" s="81" t="s">
        <v>884</v>
      </c>
      <c r="J1831" t="s">
        <v>6</v>
      </c>
    </row>
    <row r="1832" spans="3:10" hidden="1">
      <c r="C1832">
        <v>162004</v>
      </c>
      <c r="D1832" t="s">
        <v>49</v>
      </c>
      <c r="E1832" t="s">
        <v>543</v>
      </c>
      <c r="F1832" s="41"/>
      <c r="G1832" s="80" t="s">
        <v>22</v>
      </c>
      <c r="H1832" s="80" t="s">
        <v>9</v>
      </c>
      <c r="I1832" s="81" t="s">
        <v>884</v>
      </c>
      <c r="J1832" t="s">
        <v>6</v>
      </c>
    </row>
    <row r="1833" spans="3:10" hidden="1">
      <c r="C1833">
        <v>162005</v>
      </c>
      <c r="D1833" t="s">
        <v>49</v>
      </c>
      <c r="E1833" t="s">
        <v>544</v>
      </c>
      <c r="F1833" s="41"/>
      <c r="G1833" s="80" t="s">
        <v>22</v>
      </c>
      <c r="H1833" s="80" t="s">
        <v>9</v>
      </c>
      <c r="I1833" s="81" t="s">
        <v>884</v>
      </c>
      <c r="J1833" t="s">
        <v>6</v>
      </c>
    </row>
    <row r="1834" spans="3:10" hidden="1">
      <c r="C1834">
        <v>162006</v>
      </c>
      <c r="D1834" t="s">
        <v>49</v>
      </c>
      <c r="E1834" t="s">
        <v>545</v>
      </c>
      <c r="F1834" s="41"/>
      <c r="G1834" s="80" t="s">
        <v>22</v>
      </c>
      <c r="H1834" s="80" t="s">
        <v>9</v>
      </c>
      <c r="I1834" s="81" t="s">
        <v>884</v>
      </c>
      <c r="J1834" t="s">
        <v>6</v>
      </c>
    </row>
    <row r="1835" spans="3:10" hidden="1">
      <c r="C1835">
        <v>162007</v>
      </c>
      <c r="D1835" t="s">
        <v>49</v>
      </c>
      <c r="E1835" t="s">
        <v>546</v>
      </c>
      <c r="F1835" s="41"/>
      <c r="G1835" s="80" t="s">
        <v>22</v>
      </c>
      <c r="H1835" s="80" t="s">
        <v>9</v>
      </c>
      <c r="I1835" s="81" t="s">
        <v>884</v>
      </c>
      <c r="J1835" t="s">
        <v>6</v>
      </c>
    </row>
    <row r="1836" spans="3:10" hidden="1">
      <c r="C1836">
        <v>162008</v>
      </c>
      <c r="D1836" t="s">
        <v>49</v>
      </c>
      <c r="E1836" t="s">
        <v>57</v>
      </c>
      <c r="F1836" s="41"/>
      <c r="G1836" s="80" t="s">
        <v>22</v>
      </c>
      <c r="H1836" s="80" t="s">
        <v>9</v>
      </c>
      <c r="I1836" s="81" t="s">
        <v>884</v>
      </c>
      <c r="J1836" t="s">
        <v>6</v>
      </c>
    </row>
    <row r="1837" spans="3:10" hidden="1">
      <c r="C1837">
        <v>162009</v>
      </c>
      <c r="D1837" t="s">
        <v>58</v>
      </c>
      <c r="E1837" t="s">
        <v>59</v>
      </c>
      <c r="F1837" s="41"/>
      <c r="G1837" s="80" t="s">
        <v>22</v>
      </c>
      <c r="H1837" s="80" t="s">
        <v>9</v>
      </c>
      <c r="I1837" s="81" t="s">
        <v>884</v>
      </c>
      <c r="J1837" t="s">
        <v>6</v>
      </c>
    </row>
    <row r="1838" spans="3:10" hidden="1">
      <c r="C1838">
        <v>163000</v>
      </c>
      <c r="D1838" t="s">
        <v>48</v>
      </c>
      <c r="E1838" t="s">
        <v>885</v>
      </c>
      <c r="F1838" s="41"/>
      <c r="G1838" s="80" t="s">
        <v>22</v>
      </c>
      <c r="H1838" s="80" t="s">
        <v>9</v>
      </c>
      <c r="I1838" s="81" t="s">
        <v>885</v>
      </c>
      <c r="J1838" t="s">
        <v>6</v>
      </c>
    </row>
    <row r="1839" spans="3:10" hidden="1">
      <c r="C1839">
        <v>163001</v>
      </c>
      <c r="D1839" t="s">
        <v>49</v>
      </c>
      <c r="E1839" t="s">
        <v>886</v>
      </c>
      <c r="F1839" s="41"/>
      <c r="G1839" s="80" t="s">
        <v>22</v>
      </c>
      <c r="H1839" s="80" t="s">
        <v>9</v>
      </c>
      <c r="I1839" s="81" t="s">
        <v>885</v>
      </c>
      <c r="J1839" t="s">
        <v>6</v>
      </c>
    </row>
    <row r="1840" spans="3:10" hidden="1">
      <c r="C1840">
        <v>163002</v>
      </c>
      <c r="D1840" t="s">
        <v>49</v>
      </c>
      <c r="E1840" t="s">
        <v>887</v>
      </c>
      <c r="F1840" s="41"/>
      <c r="G1840" s="80" t="s">
        <v>22</v>
      </c>
      <c r="H1840" s="80" t="s">
        <v>9</v>
      </c>
      <c r="I1840" s="81" t="s">
        <v>885</v>
      </c>
      <c r="J1840" t="s">
        <v>6</v>
      </c>
    </row>
    <row r="1841" spans="3:10" hidden="1">
      <c r="C1841">
        <v>163003</v>
      </c>
      <c r="D1841" t="s">
        <v>49</v>
      </c>
      <c r="E1841" t="s">
        <v>888</v>
      </c>
      <c r="F1841" s="41"/>
      <c r="G1841" s="80" t="s">
        <v>22</v>
      </c>
      <c r="H1841" s="80" t="s">
        <v>9</v>
      </c>
      <c r="I1841" s="81" t="s">
        <v>885</v>
      </c>
      <c r="J1841" t="s">
        <v>6</v>
      </c>
    </row>
    <row r="1842" spans="3:10" hidden="1">
      <c r="C1842">
        <v>163004</v>
      </c>
      <c r="D1842" t="s">
        <v>49</v>
      </c>
      <c r="E1842" t="s">
        <v>1709</v>
      </c>
      <c r="F1842" s="41"/>
      <c r="G1842" s="80" t="s">
        <v>22</v>
      </c>
      <c r="H1842" s="80" t="s">
        <v>9</v>
      </c>
      <c r="I1842" s="81" t="s">
        <v>885</v>
      </c>
      <c r="J1842" t="s">
        <v>6</v>
      </c>
    </row>
    <row r="1843" spans="3:10" hidden="1">
      <c r="C1843">
        <v>163005</v>
      </c>
      <c r="D1843" t="s">
        <v>49</v>
      </c>
      <c r="E1843" t="s">
        <v>890</v>
      </c>
      <c r="F1843" s="41"/>
      <c r="G1843" s="80" t="s">
        <v>22</v>
      </c>
      <c r="H1843" s="80" t="s">
        <v>9</v>
      </c>
      <c r="I1843" s="81" t="s">
        <v>885</v>
      </c>
      <c r="J1843" t="s">
        <v>6</v>
      </c>
    </row>
    <row r="1844" spans="3:10" hidden="1">
      <c r="C1844">
        <v>163006</v>
      </c>
      <c r="D1844" t="s">
        <v>49</v>
      </c>
      <c r="E1844" t="s">
        <v>891</v>
      </c>
      <c r="F1844" s="41"/>
      <c r="G1844" s="80" t="s">
        <v>22</v>
      </c>
      <c r="H1844" s="80" t="s">
        <v>9</v>
      </c>
      <c r="I1844" s="81" t="s">
        <v>885</v>
      </c>
      <c r="J1844" t="s">
        <v>6</v>
      </c>
    </row>
    <row r="1845" spans="3:10" hidden="1">
      <c r="C1845">
        <v>163007</v>
      </c>
      <c r="D1845" t="s">
        <v>49</v>
      </c>
      <c r="E1845" t="s">
        <v>892</v>
      </c>
      <c r="F1845" s="41"/>
      <c r="G1845" s="80" t="s">
        <v>22</v>
      </c>
      <c r="H1845" s="80" t="s">
        <v>9</v>
      </c>
      <c r="I1845" s="81" t="s">
        <v>885</v>
      </c>
      <c r="J1845" t="s">
        <v>6</v>
      </c>
    </row>
    <row r="1846" spans="3:10" hidden="1">
      <c r="C1846">
        <v>163008</v>
      </c>
      <c r="D1846" t="s">
        <v>49</v>
      </c>
      <c r="E1846" t="s">
        <v>57</v>
      </c>
      <c r="F1846" s="41"/>
      <c r="G1846" s="80" t="s">
        <v>22</v>
      </c>
      <c r="H1846" s="80" t="s">
        <v>9</v>
      </c>
      <c r="I1846" s="81" t="s">
        <v>885</v>
      </c>
      <c r="J1846" t="s">
        <v>6</v>
      </c>
    </row>
    <row r="1847" spans="3:10" hidden="1">
      <c r="C1847">
        <v>163009</v>
      </c>
      <c r="D1847" t="s">
        <v>58</v>
      </c>
      <c r="E1847" t="s">
        <v>59</v>
      </c>
      <c r="F1847" s="41"/>
      <c r="G1847" s="80" t="s">
        <v>22</v>
      </c>
      <c r="H1847" s="80" t="s">
        <v>9</v>
      </c>
      <c r="I1847" s="81" t="s">
        <v>885</v>
      </c>
      <c r="J1847" t="s">
        <v>6</v>
      </c>
    </row>
    <row r="1848" spans="3:10" hidden="1">
      <c r="C1848">
        <v>164000</v>
      </c>
      <c r="D1848" t="s">
        <v>48</v>
      </c>
      <c r="E1848" t="s">
        <v>893</v>
      </c>
      <c r="F1848" s="41"/>
      <c r="G1848" s="80" t="s">
        <v>22</v>
      </c>
      <c r="H1848" s="80" t="s">
        <v>9</v>
      </c>
      <c r="I1848" s="81" t="s">
        <v>893</v>
      </c>
      <c r="J1848" t="s">
        <v>6</v>
      </c>
    </row>
    <row r="1849" spans="3:10" hidden="1">
      <c r="C1849">
        <v>164001</v>
      </c>
      <c r="D1849" t="s">
        <v>49</v>
      </c>
      <c r="E1849" t="s">
        <v>894</v>
      </c>
      <c r="F1849" s="41"/>
      <c r="G1849" s="80" t="s">
        <v>22</v>
      </c>
      <c r="H1849" s="80" t="s">
        <v>9</v>
      </c>
      <c r="I1849" s="81" t="s">
        <v>893</v>
      </c>
      <c r="J1849" t="s">
        <v>6</v>
      </c>
    </row>
    <row r="1850" spans="3:10" hidden="1">
      <c r="C1850">
        <v>164002</v>
      </c>
      <c r="D1850" t="s">
        <v>49</v>
      </c>
      <c r="E1850" t="s">
        <v>895</v>
      </c>
      <c r="F1850" s="41"/>
      <c r="G1850" s="80" t="s">
        <v>22</v>
      </c>
      <c r="H1850" s="80" t="s">
        <v>9</v>
      </c>
      <c r="I1850" s="81" t="s">
        <v>893</v>
      </c>
      <c r="J1850" t="s">
        <v>6</v>
      </c>
    </row>
    <row r="1851" spans="3:10" hidden="1">
      <c r="C1851">
        <v>164003</v>
      </c>
      <c r="D1851" t="s">
        <v>49</v>
      </c>
      <c r="E1851" t="s">
        <v>896</v>
      </c>
      <c r="F1851" s="41"/>
      <c r="G1851" s="80" t="s">
        <v>22</v>
      </c>
      <c r="H1851" s="80" t="s">
        <v>9</v>
      </c>
      <c r="I1851" s="81" t="s">
        <v>893</v>
      </c>
      <c r="J1851" t="s">
        <v>6</v>
      </c>
    </row>
    <row r="1852" spans="3:10" hidden="1">
      <c r="C1852">
        <v>164004</v>
      </c>
      <c r="D1852" t="s">
        <v>49</v>
      </c>
      <c r="E1852" t="s">
        <v>897</v>
      </c>
      <c r="F1852" s="41"/>
      <c r="G1852" s="80" t="s">
        <v>22</v>
      </c>
      <c r="H1852" s="80" t="s">
        <v>9</v>
      </c>
      <c r="I1852" s="81" t="s">
        <v>893</v>
      </c>
      <c r="J1852" t="s">
        <v>6</v>
      </c>
    </row>
    <row r="1853" spans="3:10" hidden="1">
      <c r="C1853">
        <v>164005</v>
      </c>
      <c r="D1853" t="s">
        <v>49</v>
      </c>
      <c r="E1853" t="s">
        <v>1710</v>
      </c>
      <c r="F1853" s="41"/>
      <c r="G1853" s="80" t="s">
        <v>22</v>
      </c>
      <c r="H1853" s="80" t="s">
        <v>9</v>
      </c>
      <c r="I1853" s="81" t="s">
        <v>893</v>
      </c>
      <c r="J1853" t="s">
        <v>6</v>
      </c>
    </row>
    <row r="1854" spans="3:10" hidden="1">
      <c r="C1854">
        <v>164006</v>
      </c>
      <c r="D1854" t="s">
        <v>49</v>
      </c>
      <c r="E1854" t="s">
        <v>57</v>
      </c>
      <c r="F1854" s="41"/>
      <c r="G1854" s="80" t="s">
        <v>22</v>
      </c>
      <c r="H1854" s="80" t="s">
        <v>9</v>
      </c>
      <c r="I1854" s="81" t="s">
        <v>893</v>
      </c>
      <c r="J1854" t="s">
        <v>6</v>
      </c>
    </row>
    <row r="1855" spans="3:10" hidden="1">
      <c r="C1855">
        <v>164007</v>
      </c>
      <c r="D1855" t="s">
        <v>58</v>
      </c>
      <c r="E1855" t="s">
        <v>59</v>
      </c>
      <c r="F1855" s="41"/>
      <c r="G1855" s="80" t="s">
        <v>22</v>
      </c>
      <c r="H1855" s="80" t="s">
        <v>9</v>
      </c>
      <c r="I1855" s="81" t="s">
        <v>893</v>
      </c>
      <c r="J1855" t="s">
        <v>6</v>
      </c>
    </row>
    <row r="1856" spans="3:10" hidden="1">
      <c r="C1856">
        <v>165000</v>
      </c>
      <c r="D1856" t="s">
        <v>48</v>
      </c>
      <c r="E1856" t="s">
        <v>899</v>
      </c>
      <c r="F1856" s="41"/>
      <c r="G1856" s="80" t="s">
        <v>22</v>
      </c>
      <c r="H1856" s="80" t="s">
        <v>9</v>
      </c>
      <c r="I1856" s="81" t="s">
        <v>899</v>
      </c>
      <c r="J1856" t="s">
        <v>6</v>
      </c>
    </row>
    <row r="1857" spans="3:10" hidden="1">
      <c r="C1857">
        <v>165001</v>
      </c>
      <c r="D1857" t="s">
        <v>49</v>
      </c>
      <c r="E1857" t="s">
        <v>900</v>
      </c>
      <c r="F1857" s="41"/>
      <c r="G1857" s="80" t="s">
        <v>22</v>
      </c>
      <c r="H1857" s="80" t="s">
        <v>9</v>
      </c>
      <c r="I1857" s="81" t="s">
        <v>899</v>
      </c>
      <c r="J1857" t="s">
        <v>6</v>
      </c>
    </row>
    <row r="1858" spans="3:10" hidden="1">
      <c r="C1858">
        <v>165002</v>
      </c>
      <c r="D1858" t="s">
        <v>901</v>
      </c>
      <c r="E1858" t="s">
        <v>902</v>
      </c>
      <c r="F1858" s="41"/>
      <c r="G1858" s="80" t="s">
        <v>22</v>
      </c>
      <c r="H1858" s="80" t="s">
        <v>9</v>
      </c>
      <c r="I1858" s="81" t="s">
        <v>899</v>
      </c>
      <c r="J1858" t="s">
        <v>6</v>
      </c>
    </row>
    <row r="1859" spans="3:10" hidden="1">
      <c r="C1859">
        <v>165003</v>
      </c>
      <c r="D1859" t="s">
        <v>49</v>
      </c>
      <c r="E1859" t="s">
        <v>903</v>
      </c>
      <c r="F1859" s="41"/>
      <c r="G1859" s="80" t="s">
        <v>22</v>
      </c>
      <c r="H1859" s="80" t="s">
        <v>9</v>
      </c>
      <c r="I1859" s="81" t="s">
        <v>899</v>
      </c>
      <c r="J1859" t="s">
        <v>6</v>
      </c>
    </row>
    <row r="1860" spans="3:10" hidden="1">
      <c r="C1860">
        <v>165004</v>
      </c>
      <c r="D1860" t="s">
        <v>49</v>
      </c>
      <c r="E1860" t="s">
        <v>904</v>
      </c>
      <c r="F1860" s="41"/>
      <c r="G1860" s="80" t="s">
        <v>22</v>
      </c>
      <c r="H1860" s="80" t="s">
        <v>9</v>
      </c>
      <c r="I1860" s="81" t="s">
        <v>899</v>
      </c>
      <c r="J1860" t="s">
        <v>6</v>
      </c>
    </row>
    <row r="1861" spans="3:10" hidden="1">
      <c r="C1861">
        <v>165005</v>
      </c>
      <c r="D1861" t="s">
        <v>49</v>
      </c>
      <c r="E1861" t="s">
        <v>905</v>
      </c>
      <c r="F1861" s="41"/>
      <c r="G1861" s="80" t="s">
        <v>22</v>
      </c>
      <c r="H1861" s="80" t="s">
        <v>9</v>
      </c>
      <c r="I1861" s="81" t="s">
        <v>899</v>
      </c>
      <c r="J1861" t="s">
        <v>6</v>
      </c>
    </row>
    <row r="1862" spans="3:10" hidden="1">
      <c r="C1862">
        <v>165006</v>
      </c>
      <c r="D1862" t="s">
        <v>49</v>
      </c>
      <c r="E1862" t="s">
        <v>906</v>
      </c>
      <c r="F1862" s="41"/>
      <c r="G1862" s="80" t="s">
        <v>22</v>
      </c>
      <c r="H1862" s="80" t="s">
        <v>9</v>
      </c>
      <c r="I1862" s="81" t="s">
        <v>899</v>
      </c>
      <c r="J1862" t="s">
        <v>6</v>
      </c>
    </row>
    <row r="1863" spans="3:10" hidden="1">
      <c r="C1863">
        <v>165007</v>
      </c>
      <c r="D1863" t="s">
        <v>49</v>
      </c>
      <c r="E1863" s="79" t="s">
        <v>907</v>
      </c>
      <c r="F1863" s="41"/>
      <c r="G1863" s="80" t="s">
        <v>22</v>
      </c>
      <c r="H1863" s="80" t="s">
        <v>9</v>
      </c>
      <c r="I1863" s="81" t="s">
        <v>899</v>
      </c>
      <c r="J1863" t="s">
        <v>6</v>
      </c>
    </row>
    <row r="1864" spans="3:10" hidden="1">
      <c r="C1864">
        <v>165008</v>
      </c>
      <c r="D1864" t="s">
        <v>58</v>
      </c>
      <c r="E1864" t="s">
        <v>908</v>
      </c>
      <c r="F1864" s="41"/>
      <c r="G1864" s="80" t="s">
        <v>22</v>
      </c>
      <c r="H1864" s="80" t="s">
        <v>9</v>
      </c>
      <c r="I1864" s="81" t="s">
        <v>899</v>
      </c>
      <c r="J1864" t="s">
        <v>6</v>
      </c>
    </row>
    <row r="1865" spans="3:10" hidden="1">
      <c r="C1865">
        <v>165009</v>
      </c>
      <c r="D1865" t="s">
        <v>49</v>
      </c>
      <c r="E1865" t="s">
        <v>57</v>
      </c>
      <c r="F1865" s="41"/>
      <c r="G1865" s="80" t="s">
        <v>22</v>
      </c>
      <c r="H1865" s="80" t="s">
        <v>9</v>
      </c>
      <c r="I1865" s="81" t="s">
        <v>899</v>
      </c>
      <c r="J1865" t="s">
        <v>6</v>
      </c>
    </row>
    <row r="1866" spans="3:10" hidden="1">
      <c r="C1866">
        <v>165010</v>
      </c>
      <c r="D1866" t="s">
        <v>58</v>
      </c>
      <c r="E1866" t="s">
        <v>59</v>
      </c>
      <c r="F1866" s="41"/>
      <c r="G1866" s="80" t="s">
        <v>22</v>
      </c>
      <c r="H1866" s="80" t="s">
        <v>9</v>
      </c>
      <c r="I1866" s="81" t="s">
        <v>899</v>
      </c>
      <c r="J1866" t="s">
        <v>6</v>
      </c>
    </row>
    <row r="1867" spans="3:10" hidden="1">
      <c r="C1867">
        <v>166000</v>
      </c>
      <c r="D1867" t="s">
        <v>48</v>
      </c>
      <c r="E1867" t="s">
        <v>909</v>
      </c>
      <c r="F1867" s="41"/>
      <c r="G1867" s="80" t="s">
        <v>598</v>
      </c>
      <c r="H1867" s="80" t="s">
        <v>9</v>
      </c>
      <c r="I1867" s="81" t="s">
        <v>909</v>
      </c>
      <c r="J1867" t="s">
        <v>6</v>
      </c>
    </row>
    <row r="1868" spans="3:10" hidden="1">
      <c r="C1868">
        <v>166001</v>
      </c>
      <c r="D1868" t="s">
        <v>49</v>
      </c>
      <c r="E1868" t="s">
        <v>910</v>
      </c>
      <c r="F1868" s="41"/>
      <c r="G1868" s="80" t="s">
        <v>598</v>
      </c>
      <c r="H1868" s="80" t="s">
        <v>9</v>
      </c>
      <c r="I1868" s="81" t="s">
        <v>909</v>
      </c>
      <c r="J1868" t="s">
        <v>6</v>
      </c>
    </row>
    <row r="1869" spans="3:10" hidden="1">
      <c r="C1869">
        <v>166002</v>
      </c>
      <c r="D1869" t="s">
        <v>49</v>
      </c>
      <c r="E1869" t="s">
        <v>911</v>
      </c>
      <c r="F1869" s="41"/>
      <c r="G1869" s="80" t="s">
        <v>598</v>
      </c>
      <c r="H1869" s="80" t="s">
        <v>9</v>
      </c>
      <c r="I1869" s="81" t="s">
        <v>909</v>
      </c>
      <c r="J1869" t="s">
        <v>6</v>
      </c>
    </row>
    <row r="1870" spans="3:10" hidden="1">
      <c r="C1870">
        <v>166003</v>
      </c>
      <c r="D1870" t="s">
        <v>58</v>
      </c>
      <c r="E1870" t="s">
        <v>912</v>
      </c>
      <c r="F1870" s="41"/>
      <c r="G1870" s="80" t="s">
        <v>598</v>
      </c>
      <c r="H1870" s="80" t="s">
        <v>9</v>
      </c>
      <c r="I1870" s="81" t="s">
        <v>909</v>
      </c>
      <c r="J1870" t="s">
        <v>6</v>
      </c>
    </row>
    <row r="1871" spans="3:10" hidden="1">
      <c r="C1871">
        <v>166004</v>
      </c>
      <c r="D1871" t="s">
        <v>49</v>
      </c>
      <c r="E1871" t="s">
        <v>57</v>
      </c>
      <c r="F1871" s="41"/>
      <c r="G1871" s="80" t="s">
        <v>598</v>
      </c>
      <c r="H1871" s="80" t="s">
        <v>9</v>
      </c>
      <c r="I1871" s="81" t="s">
        <v>909</v>
      </c>
      <c r="J1871" t="s">
        <v>6</v>
      </c>
    </row>
    <row r="1872" spans="3:10" hidden="1">
      <c r="C1872">
        <v>166005</v>
      </c>
      <c r="D1872" t="s">
        <v>58</v>
      </c>
      <c r="E1872" t="s">
        <v>59</v>
      </c>
      <c r="F1872" s="41"/>
      <c r="G1872" s="80" t="s">
        <v>598</v>
      </c>
      <c r="H1872" s="80" t="s">
        <v>9</v>
      </c>
      <c r="I1872" s="81" t="s">
        <v>909</v>
      </c>
      <c r="J1872" t="s">
        <v>6</v>
      </c>
    </row>
    <row r="1873" spans="3:10" hidden="1">
      <c r="C1873">
        <v>167000</v>
      </c>
      <c r="D1873" t="s">
        <v>48</v>
      </c>
      <c r="E1873" t="s">
        <v>913</v>
      </c>
      <c r="F1873" s="41"/>
      <c r="G1873" s="80" t="s">
        <v>598</v>
      </c>
      <c r="H1873" s="80" t="s">
        <v>9</v>
      </c>
      <c r="I1873" s="81" t="s">
        <v>913</v>
      </c>
      <c r="J1873" t="s">
        <v>6</v>
      </c>
    </row>
    <row r="1874" spans="3:10" hidden="1">
      <c r="C1874">
        <v>167001</v>
      </c>
      <c r="D1874" t="s">
        <v>49</v>
      </c>
      <c r="E1874" t="s">
        <v>914</v>
      </c>
      <c r="F1874" s="41"/>
      <c r="G1874" s="80" t="s">
        <v>598</v>
      </c>
      <c r="H1874" s="80" t="s">
        <v>9</v>
      </c>
      <c r="I1874" s="81" t="s">
        <v>913</v>
      </c>
      <c r="J1874" t="s">
        <v>6</v>
      </c>
    </row>
    <row r="1875" spans="3:10" hidden="1">
      <c r="C1875">
        <v>167002</v>
      </c>
      <c r="D1875" t="s">
        <v>49</v>
      </c>
      <c r="E1875" t="s">
        <v>915</v>
      </c>
      <c r="F1875" s="41"/>
      <c r="G1875" s="80" t="s">
        <v>598</v>
      </c>
      <c r="H1875" s="80" t="s">
        <v>9</v>
      </c>
      <c r="I1875" s="81" t="s">
        <v>913</v>
      </c>
      <c r="J1875" t="s">
        <v>6</v>
      </c>
    </row>
    <row r="1876" spans="3:10" hidden="1">
      <c r="C1876">
        <v>167003</v>
      </c>
      <c r="D1876" t="s">
        <v>58</v>
      </c>
      <c r="E1876" t="s">
        <v>912</v>
      </c>
      <c r="F1876" s="41"/>
      <c r="G1876" s="80" t="s">
        <v>598</v>
      </c>
      <c r="H1876" s="80" t="s">
        <v>9</v>
      </c>
      <c r="I1876" s="81" t="s">
        <v>913</v>
      </c>
      <c r="J1876" t="s">
        <v>6</v>
      </c>
    </row>
    <row r="1877" spans="3:10" hidden="1">
      <c r="C1877">
        <v>167004</v>
      </c>
      <c r="D1877" t="s">
        <v>49</v>
      </c>
      <c r="E1877" t="s">
        <v>57</v>
      </c>
      <c r="F1877" s="41"/>
      <c r="G1877" s="80" t="s">
        <v>598</v>
      </c>
      <c r="H1877" s="80" t="s">
        <v>9</v>
      </c>
      <c r="I1877" s="81" t="s">
        <v>913</v>
      </c>
      <c r="J1877" t="s">
        <v>6</v>
      </c>
    </row>
    <row r="1878" spans="3:10" hidden="1">
      <c r="C1878">
        <v>167005</v>
      </c>
      <c r="D1878" t="s">
        <v>58</v>
      </c>
      <c r="E1878" t="s">
        <v>59</v>
      </c>
      <c r="F1878" s="41"/>
      <c r="G1878" s="80" t="s">
        <v>598</v>
      </c>
      <c r="H1878" s="80" t="s">
        <v>9</v>
      </c>
      <c r="I1878" s="81" t="s">
        <v>913</v>
      </c>
      <c r="J1878" t="s">
        <v>6</v>
      </c>
    </row>
    <row r="1879" spans="3:10" hidden="1">
      <c r="C1879">
        <v>168000</v>
      </c>
      <c r="D1879" t="s">
        <v>43</v>
      </c>
      <c r="E1879" t="s">
        <v>916</v>
      </c>
      <c r="F1879" s="41"/>
      <c r="G1879" s="80" t="s">
        <v>567</v>
      </c>
      <c r="H1879" s="80" t="s">
        <v>9</v>
      </c>
      <c r="I1879" s="81" t="s">
        <v>916</v>
      </c>
      <c r="J1879" t="s">
        <v>6</v>
      </c>
    </row>
    <row r="1880" spans="3:10" hidden="1">
      <c r="C1880">
        <v>168001</v>
      </c>
      <c r="D1880" t="s">
        <v>861</v>
      </c>
      <c r="E1880" t="s">
        <v>917</v>
      </c>
      <c r="F1880" s="41"/>
      <c r="G1880" s="80" t="s">
        <v>567</v>
      </c>
      <c r="H1880" s="80" t="s">
        <v>9</v>
      </c>
      <c r="I1880" s="81" t="s">
        <v>916</v>
      </c>
      <c r="J1880" t="s">
        <v>6</v>
      </c>
    </row>
    <row r="1881" spans="3:10" hidden="1">
      <c r="C1881">
        <v>168002</v>
      </c>
      <c r="D1881" t="s">
        <v>49</v>
      </c>
      <c r="E1881" t="s">
        <v>918</v>
      </c>
      <c r="F1881" s="41"/>
      <c r="G1881" s="80" t="s">
        <v>567</v>
      </c>
      <c r="H1881" s="80" t="s">
        <v>9</v>
      </c>
      <c r="I1881" s="81" t="s">
        <v>916</v>
      </c>
      <c r="J1881" t="s">
        <v>6</v>
      </c>
    </row>
    <row r="1882" spans="3:10" hidden="1">
      <c r="C1882">
        <v>168003</v>
      </c>
      <c r="D1882" t="s">
        <v>49</v>
      </c>
      <c r="E1882" t="s">
        <v>919</v>
      </c>
      <c r="F1882" s="41"/>
      <c r="G1882" s="80" t="s">
        <v>567</v>
      </c>
      <c r="H1882" s="80" t="s">
        <v>9</v>
      </c>
      <c r="I1882" s="81" t="s">
        <v>916</v>
      </c>
      <c r="J1882" t="s">
        <v>6</v>
      </c>
    </row>
    <row r="1883" spans="3:10" hidden="1">
      <c r="C1883">
        <v>168004</v>
      </c>
      <c r="D1883" t="s">
        <v>861</v>
      </c>
      <c r="E1883" t="s">
        <v>920</v>
      </c>
      <c r="F1883" s="41"/>
      <c r="G1883" s="80" t="s">
        <v>567</v>
      </c>
      <c r="H1883" s="80" t="s">
        <v>9</v>
      </c>
      <c r="I1883" s="81" t="s">
        <v>916</v>
      </c>
      <c r="J1883" t="s">
        <v>6</v>
      </c>
    </row>
    <row r="1884" spans="3:10" hidden="1">
      <c r="C1884">
        <v>168005</v>
      </c>
      <c r="D1884" t="s">
        <v>49</v>
      </c>
      <c r="E1884" t="s">
        <v>921</v>
      </c>
      <c r="F1884" s="41"/>
      <c r="G1884" s="80" t="s">
        <v>567</v>
      </c>
      <c r="H1884" s="80" t="s">
        <v>9</v>
      </c>
      <c r="I1884" s="81" t="s">
        <v>916</v>
      </c>
      <c r="J1884" t="s">
        <v>6</v>
      </c>
    </row>
    <row r="1885" spans="3:10" hidden="1">
      <c r="C1885">
        <v>168006</v>
      </c>
      <c r="D1885" t="s">
        <v>49</v>
      </c>
      <c r="E1885" t="s">
        <v>918</v>
      </c>
      <c r="F1885" s="41"/>
      <c r="G1885" s="80" t="s">
        <v>567</v>
      </c>
      <c r="H1885" s="80" t="s">
        <v>9</v>
      </c>
      <c r="I1885" s="81" t="s">
        <v>916</v>
      </c>
      <c r="J1885" t="s">
        <v>6</v>
      </c>
    </row>
    <row r="1886" spans="3:10" hidden="1">
      <c r="C1886">
        <v>168007</v>
      </c>
      <c r="D1886" t="s">
        <v>49</v>
      </c>
      <c r="E1886" t="s">
        <v>922</v>
      </c>
      <c r="F1886" s="41"/>
      <c r="G1886" s="80" t="s">
        <v>567</v>
      </c>
      <c r="H1886" s="80" t="s">
        <v>9</v>
      </c>
      <c r="I1886" s="81" t="s">
        <v>916</v>
      </c>
      <c r="J1886" t="s">
        <v>6</v>
      </c>
    </row>
    <row r="1887" spans="3:10" hidden="1">
      <c r="C1887">
        <v>168008</v>
      </c>
      <c r="D1887" t="s">
        <v>49</v>
      </c>
      <c r="E1887" t="s">
        <v>923</v>
      </c>
      <c r="F1887" s="41"/>
      <c r="G1887" s="80" t="s">
        <v>567</v>
      </c>
      <c r="H1887" s="80" t="s">
        <v>9</v>
      </c>
      <c r="I1887" s="81" t="s">
        <v>916</v>
      </c>
      <c r="J1887" t="s">
        <v>6</v>
      </c>
    </row>
    <row r="1888" spans="3:10" hidden="1">
      <c r="C1888">
        <v>168009</v>
      </c>
      <c r="D1888" t="s">
        <v>49</v>
      </c>
      <c r="E1888" t="s">
        <v>924</v>
      </c>
      <c r="F1888" s="41"/>
      <c r="G1888" s="80" t="s">
        <v>567</v>
      </c>
      <c r="H1888" s="80" t="s">
        <v>9</v>
      </c>
      <c r="I1888" s="81" t="s">
        <v>916</v>
      </c>
      <c r="J1888" t="s">
        <v>6</v>
      </c>
    </row>
    <row r="1889" spans="3:10" hidden="1">
      <c r="C1889">
        <v>168010</v>
      </c>
      <c r="D1889" t="s">
        <v>49</v>
      </c>
      <c r="E1889" t="s">
        <v>925</v>
      </c>
      <c r="F1889" s="41"/>
      <c r="G1889" s="80" t="s">
        <v>567</v>
      </c>
      <c r="H1889" s="80" t="s">
        <v>9</v>
      </c>
      <c r="I1889" s="81" t="s">
        <v>916</v>
      </c>
      <c r="J1889" t="s">
        <v>6</v>
      </c>
    </row>
    <row r="1890" spans="3:10" hidden="1">
      <c r="C1890">
        <v>168011</v>
      </c>
      <c r="D1890" t="s">
        <v>49</v>
      </c>
      <c r="E1890" t="s">
        <v>926</v>
      </c>
      <c r="F1890" s="41"/>
      <c r="G1890" s="80" t="s">
        <v>567</v>
      </c>
      <c r="H1890" s="80" t="s">
        <v>9</v>
      </c>
      <c r="I1890" s="81" t="s">
        <v>916</v>
      </c>
      <c r="J1890" t="s">
        <v>6</v>
      </c>
    </row>
    <row r="1891" spans="3:10" hidden="1">
      <c r="C1891">
        <v>168012</v>
      </c>
      <c r="D1891" t="s">
        <v>49</v>
      </c>
      <c r="E1891" t="s">
        <v>927</v>
      </c>
      <c r="F1891" s="41"/>
      <c r="G1891" s="80" t="s">
        <v>567</v>
      </c>
      <c r="H1891" s="80" t="s">
        <v>9</v>
      </c>
      <c r="I1891" s="81" t="s">
        <v>916</v>
      </c>
      <c r="J1891" t="s">
        <v>6</v>
      </c>
    </row>
    <row r="1892" spans="3:10" hidden="1">
      <c r="C1892">
        <v>168013</v>
      </c>
      <c r="D1892" t="s">
        <v>861</v>
      </c>
      <c r="E1892" t="s">
        <v>928</v>
      </c>
      <c r="F1892" s="41"/>
      <c r="G1892" s="80" t="s">
        <v>567</v>
      </c>
      <c r="H1892" s="80" t="s">
        <v>9</v>
      </c>
      <c r="I1892" s="81" t="s">
        <v>916</v>
      </c>
      <c r="J1892" t="s">
        <v>6</v>
      </c>
    </row>
    <row r="1893" spans="3:10" hidden="1">
      <c r="C1893">
        <v>168014</v>
      </c>
      <c r="D1893" t="s">
        <v>49</v>
      </c>
      <c r="E1893" t="s">
        <v>929</v>
      </c>
      <c r="F1893" s="41"/>
      <c r="G1893" s="80" t="s">
        <v>567</v>
      </c>
      <c r="H1893" s="80" t="s">
        <v>9</v>
      </c>
      <c r="I1893" s="81" t="s">
        <v>916</v>
      </c>
      <c r="J1893" t="s">
        <v>6</v>
      </c>
    </row>
    <row r="1894" spans="3:10" hidden="1">
      <c r="C1894">
        <v>168015</v>
      </c>
      <c r="D1894" t="s">
        <v>49</v>
      </c>
      <c r="E1894" t="s">
        <v>930</v>
      </c>
      <c r="F1894" s="41"/>
      <c r="G1894" s="80" t="s">
        <v>567</v>
      </c>
      <c r="H1894" s="80" t="s">
        <v>9</v>
      </c>
      <c r="I1894" s="81" t="s">
        <v>916</v>
      </c>
      <c r="J1894" t="s">
        <v>6</v>
      </c>
    </row>
    <row r="1895" spans="3:10" hidden="1">
      <c r="C1895">
        <v>168016</v>
      </c>
      <c r="D1895" t="s">
        <v>861</v>
      </c>
      <c r="E1895" t="s">
        <v>931</v>
      </c>
      <c r="F1895" s="41"/>
      <c r="G1895" s="80" t="s">
        <v>567</v>
      </c>
      <c r="H1895" s="80" t="s">
        <v>9</v>
      </c>
      <c r="I1895" s="81" t="s">
        <v>916</v>
      </c>
      <c r="J1895" t="s">
        <v>6</v>
      </c>
    </row>
    <row r="1896" spans="3:10" hidden="1">
      <c r="C1896">
        <v>168017</v>
      </c>
      <c r="D1896" t="s">
        <v>49</v>
      </c>
      <c r="E1896" t="s">
        <v>932</v>
      </c>
      <c r="F1896" s="41"/>
      <c r="G1896" s="80" t="s">
        <v>567</v>
      </c>
      <c r="H1896" s="80" t="s">
        <v>9</v>
      </c>
      <c r="I1896" s="81" t="s">
        <v>916</v>
      </c>
      <c r="J1896" t="s">
        <v>6</v>
      </c>
    </row>
    <row r="1897" spans="3:10" hidden="1">
      <c r="C1897">
        <v>168018</v>
      </c>
      <c r="D1897" t="s">
        <v>49</v>
      </c>
      <c r="E1897" t="s">
        <v>57</v>
      </c>
      <c r="F1897" s="41"/>
      <c r="G1897" s="80" t="s">
        <v>567</v>
      </c>
      <c r="H1897" s="80" t="s">
        <v>9</v>
      </c>
      <c r="I1897" s="81" t="s">
        <v>916</v>
      </c>
      <c r="J1897" t="s">
        <v>6</v>
      </c>
    </row>
    <row r="1898" spans="3:10" hidden="1">
      <c r="C1898">
        <v>168019</v>
      </c>
      <c r="D1898" t="s">
        <v>58</v>
      </c>
      <c r="E1898" t="s">
        <v>59</v>
      </c>
      <c r="F1898" s="41"/>
      <c r="G1898" s="80" t="s">
        <v>567</v>
      </c>
      <c r="H1898" s="80" t="s">
        <v>9</v>
      </c>
      <c r="I1898" s="81" t="s">
        <v>916</v>
      </c>
      <c r="J1898" t="s">
        <v>6</v>
      </c>
    </row>
    <row r="1899" spans="3:10" hidden="1">
      <c r="C1899">
        <v>169000</v>
      </c>
      <c r="D1899" t="s">
        <v>48</v>
      </c>
      <c r="E1899" t="s">
        <v>933</v>
      </c>
      <c r="F1899" s="41"/>
      <c r="G1899" s="80" t="s">
        <v>22</v>
      </c>
      <c r="H1899" s="80" t="s">
        <v>9</v>
      </c>
      <c r="I1899" s="81" t="s">
        <v>933</v>
      </c>
      <c r="J1899" t="s">
        <v>6</v>
      </c>
    </row>
    <row r="1900" spans="3:10" hidden="1">
      <c r="C1900">
        <v>169001</v>
      </c>
      <c r="D1900" t="s">
        <v>49</v>
      </c>
      <c r="E1900" t="s">
        <v>934</v>
      </c>
      <c r="F1900" s="41"/>
      <c r="G1900" s="80" t="s">
        <v>22</v>
      </c>
      <c r="H1900" s="80" t="s">
        <v>9</v>
      </c>
      <c r="I1900" s="81" t="s">
        <v>933</v>
      </c>
      <c r="J1900" t="s">
        <v>6</v>
      </c>
    </row>
    <row r="1901" spans="3:10" hidden="1">
      <c r="C1901">
        <v>169002</v>
      </c>
      <c r="D1901" t="s">
        <v>49</v>
      </c>
      <c r="E1901" t="s">
        <v>935</v>
      </c>
      <c r="F1901" s="41"/>
      <c r="G1901" s="80" t="s">
        <v>22</v>
      </c>
      <c r="H1901" s="80" t="s">
        <v>9</v>
      </c>
      <c r="I1901" s="81" t="s">
        <v>933</v>
      </c>
      <c r="J1901" t="s">
        <v>6</v>
      </c>
    </row>
    <row r="1902" spans="3:10" hidden="1">
      <c r="C1902">
        <v>169003</v>
      </c>
      <c r="D1902" t="s">
        <v>49</v>
      </c>
      <c r="E1902" t="s">
        <v>936</v>
      </c>
      <c r="F1902" s="41"/>
      <c r="G1902" s="80" t="s">
        <v>22</v>
      </c>
      <c r="H1902" s="80" t="s">
        <v>9</v>
      </c>
      <c r="I1902" s="81" t="s">
        <v>933</v>
      </c>
      <c r="J1902" t="s">
        <v>6</v>
      </c>
    </row>
    <row r="1903" spans="3:10" hidden="1">
      <c r="C1903">
        <v>169004</v>
      </c>
      <c r="D1903" t="s">
        <v>49</v>
      </c>
      <c r="E1903" t="s">
        <v>937</v>
      </c>
      <c r="F1903" s="41"/>
      <c r="G1903" s="80" t="s">
        <v>22</v>
      </c>
      <c r="H1903" s="80" t="s">
        <v>9</v>
      </c>
      <c r="I1903" s="81" t="s">
        <v>933</v>
      </c>
      <c r="J1903" t="s">
        <v>6</v>
      </c>
    </row>
    <row r="1904" spans="3:10" hidden="1">
      <c r="C1904">
        <v>169005</v>
      </c>
      <c r="D1904" t="s">
        <v>49</v>
      </c>
      <c r="E1904" t="s">
        <v>938</v>
      </c>
      <c r="F1904" s="41"/>
      <c r="G1904" s="80" t="s">
        <v>22</v>
      </c>
      <c r="H1904" s="80" t="s">
        <v>9</v>
      </c>
      <c r="I1904" s="81" t="s">
        <v>933</v>
      </c>
      <c r="J1904" t="s">
        <v>6</v>
      </c>
    </row>
    <row r="1905" spans="3:10" hidden="1">
      <c r="C1905">
        <v>169006</v>
      </c>
      <c r="D1905" t="s">
        <v>58</v>
      </c>
      <c r="E1905" t="s">
        <v>908</v>
      </c>
      <c r="F1905" s="41"/>
      <c r="G1905" s="80" t="s">
        <v>22</v>
      </c>
      <c r="H1905" s="80" t="s">
        <v>9</v>
      </c>
      <c r="I1905" s="81" t="s">
        <v>933</v>
      </c>
      <c r="J1905" t="s">
        <v>6</v>
      </c>
    </row>
    <row r="1906" spans="3:10" hidden="1">
      <c r="C1906">
        <v>169007</v>
      </c>
      <c r="D1906" t="s">
        <v>49</v>
      </c>
      <c r="E1906" t="s">
        <v>57</v>
      </c>
      <c r="F1906" s="41"/>
      <c r="G1906" s="80" t="s">
        <v>22</v>
      </c>
      <c r="H1906" s="80" t="s">
        <v>9</v>
      </c>
      <c r="I1906" s="81" t="s">
        <v>933</v>
      </c>
      <c r="J1906" t="s">
        <v>6</v>
      </c>
    </row>
    <row r="1907" spans="3:10" hidden="1">
      <c r="C1907">
        <v>169008</v>
      </c>
      <c r="D1907" t="s">
        <v>58</v>
      </c>
      <c r="E1907" t="s">
        <v>59</v>
      </c>
      <c r="F1907" s="41"/>
      <c r="G1907" s="80" t="s">
        <v>22</v>
      </c>
      <c r="H1907" s="80" t="s">
        <v>9</v>
      </c>
      <c r="I1907" s="81" t="s">
        <v>933</v>
      </c>
      <c r="J1907" t="s">
        <v>6</v>
      </c>
    </row>
    <row r="1908" spans="3:10" hidden="1">
      <c r="C1908">
        <v>170000</v>
      </c>
      <c r="D1908" t="s">
        <v>48</v>
      </c>
      <c r="E1908" t="s">
        <v>939</v>
      </c>
      <c r="F1908" s="41"/>
      <c r="G1908" s="80" t="s">
        <v>22</v>
      </c>
      <c r="H1908" s="80" t="s">
        <v>9</v>
      </c>
      <c r="I1908" s="81" t="s">
        <v>939</v>
      </c>
      <c r="J1908" t="s">
        <v>6</v>
      </c>
    </row>
    <row r="1909" spans="3:10" hidden="1">
      <c r="C1909">
        <v>170001</v>
      </c>
      <c r="D1909" t="s">
        <v>49</v>
      </c>
      <c r="E1909" t="s">
        <v>1711</v>
      </c>
      <c r="F1909" s="41"/>
      <c r="G1909" s="80" t="s">
        <v>22</v>
      </c>
      <c r="H1909" s="80" t="s">
        <v>9</v>
      </c>
      <c r="I1909" s="81" t="s">
        <v>939</v>
      </c>
      <c r="J1909" t="s">
        <v>6</v>
      </c>
    </row>
    <row r="1910" spans="3:10" hidden="1">
      <c r="C1910">
        <v>170002</v>
      </c>
      <c r="D1910" t="s">
        <v>124</v>
      </c>
      <c r="E1910" t="s">
        <v>941</v>
      </c>
      <c r="F1910" s="41"/>
      <c r="G1910" s="80" t="s">
        <v>22</v>
      </c>
      <c r="H1910" s="80" t="s">
        <v>9</v>
      </c>
      <c r="I1910" s="81" t="s">
        <v>939</v>
      </c>
      <c r="J1910" t="s">
        <v>6</v>
      </c>
    </row>
    <row r="1911" spans="3:10" hidden="1">
      <c r="C1911">
        <v>170003</v>
      </c>
      <c r="D1911" t="s">
        <v>49</v>
      </c>
      <c r="E1911" t="s">
        <v>952</v>
      </c>
      <c r="F1911" s="41"/>
      <c r="G1911" s="80" t="s">
        <v>22</v>
      </c>
      <c r="H1911" s="80" t="s">
        <v>9</v>
      </c>
      <c r="I1911" s="81" t="s">
        <v>939</v>
      </c>
      <c r="J1911" t="s">
        <v>6</v>
      </c>
    </row>
    <row r="1912" spans="3:10" hidden="1">
      <c r="C1912">
        <v>170004</v>
      </c>
      <c r="D1912" t="s">
        <v>49</v>
      </c>
      <c r="E1912" t="s">
        <v>943</v>
      </c>
      <c r="F1912" s="41"/>
      <c r="G1912" s="80" t="s">
        <v>22</v>
      </c>
      <c r="H1912" s="80" t="s">
        <v>9</v>
      </c>
      <c r="I1912" s="81" t="s">
        <v>939</v>
      </c>
      <c r="J1912" t="s">
        <v>6</v>
      </c>
    </row>
    <row r="1913" spans="3:10" hidden="1">
      <c r="C1913">
        <v>170005</v>
      </c>
      <c r="D1913" t="s">
        <v>49</v>
      </c>
      <c r="E1913" t="s">
        <v>1712</v>
      </c>
      <c r="F1913" s="41"/>
      <c r="G1913" s="80" t="s">
        <v>22</v>
      </c>
      <c r="H1913" s="80" t="s">
        <v>9</v>
      </c>
      <c r="I1913" s="81" t="s">
        <v>939</v>
      </c>
      <c r="J1913" t="s">
        <v>6</v>
      </c>
    </row>
    <row r="1914" spans="3:10" hidden="1">
      <c r="C1914">
        <v>170006</v>
      </c>
      <c r="D1914" t="s">
        <v>49</v>
      </c>
      <c r="E1914" t="s">
        <v>945</v>
      </c>
      <c r="F1914" s="41"/>
      <c r="G1914" s="80" t="s">
        <v>22</v>
      </c>
      <c r="H1914" s="80" t="s">
        <v>9</v>
      </c>
      <c r="I1914" s="81" t="s">
        <v>939</v>
      </c>
      <c r="J1914" t="s">
        <v>6</v>
      </c>
    </row>
    <row r="1915" spans="3:10" hidden="1">
      <c r="C1915">
        <v>170007</v>
      </c>
      <c r="D1915" t="s">
        <v>49</v>
      </c>
      <c r="E1915" t="s">
        <v>946</v>
      </c>
      <c r="F1915" s="41"/>
      <c r="G1915" s="80" t="s">
        <v>22</v>
      </c>
      <c r="H1915" s="80" t="s">
        <v>9</v>
      </c>
      <c r="I1915" s="81" t="s">
        <v>939</v>
      </c>
      <c r="J1915" t="s">
        <v>6</v>
      </c>
    </row>
    <row r="1916" spans="3:10" hidden="1">
      <c r="C1916">
        <v>170008</v>
      </c>
      <c r="D1916" t="s">
        <v>901</v>
      </c>
      <c r="E1916" t="s">
        <v>947</v>
      </c>
      <c r="F1916" s="41"/>
      <c r="G1916" s="80" t="s">
        <v>22</v>
      </c>
      <c r="H1916" s="80" t="s">
        <v>9</v>
      </c>
      <c r="I1916" s="81" t="s">
        <v>939</v>
      </c>
      <c r="J1916" t="s">
        <v>6</v>
      </c>
    </row>
    <row r="1917" spans="3:10" hidden="1">
      <c r="C1917">
        <v>170009</v>
      </c>
      <c r="D1917" t="s">
        <v>49</v>
      </c>
      <c r="E1917" t="s">
        <v>948</v>
      </c>
      <c r="F1917" s="41"/>
      <c r="G1917" s="80" t="s">
        <v>22</v>
      </c>
      <c r="H1917" s="80" t="s">
        <v>9</v>
      </c>
      <c r="I1917" s="81" t="s">
        <v>939</v>
      </c>
      <c r="J1917" t="s">
        <v>6</v>
      </c>
    </row>
    <row r="1918" spans="3:10" hidden="1">
      <c r="C1918">
        <v>170010</v>
      </c>
      <c r="D1918" t="s">
        <v>58</v>
      </c>
      <c r="E1918" t="s">
        <v>908</v>
      </c>
      <c r="F1918" s="41"/>
      <c r="G1918" s="80" t="s">
        <v>22</v>
      </c>
      <c r="H1918" s="80" t="s">
        <v>9</v>
      </c>
      <c r="I1918" s="81" t="s">
        <v>939</v>
      </c>
      <c r="J1918" t="s">
        <v>6</v>
      </c>
    </row>
    <row r="1919" spans="3:10" hidden="1">
      <c r="C1919">
        <v>170011</v>
      </c>
      <c r="D1919" t="s">
        <v>49</v>
      </c>
      <c r="E1919" t="s">
        <v>57</v>
      </c>
      <c r="F1919" s="41"/>
      <c r="G1919" s="80" t="s">
        <v>22</v>
      </c>
      <c r="H1919" s="80" t="s">
        <v>9</v>
      </c>
      <c r="I1919" s="81" t="s">
        <v>939</v>
      </c>
      <c r="J1919" t="s">
        <v>6</v>
      </c>
    </row>
    <row r="1920" spans="3:10" hidden="1">
      <c r="C1920">
        <v>170012</v>
      </c>
      <c r="D1920" t="s">
        <v>58</v>
      </c>
      <c r="E1920" t="s">
        <v>59</v>
      </c>
      <c r="F1920" s="41"/>
      <c r="G1920" s="80" t="s">
        <v>22</v>
      </c>
      <c r="H1920" s="80" t="s">
        <v>9</v>
      </c>
      <c r="I1920" s="81" t="s">
        <v>939</v>
      </c>
      <c r="J1920" t="s">
        <v>6</v>
      </c>
    </row>
    <row r="1921" spans="3:10" hidden="1">
      <c r="C1921">
        <v>171000</v>
      </c>
      <c r="D1921" t="s">
        <v>119</v>
      </c>
      <c r="E1921" t="s">
        <v>949</v>
      </c>
      <c r="F1921" s="41"/>
      <c r="G1921" s="80" t="s">
        <v>567</v>
      </c>
      <c r="H1921" s="80" t="s">
        <v>9</v>
      </c>
      <c r="I1921" s="81" t="s">
        <v>949</v>
      </c>
      <c r="J1921" t="s">
        <v>6</v>
      </c>
    </row>
    <row r="1922" spans="3:10" hidden="1">
      <c r="C1922">
        <v>171001</v>
      </c>
      <c r="D1922" t="s">
        <v>120</v>
      </c>
      <c r="E1922" t="s">
        <v>950</v>
      </c>
      <c r="F1922" s="41"/>
      <c r="G1922" s="80" t="s">
        <v>567</v>
      </c>
      <c r="H1922" s="80" t="s">
        <v>9</v>
      </c>
      <c r="I1922" s="81" t="s">
        <v>949</v>
      </c>
      <c r="J1922" t="s">
        <v>6</v>
      </c>
    </row>
    <row r="1923" spans="3:10" hidden="1">
      <c r="C1923">
        <v>171002</v>
      </c>
      <c r="D1923" t="s">
        <v>49</v>
      </c>
      <c r="E1923" t="s">
        <v>951</v>
      </c>
      <c r="F1923" s="41"/>
      <c r="G1923" s="80" t="s">
        <v>567</v>
      </c>
      <c r="H1923" s="80" t="s">
        <v>9</v>
      </c>
      <c r="I1923" s="81" t="s">
        <v>949</v>
      </c>
      <c r="J1923" t="s">
        <v>6</v>
      </c>
    </row>
    <row r="1924" spans="3:10" hidden="1">
      <c r="C1924">
        <v>171003</v>
      </c>
      <c r="D1924" t="s">
        <v>124</v>
      </c>
      <c r="E1924" t="s">
        <v>941</v>
      </c>
      <c r="F1924" s="41"/>
      <c r="G1924" s="80" t="s">
        <v>567</v>
      </c>
      <c r="H1924" s="80" t="s">
        <v>9</v>
      </c>
      <c r="I1924" s="81" t="s">
        <v>949</v>
      </c>
      <c r="J1924" t="s">
        <v>6</v>
      </c>
    </row>
    <row r="1925" spans="3:10" hidden="1">
      <c r="C1925">
        <v>171004</v>
      </c>
      <c r="D1925" t="s">
        <v>49</v>
      </c>
      <c r="E1925" t="s">
        <v>952</v>
      </c>
      <c r="F1925" s="41"/>
      <c r="G1925" s="80" t="s">
        <v>567</v>
      </c>
      <c r="H1925" s="80" t="s">
        <v>9</v>
      </c>
      <c r="I1925" s="81" t="s">
        <v>949</v>
      </c>
      <c r="J1925" t="s">
        <v>6</v>
      </c>
    </row>
    <row r="1926" spans="3:10" hidden="1">
      <c r="C1926">
        <v>171005</v>
      </c>
      <c r="D1926" t="s">
        <v>120</v>
      </c>
      <c r="E1926" t="s">
        <v>953</v>
      </c>
      <c r="F1926" s="41"/>
      <c r="G1926" s="80" t="s">
        <v>567</v>
      </c>
      <c r="H1926" s="80" t="s">
        <v>9</v>
      </c>
      <c r="I1926" s="81" t="s">
        <v>949</v>
      </c>
      <c r="J1926" t="s">
        <v>6</v>
      </c>
    </row>
    <row r="1927" spans="3:10" hidden="1">
      <c r="C1927">
        <v>171006</v>
      </c>
      <c r="D1927" t="s">
        <v>49</v>
      </c>
      <c r="E1927" t="s">
        <v>954</v>
      </c>
      <c r="F1927" s="41"/>
      <c r="G1927" s="80" t="s">
        <v>567</v>
      </c>
      <c r="H1927" s="80" t="s">
        <v>9</v>
      </c>
      <c r="I1927" s="81" t="s">
        <v>949</v>
      </c>
      <c r="J1927" t="s">
        <v>6</v>
      </c>
    </row>
    <row r="1928" spans="3:10" hidden="1">
      <c r="C1928">
        <v>171007</v>
      </c>
      <c r="D1928" t="s">
        <v>49</v>
      </c>
      <c r="E1928" t="s">
        <v>955</v>
      </c>
      <c r="F1928" s="41"/>
      <c r="G1928" s="80" t="s">
        <v>567</v>
      </c>
      <c r="H1928" s="80" t="s">
        <v>9</v>
      </c>
      <c r="I1928" s="81" t="s">
        <v>949</v>
      </c>
      <c r="J1928" t="s">
        <v>6</v>
      </c>
    </row>
    <row r="1929" spans="3:10" hidden="1">
      <c r="C1929">
        <v>171008</v>
      </c>
      <c r="D1929" t="s">
        <v>49</v>
      </c>
      <c r="E1929" t="s">
        <v>956</v>
      </c>
      <c r="F1929" s="41"/>
      <c r="G1929" s="80" t="s">
        <v>567</v>
      </c>
      <c r="H1929" s="80" t="s">
        <v>9</v>
      </c>
      <c r="I1929" s="81" t="s">
        <v>949</v>
      </c>
      <c r="J1929" t="s">
        <v>6</v>
      </c>
    </row>
    <row r="1930" spans="3:10" hidden="1">
      <c r="C1930">
        <v>171009</v>
      </c>
      <c r="D1930" t="s">
        <v>49</v>
      </c>
      <c r="E1930" t="s">
        <v>957</v>
      </c>
      <c r="F1930" s="41"/>
      <c r="G1930" s="80" t="s">
        <v>567</v>
      </c>
      <c r="H1930" s="80" t="s">
        <v>9</v>
      </c>
      <c r="I1930" s="81" t="s">
        <v>949</v>
      </c>
      <c r="J1930" t="s">
        <v>6</v>
      </c>
    </row>
    <row r="1931" spans="3:10" hidden="1">
      <c r="C1931">
        <v>171010</v>
      </c>
      <c r="D1931" t="s">
        <v>49</v>
      </c>
      <c r="E1931" t="s">
        <v>958</v>
      </c>
      <c r="F1931" s="41"/>
      <c r="G1931" s="80" t="s">
        <v>567</v>
      </c>
      <c r="H1931" s="80" t="s">
        <v>9</v>
      </c>
      <c r="I1931" s="81" t="s">
        <v>949</v>
      </c>
      <c r="J1931" t="s">
        <v>6</v>
      </c>
    </row>
    <row r="1932" spans="3:10" hidden="1">
      <c r="C1932">
        <v>171011</v>
      </c>
      <c r="D1932" t="s">
        <v>49</v>
      </c>
      <c r="E1932" t="s">
        <v>1713</v>
      </c>
      <c r="F1932" s="41"/>
      <c r="G1932" s="80" t="s">
        <v>567</v>
      </c>
      <c r="H1932" s="80" t="s">
        <v>9</v>
      </c>
      <c r="I1932" s="81" t="s">
        <v>949</v>
      </c>
      <c r="J1932" t="s">
        <v>6</v>
      </c>
    </row>
    <row r="1933" spans="3:10" hidden="1">
      <c r="C1933">
        <v>171012</v>
      </c>
      <c r="D1933" t="s">
        <v>960</v>
      </c>
      <c r="E1933" t="s">
        <v>961</v>
      </c>
      <c r="F1933" s="41"/>
      <c r="G1933" s="80" t="s">
        <v>567</v>
      </c>
      <c r="H1933" s="80" t="s">
        <v>9</v>
      </c>
      <c r="I1933" s="81" t="s">
        <v>949</v>
      </c>
      <c r="J1933" t="s">
        <v>6</v>
      </c>
    </row>
    <row r="1934" spans="3:10" hidden="1">
      <c r="C1934">
        <v>171013</v>
      </c>
      <c r="D1934" t="s">
        <v>49</v>
      </c>
      <c r="E1934" t="s">
        <v>962</v>
      </c>
      <c r="F1934" s="41"/>
      <c r="G1934" s="80" t="s">
        <v>567</v>
      </c>
      <c r="H1934" s="80" t="s">
        <v>9</v>
      </c>
      <c r="I1934" s="81" t="s">
        <v>949</v>
      </c>
      <c r="J1934" t="s">
        <v>6</v>
      </c>
    </row>
    <row r="1935" spans="3:10" hidden="1">
      <c r="C1935">
        <v>171014</v>
      </c>
      <c r="D1935" t="s">
        <v>49</v>
      </c>
      <c r="E1935" t="s">
        <v>963</v>
      </c>
      <c r="F1935" s="41"/>
      <c r="G1935" s="80" t="s">
        <v>567</v>
      </c>
      <c r="H1935" s="80" t="s">
        <v>9</v>
      </c>
      <c r="I1935" s="81" t="s">
        <v>949</v>
      </c>
      <c r="J1935" t="s">
        <v>6</v>
      </c>
    </row>
    <row r="1936" spans="3:10" hidden="1">
      <c r="C1936">
        <v>171015</v>
      </c>
      <c r="D1936" t="s">
        <v>49</v>
      </c>
      <c r="E1936" t="s">
        <v>964</v>
      </c>
      <c r="F1936" s="41"/>
      <c r="G1936" s="80" t="s">
        <v>567</v>
      </c>
      <c r="H1936" s="80" t="s">
        <v>9</v>
      </c>
      <c r="I1936" s="81" t="s">
        <v>949</v>
      </c>
      <c r="J1936" t="s">
        <v>6</v>
      </c>
    </row>
    <row r="1937" spans="3:10" hidden="1">
      <c r="C1937">
        <v>171016</v>
      </c>
      <c r="D1937" t="s">
        <v>58</v>
      </c>
      <c r="E1937" t="s">
        <v>908</v>
      </c>
      <c r="F1937" s="41"/>
      <c r="G1937" s="80" t="s">
        <v>567</v>
      </c>
      <c r="H1937" s="80" t="s">
        <v>9</v>
      </c>
      <c r="I1937" s="81" t="s">
        <v>949</v>
      </c>
      <c r="J1937" t="s">
        <v>6</v>
      </c>
    </row>
    <row r="1938" spans="3:10" hidden="1">
      <c r="C1938">
        <v>171017</v>
      </c>
      <c r="D1938" t="s">
        <v>49</v>
      </c>
      <c r="E1938" t="s">
        <v>57</v>
      </c>
      <c r="F1938" s="41"/>
      <c r="G1938" s="80" t="s">
        <v>567</v>
      </c>
      <c r="H1938" s="80" t="s">
        <v>9</v>
      </c>
      <c r="I1938" s="81" t="s">
        <v>949</v>
      </c>
      <c r="J1938" t="s">
        <v>6</v>
      </c>
    </row>
    <row r="1939" spans="3:10" hidden="1">
      <c r="C1939">
        <v>171018</v>
      </c>
      <c r="D1939" t="s">
        <v>58</v>
      </c>
      <c r="E1939" t="s">
        <v>59</v>
      </c>
      <c r="F1939" s="41"/>
      <c r="G1939" s="80" t="s">
        <v>567</v>
      </c>
      <c r="H1939" s="80" t="s">
        <v>9</v>
      </c>
      <c r="I1939" s="81" t="s">
        <v>949</v>
      </c>
      <c r="J1939" t="s">
        <v>6</v>
      </c>
    </row>
    <row r="1940" spans="3:10" hidden="1">
      <c r="C1940">
        <v>172000</v>
      </c>
      <c r="D1940" t="s">
        <v>48</v>
      </c>
      <c r="E1940" t="s">
        <v>965</v>
      </c>
      <c r="F1940" s="41"/>
      <c r="G1940" s="80" t="s">
        <v>567</v>
      </c>
      <c r="H1940" s="80" t="s">
        <v>9</v>
      </c>
      <c r="I1940" s="81" t="s">
        <v>965</v>
      </c>
      <c r="J1940" t="s">
        <v>6</v>
      </c>
    </row>
    <row r="1941" spans="3:10" hidden="1">
      <c r="C1941">
        <v>172001</v>
      </c>
      <c r="D1941" t="s">
        <v>49</v>
      </c>
      <c r="E1941" t="s">
        <v>966</v>
      </c>
      <c r="F1941" s="41"/>
      <c r="G1941" s="80" t="s">
        <v>567</v>
      </c>
      <c r="H1941" s="80" t="s">
        <v>9</v>
      </c>
      <c r="I1941" s="81" t="s">
        <v>965</v>
      </c>
      <c r="J1941" t="s">
        <v>6</v>
      </c>
    </row>
    <row r="1942" spans="3:10" hidden="1">
      <c r="C1942">
        <v>172002</v>
      </c>
      <c r="D1942" t="s">
        <v>49</v>
      </c>
      <c r="E1942" t="s">
        <v>967</v>
      </c>
      <c r="F1942" s="41"/>
      <c r="G1942" s="80" t="s">
        <v>567</v>
      </c>
      <c r="H1942" s="80" t="s">
        <v>9</v>
      </c>
      <c r="I1942" s="81" t="s">
        <v>965</v>
      </c>
      <c r="J1942" t="s">
        <v>6</v>
      </c>
    </row>
    <row r="1943" spans="3:10" hidden="1">
      <c r="C1943">
        <v>172003</v>
      </c>
      <c r="D1943" t="s">
        <v>49</v>
      </c>
      <c r="E1943" t="s">
        <v>968</v>
      </c>
      <c r="F1943" s="41"/>
      <c r="G1943" s="80" t="s">
        <v>567</v>
      </c>
      <c r="H1943" s="80" t="s">
        <v>9</v>
      </c>
      <c r="I1943" s="81" t="s">
        <v>965</v>
      </c>
      <c r="J1943" t="s">
        <v>6</v>
      </c>
    </row>
    <row r="1944" spans="3:10" hidden="1">
      <c r="C1944">
        <v>172004</v>
      </c>
      <c r="D1944" t="s">
        <v>49</v>
      </c>
      <c r="E1944" t="s">
        <v>969</v>
      </c>
      <c r="F1944" s="41"/>
      <c r="G1944" s="80" t="s">
        <v>567</v>
      </c>
      <c r="H1944" s="80" t="s">
        <v>9</v>
      </c>
      <c r="I1944" s="81" t="s">
        <v>965</v>
      </c>
      <c r="J1944" t="s">
        <v>6</v>
      </c>
    </row>
    <row r="1945" spans="3:10" hidden="1">
      <c r="C1945">
        <v>172005</v>
      </c>
      <c r="D1945" t="s">
        <v>49</v>
      </c>
      <c r="E1945" t="s">
        <v>970</v>
      </c>
      <c r="F1945" s="41"/>
      <c r="G1945" s="80" t="s">
        <v>567</v>
      </c>
      <c r="H1945" s="80" t="s">
        <v>9</v>
      </c>
      <c r="I1945" s="81" t="s">
        <v>965</v>
      </c>
      <c r="J1945" t="s">
        <v>6</v>
      </c>
    </row>
    <row r="1946" spans="3:10" hidden="1">
      <c r="C1946">
        <v>172006</v>
      </c>
      <c r="D1946" t="s">
        <v>49</v>
      </c>
      <c r="E1946" t="s">
        <v>971</v>
      </c>
      <c r="F1946" s="41"/>
      <c r="G1946" s="80" t="s">
        <v>567</v>
      </c>
      <c r="H1946" s="80" t="s">
        <v>9</v>
      </c>
      <c r="I1946" s="81" t="s">
        <v>965</v>
      </c>
      <c r="J1946" t="s">
        <v>6</v>
      </c>
    </row>
    <row r="1947" spans="3:10" hidden="1">
      <c r="C1947">
        <v>172007</v>
      </c>
      <c r="D1947" t="s">
        <v>49</v>
      </c>
      <c r="E1947" t="s">
        <v>972</v>
      </c>
      <c r="F1947" s="41"/>
      <c r="G1947" s="80" t="s">
        <v>567</v>
      </c>
      <c r="H1947" s="80" t="s">
        <v>9</v>
      </c>
      <c r="I1947" s="81" t="s">
        <v>965</v>
      </c>
      <c r="J1947" t="s">
        <v>6</v>
      </c>
    </row>
    <row r="1948" spans="3:10" hidden="1">
      <c r="C1948">
        <v>172008</v>
      </c>
      <c r="D1948" t="s">
        <v>49</v>
      </c>
      <c r="E1948" t="s">
        <v>973</v>
      </c>
      <c r="F1948" s="41"/>
      <c r="G1948" s="80" t="s">
        <v>567</v>
      </c>
      <c r="H1948" s="80" t="s">
        <v>9</v>
      </c>
      <c r="I1948" s="81" t="s">
        <v>965</v>
      </c>
      <c r="J1948" t="s">
        <v>6</v>
      </c>
    </row>
    <row r="1949" spans="3:10" hidden="1">
      <c r="C1949">
        <v>172009</v>
      </c>
      <c r="D1949" t="s">
        <v>49</v>
      </c>
      <c r="E1949" t="s">
        <v>974</v>
      </c>
      <c r="F1949" s="41"/>
      <c r="G1949" s="80" t="s">
        <v>567</v>
      </c>
      <c r="H1949" s="80" t="s">
        <v>9</v>
      </c>
      <c r="I1949" s="81" t="s">
        <v>965</v>
      </c>
      <c r="J1949" t="s">
        <v>6</v>
      </c>
    </row>
    <row r="1950" spans="3:10" hidden="1">
      <c r="C1950">
        <v>172010</v>
      </c>
      <c r="D1950" t="s">
        <v>49</v>
      </c>
      <c r="E1950" t="s">
        <v>975</v>
      </c>
      <c r="F1950" s="41"/>
      <c r="G1950" s="80" t="s">
        <v>567</v>
      </c>
      <c r="H1950" s="80" t="s">
        <v>9</v>
      </c>
      <c r="I1950" s="81" t="s">
        <v>965</v>
      </c>
      <c r="J1950" t="s">
        <v>6</v>
      </c>
    </row>
    <row r="1951" spans="3:10" hidden="1">
      <c r="C1951">
        <v>172011</v>
      </c>
      <c r="D1951" t="s">
        <v>124</v>
      </c>
      <c r="E1951" t="s">
        <v>1714</v>
      </c>
      <c r="F1951" s="41"/>
      <c r="G1951" s="80" t="s">
        <v>567</v>
      </c>
      <c r="H1951" s="80" t="s">
        <v>9</v>
      </c>
      <c r="I1951" s="81" t="s">
        <v>965</v>
      </c>
      <c r="J1951" t="s">
        <v>6</v>
      </c>
    </row>
    <row r="1952" spans="3:10" hidden="1">
      <c r="C1952">
        <v>172012</v>
      </c>
      <c r="D1952" t="s">
        <v>49</v>
      </c>
      <c r="E1952" t="s">
        <v>977</v>
      </c>
      <c r="F1952" s="41"/>
      <c r="G1952" s="80" t="s">
        <v>567</v>
      </c>
      <c r="H1952" s="80" t="s">
        <v>9</v>
      </c>
      <c r="I1952" s="81" t="s">
        <v>965</v>
      </c>
      <c r="J1952" t="s">
        <v>6</v>
      </c>
    </row>
    <row r="1953" spans="3:10" hidden="1">
      <c r="C1953">
        <v>172013</v>
      </c>
      <c r="D1953" t="s">
        <v>49</v>
      </c>
      <c r="E1953" t="s">
        <v>978</v>
      </c>
      <c r="F1953" s="41"/>
      <c r="G1953" s="80" t="s">
        <v>567</v>
      </c>
      <c r="H1953" s="80" t="s">
        <v>9</v>
      </c>
      <c r="I1953" s="81" t="s">
        <v>965</v>
      </c>
      <c r="J1953" t="s">
        <v>6</v>
      </c>
    </row>
    <row r="1954" spans="3:10" hidden="1">
      <c r="C1954">
        <v>172014</v>
      </c>
      <c r="D1954" t="s">
        <v>49</v>
      </c>
      <c r="E1954" t="s">
        <v>979</v>
      </c>
      <c r="F1954" s="41"/>
      <c r="G1954" s="80" t="s">
        <v>567</v>
      </c>
      <c r="H1954" s="80" t="s">
        <v>9</v>
      </c>
      <c r="I1954" s="81" t="s">
        <v>965</v>
      </c>
      <c r="J1954" t="s">
        <v>6</v>
      </c>
    </row>
    <row r="1955" spans="3:10" hidden="1">
      <c r="C1955">
        <v>172015</v>
      </c>
      <c r="D1955" t="s">
        <v>49</v>
      </c>
      <c r="E1955" t="s">
        <v>980</v>
      </c>
      <c r="F1955" s="41"/>
      <c r="G1955" s="80" t="s">
        <v>567</v>
      </c>
      <c r="H1955" s="80" t="s">
        <v>9</v>
      </c>
      <c r="I1955" s="81" t="s">
        <v>965</v>
      </c>
      <c r="J1955" t="s">
        <v>6</v>
      </c>
    </row>
    <row r="1956" spans="3:10" hidden="1">
      <c r="C1956">
        <v>172016</v>
      </c>
      <c r="D1956" t="s">
        <v>49</v>
      </c>
      <c r="E1956" t="s">
        <v>981</v>
      </c>
      <c r="F1956" s="41"/>
      <c r="G1956" s="80" t="s">
        <v>567</v>
      </c>
      <c r="H1956" s="80" t="s">
        <v>9</v>
      </c>
      <c r="I1956" s="81" t="s">
        <v>965</v>
      </c>
      <c r="J1956" t="s">
        <v>6</v>
      </c>
    </row>
    <row r="1957" spans="3:10" hidden="1">
      <c r="C1957">
        <v>172017</v>
      </c>
      <c r="D1957" t="s">
        <v>49</v>
      </c>
      <c r="E1957" t="s">
        <v>982</v>
      </c>
      <c r="F1957" s="41"/>
      <c r="G1957" s="80" t="s">
        <v>567</v>
      </c>
      <c r="H1957" s="80" t="s">
        <v>9</v>
      </c>
      <c r="I1957" s="81" t="s">
        <v>965</v>
      </c>
      <c r="J1957" t="s">
        <v>6</v>
      </c>
    </row>
    <row r="1958" spans="3:10" hidden="1">
      <c r="C1958">
        <v>172018</v>
      </c>
      <c r="D1958" t="s">
        <v>49</v>
      </c>
      <c r="E1958" t="s">
        <v>57</v>
      </c>
      <c r="F1958" s="41"/>
      <c r="G1958" s="80" t="s">
        <v>567</v>
      </c>
      <c r="H1958" s="80" t="s">
        <v>9</v>
      </c>
      <c r="I1958" s="81" t="s">
        <v>965</v>
      </c>
      <c r="J1958" t="s">
        <v>6</v>
      </c>
    </row>
    <row r="1959" spans="3:10" hidden="1">
      <c r="C1959">
        <v>172019</v>
      </c>
      <c r="D1959" t="s">
        <v>58</v>
      </c>
      <c r="E1959" t="s">
        <v>59</v>
      </c>
      <c r="F1959" s="41"/>
      <c r="G1959" s="80" t="s">
        <v>567</v>
      </c>
      <c r="H1959" s="80" t="s">
        <v>9</v>
      </c>
      <c r="I1959" s="81" t="s">
        <v>965</v>
      </c>
      <c r="J1959" t="s">
        <v>6</v>
      </c>
    </row>
    <row r="1960" spans="3:10" hidden="1">
      <c r="C1960">
        <v>173000</v>
      </c>
      <c r="D1960" t="s">
        <v>48</v>
      </c>
      <c r="E1960" t="s">
        <v>983</v>
      </c>
      <c r="F1960" s="41"/>
      <c r="G1960" s="80" t="s">
        <v>567</v>
      </c>
      <c r="H1960" s="80" t="s">
        <v>9</v>
      </c>
      <c r="I1960" s="81" t="s">
        <v>983</v>
      </c>
      <c r="J1960" t="s">
        <v>6</v>
      </c>
    </row>
    <row r="1961" spans="3:10" hidden="1">
      <c r="C1961">
        <v>173001</v>
      </c>
      <c r="D1961" t="s">
        <v>49</v>
      </c>
      <c r="E1961" t="s">
        <v>984</v>
      </c>
      <c r="F1961" s="41"/>
      <c r="G1961" s="80" t="s">
        <v>567</v>
      </c>
      <c r="H1961" s="80" t="s">
        <v>9</v>
      </c>
      <c r="I1961" s="81" t="s">
        <v>983</v>
      </c>
      <c r="J1961" t="s">
        <v>6</v>
      </c>
    </row>
    <row r="1962" spans="3:10" hidden="1">
      <c r="C1962">
        <v>173002</v>
      </c>
      <c r="D1962" t="s">
        <v>49</v>
      </c>
      <c r="E1962" t="s">
        <v>985</v>
      </c>
      <c r="F1962" s="41"/>
      <c r="G1962" s="80" t="s">
        <v>567</v>
      </c>
      <c r="H1962" s="80" t="s">
        <v>9</v>
      </c>
      <c r="I1962" s="81" t="s">
        <v>983</v>
      </c>
      <c r="J1962" t="s">
        <v>6</v>
      </c>
    </row>
    <row r="1963" spans="3:10" hidden="1">
      <c r="C1963">
        <v>173003</v>
      </c>
      <c r="D1963" t="s">
        <v>49</v>
      </c>
      <c r="E1963" t="s">
        <v>986</v>
      </c>
      <c r="F1963" s="41"/>
      <c r="G1963" s="80" t="s">
        <v>567</v>
      </c>
      <c r="H1963" s="80" t="s">
        <v>9</v>
      </c>
      <c r="I1963" s="81" t="s">
        <v>983</v>
      </c>
      <c r="J1963" t="s">
        <v>6</v>
      </c>
    </row>
    <row r="1964" spans="3:10" hidden="1">
      <c r="C1964">
        <v>173004</v>
      </c>
      <c r="D1964" t="s">
        <v>49</v>
      </c>
      <c r="E1964" t="s">
        <v>987</v>
      </c>
      <c r="F1964" s="41"/>
      <c r="G1964" s="80" t="s">
        <v>567</v>
      </c>
      <c r="H1964" s="80" t="s">
        <v>9</v>
      </c>
      <c r="I1964" s="81" t="s">
        <v>983</v>
      </c>
      <c r="J1964" t="s">
        <v>6</v>
      </c>
    </row>
    <row r="1965" spans="3:10" hidden="1">
      <c r="C1965">
        <v>173005</v>
      </c>
      <c r="D1965" t="s">
        <v>49</v>
      </c>
      <c r="E1965" t="s">
        <v>57</v>
      </c>
      <c r="F1965" s="41"/>
      <c r="G1965" s="80" t="s">
        <v>567</v>
      </c>
      <c r="H1965" s="80" t="s">
        <v>9</v>
      </c>
      <c r="I1965" s="81" t="s">
        <v>983</v>
      </c>
      <c r="J1965" t="s">
        <v>6</v>
      </c>
    </row>
    <row r="1966" spans="3:10" hidden="1">
      <c r="C1966">
        <v>173006</v>
      </c>
      <c r="D1966" t="s">
        <v>58</v>
      </c>
      <c r="E1966" t="s">
        <v>59</v>
      </c>
      <c r="F1966" s="41"/>
      <c r="G1966" s="80" t="s">
        <v>567</v>
      </c>
      <c r="H1966" s="80" t="s">
        <v>9</v>
      </c>
      <c r="I1966" s="81" t="s">
        <v>983</v>
      </c>
      <c r="J1966" t="s">
        <v>6</v>
      </c>
    </row>
    <row r="1967" spans="3:10" hidden="1">
      <c r="C1967">
        <v>174000</v>
      </c>
      <c r="D1967" t="s">
        <v>48</v>
      </c>
      <c r="E1967" t="s">
        <v>988</v>
      </c>
      <c r="F1967" s="41"/>
      <c r="G1967" s="80" t="s">
        <v>567</v>
      </c>
      <c r="H1967" s="80" t="s">
        <v>9</v>
      </c>
      <c r="I1967" s="81" t="s">
        <v>988</v>
      </c>
      <c r="J1967" t="s">
        <v>6</v>
      </c>
    </row>
    <row r="1968" spans="3:10" hidden="1">
      <c r="C1968">
        <v>174001</v>
      </c>
      <c r="D1968" t="s">
        <v>49</v>
      </c>
      <c r="E1968" t="s">
        <v>715</v>
      </c>
      <c r="F1968" s="41"/>
      <c r="G1968" s="80" t="s">
        <v>567</v>
      </c>
      <c r="H1968" s="80" t="s">
        <v>9</v>
      </c>
      <c r="I1968" s="81" t="s">
        <v>988</v>
      </c>
      <c r="J1968" t="s">
        <v>6</v>
      </c>
    </row>
    <row r="1969" spans="3:10" hidden="1">
      <c r="C1969">
        <v>174002</v>
      </c>
      <c r="D1969" t="s">
        <v>49</v>
      </c>
      <c r="E1969" t="s">
        <v>989</v>
      </c>
      <c r="F1969" s="41"/>
      <c r="G1969" s="80" t="s">
        <v>567</v>
      </c>
      <c r="H1969" s="80" t="s">
        <v>9</v>
      </c>
      <c r="I1969" s="81" t="s">
        <v>988</v>
      </c>
      <c r="J1969" t="s">
        <v>6</v>
      </c>
    </row>
    <row r="1970" spans="3:10" hidden="1">
      <c r="C1970">
        <v>174003</v>
      </c>
      <c r="D1970" t="s">
        <v>49</v>
      </c>
      <c r="E1970" t="s">
        <v>990</v>
      </c>
      <c r="F1970" s="41"/>
      <c r="G1970" s="80" t="s">
        <v>567</v>
      </c>
      <c r="H1970" s="80" t="s">
        <v>9</v>
      </c>
      <c r="I1970" s="81" t="s">
        <v>988</v>
      </c>
      <c r="J1970" t="s">
        <v>6</v>
      </c>
    </row>
    <row r="1971" spans="3:10" hidden="1">
      <c r="C1971">
        <v>174004</v>
      </c>
      <c r="D1971" t="s">
        <v>49</v>
      </c>
      <c r="E1971" t="s">
        <v>991</v>
      </c>
      <c r="F1971" s="41"/>
      <c r="G1971" s="80" t="s">
        <v>567</v>
      </c>
      <c r="H1971" s="80" t="s">
        <v>9</v>
      </c>
      <c r="I1971" s="81" t="s">
        <v>988</v>
      </c>
      <c r="J1971" t="s">
        <v>6</v>
      </c>
    </row>
    <row r="1972" spans="3:10" hidden="1">
      <c r="C1972">
        <v>174005</v>
      </c>
      <c r="D1972" t="s">
        <v>49</v>
      </c>
      <c r="E1972" t="s">
        <v>992</v>
      </c>
      <c r="F1972" s="41"/>
      <c r="G1972" s="80" t="s">
        <v>567</v>
      </c>
      <c r="H1972" s="80" t="s">
        <v>9</v>
      </c>
      <c r="I1972" s="81" t="s">
        <v>988</v>
      </c>
      <c r="J1972" t="s">
        <v>6</v>
      </c>
    </row>
    <row r="1973" spans="3:10" hidden="1">
      <c r="C1973">
        <v>174006</v>
      </c>
      <c r="D1973" t="s">
        <v>49</v>
      </c>
      <c r="E1973" t="s">
        <v>993</v>
      </c>
      <c r="F1973" s="41"/>
      <c r="G1973" s="80" t="s">
        <v>567</v>
      </c>
      <c r="H1973" s="80" t="s">
        <v>9</v>
      </c>
      <c r="I1973" s="81" t="s">
        <v>988</v>
      </c>
      <c r="J1973" t="s">
        <v>6</v>
      </c>
    </row>
    <row r="1974" spans="3:10" hidden="1">
      <c r="C1974">
        <v>174007</v>
      </c>
      <c r="D1974" t="s">
        <v>49</v>
      </c>
      <c r="E1974" t="s">
        <v>994</v>
      </c>
      <c r="F1974" s="41"/>
      <c r="G1974" s="80" t="s">
        <v>567</v>
      </c>
      <c r="H1974" s="80" t="s">
        <v>9</v>
      </c>
      <c r="I1974" s="81" t="s">
        <v>988</v>
      </c>
      <c r="J1974" t="s">
        <v>6</v>
      </c>
    </row>
    <row r="1975" spans="3:10" hidden="1">
      <c r="C1975">
        <v>174008</v>
      </c>
      <c r="D1975" t="s">
        <v>49</v>
      </c>
      <c r="E1975" t="s">
        <v>995</v>
      </c>
      <c r="F1975" s="41"/>
      <c r="G1975" s="80" t="s">
        <v>567</v>
      </c>
      <c r="H1975" s="80" t="s">
        <v>9</v>
      </c>
      <c r="I1975" s="81" t="s">
        <v>988</v>
      </c>
      <c r="J1975" t="s">
        <v>6</v>
      </c>
    </row>
    <row r="1976" spans="3:10" hidden="1">
      <c r="C1976">
        <v>174009</v>
      </c>
      <c r="D1976" t="s">
        <v>49</v>
      </c>
      <c r="E1976" t="s">
        <v>57</v>
      </c>
      <c r="F1976" s="41"/>
      <c r="G1976" s="80" t="s">
        <v>567</v>
      </c>
      <c r="H1976" s="80" t="s">
        <v>9</v>
      </c>
      <c r="I1976" s="81" t="s">
        <v>988</v>
      </c>
      <c r="J1976" t="s">
        <v>6</v>
      </c>
    </row>
    <row r="1977" spans="3:10" hidden="1">
      <c r="C1977">
        <v>174010</v>
      </c>
      <c r="D1977" t="s">
        <v>58</v>
      </c>
      <c r="E1977" t="s">
        <v>59</v>
      </c>
      <c r="F1977" s="41"/>
      <c r="G1977" s="80" t="s">
        <v>567</v>
      </c>
      <c r="H1977" s="80" t="s">
        <v>9</v>
      </c>
      <c r="I1977" s="81" t="s">
        <v>988</v>
      </c>
      <c r="J1977" t="s">
        <v>6</v>
      </c>
    </row>
    <row r="1978" spans="3:10" hidden="1">
      <c r="C1978">
        <v>175000</v>
      </c>
      <c r="D1978" t="s">
        <v>48</v>
      </c>
      <c r="E1978" t="s">
        <v>996</v>
      </c>
      <c r="F1978" s="41"/>
      <c r="G1978" s="80" t="s">
        <v>567</v>
      </c>
      <c r="H1978" s="80" t="s">
        <v>9</v>
      </c>
      <c r="I1978" s="81" t="s">
        <v>996</v>
      </c>
      <c r="J1978" t="s">
        <v>6</v>
      </c>
    </row>
    <row r="1979" spans="3:10" hidden="1">
      <c r="C1979">
        <v>175001</v>
      </c>
      <c r="D1979" t="s">
        <v>49</v>
      </c>
      <c r="E1979" t="s">
        <v>997</v>
      </c>
      <c r="F1979" s="41"/>
      <c r="G1979" s="80" t="s">
        <v>567</v>
      </c>
      <c r="H1979" s="80" t="s">
        <v>9</v>
      </c>
      <c r="I1979" s="81" t="s">
        <v>996</v>
      </c>
      <c r="J1979" t="s">
        <v>6</v>
      </c>
    </row>
    <row r="1980" spans="3:10" hidden="1">
      <c r="C1980">
        <v>175002</v>
      </c>
      <c r="D1980" t="s">
        <v>49</v>
      </c>
      <c r="E1980" t="s">
        <v>998</v>
      </c>
      <c r="F1980" s="41"/>
      <c r="G1980" s="80" t="s">
        <v>567</v>
      </c>
      <c r="H1980" s="80" t="s">
        <v>9</v>
      </c>
      <c r="I1980" s="81" t="s">
        <v>996</v>
      </c>
      <c r="J1980" t="s">
        <v>6</v>
      </c>
    </row>
    <row r="1981" spans="3:10" hidden="1">
      <c r="C1981">
        <v>175003</v>
      </c>
      <c r="D1981" t="s">
        <v>49</v>
      </c>
      <c r="E1981" t="s">
        <v>693</v>
      </c>
      <c r="F1981" s="41"/>
      <c r="G1981" s="80" t="s">
        <v>567</v>
      </c>
      <c r="H1981" s="80" t="s">
        <v>9</v>
      </c>
      <c r="I1981" s="81" t="s">
        <v>996</v>
      </c>
      <c r="J1981" t="s">
        <v>6</v>
      </c>
    </row>
    <row r="1982" spans="3:10" hidden="1">
      <c r="C1982">
        <v>175004</v>
      </c>
      <c r="D1982" t="s">
        <v>49</v>
      </c>
      <c r="E1982" t="s">
        <v>999</v>
      </c>
      <c r="F1982" s="41"/>
      <c r="G1982" s="80" t="s">
        <v>567</v>
      </c>
      <c r="H1982" s="80" t="s">
        <v>9</v>
      </c>
      <c r="I1982" s="81" t="s">
        <v>996</v>
      </c>
      <c r="J1982" t="s">
        <v>6</v>
      </c>
    </row>
    <row r="1983" spans="3:10" hidden="1">
      <c r="C1983">
        <v>175005</v>
      </c>
      <c r="D1983" t="s">
        <v>49</v>
      </c>
      <c r="E1983" t="s">
        <v>1000</v>
      </c>
      <c r="F1983" s="41"/>
      <c r="G1983" s="80" t="s">
        <v>567</v>
      </c>
      <c r="H1983" s="80" t="s">
        <v>9</v>
      </c>
      <c r="I1983" s="81" t="s">
        <v>996</v>
      </c>
      <c r="J1983" t="s">
        <v>6</v>
      </c>
    </row>
    <row r="1984" spans="3:10" hidden="1">
      <c r="C1984">
        <v>175006</v>
      </c>
      <c r="D1984" t="s">
        <v>49</v>
      </c>
      <c r="E1984" t="s">
        <v>995</v>
      </c>
      <c r="F1984" s="41"/>
      <c r="G1984" s="80" t="s">
        <v>567</v>
      </c>
      <c r="H1984" s="80" t="s">
        <v>9</v>
      </c>
      <c r="I1984" s="81" t="s">
        <v>996</v>
      </c>
      <c r="J1984" t="s">
        <v>6</v>
      </c>
    </row>
    <row r="1985" spans="3:10" hidden="1">
      <c r="C1985">
        <v>175007</v>
      </c>
      <c r="D1985" t="s">
        <v>49</v>
      </c>
      <c r="E1985" t="s">
        <v>57</v>
      </c>
      <c r="F1985" s="41"/>
      <c r="G1985" s="80" t="s">
        <v>567</v>
      </c>
      <c r="H1985" s="80" t="s">
        <v>9</v>
      </c>
      <c r="I1985" s="81" t="s">
        <v>996</v>
      </c>
      <c r="J1985" t="s">
        <v>6</v>
      </c>
    </row>
    <row r="1986" spans="3:10" hidden="1">
      <c r="C1986">
        <v>175008</v>
      </c>
      <c r="D1986" t="s">
        <v>58</v>
      </c>
      <c r="E1986" t="s">
        <v>59</v>
      </c>
      <c r="F1986" s="41"/>
      <c r="G1986" s="80" t="s">
        <v>567</v>
      </c>
      <c r="H1986" s="80" t="s">
        <v>9</v>
      </c>
      <c r="I1986" s="81" t="s">
        <v>996</v>
      </c>
      <c r="J1986" t="s">
        <v>6</v>
      </c>
    </row>
    <row r="1987" spans="3:10" hidden="1">
      <c r="C1987">
        <v>176000</v>
      </c>
      <c r="D1987" t="s">
        <v>48</v>
      </c>
      <c r="E1987" t="s">
        <v>1001</v>
      </c>
      <c r="F1987" s="41"/>
      <c r="G1987" s="80" t="s">
        <v>567</v>
      </c>
      <c r="H1987" s="80" t="s">
        <v>9</v>
      </c>
      <c r="I1987" s="81" t="s">
        <v>1001</v>
      </c>
      <c r="J1987" t="s">
        <v>6</v>
      </c>
    </row>
    <row r="1988" spans="3:10" hidden="1">
      <c r="C1988">
        <v>176001</v>
      </c>
      <c r="D1988" t="s">
        <v>49</v>
      </c>
      <c r="E1988" t="s">
        <v>750</v>
      </c>
      <c r="F1988" s="41"/>
      <c r="G1988" s="80" t="s">
        <v>567</v>
      </c>
      <c r="H1988" s="80" t="s">
        <v>9</v>
      </c>
      <c r="I1988" s="81" t="s">
        <v>1001</v>
      </c>
      <c r="J1988" t="s">
        <v>6</v>
      </c>
    </row>
    <row r="1989" spans="3:10" hidden="1">
      <c r="C1989">
        <v>176002</v>
      </c>
      <c r="D1989" t="s">
        <v>49</v>
      </c>
      <c r="E1989" t="s">
        <v>751</v>
      </c>
      <c r="F1989" s="41"/>
      <c r="G1989" s="80" t="s">
        <v>567</v>
      </c>
      <c r="H1989" s="80" t="s">
        <v>9</v>
      </c>
      <c r="I1989" s="81" t="s">
        <v>1001</v>
      </c>
      <c r="J1989" t="s">
        <v>6</v>
      </c>
    </row>
    <row r="1990" spans="3:10" hidden="1">
      <c r="C1990">
        <v>176003</v>
      </c>
      <c r="D1990" t="s">
        <v>49</v>
      </c>
      <c r="E1990" t="s">
        <v>1002</v>
      </c>
      <c r="F1990" s="41"/>
      <c r="G1990" s="80" t="s">
        <v>567</v>
      </c>
      <c r="H1990" s="80" t="s">
        <v>9</v>
      </c>
      <c r="I1990" s="81" t="s">
        <v>1001</v>
      </c>
      <c r="J1990" t="s">
        <v>6</v>
      </c>
    </row>
    <row r="1991" spans="3:10" hidden="1">
      <c r="C1991">
        <v>176004</v>
      </c>
      <c r="D1991" t="s">
        <v>49</v>
      </c>
      <c r="E1991" t="s">
        <v>753</v>
      </c>
      <c r="F1991" s="41"/>
      <c r="G1991" s="80" t="s">
        <v>567</v>
      </c>
      <c r="H1991" s="80" t="s">
        <v>9</v>
      </c>
      <c r="I1991" s="81" t="s">
        <v>1001</v>
      </c>
      <c r="J1991" t="s">
        <v>6</v>
      </c>
    </row>
    <row r="1992" spans="3:10" hidden="1">
      <c r="C1992">
        <v>176005</v>
      </c>
      <c r="D1992" t="s">
        <v>49</v>
      </c>
      <c r="E1992" t="s">
        <v>1715</v>
      </c>
      <c r="F1992" s="41"/>
      <c r="G1992" s="80" t="s">
        <v>567</v>
      </c>
      <c r="H1992" s="80" t="s">
        <v>9</v>
      </c>
      <c r="I1992" s="81" t="s">
        <v>1001</v>
      </c>
      <c r="J1992" t="s">
        <v>6</v>
      </c>
    </row>
    <row r="1993" spans="3:10" hidden="1">
      <c r="C1993">
        <v>176006</v>
      </c>
      <c r="D1993" t="s">
        <v>49</v>
      </c>
      <c r="E1993" t="s">
        <v>1004</v>
      </c>
      <c r="F1993" s="41"/>
      <c r="G1993" s="80" t="s">
        <v>567</v>
      </c>
      <c r="H1993" s="80" t="s">
        <v>9</v>
      </c>
      <c r="I1993" s="81" t="s">
        <v>1001</v>
      </c>
      <c r="J1993" t="s">
        <v>6</v>
      </c>
    </row>
    <row r="1994" spans="3:10" hidden="1">
      <c r="C1994">
        <v>176007</v>
      </c>
      <c r="D1994" t="s">
        <v>49</v>
      </c>
      <c r="E1994" t="s">
        <v>1005</v>
      </c>
      <c r="F1994" s="41"/>
      <c r="G1994" s="80" t="s">
        <v>567</v>
      </c>
      <c r="H1994" s="80" t="s">
        <v>9</v>
      </c>
      <c r="I1994" s="81" t="s">
        <v>1001</v>
      </c>
      <c r="J1994" t="s">
        <v>6</v>
      </c>
    </row>
    <row r="1995" spans="3:10" hidden="1">
      <c r="C1995">
        <v>176008</v>
      </c>
      <c r="D1995" t="s">
        <v>49</v>
      </c>
      <c r="E1995" t="s">
        <v>1006</v>
      </c>
      <c r="F1995" s="41"/>
      <c r="G1995" s="80" t="s">
        <v>567</v>
      </c>
      <c r="H1995" s="80" t="s">
        <v>9</v>
      </c>
      <c r="I1995" s="81" t="s">
        <v>1001</v>
      </c>
      <c r="J1995" t="s">
        <v>6</v>
      </c>
    </row>
    <row r="1996" spans="3:10" hidden="1">
      <c r="C1996">
        <v>176009</v>
      </c>
      <c r="D1996" t="s">
        <v>49</v>
      </c>
      <c r="E1996" t="s">
        <v>1007</v>
      </c>
      <c r="F1996" s="41"/>
      <c r="G1996" s="80" t="s">
        <v>567</v>
      </c>
      <c r="H1996" s="80" t="s">
        <v>9</v>
      </c>
      <c r="I1996" s="81" t="s">
        <v>1001</v>
      </c>
      <c r="J1996" t="s">
        <v>6</v>
      </c>
    </row>
    <row r="1997" spans="3:10" hidden="1">
      <c r="C1997">
        <v>176010</v>
      </c>
      <c r="D1997" t="s">
        <v>49</v>
      </c>
      <c r="E1997" t="s">
        <v>759</v>
      </c>
      <c r="F1997" s="41"/>
      <c r="G1997" s="80" t="s">
        <v>567</v>
      </c>
      <c r="H1997" s="80" t="s">
        <v>9</v>
      </c>
      <c r="I1997" s="81" t="s">
        <v>1001</v>
      </c>
      <c r="J1997" t="s">
        <v>6</v>
      </c>
    </row>
    <row r="1998" spans="3:10" hidden="1">
      <c r="C1998">
        <v>176011</v>
      </c>
      <c r="D1998" t="s">
        <v>49</v>
      </c>
      <c r="E1998" t="s">
        <v>57</v>
      </c>
      <c r="F1998" s="41"/>
      <c r="G1998" s="80" t="s">
        <v>567</v>
      </c>
      <c r="H1998" s="80" t="s">
        <v>9</v>
      </c>
      <c r="I1998" s="81" t="s">
        <v>1001</v>
      </c>
      <c r="J1998" t="s">
        <v>6</v>
      </c>
    </row>
    <row r="1999" spans="3:10" hidden="1">
      <c r="C1999">
        <v>176012</v>
      </c>
      <c r="D1999" t="s">
        <v>58</v>
      </c>
      <c r="E1999" t="s">
        <v>59</v>
      </c>
      <c r="F1999" s="41"/>
      <c r="G1999" s="80" t="s">
        <v>567</v>
      </c>
      <c r="H1999" s="80" t="s">
        <v>9</v>
      </c>
      <c r="I1999" s="81" t="s">
        <v>1001</v>
      </c>
      <c r="J1999" t="s">
        <v>6</v>
      </c>
    </row>
    <row r="2000" spans="3:10" hidden="1">
      <c r="C2000">
        <v>177000</v>
      </c>
      <c r="D2000" t="s">
        <v>48</v>
      </c>
      <c r="E2000" t="s">
        <v>1008</v>
      </c>
      <c r="F2000" s="41"/>
      <c r="G2000" s="80" t="s">
        <v>567</v>
      </c>
      <c r="H2000" s="80" t="s">
        <v>9</v>
      </c>
      <c r="I2000" s="81" t="s">
        <v>1008</v>
      </c>
      <c r="J2000" t="s">
        <v>6</v>
      </c>
    </row>
    <row r="2001" spans="3:10" hidden="1">
      <c r="C2001">
        <v>177001</v>
      </c>
      <c r="D2001" t="s">
        <v>49</v>
      </c>
      <c r="E2001" t="s">
        <v>984</v>
      </c>
      <c r="F2001" s="41"/>
      <c r="G2001" s="80" t="s">
        <v>567</v>
      </c>
      <c r="H2001" s="80" t="s">
        <v>9</v>
      </c>
      <c r="I2001" s="81" t="s">
        <v>1008</v>
      </c>
      <c r="J2001" t="s">
        <v>6</v>
      </c>
    </row>
    <row r="2002" spans="3:10" hidden="1">
      <c r="C2002">
        <v>177002</v>
      </c>
      <c r="D2002" t="s">
        <v>49</v>
      </c>
      <c r="E2002" t="s">
        <v>985</v>
      </c>
      <c r="F2002" s="41"/>
      <c r="G2002" s="80" t="s">
        <v>567</v>
      </c>
      <c r="H2002" s="80" t="s">
        <v>9</v>
      </c>
      <c r="I2002" s="81" t="s">
        <v>1008</v>
      </c>
      <c r="J2002" t="s">
        <v>6</v>
      </c>
    </row>
    <row r="2003" spans="3:10" hidden="1">
      <c r="C2003">
        <v>177003</v>
      </c>
      <c r="D2003" t="s">
        <v>49</v>
      </c>
      <c r="E2003" t="s">
        <v>986</v>
      </c>
      <c r="F2003" s="41"/>
      <c r="G2003" s="80" t="s">
        <v>567</v>
      </c>
      <c r="H2003" s="80" t="s">
        <v>9</v>
      </c>
      <c r="I2003" s="81" t="s">
        <v>1008</v>
      </c>
      <c r="J2003" t="s">
        <v>6</v>
      </c>
    </row>
    <row r="2004" spans="3:10" hidden="1">
      <c r="C2004">
        <v>177004</v>
      </c>
      <c r="D2004" t="s">
        <v>49</v>
      </c>
      <c r="E2004" t="s">
        <v>987</v>
      </c>
      <c r="F2004" s="41"/>
      <c r="G2004" s="80" t="s">
        <v>567</v>
      </c>
      <c r="H2004" s="80" t="s">
        <v>9</v>
      </c>
      <c r="I2004" s="81" t="s">
        <v>1008</v>
      </c>
      <c r="J2004" t="s">
        <v>6</v>
      </c>
    </row>
    <row r="2005" spans="3:10" hidden="1">
      <c r="C2005">
        <v>177005</v>
      </c>
      <c r="D2005" t="s">
        <v>49</v>
      </c>
      <c r="E2005" t="s">
        <v>57</v>
      </c>
      <c r="F2005" s="41"/>
      <c r="G2005" s="80" t="s">
        <v>567</v>
      </c>
      <c r="H2005" s="80" t="s">
        <v>9</v>
      </c>
      <c r="I2005" s="81" t="s">
        <v>1008</v>
      </c>
      <c r="J2005" t="s">
        <v>6</v>
      </c>
    </row>
    <row r="2006" spans="3:10" hidden="1">
      <c r="C2006">
        <v>177006</v>
      </c>
      <c r="D2006" t="s">
        <v>58</v>
      </c>
      <c r="E2006" t="s">
        <v>59</v>
      </c>
      <c r="F2006" s="41"/>
      <c r="G2006" s="80" t="s">
        <v>567</v>
      </c>
      <c r="H2006" s="80" t="s">
        <v>9</v>
      </c>
      <c r="I2006" s="81" t="s">
        <v>1008</v>
      </c>
      <c r="J2006" t="s">
        <v>6</v>
      </c>
    </row>
    <row r="2007" spans="3:10" hidden="1">
      <c r="C2007">
        <v>178000</v>
      </c>
      <c r="D2007" t="s">
        <v>48</v>
      </c>
      <c r="E2007" t="s">
        <v>1009</v>
      </c>
      <c r="F2007" s="41"/>
      <c r="G2007" s="80" t="s">
        <v>567</v>
      </c>
      <c r="H2007" s="80" t="s">
        <v>9</v>
      </c>
      <c r="I2007" s="81" t="s">
        <v>1009</v>
      </c>
      <c r="J2007" t="s">
        <v>6</v>
      </c>
    </row>
    <row r="2008" spans="3:10" hidden="1">
      <c r="C2008">
        <v>178001</v>
      </c>
      <c r="D2008" t="s">
        <v>49</v>
      </c>
      <c r="E2008" t="s">
        <v>1010</v>
      </c>
      <c r="F2008" s="41"/>
      <c r="G2008" s="80" t="s">
        <v>567</v>
      </c>
      <c r="H2008" s="80" t="s">
        <v>9</v>
      </c>
      <c r="I2008" s="81" t="s">
        <v>1009</v>
      </c>
      <c r="J2008" t="s">
        <v>6</v>
      </c>
    </row>
    <row r="2009" spans="3:10" hidden="1">
      <c r="C2009">
        <v>178002</v>
      </c>
      <c r="D2009" t="s">
        <v>49</v>
      </c>
      <c r="E2009" t="s">
        <v>1011</v>
      </c>
      <c r="F2009" s="41"/>
      <c r="G2009" s="80" t="s">
        <v>567</v>
      </c>
      <c r="H2009" s="80" t="s">
        <v>9</v>
      </c>
      <c r="I2009" s="81" t="s">
        <v>1009</v>
      </c>
      <c r="J2009" t="s">
        <v>6</v>
      </c>
    </row>
    <row r="2010" spans="3:10" hidden="1">
      <c r="C2010">
        <v>178003</v>
      </c>
      <c r="D2010" t="s">
        <v>49</v>
      </c>
      <c r="E2010" t="s">
        <v>1012</v>
      </c>
      <c r="F2010" s="41"/>
      <c r="G2010" s="80" t="s">
        <v>567</v>
      </c>
      <c r="H2010" s="80" t="s">
        <v>9</v>
      </c>
      <c r="I2010" s="81" t="s">
        <v>1009</v>
      </c>
      <c r="J2010" t="s">
        <v>6</v>
      </c>
    </row>
    <row r="2011" spans="3:10" hidden="1">
      <c r="C2011">
        <v>178004</v>
      </c>
      <c r="D2011" t="s">
        <v>49</v>
      </c>
      <c r="E2011" t="s">
        <v>1013</v>
      </c>
      <c r="F2011" s="41"/>
      <c r="G2011" s="80" t="s">
        <v>567</v>
      </c>
      <c r="H2011" s="80" t="s">
        <v>9</v>
      </c>
      <c r="I2011" s="81" t="s">
        <v>1009</v>
      </c>
      <c r="J2011" t="s">
        <v>6</v>
      </c>
    </row>
    <row r="2012" spans="3:10" hidden="1">
      <c r="C2012">
        <v>178005</v>
      </c>
      <c r="D2012" t="s">
        <v>49</v>
      </c>
      <c r="E2012" t="s">
        <v>1014</v>
      </c>
      <c r="F2012" s="41"/>
      <c r="G2012" s="80" t="s">
        <v>567</v>
      </c>
      <c r="H2012" s="80" t="s">
        <v>9</v>
      </c>
      <c r="I2012" s="81" t="s">
        <v>1009</v>
      </c>
      <c r="J2012" t="s">
        <v>6</v>
      </c>
    </row>
    <row r="2013" spans="3:10" hidden="1">
      <c r="C2013">
        <v>178006</v>
      </c>
      <c r="D2013" t="s">
        <v>49</v>
      </c>
      <c r="E2013" t="s">
        <v>1015</v>
      </c>
      <c r="F2013" s="41"/>
      <c r="G2013" s="80" t="s">
        <v>567</v>
      </c>
      <c r="H2013" s="80" t="s">
        <v>9</v>
      </c>
      <c r="I2013" s="81" t="s">
        <v>1009</v>
      </c>
      <c r="J2013" t="s">
        <v>6</v>
      </c>
    </row>
    <row r="2014" spans="3:10" hidden="1">
      <c r="C2014">
        <v>178007</v>
      </c>
      <c r="D2014" t="s">
        <v>49</v>
      </c>
      <c r="E2014" t="s">
        <v>987</v>
      </c>
      <c r="F2014" s="41"/>
      <c r="G2014" s="80" t="s">
        <v>567</v>
      </c>
      <c r="H2014" s="80" t="s">
        <v>9</v>
      </c>
      <c r="I2014" s="81" t="s">
        <v>1009</v>
      </c>
      <c r="J2014" t="s">
        <v>6</v>
      </c>
    </row>
    <row r="2015" spans="3:10" hidden="1">
      <c r="C2015">
        <v>178008</v>
      </c>
      <c r="D2015" t="s">
        <v>49</v>
      </c>
      <c r="E2015" t="s">
        <v>57</v>
      </c>
      <c r="F2015" s="41"/>
      <c r="G2015" s="80" t="s">
        <v>567</v>
      </c>
      <c r="H2015" s="80" t="s">
        <v>9</v>
      </c>
      <c r="I2015" s="81" t="s">
        <v>1009</v>
      </c>
      <c r="J2015" t="s">
        <v>6</v>
      </c>
    </row>
    <row r="2016" spans="3:10" hidden="1">
      <c r="C2016">
        <v>178009</v>
      </c>
      <c r="D2016" t="s">
        <v>58</v>
      </c>
      <c r="E2016" t="s">
        <v>59</v>
      </c>
      <c r="F2016" s="41"/>
      <c r="G2016" s="80" t="s">
        <v>567</v>
      </c>
      <c r="H2016" s="80" t="s">
        <v>9</v>
      </c>
      <c r="I2016" s="81" t="s">
        <v>1009</v>
      </c>
      <c r="J2016" t="s">
        <v>6</v>
      </c>
    </row>
    <row r="2017" spans="3:10" hidden="1">
      <c r="C2017">
        <v>179000</v>
      </c>
      <c r="D2017" t="s">
        <v>48</v>
      </c>
      <c r="E2017" t="s">
        <v>1016</v>
      </c>
      <c r="F2017" s="41"/>
      <c r="G2017" s="80" t="s">
        <v>598</v>
      </c>
      <c r="H2017" s="80" t="s">
        <v>9</v>
      </c>
      <c r="I2017" s="81" t="s">
        <v>1016</v>
      </c>
      <c r="J2017" t="s">
        <v>6</v>
      </c>
    </row>
    <row r="2018" spans="3:10" hidden="1">
      <c r="C2018">
        <v>179001</v>
      </c>
      <c r="D2018" t="s">
        <v>49</v>
      </c>
      <c r="E2018" t="s">
        <v>1017</v>
      </c>
      <c r="F2018" s="41"/>
      <c r="G2018" s="80" t="s">
        <v>598</v>
      </c>
      <c r="H2018" s="80" t="s">
        <v>9</v>
      </c>
      <c r="I2018" s="81" t="s">
        <v>1016</v>
      </c>
      <c r="J2018" t="s">
        <v>6</v>
      </c>
    </row>
    <row r="2019" spans="3:10" hidden="1">
      <c r="C2019">
        <v>179002</v>
      </c>
      <c r="D2019" t="s">
        <v>49</v>
      </c>
      <c r="E2019" t="s">
        <v>1018</v>
      </c>
      <c r="F2019" s="41"/>
      <c r="G2019" s="80" t="s">
        <v>598</v>
      </c>
      <c r="H2019" s="80" t="s">
        <v>9</v>
      </c>
      <c r="I2019" s="81" t="s">
        <v>1016</v>
      </c>
      <c r="J2019" t="s">
        <v>6</v>
      </c>
    </row>
    <row r="2020" spans="3:10" hidden="1">
      <c r="C2020">
        <v>179003</v>
      </c>
      <c r="D2020" t="s">
        <v>49</v>
      </c>
      <c r="E2020" t="s">
        <v>1019</v>
      </c>
      <c r="F2020" s="41"/>
      <c r="G2020" s="80" t="s">
        <v>598</v>
      </c>
      <c r="H2020" s="80" t="s">
        <v>9</v>
      </c>
      <c r="I2020" s="81" t="s">
        <v>1016</v>
      </c>
      <c r="J2020" t="s">
        <v>6</v>
      </c>
    </row>
    <row r="2021" spans="3:10" hidden="1">
      <c r="C2021">
        <v>179004</v>
      </c>
      <c r="D2021" t="s">
        <v>49</v>
      </c>
      <c r="E2021" t="s">
        <v>1020</v>
      </c>
      <c r="F2021" s="41"/>
      <c r="G2021" s="80" t="s">
        <v>598</v>
      </c>
      <c r="H2021" s="80" t="s">
        <v>9</v>
      </c>
      <c r="I2021" s="81" t="s">
        <v>1016</v>
      </c>
      <c r="J2021" t="s">
        <v>6</v>
      </c>
    </row>
    <row r="2022" spans="3:10" hidden="1">
      <c r="C2022">
        <v>179005</v>
      </c>
      <c r="D2022" t="s">
        <v>49</v>
      </c>
      <c r="E2022" t="s">
        <v>1021</v>
      </c>
      <c r="F2022" s="41"/>
      <c r="G2022" s="80" t="s">
        <v>598</v>
      </c>
      <c r="H2022" s="80" t="s">
        <v>9</v>
      </c>
      <c r="I2022" s="81" t="s">
        <v>1016</v>
      </c>
      <c r="J2022" t="s">
        <v>6</v>
      </c>
    </row>
    <row r="2023" spans="3:10" hidden="1">
      <c r="C2023">
        <v>179006</v>
      </c>
      <c r="D2023" t="s">
        <v>49</v>
      </c>
      <c r="E2023" t="s">
        <v>1022</v>
      </c>
      <c r="F2023" s="41"/>
      <c r="G2023" s="80" t="s">
        <v>598</v>
      </c>
      <c r="H2023" s="80" t="s">
        <v>9</v>
      </c>
      <c r="I2023" s="81" t="s">
        <v>1016</v>
      </c>
      <c r="J2023" t="s">
        <v>6</v>
      </c>
    </row>
    <row r="2024" spans="3:10" hidden="1">
      <c r="C2024">
        <v>179007</v>
      </c>
      <c r="D2024" t="s">
        <v>49</v>
      </c>
      <c r="E2024" t="s">
        <v>1023</v>
      </c>
      <c r="F2024" s="41"/>
      <c r="G2024" s="80" t="s">
        <v>598</v>
      </c>
      <c r="H2024" s="80" t="s">
        <v>9</v>
      </c>
      <c r="I2024" s="81" t="s">
        <v>1016</v>
      </c>
      <c r="J2024" t="s">
        <v>6</v>
      </c>
    </row>
    <row r="2025" spans="3:10" hidden="1">
      <c r="C2025">
        <v>179008</v>
      </c>
      <c r="D2025" t="s">
        <v>49</v>
      </c>
      <c r="E2025" t="s">
        <v>1024</v>
      </c>
      <c r="F2025" s="41"/>
      <c r="G2025" s="80" t="s">
        <v>598</v>
      </c>
      <c r="H2025" s="80" t="s">
        <v>9</v>
      </c>
      <c r="I2025" s="81" t="s">
        <v>1016</v>
      </c>
      <c r="J2025" t="s">
        <v>6</v>
      </c>
    </row>
    <row r="2026" spans="3:10" hidden="1">
      <c r="C2026">
        <v>179009</v>
      </c>
      <c r="D2026" t="s">
        <v>49</v>
      </c>
      <c r="E2026" t="s">
        <v>1025</v>
      </c>
      <c r="F2026" s="41"/>
      <c r="G2026" s="80" t="s">
        <v>598</v>
      </c>
      <c r="H2026" s="80" t="s">
        <v>9</v>
      </c>
      <c r="I2026" s="81" t="s">
        <v>1016</v>
      </c>
      <c r="J2026" t="s">
        <v>6</v>
      </c>
    </row>
    <row r="2027" spans="3:10" hidden="1">
      <c r="C2027">
        <v>179010</v>
      </c>
      <c r="D2027" t="s">
        <v>49</v>
      </c>
      <c r="E2027" t="s">
        <v>1026</v>
      </c>
      <c r="F2027" s="41"/>
      <c r="G2027" s="80" t="s">
        <v>598</v>
      </c>
      <c r="H2027" s="80" t="s">
        <v>9</v>
      </c>
      <c r="I2027" s="81" t="s">
        <v>1016</v>
      </c>
      <c r="J2027" t="s">
        <v>6</v>
      </c>
    </row>
    <row r="2028" spans="3:10" hidden="1">
      <c r="C2028">
        <v>179011</v>
      </c>
      <c r="D2028" t="s">
        <v>49</v>
      </c>
      <c r="E2028" t="s">
        <v>57</v>
      </c>
      <c r="F2028" s="41"/>
      <c r="G2028" s="80" t="s">
        <v>598</v>
      </c>
      <c r="H2028" s="80" t="s">
        <v>9</v>
      </c>
      <c r="I2028" s="81" t="s">
        <v>1016</v>
      </c>
      <c r="J2028" t="s">
        <v>6</v>
      </c>
    </row>
    <row r="2029" spans="3:10" hidden="1">
      <c r="C2029">
        <v>179012</v>
      </c>
      <c r="D2029" t="s">
        <v>58</v>
      </c>
      <c r="E2029" t="s">
        <v>59</v>
      </c>
      <c r="F2029" s="41"/>
      <c r="G2029" s="80" t="s">
        <v>598</v>
      </c>
      <c r="H2029" s="80" t="s">
        <v>9</v>
      </c>
      <c r="I2029" s="81" t="s">
        <v>1016</v>
      </c>
      <c r="J2029" t="s">
        <v>6</v>
      </c>
    </row>
    <row r="2030" spans="3:10" hidden="1">
      <c r="C2030">
        <v>180000</v>
      </c>
      <c r="D2030" t="s">
        <v>48</v>
      </c>
      <c r="E2030" t="s">
        <v>1027</v>
      </c>
      <c r="F2030" s="41"/>
      <c r="G2030" s="80" t="s">
        <v>32</v>
      </c>
      <c r="H2030" s="80" t="s">
        <v>9</v>
      </c>
      <c r="I2030" s="81" t="s">
        <v>1027</v>
      </c>
      <c r="J2030" t="s">
        <v>6</v>
      </c>
    </row>
    <row r="2031" spans="3:10" hidden="1">
      <c r="C2031">
        <v>180001</v>
      </c>
      <c r="D2031" t="s">
        <v>49</v>
      </c>
      <c r="E2031" t="s">
        <v>1028</v>
      </c>
      <c r="F2031" s="41"/>
      <c r="G2031" s="80" t="s">
        <v>32</v>
      </c>
      <c r="H2031" s="80" t="s">
        <v>9</v>
      </c>
      <c r="I2031" s="81" t="s">
        <v>1027</v>
      </c>
      <c r="J2031" t="s">
        <v>6</v>
      </c>
    </row>
    <row r="2032" spans="3:10" hidden="1">
      <c r="C2032">
        <v>180002</v>
      </c>
      <c r="D2032" t="s">
        <v>124</v>
      </c>
      <c r="E2032" t="s">
        <v>1029</v>
      </c>
      <c r="F2032" s="41"/>
      <c r="G2032" s="80" t="s">
        <v>32</v>
      </c>
      <c r="H2032" s="80" t="s">
        <v>9</v>
      </c>
      <c r="I2032" s="81" t="s">
        <v>1027</v>
      </c>
      <c r="J2032" t="s">
        <v>6</v>
      </c>
    </row>
    <row r="2033" spans="3:10" hidden="1">
      <c r="C2033">
        <v>180003</v>
      </c>
      <c r="D2033" t="s">
        <v>124</v>
      </c>
      <c r="E2033" t="s">
        <v>1030</v>
      </c>
      <c r="F2033" s="41"/>
      <c r="G2033" s="80" t="s">
        <v>32</v>
      </c>
      <c r="H2033" s="80" t="s">
        <v>9</v>
      </c>
      <c r="I2033" s="81" t="s">
        <v>1027</v>
      </c>
      <c r="J2033" t="s">
        <v>6</v>
      </c>
    </row>
    <row r="2034" spans="3:10" hidden="1">
      <c r="C2034">
        <v>180004</v>
      </c>
      <c r="D2034" t="s">
        <v>124</v>
      </c>
      <c r="E2034" t="s">
        <v>1031</v>
      </c>
      <c r="F2034" s="41"/>
      <c r="G2034" s="80" t="s">
        <v>32</v>
      </c>
      <c r="H2034" s="80" t="s">
        <v>9</v>
      </c>
      <c r="I2034" s="81" t="s">
        <v>1027</v>
      </c>
      <c r="J2034" t="s">
        <v>6</v>
      </c>
    </row>
    <row r="2035" spans="3:10" hidden="1">
      <c r="C2035">
        <v>180005</v>
      </c>
      <c r="D2035" t="s">
        <v>124</v>
      </c>
      <c r="E2035" t="s">
        <v>1032</v>
      </c>
      <c r="F2035" s="41"/>
      <c r="G2035" s="80" t="s">
        <v>32</v>
      </c>
      <c r="H2035" s="80" t="s">
        <v>9</v>
      </c>
      <c r="I2035" s="81" t="s">
        <v>1027</v>
      </c>
      <c r="J2035" t="s">
        <v>6</v>
      </c>
    </row>
    <row r="2036" spans="3:10" hidden="1">
      <c r="C2036">
        <v>180006</v>
      </c>
      <c r="D2036" t="s">
        <v>124</v>
      </c>
      <c r="E2036" t="s">
        <v>1033</v>
      </c>
      <c r="F2036" s="41"/>
      <c r="G2036" s="80" t="s">
        <v>32</v>
      </c>
      <c r="H2036" s="80" t="s">
        <v>9</v>
      </c>
      <c r="I2036" s="81" t="s">
        <v>1027</v>
      </c>
      <c r="J2036" t="s">
        <v>6</v>
      </c>
    </row>
    <row r="2037" spans="3:10" hidden="1">
      <c r="C2037">
        <v>180007</v>
      </c>
      <c r="D2037" t="s">
        <v>1034</v>
      </c>
      <c r="E2037" t="s">
        <v>1035</v>
      </c>
      <c r="F2037" s="41"/>
      <c r="G2037" s="80" t="s">
        <v>32</v>
      </c>
      <c r="H2037" s="80" t="s">
        <v>9</v>
      </c>
      <c r="I2037" s="81" t="s">
        <v>1027</v>
      </c>
      <c r="J2037" t="s">
        <v>6</v>
      </c>
    </row>
    <row r="2038" spans="3:10" hidden="1">
      <c r="C2038">
        <v>180008</v>
      </c>
      <c r="D2038" t="s">
        <v>124</v>
      </c>
      <c r="E2038" t="s">
        <v>1036</v>
      </c>
      <c r="F2038" s="41"/>
      <c r="G2038" s="80" t="s">
        <v>32</v>
      </c>
      <c r="H2038" s="80" t="s">
        <v>9</v>
      </c>
      <c r="I2038" s="81" t="s">
        <v>1027</v>
      </c>
      <c r="J2038" t="s">
        <v>6</v>
      </c>
    </row>
    <row r="2039" spans="3:10" hidden="1">
      <c r="C2039">
        <v>180009</v>
      </c>
      <c r="D2039" t="s">
        <v>124</v>
      </c>
      <c r="E2039" t="s">
        <v>1037</v>
      </c>
      <c r="F2039" s="41"/>
      <c r="G2039" s="80" t="s">
        <v>32</v>
      </c>
      <c r="H2039" s="80" t="s">
        <v>9</v>
      </c>
      <c r="I2039" s="81" t="s">
        <v>1027</v>
      </c>
      <c r="J2039" t="s">
        <v>6</v>
      </c>
    </row>
    <row r="2040" spans="3:10" hidden="1">
      <c r="C2040">
        <v>180010</v>
      </c>
      <c r="D2040" t="s">
        <v>124</v>
      </c>
      <c r="E2040" t="s">
        <v>1038</v>
      </c>
      <c r="F2040" s="41"/>
      <c r="G2040" s="80" t="s">
        <v>32</v>
      </c>
      <c r="H2040" s="80" t="s">
        <v>9</v>
      </c>
      <c r="I2040" s="81" t="s">
        <v>1027</v>
      </c>
      <c r="J2040" t="s">
        <v>6</v>
      </c>
    </row>
    <row r="2041" spans="3:10" hidden="1">
      <c r="C2041">
        <v>180011</v>
      </c>
      <c r="D2041" t="s">
        <v>49</v>
      </c>
      <c r="E2041" t="s">
        <v>1039</v>
      </c>
      <c r="F2041" s="41"/>
      <c r="G2041" s="80" t="s">
        <v>32</v>
      </c>
      <c r="H2041" s="80" t="s">
        <v>9</v>
      </c>
      <c r="I2041" s="81" t="s">
        <v>1027</v>
      </c>
      <c r="J2041" t="s">
        <v>6</v>
      </c>
    </row>
    <row r="2042" spans="3:10" hidden="1">
      <c r="C2042">
        <v>180012</v>
      </c>
      <c r="D2042" t="s">
        <v>49</v>
      </c>
      <c r="E2042" t="s">
        <v>57</v>
      </c>
      <c r="F2042" s="41"/>
      <c r="G2042" s="80" t="s">
        <v>32</v>
      </c>
      <c r="H2042" s="80" t="s">
        <v>9</v>
      </c>
      <c r="I2042" s="81" t="s">
        <v>1027</v>
      </c>
      <c r="J2042" t="s">
        <v>6</v>
      </c>
    </row>
    <row r="2043" spans="3:10" hidden="1">
      <c r="C2043">
        <v>180013</v>
      </c>
      <c r="D2043" t="s">
        <v>58</v>
      </c>
      <c r="E2043" t="s">
        <v>59</v>
      </c>
      <c r="F2043" s="41"/>
      <c r="G2043" s="80" t="s">
        <v>32</v>
      </c>
      <c r="H2043" s="80" t="s">
        <v>9</v>
      </c>
      <c r="I2043" s="81" t="s">
        <v>1027</v>
      </c>
      <c r="J2043" t="s">
        <v>6</v>
      </c>
    </row>
    <row r="2044" spans="3:10" hidden="1">
      <c r="C2044">
        <v>181000</v>
      </c>
      <c r="D2044" t="s">
        <v>48</v>
      </c>
      <c r="E2044" t="s">
        <v>1040</v>
      </c>
      <c r="F2044" s="41"/>
      <c r="G2044" s="80" t="s">
        <v>32</v>
      </c>
      <c r="H2044" s="80" t="s">
        <v>9</v>
      </c>
      <c r="I2044" s="81" t="s">
        <v>1040</v>
      </c>
      <c r="J2044" t="s">
        <v>6</v>
      </c>
    </row>
    <row r="2045" spans="3:10" hidden="1">
      <c r="C2045">
        <v>181001</v>
      </c>
      <c r="D2045" t="s">
        <v>49</v>
      </c>
      <c r="E2045" t="s">
        <v>1041</v>
      </c>
      <c r="F2045" s="41"/>
      <c r="G2045" s="80" t="s">
        <v>32</v>
      </c>
      <c r="H2045" s="80" t="s">
        <v>9</v>
      </c>
      <c r="I2045" s="81" t="s">
        <v>1040</v>
      </c>
      <c r="J2045" t="s">
        <v>6</v>
      </c>
    </row>
    <row r="2046" spans="3:10" hidden="1">
      <c r="C2046">
        <v>181002</v>
      </c>
      <c r="D2046" t="s">
        <v>49</v>
      </c>
      <c r="E2046" t="s">
        <v>1042</v>
      </c>
      <c r="F2046" s="41"/>
      <c r="G2046" s="80" t="s">
        <v>32</v>
      </c>
      <c r="H2046" s="80" t="s">
        <v>9</v>
      </c>
      <c r="I2046" s="81" t="s">
        <v>1040</v>
      </c>
      <c r="J2046" t="s">
        <v>6</v>
      </c>
    </row>
    <row r="2047" spans="3:10" hidden="1">
      <c r="C2047">
        <v>181003</v>
      </c>
      <c r="D2047" t="s">
        <v>49</v>
      </c>
      <c r="E2047" t="s">
        <v>1043</v>
      </c>
      <c r="F2047" s="41"/>
      <c r="G2047" s="80" t="s">
        <v>32</v>
      </c>
      <c r="H2047" s="80" t="s">
        <v>9</v>
      </c>
      <c r="I2047" s="81" t="s">
        <v>1040</v>
      </c>
      <c r="J2047" t="s">
        <v>6</v>
      </c>
    </row>
    <row r="2048" spans="3:10" hidden="1">
      <c r="C2048">
        <v>181004</v>
      </c>
      <c r="D2048" t="s">
        <v>49</v>
      </c>
      <c r="E2048" t="s">
        <v>1044</v>
      </c>
      <c r="F2048" s="41"/>
      <c r="G2048" s="80" t="s">
        <v>32</v>
      </c>
      <c r="H2048" s="80" t="s">
        <v>9</v>
      </c>
      <c r="I2048" s="81" t="s">
        <v>1040</v>
      </c>
      <c r="J2048" t="s">
        <v>6</v>
      </c>
    </row>
    <row r="2049" spans="3:10" hidden="1">
      <c r="C2049">
        <v>181005</v>
      </c>
      <c r="D2049" t="s">
        <v>49</v>
      </c>
      <c r="E2049" t="s">
        <v>1045</v>
      </c>
      <c r="F2049" s="41"/>
      <c r="G2049" s="80" t="s">
        <v>32</v>
      </c>
      <c r="H2049" s="80" t="s">
        <v>9</v>
      </c>
      <c r="I2049" s="81" t="s">
        <v>1040</v>
      </c>
      <c r="J2049" t="s">
        <v>6</v>
      </c>
    </row>
    <row r="2050" spans="3:10" hidden="1">
      <c r="C2050">
        <v>181006</v>
      </c>
      <c r="D2050" t="s">
        <v>49</v>
      </c>
      <c r="E2050" t="s">
        <v>1046</v>
      </c>
      <c r="F2050" s="41"/>
      <c r="G2050" s="80" t="s">
        <v>32</v>
      </c>
      <c r="H2050" s="80" t="s">
        <v>9</v>
      </c>
      <c r="I2050" s="81" t="s">
        <v>1040</v>
      </c>
      <c r="J2050" t="s">
        <v>6</v>
      </c>
    </row>
    <row r="2051" spans="3:10" hidden="1">
      <c r="C2051">
        <v>181007</v>
      </c>
      <c r="D2051" t="s">
        <v>49</v>
      </c>
      <c r="E2051" t="s">
        <v>1047</v>
      </c>
      <c r="F2051" s="41"/>
      <c r="G2051" s="80" t="s">
        <v>32</v>
      </c>
      <c r="H2051" s="80" t="s">
        <v>9</v>
      </c>
      <c r="I2051" s="81" t="s">
        <v>1040</v>
      </c>
      <c r="J2051" t="s">
        <v>6</v>
      </c>
    </row>
    <row r="2052" spans="3:10" hidden="1">
      <c r="C2052">
        <v>181008</v>
      </c>
      <c r="D2052" t="s">
        <v>49</v>
      </c>
      <c r="E2052" t="s">
        <v>57</v>
      </c>
      <c r="F2052" s="41"/>
      <c r="G2052" s="80" t="s">
        <v>32</v>
      </c>
      <c r="H2052" s="80" t="s">
        <v>9</v>
      </c>
      <c r="I2052" s="81" t="s">
        <v>1040</v>
      </c>
      <c r="J2052" t="s">
        <v>6</v>
      </c>
    </row>
    <row r="2053" spans="3:10" hidden="1">
      <c r="C2053">
        <v>181009</v>
      </c>
      <c r="D2053" t="s">
        <v>58</v>
      </c>
      <c r="E2053" t="s">
        <v>59</v>
      </c>
      <c r="F2053" s="41"/>
      <c r="G2053" s="80" t="s">
        <v>32</v>
      </c>
      <c r="H2053" s="80" t="s">
        <v>9</v>
      </c>
      <c r="I2053" s="81" t="s">
        <v>1040</v>
      </c>
      <c r="J2053" t="s">
        <v>6</v>
      </c>
    </row>
    <row r="2054" spans="3:10" hidden="1">
      <c r="C2054">
        <v>182000</v>
      </c>
      <c r="D2054" t="s">
        <v>48</v>
      </c>
      <c r="E2054" t="s">
        <v>1048</v>
      </c>
      <c r="F2054" s="41"/>
      <c r="G2054" s="80" t="s">
        <v>18</v>
      </c>
      <c r="H2054" s="80" t="s">
        <v>9</v>
      </c>
      <c r="I2054" s="81" t="s">
        <v>1048</v>
      </c>
      <c r="J2054" t="s">
        <v>6</v>
      </c>
    </row>
    <row r="2055" spans="3:10" hidden="1">
      <c r="C2055">
        <v>182001</v>
      </c>
      <c r="D2055" t="s">
        <v>49</v>
      </c>
      <c r="E2055" t="s">
        <v>1049</v>
      </c>
      <c r="F2055" s="41"/>
      <c r="G2055" s="80" t="s">
        <v>18</v>
      </c>
      <c r="H2055" s="80" t="s">
        <v>9</v>
      </c>
      <c r="I2055" s="81" t="s">
        <v>1048</v>
      </c>
      <c r="J2055" t="s">
        <v>6</v>
      </c>
    </row>
    <row r="2056" spans="3:10" hidden="1">
      <c r="C2056">
        <v>182002</v>
      </c>
      <c r="D2056" t="s">
        <v>49</v>
      </c>
      <c r="E2056" t="s">
        <v>1050</v>
      </c>
      <c r="F2056" s="41"/>
      <c r="G2056" s="80" t="s">
        <v>18</v>
      </c>
      <c r="H2056" s="80" t="s">
        <v>9</v>
      </c>
      <c r="I2056" s="81" t="s">
        <v>1048</v>
      </c>
      <c r="J2056" t="s">
        <v>6</v>
      </c>
    </row>
    <row r="2057" spans="3:10" hidden="1">
      <c r="C2057">
        <v>182003</v>
      </c>
      <c r="D2057" t="s">
        <v>49</v>
      </c>
      <c r="E2057" t="s">
        <v>1051</v>
      </c>
      <c r="F2057" s="41"/>
      <c r="G2057" s="80" t="s">
        <v>18</v>
      </c>
      <c r="H2057" s="80" t="s">
        <v>9</v>
      </c>
      <c r="I2057" s="81" t="s">
        <v>1048</v>
      </c>
      <c r="J2057" t="s">
        <v>6</v>
      </c>
    </row>
    <row r="2058" spans="3:10" hidden="1">
      <c r="C2058">
        <v>182004</v>
      </c>
      <c r="D2058" t="s">
        <v>49</v>
      </c>
      <c r="E2058" t="s">
        <v>1052</v>
      </c>
      <c r="F2058" s="41"/>
      <c r="G2058" s="80" t="s">
        <v>18</v>
      </c>
      <c r="H2058" s="80" t="s">
        <v>9</v>
      </c>
      <c r="I2058" s="81" t="s">
        <v>1048</v>
      </c>
      <c r="J2058" t="s">
        <v>6</v>
      </c>
    </row>
    <row r="2059" spans="3:10" hidden="1">
      <c r="C2059">
        <v>182005</v>
      </c>
      <c r="D2059" t="s">
        <v>49</v>
      </c>
      <c r="E2059" t="s">
        <v>1053</v>
      </c>
      <c r="F2059" s="41"/>
      <c r="G2059" s="80" t="s">
        <v>18</v>
      </c>
      <c r="H2059" s="80" t="s">
        <v>9</v>
      </c>
      <c r="I2059" s="81" t="s">
        <v>1048</v>
      </c>
      <c r="J2059" t="s">
        <v>6</v>
      </c>
    </row>
    <row r="2060" spans="3:10" hidden="1">
      <c r="C2060">
        <v>182006</v>
      </c>
      <c r="D2060" t="s">
        <v>49</v>
      </c>
      <c r="E2060" t="s">
        <v>57</v>
      </c>
      <c r="F2060" s="41"/>
      <c r="G2060" s="80" t="s">
        <v>18</v>
      </c>
      <c r="H2060" s="80" t="s">
        <v>9</v>
      </c>
      <c r="I2060" s="81" t="s">
        <v>1048</v>
      </c>
      <c r="J2060" t="s">
        <v>6</v>
      </c>
    </row>
    <row r="2061" spans="3:10" hidden="1">
      <c r="C2061">
        <v>182007</v>
      </c>
      <c r="D2061" t="s">
        <v>58</v>
      </c>
      <c r="E2061" t="s">
        <v>59</v>
      </c>
      <c r="F2061" s="41"/>
      <c r="G2061" s="80" t="s">
        <v>18</v>
      </c>
      <c r="H2061" s="80" t="s">
        <v>9</v>
      </c>
      <c r="I2061" s="81" t="s">
        <v>1048</v>
      </c>
      <c r="J2061" t="s">
        <v>6</v>
      </c>
    </row>
    <row r="2062" spans="3:10" hidden="1">
      <c r="C2062">
        <v>183000</v>
      </c>
      <c r="D2062" t="s">
        <v>48</v>
      </c>
      <c r="E2062" t="s">
        <v>1054</v>
      </c>
      <c r="F2062" s="41"/>
      <c r="G2062" s="80" t="s">
        <v>567</v>
      </c>
      <c r="H2062" s="80" t="s">
        <v>9</v>
      </c>
      <c r="I2062" s="81" t="s">
        <v>1054</v>
      </c>
      <c r="J2062" t="s">
        <v>6</v>
      </c>
    </row>
    <row r="2063" spans="3:10" hidden="1">
      <c r="C2063">
        <v>183001</v>
      </c>
      <c r="D2063" t="s">
        <v>49</v>
      </c>
      <c r="E2063" t="s">
        <v>1055</v>
      </c>
      <c r="F2063" s="41"/>
      <c r="G2063" s="80" t="s">
        <v>567</v>
      </c>
      <c r="H2063" s="80" t="s">
        <v>9</v>
      </c>
      <c r="I2063" s="81" t="s">
        <v>1054</v>
      </c>
      <c r="J2063" t="s">
        <v>6</v>
      </c>
    </row>
    <row r="2064" spans="3:10" hidden="1">
      <c r="C2064">
        <v>183002</v>
      </c>
      <c r="D2064" t="s">
        <v>796</v>
      </c>
      <c r="E2064" t="s">
        <v>1056</v>
      </c>
      <c r="F2064" s="41" t="s">
        <v>1057</v>
      </c>
      <c r="G2064" s="80" t="s">
        <v>567</v>
      </c>
      <c r="H2064" s="80" t="s">
        <v>9</v>
      </c>
      <c r="I2064" s="81" t="s">
        <v>1054</v>
      </c>
      <c r="J2064" t="s">
        <v>6</v>
      </c>
    </row>
    <row r="2065" spans="3:10" hidden="1">
      <c r="C2065">
        <v>183003</v>
      </c>
      <c r="D2065" t="s">
        <v>796</v>
      </c>
      <c r="E2065" t="s">
        <v>1058</v>
      </c>
      <c r="F2065" s="41" t="s">
        <v>1059</v>
      </c>
      <c r="G2065" s="80" t="s">
        <v>567</v>
      </c>
      <c r="H2065" s="80" t="s">
        <v>9</v>
      </c>
      <c r="I2065" s="81" t="s">
        <v>1054</v>
      </c>
      <c r="J2065" t="s">
        <v>6</v>
      </c>
    </row>
    <row r="2066" spans="3:10" hidden="1">
      <c r="C2066">
        <v>183004</v>
      </c>
      <c r="D2066" t="s">
        <v>791</v>
      </c>
      <c r="E2066" t="s">
        <v>1060</v>
      </c>
      <c r="F2066" s="41"/>
      <c r="G2066" s="80" t="s">
        <v>567</v>
      </c>
      <c r="H2066" s="80" t="s">
        <v>9</v>
      </c>
      <c r="I2066" s="81" t="s">
        <v>1054</v>
      </c>
      <c r="J2066" t="s">
        <v>6</v>
      </c>
    </row>
    <row r="2067" spans="3:10" hidden="1">
      <c r="C2067">
        <v>183005</v>
      </c>
      <c r="D2067" t="s">
        <v>66</v>
      </c>
      <c r="E2067" t="s">
        <v>1061</v>
      </c>
      <c r="F2067" s="41" t="s">
        <v>1062</v>
      </c>
      <c r="G2067" s="80" t="s">
        <v>567</v>
      </c>
      <c r="H2067" s="80" t="s">
        <v>9</v>
      </c>
      <c r="I2067" s="81" t="s">
        <v>1054</v>
      </c>
      <c r="J2067" t="s">
        <v>6</v>
      </c>
    </row>
    <row r="2068" spans="3:10" hidden="1">
      <c r="C2068">
        <v>183006</v>
      </c>
      <c r="D2068" t="s">
        <v>791</v>
      </c>
      <c r="E2068" t="s">
        <v>1060</v>
      </c>
      <c r="F2068" s="41"/>
      <c r="G2068" s="80" t="s">
        <v>567</v>
      </c>
      <c r="H2068" s="80" t="s">
        <v>9</v>
      </c>
      <c r="I2068" s="81" t="s">
        <v>1054</v>
      </c>
      <c r="J2068" t="s">
        <v>6</v>
      </c>
    </row>
    <row r="2069" spans="3:10" hidden="1">
      <c r="C2069">
        <v>183007</v>
      </c>
      <c r="D2069" t="s">
        <v>66</v>
      </c>
      <c r="E2069" t="s">
        <v>1063</v>
      </c>
      <c r="F2069" s="41" t="s">
        <v>1064</v>
      </c>
      <c r="G2069" s="80" t="s">
        <v>567</v>
      </c>
      <c r="H2069" s="80" t="s">
        <v>9</v>
      </c>
      <c r="I2069" s="81" t="s">
        <v>1054</v>
      </c>
      <c r="J2069" t="s">
        <v>6</v>
      </c>
    </row>
    <row r="2070" spans="3:10" hidden="1">
      <c r="C2070">
        <v>183008</v>
      </c>
      <c r="D2070" t="s">
        <v>791</v>
      </c>
      <c r="E2070" t="s">
        <v>1060</v>
      </c>
      <c r="F2070" s="41"/>
      <c r="G2070" s="80" t="s">
        <v>567</v>
      </c>
      <c r="H2070" s="80" t="s">
        <v>9</v>
      </c>
      <c r="I2070" s="81" t="s">
        <v>1054</v>
      </c>
      <c r="J2070" t="s">
        <v>6</v>
      </c>
    </row>
    <row r="2071" spans="3:10" hidden="1">
      <c r="C2071">
        <v>183009</v>
      </c>
      <c r="D2071" t="s">
        <v>796</v>
      </c>
      <c r="E2071" t="s">
        <v>1065</v>
      </c>
      <c r="F2071" s="41" t="s">
        <v>1066</v>
      </c>
      <c r="G2071" s="80" t="s">
        <v>567</v>
      </c>
      <c r="H2071" s="80" t="s">
        <v>9</v>
      </c>
      <c r="I2071" s="81" t="s">
        <v>1054</v>
      </c>
      <c r="J2071" t="s">
        <v>6</v>
      </c>
    </row>
    <row r="2072" spans="3:10" hidden="1">
      <c r="C2072">
        <v>183010</v>
      </c>
      <c r="D2072" t="s">
        <v>791</v>
      </c>
      <c r="E2072" t="s">
        <v>1060</v>
      </c>
      <c r="F2072" s="41"/>
      <c r="G2072" s="80" t="s">
        <v>567</v>
      </c>
      <c r="H2072" s="80" t="s">
        <v>9</v>
      </c>
      <c r="I2072" s="81" t="s">
        <v>1054</v>
      </c>
      <c r="J2072" t="s">
        <v>6</v>
      </c>
    </row>
    <row r="2073" spans="3:10" hidden="1">
      <c r="C2073">
        <v>183011</v>
      </c>
      <c r="D2073" t="s">
        <v>796</v>
      </c>
      <c r="E2073" t="s">
        <v>1067</v>
      </c>
      <c r="F2073" s="41" t="s">
        <v>287</v>
      </c>
      <c r="G2073" s="80" t="s">
        <v>567</v>
      </c>
      <c r="H2073" s="80" t="s">
        <v>9</v>
      </c>
      <c r="I2073" s="81" t="s">
        <v>1054</v>
      </c>
      <c r="J2073" t="s">
        <v>6</v>
      </c>
    </row>
    <row r="2074" spans="3:10" hidden="1">
      <c r="C2074">
        <v>183012</v>
      </c>
      <c r="D2074" t="s">
        <v>58</v>
      </c>
      <c r="E2074" t="s">
        <v>1068</v>
      </c>
      <c r="F2074" s="41"/>
      <c r="G2074" s="80" t="s">
        <v>567</v>
      </c>
      <c r="H2074" s="80" t="s">
        <v>9</v>
      </c>
      <c r="I2074" s="81" t="s">
        <v>1054</v>
      </c>
      <c r="J2074" t="s">
        <v>6</v>
      </c>
    </row>
    <row r="2075" spans="3:10" hidden="1">
      <c r="C2075">
        <v>183013</v>
      </c>
      <c r="D2075" t="s">
        <v>49</v>
      </c>
      <c r="E2075" t="s">
        <v>57</v>
      </c>
      <c r="F2075" s="41"/>
      <c r="G2075" s="80" t="s">
        <v>567</v>
      </c>
      <c r="H2075" s="80" t="s">
        <v>9</v>
      </c>
      <c r="I2075" s="81" t="s">
        <v>1054</v>
      </c>
      <c r="J2075" t="s">
        <v>6</v>
      </c>
    </row>
    <row r="2076" spans="3:10" hidden="1">
      <c r="C2076">
        <v>183014</v>
      </c>
      <c r="D2076" t="s">
        <v>58</v>
      </c>
      <c r="E2076" t="s">
        <v>59</v>
      </c>
      <c r="F2076" s="41"/>
      <c r="G2076" s="80" t="s">
        <v>567</v>
      </c>
      <c r="H2076" s="80" t="s">
        <v>9</v>
      </c>
      <c r="I2076" s="81" t="s">
        <v>1054</v>
      </c>
      <c r="J2076" t="s">
        <v>6</v>
      </c>
    </row>
    <row r="2077" spans="3:10" hidden="1">
      <c r="C2077">
        <v>184000</v>
      </c>
      <c r="D2077" t="s">
        <v>1070</v>
      </c>
      <c r="E2077" t="s">
        <v>1069</v>
      </c>
      <c r="F2077" s="41"/>
      <c r="G2077" s="80" t="s">
        <v>18</v>
      </c>
      <c r="H2077" s="80" t="s">
        <v>9</v>
      </c>
      <c r="I2077" s="81" t="s">
        <v>1069</v>
      </c>
      <c r="J2077" t="s">
        <v>6</v>
      </c>
    </row>
    <row r="2078" spans="3:10" hidden="1">
      <c r="C2078">
        <v>184001</v>
      </c>
      <c r="D2078" t="s">
        <v>831</v>
      </c>
      <c r="E2078" t="s">
        <v>1071</v>
      </c>
      <c r="F2078" s="41"/>
      <c r="G2078" s="80" t="s">
        <v>18</v>
      </c>
      <c r="H2078" s="80" t="s">
        <v>9</v>
      </c>
      <c r="I2078" s="81" t="s">
        <v>1069</v>
      </c>
      <c r="J2078" t="s">
        <v>6</v>
      </c>
    </row>
    <row r="2079" spans="3:10" hidden="1">
      <c r="C2079">
        <v>184002</v>
      </c>
      <c r="D2079" t="s">
        <v>831</v>
      </c>
      <c r="E2079" t="s">
        <v>1072</v>
      </c>
      <c r="F2079" s="41"/>
      <c r="G2079" s="80" t="s">
        <v>18</v>
      </c>
      <c r="H2079" s="80" t="s">
        <v>9</v>
      </c>
      <c r="I2079" s="81" t="s">
        <v>1069</v>
      </c>
      <c r="J2079" t="s">
        <v>6</v>
      </c>
    </row>
    <row r="2080" spans="3:10" hidden="1">
      <c r="C2080">
        <v>184003</v>
      </c>
      <c r="D2080" t="s">
        <v>831</v>
      </c>
      <c r="E2080" t="s">
        <v>1073</v>
      </c>
      <c r="F2080" s="41"/>
      <c r="G2080" s="80" t="s">
        <v>18</v>
      </c>
      <c r="H2080" s="80" t="s">
        <v>9</v>
      </c>
      <c r="I2080" s="81" t="s">
        <v>1069</v>
      </c>
      <c r="J2080" t="s">
        <v>6</v>
      </c>
    </row>
    <row r="2081" spans="3:10" hidden="1">
      <c r="C2081">
        <v>184004</v>
      </c>
      <c r="D2081" t="s">
        <v>831</v>
      </c>
      <c r="E2081" t="s">
        <v>1074</v>
      </c>
      <c r="F2081" s="41"/>
      <c r="G2081" s="80" t="s">
        <v>18</v>
      </c>
      <c r="H2081" s="80" t="s">
        <v>9</v>
      </c>
      <c r="I2081" s="81" t="s">
        <v>1069</v>
      </c>
      <c r="J2081" t="s">
        <v>6</v>
      </c>
    </row>
    <row r="2082" spans="3:10" hidden="1">
      <c r="C2082">
        <v>184005</v>
      </c>
      <c r="D2082" t="s">
        <v>831</v>
      </c>
      <c r="E2082" t="s">
        <v>1075</v>
      </c>
      <c r="F2082" s="41"/>
      <c r="G2082" s="80" t="s">
        <v>18</v>
      </c>
      <c r="H2082" s="80" t="s">
        <v>9</v>
      </c>
      <c r="I2082" s="81" t="s">
        <v>1069</v>
      </c>
      <c r="J2082" t="s">
        <v>6</v>
      </c>
    </row>
    <row r="2083" spans="3:10" hidden="1">
      <c r="C2083">
        <v>184006</v>
      </c>
      <c r="D2083" t="s">
        <v>831</v>
      </c>
      <c r="E2083" t="s">
        <v>1076</v>
      </c>
      <c r="F2083" s="41"/>
      <c r="G2083" s="80" t="s">
        <v>18</v>
      </c>
      <c r="H2083" s="80" t="s">
        <v>9</v>
      </c>
      <c r="I2083" s="81" t="s">
        <v>1069</v>
      </c>
      <c r="J2083" t="s">
        <v>6</v>
      </c>
    </row>
    <row r="2084" spans="3:10" hidden="1">
      <c r="C2084">
        <v>184007</v>
      </c>
      <c r="D2084" t="s">
        <v>831</v>
      </c>
      <c r="E2084" t="s">
        <v>1077</v>
      </c>
      <c r="F2084" s="41"/>
      <c r="G2084" s="80" t="s">
        <v>18</v>
      </c>
      <c r="H2084" s="80" t="s">
        <v>9</v>
      </c>
      <c r="I2084" s="81" t="s">
        <v>1069</v>
      </c>
      <c r="J2084" t="s">
        <v>6</v>
      </c>
    </row>
    <row r="2085" spans="3:10" hidden="1">
      <c r="C2085">
        <v>184008</v>
      </c>
      <c r="D2085" t="s">
        <v>831</v>
      </c>
      <c r="E2085" t="s">
        <v>1078</v>
      </c>
      <c r="F2085" s="41"/>
      <c r="G2085" s="80" t="s">
        <v>18</v>
      </c>
      <c r="H2085" s="80" t="s">
        <v>9</v>
      </c>
      <c r="I2085" s="81" t="s">
        <v>1069</v>
      </c>
      <c r="J2085" t="s">
        <v>6</v>
      </c>
    </row>
    <row r="2086" spans="3:10" hidden="1">
      <c r="C2086">
        <v>184009</v>
      </c>
      <c r="D2086" t="s">
        <v>831</v>
      </c>
      <c r="E2086" t="s">
        <v>1079</v>
      </c>
      <c r="F2086" s="41"/>
      <c r="G2086" s="80" t="s">
        <v>18</v>
      </c>
      <c r="H2086" s="80" t="s">
        <v>9</v>
      </c>
      <c r="I2086" s="81" t="s">
        <v>1069</v>
      </c>
      <c r="J2086" t="s">
        <v>6</v>
      </c>
    </row>
    <row r="2087" spans="3:10" hidden="1">
      <c r="C2087">
        <v>184010</v>
      </c>
      <c r="D2087" t="s">
        <v>49</v>
      </c>
      <c r="E2087" t="s">
        <v>57</v>
      </c>
      <c r="F2087" s="41"/>
      <c r="G2087" s="80" t="s">
        <v>18</v>
      </c>
      <c r="H2087" s="80" t="s">
        <v>9</v>
      </c>
      <c r="I2087" s="81" t="s">
        <v>1069</v>
      </c>
      <c r="J2087" t="s">
        <v>6</v>
      </c>
    </row>
    <row r="2088" spans="3:10" hidden="1">
      <c r="C2088">
        <v>184011</v>
      </c>
      <c r="D2088" t="s">
        <v>58</v>
      </c>
      <c r="E2088" t="s">
        <v>59</v>
      </c>
      <c r="F2088" s="41"/>
      <c r="G2088" s="80" t="s">
        <v>18</v>
      </c>
      <c r="H2088" s="80" t="s">
        <v>9</v>
      </c>
      <c r="I2088" s="81" t="s">
        <v>1069</v>
      </c>
      <c r="J2088" t="s">
        <v>6</v>
      </c>
    </row>
    <row r="2089" spans="3:10" hidden="1">
      <c r="C2089">
        <v>185000</v>
      </c>
      <c r="D2089" t="s">
        <v>48</v>
      </c>
      <c r="E2089" t="s">
        <v>1080</v>
      </c>
      <c r="F2089" s="41"/>
      <c r="G2089" s="80" t="s">
        <v>18</v>
      </c>
      <c r="H2089" s="80" t="s">
        <v>9</v>
      </c>
      <c r="I2089" s="81" t="s">
        <v>1080</v>
      </c>
      <c r="J2089" t="s">
        <v>6</v>
      </c>
    </row>
    <row r="2090" spans="3:10" hidden="1">
      <c r="C2090">
        <v>185001</v>
      </c>
      <c r="D2090" t="s">
        <v>831</v>
      </c>
      <c r="E2090" t="s">
        <v>1081</v>
      </c>
      <c r="F2090" s="41"/>
      <c r="G2090" s="80" t="s">
        <v>18</v>
      </c>
      <c r="H2090" s="80" t="s">
        <v>9</v>
      </c>
      <c r="I2090" s="81" t="s">
        <v>1080</v>
      </c>
      <c r="J2090" t="s">
        <v>6</v>
      </c>
    </row>
    <row r="2091" spans="3:10" hidden="1">
      <c r="C2091">
        <v>185002</v>
      </c>
      <c r="D2091" t="s">
        <v>831</v>
      </c>
      <c r="E2091" t="s">
        <v>1082</v>
      </c>
      <c r="F2091" s="41"/>
      <c r="G2091" s="80" t="s">
        <v>18</v>
      </c>
      <c r="H2091" s="80" t="s">
        <v>9</v>
      </c>
      <c r="I2091" s="81" t="s">
        <v>1080</v>
      </c>
      <c r="J2091" t="s">
        <v>6</v>
      </c>
    </row>
    <row r="2092" spans="3:10" hidden="1">
      <c r="C2092">
        <v>185003</v>
      </c>
      <c r="D2092" t="s">
        <v>831</v>
      </c>
      <c r="E2092" t="s">
        <v>1083</v>
      </c>
      <c r="F2092" s="41"/>
      <c r="G2092" s="80" t="s">
        <v>18</v>
      </c>
      <c r="H2092" s="80" t="s">
        <v>9</v>
      </c>
      <c r="I2092" s="81" t="s">
        <v>1080</v>
      </c>
      <c r="J2092" t="s">
        <v>6</v>
      </c>
    </row>
    <row r="2093" spans="3:10" hidden="1">
      <c r="C2093">
        <v>185004</v>
      </c>
      <c r="D2093" t="s">
        <v>831</v>
      </c>
      <c r="E2093" t="s">
        <v>1084</v>
      </c>
      <c r="F2093" s="41"/>
      <c r="G2093" s="80" t="s">
        <v>18</v>
      </c>
      <c r="H2093" s="80" t="s">
        <v>9</v>
      </c>
      <c r="I2093" s="81" t="s">
        <v>1080</v>
      </c>
      <c r="J2093" t="s">
        <v>6</v>
      </c>
    </row>
    <row r="2094" spans="3:10" hidden="1">
      <c r="C2094">
        <v>185005</v>
      </c>
      <c r="D2094" t="s">
        <v>831</v>
      </c>
      <c r="E2094" t="s">
        <v>1085</v>
      </c>
      <c r="F2094" s="41"/>
      <c r="G2094" s="80" t="s">
        <v>18</v>
      </c>
      <c r="H2094" s="80" t="s">
        <v>9</v>
      </c>
      <c r="I2094" s="81" t="s">
        <v>1080</v>
      </c>
      <c r="J2094" t="s">
        <v>6</v>
      </c>
    </row>
    <row r="2095" spans="3:10" hidden="1">
      <c r="C2095">
        <v>185006</v>
      </c>
      <c r="D2095" t="s">
        <v>831</v>
      </c>
      <c r="E2095" t="s">
        <v>1086</v>
      </c>
      <c r="F2095" s="41"/>
      <c r="G2095" s="80" t="s">
        <v>18</v>
      </c>
      <c r="H2095" s="80" t="s">
        <v>9</v>
      </c>
      <c r="I2095" s="81" t="s">
        <v>1080</v>
      </c>
      <c r="J2095" t="s">
        <v>6</v>
      </c>
    </row>
    <row r="2096" spans="3:10" hidden="1">
      <c r="C2096">
        <v>185007</v>
      </c>
      <c r="D2096" t="s">
        <v>831</v>
      </c>
      <c r="E2096" t="s">
        <v>1087</v>
      </c>
      <c r="F2096" s="41"/>
      <c r="G2096" s="80" t="s">
        <v>18</v>
      </c>
      <c r="H2096" s="80" t="s">
        <v>9</v>
      </c>
      <c r="I2096" s="81" t="s">
        <v>1080</v>
      </c>
      <c r="J2096" t="s">
        <v>6</v>
      </c>
    </row>
    <row r="2097" spans="3:10" hidden="1">
      <c r="C2097">
        <v>185008</v>
      </c>
      <c r="D2097" t="s">
        <v>831</v>
      </c>
      <c r="E2097" t="s">
        <v>1088</v>
      </c>
      <c r="F2097" s="41"/>
      <c r="G2097" s="80" t="s">
        <v>18</v>
      </c>
      <c r="H2097" s="80" t="s">
        <v>9</v>
      </c>
      <c r="I2097" s="81" t="s">
        <v>1080</v>
      </c>
      <c r="J2097" t="s">
        <v>6</v>
      </c>
    </row>
    <row r="2098" spans="3:10" hidden="1">
      <c r="C2098">
        <v>185009</v>
      </c>
      <c r="D2098" t="s">
        <v>831</v>
      </c>
      <c r="E2098" t="s">
        <v>1089</v>
      </c>
      <c r="F2098" s="41"/>
      <c r="G2098" s="80" t="s">
        <v>18</v>
      </c>
      <c r="H2098" s="80" t="s">
        <v>9</v>
      </c>
      <c r="I2098" s="81" t="s">
        <v>1080</v>
      </c>
      <c r="J2098" t="s">
        <v>6</v>
      </c>
    </row>
    <row r="2099" spans="3:10" hidden="1">
      <c r="C2099">
        <v>185010</v>
      </c>
      <c r="D2099" t="s">
        <v>49</v>
      </c>
      <c r="E2099" t="s">
        <v>57</v>
      </c>
      <c r="F2099" s="41"/>
      <c r="G2099" s="80" t="s">
        <v>18</v>
      </c>
      <c r="H2099" s="80" t="s">
        <v>9</v>
      </c>
      <c r="I2099" s="81" t="s">
        <v>1080</v>
      </c>
      <c r="J2099" t="s">
        <v>6</v>
      </c>
    </row>
    <row r="2100" spans="3:10" hidden="1">
      <c r="C2100">
        <v>185011</v>
      </c>
      <c r="D2100" t="s">
        <v>58</v>
      </c>
      <c r="E2100" t="s">
        <v>59</v>
      </c>
      <c r="F2100" s="41"/>
      <c r="G2100" s="80" t="s">
        <v>18</v>
      </c>
      <c r="H2100" s="80" t="s">
        <v>9</v>
      </c>
      <c r="I2100" s="81" t="s">
        <v>1080</v>
      </c>
      <c r="J2100" t="s">
        <v>6</v>
      </c>
    </row>
    <row r="2101" spans="3:10" hidden="1">
      <c r="C2101">
        <v>186000</v>
      </c>
      <c r="D2101" t="s">
        <v>119</v>
      </c>
      <c r="E2101" t="s">
        <v>1090</v>
      </c>
      <c r="F2101" s="41"/>
      <c r="G2101" s="80" t="s">
        <v>18</v>
      </c>
      <c r="H2101" s="80" t="s">
        <v>9</v>
      </c>
      <c r="I2101" s="81" t="s">
        <v>1090</v>
      </c>
      <c r="J2101" t="s">
        <v>6</v>
      </c>
    </row>
    <row r="2102" spans="3:10" hidden="1">
      <c r="C2102">
        <v>186001</v>
      </c>
      <c r="D2102" t="s">
        <v>120</v>
      </c>
      <c r="E2102" t="s">
        <v>950</v>
      </c>
      <c r="F2102" s="41"/>
      <c r="G2102" s="80" t="s">
        <v>18</v>
      </c>
      <c r="H2102" s="80" t="s">
        <v>9</v>
      </c>
      <c r="I2102" s="81" t="s">
        <v>1090</v>
      </c>
      <c r="J2102" t="s">
        <v>6</v>
      </c>
    </row>
    <row r="2103" spans="3:10" hidden="1">
      <c r="C2103">
        <v>186002</v>
      </c>
      <c r="D2103" t="s">
        <v>49</v>
      </c>
      <c r="E2103" t="s">
        <v>1091</v>
      </c>
      <c r="F2103" s="41"/>
      <c r="G2103" s="80" t="s">
        <v>18</v>
      </c>
      <c r="H2103" s="80" t="s">
        <v>9</v>
      </c>
      <c r="I2103" s="81" t="s">
        <v>1090</v>
      </c>
      <c r="J2103" t="s">
        <v>6</v>
      </c>
    </row>
    <row r="2104" spans="3:10" hidden="1">
      <c r="C2104">
        <v>186003</v>
      </c>
      <c r="D2104" t="s">
        <v>49</v>
      </c>
      <c r="E2104" t="s">
        <v>1092</v>
      </c>
      <c r="F2104" s="41"/>
      <c r="G2104" s="80" t="s">
        <v>18</v>
      </c>
      <c r="H2104" s="80" t="s">
        <v>9</v>
      </c>
      <c r="I2104" s="81" t="s">
        <v>1090</v>
      </c>
      <c r="J2104" t="s">
        <v>6</v>
      </c>
    </row>
    <row r="2105" spans="3:10" hidden="1">
      <c r="C2105">
        <v>186004</v>
      </c>
      <c r="D2105" t="s">
        <v>120</v>
      </c>
      <c r="E2105" t="s">
        <v>418</v>
      </c>
      <c r="F2105" s="41"/>
      <c r="G2105" s="80" t="s">
        <v>18</v>
      </c>
      <c r="H2105" s="80" t="s">
        <v>9</v>
      </c>
      <c r="I2105" s="81" t="s">
        <v>1090</v>
      </c>
      <c r="J2105" t="s">
        <v>6</v>
      </c>
    </row>
    <row r="2106" spans="3:10" hidden="1">
      <c r="C2106">
        <v>186005</v>
      </c>
      <c r="D2106" t="s">
        <v>49</v>
      </c>
      <c r="E2106" t="s">
        <v>1093</v>
      </c>
      <c r="F2106" s="41"/>
      <c r="G2106" s="80" t="s">
        <v>18</v>
      </c>
      <c r="H2106" s="80" t="s">
        <v>9</v>
      </c>
      <c r="I2106" s="81" t="s">
        <v>1090</v>
      </c>
      <c r="J2106" t="s">
        <v>6</v>
      </c>
    </row>
    <row r="2107" spans="3:10" hidden="1">
      <c r="C2107">
        <v>186006</v>
      </c>
      <c r="D2107" t="s">
        <v>49</v>
      </c>
      <c r="E2107" t="s">
        <v>1094</v>
      </c>
      <c r="F2107" s="41"/>
      <c r="G2107" s="80" t="s">
        <v>18</v>
      </c>
      <c r="H2107" s="80" t="s">
        <v>9</v>
      </c>
      <c r="I2107" s="81" t="s">
        <v>1090</v>
      </c>
      <c r="J2107" t="s">
        <v>6</v>
      </c>
    </row>
    <row r="2108" spans="3:10" hidden="1">
      <c r="C2108">
        <v>186007</v>
      </c>
      <c r="D2108" t="s">
        <v>120</v>
      </c>
      <c r="E2108" t="s">
        <v>1095</v>
      </c>
      <c r="F2108" s="41"/>
      <c r="G2108" s="80" t="s">
        <v>18</v>
      </c>
      <c r="H2108" s="80" t="s">
        <v>9</v>
      </c>
      <c r="I2108" s="81" t="s">
        <v>1090</v>
      </c>
      <c r="J2108" t="s">
        <v>6</v>
      </c>
    </row>
    <row r="2109" spans="3:10" hidden="1">
      <c r="C2109">
        <v>186008</v>
      </c>
      <c r="D2109" t="s">
        <v>49</v>
      </c>
      <c r="E2109" t="s">
        <v>1096</v>
      </c>
      <c r="F2109" s="41"/>
      <c r="G2109" s="80" t="s">
        <v>18</v>
      </c>
      <c r="H2109" s="80" t="s">
        <v>9</v>
      </c>
      <c r="I2109" s="81" t="s">
        <v>1090</v>
      </c>
      <c r="J2109" t="s">
        <v>6</v>
      </c>
    </row>
    <row r="2110" spans="3:10" hidden="1">
      <c r="C2110">
        <v>186009</v>
      </c>
      <c r="D2110" t="s">
        <v>49</v>
      </c>
      <c r="E2110" t="s">
        <v>1097</v>
      </c>
      <c r="F2110" s="41"/>
      <c r="G2110" s="80" t="s">
        <v>18</v>
      </c>
      <c r="H2110" s="80" t="s">
        <v>9</v>
      </c>
      <c r="I2110" s="81" t="s">
        <v>1090</v>
      </c>
      <c r="J2110" t="s">
        <v>6</v>
      </c>
    </row>
    <row r="2111" spans="3:10" hidden="1">
      <c r="C2111">
        <v>186010</v>
      </c>
      <c r="D2111" t="s">
        <v>49</v>
      </c>
      <c r="E2111" t="s">
        <v>1098</v>
      </c>
      <c r="F2111" s="41"/>
      <c r="G2111" s="80" t="s">
        <v>18</v>
      </c>
      <c r="H2111" s="80" t="s">
        <v>9</v>
      </c>
      <c r="I2111" s="81" t="s">
        <v>1090</v>
      </c>
      <c r="J2111" t="s">
        <v>6</v>
      </c>
    </row>
    <row r="2112" spans="3:10" hidden="1">
      <c r="C2112">
        <v>186011</v>
      </c>
      <c r="D2112" t="s">
        <v>49</v>
      </c>
      <c r="E2112" t="s">
        <v>1099</v>
      </c>
      <c r="F2112" s="41"/>
      <c r="G2112" s="80" t="s">
        <v>18</v>
      </c>
      <c r="H2112" s="80" t="s">
        <v>9</v>
      </c>
      <c r="I2112" s="81" t="s">
        <v>1090</v>
      </c>
      <c r="J2112" t="s">
        <v>6</v>
      </c>
    </row>
    <row r="2113" spans="3:10" hidden="1">
      <c r="C2113">
        <v>186012</v>
      </c>
      <c r="D2113" t="s">
        <v>49</v>
      </c>
      <c r="E2113" t="s">
        <v>57</v>
      </c>
      <c r="F2113" s="41"/>
      <c r="G2113" s="80" t="s">
        <v>18</v>
      </c>
      <c r="H2113" s="80" t="s">
        <v>9</v>
      </c>
      <c r="I2113" s="81" t="s">
        <v>1090</v>
      </c>
      <c r="J2113" t="s">
        <v>6</v>
      </c>
    </row>
    <row r="2114" spans="3:10" hidden="1">
      <c r="C2114">
        <v>186013</v>
      </c>
      <c r="D2114" t="s">
        <v>58</v>
      </c>
      <c r="E2114" t="s">
        <v>59</v>
      </c>
      <c r="F2114" s="41"/>
      <c r="G2114" s="80" t="s">
        <v>18</v>
      </c>
      <c r="H2114" s="80" t="s">
        <v>9</v>
      </c>
      <c r="I2114" s="81" t="s">
        <v>1090</v>
      </c>
      <c r="J2114" t="s">
        <v>6</v>
      </c>
    </row>
    <row r="2115" spans="3:10" hidden="1">
      <c r="C2115">
        <v>187000</v>
      </c>
      <c r="D2115" t="s">
        <v>119</v>
      </c>
      <c r="E2115" t="s">
        <v>1100</v>
      </c>
      <c r="F2115" s="41"/>
      <c r="G2115" s="80" t="s">
        <v>18</v>
      </c>
      <c r="H2115" s="80" t="s">
        <v>9</v>
      </c>
      <c r="I2115" s="81" t="s">
        <v>1100</v>
      </c>
      <c r="J2115" t="s">
        <v>6</v>
      </c>
    </row>
    <row r="2116" spans="3:10" hidden="1">
      <c r="C2116">
        <v>187001</v>
      </c>
      <c r="D2116" t="s">
        <v>120</v>
      </c>
      <c r="E2116" t="s">
        <v>1101</v>
      </c>
      <c r="F2116" s="41"/>
      <c r="G2116" s="80" t="s">
        <v>18</v>
      </c>
      <c r="H2116" s="80" t="s">
        <v>9</v>
      </c>
      <c r="I2116" s="81" t="s">
        <v>1100</v>
      </c>
      <c r="J2116" t="s">
        <v>6</v>
      </c>
    </row>
    <row r="2117" spans="3:10" hidden="1">
      <c r="C2117">
        <v>187002</v>
      </c>
      <c r="D2117" t="s">
        <v>49</v>
      </c>
      <c r="E2117" t="s">
        <v>1102</v>
      </c>
      <c r="F2117" s="41"/>
      <c r="G2117" s="80" t="s">
        <v>18</v>
      </c>
      <c r="H2117" s="80" t="s">
        <v>9</v>
      </c>
      <c r="I2117" s="81" t="s">
        <v>1100</v>
      </c>
      <c r="J2117" t="s">
        <v>6</v>
      </c>
    </row>
    <row r="2118" spans="3:10" hidden="1">
      <c r="C2118">
        <v>187003</v>
      </c>
      <c r="D2118" t="s">
        <v>49</v>
      </c>
      <c r="E2118" t="s">
        <v>1103</v>
      </c>
      <c r="F2118" s="41"/>
      <c r="G2118" s="80" t="s">
        <v>18</v>
      </c>
      <c r="H2118" s="80" t="s">
        <v>9</v>
      </c>
      <c r="I2118" s="81" t="s">
        <v>1100</v>
      </c>
      <c r="J2118" t="s">
        <v>6</v>
      </c>
    </row>
    <row r="2119" spans="3:10" hidden="1">
      <c r="C2119">
        <v>187004</v>
      </c>
      <c r="D2119" t="s">
        <v>49</v>
      </c>
      <c r="E2119" t="s">
        <v>1104</v>
      </c>
      <c r="F2119" s="41"/>
      <c r="G2119" s="80" t="s">
        <v>18</v>
      </c>
      <c r="H2119" s="80" t="s">
        <v>9</v>
      </c>
      <c r="I2119" s="81" t="s">
        <v>1100</v>
      </c>
      <c r="J2119" t="s">
        <v>6</v>
      </c>
    </row>
    <row r="2120" spans="3:10" hidden="1">
      <c r="C2120">
        <v>187005</v>
      </c>
      <c r="D2120" t="s">
        <v>49</v>
      </c>
      <c r="E2120" t="s">
        <v>1105</v>
      </c>
      <c r="F2120" s="41"/>
      <c r="G2120" s="80" t="s">
        <v>18</v>
      </c>
      <c r="H2120" s="80" t="s">
        <v>9</v>
      </c>
      <c r="I2120" s="81" t="s">
        <v>1100</v>
      </c>
      <c r="J2120" t="s">
        <v>6</v>
      </c>
    </row>
    <row r="2121" spans="3:10" hidden="1">
      <c r="C2121">
        <v>187006</v>
      </c>
      <c r="D2121" t="s">
        <v>49</v>
      </c>
      <c r="E2121" t="s">
        <v>1106</v>
      </c>
      <c r="F2121" s="41"/>
      <c r="G2121" s="80" t="s">
        <v>18</v>
      </c>
      <c r="H2121" s="80" t="s">
        <v>9</v>
      </c>
      <c r="I2121" s="81" t="s">
        <v>1100</v>
      </c>
      <c r="J2121" t="s">
        <v>6</v>
      </c>
    </row>
    <row r="2122" spans="3:10" hidden="1">
      <c r="C2122">
        <v>187007</v>
      </c>
      <c r="D2122" t="s">
        <v>49</v>
      </c>
      <c r="E2122" t="s">
        <v>1107</v>
      </c>
      <c r="F2122" s="41"/>
      <c r="G2122" s="80" t="s">
        <v>18</v>
      </c>
      <c r="H2122" s="80" t="s">
        <v>9</v>
      </c>
      <c r="I2122" s="81" t="s">
        <v>1100</v>
      </c>
      <c r="J2122" t="s">
        <v>6</v>
      </c>
    </row>
    <row r="2123" spans="3:10" hidden="1">
      <c r="C2123">
        <v>187008</v>
      </c>
      <c r="D2123" t="s">
        <v>120</v>
      </c>
      <c r="E2123" t="s">
        <v>1108</v>
      </c>
      <c r="F2123" s="41"/>
      <c r="G2123" s="80" t="s">
        <v>18</v>
      </c>
      <c r="H2123" s="80" t="s">
        <v>9</v>
      </c>
      <c r="I2123" s="81" t="s">
        <v>1100</v>
      </c>
      <c r="J2123" t="s">
        <v>6</v>
      </c>
    </row>
    <row r="2124" spans="3:10" hidden="1">
      <c r="C2124">
        <v>187009</v>
      </c>
      <c r="D2124" t="s">
        <v>49</v>
      </c>
      <c r="E2124" t="s">
        <v>1109</v>
      </c>
      <c r="F2124" s="41"/>
      <c r="G2124" s="80" t="s">
        <v>18</v>
      </c>
      <c r="H2124" s="80" t="s">
        <v>9</v>
      </c>
      <c r="I2124" s="81" t="s">
        <v>1100</v>
      </c>
      <c r="J2124" t="s">
        <v>6</v>
      </c>
    </row>
    <row r="2125" spans="3:10" hidden="1">
      <c r="C2125">
        <v>187010</v>
      </c>
      <c r="D2125" t="s">
        <v>120</v>
      </c>
      <c r="E2125" t="s">
        <v>1110</v>
      </c>
      <c r="F2125" s="41"/>
      <c r="G2125" s="80" t="s">
        <v>18</v>
      </c>
      <c r="H2125" s="80" t="s">
        <v>9</v>
      </c>
      <c r="I2125" s="81" t="s">
        <v>1100</v>
      </c>
      <c r="J2125" t="s">
        <v>6</v>
      </c>
    </row>
    <row r="2126" spans="3:10" hidden="1">
      <c r="C2126">
        <v>187011</v>
      </c>
      <c r="D2126" t="s">
        <v>49</v>
      </c>
      <c r="E2126" t="s">
        <v>1111</v>
      </c>
      <c r="F2126" s="41"/>
      <c r="G2126" s="80" t="s">
        <v>18</v>
      </c>
      <c r="H2126" s="80" t="s">
        <v>9</v>
      </c>
      <c r="I2126" s="81" t="s">
        <v>1100</v>
      </c>
      <c r="J2126" t="s">
        <v>6</v>
      </c>
    </row>
    <row r="2127" spans="3:10" hidden="1">
      <c r="C2127">
        <v>187012</v>
      </c>
      <c r="D2127" t="s">
        <v>120</v>
      </c>
      <c r="E2127" t="s">
        <v>1112</v>
      </c>
      <c r="F2127" s="41"/>
      <c r="G2127" s="80" t="s">
        <v>18</v>
      </c>
      <c r="H2127" s="80" t="s">
        <v>9</v>
      </c>
      <c r="I2127" s="81" t="s">
        <v>1100</v>
      </c>
      <c r="J2127" t="s">
        <v>6</v>
      </c>
    </row>
    <row r="2128" spans="3:10" hidden="1">
      <c r="C2128">
        <v>187013</v>
      </c>
      <c r="D2128" t="s">
        <v>49</v>
      </c>
      <c r="E2128" t="s">
        <v>1113</v>
      </c>
      <c r="F2128" s="41"/>
      <c r="G2128" s="80" t="s">
        <v>18</v>
      </c>
      <c r="H2128" s="80" t="s">
        <v>9</v>
      </c>
      <c r="I2128" s="81" t="s">
        <v>1100</v>
      </c>
      <c r="J2128" t="s">
        <v>6</v>
      </c>
    </row>
    <row r="2129" spans="3:10" hidden="1">
      <c r="C2129">
        <v>187014</v>
      </c>
      <c r="D2129" t="s">
        <v>49</v>
      </c>
      <c r="E2129" t="s">
        <v>1114</v>
      </c>
      <c r="F2129" s="41"/>
      <c r="G2129" s="80" t="s">
        <v>18</v>
      </c>
      <c r="H2129" s="80" t="s">
        <v>9</v>
      </c>
      <c r="I2129" s="81" t="s">
        <v>1100</v>
      </c>
      <c r="J2129" t="s">
        <v>6</v>
      </c>
    </row>
    <row r="2130" spans="3:10" hidden="1">
      <c r="C2130">
        <v>187015</v>
      </c>
      <c r="D2130" t="s">
        <v>120</v>
      </c>
      <c r="E2130" t="s">
        <v>34</v>
      </c>
      <c r="F2130" s="41"/>
      <c r="G2130" s="80" t="s">
        <v>18</v>
      </c>
      <c r="H2130" s="80" t="s">
        <v>9</v>
      </c>
      <c r="I2130" s="81" t="s">
        <v>1100</v>
      </c>
      <c r="J2130" t="s">
        <v>6</v>
      </c>
    </row>
    <row r="2131" spans="3:10" hidden="1">
      <c r="C2131">
        <v>187016</v>
      </c>
      <c r="D2131" t="s">
        <v>49</v>
      </c>
      <c r="E2131" t="s">
        <v>1115</v>
      </c>
      <c r="F2131" s="41"/>
      <c r="G2131" s="80" t="s">
        <v>18</v>
      </c>
      <c r="H2131" s="80" t="s">
        <v>9</v>
      </c>
      <c r="I2131" s="81" t="s">
        <v>1100</v>
      </c>
      <c r="J2131" t="s">
        <v>6</v>
      </c>
    </row>
    <row r="2132" spans="3:10" hidden="1">
      <c r="C2132">
        <v>187017</v>
      </c>
      <c r="D2132" t="s">
        <v>49</v>
      </c>
      <c r="E2132" t="s">
        <v>1116</v>
      </c>
      <c r="F2132" s="41"/>
      <c r="G2132" s="80" t="s">
        <v>18</v>
      </c>
      <c r="H2132" s="80" t="s">
        <v>9</v>
      </c>
      <c r="I2132" s="81" t="s">
        <v>1100</v>
      </c>
      <c r="J2132" t="s">
        <v>6</v>
      </c>
    </row>
    <row r="2133" spans="3:10" hidden="1">
      <c r="C2133">
        <v>187018</v>
      </c>
      <c r="D2133" t="s">
        <v>49</v>
      </c>
      <c r="E2133" t="s">
        <v>57</v>
      </c>
      <c r="F2133" s="41"/>
      <c r="G2133" s="80" t="s">
        <v>18</v>
      </c>
      <c r="H2133" s="80" t="s">
        <v>9</v>
      </c>
      <c r="I2133" s="81" t="s">
        <v>1100</v>
      </c>
      <c r="J2133" t="s">
        <v>6</v>
      </c>
    </row>
    <row r="2134" spans="3:10" hidden="1">
      <c r="C2134">
        <v>187019</v>
      </c>
      <c r="D2134" t="s">
        <v>58</v>
      </c>
      <c r="E2134" t="s">
        <v>59</v>
      </c>
      <c r="F2134" s="41"/>
      <c r="G2134" s="80" t="s">
        <v>18</v>
      </c>
      <c r="H2134" s="80" t="s">
        <v>9</v>
      </c>
      <c r="I2134" s="81" t="s">
        <v>1100</v>
      </c>
      <c r="J2134" t="s">
        <v>6</v>
      </c>
    </row>
    <row r="2135" spans="3:10" hidden="1">
      <c r="C2135">
        <v>188000</v>
      </c>
      <c r="D2135" t="s">
        <v>48</v>
      </c>
      <c r="E2135" t="s">
        <v>1117</v>
      </c>
      <c r="F2135" s="41"/>
      <c r="G2135" s="80" t="s">
        <v>18</v>
      </c>
      <c r="H2135" s="80" t="s">
        <v>9</v>
      </c>
      <c r="I2135" s="81" t="s">
        <v>1117</v>
      </c>
      <c r="J2135" t="s">
        <v>6</v>
      </c>
    </row>
    <row r="2136" spans="3:10" hidden="1">
      <c r="C2136">
        <v>188001</v>
      </c>
      <c r="D2136" t="s">
        <v>49</v>
      </c>
      <c r="E2136" t="s">
        <v>1118</v>
      </c>
      <c r="F2136" s="41"/>
      <c r="G2136" s="80" t="s">
        <v>18</v>
      </c>
      <c r="H2136" s="80" t="s">
        <v>9</v>
      </c>
      <c r="I2136" s="81" t="s">
        <v>1117</v>
      </c>
      <c r="J2136" t="s">
        <v>6</v>
      </c>
    </row>
    <row r="2137" spans="3:10" hidden="1">
      <c r="C2137">
        <v>188002</v>
      </c>
      <c r="D2137" t="s">
        <v>1119</v>
      </c>
      <c r="E2137" t="s">
        <v>1068</v>
      </c>
      <c r="F2137" s="41"/>
      <c r="G2137" s="80" t="s">
        <v>18</v>
      </c>
      <c r="H2137" s="80" t="s">
        <v>9</v>
      </c>
      <c r="I2137" s="81" t="s">
        <v>1117</v>
      </c>
      <c r="J2137" t="s">
        <v>6</v>
      </c>
    </row>
    <row r="2138" spans="3:10" hidden="1">
      <c r="C2138">
        <v>188003</v>
      </c>
      <c r="D2138" t="s">
        <v>49</v>
      </c>
      <c r="E2138" t="s">
        <v>57</v>
      </c>
      <c r="F2138" s="41"/>
      <c r="G2138" s="80" t="s">
        <v>18</v>
      </c>
      <c r="H2138" s="80" t="s">
        <v>9</v>
      </c>
      <c r="I2138" s="81" t="s">
        <v>1117</v>
      </c>
      <c r="J2138" t="s">
        <v>6</v>
      </c>
    </row>
    <row r="2139" spans="3:10" hidden="1">
      <c r="C2139">
        <v>188004</v>
      </c>
      <c r="D2139" t="s">
        <v>58</v>
      </c>
      <c r="E2139" t="s">
        <v>59</v>
      </c>
      <c r="F2139" s="41"/>
      <c r="G2139" s="80" t="s">
        <v>18</v>
      </c>
      <c r="H2139" s="80" t="s">
        <v>9</v>
      </c>
      <c r="I2139" s="81" t="s">
        <v>1117</v>
      </c>
      <c r="J2139" t="s">
        <v>6</v>
      </c>
    </row>
    <row r="2140" spans="3:10" hidden="1">
      <c r="C2140">
        <v>189000</v>
      </c>
      <c r="D2140" t="s">
        <v>119</v>
      </c>
      <c r="E2140" t="s">
        <v>1120</v>
      </c>
      <c r="F2140" s="41"/>
      <c r="G2140" s="80" t="s">
        <v>22</v>
      </c>
      <c r="H2140" s="80" t="s">
        <v>9</v>
      </c>
      <c r="I2140" s="81" t="s">
        <v>1120</v>
      </c>
      <c r="J2140" t="s">
        <v>6</v>
      </c>
    </row>
    <row r="2141" spans="3:10" hidden="1">
      <c r="C2141">
        <v>189001</v>
      </c>
      <c r="D2141" t="s">
        <v>120</v>
      </c>
      <c r="E2141" t="s">
        <v>1121</v>
      </c>
      <c r="F2141" s="41"/>
      <c r="G2141" s="80" t="s">
        <v>22</v>
      </c>
      <c r="H2141" s="80" t="s">
        <v>9</v>
      </c>
      <c r="I2141" s="81" t="s">
        <v>1120</v>
      </c>
      <c r="J2141" t="s">
        <v>6</v>
      </c>
    </row>
    <row r="2142" spans="3:10" hidden="1">
      <c r="C2142">
        <v>189002</v>
      </c>
      <c r="D2142" t="s">
        <v>49</v>
      </c>
      <c r="E2142" t="s">
        <v>1122</v>
      </c>
      <c r="F2142" s="41"/>
      <c r="G2142" s="80" t="s">
        <v>22</v>
      </c>
      <c r="H2142" s="80" t="s">
        <v>9</v>
      </c>
      <c r="I2142" s="81" t="s">
        <v>1120</v>
      </c>
      <c r="J2142" t="s">
        <v>6</v>
      </c>
    </row>
    <row r="2143" spans="3:10" hidden="1">
      <c r="C2143">
        <v>189003</v>
      </c>
      <c r="D2143" t="s">
        <v>49</v>
      </c>
      <c r="E2143" t="s">
        <v>1123</v>
      </c>
      <c r="F2143" s="41"/>
      <c r="G2143" s="80" t="s">
        <v>22</v>
      </c>
      <c r="H2143" s="80" t="s">
        <v>9</v>
      </c>
      <c r="I2143" s="81" t="s">
        <v>1120</v>
      </c>
      <c r="J2143" t="s">
        <v>6</v>
      </c>
    </row>
    <row r="2144" spans="3:10" hidden="1">
      <c r="C2144">
        <v>189004</v>
      </c>
      <c r="D2144" t="s">
        <v>49</v>
      </c>
      <c r="E2144" t="s">
        <v>1124</v>
      </c>
      <c r="F2144" s="41"/>
      <c r="G2144" s="80" t="s">
        <v>22</v>
      </c>
      <c r="H2144" s="80" t="s">
        <v>9</v>
      </c>
      <c r="I2144" s="81" t="s">
        <v>1120</v>
      </c>
      <c r="J2144" t="s">
        <v>6</v>
      </c>
    </row>
    <row r="2145" spans="3:10" hidden="1">
      <c r="C2145">
        <v>189005</v>
      </c>
      <c r="D2145" t="s">
        <v>49</v>
      </c>
      <c r="E2145" t="s">
        <v>1125</v>
      </c>
      <c r="F2145" s="41"/>
      <c r="G2145" s="80" t="s">
        <v>22</v>
      </c>
      <c r="H2145" s="80" t="s">
        <v>9</v>
      </c>
      <c r="I2145" s="81" t="s">
        <v>1120</v>
      </c>
      <c r="J2145" t="s">
        <v>6</v>
      </c>
    </row>
    <row r="2146" spans="3:10" hidden="1">
      <c r="C2146">
        <v>189006</v>
      </c>
      <c r="D2146" t="s">
        <v>49</v>
      </c>
      <c r="E2146" t="s">
        <v>1126</v>
      </c>
      <c r="F2146" s="41"/>
      <c r="G2146" s="80" t="s">
        <v>22</v>
      </c>
      <c r="H2146" s="80" t="s">
        <v>9</v>
      </c>
      <c r="I2146" s="81" t="s">
        <v>1120</v>
      </c>
      <c r="J2146" t="s">
        <v>6</v>
      </c>
    </row>
    <row r="2147" spans="3:10" hidden="1">
      <c r="C2147">
        <v>189007</v>
      </c>
      <c r="D2147" t="s">
        <v>120</v>
      </c>
      <c r="E2147" t="s">
        <v>1127</v>
      </c>
      <c r="F2147" s="41"/>
      <c r="G2147" s="80" t="s">
        <v>22</v>
      </c>
      <c r="H2147" s="80" t="s">
        <v>9</v>
      </c>
      <c r="I2147" s="81" t="s">
        <v>1120</v>
      </c>
      <c r="J2147" t="s">
        <v>6</v>
      </c>
    </row>
    <row r="2148" spans="3:10" hidden="1">
      <c r="C2148">
        <v>189008</v>
      </c>
      <c r="D2148" t="s">
        <v>49</v>
      </c>
      <c r="E2148" t="s">
        <v>1128</v>
      </c>
      <c r="F2148" s="41"/>
      <c r="G2148" s="80" t="s">
        <v>22</v>
      </c>
      <c r="H2148" s="80" t="s">
        <v>9</v>
      </c>
      <c r="I2148" s="81" t="s">
        <v>1120</v>
      </c>
      <c r="J2148" t="s">
        <v>6</v>
      </c>
    </row>
    <row r="2149" spans="3:10" hidden="1">
      <c r="C2149">
        <v>189009</v>
      </c>
      <c r="D2149" t="s">
        <v>49</v>
      </c>
      <c r="E2149" t="s">
        <v>1129</v>
      </c>
      <c r="F2149" s="41"/>
      <c r="G2149" s="80" t="s">
        <v>22</v>
      </c>
      <c r="H2149" s="80" t="s">
        <v>9</v>
      </c>
      <c r="I2149" s="81" t="s">
        <v>1120</v>
      </c>
      <c r="J2149" t="s">
        <v>6</v>
      </c>
    </row>
    <row r="2150" spans="3:10" hidden="1">
      <c r="C2150">
        <v>189010</v>
      </c>
      <c r="D2150" t="s">
        <v>49</v>
      </c>
      <c r="E2150" t="s">
        <v>1130</v>
      </c>
      <c r="F2150" s="41"/>
      <c r="G2150" s="80" t="s">
        <v>22</v>
      </c>
      <c r="H2150" s="80" t="s">
        <v>9</v>
      </c>
      <c r="I2150" s="81" t="s">
        <v>1120</v>
      </c>
      <c r="J2150" t="s">
        <v>6</v>
      </c>
    </row>
    <row r="2151" spans="3:10" hidden="1">
      <c r="C2151">
        <v>189011</v>
      </c>
      <c r="D2151" t="s">
        <v>49</v>
      </c>
      <c r="E2151" t="s">
        <v>1131</v>
      </c>
      <c r="F2151" s="41"/>
      <c r="G2151" s="80" t="s">
        <v>22</v>
      </c>
      <c r="H2151" s="80" t="s">
        <v>9</v>
      </c>
      <c r="I2151" s="81" t="s">
        <v>1120</v>
      </c>
      <c r="J2151" t="s">
        <v>6</v>
      </c>
    </row>
    <row r="2152" spans="3:10" hidden="1">
      <c r="C2152">
        <v>189012</v>
      </c>
      <c r="D2152" t="s">
        <v>49</v>
      </c>
      <c r="E2152" t="s">
        <v>1132</v>
      </c>
      <c r="F2152" s="41"/>
      <c r="G2152" s="80" t="s">
        <v>22</v>
      </c>
      <c r="H2152" s="80" t="s">
        <v>9</v>
      </c>
      <c r="I2152" s="81" t="s">
        <v>1120</v>
      </c>
      <c r="J2152" t="s">
        <v>6</v>
      </c>
    </row>
    <row r="2153" spans="3:10" hidden="1">
      <c r="C2153">
        <v>189013</v>
      </c>
      <c r="D2153" t="s">
        <v>49</v>
      </c>
      <c r="E2153" t="s">
        <v>1126</v>
      </c>
      <c r="F2153" s="41"/>
      <c r="G2153" s="80" t="s">
        <v>22</v>
      </c>
      <c r="H2153" s="80" t="s">
        <v>9</v>
      </c>
      <c r="I2153" s="81" t="s">
        <v>1120</v>
      </c>
      <c r="J2153" t="s">
        <v>6</v>
      </c>
    </row>
    <row r="2154" spans="3:10" hidden="1">
      <c r="C2154">
        <v>189014</v>
      </c>
      <c r="D2154" t="s">
        <v>120</v>
      </c>
      <c r="E2154" t="s">
        <v>1133</v>
      </c>
      <c r="F2154" s="41"/>
      <c r="G2154" s="80" t="s">
        <v>22</v>
      </c>
      <c r="H2154" s="80" t="s">
        <v>9</v>
      </c>
      <c r="I2154" s="81" t="s">
        <v>1120</v>
      </c>
      <c r="J2154" t="s">
        <v>6</v>
      </c>
    </row>
    <row r="2155" spans="3:10" hidden="1">
      <c r="C2155">
        <v>189015</v>
      </c>
      <c r="D2155" t="s">
        <v>49</v>
      </c>
      <c r="E2155" t="s">
        <v>1134</v>
      </c>
      <c r="F2155" s="41"/>
      <c r="G2155" s="80" t="s">
        <v>22</v>
      </c>
      <c r="H2155" s="80" t="s">
        <v>9</v>
      </c>
      <c r="I2155" s="81" t="s">
        <v>1120</v>
      </c>
      <c r="J2155" t="s">
        <v>6</v>
      </c>
    </row>
    <row r="2156" spans="3:10" hidden="1">
      <c r="C2156">
        <v>189016</v>
      </c>
      <c r="D2156" t="s">
        <v>49</v>
      </c>
      <c r="E2156" t="s">
        <v>1135</v>
      </c>
      <c r="F2156" s="41"/>
      <c r="G2156" s="80" t="s">
        <v>22</v>
      </c>
      <c r="H2156" s="80" t="s">
        <v>9</v>
      </c>
      <c r="I2156" s="81" t="s">
        <v>1120</v>
      </c>
      <c r="J2156" t="s">
        <v>6</v>
      </c>
    </row>
    <row r="2157" spans="3:10" hidden="1">
      <c r="C2157">
        <v>189017</v>
      </c>
      <c r="D2157" t="s">
        <v>49</v>
      </c>
      <c r="E2157" t="s">
        <v>1136</v>
      </c>
      <c r="F2157" s="41"/>
      <c r="G2157" s="80" t="s">
        <v>22</v>
      </c>
      <c r="H2157" s="80" t="s">
        <v>9</v>
      </c>
      <c r="I2157" s="81" t="s">
        <v>1120</v>
      </c>
      <c r="J2157" t="s">
        <v>6</v>
      </c>
    </row>
    <row r="2158" spans="3:10" hidden="1">
      <c r="C2158">
        <v>189018</v>
      </c>
      <c r="D2158" t="s">
        <v>49</v>
      </c>
      <c r="E2158" t="s">
        <v>1137</v>
      </c>
      <c r="F2158" s="41"/>
      <c r="G2158" s="80" t="s">
        <v>22</v>
      </c>
      <c r="H2158" s="80" t="s">
        <v>9</v>
      </c>
      <c r="I2158" s="81" t="s">
        <v>1120</v>
      </c>
      <c r="J2158" t="s">
        <v>6</v>
      </c>
    </row>
    <row r="2159" spans="3:10" hidden="1">
      <c r="C2159">
        <v>189019</v>
      </c>
      <c r="D2159" t="s">
        <v>49</v>
      </c>
      <c r="E2159" t="s">
        <v>1138</v>
      </c>
      <c r="F2159" s="41"/>
      <c r="G2159" s="80" t="s">
        <v>22</v>
      </c>
      <c r="H2159" s="80" t="s">
        <v>9</v>
      </c>
      <c r="I2159" s="81" t="s">
        <v>1120</v>
      </c>
      <c r="J2159" t="s">
        <v>6</v>
      </c>
    </row>
    <row r="2160" spans="3:10" hidden="1">
      <c r="C2160">
        <v>189020</v>
      </c>
      <c r="D2160" t="s">
        <v>49</v>
      </c>
      <c r="E2160" t="s">
        <v>1126</v>
      </c>
      <c r="F2160" s="41"/>
      <c r="G2160" s="80" t="s">
        <v>22</v>
      </c>
      <c r="H2160" s="80" t="s">
        <v>9</v>
      </c>
      <c r="I2160" s="81" t="s">
        <v>1120</v>
      </c>
      <c r="J2160" t="s">
        <v>6</v>
      </c>
    </row>
    <row r="2161" spans="3:10" hidden="1">
      <c r="C2161">
        <v>189021</v>
      </c>
      <c r="D2161" t="s">
        <v>120</v>
      </c>
      <c r="E2161" t="s">
        <v>1139</v>
      </c>
      <c r="F2161" s="41"/>
      <c r="G2161" s="80" t="s">
        <v>22</v>
      </c>
      <c r="H2161" s="80" t="s">
        <v>9</v>
      </c>
      <c r="I2161" s="81" t="s">
        <v>1120</v>
      </c>
      <c r="J2161" t="s">
        <v>6</v>
      </c>
    </row>
    <row r="2162" spans="3:10" hidden="1">
      <c r="C2162">
        <v>189022</v>
      </c>
      <c r="D2162" t="s">
        <v>49</v>
      </c>
      <c r="E2162" t="s">
        <v>1140</v>
      </c>
      <c r="F2162" s="41"/>
      <c r="G2162" s="80" t="s">
        <v>22</v>
      </c>
      <c r="H2162" s="80" t="s">
        <v>9</v>
      </c>
      <c r="I2162" s="81" t="s">
        <v>1120</v>
      </c>
      <c r="J2162" t="s">
        <v>6</v>
      </c>
    </row>
    <row r="2163" spans="3:10" hidden="1">
      <c r="C2163">
        <v>189023</v>
      </c>
      <c r="D2163" t="s">
        <v>49</v>
      </c>
      <c r="E2163" t="s">
        <v>1141</v>
      </c>
      <c r="F2163" s="41"/>
      <c r="G2163" s="80" t="s">
        <v>22</v>
      </c>
      <c r="H2163" s="80" t="s">
        <v>9</v>
      </c>
      <c r="I2163" s="81" t="s">
        <v>1120</v>
      </c>
      <c r="J2163" t="s">
        <v>6</v>
      </c>
    </row>
    <row r="2164" spans="3:10" hidden="1">
      <c r="C2164">
        <v>189024</v>
      </c>
      <c r="D2164" t="s">
        <v>49</v>
      </c>
      <c r="E2164" t="s">
        <v>1142</v>
      </c>
      <c r="F2164" s="41"/>
      <c r="G2164" s="80" t="s">
        <v>22</v>
      </c>
      <c r="H2164" s="80" t="s">
        <v>9</v>
      </c>
      <c r="I2164" s="81" t="s">
        <v>1120</v>
      </c>
      <c r="J2164" t="s">
        <v>6</v>
      </c>
    </row>
    <row r="2165" spans="3:10" hidden="1">
      <c r="C2165">
        <v>189025</v>
      </c>
      <c r="D2165" t="s">
        <v>49</v>
      </c>
      <c r="E2165" t="s">
        <v>1143</v>
      </c>
      <c r="F2165" s="41"/>
      <c r="G2165" s="80" t="s">
        <v>22</v>
      </c>
      <c r="H2165" s="80" t="s">
        <v>9</v>
      </c>
      <c r="I2165" s="81" t="s">
        <v>1120</v>
      </c>
      <c r="J2165" t="s">
        <v>6</v>
      </c>
    </row>
    <row r="2166" spans="3:10" hidden="1">
      <c r="C2166">
        <v>189026</v>
      </c>
      <c r="D2166" t="s">
        <v>49</v>
      </c>
      <c r="E2166" t="s">
        <v>1144</v>
      </c>
      <c r="F2166" s="41"/>
      <c r="G2166" s="80" t="s">
        <v>22</v>
      </c>
      <c r="H2166" s="80" t="s">
        <v>9</v>
      </c>
      <c r="I2166" s="81" t="s">
        <v>1120</v>
      </c>
      <c r="J2166" t="s">
        <v>6</v>
      </c>
    </row>
    <row r="2167" spans="3:10" hidden="1">
      <c r="C2167">
        <v>189027</v>
      </c>
      <c r="D2167" t="s">
        <v>49</v>
      </c>
      <c r="E2167" t="s">
        <v>1126</v>
      </c>
      <c r="F2167" s="41"/>
      <c r="G2167" s="80" t="s">
        <v>22</v>
      </c>
      <c r="H2167" s="80" t="s">
        <v>9</v>
      </c>
      <c r="I2167" s="81" t="s">
        <v>1120</v>
      </c>
      <c r="J2167" t="s">
        <v>6</v>
      </c>
    </row>
    <row r="2168" spans="3:10" hidden="1">
      <c r="C2168">
        <v>189028</v>
      </c>
      <c r="D2168" t="s">
        <v>120</v>
      </c>
      <c r="E2168" t="s">
        <v>1145</v>
      </c>
      <c r="F2168" s="41"/>
      <c r="G2168" s="80" t="s">
        <v>22</v>
      </c>
      <c r="H2168" s="80" t="s">
        <v>9</v>
      </c>
      <c r="I2168" s="81" t="s">
        <v>1120</v>
      </c>
      <c r="J2168" t="s">
        <v>6</v>
      </c>
    </row>
    <row r="2169" spans="3:10" hidden="1">
      <c r="C2169">
        <v>189029</v>
      </c>
      <c r="D2169" t="s">
        <v>49</v>
      </c>
      <c r="E2169" t="s">
        <v>1146</v>
      </c>
      <c r="F2169" s="41"/>
      <c r="G2169" s="80" t="s">
        <v>22</v>
      </c>
      <c r="H2169" s="80" t="s">
        <v>9</v>
      </c>
      <c r="I2169" s="81" t="s">
        <v>1120</v>
      </c>
      <c r="J2169" t="s">
        <v>6</v>
      </c>
    </row>
    <row r="2170" spans="3:10" hidden="1">
      <c r="C2170">
        <v>189030</v>
      </c>
      <c r="D2170" t="s">
        <v>49</v>
      </c>
      <c r="E2170" t="s">
        <v>1716</v>
      </c>
      <c r="F2170" s="41"/>
      <c r="G2170" s="80" t="s">
        <v>22</v>
      </c>
      <c r="H2170" s="80" t="s">
        <v>9</v>
      </c>
      <c r="I2170" s="81" t="s">
        <v>1120</v>
      </c>
      <c r="J2170" t="s">
        <v>6</v>
      </c>
    </row>
    <row r="2171" spans="3:10" hidden="1">
      <c r="C2171">
        <v>189031</v>
      </c>
      <c r="D2171" t="s">
        <v>49</v>
      </c>
      <c r="E2171" t="s">
        <v>1148</v>
      </c>
      <c r="F2171" s="41"/>
      <c r="G2171" s="80" t="s">
        <v>22</v>
      </c>
      <c r="H2171" s="80" t="s">
        <v>9</v>
      </c>
      <c r="I2171" s="81" t="s">
        <v>1120</v>
      </c>
      <c r="J2171" t="s">
        <v>6</v>
      </c>
    </row>
    <row r="2172" spans="3:10" hidden="1">
      <c r="C2172">
        <v>189032</v>
      </c>
      <c r="D2172" t="s">
        <v>49</v>
      </c>
      <c r="E2172" t="s">
        <v>1149</v>
      </c>
      <c r="F2172" s="41"/>
      <c r="G2172" s="80" t="s">
        <v>22</v>
      </c>
      <c r="H2172" s="80" t="s">
        <v>9</v>
      </c>
      <c r="I2172" s="81" t="s">
        <v>1120</v>
      </c>
      <c r="J2172" t="s">
        <v>6</v>
      </c>
    </row>
    <row r="2173" spans="3:10" hidden="1">
      <c r="C2173">
        <v>189033</v>
      </c>
      <c r="D2173" t="s">
        <v>49</v>
      </c>
      <c r="E2173" t="s">
        <v>1126</v>
      </c>
      <c r="F2173" s="41"/>
      <c r="G2173" s="80" t="s">
        <v>22</v>
      </c>
      <c r="H2173" s="80" t="s">
        <v>9</v>
      </c>
      <c r="I2173" s="81" t="s">
        <v>1120</v>
      </c>
      <c r="J2173" t="s">
        <v>6</v>
      </c>
    </row>
    <row r="2174" spans="3:10" hidden="1">
      <c r="C2174">
        <v>189034</v>
      </c>
      <c r="D2174" t="s">
        <v>49</v>
      </c>
      <c r="E2174" t="s">
        <v>57</v>
      </c>
      <c r="F2174" s="41"/>
      <c r="G2174" s="80" t="s">
        <v>22</v>
      </c>
      <c r="H2174" s="80" t="s">
        <v>9</v>
      </c>
      <c r="I2174" s="81" t="s">
        <v>1120</v>
      </c>
      <c r="J2174" t="s">
        <v>6</v>
      </c>
    </row>
    <row r="2175" spans="3:10" hidden="1">
      <c r="C2175">
        <v>189035</v>
      </c>
      <c r="D2175" t="s">
        <v>58</v>
      </c>
      <c r="E2175" t="s">
        <v>59</v>
      </c>
      <c r="F2175" s="41"/>
      <c r="G2175" s="80" t="s">
        <v>22</v>
      </c>
      <c r="H2175" s="80" t="s">
        <v>9</v>
      </c>
      <c r="I2175" s="81" t="s">
        <v>1120</v>
      </c>
      <c r="J2175" t="s">
        <v>6</v>
      </c>
    </row>
    <row r="2176" spans="3:10" hidden="1">
      <c r="C2176">
        <v>190000</v>
      </c>
      <c r="D2176" t="s">
        <v>48</v>
      </c>
      <c r="E2176" t="s">
        <v>1150</v>
      </c>
      <c r="F2176" s="41"/>
      <c r="G2176" s="80" t="s">
        <v>22</v>
      </c>
      <c r="H2176" s="80" t="s">
        <v>9</v>
      </c>
      <c r="I2176" s="81" t="s">
        <v>1150</v>
      </c>
      <c r="J2176" t="s">
        <v>6</v>
      </c>
    </row>
    <row r="2177" spans="3:10" hidden="1">
      <c r="C2177">
        <v>190001</v>
      </c>
      <c r="D2177" t="s">
        <v>49</v>
      </c>
      <c r="E2177" t="s">
        <v>540</v>
      </c>
      <c r="F2177" s="41"/>
      <c r="G2177" s="80" t="s">
        <v>22</v>
      </c>
      <c r="H2177" s="80" t="s">
        <v>9</v>
      </c>
      <c r="I2177" s="81" t="s">
        <v>1150</v>
      </c>
      <c r="J2177" t="s">
        <v>6</v>
      </c>
    </row>
    <row r="2178" spans="3:10" hidden="1">
      <c r="C2178">
        <v>190002</v>
      </c>
      <c r="D2178" t="s">
        <v>49</v>
      </c>
      <c r="E2178" t="s">
        <v>541</v>
      </c>
      <c r="F2178" s="41"/>
      <c r="G2178" s="80" t="s">
        <v>22</v>
      </c>
      <c r="H2178" s="80" t="s">
        <v>9</v>
      </c>
      <c r="I2178" s="81" t="s">
        <v>1150</v>
      </c>
      <c r="J2178" t="s">
        <v>6</v>
      </c>
    </row>
    <row r="2179" spans="3:10" hidden="1">
      <c r="C2179">
        <v>190003</v>
      </c>
      <c r="D2179" t="s">
        <v>49</v>
      </c>
      <c r="E2179" t="s">
        <v>542</v>
      </c>
      <c r="F2179" s="41"/>
      <c r="G2179" s="80" t="s">
        <v>22</v>
      </c>
      <c r="H2179" s="80" t="s">
        <v>9</v>
      </c>
      <c r="I2179" s="81" t="s">
        <v>1150</v>
      </c>
      <c r="J2179" t="s">
        <v>6</v>
      </c>
    </row>
    <row r="2180" spans="3:10" hidden="1">
      <c r="C2180">
        <v>190004</v>
      </c>
      <c r="D2180" t="s">
        <v>49</v>
      </c>
      <c r="E2180" t="s">
        <v>543</v>
      </c>
      <c r="F2180" s="41"/>
      <c r="G2180" s="80" t="s">
        <v>22</v>
      </c>
      <c r="H2180" s="80" t="s">
        <v>9</v>
      </c>
      <c r="I2180" s="81" t="s">
        <v>1150</v>
      </c>
      <c r="J2180" t="s">
        <v>6</v>
      </c>
    </row>
    <row r="2181" spans="3:10" hidden="1">
      <c r="C2181">
        <v>190005</v>
      </c>
      <c r="D2181" t="s">
        <v>49</v>
      </c>
      <c r="E2181" t="s">
        <v>544</v>
      </c>
      <c r="F2181" s="41"/>
      <c r="G2181" s="80" t="s">
        <v>22</v>
      </c>
      <c r="H2181" s="80" t="s">
        <v>9</v>
      </c>
      <c r="I2181" s="81" t="s">
        <v>1150</v>
      </c>
      <c r="J2181" t="s">
        <v>6</v>
      </c>
    </row>
    <row r="2182" spans="3:10" hidden="1">
      <c r="C2182">
        <v>190006</v>
      </c>
      <c r="D2182" t="s">
        <v>49</v>
      </c>
      <c r="E2182" t="s">
        <v>545</v>
      </c>
      <c r="F2182" s="41"/>
      <c r="G2182" s="80" t="s">
        <v>22</v>
      </c>
      <c r="H2182" s="80" t="s">
        <v>9</v>
      </c>
      <c r="I2182" s="81" t="s">
        <v>1150</v>
      </c>
      <c r="J2182" t="s">
        <v>6</v>
      </c>
    </row>
    <row r="2183" spans="3:10" hidden="1">
      <c r="C2183">
        <v>190007</v>
      </c>
      <c r="D2183" t="s">
        <v>49</v>
      </c>
      <c r="E2183" t="s">
        <v>546</v>
      </c>
      <c r="F2183" s="41"/>
      <c r="G2183" s="80" t="s">
        <v>22</v>
      </c>
      <c r="H2183" s="80" t="s">
        <v>9</v>
      </c>
      <c r="I2183" s="81" t="s">
        <v>1150</v>
      </c>
      <c r="J2183" t="s">
        <v>6</v>
      </c>
    </row>
    <row r="2184" spans="3:10" hidden="1">
      <c r="C2184">
        <v>190008</v>
      </c>
      <c r="D2184" t="s">
        <v>49</v>
      </c>
      <c r="E2184" t="s">
        <v>57</v>
      </c>
      <c r="F2184" s="41"/>
      <c r="G2184" s="80" t="s">
        <v>22</v>
      </c>
      <c r="H2184" s="80" t="s">
        <v>9</v>
      </c>
      <c r="I2184" s="81" t="s">
        <v>1150</v>
      </c>
      <c r="J2184" t="s">
        <v>6</v>
      </c>
    </row>
    <row r="2185" spans="3:10" hidden="1">
      <c r="C2185">
        <v>190009</v>
      </c>
      <c r="D2185" t="s">
        <v>58</v>
      </c>
      <c r="E2185" t="s">
        <v>59</v>
      </c>
      <c r="F2185" s="41"/>
      <c r="G2185" s="80" t="s">
        <v>22</v>
      </c>
      <c r="H2185" s="80" t="s">
        <v>9</v>
      </c>
      <c r="I2185" s="81" t="s">
        <v>1150</v>
      </c>
      <c r="J2185" t="s">
        <v>6</v>
      </c>
    </row>
    <row r="2186" spans="3:10" hidden="1">
      <c r="C2186">
        <v>191000</v>
      </c>
      <c r="D2186" t="s">
        <v>48</v>
      </c>
      <c r="E2186" t="s">
        <v>1151</v>
      </c>
      <c r="F2186" s="41"/>
      <c r="G2186" s="80" t="s">
        <v>22</v>
      </c>
      <c r="H2186" s="80" t="s">
        <v>9</v>
      </c>
      <c r="I2186" s="81" t="s">
        <v>1151</v>
      </c>
      <c r="J2186" t="s">
        <v>6</v>
      </c>
    </row>
    <row r="2187" spans="3:10" hidden="1">
      <c r="C2187">
        <v>191001</v>
      </c>
      <c r="D2187" t="s">
        <v>49</v>
      </c>
      <c r="E2187" t="s">
        <v>540</v>
      </c>
      <c r="F2187" s="41"/>
      <c r="G2187" s="80" t="s">
        <v>22</v>
      </c>
      <c r="H2187" s="80" t="s">
        <v>9</v>
      </c>
      <c r="I2187" s="81" t="s">
        <v>1151</v>
      </c>
      <c r="J2187" t="s">
        <v>6</v>
      </c>
    </row>
    <row r="2188" spans="3:10" hidden="1">
      <c r="C2188">
        <v>191002</v>
      </c>
      <c r="D2188" t="s">
        <v>49</v>
      </c>
      <c r="E2188" t="s">
        <v>541</v>
      </c>
      <c r="F2188" s="41"/>
      <c r="G2188" s="80" t="s">
        <v>22</v>
      </c>
      <c r="H2188" s="80" t="s">
        <v>9</v>
      </c>
      <c r="I2188" s="81" t="s">
        <v>1151</v>
      </c>
      <c r="J2188" t="s">
        <v>6</v>
      </c>
    </row>
    <row r="2189" spans="3:10" hidden="1">
      <c r="C2189">
        <v>191003</v>
      </c>
      <c r="D2189" t="s">
        <v>49</v>
      </c>
      <c r="E2189" t="s">
        <v>542</v>
      </c>
      <c r="F2189" s="41"/>
      <c r="G2189" s="80" t="s">
        <v>22</v>
      </c>
      <c r="H2189" s="80" t="s">
        <v>9</v>
      </c>
      <c r="I2189" s="81" t="s">
        <v>1151</v>
      </c>
      <c r="J2189" t="s">
        <v>6</v>
      </c>
    </row>
    <row r="2190" spans="3:10" hidden="1">
      <c r="C2190">
        <v>191004</v>
      </c>
      <c r="D2190" t="s">
        <v>49</v>
      </c>
      <c r="E2190" t="s">
        <v>543</v>
      </c>
      <c r="F2190" s="41"/>
      <c r="G2190" s="80" t="s">
        <v>22</v>
      </c>
      <c r="H2190" s="80" t="s">
        <v>9</v>
      </c>
      <c r="I2190" s="81" t="s">
        <v>1151</v>
      </c>
      <c r="J2190" t="s">
        <v>6</v>
      </c>
    </row>
    <row r="2191" spans="3:10" hidden="1">
      <c r="C2191">
        <v>191005</v>
      </c>
      <c r="D2191" t="s">
        <v>49</v>
      </c>
      <c r="E2191" t="s">
        <v>544</v>
      </c>
      <c r="F2191" s="41"/>
      <c r="G2191" s="80" t="s">
        <v>22</v>
      </c>
      <c r="H2191" s="80" t="s">
        <v>9</v>
      </c>
      <c r="I2191" s="81" t="s">
        <v>1151</v>
      </c>
      <c r="J2191" t="s">
        <v>6</v>
      </c>
    </row>
    <row r="2192" spans="3:10" hidden="1">
      <c r="C2192">
        <v>191006</v>
      </c>
      <c r="D2192" t="s">
        <v>49</v>
      </c>
      <c r="E2192" t="s">
        <v>545</v>
      </c>
      <c r="F2192" s="41"/>
      <c r="G2192" s="80" t="s">
        <v>22</v>
      </c>
      <c r="H2192" s="80" t="s">
        <v>9</v>
      </c>
      <c r="I2192" s="81" t="s">
        <v>1151</v>
      </c>
      <c r="J2192" t="s">
        <v>6</v>
      </c>
    </row>
    <row r="2193" spans="3:10" hidden="1">
      <c r="C2193">
        <v>191007</v>
      </c>
      <c r="D2193" t="s">
        <v>49</v>
      </c>
      <c r="E2193" t="s">
        <v>546</v>
      </c>
      <c r="F2193" s="41"/>
      <c r="G2193" s="80" t="s">
        <v>22</v>
      </c>
      <c r="H2193" s="80" t="s">
        <v>9</v>
      </c>
      <c r="I2193" s="81" t="s">
        <v>1151</v>
      </c>
      <c r="J2193" t="s">
        <v>6</v>
      </c>
    </row>
    <row r="2194" spans="3:10" hidden="1">
      <c r="C2194">
        <v>191008</v>
      </c>
      <c r="D2194" t="s">
        <v>49</v>
      </c>
      <c r="E2194" t="s">
        <v>57</v>
      </c>
      <c r="F2194" s="41"/>
      <c r="G2194" s="80" t="s">
        <v>22</v>
      </c>
      <c r="H2194" s="80" t="s">
        <v>9</v>
      </c>
      <c r="I2194" s="81" t="s">
        <v>1151</v>
      </c>
      <c r="J2194" t="s">
        <v>6</v>
      </c>
    </row>
    <row r="2195" spans="3:10" hidden="1">
      <c r="C2195">
        <v>191009</v>
      </c>
      <c r="D2195" t="s">
        <v>58</v>
      </c>
      <c r="E2195" t="s">
        <v>59</v>
      </c>
      <c r="F2195" s="41"/>
      <c r="G2195" s="80" t="s">
        <v>22</v>
      </c>
      <c r="H2195" s="80" t="s">
        <v>9</v>
      </c>
      <c r="I2195" s="81" t="s">
        <v>1151</v>
      </c>
      <c r="J2195" t="s">
        <v>6</v>
      </c>
    </row>
    <row r="2196" spans="3:10" hidden="1">
      <c r="C2196">
        <v>192000</v>
      </c>
      <c r="D2196" t="s">
        <v>119</v>
      </c>
      <c r="E2196" t="s">
        <v>1152</v>
      </c>
      <c r="F2196" s="41"/>
      <c r="G2196" s="80" t="s">
        <v>22</v>
      </c>
      <c r="H2196" s="80" t="s">
        <v>9</v>
      </c>
      <c r="I2196" s="81" t="s">
        <v>1152</v>
      </c>
      <c r="J2196" t="s">
        <v>6</v>
      </c>
    </row>
    <row r="2197" spans="3:10" hidden="1">
      <c r="C2197">
        <v>192001</v>
      </c>
      <c r="D2197" t="s">
        <v>120</v>
      </c>
      <c r="E2197" t="s">
        <v>491</v>
      </c>
      <c r="F2197" s="41"/>
      <c r="G2197" s="80" t="s">
        <v>22</v>
      </c>
      <c r="H2197" s="80" t="s">
        <v>9</v>
      </c>
      <c r="I2197" s="81" t="s">
        <v>1152</v>
      </c>
      <c r="J2197" t="s">
        <v>6</v>
      </c>
    </row>
    <row r="2198" spans="3:10" hidden="1">
      <c r="C2198">
        <v>192002</v>
      </c>
      <c r="D2198" t="s">
        <v>49</v>
      </c>
      <c r="E2198" t="s">
        <v>502</v>
      </c>
      <c r="F2198" s="41"/>
      <c r="G2198" s="80" t="s">
        <v>22</v>
      </c>
      <c r="H2198" s="80" t="s">
        <v>9</v>
      </c>
      <c r="I2198" s="81" t="s">
        <v>1152</v>
      </c>
      <c r="J2198" t="s">
        <v>6</v>
      </c>
    </row>
    <row r="2199" spans="3:10" hidden="1">
      <c r="C2199">
        <v>192003</v>
      </c>
      <c r="D2199" t="s">
        <v>49</v>
      </c>
      <c r="E2199" t="s">
        <v>503</v>
      </c>
      <c r="F2199" s="41"/>
      <c r="G2199" s="80" t="s">
        <v>22</v>
      </c>
      <c r="H2199" s="80" t="s">
        <v>9</v>
      </c>
      <c r="I2199" s="81" t="s">
        <v>1152</v>
      </c>
      <c r="J2199" t="s">
        <v>6</v>
      </c>
    </row>
    <row r="2200" spans="3:10" hidden="1">
      <c r="C2200">
        <v>192004</v>
      </c>
      <c r="D2200" t="s">
        <v>120</v>
      </c>
      <c r="E2200" t="s">
        <v>504</v>
      </c>
      <c r="F2200" s="41"/>
      <c r="G2200" s="80" t="s">
        <v>22</v>
      </c>
      <c r="H2200" s="80" t="s">
        <v>9</v>
      </c>
      <c r="I2200" s="81" t="s">
        <v>1152</v>
      </c>
      <c r="J2200" t="s">
        <v>6</v>
      </c>
    </row>
    <row r="2201" spans="3:10" hidden="1">
      <c r="C2201">
        <v>192005</v>
      </c>
      <c r="D2201" t="s">
        <v>49</v>
      </c>
      <c r="E2201" t="s">
        <v>1153</v>
      </c>
      <c r="F2201" s="41"/>
      <c r="G2201" s="80" t="s">
        <v>22</v>
      </c>
      <c r="H2201" s="80" t="s">
        <v>9</v>
      </c>
      <c r="I2201" s="81" t="s">
        <v>1152</v>
      </c>
      <c r="J2201" t="s">
        <v>6</v>
      </c>
    </row>
    <row r="2202" spans="3:10" hidden="1">
      <c r="C2202">
        <v>192006</v>
      </c>
      <c r="D2202" t="s">
        <v>49</v>
      </c>
      <c r="E2202" t="s">
        <v>1154</v>
      </c>
      <c r="F2202" s="41"/>
      <c r="G2202" s="80" t="s">
        <v>22</v>
      </c>
      <c r="H2202" s="80" t="s">
        <v>9</v>
      </c>
      <c r="I2202" s="81" t="s">
        <v>1152</v>
      </c>
      <c r="J2202" t="s">
        <v>6</v>
      </c>
    </row>
    <row r="2203" spans="3:10" hidden="1">
      <c r="C2203">
        <v>192007</v>
      </c>
      <c r="D2203" t="s">
        <v>49</v>
      </c>
      <c r="E2203" t="s">
        <v>1155</v>
      </c>
      <c r="F2203" s="41"/>
      <c r="G2203" s="80" t="s">
        <v>22</v>
      </c>
      <c r="H2203" s="80" t="s">
        <v>9</v>
      </c>
      <c r="I2203" s="81" t="s">
        <v>1152</v>
      </c>
      <c r="J2203" t="s">
        <v>6</v>
      </c>
    </row>
    <row r="2204" spans="3:10" hidden="1">
      <c r="C2204">
        <v>192008</v>
      </c>
      <c r="D2204" t="s">
        <v>49</v>
      </c>
      <c r="E2204" t="s">
        <v>507</v>
      </c>
      <c r="F2204" s="41"/>
      <c r="G2204" s="80" t="s">
        <v>22</v>
      </c>
      <c r="H2204" s="80" t="s">
        <v>9</v>
      </c>
      <c r="I2204" s="81" t="s">
        <v>1152</v>
      </c>
      <c r="J2204" t="s">
        <v>6</v>
      </c>
    </row>
    <row r="2205" spans="3:10" hidden="1">
      <c r="C2205">
        <v>192009</v>
      </c>
      <c r="D2205" t="s">
        <v>49</v>
      </c>
      <c r="E2205" t="s">
        <v>508</v>
      </c>
      <c r="F2205" s="41"/>
      <c r="G2205" s="80" t="s">
        <v>22</v>
      </c>
      <c r="H2205" s="80" t="s">
        <v>9</v>
      </c>
      <c r="I2205" s="81" t="s">
        <v>1152</v>
      </c>
      <c r="J2205" t="s">
        <v>6</v>
      </c>
    </row>
    <row r="2206" spans="3:10" hidden="1">
      <c r="C2206">
        <v>192010</v>
      </c>
      <c r="D2206" t="s">
        <v>49</v>
      </c>
      <c r="E2206" t="s">
        <v>509</v>
      </c>
      <c r="F2206" s="41"/>
      <c r="G2206" s="80" t="s">
        <v>22</v>
      </c>
      <c r="H2206" s="80" t="s">
        <v>9</v>
      </c>
      <c r="I2206" s="81" t="s">
        <v>1152</v>
      </c>
      <c r="J2206" t="s">
        <v>6</v>
      </c>
    </row>
    <row r="2207" spans="3:10" hidden="1">
      <c r="C2207">
        <v>192011</v>
      </c>
      <c r="D2207" t="s">
        <v>49</v>
      </c>
      <c r="E2207" t="s">
        <v>1156</v>
      </c>
      <c r="F2207" s="41"/>
      <c r="G2207" s="80" t="s">
        <v>22</v>
      </c>
      <c r="H2207" s="80" t="s">
        <v>9</v>
      </c>
      <c r="I2207" s="81" t="s">
        <v>1152</v>
      </c>
      <c r="J2207" t="s">
        <v>6</v>
      </c>
    </row>
    <row r="2208" spans="3:10" hidden="1">
      <c r="C2208">
        <v>192012</v>
      </c>
      <c r="D2208" t="s">
        <v>49</v>
      </c>
      <c r="E2208" t="s">
        <v>57</v>
      </c>
      <c r="F2208" s="41"/>
      <c r="G2208" s="80" t="s">
        <v>22</v>
      </c>
      <c r="H2208" s="80" t="s">
        <v>9</v>
      </c>
      <c r="I2208" s="81" t="s">
        <v>1152</v>
      </c>
      <c r="J2208" t="s">
        <v>6</v>
      </c>
    </row>
    <row r="2209" spans="3:10" hidden="1">
      <c r="C2209">
        <v>192013</v>
      </c>
      <c r="D2209" t="s">
        <v>58</v>
      </c>
      <c r="E2209" t="s">
        <v>59</v>
      </c>
      <c r="F2209" s="41"/>
      <c r="G2209" s="80" t="s">
        <v>22</v>
      </c>
      <c r="H2209" s="80" t="s">
        <v>9</v>
      </c>
      <c r="I2209" s="81" t="s">
        <v>1152</v>
      </c>
      <c r="J2209" t="s">
        <v>6</v>
      </c>
    </row>
    <row r="2210" spans="3:10" hidden="1">
      <c r="C2210">
        <v>193000</v>
      </c>
      <c r="D2210" t="s">
        <v>48</v>
      </c>
      <c r="E2210" t="s">
        <v>1157</v>
      </c>
      <c r="F2210" s="41"/>
      <c r="G2210" s="80" t="s">
        <v>22</v>
      </c>
      <c r="H2210" s="80" t="s">
        <v>9</v>
      </c>
      <c r="I2210" s="81" t="s">
        <v>1157</v>
      </c>
      <c r="J2210" t="s">
        <v>6</v>
      </c>
    </row>
    <row r="2211" spans="3:10" hidden="1">
      <c r="C2211">
        <v>193001</v>
      </c>
      <c r="D2211" t="s">
        <v>49</v>
      </c>
      <c r="E2211" t="s">
        <v>1158</v>
      </c>
      <c r="F2211" s="41"/>
      <c r="G2211" s="80" t="s">
        <v>22</v>
      </c>
      <c r="H2211" s="80" t="s">
        <v>9</v>
      </c>
      <c r="I2211" s="81" t="s">
        <v>1157</v>
      </c>
      <c r="J2211" t="s">
        <v>6</v>
      </c>
    </row>
    <row r="2212" spans="3:10" hidden="1">
      <c r="C2212">
        <v>193002</v>
      </c>
      <c r="D2212" t="s">
        <v>49</v>
      </c>
      <c r="E2212" t="s">
        <v>1159</v>
      </c>
      <c r="F2212" s="41"/>
      <c r="G2212" s="80" t="s">
        <v>22</v>
      </c>
      <c r="H2212" s="80" t="s">
        <v>9</v>
      </c>
      <c r="I2212" s="81" t="s">
        <v>1157</v>
      </c>
      <c r="J2212" t="s">
        <v>6</v>
      </c>
    </row>
    <row r="2213" spans="3:10" hidden="1">
      <c r="C2213">
        <v>193003</v>
      </c>
      <c r="D2213" t="s">
        <v>49</v>
      </c>
      <c r="E2213" t="s">
        <v>1160</v>
      </c>
      <c r="F2213" s="41"/>
      <c r="G2213" s="80" t="s">
        <v>22</v>
      </c>
      <c r="H2213" s="80" t="s">
        <v>9</v>
      </c>
      <c r="I2213" s="81" t="s">
        <v>1157</v>
      </c>
      <c r="J2213" t="s">
        <v>6</v>
      </c>
    </row>
    <row r="2214" spans="3:10" hidden="1">
      <c r="C2214">
        <v>193004</v>
      </c>
      <c r="D2214" t="s">
        <v>49</v>
      </c>
      <c r="E2214" t="s">
        <v>1161</v>
      </c>
      <c r="F2214" s="41"/>
      <c r="G2214" s="80" t="s">
        <v>22</v>
      </c>
      <c r="H2214" s="80" t="s">
        <v>9</v>
      </c>
      <c r="I2214" s="81" t="s">
        <v>1157</v>
      </c>
      <c r="J2214" t="s">
        <v>6</v>
      </c>
    </row>
    <row r="2215" spans="3:10" hidden="1">
      <c r="C2215">
        <v>193005</v>
      </c>
      <c r="D2215" t="s">
        <v>49</v>
      </c>
      <c r="E2215" t="s">
        <v>1162</v>
      </c>
      <c r="F2215" s="41"/>
      <c r="G2215" s="80" t="s">
        <v>22</v>
      </c>
      <c r="H2215" s="80" t="s">
        <v>9</v>
      </c>
      <c r="I2215" s="81" t="s">
        <v>1157</v>
      </c>
      <c r="J2215" t="s">
        <v>6</v>
      </c>
    </row>
    <row r="2216" spans="3:10" hidden="1">
      <c r="C2216">
        <v>193006</v>
      </c>
      <c r="D2216" t="s">
        <v>49</v>
      </c>
      <c r="E2216" t="s">
        <v>57</v>
      </c>
      <c r="F2216" s="41"/>
      <c r="G2216" s="80" t="s">
        <v>22</v>
      </c>
      <c r="H2216" s="80" t="s">
        <v>9</v>
      </c>
      <c r="I2216" s="81" t="s">
        <v>1157</v>
      </c>
      <c r="J2216" t="s">
        <v>6</v>
      </c>
    </row>
    <row r="2217" spans="3:10" hidden="1">
      <c r="C2217">
        <v>193007</v>
      </c>
      <c r="D2217" t="s">
        <v>58</v>
      </c>
      <c r="E2217" t="s">
        <v>59</v>
      </c>
      <c r="F2217" s="41"/>
      <c r="G2217" s="80" t="s">
        <v>22</v>
      </c>
      <c r="H2217" s="80" t="s">
        <v>9</v>
      </c>
      <c r="I2217" s="81" t="s">
        <v>1157</v>
      </c>
      <c r="J2217" t="s">
        <v>6</v>
      </c>
    </row>
    <row r="2218" spans="3:10" hidden="1">
      <c r="C2218">
        <v>194000</v>
      </c>
      <c r="D2218" t="s">
        <v>48</v>
      </c>
      <c r="E2218" t="s">
        <v>1163</v>
      </c>
      <c r="F2218" s="41"/>
      <c r="G2218" s="80" t="s">
        <v>598</v>
      </c>
      <c r="H2218" s="80" t="s">
        <v>9</v>
      </c>
      <c r="I2218" s="81" t="s">
        <v>1163</v>
      </c>
      <c r="J2218" t="s">
        <v>6</v>
      </c>
    </row>
    <row r="2219" spans="3:10" hidden="1">
      <c r="C2219">
        <v>194001</v>
      </c>
      <c r="D2219" t="s">
        <v>49</v>
      </c>
      <c r="E2219" t="s">
        <v>1164</v>
      </c>
      <c r="F2219" s="41"/>
      <c r="G2219" s="80" t="s">
        <v>598</v>
      </c>
      <c r="H2219" s="80" t="s">
        <v>9</v>
      </c>
      <c r="I2219" s="81" t="s">
        <v>1163</v>
      </c>
      <c r="J2219" t="s">
        <v>6</v>
      </c>
    </row>
    <row r="2220" spans="3:10" hidden="1">
      <c r="C2220">
        <v>194002</v>
      </c>
      <c r="D2220" t="s">
        <v>49</v>
      </c>
      <c r="E2220" t="s">
        <v>1165</v>
      </c>
      <c r="F2220" s="41"/>
      <c r="G2220" s="80" t="s">
        <v>598</v>
      </c>
      <c r="H2220" s="80" t="s">
        <v>9</v>
      </c>
      <c r="I2220" s="81" t="s">
        <v>1163</v>
      </c>
      <c r="J2220" t="s">
        <v>6</v>
      </c>
    </row>
    <row r="2221" spans="3:10" hidden="1">
      <c r="C2221">
        <v>194003</v>
      </c>
      <c r="D2221" t="s">
        <v>49</v>
      </c>
      <c r="E2221" t="s">
        <v>1166</v>
      </c>
      <c r="F2221" s="41"/>
      <c r="G2221" s="80" t="s">
        <v>598</v>
      </c>
      <c r="H2221" s="80" t="s">
        <v>9</v>
      </c>
      <c r="I2221" s="81" t="s">
        <v>1163</v>
      </c>
      <c r="J2221" t="s">
        <v>6</v>
      </c>
    </row>
    <row r="2222" spans="3:10" hidden="1">
      <c r="C2222">
        <v>194004</v>
      </c>
      <c r="D2222" t="s">
        <v>49</v>
      </c>
      <c r="E2222" t="s">
        <v>1167</v>
      </c>
      <c r="F2222" s="41"/>
      <c r="G2222" s="80" t="s">
        <v>598</v>
      </c>
      <c r="H2222" s="80" t="s">
        <v>9</v>
      </c>
      <c r="I2222" s="81" t="s">
        <v>1163</v>
      </c>
      <c r="J2222" t="s">
        <v>6</v>
      </c>
    </row>
    <row r="2223" spans="3:10" hidden="1">
      <c r="C2223">
        <v>194005</v>
      </c>
      <c r="D2223" t="s">
        <v>58</v>
      </c>
      <c r="E2223" t="s">
        <v>883</v>
      </c>
      <c r="F2223" s="41"/>
      <c r="G2223" s="80" t="s">
        <v>598</v>
      </c>
      <c r="H2223" s="80" t="s">
        <v>9</v>
      </c>
      <c r="I2223" s="81" t="s">
        <v>1163</v>
      </c>
      <c r="J2223" t="s">
        <v>6</v>
      </c>
    </row>
    <row r="2224" spans="3:10" hidden="1">
      <c r="C2224">
        <v>194006</v>
      </c>
      <c r="D2224" t="s">
        <v>49</v>
      </c>
      <c r="E2224" t="s">
        <v>57</v>
      </c>
      <c r="F2224" s="41"/>
      <c r="G2224" s="80" t="s">
        <v>598</v>
      </c>
      <c r="H2224" s="80" t="s">
        <v>9</v>
      </c>
      <c r="I2224" s="81" t="s">
        <v>1163</v>
      </c>
      <c r="J2224" t="s">
        <v>6</v>
      </c>
    </row>
    <row r="2225" spans="3:10" hidden="1">
      <c r="C2225">
        <v>194007</v>
      </c>
      <c r="D2225" t="s">
        <v>58</v>
      </c>
      <c r="E2225" t="s">
        <v>59</v>
      </c>
      <c r="F2225" s="41"/>
      <c r="G2225" s="80" t="s">
        <v>598</v>
      </c>
      <c r="H2225" s="80" t="s">
        <v>9</v>
      </c>
      <c r="I2225" s="81" t="s">
        <v>1163</v>
      </c>
      <c r="J2225" t="s">
        <v>6</v>
      </c>
    </row>
    <row r="2226" spans="3:10" hidden="1">
      <c r="C2226">
        <v>195000</v>
      </c>
      <c r="D2226" t="s">
        <v>48</v>
      </c>
      <c r="E2226" t="s">
        <v>1168</v>
      </c>
      <c r="F2226" s="41"/>
      <c r="G2226" s="80" t="s">
        <v>598</v>
      </c>
      <c r="H2226" s="80" t="s">
        <v>9</v>
      </c>
      <c r="I2226" s="81" t="s">
        <v>1168</v>
      </c>
      <c r="J2226" t="s">
        <v>6</v>
      </c>
    </row>
    <row r="2227" spans="3:10" hidden="1">
      <c r="C2227">
        <v>195001</v>
      </c>
      <c r="D2227" t="s">
        <v>49</v>
      </c>
      <c r="E2227" t="s">
        <v>1169</v>
      </c>
      <c r="F2227" s="41"/>
      <c r="G2227" s="80" t="s">
        <v>598</v>
      </c>
      <c r="H2227" s="80" t="s">
        <v>9</v>
      </c>
      <c r="I2227" s="81" t="s">
        <v>1168</v>
      </c>
      <c r="J2227" t="s">
        <v>6</v>
      </c>
    </row>
    <row r="2228" spans="3:10" hidden="1">
      <c r="C2228">
        <v>195002</v>
      </c>
      <c r="D2228" t="s">
        <v>49</v>
      </c>
      <c r="E2228" t="s">
        <v>1170</v>
      </c>
      <c r="F2228" s="41"/>
      <c r="G2228" s="80" t="s">
        <v>598</v>
      </c>
      <c r="H2228" s="80" t="s">
        <v>9</v>
      </c>
      <c r="I2228" s="81" t="s">
        <v>1168</v>
      </c>
      <c r="J2228" t="s">
        <v>6</v>
      </c>
    </row>
    <row r="2229" spans="3:10" hidden="1">
      <c r="C2229">
        <v>195003</v>
      </c>
      <c r="D2229" t="s">
        <v>49</v>
      </c>
      <c r="E2229" t="s">
        <v>1171</v>
      </c>
      <c r="F2229" s="41"/>
      <c r="G2229" s="80" t="s">
        <v>598</v>
      </c>
      <c r="H2229" s="80" t="s">
        <v>9</v>
      </c>
      <c r="I2229" s="81" t="s">
        <v>1168</v>
      </c>
      <c r="J2229" t="s">
        <v>6</v>
      </c>
    </row>
    <row r="2230" spans="3:10" hidden="1">
      <c r="C2230">
        <v>195004</v>
      </c>
      <c r="D2230" t="s">
        <v>49</v>
      </c>
      <c r="E2230" t="s">
        <v>1167</v>
      </c>
      <c r="F2230" s="41"/>
      <c r="G2230" s="80" t="s">
        <v>598</v>
      </c>
      <c r="H2230" s="80" t="s">
        <v>9</v>
      </c>
      <c r="I2230" s="81" t="s">
        <v>1168</v>
      </c>
      <c r="J2230" t="s">
        <v>6</v>
      </c>
    </row>
    <row r="2231" spans="3:10" hidden="1">
      <c r="C2231">
        <v>195005</v>
      </c>
      <c r="D2231" t="s">
        <v>49</v>
      </c>
      <c r="E2231" t="s">
        <v>1172</v>
      </c>
      <c r="F2231" s="41"/>
      <c r="G2231" s="80" t="s">
        <v>598</v>
      </c>
      <c r="H2231" s="80" t="s">
        <v>9</v>
      </c>
      <c r="I2231" s="81" t="s">
        <v>1168</v>
      </c>
      <c r="J2231" t="s">
        <v>6</v>
      </c>
    </row>
    <row r="2232" spans="3:10" hidden="1">
      <c r="C2232">
        <v>195006</v>
      </c>
      <c r="D2232" t="s">
        <v>58</v>
      </c>
      <c r="E2232" t="s">
        <v>883</v>
      </c>
      <c r="F2232" s="41"/>
      <c r="G2232" s="80" t="s">
        <v>598</v>
      </c>
      <c r="H2232" s="80" t="s">
        <v>9</v>
      </c>
      <c r="I2232" s="81" t="s">
        <v>1168</v>
      </c>
      <c r="J2232" t="s">
        <v>6</v>
      </c>
    </row>
    <row r="2233" spans="3:10" hidden="1">
      <c r="C2233">
        <v>195007</v>
      </c>
      <c r="D2233" t="s">
        <v>49</v>
      </c>
      <c r="E2233" t="s">
        <v>57</v>
      </c>
      <c r="F2233" s="41"/>
      <c r="G2233" s="80" t="s">
        <v>598</v>
      </c>
      <c r="H2233" s="80" t="s">
        <v>9</v>
      </c>
      <c r="I2233" s="81" t="s">
        <v>1168</v>
      </c>
      <c r="J2233" t="s">
        <v>6</v>
      </c>
    </row>
    <row r="2234" spans="3:10" hidden="1">
      <c r="C2234">
        <v>195008</v>
      </c>
      <c r="D2234" t="s">
        <v>58</v>
      </c>
      <c r="E2234" t="s">
        <v>59</v>
      </c>
      <c r="F2234" s="41"/>
      <c r="G2234" s="80" t="s">
        <v>598</v>
      </c>
      <c r="H2234" s="80" t="s">
        <v>9</v>
      </c>
      <c r="I2234" s="81" t="s">
        <v>1168</v>
      </c>
      <c r="J2234" t="s">
        <v>6</v>
      </c>
    </row>
    <row r="2235" spans="3:10" hidden="1">
      <c r="C2235">
        <v>196000</v>
      </c>
      <c r="D2235" t="s">
        <v>48</v>
      </c>
      <c r="E2235" t="s">
        <v>1173</v>
      </c>
      <c r="F2235" s="41"/>
      <c r="G2235" s="80" t="s">
        <v>598</v>
      </c>
      <c r="H2235" s="80" t="s">
        <v>9</v>
      </c>
      <c r="I2235" s="81" t="s">
        <v>1173</v>
      </c>
      <c r="J2235" t="s">
        <v>6</v>
      </c>
    </row>
    <row r="2236" spans="3:10" hidden="1">
      <c r="C2236">
        <v>196001</v>
      </c>
      <c r="D2236" t="s">
        <v>49</v>
      </c>
      <c r="E2236" t="s">
        <v>1174</v>
      </c>
      <c r="F2236" s="41"/>
      <c r="G2236" s="80" t="s">
        <v>598</v>
      </c>
      <c r="H2236" s="80" t="s">
        <v>9</v>
      </c>
      <c r="I2236" s="81" t="s">
        <v>1173</v>
      </c>
      <c r="J2236" t="s">
        <v>6</v>
      </c>
    </row>
    <row r="2237" spans="3:10" hidden="1">
      <c r="C2237">
        <v>196002</v>
      </c>
      <c r="D2237" t="s">
        <v>49</v>
      </c>
      <c r="E2237" t="s">
        <v>1175</v>
      </c>
      <c r="F2237" s="41"/>
      <c r="G2237" s="80" t="s">
        <v>598</v>
      </c>
      <c r="H2237" s="80" t="s">
        <v>9</v>
      </c>
      <c r="I2237" s="81" t="s">
        <v>1173</v>
      </c>
      <c r="J2237" t="s">
        <v>6</v>
      </c>
    </row>
    <row r="2238" spans="3:10" hidden="1">
      <c r="C2238">
        <v>196003</v>
      </c>
      <c r="D2238" t="s">
        <v>49</v>
      </c>
      <c r="E2238" t="s">
        <v>1176</v>
      </c>
      <c r="F2238" s="41"/>
      <c r="G2238" s="80" t="s">
        <v>598</v>
      </c>
      <c r="H2238" s="80" t="s">
        <v>9</v>
      </c>
      <c r="I2238" s="81" t="s">
        <v>1173</v>
      </c>
      <c r="J2238" t="s">
        <v>6</v>
      </c>
    </row>
    <row r="2239" spans="3:10" hidden="1">
      <c r="C2239">
        <v>196004</v>
      </c>
      <c r="D2239" t="s">
        <v>49</v>
      </c>
      <c r="E2239" t="s">
        <v>1177</v>
      </c>
      <c r="F2239" s="41"/>
      <c r="G2239" s="80" t="s">
        <v>598</v>
      </c>
      <c r="H2239" s="80" t="s">
        <v>9</v>
      </c>
      <c r="I2239" s="81" t="s">
        <v>1173</v>
      </c>
      <c r="J2239" t="s">
        <v>6</v>
      </c>
    </row>
    <row r="2240" spans="3:10" hidden="1">
      <c r="C2240">
        <v>196005</v>
      </c>
      <c r="D2240" t="s">
        <v>49</v>
      </c>
      <c r="E2240" t="s">
        <v>1178</v>
      </c>
      <c r="F2240" s="41"/>
      <c r="G2240" s="80" t="s">
        <v>598</v>
      </c>
      <c r="H2240" s="80" t="s">
        <v>9</v>
      </c>
      <c r="I2240" s="81" t="s">
        <v>1173</v>
      </c>
      <c r="J2240" t="s">
        <v>6</v>
      </c>
    </row>
    <row r="2241" spans="3:10" hidden="1">
      <c r="C2241">
        <v>196006</v>
      </c>
      <c r="D2241" t="s">
        <v>49</v>
      </c>
      <c r="E2241" t="s">
        <v>57</v>
      </c>
      <c r="F2241" s="41"/>
      <c r="G2241" s="80" t="s">
        <v>598</v>
      </c>
      <c r="H2241" s="80" t="s">
        <v>9</v>
      </c>
      <c r="I2241" s="81" t="s">
        <v>1173</v>
      </c>
      <c r="J2241" t="s">
        <v>6</v>
      </c>
    </row>
    <row r="2242" spans="3:10" hidden="1">
      <c r="C2242">
        <v>196007</v>
      </c>
      <c r="D2242" t="s">
        <v>58</v>
      </c>
      <c r="E2242" t="s">
        <v>59</v>
      </c>
      <c r="F2242" s="41"/>
      <c r="G2242" s="80" t="s">
        <v>598</v>
      </c>
      <c r="H2242" s="80" t="s">
        <v>9</v>
      </c>
      <c r="I2242" s="81" t="s">
        <v>1173</v>
      </c>
      <c r="J2242" t="s">
        <v>6</v>
      </c>
    </row>
    <row r="2243" spans="3:10" hidden="1">
      <c r="C2243">
        <v>197000</v>
      </c>
      <c r="D2243" t="s">
        <v>119</v>
      </c>
      <c r="E2243" t="s">
        <v>1179</v>
      </c>
      <c r="F2243" s="41"/>
      <c r="G2243" s="80" t="s">
        <v>32</v>
      </c>
      <c r="H2243" s="80" t="s">
        <v>9</v>
      </c>
      <c r="I2243" s="81" t="s">
        <v>1179</v>
      </c>
      <c r="J2243" t="s">
        <v>6</v>
      </c>
    </row>
    <row r="2244" spans="3:10" hidden="1">
      <c r="C2244">
        <v>197001</v>
      </c>
      <c r="D2244" t="s">
        <v>49</v>
      </c>
      <c r="E2244" t="s">
        <v>806</v>
      </c>
      <c r="F2244" s="41"/>
      <c r="G2244" s="80" t="s">
        <v>32</v>
      </c>
      <c r="H2244" s="80" t="s">
        <v>9</v>
      </c>
      <c r="I2244" s="81" t="s">
        <v>1179</v>
      </c>
      <c r="J2244" t="s">
        <v>6</v>
      </c>
    </row>
    <row r="2245" spans="3:10" hidden="1">
      <c r="C2245">
        <v>197002</v>
      </c>
      <c r="D2245" t="s">
        <v>49</v>
      </c>
      <c r="E2245" t="s">
        <v>1181</v>
      </c>
      <c r="F2245" s="41"/>
      <c r="G2245" s="80" t="s">
        <v>32</v>
      </c>
      <c r="H2245" s="80" t="s">
        <v>9</v>
      </c>
      <c r="I2245" s="81" t="s">
        <v>1179</v>
      </c>
      <c r="J2245" t="s">
        <v>6</v>
      </c>
    </row>
    <row r="2246" spans="3:10" hidden="1">
      <c r="C2246">
        <v>197003</v>
      </c>
      <c r="D2246" t="s">
        <v>49</v>
      </c>
      <c r="E2246" t="s">
        <v>1182</v>
      </c>
      <c r="F2246" s="41"/>
      <c r="G2246" s="80" t="s">
        <v>32</v>
      </c>
      <c r="H2246" s="80" t="s">
        <v>9</v>
      </c>
      <c r="I2246" s="81" t="s">
        <v>1179</v>
      </c>
      <c r="J2246" t="s">
        <v>6</v>
      </c>
    </row>
    <row r="2247" spans="3:10" hidden="1">
      <c r="C2247">
        <v>197004</v>
      </c>
      <c r="D2247" t="s">
        <v>49</v>
      </c>
      <c r="E2247" t="s">
        <v>1183</v>
      </c>
      <c r="F2247" s="41"/>
      <c r="G2247" s="80" t="s">
        <v>32</v>
      </c>
      <c r="H2247" s="80" t="s">
        <v>9</v>
      </c>
      <c r="I2247" s="81" t="s">
        <v>1179</v>
      </c>
      <c r="J2247" t="s">
        <v>6</v>
      </c>
    </row>
    <row r="2248" spans="3:10" hidden="1">
      <c r="C2248">
        <v>197005</v>
      </c>
      <c r="D2248" t="s">
        <v>49</v>
      </c>
      <c r="E2248" t="s">
        <v>1184</v>
      </c>
      <c r="F2248" s="41"/>
      <c r="G2248" s="80" t="s">
        <v>32</v>
      </c>
      <c r="H2248" s="80" t="s">
        <v>9</v>
      </c>
      <c r="I2248" s="81" t="s">
        <v>1179</v>
      </c>
      <c r="J2248" t="s">
        <v>6</v>
      </c>
    </row>
    <row r="2249" spans="3:10" hidden="1">
      <c r="C2249">
        <v>197006</v>
      </c>
      <c r="D2249" t="s">
        <v>49</v>
      </c>
      <c r="E2249" t="s">
        <v>1185</v>
      </c>
      <c r="F2249" s="41"/>
      <c r="G2249" s="80" t="s">
        <v>32</v>
      </c>
      <c r="H2249" s="80" t="s">
        <v>9</v>
      </c>
      <c r="I2249" s="81" t="s">
        <v>1179</v>
      </c>
      <c r="J2249" t="s">
        <v>6</v>
      </c>
    </row>
    <row r="2250" spans="3:10" hidden="1">
      <c r="C2250">
        <v>197007</v>
      </c>
      <c r="D2250" t="s">
        <v>49</v>
      </c>
      <c r="E2250" t="s">
        <v>1186</v>
      </c>
      <c r="F2250" s="41"/>
      <c r="G2250" s="80" t="s">
        <v>32</v>
      </c>
      <c r="H2250" s="80" t="s">
        <v>9</v>
      </c>
      <c r="I2250" s="81" t="s">
        <v>1179</v>
      </c>
      <c r="J2250" t="s">
        <v>6</v>
      </c>
    </row>
    <row r="2251" spans="3:10" hidden="1">
      <c r="C2251">
        <v>197008</v>
      </c>
      <c r="D2251" t="s">
        <v>49</v>
      </c>
      <c r="E2251" t="s">
        <v>1187</v>
      </c>
      <c r="F2251" s="41"/>
      <c r="G2251" s="80" t="s">
        <v>32</v>
      </c>
      <c r="H2251" s="80" t="s">
        <v>9</v>
      </c>
      <c r="I2251" s="81" t="s">
        <v>1179</v>
      </c>
      <c r="J2251" t="s">
        <v>6</v>
      </c>
    </row>
    <row r="2252" spans="3:10" hidden="1">
      <c r="C2252">
        <v>197009</v>
      </c>
      <c r="D2252" t="s">
        <v>49</v>
      </c>
      <c r="E2252" t="s">
        <v>1188</v>
      </c>
      <c r="F2252" s="41"/>
      <c r="G2252" s="80" t="s">
        <v>32</v>
      </c>
      <c r="H2252" s="80" t="s">
        <v>9</v>
      </c>
      <c r="I2252" s="81" t="s">
        <v>1179</v>
      </c>
      <c r="J2252" t="s">
        <v>6</v>
      </c>
    </row>
    <row r="2253" spans="3:10" hidden="1">
      <c r="C2253">
        <v>197010</v>
      </c>
      <c r="D2253" t="s">
        <v>49</v>
      </c>
      <c r="E2253" t="s">
        <v>57</v>
      </c>
      <c r="F2253" s="41"/>
      <c r="G2253" s="80" t="s">
        <v>32</v>
      </c>
      <c r="H2253" s="80" t="s">
        <v>9</v>
      </c>
      <c r="I2253" s="81" t="s">
        <v>1179</v>
      </c>
      <c r="J2253" t="s">
        <v>6</v>
      </c>
    </row>
    <row r="2254" spans="3:10" hidden="1">
      <c r="C2254">
        <v>197011</v>
      </c>
      <c r="D2254" t="s">
        <v>58</v>
      </c>
      <c r="E2254" t="s">
        <v>59</v>
      </c>
      <c r="F2254" s="41"/>
      <c r="G2254" s="80" t="s">
        <v>32</v>
      </c>
      <c r="H2254" s="80" t="s">
        <v>9</v>
      </c>
      <c r="I2254" s="81" t="s">
        <v>1179</v>
      </c>
      <c r="J2254" t="s">
        <v>6</v>
      </c>
    </row>
    <row r="2255" spans="3:10" hidden="1">
      <c r="C2255">
        <v>198000</v>
      </c>
      <c r="D2255" t="s">
        <v>48</v>
      </c>
      <c r="E2255" t="s">
        <v>1189</v>
      </c>
      <c r="F2255" s="41"/>
      <c r="G2255" s="80" t="s">
        <v>8</v>
      </c>
      <c r="H2255" s="80" t="s">
        <v>9</v>
      </c>
      <c r="I2255" s="81" t="s">
        <v>1189</v>
      </c>
      <c r="J2255" t="s">
        <v>6</v>
      </c>
    </row>
    <row r="2256" spans="3:10" hidden="1">
      <c r="C2256">
        <v>198001</v>
      </c>
      <c r="D2256" t="s">
        <v>49</v>
      </c>
      <c r="E2256" t="s">
        <v>74</v>
      </c>
      <c r="F2256" s="41"/>
      <c r="G2256" s="80" t="s">
        <v>8</v>
      </c>
      <c r="H2256" s="80" t="s">
        <v>9</v>
      </c>
      <c r="I2256" s="81" t="s">
        <v>1189</v>
      </c>
      <c r="J2256" t="s">
        <v>6</v>
      </c>
    </row>
    <row r="2257" spans="3:10" hidden="1">
      <c r="C2257">
        <v>198002</v>
      </c>
      <c r="D2257" t="s">
        <v>49</v>
      </c>
      <c r="E2257" t="s">
        <v>1190</v>
      </c>
      <c r="F2257" s="41"/>
      <c r="G2257" s="80" t="s">
        <v>8</v>
      </c>
      <c r="H2257" s="80" t="s">
        <v>9</v>
      </c>
      <c r="I2257" s="81" t="s">
        <v>1189</v>
      </c>
      <c r="J2257" t="s">
        <v>6</v>
      </c>
    </row>
    <row r="2258" spans="3:10" hidden="1">
      <c r="C2258">
        <v>198003</v>
      </c>
      <c r="D2258" t="s">
        <v>49</v>
      </c>
      <c r="E2258" t="s">
        <v>77</v>
      </c>
      <c r="F2258" s="41"/>
      <c r="G2258" s="80" t="s">
        <v>8</v>
      </c>
      <c r="H2258" s="80" t="s">
        <v>9</v>
      </c>
      <c r="I2258" s="81" t="s">
        <v>1189</v>
      </c>
      <c r="J2258" t="s">
        <v>6</v>
      </c>
    </row>
    <row r="2259" spans="3:10" hidden="1">
      <c r="C2259">
        <v>198004</v>
      </c>
      <c r="D2259" t="s">
        <v>49</v>
      </c>
      <c r="E2259" t="s">
        <v>78</v>
      </c>
      <c r="F2259" s="41"/>
      <c r="G2259" s="80" t="s">
        <v>8</v>
      </c>
      <c r="H2259" s="80" t="s">
        <v>9</v>
      </c>
      <c r="I2259" s="81" t="s">
        <v>1189</v>
      </c>
      <c r="J2259" t="s">
        <v>6</v>
      </c>
    </row>
    <row r="2260" spans="3:10" hidden="1">
      <c r="C2260">
        <v>198005</v>
      </c>
      <c r="D2260" t="s">
        <v>49</v>
      </c>
      <c r="E2260" t="s">
        <v>1191</v>
      </c>
      <c r="F2260" s="41"/>
      <c r="G2260" s="80" t="s">
        <v>8</v>
      </c>
      <c r="H2260" s="80" t="s">
        <v>9</v>
      </c>
      <c r="I2260" s="81" t="s">
        <v>1189</v>
      </c>
      <c r="J2260" t="s">
        <v>6</v>
      </c>
    </row>
    <row r="2261" spans="3:10" hidden="1">
      <c r="C2261">
        <v>198006</v>
      </c>
      <c r="D2261" t="s">
        <v>49</v>
      </c>
      <c r="E2261" t="s">
        <v>435</v>
      </c>
      <c r="F2261" s="41"/>
      <c r="G2261" s="80" t="s">
        <v>8</v>
      </c>
      <c r="H2261" s="80" t="s">
        <v>9</v>
      </c>
      <c r="I2261" s="81" t="s">
        <v>1189</v>
      </c>
      <c r="J2261" t="s">
        <v>6</v>
      </c>
    </row>
    <row r="2262" spans="3:10" hidden="1">
      <c r="C2262">
        <v>198007</v>
      </c>
      <c r="D2262" t="s">
        <v>49</v>
      </c>
      <c r="E2262" t="s">
        <v>57</v>
      </c>
      <c r="F2262" s="41"/>
      <c r="G2262" s="80" t="s">
        <v>8</v>
      </c>
      <c r="H2262" s="80" t="s">
        <v>9</v>
      </c>
      <c r="I2262" s="81" t="s">
        <v>1189</v>
      </c>
      <c r="J2262" t="s">
        <v>6</v>
      </c>
    </row>
    <row r="2263" spans="3:10" hidden="1">
      <c r="C2263">
        <v>198008</v>
      </c>
      <c r="D2263" t="s">
        <v>58</v>
      </c>
      <c r="E2263" t="s">
        <v>59</v>
      </c>
      <c r="F2263" s="41"/>
      <c r="G2263" s="80" t="s">
        <v>8</v>
      </c>
      <c r="H2263" s="80" t="s">
        <v>9</v>
      </c>
      <c r="I2263" s="81" t="s">
        <v>1189</v>
      </c>
      <c r="J2263" t="s">
        <v>6</v>
      </c>
    </row>
    <row r="2264" spans="3:10" hidden="1">
      <c r="C2264">
        <v>199000</v>
      </c>
      <c r="D2264" t="s">
        <v>48</v>
      </c>
      <c r="E2264" t="s">
        <v>1192</v>
      </c>
      <c r="F2264" s="41"/>
      <c r="G2264" s="80" t="s">
        <v>8</v>
      </c>
      <c r="H2264" s="80" t="s">
        <v>9</v>
      </c>
      <c r="I2264" s="81" t="s">
        <v>1192</v>
      </c>
      <c r="J2264" t="s">
        <v>6</v>
      </c>
    </row>
    <row r="2265" spans="3:10" hidden="1">
      <c r="C2265">
        <v>199001</v>
      </c>
      <c r="D2265" t="s">
        <v>49</v>
      </c>
      <c r="E2265" t="s">
        <v>74</v>
      </c>
      <c r="F2265" s="41"/>
      <c r="G2265" s="80" t="s">
        <v>8</v>
      </c>
      <c r="H2265" s="80" t="s">
        <v>9</v>
      </c>
      <c r="I2265" s="81" t="s">
        <v>1192</v>
      </c>
      <c r="J2265" t="s">
        <v>6</v>
      </c>
    </row>
    <row r="2266" spans="3:10" hidden="1">
      <c r="C2266">
        <v>199002</v>
      </c>
      <c r="D2266" t="s">
        <v>49</v>
      </c>
      <c r="E2266" t="s">
        <v>75</v>
      </c>
      <c r="F2266" s="41"/>
      <c r="G2266" s="80" t="s">
        <v>8</v>
      </c>
      <c r="H2266" s="80" t="s">
        <v>9</v>
      </c>
      <c r="I2266" s="81" t="s">
        <v>1192</v>
      </c>
      <c r="J2266" t="s">
        <v>6</v>
      </c>
    </row>
    <row r="2267" spans="3:10" hidden="1">
      <c r="C2267">
        <v>199003</v>
      </c>
      <c r="D2267" t="s">
        <v>49</v>
      </c>
      <c r="E2267" t="s">
        <v>77</v>
      </c>
      <c r="F2267" s="41"/>
      <c r="G2267" s="80" t="s">
        <v>8</v>
      </c>
      <c r="H2267" s="80" t="s">
        <v>9</v>
      </c>
      <c r="I2267" s="81" t="s">
        <v>1192</v>
      </c>
      <c r="J2267" t="s">
        <v>6</v>
      </c>
    </row>
    <row r="2268" spans="3:10" hidden="1">
      <c r="C2268">
        <v>199004</v>
      </c>
      <c r="D2268" t="s">
        <v>49</v>
      </c>
      <c r="E2268" t="s">
        <v>1193</v>
      </c>
      <c r="F2268" s="41"/>
      <c r="G2268" s="80" t="s">
        <v>8</v>
      </c>
      <c r="H2268" s="80" t="s">
        <v>9</v>
      </c>
      <c r="I2268" s="81" t="s">
        <v>1192</v>
      </c>
      <c r="J2268" t="s">
        <v>6</v>
      </c>
    </row>
    <row r="2269" spans="3:10" hidden="1">
      <c r="C2269">
        <v>199005</v>
      </c>
      <c r="D2269" t="s">
        <v>49</v>
      </c>
      <c r="E2269" t="s">
        <v>1194</v>
      </c>
      <c r="F2269" s="41"/>
      <c r="G2269" s="80" t="s">
        <v>8</v>
      </c>
      <c r="H2269" s="80" t="s">
        <v>9</v>
      </c>
      <c r="I2269" s="81" t="s">
        <v>1192</v>
      </c>
      <c r="J2269" t="s">
        <v>6</v>
      </c>
    </row>
    <row r="2270" spans="3:10" hidden="1">
      <c r="C2270">
        <v>199006</v>
      </c>
      <c r="D2270" t="s">
        <v>49</v>
      </c>
      <c r="E2270" t="s">
        <v>1195</v>
      </c>
      <c r="F2270" s="41"/>
      <c r="G2270" s="80" t="s">
        <v>8</v>
      </c>
      <c r="H2270" s="80" t="s">
        <v>9</v>
      </c>
      <c r="I2270" s="81" t="s">
        <v>1192</v>
      </c>
      <c r="J2270" t="s">
        <v>6</v>
      </c>
    </row>
    <row r="2271" spans="3:10" hidden="1">
      <c r="C2271">
        <v>199007</v>
      </c>
      <c r="D2271" t="s">
        <v>49</v>
      </c>
      <c r="E2271" t="s">
        <v>1196</v>
      </c>
      <c r="F2271" s="41"/>
      <c r="G2271" s="80" t="s">
        <v>8</v>
      </c>
      <c r="H2271" s="80" t="s">
        <v>9</v>
      </c>
      <c r="I2271" s="81" t="s">
        <v>1192</v>
      </c>
      <c r="J2271" t="s">
        <v>6</v>
      </c>
    </row>
    <row r="2272" spans="3:10" hidden="1">
      <c r="C2272">
        <v>199008</v>
      </c>
      <c r="D2272" t="s">
        <v>49</v>
      </c>
      <c r="E2272" t="s">
        <v>1197</v>
      </c>
      <c r="F2272" s="41"/>
      <c r="G2272" s="80" t="s">
        <v>8</v>
      </c>
      <c r="H2272" s="80" t="s">
        <v>9</v>
      </c>
      <c r="I2272" s="81" t="s">
        <v>1192</v>
      </c>
      <c r="J2272" t="s">
        <v>6</v>
      </c>
    </row>
    <row r="2273" spans="3:10" hidden="1">
      <c r="C2273">
        <v>199009</v>
      </c>
      <c r="D2273" t="s">
        <v>49</v>
      </c>
      <c r="E2273" t="s">
        <v>1198</v>
      </c>
      <c r="F2273" s="41"/>
      <c r="G2273" s="80" t="s">
        <v>8</v>
      </c>
      <c r="H2273" s="80" t="s">
        <v>9</v>
      </c>
      <c r="I2273" s="81" t="s">
        <v>1192</v>
      </c>
      <c r="J2273" t="s">
        <v>6</v>
      </c>
    </row>
    <row r="2274" spans="3:10" hidden="1">
      <c r="C2274">
        <v>199010</v>
      </c>
      <c r="D2274" t="s">
        <v>49</v>
      </c>
      <c r="E2274" t="s">
        <v>82</v>
      </c>
      <c r="F2274" s="41"/>
      <c r="G2274" s="80" t="s">
        <v>8</v>
      </c>
      <c r="H2274" s="80" t="s">
        <v>9</v>
      </c>
      <c r="I2274" s="81" t="s">
        <v>1192</v>
      </c>
      <c r="J2274" t="s">
        <v>6</v>
      </c>
    </row>
    <row r="2275" spans="3:10" hidden="1">
      <c r="C2275">
        <v>199011</v>
      </c>
      <c r="D2275" t="s">
        <v>49</v>
      </c>
      <c r="E2275" t="s">
        <v>57</v>
      </c>
      <c r="F2275" s="41"/>
      <c r="G2275" s="80" t="s">
        <v>8</v>
      </c>
      <c r="H2275" s="80" t="s">
        <v>9</v>
      </c>
      <c r="I2275" s="81" t="s">
        <v>1192</v>
      </c>
      <c r="J2275" t="s">
        <v>6</v>
      </c>
    </row>
    <row r="2276" spans="3:10" hidden="1">
      <c r="C2276">
        <v>199012</v>
      </c>
      <c r="D2276" t="s">
        <v>58</v>
      </c>
      <c r="E2276" t="s">
        <v>59</v>
      </c>
      <c r="F2276" s="41"/>
      <c r="G2276" s="80" t="s">
        <v>8</v>
      </c>
      <c r="H2276" s="80" t="s">
        <v>9</v>
      </c>
      <c r="I2276" s="81" t="s">
        <v>1192</v>
      </c>
      <c r="J2276" t="s">
        <v>6</v>
      </c>
    </row>
    <row r="2277" spans="3:10" hidden="1">
      <c r="C2277">
        <v>200000</v>
      </c>
      <c r="D2277" t="s">
        <v>48</v>
      </c>
      <c r="E2277" t="s">
        <v>1199</v>
      </c>
      <c r="F2277" s="41"/>
      <c r="G2277" s="80" t="s">
        <v>8</v>
      </c>
      <c r="H2277" s="80" t="s">
        <v>9</v>
      </c>
      <c r="I2277" s="81" t="s">
        <v>1199</v>
      </c>
      <c r="J2277" t="s">
        <v>6</v>
      </c>
    </row>
    <row r="2278" spans="3:10" hidden="1">
      <c r="C2278">
        <v>200001</v>
      </c>
      <c r="D2278" t="s">
        <v>49</v>
      </c>
      <c r="E2278" t="s">
        <v>74</v>
      </c>
      <c r="F2278" s="41"/>
      <c r="G2278" s="80" t="s">
        <v>8</v>
      </c>
      <c r="H2278" s="80" t="s">
        <v>9</v>
      </c>
      <c r="I2278" s="81" t="s">
        <v>1199</v>
      </c>
      <c r="J2278" t="s">
        <v>6</v>
      </c>
    </row>
    <row r="2279" spans="3:10" hidden="1">
      <c r="C2279">
        <v>200002</v>
      </c>
      <c r="D2279" t="s">
        <v>49</v>
      </c>
      <c r="E2279" t="s">
        <v>75</v>
      </c>
      <c r="F2279" s="41"/>
      <c r="G2279" s="80" t="s">
        <v>8</v>
      </c>
      <c r="H2279" s="80" t="s">
        <v>9</v>
      </c>
      <c r="I2279" s="81" t="s">
        <v>1199</v>
      </c>
      <c r="J2279" t="s">
        <v>6</v>
      </c>
    </row>
    <row r="2280" spans="3:10" hidden="1">
      <c r="C2280">
        <v>200003</v>
      </c>
      <c r="D2280" t="s">
        <v>49</v>
      </c>
      <c r="E2280" t="s">
        <v>77</v>
      </c>
      <c r="F2280" s="41"/>
      <c r="G2280" s="80" t="s">
        <v>8</v>
      </c>
      <c r="H2280" s="80" t="s">
        <v>9</v>
      </c>
      <c r="I2280" s="81" t="s">
        <v>1199</v>
      </c>
      <c r="J2280" t="s">
        <v>6</v>
      </c>
    </row>
    <row r="2281" spans="3:10" hidden="1">
      <c r="C2281">
        <v>200004</v>
      </c>
      <c r="D2281" t="s">
        <v>49</v>
      </c>
      <c r="E2281" t="s">
        <v>1717</v>
      </c>
      <c r="F2281" s="41"/>
      <c r="G2281" s="80" t="s">
        <v>8</v>
      </c>
      <c r="H2281" s="80" t="s">
        <v>9</v>
      </c>
      <c r="I2281" s="81" t="s">
        <v>1199</v>
      </c>
      <c r="J2281" t="s">
        <v>6</v>
      </c>
    </row>
    <row r="2282" spans="3:10" hidden="1">
      <c r="C2282">
        <v>200005</v>
      </c>
      <c r="D2282" t="s">
        <v>49</v>
      </c>
      <c r="E2282" t="s">
        <v>1201</v>
      </c>
      <c r="F2282" s="41"/>
      <c r="G2282" s="80" t="s">
        <v>8</v>
      </c>
      <c r="H2282" s="80" t="s">
        <v>9</v>
      </c>
      <c r="I2282" s="81" t="s">
        <v>1199</v>
      </c>
      <c r="J2282" t="s">
        <v>6</v>
      </c>
    </row>
    <row r="2283" spans="3:10" hidden="1">
      <c r="C2283">
        <v>200006</v>
      </c>
      <c r="D2283" t="s">
        <v>49</v>
      </c>
      <c r="E2283" t="s">
        <v>57</v>
      </c>
      <c r="F2283" s="41"/>
      <c r="G2283" s="80" t="s">
        <v>8</v>
      </c>
      <c r="H2283" s="80" t="s">
        <v>9</v>
      </c>
      <c r="I2283" s="81" t="s">
        <v>1199</v>
      </c>
      <c r="J2283" t="s">
        <v>6</v>
      </c>
    </row>
    <row r="2284" spans="3:10" hidden="1">
      <c r="C2284">
        <v>200007</v>
      </c>
      <c r="D2284" t="s">
        <v>58</v>
      </c>
      <c r="E2284" t="s">
        <v>59</v>
      </c>
      <c r="F2284" s="41"/>
      <c r="G2284" s="80" t="s">
        <v>8</v>
      </c>
      <c r="H2284" s="80" t="s">
        <v>9</v>
      </c>
      <c r="I2284" s="81" t="s">
        <v>1199</v>
      </c>
      <c r="J2284" t="s">
        <v>6</v>
      </c>
    </row>
    <row r="2285" spans="3:10" hidden="1">
      <c r="C2285">
        <v>201000</v>
      </c>
      <c r="D2285" t="s">
        <v>48</v>
      </c>
      <c r="E2285" t="s">
        <v>1202</v>
      </c>
      <c r="F2285" s="41"/>
      <c r="G2285" s="80" t="s">
        <v>13</v>
      </c>
      <c r="H2285" s="80" t="s">
        <v>9</v>
      </c>
      <c r="I2285" s="81" t="s">
        <v>1202</v>
      </c>
      <c r="J2285" t="s">
        <v>6</v>
      </c>
    </row>
    <row r="2286" spans="3:10" hidden="1">
      <c r="C2286">
        <v>201001</v>
      </c>
      <c r="D2286" t="s">
        <v>49</v>
      </c>
      <c r="E2286" t="s">
        <v>1203</v>
      </c>
      <c r="F2286" s="41"/>
      <c r="G2286" s="80" t="s">
        <v>13</v>
      </c>
      <c r="H2286" s="80" t="s">
        <v>9</v>
      </c>
      <c r="I2286" s="81" t="s">
        <v>1202</v>
      </c>
      <c r="J2286" t="s">
        <v>6</v>
      </c>
    </row>
    <row r="2287" spans="3:10" hidden="1">
      <c r="C2287">
        <v>201002</v>
      </c>
      <c r="D2287" t="s">
        <v>49</v>
      </c>
      <c r="E2287" t="s">
        <v>1204</v>
      </c>
      <c r="F2287" s="41"/>
      <c r="G2287" s="80" t="s">
        <v>13</v>
      </c>
      <c r="H2287" s="80" t="s">
        <v>9</v>
      </c>
      <c r="I2287" s="81" t="s">
        <v>1202</v>
      </c>
      <c r="J2287" t="s">
        <v>6</v>
      </c>
    </row>
    <row r="2288" spans="3:10" hidden="1">
      <c r="C2288">
        <v>201003</v>
      </c>
      <c r="D2288" t="s">
        <v>49</v>
      </c>
      <c r="E2288" t="s">
        <v>1205</v>
      </c>
      <c r="F2288" s="41"/>
      <c r="G2288" s="80" t="s">
        <v>13</v>
      </c>
      <c r="H2288" s="80" t="s">
        <v>9</v>
      </c>
      <c r="I2288" s="81" t="s">
        <v>1202</v>
      </c>
      <c r="J2288" t="s">
        <v>6</v>
      </c>
    </row>
    <row r="2289" spans="3:10" hidden="1">
      <c r="C2289">
        <v>201004</v>
      </c>
      <c r="D2289" t="s">
        <v>49</v>
      </c>
      <c r="E2289" t="s">
        <v>57</v>
      </c>
      <c r="F2289" s="41"/>
      <c r="G2289" s="80" t="s">
        <v>13</v>
      </c>
      <c r="H2289" s="80" t="s">
        <v>9</v>
      </c>
      <c r="I2289" s="81" t="s">
        <v>1202</v>
      </c>
      <c r="J2289" t="s">
        <v>6</v>
      </c>
    </row>
    <row r="2290" spans="3:10" hidden="1">
      <c r="C2290">
        <v>201005</v>
      </c>
      <c r="D2290" t="s">
        <v>58</v>
      </c>
      <c r="E2290" t="s">
        <v>59</v>
      </c>
      <c r="F2290" s="41"/>
      <c r="G2290" s="80" t="s">
        <v>13</v>
      </c>
      <c r="H2290" s="80" t="s">
        <v>9</v>
      </c>
      <c r="I2290" s="81" t="s">
        <v>1202</v>
      </c>
      <c r="J2290" t="s">
        <v>6</v>
      </c>
    </row>
    <row r="2291" spans="3:10">
      <c r="C2291">
        <v>202000</v>
      </c>
      <c r="D2291" t="s">
        <v>48</v>
      </c>
      <c r="E2291" t="s">
        <v>1207</v>
      </c>
      <c r="F2291" s="41"/>
      <c r="G2291" s="80" t="s">
        <v>1206</v>
      </c>
      <c r="H2291" s="80" t="s">
        <v>9</v>
      </c>
      <c r="I2291" s="81" t="s">
        <v>1207</v>
      </c>
      <c r="J2291" t="s">
        <v>6</v>
      </c>
    </row>
    <row r="2292" spans="3:10">
      <c r="C2292">
        <v>202001</v>
      </c>
      <c r="D2292" t="s">
        <v>49</v>
      </c>
      <c r="E2292" t="s">
        <v>1208</v>
      </c>
      <c r="F2292" s="41"/>
      <c r="G2292" s="80" t="s">
        <v>1206</v>
      </c>
      <c r="H2292" s="80" t="s">
        <v>9</v>
      </c>
      <c r="I2292" s="81" t="s">
        <v>1207</v>
      </c>
      <c r="J2292" t="s">
        <v>6</v>
      </c>
    </row>
    <row r="2293" spans="3:10">
      <c r="C2293">
        <v>202002</v>
      </c>
      <c r="D2293" t="s">
        <v>66</v>
      </c>
      <c r="E2293" t="s">
        <v>1209</v>
      </c>
      <c r="F2293" s="41"/>
      <c r="G2293" s="80" t="s">
        <v>1206</v>
      </c>
      <c r="H2293" s="80" t="s">
        <v>9</v>
      </c>
      <c r="I2293" s="81" t="s">
        <v>1207</v>
      </c>
      <c r="J2293" t="s">
        <v>6</v>
      </c>
    </row>
    <row r="2294" spans="3:10">
      <c r="C2294">
        <v>202003</v>
      </c>
      <c r="D2294" t="s">
        <v>901</v>
      </c>
      <c r="E2294" t="s">
        <v>1210</v>
      </c>
      <c r="F2294" s="41"/>
      <c r="G2294" s="80" t="s">
        <v>1206</v>
      </c>
      <c r="H2294" s="80" t="s">
        <v>9</v>
      </c>
      <c r="I2294" s="81" t="s">
        <v>1207</v>
      </c>
      <c r="J2294" t="s">
        <v>6</v>
      </c>
    </row>
    <row r="2295" spans="3:10">
      <c r="C2295">
        <v>202004</v>
      </c>
      <c r="D2295" t="s">
        <v>58</v>
      </c>
      <c r="E2295" t="s">
        <v>209</v>
      </c>
      <c r="F2295" s="41"/>
      <c r="G2295" s="80" t="s">
        <v>1206</v>
      </c>
      <c r="H2295" s="80" t="s">
        <v>9</v>
      </c>
      <c r="I2295" s="81" t="s">
        <v>1207</v>
      </c>
      <c r="J2295" t="s">
        <v>6</v>
      </c>
    </row>
    <row r="2296" spans="3:10">
      <c r="C2296">
        <v>202005</v>
      </c>
      <c r="D2296" t="s">
        <v>49</v>
      </c>
      <c r="E2296" t="s">
        <v>57</v>
      </c>
      <c r="F2296" s="41"/>
      <c r="G2296" s="80" t="s">
        <v>1206</v>
      </c>
      <c r="H2296" s="80" t="s">
        <v>9</v>
      </c>
      <c r="I2296" s="81" t="s">
        <v>1207</v>
      </c>
      <c r="J2296" t="s">
        <v>6</v>
      </c>
    </row>
    <row r="2297" spans="3:10">
      <c r="C2297">
        <v>202006</v>
      </c>
      <c r="D2297" t="s">
        <v>58</v>
      </c>
      <c r="E2297" t="s">
        <v>59</v>
      </c>
      <c r="F2297" s="41"/>
      <c r="G2297" s="80" t="s">
        <v>1206</v>
      </c>
      <c r="H2297" s="80" t="s">
        <v>9</v>
      </c>
      <c r="I2297" s="81" t="s">
        <v>1207</v>
      </c>
      <c r="J2297" t="s">
        <v>6</v>
      </c>
    </row>
    <row r="2298" spans="3:10" hidden="1">
      <c r="C2298">
        <v>203000</v>
      </c>
      <c r="D2298" t="s">
        <v>48</v>
      </c>
      <c r="E2298" t="s">
        <v>1211</v>
      </c>
      <c r="F2298" s="41"/>
      <c r="G2298" s="80" t="s">
        <v>18</v>
      </c>
      <c r="H2298" s="80" t="s">
        <v>9</v>
      </c>
      <c r="I2298" s="81" t="s">
        <v>1211</v>
      </c>
      <c r="J2298" t="s">
        <v>6</v>
      </c>
    </row>
    <row r="2299" spans="3:10" hidden="1">
      <c r="C2299">
        <v>203001</v>
      </c>
      <c r="D2299" t="s">
        <v>49</v>
      </c>
      <c r="E2299" t="s">
        <v>1212</v>
      </c>
      <c r="F2299" s="41"/>
      <c r="G2299" s="80" t="s">
        <v>18</v>
      </c>
      <c r="H2299" s="80" t="s">
        <v>9</v>
      </c>
      <c r="I2299" s="81" t="s">
        <v>1211</v>
      </c>
      <c r="J2299" t="s">
        <v>6</v>
      </c>
    </row>
    <row r="2300" spans="3:10" hidden="1">
      <c r="C2300">
        <v>203002</v>
      </c>
      <c r="D2300" t="s">
        <v>49</v>
      </c>
      <c r="E2300" t="s">
        <v>1213</v>
      </c>
      <c r="F2300" s="41"/>
      <c r="G2300" s="80" t="s">
        <v>18</v>
      </c>
      <c r="H2300" s="80" t="s">
        <v>9</v>
      </c>
      <c r="I2300" s="81" t="s">
        <v>1211</v>
      </c>
      <c r="J2300" t="s">
        <v>6</v>
      </c>
    </row>
    <row r="2301" spans="3:10" hidden="1">
      <c r="C2301">
        <v>203003</v>
      </c>
      <c r="D2301" t="s">
        <v>49</v>
      </c>
      <c r="E2301" t="s">
        <v>1214</v>
      </c>
      <c r="F2301" s="41"/>
      <c r="G2301" s="80" t="s">
        <v>18</v>
      </c>
      <c r="H2301" s="80" t="s">
        <v>9</v>
      </c>
      <c r="I2301" s="81" t="s">
        <v>1211</v>
      </c>
      <c r="J2301" t="s">
        <v>6</v>
      </c>
    </row>
    <row r="2302" spans="3:10" hidden="1">
      <c r="C2302">
        <v>203004</v>
      </c>
      <c r="D2302" t="s">
        <v>49</v>
      </c>
      <c r="E2302" t="s">
        <v>57</v>
      </c>
      <c r="F2302" s="41"/>
      <c r="G2302" s="80" t="s">
        <v>18</v>
      </c>
      <c r="H2302" s="80" t="s">
        <v>9</v>
      </c>
      <c r="I2302" s="81" t="s">
        <v>1211</v>
      </c>
      <c r="J2302" t="s">
        <v>6</v>
      </c>
    </row>
    <row r="2303" spans="3:10" hidden="1">
      <c r="C2303">
        <v>203005</v>
      </c>
      <c r="D2303" t="s">
        <v>58</v>
      </c>
      <c r="E2303" t="s">
        <v>59</v>
      </c>
      <c r="F2303" s="41"/>
      <c r="G2303" s="80" t="s">
        <v>18</v>
      </c>
      <c r="H2303" s="80" t="s">
        <v>9</v>
      </c>
      <c r="I2303" s="81" t="s">
        <v>1211</v>
      </c>
      <c r="J2303" t="s">
        <v>6</v>
      </c>
    </row>
    <row r="2304" spans="3:10" hidden="1">
      <c r="C2304">
        <v>204000</v>
      </c>
      <c r="D2304" t="s">
        <v>48</v>
      </c>
      <c r="E2304" t="s">
        <v>1215</v>
      </c>
      <c r="F2304" s="41"/>
      <c r="G2304" s="80" t="s">
        <v>598</v>
      </c>
      <c r="H2304" s="80" t="s">
        <v>9</v>
      </c>
      <c r="I2304" s="81" t="s">
        <v>1215</v>
      </c>
      <c r="J2304" t="s">
        <v>6</v>
      </c>
    </row>
    <row r="2305" spans="3:10" hidden="1">
      <c r="C2305">
        <v>204001</v>
      </c>
      <c r="D2305" t="s">
        <v>49</v>
      </c>
      <c r="E2305" t="s">
        <v>1216</v>
      </c>
      <c r="F2305" s="41"/>
      <c r="G2305" s="80" t="s">
        <v>598</v>
      </c>
      <c r="H2305" s="80" t="s">
        <v>9</v>
      </c>
      <c r="I2305" s="81" t="s">
        <v>1215</v>
      </c>
      <c r="J2305" t="s">
        <v>6</v>
      </c>
    </row>
    <row r="2306" spans="3:10" hidden="1">
      <c r="C2306">
        <v>204002</v>
      </c>
      <c r="D2306" t="s">
        <v>49</v>
      </c>
      <c r="E2306" t="s">
        <v>1213</v>
      </c>
      <c r="F2306" s="41"/>
      <c r="G2306" s="80" t="s">
        <v>598</v>
      </c>
      <c r="H2306" s="80" t="s">
        <v>9</v>
      </c>
      <c r="I2306" s="81" t="s">
        <v>1215</v>
      </c>
      <c r="J2306" t="s">
        <v>6</v>
      </c>
    </row>
    <row r="2307" spans="3:10" hidden="1">
      <c r="C2307">
        <v>204003</v>
      </c>
      <c r="D2307" t="s">
        <v>49</v>
      </c>
      <c r="E2307" t="s">
        <v>1214</v>
      </c>
      <c r="F2307" s="41"/>
      <c r="G2307" s="80" t="s">
        <v>598</v>
      </c>
      <c r="H2307" s="80" t="s">
        <v>9</v>
      </c>
      <c r="I2307" s="81" t="s">
        <v>1215</v>
      </c>
      <c r="J2307" t="s">
        <v>6</v>
      </c>
    </row>
    <row r="2308" spans="3:10" hidden="1">
      <c r="C2308">
        <v>204004</v>
      </c>
      <c r="D2308" t="s">
        <v>49</v>
      </c>
      <c r="E2308" t="s">
        <v>645</v>
      </c>
      <c r="F2308" s="41"/>
      <c r="G2308" s="80" t="s">
        <v>598</v>
      </c>
      <c r="H2308" s="80" t="s">
        <v>9</v>
      </c>
      <c r="I2308" s="81" t="s">
        <v>1215</v>
      </c>
      <c r="J2308" t="s">
        <v>6</v>
      </c>
    </row>
    <row r="2309" spans="3:10" hidden="1">
      <c r="C2309">
        <v>204005</v>
      </c>
      <c r="D2309" t="s">
        <v>49</v>
      </c>
      <c r="E2309" t="s">
        <v>1217</v>
      </c>
      <c r="F2309" s="41"/>
      <c r="G2309" s="80" t="s">
        <v>598</v>
      </c>
      <c r="H2309" s="80" t="s">
        <v>9</v>
      </c>
      <c r="I2309" s="81" t="s">
        <v>1215</v>
      </c>
      <c r="J2309" t="s">
        <v>6</v>
      </c>
    </row>
    <row r="2310" spans="3:10" hidden="1">
      <c r="C2310">
        <v>204006</v>
      </c>
      <c r="D2310" t="s">
        <v>49</v>
      </c>
      <c r="E2310" t="s">
        <v>57</v>
      </c>
      <c r="F2310" s="41"/>
      <c r="G2310" s="80" t="s">
        <v>598</v>
      </c>
      <c r="H2310" s="80" t="s">
        <v>9</v>
      </c>
      <c r="I2310" s="81" t="s">
        <v>1215</v>
      </c>
      <c r="J2310" t="s">
        <v>6</v>
      </c>
    </row>
    <row r="2311" spans="3:10" hidden="1">
      <c r="C2311">
        <v>204007</v>
      </c>
      <c r="D2311" t="s">
        <v>58</v>
      </c>
      <c r="E2311" t="s">
        <v>59</v>
      </c>
      <c r="F2311" s="41"/>
      <c r="G2311" s="80" t="s">
        <v>598</v>
      </c>
      <c r="H2311" s="80" t="s">
        <v>9</v>
      </c>
      <c r="I2311" s="81" t="s">
        <v>1215</v>
      </c>
      <c r="J2311" t="s">
        <v>6</v>
      </c>
    </row>
    <row r="2312" spans="3:10" hidden="1">
      <c r="C2312">
        <v>205000</v>
      </c>
      <c r="D2312" t="s">
        <v>119</v>
      </c>
      <c r="E2312" t="s">
        <v>1218</v>
      </c>
      <c r="F2312" s="41"/>
      <c r="G2312" s="80" t="s">
        <v>598</v>
      </c>
      <c r="H2312" s="80" t="s">
        <v>9</v>
      </c>
      <c r="I2312" s="81" t="s">
        <v>1218</v>
      </c>
      <c r="J2312" t="s">
        <v>6</v>
      </c>
    </row>
    <row r="2313" spans="3:10" hidden="1">
      <c r="C2313">
        <v>205001</v>
      </c>
      <c r="D2313" t="s">
        <v>49</v>
      </c>
      <c r="E2313" t="s">
        <v>1219</v>
      </c>
      <c r="F2313" s="41"/>
      <c r="G2313" s="80" t="s">
        <v>598</v>
      </c>
      <c r="H2313" s="80" t="s">
        <v>9</v>
      </c>
      <c r="I2313" s="81" t="s">
        <v>1218</v>
      </c>
      <c r="J2313" t="s">
        <v>6</v>
      </c>
    </row>
    <row r="2314" spans="3:10" hidden="1">
      <c r="C2314">
        <v>205002</v>
      </c>
      <c r="D2314" t="s">
        <v>49</v>
      </c>
      <c r="E2314" t="s">
        <v>1220</v>
      </c>
      <c r="F2314" s="41"/>
      <c r="G2314" s="80" t="s">
        <v>598</v>
      </c>
      <c r="H2314" s="80" t="s">
        <v>9</v>
      </c>
      <c r="I2314" s="81" t="s">
        <v>1218</v>
      </c>
      <c r="J2314" t="s">
        <v>6</v>
      </c>
    </row>
    <row r="2315" spans="3:10" hidden="1">
      <c r="C2315">
        <v>205003</v>
      </c>
      <c r="D2315" t="s">
        <v>49</v>
      </c>
      <c r="E2315" t="s">
        <v>1221</v>
      </c>
      <c r="F2315" s="41"/>
      <c r="G2315" s="80" t="s">
        <v>598</v>
      </c>
      <c r="H2315" s="80" t="s">
        <v>9</v>
      </c>
      <c r="I2315" s="81" t="s">
        <v>1218</v>
      </c>
      <c r="J2315" t="s">
        <v>6</v>
      </c>
    </row>
    <row r="2316" spans="3:10" hidden="1">
      <c r="C2316">
        <v>205004</v>
      </c>
      <c r="D2316" t="s">
        <v>49</v>
      </c>
      <c r="E2316" t="s">
        <v>1222</v>
      </c>
      <c r="F2316" s="41"/>
      <c r="G2316" s="80" t="s">
        <v>598</v>
      </c>
      <c r="H2316" s="80" t="s">
        <v>9</v>
      </c>
      <c r="I2316" s="81" t="s">
        <v>1218</v>
      </c>
      <c r="J2316" t="s">
        <v>6</v>
      </c>
    </row>
    <row r="2317" spans="3:10" hidden="1">
      <c r="C2317">
        <v>205005</v>
      </c>
      <c r="D2317" t="s">
        <v>49</v>
      </c>
      <c r="E2317" t="s">
        <v>1223</v>
      </c>
      <c r="F2317" s="41"/>
      <c r="G2317" s="80" t="s">
        <v>598</v>
      </c>
      <c r="H2317" s="80" t="s">
        <v>9</v>
      </c>
      <c r="I2317" s="81" t="s">
        <v>1218</v>
      </c>
      <c r="J2317" t="s">
        <v>6</v>
      </c>
    </row>
    <row r="2318" spans="3:10" hidden="1">
      <c r="C2318">
        <v>205006</v>
      </c>
      <c r="D2318" t="s">
        <v>49</v>
      </c>
      <c r="E2318" t="s">
        <v>1224</v>
      </c>
      <c r="F2318" s="41"/>
      <c r="G2318" s="80" t="s">
        <v>598</v>
      </c>
      <c r="H2318" s="80" t="s">
        <v>9</v>
      </c>
      <c r="I2318" s="81" t="s">
        <v>1218</v>
      </c>
      <c r="J2318" t="s">
        <v>6</v>
      </c>
    </row>
    <row r="2319" spans="3:10" hidden="1">
      <c r="C2319">
        <v>205007</v>
      </c>
      <c r="D2319" t="s">
        <v>49</v>
      </c>
      <c r="E2319" t="s">
        <v>57</v>
      </c>
      <c r="F2319" s="41"/>
      <c r="G2319" s="80" t="s">
        <v>598</v>
      </c>
      <c r="H2319" s="80" t="s">
        <v>9</v>
      </c>
      <c r="I2319" s="81" t="s">
        <v>1218</v>
      </c>
      <c r="J2319" t="s">
        <v>6</v>
      </c>
    </row>
    <row r="2320" spans="3:10" hidden="1">
      <c r="C2320">
        <v>205008</v>
      </c>
      <c r="D2320" t="s">
        <v>58</v>
      </c>
      <c r="E2320" t="s">
        <v>59</v>
      </c>
      <c r="F2320" s="41"/>
      <c r="G2320" s="80" t="s">
        <v>598</v>
      </c>
      <c r="H2320" s="80" t="s">
        <v>9</v>
      </c>
      <c r="I2320" s="81" t="s">
        <v>1218</v>
      </c>
      <c r="J2320" t="s">
        <v>6</v>
      </c>
    </row>
    <row r="2321" spans="3:10" hidden="1">
      <c r="C2321">
        <v>206000</v>
      </c>
      <c r="D2321" t="s">
        <v>48</v>
      </c>
      <c r="E2321" t="s">
        <v>1225</v>
      </c>
      <c r="F2321" s="41"/>
      <c r="G2321" s="80" t="s">
        <v>598</v>
      </c>
      <c r="H2321" s="80" t="s">
        <v>9</v>
      </c>
      <c r="I2321" s="81" t="s">
        <v>1225</v>
      </c>
      <c r="J2321" t="s">
        <v>6</v>
      </c>
    </row>
    <row r="2322" spans="3:10" hidden="1">
      <c r="C2322">
        <v>206001</v>
      </c>
      <c r="D2322" t="s">
        <v>49</v>
      </c>
      <c r="E2322" t="s">
        <v>1226</v>
      </c>
      <c r="F2322" s="41"/>
      <c r="G2322" s="80" t="s">
        <v>598</v>
      </c>
      <c r="H2322" s="80" t="s">
        <v>9</v>
      </c>
      <c r="I2322" s="81" t="s">
        <v>1225</v>
      </c>
      <c r="J2322" t="s">
        <v>6</v>
      </c>
    </row>
    <row r="2323" spans="3:10" hidden="1">
      <c r="C2323">
        <v>206002</v>
      </c>
      <c r="D2323" t="s">
        <v>49</v>
      </c>
      <c r="E2323" t="s">
        <v>1213</v>
      </c>
      <c r="F2323" s="41"/>
      <c r="G2323" s="80" t="s">
        <v>598</v>
      </c>
      <c r="H2323" s="80" t="s">
        <v>9</v>
      </c>
      <c r="I2323" s="81" t="s">
        <v>1225</v>
      </c>
      <c r="J2323" t="s">
        <v>6</v>
      </c>
    </row>
    <row r="2324" spans="3:10" hidden="1">
      <c r="C2324">
        <v>206003</v>
      </c>
      <c r="D2324" t="s">
        <v>49</v>
      </c>
      <c r="E2324" t="s">
        <v>1214</v>
      </c>
      <c r="F2324" s="41"/>
      <c r="G2324" s="80" t="s">
        <v>598</v>
      </c>
      <c r="H2324" s="80" t="s">
        <v>9</v>
      </c>
      <c r="I2324" s="81" t="s">
        <v>1225</v>
      </c>
      <c r="J2324" t="s">
        <v>6</v>
      </c>
    </row>
    <row r="2325" spans="3:10" hidden="1">
      <c r="C2325">
        <v>206004</v>
      </c>
      <c r="D2325" t="s">
        <v>49</v>
      </c>
      <c r="E2325" t="s">
        <v>57</v>
      </c>
      <c r="F2325" s="41"/>
      <c r="G2325" s="80" t="s">
        <v>598</v>
      </c>
      <c r="H2325" s="80" t="s">
        <v>9</v>
      </c>
      <c r="I2325" s="81" t="s">
        <v>1225</v>
      </c>
      <c r="J2325" t="s">
        <v>6</v>
      </c>
    </row>
    <row r="2326" spans="3:10" hidden="1">
      <c r="C2326">
        <v>206005</v>
      </c>
      <c r="D2326" t="s">
        <v>58</v>
      </c>
      <c r="E2326" t="s">
        <v>59</v>
      </c>
      <c r="F2326" s="41"/>
      <c r="G2326" s="80" t="s">
        <v>598</v>
      </c>
      <c r="H2326" s="80" t="s">
        <v>9</v>
      </c>
      <c r="I2326" s="81" t="s">
        <v>1225</v>
      </c>
      <c r="J2326" t="s">
        <v>6</v>
      </c>
    </row>
    <row r="2327" spans="3:10" hidden="1">
      <c r="C2327">
        <v>207000</v>
      </c>
      <c r="D2327" t="s">
        <v>48</v>
      </c>
      <c r="E2327" t="s">
        <v>1227</v>
      </c>
      <c r="F2327" s="41"/>
      <c r="G2327" s="80" t="s">
        <v>18</v>
      </c>
      <c r="H2327" s="80" t="s">
        <v>9</v>
      </c>
      <c r="I2327" s="81" t="s">
        <v>1227</v>
      </c>
      <c r="J2327" t="s">
        <v>6</v>
      </c>
    </row>
    <row r="2328" spans="3:10" hidden="1">
      <c r="C2328">
        <v>207001</v>
      </c>
      <c r="D2328" t="s">
        <v>49</v>
      </c>
      <c r="E2328" t="s">
        <v>1228</v>
      </c>
      <c r="F2328" s="41"/>
      <c r="G2328" s="80" t="s">
        <v>18</v>
      </c>
      <c r="H2328" s="80" t="s">
        <v>9</v>
      </c>
      <c r="I2328" s="81" t="s">
        <v>1227</v>
      </c>
      <c r="J2328" t="s">
        <v>6</v>
      </c>
    </row>
    <row r="2329" spans="3:10" hidden="1">
      <c r="C2329">
        <v>207002</v>
      </c>
      <c r="D2329" t="s">
        <v>124</v>
      </c>
      <c r="E2329" t="s">
        <v>1229</v>
      </c>
      <c r="F2329" s="41"/>
      <c r="G2329" s="80" t="s">
        <v>18</v>
      </c>
      <c r="H2329" s="80" t="s">
        <v>9</v>
      </c>
      <c r="I2329" s="81" t="s">
        <v>1227</v>
      </c>
      <c r="J2329" t="s">
        <v>6</v>
      </c>
    </row>
    <row r="2330" spans="3:10" hidden="1">
      <c r="C2330">
        <v>207003</v>
      </c>
      <c r="D2330" t="s">
        <v>49</v>
      </c>
      <c r="E2330" t="s">
        <v>1230</v>
      </c>
      <c r="F2330" s="41"/>
      <c r="G2330" s="80" t="s">
        <v>18</v>
      </c>
      <c r="H2330" s="80" t="s">
        <v>9</v>
      </c>
      <c r="I2330" s="81" t="s">
        <v>1227</v>
      </c>
      <c r="J2330" t="s">
        <v>6</v>
      </c>
    </row>
    <row r="2331" spans="3:10" hidden="1">
      <c r="C2331">
        <v>207004</v>
      </c>
      <c r="D2331" t="s">
        <v>49</v>
      </c>
      <c r="E2331" t="s">
        <v>1231</v>
      </c>
      <c r="F2331" s="41"/>
      <c r="G2331" s="80" t="s">
        <v>18</v>
      </c>
      <c r="H2331" s="80" t="s">
        <v>9</v>
      </c>
      <c r="I2331" s="81" t="s">
        <v>1227</v>
      </c>
      <c r="J2331" t="s">
        <v>6</v>
      </c>
    </row>
    <row r="2332" spans="3:10" hidden="1">
      <c r="C2332">
        <v>207005</v>
      </c>
      <c r="D2332" t="s">
        <v>49</v>
      </c>
      <c r="E2332" t="s">
        <v>1232</v>
      </c>
      <c r="F2332" s="41"/>
      <c r="G2332" s="80" t="s">
        <v>18</v>
      </c>
      <c r="H2332" s="80" t="s">
        <v>9</v>
      </c>
      <c r="I2332" s="81" t="s">
        <v>1227</v>
      </c>
      <c r="J2332" t="s">
        <v>6</v>
      </c>
    </row>
    <row r="2333" spans="3:10" hidden="1">
      <c r="C2333">
        <v>207006</v>
      </c>
      <c r="D2333" t="s">
        <v>49</v>
      </c>
      <c r="E2333" t="s">
        <v>1233</v>
      </c>
      <c r="F2333" s="41"/>
      <c r="G2333" s="80" t="s">
        <v>18</v>
      </c>
      <c r="H2333" s="80" t="s">
        <v>9</v>
      </c>
      <c r="I2333" s="81" t="s">
        <v>1227</v>
      </c>
      <c r="J2333" t="s">
        <v>6</v>
      </c>
    </row>
    <row r="2334" spans="3:10" hidden="1">
      <c r="C2334">
        <v>207007</v>
      </c>
      <c r="D2334" t="s">
        <v>49</v>
      </c>
      <c r="E2334" t="s">
        <v>1234</v>
      </c>
      <c r="F2334" s="41"/>
      <c r="G2334" s="80" t="s">
        <v>18</v>
      </c>
      <c r="H2334" s="80" t="s">
        <v>9</v>
      </c>
      <c r="I2334" s="81" t="s">
        <v>1227</v>
      </c>
      <c r="J2334" t="s">
        <v>6</v>
      </c>
    </row>
    <row r="2335" spans="3:10" hidden="1">
      <c r="C2335">
        <v>207008</v>
      </c>
      <c r="D2335" t="s">
        <v>124</v>
      </c>
      <c r="E2335" t="s">
        <v>1235</v>
      </c>
      <c r="F2335" s="41"/>
      <c r="G2335" s="80" t="s">
        <v>18</v>
      </c>
      <c r="H2335" s="80" t="s">
        <v>9</v>
      </c>
      <c r="I2335" s="81" t="s">
        <v>1227</v>
      </c>
      <c r="J2335" t="s">
        <v>6</v>
      </c>
    </row>
    <row r="2336" spans="3:10" hidden="1">
      <c r="C2336">
        <v>207009</v>
      </c>
      <c r="D2336" t="s">
        <v>49</v>
      </c>
      <c r="E2336" t="s">
        <v>1236</v>
      </c>
      <c r="F2336" s="41"/>
      <c r="G2336" s="80" t="s">
        <v>18</v>
      </c>
      <c r="H2336" s="80" t="s">
        <v>9</v>
      </c>
      <c r="I2336" s="81" t="s">
        <v>1227</v>
      </c>
      <c r="J2336" t="s">
        <v>6</v>
      </c>
    </row>
    <row r="2337" spans="3:10" hidden="1">
      <c r="C2337">
        <v>207010</v>
      </c>
      <c r="D2337" t="s">
        <v>124</v>
      </c>
      <c r="E2337" t="s">
        <v>1237</v>
      </c>
      <c r="F2337" s="41"/>
      <c r="G2337" s="80" t="s">
        <v>18</v>
      </c>
      <c r="H2337" s="80" t="s">
        <v>9</v>
      </c>
      <c r="I2337" s="81" t="s">
        <v>1227</v>
      </c>
      <c r="J2337" t="s">
        <v>6</v>
      </c>
    </row>
    <row r="2338" spans="3:10" hidden="1">
      <c r="C2338">
        <v>207011</v>
      </c>
      <c r="D2338" t="s">
        <v>49</v>
      </c>
      <c r="E2338" t="s">
        <v>1238</v>
      </c>
      <c r="F2338" s="41"/>
      <c r="G2338" s="80" t="s">
        <v>18</v>
      </c>
      <c r="H2338" s="80" t="s">
        <v>9</v>
      </c>
      <c r="I2338" s="81" t="s">
        <v>1227</v>
      </c>
      <c r="J2338" t="s">
        <v>6</v>
      </c>
    </row>
    <row r="2339" spans="3:10" hidden="1">
      <c r="C2339">
        <v>207012</v>
      </c>
      <c r="D2339" t="s">
        <v>49</v>
      </c>
      <c r="E2339" t="s">
        <v>57</v>
      </c>
      <c r="F2339" s="41"/>
      <c r="G2339" s="80" t="s">
        <v>18</v>
      </c>
      <c r="H2339" s="80" t="s">
        <v>9</v>
      </c>
      <c r="I2339" s="81" t="s">
        <v>1227</v>
      </c>
      <c r="J2339" t="s">
        <v>6</v>
      </c>
    </row>
    <row r="2340" spans="3:10" hidden="1">
      <c r="C2340">
        <v>207013</v>
      </c>
      <c r="D2340" t="s">
        <v>58</v>
      </c>
      <c r="E2340" t="s">
        <v>59</v>
      </c>
      <c r="F2340" s="41"/>
      <c r="G2340" s="80" t="s">
        <v>18</v>
      </c>
      <c r="H2340" s="80" t="s">
        <v>9</v>
      </c>
      <c r="I2340" s="81" t="s">
        <v>1227</v>
      </c>
      <c r="J2340" t="s">
        <v>6</v>
      </c>
    </row>
    <row r="2341" spans="3:10" hidden="1">
      <c r="C2341">
        <v>208000</v>
      </c>
      <c r="D2341" t="s">
        <v>48</v>
      </c>
      <c r="E2341" t="s">
        <v>1239</v>
      </c>
      <c r="F2341" s="41"/>
      <c r="G2341" s="80" t="s">
        <v>13</v>
      </c>
      <c r="H2341" s="80" t="s">
        <v>9</v>
      </c>
      <c r="I2341" s="81" t="s">
        <v>1239</v>
      </c>
      <c r="J2341" t="s">
        <v>6</v>
      </c>
    </row>
    <row r="2342" spans="3:10" hidden="1">
      <c r="C2342">
        <v>208001</v>
      </c>
      <c r="D2342" t="s">
        <v>49</v>
      </c>
      <c r="E2342" t="s">
        <v>1240</v>
      </c>
      <c r="F2342" s="41"/>
      <c r="G2342" s="80" t="s">
        <v>13</v>
      </c>
      <c r="H2342" s="80" t="s">
        <v>9</v>
      </c>
      <c r="I2342" s="81" t="s">
        <v>1239</v>
      </c>
      <c r="J2342" t="s">
        <v>6</v>
      </c>
    </row>
    <row r="2343" spans="3:10" hidden="1">
      <c r="C2343">
        <v>208002</v>
      </c>
      <c r="D2343" t="s">
        <v>124</v>
      </c>
      <c r="E2343" t="s">
        <v>1241</v>
      </c>
      <c r="F2343" s="41"/>
      <c r="G2343" s="80" t="s">
        <v>13</v>
      </c>
      <c r="H2343" s="80" t="s">
        <v>9</v>
      </c>
      <c r="I2343" s="81" t="s">
        <v>1239</v>
      </c>
      <c r="J2343" t="s">
        <v>6</v>
      </c>
    </row>
    <row r="2344" spans="3:10" hidden="1">
      <c r="C2344">
        <v>208003</v>
      </c>
      <c r="D2344" t="s">
        <v>124</v>
      </c>
      <c r="E2344" t="s">
        <v>1229</v>
      </c>
      <c r="F2344" s="41"/>
      <c r="G2344" s="80" t="s">
        <v>13</v>
      </c>
      <c r="H2344" s="80" t="s">
        <v>9</v>
      </c>
      <c r="I2344" s="81" t="s">
        <v>1239</v>
      </c>
      <c r="J2344" t="s">
        <v>6</v>
      </c>
    </row>
    <row r="2345" spans="3:10" hidden="1">
      <c r="C2345">
        <v>208004</v>
      </c>
      <c r="D2345" t="s">
        <v>124</v>
      </c>
      <c r="E2345" t="s">
        <v>1242</v>
      </c>
      <c r="F2345" s="41"/>
      <c r="G2345" s="80" t="s">
        <v>13</v>
      </c>
      <c r="H2345" s="80" t="s">
        <v>9</v>
      </c>
      <c r="I2345" s="81" t="s">
        <v>1239</v>
      </c>
      <c r="J2345" t="s">
        <v>6</v>
      </c>
    </row>
    <row r="2346" spans="3:10" hidden="1">
      <c r="C2346">
        <v>208005</v>
      </c>
      <c r="D2346" t="s">
        <v>124</v>
      </c>
      <c r="E2346" t="s">
        <v>793</v>
      </c>
      <c r="F2346" s="41"/>
      <c r="G2346" s="80" t="s">
        <v>13</v>
      </c>
      <c r="H2346" s="80" t="s">
        <v>9</v>
      </c>
      <c r="I2346" s="81" t="s">
        <v>1239</v>
      </c>
      <c r="J2346" t="s">
        <v>6</v>
      </c>
    </row>
    <row r="2347" spans="3:10" hidden="1">
      <c r="C2347">
        <v>208006</v>
      </c>
      <c r="D2347" t="s">
        <v>124</v>
      </c>
      <c r="E2347" t="s">
        <v>1243</v>
      </c>
      <c r="F2347" s="41"/>
      <c r="G2347" s="80" t="s">
        <v>13</v>
      </c>
      <c r="H2347" s="80" t="s">
        <v>9</v>
      </c>
      <c r="I2347" s="81" t="s">
        <v>1239</v>
      </c>
      <c r="J2347" t="s">
        <v>6</v>
      </c>
    </row>
    <row r="2348" spans="3:10" hidden="1">
      <c r="C2348">
        <v>208007</v>
      </c>
      <c r="D2348" t="s">
        <v>124</v>
      </c>
      <c r="E2348" t="s">
        <v>1244</v>
      </c>
      <c r="F2348" s="41"/>
      <c r="G2348" s="80" t="s">
        <v>13</v>
      </c>
      <c r="H2348" s="80" t="s">
        <v>9</v>
      </c>
      <c r="I2348" s="81" t="s">
        <v>1239</v>
      </c>
      <c r="J2348" t="s">
        <v>6</v>
      </c>
    </row>
    <row r="2349" spans="3:10" hidden="1">
      <c r="C2349">
        <v>208008</v>
      </c>
      <c r="D2349" t="s">
        <v>49</v>
      </c>
      <c r="E2349" t="s">
        <v>1245</v>
      </c>
      <c r="F2349" s="41"/>
      <c r="G2349" s="80" t="s">
        <v>13</v>
      </c>
      <c r="H2349" s="80" t="s">
        <v>9</v>
      </c>
      <c r="I2349" s="81" t="s">
        <v>1239</v>
      </c>
      <c r="J2349" t="s">
        <v>6</v>
      </c>
    </row>
    <row r="2350" spans="3:10" hidden="1">
      <c r="C2350">
        <v>208009</v>
      </c>
      <c r="D2350" t="s">
        <v>49</v>
      </c>
      <c r="E2350" t="s">
        <v>1246</v>
      </c>
      <c r="F2350" s="41"/>
      <c r="G2350" s="80" t="s">
        <v>13</v>
      </c>
      <c r="H2350" s="80" t="s">
        <v>9</v>
      </c>
      <c r="I2350" s="81" t="s">
        <v>1239</v>
      </c>
      <c r="J2350" t="s">
        <v>6</v>
      </c>
    </row>
    <row r="2351" spans="3:10" hidden="1">
      <c r="C2351">
        <v>208010</v>
      </c>
      <c r="D2351" t="s">
        <v>49</v>
      </c>
      <c r="E2351" t="s">
        <v>1718</v>
      </c>
      <c r="F2351" s="41"/>
      <c r="G2351" s="80" t="s">
        <v>13</v>
      </c>
      <c r="H2351" s="80" t="s">
        <v>9</v>
      </c>
      <c r="I2351" s="81" t="s">
        <v>1239</v>
      </c>
      <c r="J2351" t="s">
        <v>6</v>
      </c>
    </row>
    <row r="2352" spans="3:10" hidden="1">
      <c r="C2352">
        <v>208011</v>
      </c>
      <c r="D2352" t="s">
        <v>49</v>
      </c>
      <c r="E2352" t="s">
        <v>1248</v>
      </c>
      <c r="F2352" s="41"/>
      <c r="G2352" s="80" t="s">
        <v>13</v>
      </c>
      <c r="H2352" s="80" t="s">
        <v>9</v>
      </c>
      <c r="I2352" s="81" t="s">
        <v>1239</v>
      </c>
      <c r="J2352" t="s">
        <v>6</v>
      </c>
    </row>
    <row r="2353" spans="3:10" hidden="1">
      <c r="C2353">
        <v>208012</v>
      </c>
      <c r="D2353" t="s">
        <v>49</v>
      </c>
      <c r="E2353" t="s">
        <v>57</v>
      </c>
      <c r="F2353" s="41"/>
      <c r="G2353" s="80" t="s">
        <v>13</v>
      </c>
      <c r="H2353" s="80" t="s">
        <v>9</v>
      </c>
      <c r="I2353" s="81" t="s">
        <v>1239</v>
      </c>
      <c r="J2353" t="s">
        <v>6</v>
      </c>
    </row>
    <row r="2354" spans="3:10" hidden="1">
      <c r="C2354">
        <v>208013</v>
      </c>
      <c r="D2354" t="s">
        <v>58</v>
      </c>
      <c r="E2354" t="s">
        <v>59</v>
      </c>
      <c r="F2354" s="41"/>
      <c r="G2354" s="80" t="s">
        <v>13</v>
      </c>
      <c r="H2354" s="80" t="s">
        <v>9</v>
      </c>
      <c r="I2354" s="81" t="s">
        <v>1239</v>
      </c>
      <c r="J2354" t="s">
        <v>6</v>
      </c>
    </row>
    <row r="2355" spans="3:10" hidden="1">
      <c r="C2355">
        <v>209000</v>
      </c>
      <c r="D2355" t="s">
        <v>48</v>
      </c>
      <c r="E2355" t="s">
        <v>1249</v>
      </c>
      <c r="F2355" s="41"/>
      <c r="G2355" s="80" t="s">
        <v>18</v>
      </c>
      <c r="H2355" s="80" t="s">
        <v>9</v>
      </c>
      <c r="I2355" s="81" t="s">
        <v>1249</v>
      </c>
      <c r="J2355" t="s">
        <v>6</v>
      </c>
    </row>
    <row r="2356" spans="3:10" hidden="1">
      <c r="C2356">
        <v>209001</v>
      </c>
      <c r="D2356" t="s">
        <v>49</v>
      </c>
      <c r="E2356" t="s">
        <v>1250</v>
      </c>
      <c r="F2356" s="41"/>
      <c r="G2356" s="80" t="s">
        <v>18</v>
      </c>
      <c r="H2356" s="80" t="s">
        <v>9</v>
      </c>
      <c r="I2356" s="81" t="s">
        <v>1249</v>
      </c>
      <c r="J2356" t="s">
        <v>6</v>
      </c>
    </row>
    <row r="2357" spans="3:10" hidden="1">
      <c r="C2357">
        <v>209002</v>
      </c>
      <c r="D2357" t="s">
        <v>49</v>
      </c>
      <c r="E2357" t="s">
        <v>1251</v>
      </c>
      <c r="F2357" s="41"/>
      <c r="G2357" s="80" t="s">
        <v>18</v>
      </c>
      <c r="H2357" s="80" t="s">
        <v>9</v>
      </c>
      <c r="I2357" s="81" t="s">
        <v>1249</v>
      </c>
      <c r="J2357" t="s">
        <v>6</v>
      </c>
    </row>
    <row r="2358" spans="3:10" hidden="1">
      <c r="C2358">
        <v>209003</v>
      </c>
      <c r="D2358" t="s">
        <v>49</v>
      </c>
      <c r="E2358" t="s">
        <v>1252</v>
      </c>
      <c r="F2358" s="41"/>
      <c r="G2358" s="80" t="s">
        <v>18</v>
      </c>
      <c r="H2358" s="80" t="s">
        <v>9</v>
      </c>
      <c r="I2358" s="81" t="s">
        <v>1249</v>
      </c>
      <c r="J2358" t="s">
        <v>6</v>
      </c>
    </row>
    <row r="2359" spans="3:10" hidden="1">
      <c r="C2359">
        <v>209004</v>
      </c>
      <c r="D2359" t="s">
        <v>49</v>
      </c>
      <c r="E2359" t="s">
        <v>1253</v>
      </c>
      <c r="F2359" s="41"/>
      <c r="G2359" s="80" t="s">
        <v>18</v>
      </c>
      <c r="H2359" s="80" t="s">
        <v>9</v>
      </c>
      <c r="I2359" s="81" t="s">
        <v>1249</v>
      </c>
      <c r="J2359" t="s">
        <v>6</v>
      </c>
    </row>
    <row r="2360" spans="3:10" hidden="1">
      <c r="C2360">
        <v>209005</v>
      </c>
      <c r="D2360" t="s">
        <v>49</v>
      </c>
      <c r="E2360" t="s">
        <v>57</v>
      </c>
      <c r="F2360" s="41"/>
      <c r="G2360" s="80" t="s">
        <v>18</v>
      </c>
      <c r="H2360" s="80" t="s">
        <v>9</v>
      </c>
      <c r="I2360" s="81" t="s">
        <v>1249</v>
      </c>
      <c r="J2360" t="s">
        <v>6</v>
      </c>
    </row>
    <row r="2361" spans="3:10" hidden="1">
      <c r="C2361">
        <v>209006</v>
      </c>
      <c r="D2361" t="s">
        <v>58</v>
      </c>
      <c r="E2361" t="s">
        <v>59</v>
      </c>
      <c r="F2361" s="41"/>
      <c r="G2361" s="80" t="s">
        <v>18</v>
      </c>
      <c r="H2361" s="80" t="s">
        <v>9</v>
      </c>
      <c r="I2361" s="81" t="s">
        <v>1249</v>
      </c>
      <c r="J2361" t="s">
        <v>6</v>
      </c>
    </row>
    <row r="2362" spans="3:10" hidden="1">
      <c r="C2362">
        <v>210000</v>
      </c>
      <c r="D2362" t="s">
        <v>48</v>
      </c>
      <c r="E2362" t="s">
        <v>1254</v>
      </c>
      <c r="F2362" s="41"/>
      <c r="G2362" s="80" t="s">
        <v>18</v>
      </c>
      <c r="H2362" s="80" t="s">
        <v>9</v>
      </c>
      <c r="I2362" s="81" t="s">
        <v>1254</v>
      </c>
      <c r="J2362" t="s">
        <v>6</v>
      </c>
    </row>
    <row r="2363" spans="3:10" hidden="1">
      <c r="C2363">
        <v>210001</v>
      </c>
      <c r="D2363" t="s">
        <v>49</v>
      </c>
      <c r="E2363" t="s">
        <v>806</v>
      </c>
      <c r="F2363" s="41"/>
      <c r="G2363" s="80" t="s">
        <v>18</v>
      </c>
      <c r="H2363" s="80" t="s">
        <v>9</v>
      </c>
      <c r="I2363" s="81" t="s">
        <v>1254</v>
      </c>
      <c r="J2363" t="s">
        <v>6</v>
      </c>
    </row>
    <row r="2364" spans="3:10" hidden="1">
      <c r="C2364">
        <v>210002</v>
      </c>
      <c r="D2364" t="s">
        <v>49</v>
      </c>
      <c r="E2364" t="s">
        <v>1255</v>
      </c>
      <c r="F2364" s="41"/>
      <c r="G2364" s="80" t="s">
        <v>18</v>
      </c>
      <c r="H2364" s="80" t="s">
        <v>9</v>
      </c>
      <c r="I2364" s="81" t="s">
        <v>1254</v>
      </c>
      <c r="J2364" t="s">
        <v>6</v>
      </c>
    </row>
    <row r="2365" spans="3:10" hidden="1">
      <c r="C2365">
        <v>210003</v>
      </c>
      <c r="D2365" t="s">
        <v>49</v>
      </c>
      <c r="E2365" t="s">
        <v>377</v>
      </c>
      <c r="F2365" s="41"/>
      <c r="G2365" s="80" t="s">
        <v>18</v>
      </c>
      <c r="H2365" s="80" t="s">
        <v>9</v>
      </c>
      <c r="I2365" s="81" t="s">
        <v>1254</v>
      </c>
      <c r="J2365" t="s">
        <v>6</v>
      </c>
    </row>
    <row r="2366" spans="3:10" hidden="1">
      <c r="C2366">
        <v>210004</v>
      </c>
      <c r="D2366" t="s">
        <v>49</v>
      </c>
      <c r="E2366" t="s">
        <v>1256</v>
      </c>
      <c r="F2366" s="41"/>
      <c r="G2366" s="80" t="s">
        <v>18</v>
      </c>
      <c r="H2366" s="80" t="s">
        <v>9</v>
      </c>
      <c r="I2366" s="81" t="s">
        <v>1254</v>
      </c>
      <c r="J2366" t="s">
        <v>6</v>
      </c>
    </row>
    <row r="2367" spans="3:10" hidden="1">
      <c r="C2367">
        <v>210005</v>
      </c>
      <c r="D2367" t="s">
        <v>49</v>
      </c>
      <c r="E2367" t="s">
        <v>1257</v>
      </c>
      <c r="F2367" s="41"/>
      <c r="G2367" s="80" t="s">
        <v>18</v>
      </c>
      <c r="H2367" s="80" t="s">
        <v>9</v>
      </c>
      <c r="I2367" s="81" t="s">
        <v>1254</v>
      </c>
      <c r="J2367" t="s">
        <v>6</v>
      </c>
    </row>
    <row r="2368" spans="3:10" hidden="1">
      <c r="C2368">
        <v>210006</v>
      </c>
      <c r="D2368" t="s">
        <v>49</v>
      </c>
      <c r="E2368" t="s">
        <v>57</v>
      </c>
      <c r="F2368" s="41"/>
      <c r="G2368" s="80" t="s">
        <v>18</v>
      </c>
      <c r="H2368" s="80" t="s">
        <v>9</v>
      </c>
      <c r="I2368" s="81" t="s">
        <v>1254</v>
      </c>
      <c r="J2368" t="s">
        <v>6</v>
      </c>
    </row>
    <row r="2369" spans="3:10" hidden="1">
      <c r="C2369">
        <v>210007</v>
      </c>
      <c r="D2369" t="s">
        <v>58</v>
      </c>
      <c r="E2369" t="s">
        <v>59</v>
      </c>
      <c r="F2369" s="41"/>
      <c r="G2369" s="80" t="s">
        <v>18</v>
      </c>
      <c r="H2369" s="80" t="s">
        <v>9</v>
      </c>
      <c r="I2369" s="81" t="s">
        <v>1254</v>
      </c>
      <c r="J2369" t="s">
        <v>6</v>
      </c>
    </row>
    <row r="2370" spans="3:10" hidden="1">
      <c r="C2370">
        <v>211000</v>
      </c>
      <c r="D2370" t="s">
        <v>119</v>
      </c>
      <c r="E2370" t="s">
        <v>1719</v>
      </c>
      <c r="F2370" s="41"/>
      <c r="G2370" s="80" t="s">
        <v>1999</v>
      </c>
      <c r="H2370" s="80" t="s">
        <v>2000</v>
      </c>
      <c r="I2370" s="81" t="s">
        <v>1719</v>
      </c>
      <c r="J2370" t="s">
        <v>6</v>
      </c>
    </row>
    <row r="2371" spans="3:10" hidden="1">
      <c r="C2371">
        <v>211001</v>
      </c>
      <c r="D2371" t="s">
        <v>120</v>
      </c>
      <c r="E2371" t="s">
        <v>1720</v>
      </c>
      <c r="F2371" s="41"/>
      <c r="G2371" s="80" t="s">
        <v>1999</v>
      </c>
      <c r="H2371" s="80" t="s">
        <v>2000</v>
      </c>
      <c r="I2371" s="81" t="s">
        <v>1719</v>
      </c>
      <c r="J2371" t="s">
        <v>6</v>
      </c>
    </row>
    <row r="2372" spans="3:10" hidden="1">
      <c r="C2372">
        <v>211002</v>
      </c>
      <c r="D2372" t="s">
        <v>49</v>
      </c>
      <c r="E2372" t="s">
        <v>1721</v>
      </c>
      <c r="F2372" s="41"/>
      <c r="G2372" s="80" t="s">
        <v>1999</v>
      </c>
      <c r="H2372" s="80" t="s">
        <v>2000</v>
      </c>
      <c r="I2372" s="81" t="s">
        <v>1719</v>
      </c>
      <c r="J2372" t="s">
        <v>6</v>
      </c>
    </row>
    <row r="2373" spans="3:10" hidden="1">
      <c r="C2373">
        <v>211003</v>
      </c>
      <c r="D2373" t="s">
        <v>124</v>
      </c>
      <c r="E2373" t="s">
        <v>1722</v>
      </c>
      <c r="F2373" s="41"/>
      <c r="G2373" s="80" t="s">
        <v>1999</v>
      </c>
      <c r="H2373" s="80" t="s">
        <v>2000</v>
      </c>
      <c r="I2373" s="81" t="s">
        <v>1719</v>
      </c>
      <c r="J2373" t="s">
        <v>6</v>
      </c>
    </row>
    <row r="2374" spans="3:10" hidden="1">
      <c r="C2374">
        <v>211004</v>
      </c>
      <c r="D2374" t="s">
        <v>124</v>
      </c>
      <c r="E2374" t="s">
        <v>1723</v>
      </c>
      <c r="F2374" s="41"/>
      <c r="G2374" s="80" t="s">
        <v>1999</v>
      </c>
      <c r="H2374" s="80" t="s">
        <v>2000</v>
      </c>
      <c r="I2374" s="81" t="s">
        <v>1719</v>
      </c>
      <c r="J2374" t="s">
        <v>6</v>
      </c>
    </row>
    <row r="2375" spans="3:10" hidden="1">
      <c r="C2375">
        <v>211005</v>
      </c>
      <c r="D2375" t="s">
        <v>124</v>
      </c>
      <c r="E2375" t="s">
        <v>1724</v>
      </c>
      <c r="F2375" s="41"/>
      <c r="G2375" s="80" t="s">
        <v>1999</v>
      </c>
      <c r="H2375" s="80" t="s">
        <v>2000</v>
      </c>
      <c r="I2375" s="81" t="s">
        <v>1719</v>
      </c>
      <c r="J2375" t="s">
        <v>6</v>
      </c>
    </row>
    <row r="2376" spans="3:10" hidden="1">
      <c r="C2376">
        <v>211006</v>
      </c>
      <c r="D2376" t="s">
        <v>124</v>
      </c>
      <c r="E2376" t="s">
        <v>1725</v>
      </c>
      <c r="F2376" s="41"/>
      <c r="G2376" s="80" t="s">
        <v>1999</v>
      </c>
      <c r="H2376" s="80" t="s">
        <v>2000</v>
      </c>
      <c r="I2376" s="81" t="s">
        <v>1719</v>
      </c>
      <c r="J2376" t="s">
        <v>6</v>
      </c>
    </row>
    <row r="2377" spans="3:10" hidden="1">
      <c r="C2377">
        <v>211007</v>
      </c>
      <c r="D2377" t="s">
        <v>124</v>
      </c>
      <c r="E2377" t="s">
        <v>1726</v>
      </c>
      <c r="F2377" s="41"/>
      <c r="G2377" s="80" t="s">
        <v>1999</v>
      </c>
      <c r="H2377" s="80" t="s">
        <v>2000</v>
      </c>
      <c r="I2377" s="81" t="s">
        <v>1719</v>
      </c>
      <c r="J2377" t="s">
        <v>6</v>
      </c>
    </row>
    <row r="2378" spans="3:10" hidden="1">
      <c r="C2378">
        <v>211008</v>
      </c>
      <c r="D2378" t="s">
        <v>131</v>
      </c>
      <c r="E2378" t="s">
        <v>1727</v>
      </c>
      <c r="F2378" s="41" t="s">
        <v>153</v>
      </c>
      <c r="G2378" s="80" t="s">
        <v>1999</v>
      </c>
      <c r="H2378" s="80" t="s">
        <v>2000</v>
      </c>
      <c r="I2378" s="81" t="s">
        <v>1719</v>
      </c>
      <c r="J2378" t="s">
        <v>6</v>
      </c>
    </row>
    <row r="2379" spans="3:10" hidden="1">
      <c r="C2379">
        <v>211009</v>
      </c>
      <c r="D2379" t="s">
        <v>901</v>
      </c>
      <c r="E2379" t="s">
        <v>1728</v>
      </c>
      <c r="F2379" s="41"/>
      <c r="G2379" s="80" t="s">
        <v>1999</v>
      </c>
      <c r="H2379" s="80" t="s">
        <v>2000</v>
      </c>
      <c r="I2379" s="81" t="s">
        <v>1719</v>
      </c>
      <c r="J2379" t="s">
        <v>6</v>
      </c>
    </row>
    <row r="2380" spans="3:10" hidden="1">
      <c r="C2380">
        <v>211010</v>
      </c>
      <c r="D2380" t="s">
        <v>901</v>
      </c>
      <c r="E2380" t="s">
        <v>1729</v>
      </c>
      <c r="F2380" s="41"/>
      <c r="G2380" s="80" t="s">
        <v>1999</v>
      </c>
      <c r="H2380" s="80" t="s">
        <v>2000</v>
      </c>
      <c r="I2380" s="81" t="s">
        <v>1719</v>
      </c>
      <c r="J2380" t="s">
        <v>6</v>
      </c>
    </row>
    <row r="2381" spans="3:10" hidden="1">
      <c r="C2381">
        <v>211011</v>
      </c>
      <c r="D2381" t="s">
        <v>120</v>
      </c>
      <c r="E2381" t="s">
        <v>1730</v>
      </c>
      <c r="F2381" s="41"/>
      <c r="G2381" s="80" t="s">
        <v>1999</v>
      </c>
      <c r="H2381" s="80" t="s">
        <v>2000</v>
      </c>
      <c r="I2381" s="81" t="s">
        <v>1719</v>
      </c>
      <c r="J2381" t="s">
        <v>6</v>
      </c>
    </row>
    <row r="2382" spans="3:10" hidden="1">
      <c r="C2382">
        <v>211012</v>
      </c>
      <c r="D2382" t="s">
        <v>49</v>
      </c>
      <c r="E2382" t="s">
        <v>1731</v>
      </c>
      <c r="F2382" s="41"/>
      <c r="G2382" s="80" t="s">
        <v>1999</v>
      </c>
      <c r="H2382" s="80" t="s">
        <v>2000</v>
      </c>
      <c r="I2382" s="81" t="s">
        <v>1719</v>
      </c>
      <c r="J2382" t="s">
        <v>6</v>
      </c>
    </row>
    <row r="2383" spans="3:10" hidden="1">
      <c r="C2383">
        <v>211013</v>
      </c>
      <c r="D2383" t="s">
        <v>49</v>
      </c>
      <c r="E2383" t="s">
        <v>1732</v>
      </c>
      <c r="F2383" s="41"/>
      <c r="G2383" s="80" t="s">
        <v>1999</v>
      </c>
      <c r="H2383" s="80" t="s">
        <v>2000</v>
      </c>
      <c r="I2383" s="81" t="s">
        <v>1719</v>
      </c>
      <c r="J2383" t="s">
        <v>6</v>
      </c>
    </row>
    <row r="2384" spans="3:10" hidden="1">
      <c r="C2384">
        <v>211014</v>
      </c>
      <c r="D2384" t="s">
        <v>120</v>
      </c>
      <c r="E2384" t="s">
        <v>1733</v>
      </c>
      <c r="F2384" s="41"/>
      <c r="G2384" s="80" t="s">
        <v>1999</v>
      </c>
      <c r="H2384" s="80" t="s">
        <v>2000</v>
      </c>
      <c r="I2384" s="81" t="s">
        <v>1719</v>
      </c>
      <c r="J2384" t="s">
        <v>6</v>
      </c>
    </row>
    <row r="2385" spans="3:10" hidden="1">
      <c r="C2385">
        <v>211015</v>
      </c>
      <c r="D2385" t="s">
        <v>49</v>
      </c>
      <c r="E2385" t="s">
        <v>1734</v>
      </c>
      <c r="F2385" s="41"/>
      <c r="G2385" s="80" t="s">
        <v>1999</v>
      </c>
      <c r="H2385" s="80" t="s">
        <v>2000</v>
      </c>
      <c r="I2385" s="81" t="s">
        <v>1719</v>
      </c>
      <c r="J2385" t="s">
        <v>6</v>
      </c>
    </row>
    <row r="2386" spans="3:10" hidden="1">
      <c r="C2386">
        <v>211016</v>
      </c>
      <c r="D2386" t="s">
        <v>58</v>
      </c>
      <c r="E2386" t="s">
        <v>1735</v>
      </c>
      <c r="F2386" s="41"/>
      <c r="G2386" s="80" t="s">
        <v>1999</v>
      </c>
      <c r="H2386" s="80" t="s">
        <v>2000</v>
      </c>
      <c r="I2386" s="81" t="s">
        <v>1719</v>
      </c>
      <c r="J2386" t="s">
        <v>6</v>
      </c>
    </row>
    <row r="2387" spans="3:10" hidden="1">
      <c r="C2387">
        <v>211017</v>
      </c>
      <c r="D2387" t="s">
        <v>124</v>
      </c>
      <c r="E2387" t="s">
        <v>1736</v>
      </c>
      <c r="F2387" s="41"/>
      <c r="G2387" s="80" t="s">
        <v>1999</v>
      </c>
      <c r="H2387" s="80" t="s">
        <v>2000</v>
      </c>
      <c r="I2387" s="81" t="s">
        <v>1719</v>
      </c>
      <c r="J2387" t="s">
        <v>6</v>
      </c>
    </row>
    <row r="2388" spans="3:10" hidden="1">
      <c r="C2388">
        <v>212000</v>
      </c>
      <c r="D2388" t="s">
        <v>48</v>
      </c>
      <c r="E2388" t="s">
        <v>1737</v>
      </c>
      <c r="F2388" s="41"/>
      <c r="G2388" s="80" t="s">
        <v>1999</v>
      </c>
      <c r="H2388" s="80" t="s">
        <v>2000</v>
      </c>
      <c r="I2388" s="81" t="s">
        <v>1737</v>
      </c>
      <c r="J2388" t="s">
        <v>6</v>
      </c>
    </row>
    <row r="2389" spans="3:10" hidden="1">
      <c r="C2389">
        <v>212001</v>
      </c>
      <c r="D2389" t="s">
        <v>49</v>
      </c>
      <c r="E2389" t="s">
        <v>1738</v>
      </c>
      <c r="F2389" s="41"/>
      <c r="G2389" s="80" t="s">
        <v>1999</v>
      </c>
      <c r="H2389" s="80" t="s">
        <v>2000</v>
      </c>
      <c r="I2389" s="81" t="s">
        <v>1737</v>
      </c>
      <c r="J2389" t="s">
        <v>6</v>
      </c>
    </row>
    <row r="2390" spans="3:10" hidden="1">
      <c r="C2390">
        <v>212002</v>
      </c>
      <c r="D2390" t="s">
        <v>1739</v>
      </c>
      <c r="E2390" t="s">
        <v>1740</v>
      </c>
      <c r="F2390" s="41"/>
      <c r="G2390" s="80" t="s">
        <v>1999</v>
      </c>
      <c r="H2390" s="80" t="s">
        <v>2000</v>
      </c>
      <c r="I2390" s="81" t="s">
        <v>1737</v>
      </c>
      <c r="J2390" t="s">
        <v>6</v>
      </c>
    </row>
    <row r="2391" spans="3:10" hidden="1">
      <c r="C2391">
        <v>212003</v>
      </c>
      <c r="D2391" t="s">
        <v>1739</v>
      </c>
      <c r="E2391" t="s">
        <v>1252</v>
      </c>
      <c r="F2391" s="41"/>
      <c r="G2391" s="80" t="s">
        <v>1999</v>
      </c>
      <c r="H2391" s="80" t="s">
        <v>2000</v>
      </c>
      <c r="I2391" s="81" t="s">
        <v>1737</v>
      </c>
      <c r="J2391" t="s">
        <v>6</v>
      </c>
    </row>
    <row r="2392" spans="3:10" hidden="1">
      <c r="C2392">
        <v>212004</v>
      </c>
      <c r="D2392" t="s">
        <v>1739</v>
      </c>
      <c r="E2392" t="s">
        <v>1250</v>
      </c>
      <c r="F2392" s="41"/>
      <c r="G2392" s="80" t="s">
        <v>1999</v>
      </c>
      <c r="H2392" s="80" t="s">
        <v>2000</v>
      </c>
      <c r="I2392" s="81" t="s">
        <v>1737</v>
      </c>
      <c r="J2392" t="s">
        <v>6</v>
      </c>
    </row>
    <row r="2393" spans="3:10" hidden="1">
      <c r="C2393">
        <v>212005</v>
      </c>
      <c r="D2393" t="s">
        <v>1739</v>
      </c>
      <c r="E2393" t="s">
        <v>1741</v>
      </c>
      <c r="F2393" s="41"/>
      <c r="G2393" s="80" t="s">
        <v>1999</v>
      </c>
      <c r="H2393" s="80" t="s">
        <v>2000</v>
      </c>
      <c r="I2393" s="81" t="s">
        <v>1737</v>
      </c>
      <c r="J2393" t="s">
        <v>6</v>
      </c>
    </row>
    <row r="2394" spans="3:10" hidden="1">
      <c r="C2394">
        <v>212006</v>
      </c>
      <c r="D2394" t="s">
        <v>49</v>
      </c>
      <c r="E2394" t="s">
        <v>1742</v>
      </c>
      <c r="F2394" s="41"/>
      <c r="G2394" s="80" t="s">
        <v>1999</v>
      </c>
      <c r="H2394" s="80" t="s">
        <v>2000</v>
      </c>
      <c r="I2394" s="81" t="s">
        <v>1737</v>
      </c>
      <c r="J2394" t="s">
        <v>6</v>
      </c>
    </row>
    <row r="2395" spans="3:10" hidden="1">
      <c r="C2395">
        <v>213000</v>
      </c>
      <c r="D2395" t="s">
        <v>48</v>
      </c>
      <c r="E2395" t="s">
        <v>1743</v>
      </c>
      <c r="F2395" s="41"/>
      <c r="G2395" s="80" t="s">
        <v>1999</v>
      </c>
      <c r="H2395" s="80" t="s">
        <v>2000</v>
      </c>
      <c r="I2395" s="81" t="s">
        <v>1743</v>
      </c>
      <c r="J2395" t="s">
        <v>6</v>
      </c>
    </row>
    <row r="2396" spans="3:10" hidden="1">
      <c r="C2396">
        <v>213001</v>
      </c>
      <c r="D2396" t="s">
        <v>49</v>
      </c>
      <c r="E2396" t="s">
        <v>1744</v>
      </c>
      <c r="F2396" s="41"/>
      <c r="G2396" s="80" t="s">
        <v>1999</v>
      </c>
      <c r="H2396" s="80" t="s">
        <v>2000</v>
      </c>
      <c r="I2396" s="81" t="s">
        <v>1743</v>
      </c>
      <c r="J2396" t="s">
        <v>6</v>
      </c>
    </row>
    <row r="2397" spans="3:10" hidden="1">
      <c r="C2397">
        <v>213002</v>
      </c>
      <c r="D2397" t="s">
        <v>124</v>
      </c>
      <c r="E2397" t="s">
        <v>1745</v>
      </c>
      <c r="F2397" s="41"/>
      <c r="G2397" s="80" t="s">
        <v>1999</v>
      </c>
      <c r="H2397" s="80" t="s">
        <v>2000</v>
      </c>
      <c r="I2397" s="81" t="s">
        <v>1743</v>
      </c>
      <c r="J2397" t="s">
        <v>6</v>
      </c>
    </row>
    <row r="2398" spans="3:10" hidden="1">
      <c r="C2398">
        <v>213003</v>
      </c>
      <c r="D2398" t="s">
        <v>124</v>
      </c>
      <c r="E2398" t="s">
        <v>1746</v>
      </c>
      <c r="F2398" s="41"/>
      <c r="G2398" s="80" t="s">
        <v>1999</v>
      </c>
      <c r="H2398" s="80" t="s">
        <v>2000</v>
      </c>
      <c r="I2398" s="81" t="s">
        <v>1743</v>
      </c>
      <c r="J2398" t="s">
        <v>6</v>
      </c>
    </row>
    <row r="2399" spans="3:10" hidden="1">
      <c r="C2399">
        <v>213004</v>
      </c>
      <c r="D2399" t="s">
        <v>124</v>
      </c>
      <c r="E2399" t="s">
        <v>1747</v>
      </c>
      <c r="F2399" s="41"/>
      <c r="G2399" s="80" t="s">
        <v>1999</v>
      </c>
      <c r="H2399" s="80" t="s">
        <v>2000</v>
      </c>
      <c r="I2399" s="81" t="s">
        <v>1743</v>
      </c>
      <c r="J2399" t="s">
        <v>6</v>
      </c>
    </row>
    <row r="2400" spans="3:10" hidden="1">
      <c r="C2400">
        <v>213005</v>
      </c>
      <c r="D2400" t="s">
        <v>58</v>
      </c>
      <c r="E2400" t="s">
        <v>1748</v>
      </c>
      <c r="F2400" s="41"/>
      <c r="G2400" s="80" t="s">
        <v>1999</v>
      </c>
      <c r="H2400" s="80" t="s">
        <v>2000</v>
      </c>
      <c r="I2400" s="81" t="s">
        <v>1743</v>
      </c>
      <c r="J2400" t="s">
        <v>6</v>
      </c>
    </row>
    <row r="2401" spans="3:10" hidden="1">
      <c r="C2401">
        <v>214000</v>
      </c>
      <c r="D2401" t="s">
        <v>119</v>
      </c>
      <c r="E2401" t="s">
        <v>1749</v>
      </c>
      <c r="F2401" s="41"/>
      <c r="G2401" s="80" t="s">
        <v>1999</v>
      </c>
      <c r="H2401" s="80" t="s">
        <v>2000</v>
      </c>
      <c r="I2401" s="81" t="s">
        <v>1749</v>
      </c>
      <c r="J2401" t="s">
        <v>6</v>
      </c>
    </row>
    <row r="2402" spans="3:10" hidden="1">
      <c r="C2402">
        <v>214001</v>
      </c>
      <c r="D2402" t="s">
        <v>120</v>
      </c>
      <c r="E2402" t="s">
        <v>1750</v>
      </c>
      <c r="F2402" s="41"/>
      <c r="G2402" s="80" t="s">
        <v>1999</v>
      </c>
      <c r="H2402" s="80" t="s">
        <v>2000</v>
      </c>
      <c r="I2402" s="81" t="s">
        <v>1749</v>
      </c>
      <c r="J2402" t="s">
        <v>6</v>
      </c>
    </row>
    <row r="2403" spans="3:10" hidden="1">
      <c r="C2403">
        <v>214002</v>
      </c>
      <c r="D2403" t="s">
        <v>49</v>
      </c>
      <c r="E2403" t="s">
        <v>1751</v>
      </c>
      <c r="F2403" s="41"/>
      <c r="G2403" s="80" t="s">
        <v>1999</v>
      </c>
      <c r="H2403" s="80" t="s">
        <v>2000</v>
      </c>
      <c r="I2403" s="81" t="s">
        <v>1749</v>
      </c>
      <c r="J2403" t="s">
        <v>6</v>
      </c>
    </row>
    <row r="2404" spans="3:10" hidden="1">
      <c r="C2404">
        <v>214003</v>
      </c>
      <c r="D2404" t="s">
        <v>124</v>
      </c>
      <c r="E2404" t="s">
        <v>1752</v>
      </c>
      <c r="F2404" s="41"/>
      <c r="G2404" s="80" t="s">
        <v>1999</v>
      </c>
      <c r="H2404" s="80" t="s">
        <v>2000</v>
      </c>
      <c r="I2404" s="81" t="s">
        <v>1749</v>
      </c>
      <c r="J2404" t="s">
        <v>6</v>
      </c>
    </row>
    <row r="2405" spans="3:10" hidden="1">
      <c r="C2405">
        <v>214004</v>
      </c>
      <c r="D2405" t="s">
        <v>124</v>
      </c>
      <c r="E2405" t="s">
        <v>1753</v>
      </c>
      <c r="F2405" s="41"/>
      <c r="G2405" s="80" t="s">
        <v>1999</v>
      </c>
      <c r="H2405" s="80" t="s">
        <v>2000</v>
      </c>
      <c r="I2405" s="81" t="s">
        <v>1749</v>
      </c>
      <c r="J2405" t="s">
        <v>6</v>
      </c>
    </row>
    <row r="2406" spans="3:10" hidden="1">
      <c r="C2406">
        <v>214005</v>
      </c>
      <c r="D2406" t="s">
        <v>124</v>
      </c>
      <c r="E2406" t="s">
        <v>793</v>
      </c>
      <c r="F2406" s="41"/>
      <c r="G2406" s="80" t="s">
        <v>1999</v>
      </c>
      <c r="H2406" s="80" t="s">
        <v>2000</v>
      </c>
      <c r="I2406" s="81" t="s">
        <v>1749</v>
      </c>
      <c r="J2406" t="s">
        <v>6</v>
      </c>
    </row>
    <row r="2407" spans="3:10" hidden="1">
      <c r="C2407">
        <v>214006</v>
      </c>
      <c r="D2407" t="s">
        <v>124</v>
      </c>
      <c r="E2407" t="s">
        <v>1754</v>
      </c>
      <c r="F2407" s="41"/>
      <c r="G2407" s="80" t="s">
        <v>1999</v>
      </c>
      <c r="H2407" s="80" t="s">
        <v>2000</v>
      </c>
      <c r="I2407" s="81" t="s">
        <v>1749</v>
      </c>
      <c r="J2407" t="s">
        <v>6</v>
      </c>
    </row>
    <row r="2408" spans="3:10" hidden="1">
      <c r="C2408">
        <v>214007</v>
      </c>
      <c r="D2408" t="s">
        <v>124</v>
      </c>
      <c r="E2408" t="s">
        <v>1755</v>
      </c>
      <c r="F2408" s="41"/>
      <c r="G2408" s="80" t="s">
        <v>1999</v>
      </c>
      <c r="H2408" s="80" t="s">
        <v>2000</v>
      </c>
      <c r="I2408" s="81" t="s">
        <v>1749</v>
      </c>
      <c r="J2408" t="s">
        <v>6</v>
      </c>
    </row>
    <row r="2409" spans="3:10" hidden="1">
      <c r="C2409">
        <v>214008</v>
      </c>
      <c r="D2409" t="s">
        <v>124</v>
      </c>
      <c r="E2409" t="s">
        <v>1756</v>
      </c>
      <c r="F2409" s="41"/>
      <c r="G2409" s="80" t="s">
        <v>1999</v>
      </c>
      <c r="H2409" s="80" t="s">
        <v>2000</v>
      </c>
      <c r="I2409" s="81" t="s">
        <v>1749</v>
      </c>
      <c r="J2409" t="s">
        <v>6</v>
      </c>
    </row>
    <row r="2410" spans="3:10" hidden="1">
      <c r="C2410">
        <v>214009</v>
      </c>
      <c r="D2410" t="s">
        <v>124</v>
      </c>
      <c r="E2410" t="s">
        <v>1757</v>
      </c>
      <c r="F2410" s="41"/>
      <c r="G2410" s="80" t="s">
        <v>1999</v>
      </c>
      <c r="H2410" s="80" t="s">
        <v>2000</v>
      </c>
      <c r="I2410" s="81" t="s">
        <v>1749</v>
      </c>
      <c r="J2410" t="s">
        <v>6</v>
      </c>
    </row>
    <row r="2411" spans="3:10" hidden="1">
      <c r="C2411">
        <v>214010</v>
      </c>
      <c r="D2411" t="s">
        <v>124</v>
      </c>
      <c r="E2411" t="s">
        <v>1758</v>
      </c>
      <c r="F2411" s="41"/>
      <c r="G2411" s="80" t="s">
        <v>1999</v>
      </c>
      <c r="H2411" s="80" t="s">
        <v>2000</v>
      </c>
      <c r="I2411" s="81" t="s">
        <v>1749</v>
      </c>
      <c r="J2411" t="s">
        <v>6</v>
      </c>
    </row>
    <row r="2412" spans="3:10" hidden="1">
      <c r="C2412">
        <v>214011</v>
      </c>
      <c r="D2412" t="s">
        <v>49</v>
      </c>
      <c r="E2412" t="s">
        <v>1759</v>
      </c>
      <c r="F2412" s="41"/>
      <c r="G2412" s="80" t="s">
        <v>1999</v>
      </c>
      <c r="H2412" s="80" t="s">
        <v>2000</v>
      </c>
      <c r="I2412" s="81" t="s">
        <v>1749</v>
      </c>
      <c r="J2412" t="s">
        <v>6</v>
      </c>
    </row>
    <row r="2413" spans="3:10" hidden="1">
      <c r="C2413">
        <v>214012</v>
      </c>
      <c r="D2413" t="s">
        <v>120</v>
      </c>
      <c r="E2413" t="s">
        <v>1760</v>
      </c>
      <c r="F2413" s="41"/>
      <c r="G2413" s="80" t="s">
        <v>1999</v>
      </c>
      <c r="H2413" s="80" t="s">
        <v>2000</v>
      </c>
      <c r="I2413" s="81" t="s">
        <v>1749</v>
      </c>
      <c r="J2413" t="s">
        <v>6</v>
      </c>
    </row>
    <row r="2414" spans="3:10" hidden="1">
      <c r="C2414">
        <v>214013</v>
      </c>
      <c r="D2414" t="s">
        <v>49</v>
      </c>
      <c r="E2414" t="s">
        <v>1761</v>
      </c>
      <c r="F2414" s="41"/>
      <c r="G2414" s="80" t="s">
        <v>1999</v>
      </c>
      <c r="H2414" s="80" t="s">
        <v>2000</v>
      </c>
      <c r="I2414" s="81" t="s">
        <v>1749</v>
      </c>
      <c r="J2414" t="s">
        <v>6</v>
      </c>
    </row>
    <row r="2415" spans="3:10" hidden="1">
      <c r="C2415">
        <v>214014</v>
      </c>
      <c r="D2415" t="s">
        <v>1739</v>
      </c>
      <c r="E2415" t="s">
        <v>1762</v>
      </c>
      <c r="F2415" s="41"/>
      <c r="G2415" s="80" t="s">
        <v>1999</v>
      </c>
      <c r="H2415" s="80" t="s">
        <v>2000</v>
      </c>
      <c r="I2415" s="81" t="s">
        <v>1749</v>
      </c>
      <c r="J2415" t="s">
        <v>6</v>
      </c>
    </row>
    <row r="2416" spans="3:10" hidden="1">
      <c r="C2416">
        <v>214015</v>
      </c>
      <c r="D2416" t="s">
        <v>1739</v>
      </c>
      <c r="E2416" t="s">
        <v>1763</v>
      </c>
      <c r="F2416" s="41"/>
      <c r="G2416" s="80" t="s">
        <v>1999</v>
      </c>
      <c r="H2416" s="80" t="s">
        <v>2000</v>
      </c>
      <c r="I2416" s="81" t="s">
        <v>1749</v>
      </c>
      <c r="J2416" t="s">
        <v>6</v>
      </c>
    </row>
    <row r="2417" spans="3:10" hidden="1">
      <c r="C2417">
        <v>214016</v>
      </c>
      <c r="D2417" t="s">
        <v>1739</v>
      </c>
      <c r="E2417" t="s">
        <v>1764</v>
      </c>
      <c r="F2417" s="41"/>
      <c r="G2417" s="80" t="s">
        <v>1999</v>
      </c>
      <c r="H2417" s="80" t="s">
        <v>2000</v>
      </c>
      <c r="I2417" s="81" t="s">
        <v>1749</v>
      </c>
      <c r="J2417" t="s">
        <v>6</v>
      </c>
    </row>
    <row r="2418" spans="3:10" hidden="1">
      <c r="C2418">
        <v>214017</v>
      </c>
      <c r="D2418" t="s">
        <v>124</v>
      </c>
      <c r="E2418" t="s">
        <v>1765</v>
      </c>
      <c r="F2418" s="41"/>
      <c r="G2418" s="80" t="s">
        <v>1999</v>
      </c>
      <c r="H2418" s="80" t="s">
        <v>2000</v>
      </c>
      <c r="I2418" s="81" t="s">
        <v>1749</v>
      </c>
      <c r="J2418" t="s">
        <v>6</v>
      </c>
    </row>
    <row r="2419" spans="3:10" hidden="1">
      <c r="C2419">
        <v>214018</v>
      </c>
      <c r="D2419" t="s">
        <v>124</v>
      </c>
      <c r="E2419" t="s">
        <v>1766</v>
      </c>
      <c r="F2419" s="41"/>
      <c r="G2419" s="80" t="s">
        <v>1999</v>
      </c>
      <c r="H2419" s="80" t="s">
        <v>2000</v>
      </c>
      <c r="I2419" s="81" t="s">
        <v>1749</v>
      </c>
      <c r="J2419" t="s">
        <v>6</v>
      </c>
    </row>
    <row r="2420" spans="3:10" hidden="1">
      <c r="C2420">
        <v>214019</v>
      </c>
      <c r="D2420" t="s">
        <v>124</v>
      </c>
      <c r="E2420" t="s">
        <v>1767</v>
      </c>
      <c r="F2420" s="41"/>
      <c r="G2420" s="80" t="s">
        <v>1999</v>
      </c>
      <c r="H2420" s="80" t="s">
        <v>2000</v>
      </c>
      <c r="I2420" s="81" t="s">
        <v>1749</v>
      </c>
      <c r="J2420" t="s">
        <v>6</v>
      </c>
    </row>
    <row r="2421" spans="3:10" hidden="1">
      <c r="C2421">
        <v>214020</v>
      </c>
      <c r="D2421" t="s">
        <v>120</v>
      </c>
      <c r="E2421" t="s">
        <v>1768</v>
      </c>
      <c r="F2421" s="41"/>
      <c r="G2421" s="80" t="s">
        <v>1999</v>
      </c>
      <c r="H2421" s="80" t="s">
        <v>2000</v>
      </c>
      <c r="I2421" s="81" t="s">
        <v>1749</v>
      </c>
      <c r="J2421" t="s">
        <v>6</v>
      </c>
    </row>
    <row r="2422" spans="3:10" hidden="1">
      <c r="C2422">
        <v>214021</v>
      </c>
      <c r="D2422" t="s">
        <v>49</v>
      </c>
      <c r="E2422" t="s">
        <v>1769</v>
      </c>
      <c r="F2422" s="41"/>
      <c r="G2422" s="80" t="s">
        <v>1999</v>
      </c>
      <c r="H2422" s="80" t="s">
        <v>2000</v>
      </c>
      <c r="I2422" s="81" t="s">
        <v>1749</v>
      </c>
      <c r="J2422" t="s">
        <v>6</v>
      </c>
    </row>
    <row r="2423" spans="3:10" hidden="1">
      <c r="C2423">
        <v>214022</v>
      </c>
      <c r="D2423" t="s">
        <v>124</v>
      </c>
      <c r="E2423" t="s">
        <v>1770</v>
      </c>
      <c r="F2423" s="41"/>
      <c r="G2423" s="80" t="s">
        <v>1999</v>
      </c>
      <c r="H2423" s="80" t="s">
        <v>2000</v>
      </c>
      <c r="I2423" s="81" t="s">
        <v>1749</v>
      </c>
      <c r="J2423" t="s">
        <v>6</v>
      </c>
    </row>
    <row r="2424" spans="3:10" hidden="1">
      <c r="C2424">
        <v>214023</v>
      </c>
      <c r="D2424" t="s">
        <v>131</v>
      </c>
      <c r="E2424" t="s">
        <v>1771</v>
      </c>
      <c r="F2424" s="41" t="s">
        <v>1772</v>
      </c>
      <c r="G2424" s="80" t="s">
        <v>1999</v>
      </c>
      <c r="H2424" s="80" t="s">
        <v>2000</v>
      </c>
      <c r="I2424" s="81" t="s">
        <v>1749</v>
      </c>
      <c r="J2424" t="s">
        <v>6</v>
      </c>
    </row>
    <row r="2425" spans="3:10" hidden="1">
      <c r="C2425">
        <v>214024</v>
      </c>
      <c r="D2425" t="s">
        <v>124</v>
      </c>
      <c r="E2425" t="s">
        <v>1773</v>
      </c>
      <c r="F2425" s="41"/>
      <c r="G2425" s="80" t="s">
        <v>1999</v>
      </c>
      <c r="H2425" s="80" t="s">
        <v>2000</v>
      </c>
      <c r="I2425" s="81" t="s">
        <v>1749</v>
      </c>
      <c r="J2425" t="s">
        <v>6</v>
      </c>
    </row>
    <row r="2426" spans="3:10" hidden="1">
      <c r="C2426">
        <v>214025</v>
      </c>
      <c r="D2426" t="s">
        <v>124</v>
      </c>
      <c r="E2426" t="s">
        <v>1774</v>
      </c>
      <c r="F2426" s="41"/>
      <c r="G2426" s="80" t="s">
        <v>1999</v>
      </c>
      <c r="H2426" s="80" t="s">
        <v>2000</v>
      </c>
      <c r="I2426" s="81" t="s">
        <v>1749</v>
      </c>
      <c r="J2426" t="s">
        <v>6</v>
      </c>
    </row>
    <row r="2427" spans="3:10" hidden="1">
      <c r="C2427">
        <v>214026</v>
      </c>
      <c r="D2427" t="s">
        <v>49</v>
      </c>
      <c r="E2427" t="s">
        <v>1775</v>
      </c>
      <c r="F2427" s="41"/>
      <c r="G2427" s="80" t="s">
        <v>1999</v>
      </c>
      <c r="H2427" s="80" t="s">
        <v>2000</v>
      </c>
      <c r="I2427" s="81" t="s">
        <v>1749</v>
      </c>
      <c r="J2427" t="s">
        <v>6</v>
      </c>
    </row>
    <row r="2428" spans="3:10" hidden="1">
      <c r="C2428">
        <v>214027</v>
      </c>
      <c r="D2428" t="s">
        <v>49</v>
      </c>
      <c r="E2428" t="s">
        <v>1776</v>
      </c>
      <c r="F2428" s="41"/>
      <c r="G2428" s="80" t="s">
        <v>1999</v>
      </c>
      <c r="H2428" s="80" t="s">
        <v>2000</v>
      </c>
      <c r="I2428" s="81" t="s">
        <v>1749</v>
      </c>
      <c r="J2428" t="s">
        <v>6</v>
      </c>
    </row>
    <row r="2429" spans="3:10" hidden="1">
      <c r="C2429">
        <v>214028</v>
      </c>
      <c r="D2429" t="s">
        <v>901</v>
      </c>
      <c r="E2429" t="s">
        <v>1777</v>
      </c>
      <c r="F2429" s="41"/>
      <c r="G2429" s="80" t="s">
        <v>1999</v>
      </c>
      <c r="H2429" s="80" t="s">
        <v>2000</v>
      </c>
      <c r="I2429" s="81" t="s">
        <v>1749</v>
      </c>
      <c r="J2429" t="s">
        <v>6</v>
      </c>
    </row>
    <row r="2430" spans="3:10" hidden="1">
      <c r="C2430">
        <v>214029</v>
      </c>
      <c r="D2430" t="s">
        <v>901</v>
      </c>
      <c r="E2430" t="s">
        <v>1778</v>
      </c>
      <c r="F2430" s="41"/>
      <c r="G2430" s="80" t="s">
        <v>1999</v>
      </c>
      <c r="H2430" s="80" t="s">
        <v>2000</v>
      </c>
      <c r="I2430" s="81" t="s">
        <v>1749</v>
      </c>
      <c r="J2430" t="s">
        <v>6</v>
      </c>
    </row>
    <row r="2431" spans="3:10" hidden="1">
      <c r="C2431">
        <v>214030</v>
      </c>
      <c r="D2431" t="s">
        <v>124</v>
      </c>
      <c r="E2431" t="s">
        <v>1779</v>
      </c>
      <c r="F2431" s="41"/>
      <c r="G2431" s="80" t="s">
        <v>1999</v>
      </c>
      <c r="H2431" s="80" t="s">
        <v>2000</v>
      </c>
      <c r="I2431" s="81" t="s">
        <v>1749</v>
      </c>
      <c r="J2431" t="s">
        <v>6</v>
      </c>
    </row>
    <row r="2432" spans="3:10" hidden="1">
      <c r="C2432">
        <v>214031</v>
      </c>
      <c r="D2432" t="s">
        <v>124</v>
      </c>
      <c r="E2432" t="s">
        <v>1780</v>
      </c>
      <c r="F2432" s="41"/>
      <c r="G2432" s="80" t="s">
        <v>1999</v>
      </c>
      <c r="H2432" s="80" t="s">
        <v>2000</v>
      </c>
      <c r="I2432" s="81" t="s">
        <v>1749</v>
      </c>
      <c r="J2432" t="s">
        <v>6</v>
      </c>
    </row>
    <row r="2433" spans="3:10" hidden="1">
      <c r="C2433">
        <v>214032</v>
      </c>
      <c r="D2433" t="s">
        <v>58</v>
      </c>
      <c r="E2433" t="s">
        <v>1735</v>
      </c>
      <c r="F2433" s="41"/>
      <c r="G2433" s="80" t="s">
        <v>1999</v>
      </c>
      <c r="H2433" s="80" t="s">
        <v>2000</v>
      </c>
      <c r="I2433" s="81" t="s">
        <v>1749</v>
      </c>
      <c r="J2433" t="s">
        <v>6</v>
      </c>
    </row>
    <row r="2434" spans="3:10" hidden="1">
      <c r="C2434">
        <v>215000</v>
      </c>
      <c r="D2434" t="s">
        <v>48</v>
      </c>
      <c r="E2434" t="s">
        <v>1781</v>
      </c>
      <c r="F2434" s="41"/>
      <c r="G2434" s="80" t="s">
        <v>1999</v>
      </c>
      <c r="H2434" s="80" t="s">
        <v>2000</v>
      </c>
      <c r="I2434" s="81" t="s">
        <v>1781</v>
      </c>
      <c r="J2434" t="s">
        <v>6</v>
      </c>
    </row>
    <row r="2435" spans="3:10" hidden="1">
      <c r="C2435">
        <v>215001</v>
      </c>
      <c r="D2435" t="s">
        <v>49</v>
      </c>
      <c r="E2435" t="s">
        <v>1782</v>
      </c>
      <c r="F2435" s="41"/>
      <c r="G2435" s="80" t="s">
        <v>1999</v>
      </c>
      <c r="H2435" s="80" t="s">
        <v>2000</v>
      </c>
      <c r="I2435" s="81" t="s">
        <v>1781</v>
      </c>
      <c r="J2435" t="s">
        <v>6</v>
      </c>
    </row>
    <row r="2436" spans="3:10" hidden="1">
      <c r="C2436">
        <v>215002</v>
      </c>
      <c r="D2436" t="s">
        <v>124</v>
      </c>
      <c r="E2436" t="s">
        <v>1745</v>
      </c>
      <c r="F2436" s="41"/>
      <c r="G2436" s="80" t="s">
        <v>1999</v>
      </c>
      <c r="H2436" s="80" t="s">
        <v>2000</v>
      </c>
      <c r="I2436" s="81" t="s">
        <v>1781</v>
      </c>
      <c r="J2436" t="s">
        <v>6</v>
      </c>
    </row>
    <row r="2437" spans="3:10" hidden="1">
      <c r="C2437">
        <v>215003</v>
      </c>
      <c r="D2437" t="s">
        <v>124</v>
      </c>
      <c r="E2437" t="s">
        <v>1746</v>
      </c>
      <c r="F2437" s="41"/>
      <c r="G2437" s="80" t="s">
        <v>1999</v>
      </c>
      <c r="H2437" s="80" t="s">
        <v>2000</v>
      </c>
      <c r="I2437" s="81" t="s">
        <v>1781</v>
      </c>
      <c r="J2437" t="s">
        <v>6</v>
      </c>
    </row>
    <row r="2438" spans="3:10" hidden="1">
      <c r="C2438">
        <v>215004</v>
      </c>
      <c r="D2438" t="s">
        <v>124</v>
      </c>
      <c r="E2438" t="s">
        <v>1747</v>
      </c>
      <c r="F2438" s="41"/>
      <c r="G2438" s="80" t="s">
        <v>1999</v>
      </c>
      <c r="H2438" s="80" t="s">
        <v>2000</v>
      </c>
      <c r="I2438" s="81" t="s">
        <v>1781</v>
      </c>
      <c r="J2438" t="s">
        <v>6</v>
      </c>
    </row>
    <row r="2439" spans="3:10" hidden="1">
      <c r="C2439">
        <v>215005</v>
      </c>
      <c r="D2439" t="s">
        <v>58</v>
      </c>
      <c r="E2439" t="s">
        <v>1783</v>
      </c>
      <c r="F2439" s="41"/>
      <c r="G2439" s="80" t="s">
        <v>1999</v>
      </c>
      <c r="H2439" s="80" t="s">
        <v>2000</v>
      </c>
      <c r="I2439" s="81" t="s">
        <v>1781</v>
      </c>
      <c r="J2439" t="s">
        <v>6</v>
      </c>
    </row>
    <row r="2440" spans="3:10" hidden="1">
      <c r="C2440">
        <v>216000</v>
      </c>
      <c r="D2440" t="s">
        <v>48</v>
      </c>
      <c r="E2440" t="s">
        <v>1784</v>
      </c>
      <c r="F2440" s="41"/>
      <c r="G2440" s="80" t="s">
        <v>1999</v>
      </c>
      <c r="H2440" s="80" t="s">
        <v>2000</v>
      </c>
      <c r="I2440" s="81" t="s">
        <v>1784</v>
      </c>
      <c r="J2440" t="s">
        <v>6</v>
      </c>
    </row>
    <row r="2441" spans="3:10" hidden="1">
      <c r="C2441">
        <v>216001</v>
      </c>
      <c r="D2441" t="s">
        <v>49</v>
      </c>
      <c r="E2441" t="s">
        <v>1785</v>
      </c>
      <c r="F2441" s="41"/>
      <c r="G2441" s="80" t="s">
        <v>1999</v>
      </c>
      <c r="H2441" s="80" t="s">
        <v>2000</v>
      </c>
      <c r="I2441" s="81" t="s">
        <v>1784</v>
      </c>
      <c r="J2441" t="s">
        <v>6</v>
      </c>
    </row>
    <row r="2442" spans="3:10" hidden="1">
      <c r="C2442">
        <v>217000</v>
      </c>
      <c r="D2442" t="s">
        <v>119</v>
      </c>
      <c r="E2442" t="s">
        <v>1786</v>
      </c>
      <c r="F2442" s="41"/>
      <c r="G2442" s="80" t="s">
        <v>1999</v>
      </c>
      <c r="H2442" s="80" t="s">
        <v>2000</v>
      </c>
      <c r="I2442" s="81" t="s">
        <v>1786</v>
      </c>
      <c r="J2442" t="s">
        <v>6</v>
      </c>
    </row>
    <row r="2443" spans="3:10" hidden="1">
      <c r="C2443">
        <v>217001</v>
      </c>
      <c r="D2443" t="s">
        <v>120</v>
      </c>
      <c r="E2443" t="s">
        <v>1787</v>
      </c>
      <c r="F2443" s="41"/>
      <c r="G2443" s="80" t="s">
        <v>1999</v>
      </c>
      <c r="H2443" s="80" t="s">
        <v>2000</v>
      </c>
      <c r="I2443" s="81" t="s">
        <v>1786</v>
      </c>
      <c r="J2443" t="s">
        <v>6</v>
      </c>
    </row>
    <row r="2444" spans="3:10" hidden="1">
      <c r="C2444">
        <v>217002</v>
      </c>
      <c r="D2444" t="s">
        <v>49</v>
      </c>
      <c r="E2444" t="s">
        <v>1788</v>
      </c>
      <c r="F2444" s="41"/>
      <c r="G2444" s="80" t="s">
        <v>1999</v>
      </c>
      <c r="H2444" s="80" t="s">
        <v>2000</v>
      </c>
      <c r="I2444" s="81" t="s">
        <v>1786</v>
      </c>
      <c r="J2444" t="s">
        <v>6</v>
      </c>
    </row>
    <row r="2445" spans="3:10" hidden="1">
      <c r="C2445">
        <v>217003</v>
      </c>
      <c r="D2445" t="s">
        <v>124</v>
      </c>
      <c r="E2445" t="s">
        <v>1789</v>
      </c>
      <c r="F2445" s="41"/>
      <c r="G2445" s="80" t="s">
        <v>1999</v>
      </c>
      <c r="H2445" s="80" t="s">
        <v>2000</v>
      </c>
      <c r="I2445" s="81" t="s">
        <v>1786</v>
      </c>
      <c r="J2445" t="s">
        <v>6</v>
      </c>
    </row>
    <row r="2446" spans="3:10" hidden="1">
      <c r="C2446">
        <v>217004</v>
      </c>
      <c r="D2446" t="s">
        <v>124</v>
      </c>
      <c r="E2446" t="s">
        <v>1790</v>
      </c>
      <c r="F2446" s="41"/>
      <c r="G2446" s="80" t="s">
        <v>1999</v>
      </c>
      <c r="H2446" s="80" t="s">
        <v>2000</v>
      </c>
      <c r="I2446" s="81" t="s">
        <v>1786</v>
      </c>
      <c r="J2446" t="s">
        <v>6</v>
      </c>
    </row>
    <row r="2447" spans="3:10" hidden="1">
      <c r="C2447">
        <v>217005</v>
      </c>
      <c r="D2447" t="s">
        <v>124</v>
      </c>
      <c r="E2447" t="s">
        <v>1791</v>
      </c>
      <c r="F2447" s="41"/>
      <c r="G2447" s="80" t="s">
        <v>1999</v>
      </c>
      <c r="H2447" s="80" t="s">
        <v>2000</v>
      </c>
      <c r="I2447" s="81" t="s">
        <v>1786</v>
      </c>
      <c r="J2447" t="s">
        <v>6</v>
      </c>
    </row>
    <row r="2448" spans="3:10" hidden="1">
      <c r="C2448">
        <v>217006</v>
      </c>
      <c r="D2448" t="s">
        <v>124</v>
      </c>
      <c r="E2448" t="s">
        <v>1792</v>
      </c>
      <c r="F2448" s="41"/>
      <c r="G2448" s="80" t="s">
        <v>1999</v>
      </c>
      <c r="H2448" s="80" t="s">
        <v>2000</v>
      </c>
      <c r="I2448" s="81" t="s">
        <v>1786</v>
      </c>
      <c r="J2448" t="s">
        <v>6</v>
      </c>
    </row>
    <row r="2449" spans="3:10" hidden="1">
      <c r="C2449">
        <v>217007</v>
      </c>
      <c r="D2449" t="s">
        <v>124</v>
      </c>
      <c r="E2449" t="s">
        <v>1793</v>
      </c>
      <c r="F2449" s="41"/>
      <c r="G2449" s="80" t="s">
        <v>1999</v>
      </c>
      <c r="H2449" s="80" t="s">
        <v>2000</v>
      </c>
      <c r="I2449" s="81" t="s">
        <v>1786</v>
      </c>
      <c r="J2449" t="s">
        <v>6</v>
      </c>
    </row>
    <row r="2450" spans="3:10" hidden="1">
      <c r="C2450">
        <v>217008</v>
      </c>
      <c r="D2450" t="s">
        <v>124</v>
      </c>
      <c r="E2450" t="s">
        <v>1794</v>
      </c>
      <c r="F2450" s="41"/>
      <c r="G2450" s="80" t="s">
        <v>1999</v>
      </c>
      <c r="H2450" s="80" t="s">
        <v>2000</v>
      </c>
      <c r="I2450" s="81" t="s">
        <v>1786</v>
      </c>
      <c r="J2450" t="s">
        <v>6</v>
      </c>
    </row>
    <row r="2451" spans="3:10" hidden="1">
      <c r="C2451">
        <v>217009</v>
      </c>
      <c r="D2451" t="s">
        <v>131</v>
      </c>
      <c r="E2451" t="s">
        <v>793</v>
      </c>
      <c r="F2451" s="41" t="s">
        <v>1795</v>
      </c>
      <c r="G2451" s="80" t="s">
        <v>1999</v>
      </c>
      <c r="H2451" s="80" t="s">
        <v>2000</v>
      </c>
      <c r="I2451" s="81" t="s">
        <v>1786</v>
      </c>
      <c r="J2451" t="s">
        <v>6</v>
      </c>
    </row>
    <row r="2452" spans="3:10" hidden="1">
      <c r="C2452">
        <v>217010</v>
      </c>
      <c r="D2452" t="s">
        <v>49</v>
      </c>
      <c r="E2452" t="s">
        <v>1796</v>
      </c>
      <c r="F2452" s="41"/>
      <c r="G2452" s="80" t="s">
        <v>1999</v>
      </c>
      <c r="H2452" s="80" t="s">
        <v>2000</v>
      </c>
      <c r="I2452" s="81" t="s">
        <v>1786</v>
      </c>
      <c r="J2452" t="s">
        <v>6</v>
      </c>
    </row>
    <row r="2453" spans="3:10" hidden="1">
      <c r="C2453">
        <v>217011</v>
      </c>
      <c r="D2453" t="s">
        <v>49</v>
      </c>
      <c r="E2453" t="s">
        <v>1797</v>
      </c>
      <c r="F2453" s="41"/>
      <c r="G2453" s="80" t="s">
        <v>1999</v>
      </c>
      <c r="H2453" s="80" t="s">
        <v>2000</v>
      </c>
      <c r="I2453" s="81" t="s">
        <v>1786</v>
      </c>
      <c r="J2453" t="s">
        <v>6</v>
      </c>
    </row>
    <row r="2454" spans="3:10" hidden="1">
      <c r="C2454">
        <v>217012</v>
      </c>
      <c r="D2454" t="s">
        <v>901</v>
      </c>
      <c r="E2454" t="s">
        <v>1798</v>
      </c>
      <c r="F2454" s="41"/>
      <c r="G2454" s="80" t="s">
        <v>1999</v>
      </c>
      <c r="H2454" s="80" t="s">
        <v>2000</v>
      </c>
      <c r="I2454" s="81" t="s">
        <v>1786</v>
      </c>
      <c r="J2454" t="s">
        <v>6</v>
      </c>
    </row>
    <row r="2455" spans="3:10" hidden="1">
      <c r="C2455">
        <v>217013</v>
      </c>
      <c r="D2455" t="s">
        <v>901</v>
      </c>
      <c r="E2455" t="s">
        <v>1799</v>
      </c>
      <c r="F2455" s="41"/>
      <c r="G2455" s="80" t="s">
        <v>1999</v>
      </c>
      <c r="H2455" s="80" t="s">
        <v>2000</v>
      </c>
      <c r="I2455" s="81" t="s">
        <v>1786</v>
      </c>
      <c r="J2455" t="s">
        <v>6</v>
      </c>
    </row>
    <row r="2456" spans="3:10" hidden="1">
      <c r="C2456">
        <v>217014</v>
      </c>
      <c r="D2456" t="s">
        <v>120</v>
      </c>
      <c r="E2456" t="s">
        <v>1736</v>
      </c>
      <c r="F2456" s="41"/>
      <c r="G2456" s="80" t="s">
        <v>1999</v>
      </c>
      <c r="H2456" s="80" t="s">
        <v>2000</v>
      </c>
      <c r="I2456" s="81" t="s">
        <v>1786</v>
      </c>
      <c r="J2456" t="s">
        <v>6</v>
      </c>
    </row>
    <row r="2457" spans="3:10" hidden="1">
      <c r="C2457">
        <v>217015</v>
      </c>
      <c r="D2457" t="s">
        <v>49</v>
      </c>
      <c r="E2457" t="s">
        <v>1800</v>
      </c>
      <c r="F2457" s="41"/>
      <c r="G2457" s="80" t="s">
        <v>1999</v>
      </c>
      <c r="H2457" s="80" t="s">
        <v>2000</v>
      </c>
      <c r="I2457" s="81" t="s">
        <v>1786</v>
      </c>
      <c r="J2457" t="s">
        <v>6</v>
      </c>
    </row>
    <row r="2458" spans="3:10" hidden="1">
      <c r="C2458">
        <v>217016</v>
      </c>
      <c r="D2458" t="s">
        <v>58</v>
      </c>
      <c r="E2458" t="s">
        <v>1801</v>
      </c>
      <c r="F2458" s="41"/>
      <c r="G2458" s="80" t="s">
        <v>1999</v>
      </c>
      <c r="H2458" s="80" t="s">
        <v>2000</v>
      </c>
      <c r="I2458" s="81" t="s">
        <v>1786</v>
      </c>
      <c r="J2458" t="s">
        <v>6</v>
      </c>
    </row>
    <row r="2459" spans="3:10" hidden="1">
      <c r="C2459">
        <v>218000</v>
      </c>
      <c r="D2459" t="s">
        <v>48</v>
      </c>
      <c r="E2459" t="s">
        <v>1802</v>
      </c>
      <c r="F2459" s="41"/>
      <c r="G2459" s="80" t="s">
        <v>1999</v>
      </c>
      <c r="H2459" s="80" t="s">
        <v>2000</v>
      </c>
      <c r="I2459" s="81" t="s">
        <v>1802</v>
      </c>
      <c r="J2459" t="s">
        <v>6</v>
      </c>
    </row>
    <row r="2460" spans="3:10" hidden="1">
      <c r="C2460">
        <v>218001</v>
      </c>
      <c r="D2460" t="s">
        <v>49</v>
      </c>
      <c r="E2460" t="s">
        <v>1803</v>
      </c>
      <c r="F2460" s="41"/>
      <c r="G2460" s="80" t="s">
        <v>1999</v>
      </c>
      <c r="H2460" s="80" t="s">
        <v>2000</v>
      </c>
      <c r="I2460" s="81" t="s">
        <v>1802</v>
      </c>
      <c r="J2460" t="s">
        <v>6</v>
      </c>
    </row>
    <row r="2461" spans="3:10" hidden="1">
      <c r="C2461">
        <v>218002</v>
      </c>
      <c r="D2461" t="s">
        <v>124</v>
      </c>
      <c r="E2461" t="s">
        <v>1745</v>
      </c>
      <c r="F2461" s="41"/>
      <c r="G2461" s="80" t="s">
        <v>1999</v>
      </c>
      <c r="H2461" s="80" t="s">
        <v>2000</v>
      </c>
      <c r="I2461" s="81" t="s">
        <v>1802</v>
      </c>
      <c r="J2461" t="s">
        <v>6</v>
      </c>
    </row>
    <row r="2462" spans="3:10" hidden="1">
      <c r="C2462">
        <v>218003</v>
      </c>
      <c r="D2462" t="s">
        <v>124</v>
      </c>
      <c r="E2462" t="s">
        <v>1804</v>
      </c>
      <c r="F2462" s="41"/>
      <c r="G2462" s="80" t="s">
        <v>1999</v>
      </c>
      <c r="H2462" s="80" t="s">
        <v>2000</v>
      </c>
      <c r="I2462" s="81" t="s">
        <v>1802</v>
      </c>
      <c r="J2462" t="s">
        <v>6</v>
      </c>
    </row>
    <row r="2463" spans="3:10" hidden="1">
      <c r="C2463">
        <v>218004</v>
      </c>
      <c r="D2463" t="s">
        <v>124</v>
      </c>
      <c r="E2463" t="s">
        <v>1747</v>
      </c>
      <c r="F2463" s="41"/>
      <c r="G2463" s="80" t="s">
        <v>1999</v>
      </c>
      <c r="H2463" s="80" t="s">
        <v>2000</v>
      </c>
      <c r="I2463" s="81" t="s">
        <v>1802</v>
      </c>
      <c r="J2463" t="s">
        <v>6</v>
      </c>
    </row>
    <row r="2464" spans="3:10" hidden="1">
      <c r="C2464">
        <v>218005</v>
      </c>
      <c r="D2464" t="s">
        <v>58</v>
      </c>
      <c r="E2464" t="s">
        <v>1805</v>
      </c>
      <c r="F2464" s="41"/>
      <c r="G2464" s="80" t="s">
        <v>1999</v>
      </c>
      <c r="H2464" s="80" t="s">
        <v>2000</v>
      </c>
      <c r="I2464" s="81" t="s">
        <v>1802</v>
      </c>
      <c r="J2464" t="s">
        <v>6</v>
      </c>
    </row>
    <row r="2465" spans="3:10" hidden="1">
      <c r="C2465">
        <v>219000</v>
      </c>
      <c r="D2465" t="s">
        <v>119</v>
      </c>
      <c r="E2465" t="s">
        <v>1806</v>
      </c>
      <c r="F2465" s="41"/>
      <c r="G2465" s="80" t="s">
        <v>1999</v>
      </c>
      <c r="H2465" s="80" t="s">
        <v>2000</v>
      </c>
      <c r="I2465" s="81" t="s">
        <v>1806</v>
      </c>
      <c r="J2465" t="s">
        <v>6</v>
      </c>
    </row>
    <row r="2466" spans="3:10" hidden="1">
      <c r="C2466">
        <v>219001</v>
      </c>
      <c r="D2466" t="s">
        <v>120</v>
      </c>
      <c r="E2466" t="s">
        <v>1750</v>
      </c>
      <c r="F2466" s="41"/>
      <c r="G2466" s="80" t="s">
        <v>1999</v>
      </c>
      <c r="H2466" s="80" t="s">
        <v>2000</v>
      </c>
      <c r="I2466" s="81" t="s">
        <v>1806</v>
      </c>
      <c r="J2466" t="s">
        <v>6</v>
      </c>
    </row>
    <row r="2467" spans="3:10" hidden="1">
      <c r="C2467">
        <v>219002</v>
      </c>
      <c r="D2467" t="s">
        <v>49</v>
      </c>
      <c r="E2467" t="s">
        <v>1769</v>
      </c>
      <c r="F2467" s="41"/>
      <c r="G2467" s="80" t="s">
        <v>1999</v>
      </c>
      <c r="H2467" s="80" t="s">
        <v>2000</v>
      </c>
      <c r="I2467" s="81" t="s">
        <v>1806</v>
      </c>
      <c r="J2467" t="s">
        <v>6</v>
      </c>
    </row>
    <row r="2468" spans="3:10" hidden="1">
      <c r="C2468">
        <v>219003</v>
      </c>
      <c r="D2468" t="s">
        <v>124</v>
      </c>
      <c r="E2468" t="s">
        <v>1789</v>
      </c>
      <c r="F2468" s="41"/>
      <c r="G2468" s="80" t="s">
        <v>1999</v>
      </c>
      <c r="H2468" s="80" t="s">
        <v>2000</v>
      </c>
      <c r="I2468" s="81" t="s">
        <v>1806</v>
      </c>
      <c r="J2468" t="s">
        <v>6</v>
      </c>
    </row>
    <row r="2469" spans="3:10" hidden="1">
      <c r="C2469">
        <v>219004</v>
      </c>
      <c r="D2469" t="s">
        <v>124</v>
      </c>
      <c r="E2469" t="s">
        <v>1790</v>
      </c>
      <c r="F2469" s="41"/>
      <c r="G2469" s="80" t="s">
        <v>1999</v>
      </c>
      <c r="H2469" s="80" t="s">
        <v>2000</v>
      </c>
      <c r="I2469" s="81" t="s">
        <v>1806</v>
      </c>
      <c r="J2469" t="s">
        <v>6</v>
      </c>
    </row>
    <row r="2470" spans="3:10" hidden="1">
      <c r="C2470">
        <v>219005</v>
      </c>
      <c r="D2470" t="s">
        <v>124</v>
      </c>
      <c r="E2470" t="s">
        <v>1791</v>
      </c>
      <c r="F2470" s="41"/>
      <c r="G2470" s="80" t="s">
        <v>1999</v>
      </c>
      <c r="H2470" s="80" t="s">
        <v>2000</v>
      </c>
      <c r="I2470" s="81" t="s">
        <v>1806</v>
      </c>
      <c r="J2470" t="s">
        <v>6</v>
      </c>
    </row>
    <row r="2471" spans="3:10" hidden="1">
      <c r="C2471">
        <v>219006</v>
      </c>
      <c r="D2471" t="s">
        <v>124</v>
      </c>
      <c r="E2471" t="s">
        <v>1792</v>
      </c>
      <c r="F2471" s="41"/>
      <c r="G2471" s="80" t="s">
        <v>1999</v>
      </c>
      <c r="H2471" s="80" t="s">
        <v>2000</v>
      </c>
      <c r="I2471" s="81" t="s">
        <v>1806</v>
      </c>
      <c r="J2471" t="s">
        <v>6</v>
      </c>
    </row>
    <row r="2472" spans="3:10" hidden="1">
      <c r="C2472">
        <v>219007</v>
      </c>
      <c r="D2472" t="s">
        <v>124</v>
      </c>
      <c r="E2472" t="s">
        <v>1807</v>
      </c>
      <c r="F2472" s="41"/>
      <c r="G2472" s="80" t="s">
        <v>1999</v>
      </c>
      <c r="H2472" s="80" t="s">
        <v>2000</v>
      </c>
      <c r="I2472" s="81" t="s">
        <v>1806</v>
      </c>
      <c r="J2472" t="s">
        <v>6</v>
      </c>
    </row>
    <row r="2473" spans="3:10" hidden="1">
      <c r="C2473">
        <v>219008</v>
      </c>
      <c r="D2473" t="s">
        <v>124</v>
      </c>
      <c r="E2473" t="s">
        <v>1794</v>
      </c>
      <c r="F2473" s="41"/>
      <c r="G2473" s="80" t="s">
        <v>1999</v>
      </c>
      <c r="H2473" s="80" t="s">
        <v>2000</v>
      </c>
      <c r="I2473" s="81" t="s">
        <v>1806</v>
      </c>
      <c r="J2473" t="s">
        <v>6</v>
      </c>
    </row>
    <row r="2474" spans="3:10" hidden="1">
      <c r="C2474">
        <v>219009</v>
      </c>
      <c r="D2474" t="s">
        <v>124</v>
      </c>
      <c r="E2474" t="s">
        <v>1808</v>
      </c>
      <c r="F2474" s="41"/>
      <c r="G2474" s="80" t="s">
        <v>1999</v>
      </c>
      <c r="H2474" s="80" t="s">
        <v>2000</v>
      </c>
      <c r="I2474" s="81" t="s">
        <v>1806</v>
      </c>
      <c r="J2474" t="s">
        <v>6</v>
      </c>
    </row>
    <row r="2475" spans="3:10" hidden="1">
      <c r="C2475">
        <v>219010</v>
      </c>
      <c r="D2475" t="s">
        <v>49</v>
      </c>
      <c r="E2475" t="s">
        <v>1809</v>
      </c>
      <c r="F2475" s="41"/>
      <c r="G2475" s="80" t="s">
        <v>1999</v>
      </c>
      <c r="H2475" s="80" t="s">
        <v>2000</v>
      </c>
      <c r="I2475" s="81" t="s">
        <v>1806</v>
      </c>
      <c r="J2475" t="s">
        <v>6</v>
      </c>
    </row>
    <row r="2476" spans="3:10" hidden="1">
      <c r="C2476">
        <v>219011</v>
      </c>
      <c r="D2476" t="s">
        <v>49</v>
      </c>
      <c r="E2476" t="s">
        <v>1732</v>
      </c>
      <c r="F2476" s="41"/>
      <c r="G2476" s="80" t="s">
        <v>1999</v>
      </c>
      <c r="H2476" s="80" t="s">
        <v>2000</v>
      </c>
      <c r="I2476" s="81" t="s">
        <v>1806</v>
      </c>
      <c r="J2476" t="s">
        <v>6</v>
      </c>
    </row>
    <row r="2477" spans="3:10" hidden="1">
      <c r="C2477">
        <v>219012</v>
      </c>
      <c r="D2477" t="s">
        <v>120</v>
      </c>
      <c r="E2477" t="s">
        <v>1736</v>
      </c>
      <c r="F2477" s="41"/>
      <c r="G2477" s="80" t="s">
        <v>1999</v>
      </c>
      <c r="H2477" s="80" t="s">
        <v>2000</v>
      </c>
      <c r="I2477" s="81" t="s">
        <v>1806</v>
      </c>
      <c r="J2477" t="s">
        <v>6</v>
      </c>
    </row>
    <row r="2478" spans="3:10" hidden="1">
      <c r="C2478">
        <v>219013</v>
      </c>
      <c r="D2478" t="s">
        <v>49</v>
      </c>
      <c r="E2478" t="s">
        <v>1800</v>
      </c>
      <c r="F2478" s="41"/>
      <c r="G2478" s="80" t="s">
        <v>1999</v>
      </c>
      <c r="H2478" s="80" t="s">
        <v>2000</v>
      </c>
      <c r="I2478" s="81" t="s">
        <v>1806</v>
      </c>
      <c r="J2478" t="s">
        <v>6</v>
      </c>
    </row>
    <row r="2479" spans="3:10" hidden="1">
      <c r="C2479">
        <v>219014</v>
      </c>
      <c r="D2479" t="s">
        <v>58</v>
      </c>
      <c r="E2479" t="s">
        <v>1801</v>
      </c>
      <c r="F2479" s="41"/>
      <c r="G2479" s="80" t="s">
        <v>1999</v>
      </c>
      <c r="H2479" s="80" t="s">
        <v>2000</v>
      </c>
      <c r="I2479" s="81" t="s">
        <v>1806</v>
      </c>
      <c r="J2479" t="s">
        <v>6</v>
      </c>
    </row>
    <row r="2480" spans="3:10" hidden="1">
      <c r="C2480">
        <v>220000</v>
      </c>
      <c r="D2480" t="s">
        <v>119</v>
      </c>
      <c r="E2480" t="s">
        <v>1810</v>
      </c>
      <c r="F2480" s="41"/>
      <c r="G2480" s="80" t="s">
        <v>1999</v>
      </c>
      <c r="H2480" s="80" t="s">
        <v>2000</v>
      </c>
      <c r="I2480" s="81" t="s">
        <v>1810</v>
      </c>
      <c r="J2480" t="s">
        <v>6</v>
      </c>
    </row>
    <row r="2481" spans="3:10" hidden="1">
      <c r="C2481">
        <v>220001</v>
      </c>
      <c r="D2481" t="s">
        <v>120</v>
      </c>
      <c r="E2481" t="s">
        <v>1811</v>
      </c>
      <c r="F2481" s="41"/>
      <c r="G2481" s="80" t="s">
        <v>1999</v>
      </c>
      <c r="H2481" s="80" t="s">
        <v>2000</v>
      </c>
      <c r="I2481" s="81" t="s">
        <v>1810</v>
      </c>
      <c r="J2481" t="s">
        <v>6</v>
      </c>
    </row>
    <row r="2482" spans="3:10" hidden="1">
      <c r="C2482">
        <v>220002</v>
      </c>
      <c r="D2482" t="s">
        <v>49</v>
      </c>
      <c r="E2482" t="s">
        <v>1721</v>
      </c>
      <c r="F2482" s="41"/>
      <c r="G2482" s="80" t="s">
        <v>1999</v>
      </c>
      <c r="H2482" s="80" t="s">
        <v>2000</v>
      </c>
      <c r="I2482" s="81" t="s">
        <v>1810</v>
      </c>
      <c r="J2482" t="s">
        <v>6</v>
      </c>
    </row>
    <row r="2483" spans="3:10" hidden="1">
      <c r="C2483">
        <v>220003</v>
      </c>
      <c r="D2483" t="s">
        <v>124</v>
      </c>
      <c r="E2483" t="s">
        <v>1812</v>
      </c>
      <c r="F2483" s="41"/>
      <c r="G2483" s="80" t="s">
        <v>1999</v>
      </c>
      <c r="H2483" s="80" t="s">
        <v>2000</v>
      </c>
      <c r="I2483" s="81" t="s">
        <v>1810</v>
      </c>
      <c r="J2483" t="s">
        <v>6</v>
      </c>
    </row>
    <row r="2484" spans="3:10" hidden="1">
      <c r="C2484">
        <v>220004</v>
      </c>
      <c r="D2484" t="s">
        <v>124</v>
      </c>
      <c r="E2484" t="s">
        <v>1813</v>
      </c>
      <c r="F2484" s="41"/>
      <c r="G2484" s="80" t="s">
        <v>1999</v>
      </c>
      <c r="H2484" s="80" t="s">
        <v>2000</v>
      </c>
      <c r="I2484" s="81" t="s">
        <v>1810</v>
      </c>
      <c r="J2484" t="s">
        <v>6</v>
      </c>
    </row>
    <row r="2485" spans="3:10" hidden="1">
      <c r="C2485">
        <v>220005</v>
      </c>
      <c r="D2485" t="s">
        <v>124</v>
      </c>
      <c r="E2485" t="s">
        <v>1814</v>
      </c>
      <c r="F2485" s="41"/>
      <c r="G2485" s="80" t="s">
        <v>1999</v>
      </c>
      <c r="H2485" s="80" t="s">
        <v>2000</v>
      </c>
      <c r="I2485" s="81" t="s">
        <v>1810</v>
      </c>
      <c r="J2485" t="s">
        <v>6</v>
      </c>
    </row>
    <row r="2486" spans="3:10" hidden="1">
      <c r="C2486">
        <v>220006</v>
      </c>
      <c r="D2486" t="s">
        <v>124</v>
      </c>
      <c r="E2486" t="s">
        <v>1723</v>
      </c>
      <c r="F2486" s="41"/>
      <c r="G2486" s="80" t="s">
        <v>1999</v>
      </c>
      <c r="H2486" s="80" t="s">
        <v>2000</v>
      </c>
      <c r="I2486" s="81" t="s">
        <v>1810</v>
      </c>
      <c r="J2486" t="s">
        <v>6</v>
      </c>
    </row>
    <row r="2487" spans="3:10" hidden="1">
      <c r="C2487">
        <v>220007</v>
      </c>
      <c r="D2487" t="s">
        <v>124</v>
      </c>
      <c r="E2487" t="s">
        <v>1815</v>
      </c>
      <c r="F2487" s="41"/>
      <c r="G2487" s="80" t="s">
        <v>1999</v>
      </c>
      <c r="H2487" s="80" t="s">
        <v>2000</v>
      </c>
      <c r="I2487" s="81" t="s">
        <v>1810</v>
      </c>
      <c r="J2487" t="s">
        <v>6</v>
      </c>
    </row>
    <row r="2488" spans="3:10" hidden="1">
      <c r="C2488">
        <v>220008</v>
      </c>
      <c r="D2488" t="s">
        <v>124</v>
      </c>
      <c r="E2488" t="s">
        <v>1816</v>
      </c>
      <c r="F2488" s="41"/>
      <c r="G2488" s="80" t="s">
        <v>1999</v>
      </c>
      <c r="H2488" s="80" t="s">
        <v>2000</v>
      </c>
      <c r="I2488" s="81" t="s">
        <v>1810</v>
      </c>
      <c r="J2488" t="s">
        <v>6</v>
      </c>
    </row>
    <row r="2489" spans="3:10" hidden="1">
      <c r="C2489">
        <v>220009</v>
      </c>
      <c r="D2489" t="s">
        <v>124</v>
      </c>
      <c r="E2489" t="s">
        <v>1725</v>
      </c>
      <c r="F2489" s="41"/>
      <c r="G2489" s="80" t="s">
        <v>1999</v>
      </c>
      <c r="H2489" s="80" t="s">
        <v>2000</v>
      </c>
      <c r="I2489" s="81" t="s">
        <v>1810</v>
      </c>
      <c r="J2489" t="s">
        <v>6</v>
      </c>
    </row>
    <row r="2490" spans="3:10" hidden="1">
      <c r="C2490">
        <v>220010</v>
      </c>
      <c r="D2490" t="s">
        <v>124</v>
      </c>
      <c r="E2490" t="s">
        <v>1726</v>
      </c>
      <c r="F2490" s="41"/>
      <c r="G2490" s="80" t="s">
        <v>1999</v>
      </c>
      <c r="H2490" s="80" t="s">
        <v>2000</v>
      </c>
      <c r="I2490" s="81" t="s">
        <v>1810</v>
      </c>
      <c r="J2490" t="s">
        <v>6</v>
      </c>
    </row>
    <row r="2491" spans="3:10" hidden="1">
      <c r="C2491">
        <v>220011</v>
      </c>
      <c r="D2491" t="s">
        <v>49</v>
      </c>
      <c r="E2491" t="s">
        <v>1817</v>
      </c>
      <c r="F2491" s="41"/>
      <c r="G2491" s="80" t="s">
        <v>1999</v>
      </c>
      <c r="H2491" s="80" t="s">
        <v>2000</v>
      </c>
      <c r="I2491" s="81" t="s">
        <v>1810</v>
      </c>
      <c r="J2491" t="s">
        <v>6</v>
      </c>
    </row>
    <row r="2492" spans="3:10" hidden="1">
      <c r="C2492">
        <v>220012</v>
      </c>
      <c r="D2492" t="s">
        <v>49</v>
      </c>
      <c r="E2492" t="s">
        <v>1818</v>
      </c>
      <c r="F2492" s="41"/>
      <c r="G2492" s="80" t="s">
        <v>1999</v>
      </c>
      <c r="H2492" s="80" t="s">
        <v>2000</v>
      </c>
      <c r="I2492" s="81" t="s">
        <v>1810</v>
      </c>
      <c r="J2492" t="s">
        <v>6</v>
      </c>
    </row>
    <row r="2493" spans="3:10" hidden="1">
      <c r="C2493">
        <v>220013</v>
      </c>
      <c r="D2493" t="s">
        <v>49</v>
      </c>
      <c r="E2493" t="s">
        <v>1731</v>
      </c>
      <c r="F2493" s="41"/>
      <c r="G2493" s="80" t="s">
        <v>1999</v>
      </c>
      <c r="H2493" s="80" t="s">
        <v>2000</v>
      </c>
      <c r="I2493" s="81" t="s">
        <v>1810</v>
      </c>
      <c r="J2493" t="s">
        <v>6</v>
      </c>
    </row>
    <row r="2494" spans="3:10" hidden="1">
      <c r="C2494">
        <v>220014</v>
      </c>
      <c r="D2494" t="s">
        <v>124</v>
      </c>
      <c r="E2494" t="s">
        <v>1819</v>
      </c>
      <c r="F2494" s="41"/>
      <c r="G2494" s="80" t="s">
        <v>1999</v>
      </c>
      <c r="H2494" s="80" t="s">
        <v>2000</v>
      </c>
      <c r="I2494" s="81" t="s">
        <v>1810</v>
      </c>
      <c r="J2494" t="s">
        <v>6</v>
      </c>
    </row>
    <row r="2495" spans="3:10" hidden="1">
      <c r="C2495">
        <v>220015</v>
      </c>
      <c r="D2495" t="s">
        <v>49</v>
      </c>
      <c r="E2495" t="s">
        <v>1732</v>
      </c>
      <c r="F2495" s="41"/>
      <c r="G2495" s="80" t="s">
        <v>1999</v>
      </c>
      <c r="H2495" s="80" t="s">
        <v>2000</v>
      </c>
      <c r="I2495" s="81" t="s">
        <v>1810</v>
      </c>
      <c r="J2495" t="s">
        <v>6</v>
      </c>
    </row>
    <row r="2496" spans="3:10" hidden="1">
      <c r="C2496">
        <v>220016</v>
      </c>
      <c r="D2496" t="s">
        <v>901</v>
      </c>
      <c r="E2496" t="s">
        <v>1820</v>
      </c>
      <c r="F2496" s="41"/>
      <c r="G2496" s="80" t="s">
        <v>1999</v>
      </c>
      <c r="H2496" s="80" t="s">
        <v>2000</v>
      </c>
      <c r="I2496" s="81" t="s">
        <v>1810</v>
      </c>
      <c r="J2496" t="s">
        <v>6</v>
      </c>
    </row>
    <row r="2497" spans="3:10" hidden="1">
      <c r="C2497">
        <v>220017</v>
      </c>
      <c r="D2497" t="s">
        <v>131</v>
      </c>
      <c r="E2497" t="s">
        <v>1727</v>
      </c>
      <c r="F2497" s="41" t="s">
        <v>153</v>
      </c>
      <c r="G2497" s="80" t="s">
        <v>1999</v>
      </c>
      <c r="H2497" s="80" t="s">
        <v>2000</v>
      </c>
      <c r="I2497" s="81" t="s">
        <v>1810</v>
      </c>
      <c r="J2497" t="s">
        <v>6</v>
      </c>
    </row>
    <row r="2498" spans="3:10" hidden="1">
      <c r="C2498">
        <v>220018</v>
      </c>
      <c r="D2498" t="s">
        <v>901</v>
      </c>
      <c r="E2498" t="s">
        <v>1728</v>
      </c>
      <c r="F2498" s="41"/>
      <c r="G2498" s="80" t="s">
        <v>1999</v>
      </c>
      <c r="H2498" s="80" t="s">
        <v>2000</v>
      </c>
      <c r="I2498" s="81" t="s">
        <v>1810</v>
      </c>
      <c r="J2498" t="s">
        <v>6</v>
      </c>
    </row>
    <row r="2499" spans="3:10" hidden="1">
      <c r="C2499">
        <v>220019</v>
      </c>
      <c r="D2499" t="s">
        <v>901</v>
      </c>
      <c r="E2499" t="s">
        <v>1729</v>
      </c>
      <c r="F2499" s="41"/>
      <c r="G2499" s="80" t="s">
        <v>1999</v>
      </c>
      <c r="H2499" s="80" t="s">
        <v>2000</v>
      </c>
      <c r="I2499" s="81" t="s">
        <v>1810</v>
      </c>
      <c r="J2499" t="s">
        <v>6</v>
      </c>
    </row>
    <row r="2500" spans="3:10" hidden="1">
      <c r="C2500">
        <v>220020</v>
      </c>
      <c r="D2500" t="s">
        <v>49</v>
      </c>
      <c r="E2500" t="s">
        <v>1821</v>
      </c>
      <c r="F2500" s="41"/>
      <c r="G2500" s="80" t="s">
        <v>1999</v>
      </c>
      <c r="H2500" s="80" t="s">
        <v>2000</v>
      </c>
      <c r="I2500" s="81" t="s">
        <v>1810</v>
      </c>
      <c r="J2500" t="s">
        <v>6</v>
      </c>
    </row>
    <row r="2501" spans="3:10" hidden="1">
      <c r="C2501">
        <v>220021</v>
      </c>
      <c r="D2501" t="s">
        <v>796</v>
      </c>
      <c r="E2501" t="s">
        <v>1822</v>
      </c>
      <c r="F2501" s="41" t="s">
        <v>1823</v>
      </c>
      <c r="G2501" s="80" t="s">
        <v>1999</v>
      </c>
      <c r="H2501" s="80" t="s">
        <v>2000</v>
      </c>
      <c r="I2501" s="81" t="s">
        <v>1810</v>
      </c>
      <c r="J2501" t="s">
        <v>6</v>
      </c>
    </row>
    <row r="2502" spans="3:10" hidden="1">
      <c r="C2502">
        <v>220022</v>
      </c>
      <c r="D2502" t="s">
        <v>1824</v>
      </c>
      <c r="E2502" t="s">
        <v>1778</v>
      </c>
      <c r="F2502" s="41"/>
      <c r="G2502" s="80" t="s">
        <v>1999</v>
      </c>
      <c r="H2502" s="80" t="s">
        <v>2000</v>
      </c>
      <c r="I2502" s="81" t="s">
        <v>1810</v>
      </c>
      <c r="J2502" t="s">
        <v>6</v>
      </c>
    </row>
    <row r="2503" spans="3:10" hidden="1">
      <c r="C2503">
        <v>220023</v>
      </c>
      <c r="D2503" t="s">
        <v>49</v>
      </c>
      <c r="E2503" t="s">
        <v>1825</v>
      </c>
      <c r="F2503" s="41"/>
      <c r="G2503" s="80" t="s">
        <v>1999</v>
      </c>
      <c r="H2503" s="80" t="s">
        <v>2000</v>
      </c>
      <c r="I2503" s="81" t="s">
        <v>1810</v>
      </c>
      <c r="J2503" t="s">
        <v>6</v>
      </c>
    </row>
    <row r="2504" spans="3:10" hidden="1">
      <c r="C2504">
        <v>220024</v>
      </c>
      <c r="D2504" t="s">
        <v>58</v>
      </c>
      <c r="E2504" t="s">
        <v>1801</v>
      </c>
      <c r="F2504" s="41"/>
      <c r="G2504" s="80" t="s">
        <v>1999</v>
      </c>
      <c r="H2504" s="80" t="s">
        <v>2000</v>
      </c>
      <c r="I2504" s="81" t="s">
        <v>1810</v>
      </c>
      <c r="J2504" t="s">
        <v>6</v>
      </c>
    </row>
    <row r="2505" spans="3:10" hidden="1">
      <c r="C2505">
        <v>221000</v>
      </c>
      <c r="D2505" t="s">
        <v>48</v>
      </c>
      <c r="E2505" t="s">
        <v>1826</v>
      </c>
      <c r="F2505" s="41"/>
      <c r="G2505" s="80" t="s">
        <v>1999</v>
      </c>
      <c r="H2505" s="80" t="s">
        <v>2000</v>
      </c>
      <c r="I2505" s="81" t="s">
        <v>1826</v>
      </c>
      <c r="J2505" t="s">
        <v>6</v>
      </c>
    </row>
    <row r="2506" spans="3:10" hidden="1">
      <c r="C2506">
        <v>221001</v>
      </c>
      <c r="D2506" t="s">
        <v>49</v>
      </c>
      <c r="E2506" t="s">
        <v>1827</v>
      </c>
      <c r="F2506" s="41"/>
      <c r="G2506" s="80" t="s">
        <v>1999</v>
      </c>
      <c r="H2506" s="80" t="s">
        <v>2000</v>
      </c>
      <c r="I2506" s="81" t="s">
        <v>1826</v>
      </c>
      <c r="J2506" t="s">
        <v>6</v>
      </c>
    </row>
    <row r="2507" spans="3:10" hidden="1">
      <c r="C2507">
        <v>221002</v>
      </c>
      <c r="D2507" t="s">
        <v>124</v>
      </c>
      <c r="E2507" t="s">
        <v>1745</v>
      </c>
      <c r="F2507" s="41"/>
      <c r="G2507" s="80" t="s">
        <v>1999</v>
      </c>
      <c r="H2507" s="80" t="s">
        <v>2000</v>
      </c>
      <c r="I2507" s="81" t="s">
        <v>1826</v>
      </c>
      <c r="J2507" t="s">
        <v>6</v>
      </c>
    </row>
    <row r="2508" spans="3:10" hidden="1">
      <c r="C2508">
        <v>221003</v>
      </c>
      <c r="D2508" t="s">
        <v>124</v>
      </c>
      <c r="E2508" t="s">
        <v>1746</v>
      </c>
      <c r="F2508" s="41"/>
      <c r="G2508" s="80" t="s">
        <v>1999</v>
      </c>
      <c r="H2508" s="80" t="s">
        <v>2000</v>
      </c>
      <c r="I2508" s="81" t="s">
        <v>1826</v>
      </c>
      <c r="J2508" t="s">
        <v>6</v>
      </c>
    </row>
    <row r="2509" spans="3:10" hidden="1">
      <c r="C2509">
        <v>221004</v>
      </c>
      <c r="D2509" t="s">
        <v>124</v>
      </c>
      <c r="E2509" t="s">
        <v>1747</v>
      </c>
      <c r="F2509" s="41"/>
      <c r="G2509" s="80" t="s">
        <v>1999</v>
      </c>
      <c r="H2509" s="80" t="s">
        <v>2000</v>
      </c>
      <c r="I2509" s="81" t="s">
        <v>1826</v>
      </c>
      <c r="J2509" t="s">
        <v>6</v>
      </c>
    </row>
    <row r="2510" spans="3:10" hidden="1">
      <c r="C2510">
        <v>221005</v>
      </c>
      <c r="D2510" t="s">
        <v>58</v>
      </c>
      <c r="E2510" t="s">
        <v>1828</v>
      </c>
      <c r="F2510" s="41"/>
      <c r="G2510" s="80" t="s">
        <v>1999</v>
      </c>
      <c r="H2510" s="80" t="s">
        <v>2000</v>
      </c>
      <c r="I2510" s="81" t="s">
        <v>1826</v>
      </c>
      <c r="J2510" t="s">
        <v>6</v>
      </c>
    </row>
    <row r="2511" spans="3:10" hidden="1">
      <c r="C2511">
        <v>222000</v>
      </c>
      <c r="D2511" t="s">
        <v>48</v>
      </c>
      <c r="E2511" t="s">
        <v>1829</v>
      </c>
      <c r="F2511" s="41"/>
      <c r="G2511" s="80" t="s">
        <v>1999</v>
      </c>
      <c r="H2511" s="80" t="s">
        <v>2000</v>
      </c>
      <c r="I2511" s="81" t="s">
        <v>1829</v>
      </c>
      <c r="J2511" t="s">
        <v>6</v>
      </c>
    </row>
    <row r="2512" spans="3:10" hidden="1">
      <c r="C2512">
        <v>222001</v>
      </c>
      <c r="D2512" t="s">
        <v>49</v>
      </c>
      <c r="E2512" t="s">
        <v>1721</v>
      </c>
      <c r="F2512" s="41"/>
      <c r="G2512" s="80" t="s">
        <v>1999</v>
      </c>
      <c r="H2512" s="80" t="s">
        <v>2000</v>
      </c>
      <c r="I2512" s="81" t="s">
        <v>1829</v>
      </c>
      <c r="J2512" t="s">
        <v>6</v>
      </c>
    </row>
    <row r="2513" spans="3:10" hidden="1">
      <c r="C2513">
        <v>222002</v>
      </c>
      <c r="D2513" t="s">
        <v>124</v>
      </c>
      <c r="E2513" t="s">
        <v>1830</v>
      </c>
      <c r="F2513" s="41"/>
      <c r="G2513" s="80" t="s">
        <v>1999</v>
      </c>
      <c r="H2513" s="80" t="s">
        <v>2000</v>
      </c>
      <c r="I2513" s="81" t="s">
        <v>1829</v>
      </c>
      <c r="J2513" t="s">
        <v>6</v>
      </c>
    </row>
    <row r="2514" spans="3:10" hidden="1">
      <c r="C2514">
        <v>222003</v>
      </c>
      <c r="D2514" t="s">
        <v>124</v>
      </c>
      <c r="E2514" t="s">
        <v>1831</v>
      </c>
      <c r="F2514" s="41"/>
      <c r="G2514" s="80" t="s">
        <v>1999</v>
      </c>
      <c r="H2514" s="80" t="s">
        <v>2000</v>
      </c>
      <c r="I2514" s="81" t="s">
        <v>1829</v>
      </c>
      <c r="J2514" t="s">
        <v>6</v>
      </c>
    </row>
    <row r="2515" spans="3:10" hidden="1">
      <c r="C2515">
        <v>222004</v>
      </c>
      <c r="D2515" t="s">
        <v>124</v>
      </c>
      <c r="E2515" t="s">
        <v>1832</v>
      </c>
      <c r="F2515" s="41"/>
      <c r="G2515" s="80" t="s">
        <v>1999</v>
      </c>
      <c r="H2515" s="80" t="s">
        <v>2000</v>
      </c>
      <c r="I2515" s="81" t="s">
        <v>1829</v>
      </c>
      <c r="J2515" t="s">
        <v>6</v>
      </c>
    </row>
    <row r="2516" spans="3:10" hidden="1">
      <c r="C2516">
        <v>222005</v>
      </c>
      <c r="D2516" t="s">
        <v>49</v>
      </c>
      <c r="E2516" t="s">
        <v>1833</v>
      </c>
      <c r="F2516" s="41"/>
      <c r="G2516" s="80" t="s">
        <v>1999</v>
      </c>
      <c r="H2516" s="80" t="s">
        <v>2000</v>
      </c>
      <c r="I2516" s="81" t="s">
        <v>1829</v>
      </c>
      <c r="J2516" t="s">
        <v>6</v>
      </c>
    </row>
    <row r="2517" spans="3:10" hidden="1">
      <c r="C2517">
        <v>222006</v>
      </c>
      <c r="D2517" t="s">
        <v>1739</v>
      </c>
      <c r="E2517" t="s">
        <v>1834</v>
      </c>
      <c r="F2517" s="41"/>
      <c r="G2517" s="80" t="s">
        <v>1999</v>
      </c>
      <c r="H2517" s="80" t="s">
        <v>2000</v>
      </c>
      <c r="I2517" s="81" t="s">
        <v>1829</v>
      </c>
      <c r="J2517" t="s">
        <v>6</v>
      </c>
    </row>
    <row r="2518" spans="3:10" hidden="1">
      <c r="C2518">
        <v>222007</v>
      </c>
      <c r="D2518" t="s">
        <v>1739</v>
      </c>
      <c r="E2518" t="s">
        <v>1835</v>
      </c>
      <c r="F2518" s="41"/>
      <c r="G2518" s="80" t="s">
        <v>1999</v>
      </c>
      <c r="H2518" s="80" t="s">
        <v>2000</v>
      </c>
      <c r="I2518" s="81" t="s">
        <v>1829</v>
      </c>
      <c r="J2518" t="s">
        <v>6</v>
      </c>
    </row>
    <row r="2519" spans="3:10" hidden="1">
      <c r="C2519">
        <v>222008</v>
      </c>
      <c r="D2519" t="s">
        <v>1739</v>
      </c>
      <c r="E2519" t="s">
        <v>1836</v>
      </c>
      <c r="F2519" s="41"/>
      <c r="G2519" s="80" t="s">
        <v>1999</v>
      </c>
      <c r="H2519" s="80" t="s">
        <v>2000</v>
      </c>
      <c r="I2519" s="81" t="s">
        <v>1829</v>
      </c>
      <c r="J2519" t="s">
        <v>6</v>
      </c>
    </row>
    <row r="2520" spans="3:10" hidden="1">
      <c r="C2520">
        <v>222009</v>
      </c>
      <c r="D2520" t="s">
        <v>1739</v>
      </c>
      <c r="E2520" t="s">
        <v>1837</v>
      </c>
      <c r="F2520" s="41"/>
      <c r="G2520" s="80" t="s">
        <v>1999</v>
      </c>
      <c r="H2520" s="80" t="s">
        <v>2000</v>
      </c>
      <c r="I2520" s="81" t="s">
        <v>1829</v>
      </c>
      <c r="J2520" t="s">
        <v>6</v>
      </c>
    </row>
    <row r="2521" spans="3:10" hidden="1">
      <c r="C2521">
        <v>222010</v>
      </c>
      <c r="D2521" t="s">
        <v>49</v>
      </c>
      <c r="E2521" t="s">
        <v>1838</v>
      </c>
      <c r="F2521" s="41"/>
      <c r="G2521" s="80" t="s">
        <v>1999</v>
      </c>
      <c r="H2521" s="80" t="s">
        <v>2000</v>
      </c>
      <c r="I2521" s="81" t="s">
        <v>1829</v>
      </c>
      <c r="J2521" t="s">
        <v>6</v>
      </c>
    </row>
    <row r="2522" spans="3:10" hidden="1">
      <c r="C2522">
        <v>222011</v>
      </c>
      <c r="D2522" t="s">
        <v>1739</v>
      </c>
      <c r="E2522" t="s">
        <v>1839</v>
      </c>
      <c r="F2522" s="41"/>
      <c r="G2522" s="80" t="s">
        <v>1999</v>
      </c>
      <c r="H2522" s="80" t="s">
        <v>2000</v>
      </c>
      <c r="I2522" s="81" t="s">
        <v>1829</v>
      </c>
      <c r="J2522" t="s">
        <v>6</v>
      </c>
    </row>
    <row r="2523" spans="3:10" hidden="1">
      <c r="C2523">
        <v>222012</v>
      </c>
      <c r="D2523" t="s">
        <v>49</v>
      </c>
      <c r="E2523" t="s">
        <v>1840</v>
      </c>
      <c r="F2523" s="41"/>
      <c r="G2523" s="80" t="s">
        <v>1999</v>
      </c>
      <c r="H2523" s="80" t="s">
        <v>2000</v>
      </c>
      <c r="I2523" s="81" t="s">
        <v>1829</v>
      </c>
      <c r="J2523" t="s">
        <v>6</v>
      </c>
    </row>
    <row r="2524" spans="3:10" hidden="1">
      <c r="C2524">
        <v>222013</v>
      </c>
      <c r="D2524" t="s">
        <v>1739</v>
      </c>
      <c r="E2524" t="s">
        <v>1841</v>
      </c>
      <c r="F2524" s="41"/>
      <c r="G2524" s="80" t="s">
        <v>1999</v>
      </c>
      <c r="H2524" s="80" t="s">
        <v>2000</v>
      </c>
      <c r="I2524" s="81" t="s">
        <v>1829</v>
      </c>
      <c r="J2524" t="s">
        <v>6</v>
      </c>
    </row>
    <row r="2525" spans="3:10" hidden="1">
      <c r="C2525">
        <v>222014</v>
      </c>
      <c r="D2525" t="s">
        <v>1739</v>
      </c>
      <c r="E2525" t="s">
        <v>1842</v>
      </c>
      <c r="F2525" s="41"/>
      <c r="G2525" s="80" t="s">
        <v>1999</v>
      </c>
      <c r="H2525" s="80" t="s">
        <v>2000</v>
      </c>
      <c r="I2525" s="81" t="s">
        <v>1829</v>
      </c>
      <c r="J2525" t="s">
        <v>6</v>
      </c>
    </row>
    <row r="2526" spans="3:10" hidden="1">
      <c r="C2526">
        <v>222015</v>
      </c>
      <c r="D2526" t="s">
        <v>1739</v>
      </c>
      <c r="E2526" t="s">
        <v>1843</v>
      </c>
      <c r="F2526" s="41"/>
      <c r="G2526" s="80" t="s">
        <v>1999</v>
      </c>
      <c r="H2526" s="80" t="s">
        <v>2000</v>
      </c>
      <c r="I2526" s="81" t="s">
        <v>1829</v>
      </c>
      <c r="J2526" t="s">
        <v>6</v>
      </c>
    </row>
    <row r="2527" spans="3:10" hidden="1">
      <c r="C2527">
        <v>222016</v>
      </c>
      <c r="D2527" t="s">
        <v>1739</v>
      </c>
      <c r="E2527" t="s">
        <v>1844</v>
      </c>
      <c r="F2527" s="41"/>
      <c r="G2527" s="80" t="s">
        <v>1999</v>
      </c>
      <c r="H2527" s="80" t="s">
        <v>2000</v>
      </c>
      <c r="I2527" s="81" t="s">
        <v>1829</v>
      </c>
      <c r="J2527" t="s">
        <v>6</v>
      </c>
    </row>
    <row r="2528" spans="3:10" hidden="1">
      <c r="C2528">
        <v>222017</v>
      </c>
      <c r="D2528" t="s">
        <v>1739</v>
      </c>
      <c r="E2528" t="s">
        <v>1845</v>
      </c>
      <c r="F2528" s="41"/>
      <c r="G2528" s="80" t="s">
        <v>1999</v>
      </c>
      <c r="H2528" s="80" t="s">
        <v>2000</v>
      </c>
      <c r="I2528" s="81" t="s">
        <v>1829</v>
      </c>
      <c r="J2528" t="s">
        <v>6</v>
      </c>
    </row>
    <row r="2529" spans="3:10" hidden="1">
      <c r="C2529">
        <v>222018</v>
      </c>
      <c r="D2529" t="s">
        <v>49</v>
      </c>
      <c r="E2529" t="s">
        <v>1846</v>
      </c>
      <c r="F2529" s="41"/>
      <c r="G2529" s="80" t="s">
        <v>1999</v>
      </c>
      <c r="H2529" s="80" t="s">
        <v>2000</v>
      </c>
      <c r="I2529" s="81" t="s">
        <v>1829</v>
      </c>
      <c r="J2529" t="s">
        <v>6</v>
      </c>
    </row>
    <row r="2530" spans="3:10" hidden="1">
      <c r="C2530">
        <v>223000</v>
      </c>
      <c r="D2530" t="s">
        <v>48</v>
      </c>
      <c r="E2530" t="s">
        <v>1847</v>
      </c>
      <c r="F2530" s="41"/>
      <c r="G2530" s="80" t="s">
        <v>13</v>
      </c>
      <c r="H2530" s="80" t="s">
        <v>9</v>
      </c>
      <c r="I2530" s="81" t="s">
        <v>1847</v>
      </c>
      <c r="J2530" t="s">
        <v>1848</v>
      </c>
    </row>
    <row r="2531" spans="3:10" hidden="1">
      <c r="C2531">
        <v>223001</v>
      </c>
      <c r="D2531" t="s">
        <v>49</v>
      </c>
      <c r="E2531" t="s">
        <v>1849</v>
      </c>
      <c r="F2531" s="41"/>
      <c r="G2531" s="80" t="s">
        <v>13</v>
      </c>
      <c r="H2531" s="80" t="s">
        <v>9</v>
      </c>
      <c r="I2531" s="81" t="s">
        <v>1847</v>
      </c>
      <c r="J2531" t="s">
        <v>1848</v>
      </c>
    </row>
    <row r="2532" spans="3:10" hidden="1">
      <c r="C2532">
        <v>223002</v>
      </c>
      <c r="D2532" t="s">
        <v>49</v>
      </c>
      <c r="E2532" t="s">
        <v>1850</v>
      </c>
      <c r="F2532" s="41"/>
      <c r="G2532" s="80" t="s">
        <v>13</v>
      </c>
      <c r="H2532" s="80" t="s">
        <v>9</v>
      </c>
      <c r="I2532" s="81" t="s">
        <v>1847</v>
      </c>
      <c r="J2532" t="s">
        <v>1848</v>
      </c>
    </row>
    <row r="2533" spans="3:10" hidden="1">
      <c r="C2533">
        <v>223003</v>
      </c>
      <c r="D2533" t="s">
        <v>49</v>
      </c>
      <c r="E2533" t="s">
        <v>1851</v>
      </c>
      <c r="F2533" s="41"/>
      <c r="G2533" s="80" t="s">
        <v>13</v>
      </c>
      <c r="H2533" s="80" t="s">
        <v>9</v>
      </c>
      <c r="I2533" s="81" t="s">
        <v>1847</v>
      </c>
      <c r="J2533" t="s">
        <v>1848</v>
      </c>
    </row>
    <row r="2534" spans="3:10" hidden="1">
      <c r="C2534">
        <v>223004</v>
      </c>
      <c r="D2534" t="s">
        <v>49</v>
      </c>
      <c r="E2534" t="s">
        <v>256</v>
      </c>
      <c r="F2534" s="41"/>
      <c r="G2534" s="80" t="s">
        <v>13</v>
      </c>
      <c r="H2534" s="80" t="s">
        <v>9</v>
      </c>
      <c r="I2534" s="81" t="s">
        <v>1847</v>
      </c>
      <c r="J2534" t="s">
        <v>1848</v>
      </c>
    </row>
    <row r="2535" spans="3:10" hidden="1">
      <c r="C2535">
        <v>223005</v>
      </c>
      <c r="D2535" t="s">
        <v>49</v>
      </c>
      <c r="E2535" t="s">
        <v>1673</v>
      </c>
      <c r="F2535" s="41"/>
      <c r="G2535" s="80" t="s">
        <v>13</v>
      </c>
      <c r="H2535" s="80" t="s">
        <v>9</v>
      </c>
      <c r="I2535" s="81" t="s">
        <v>1847</v>
      </c>
      <c r="J2535" t="s">
        <v>1848</v>
      </c>
    </row>
    <row r="2536" spans="3:10" hidden="1">
      <c r="C2536">
        <v>223006</v>
      </c>
      <c r="D2536" t="s">
        <v>49</v>
      </c>
      <c r="E2536" t="s">
        <v>258</v>
      </c>
      <c r="F2536" s="41"/>
      <c r="G2536" s="80" t="s">
        <v>13</v>
      </c>
      <c r="H2536" s="80" t="s">
        <v>9</v>
      </c>
      <c r="I2536" s="81" t="s">
        <v>1847</v>
      </c>
      <c r="J2536" t="s">
        <v>1848</v>
      </c>
    </row>
    <row r="2537" spans="3:10" hidden="1">
      <c r="C2537">
        <v>223007</v>
      </c>
      <c r="D2537" t="s">
        <v>58</v>
      </c>
      <c r="E2537" t="s">
        <v>59</v>
      </c>
      <c r="F2537" s="41"/>
      <c r="G2537" s="80" t="s">
        <v>13</v>
      </c>
      <c r="H2537" s="80" t="s">
        <v>9</v>
      </c>
      <c r="I2537" s="81" t="s">
        <v>1847</v>
      </c>
      <c r="J2537" t="s">
        <v>1848</v>
      </c>
    </row>
    <row r="2538" spans="3:10" hidden="1">
      <c r="C2538">
        <v>224000</v>
      </c>
      <c r="D2538" t="s">
        <v>48</v>
      </c>
      <c r="E2538" t="s">
        <v>1852</v>
      </c>
      <c r="F2538" s="41"/>
      <c r="G2538" s="80" t="s">
        <v>18</v>
      </c>
      <c r="H2538" s="80" t="s">
        <v>9</v>
      </c>
      <c r="I2538" s="81" t="s">
        <v>1852</v>
      </c>
      <c r="J2538" t="s">
        <v>1848</v>
      </c>
    </row>
    <row r="2539" spans="3:10" hidden="1">
      <c r="C2539">
        <v>224001</v>
      </c>
      <c r="D2539" t="s">
        <v>49</v>
      </c>
      <c r="E2539" t="s">
        <v>1853</v>
      </c>
      <c r="F2539" s="41"/>
      <c r="G2539" s="80" t="s">
        <v>18</v>
      </c>
      <c r="H2539" s="80" t="s">
        <v>9</v>
      </c>
      <c r="I2539" s="81" t="s">
        <v>1852</v>
      </c>
      <c r="J2539" t="s">
        <v>1848</v>
      </c>
    </row>
    <row r="2540" spans="3:10" hidden="1">
      <c r="C2540">
        <v>224002</v>
      </c>
      <c r="D2540" t="s">
        <v>49</v>
      </c>
      <c r="E2540" t="s">
        <v>1854</v>
      </c>
      <c r="F2540" s="41"/>
      <c r="G2540" s="80" t="s">
        <v>18</v>
      </c>
      <c r="H2540" s="80" t="s">
        <v>9</v>
      </c>
      <c r="I2540" s="81" t="s">
        <v>1852</v>
      </c>
      <c r="J2540" t="s">
        <v>1848</v>
      </c>
    </row>
    <row r="2541" spans="3:10" hidden="1">
      <c r="C2541">
        <v>224003</v>
      </c>
      <c r="D2541" t="s">
        <v>49</v>
      </c>
      <c r="E2541" t="s">
        <v>1855</v>
      </c>
      <c r="F2541" s="41"/>
      <c r="G2541" s="80" t="s">
        <v>18</v>
      </c>
      <c r="H2541" s="80" t="s">
        <v>9</v>
      </c>
      <c r="I2541" s="81" t="s">
        <v>1852</v>
      </c>
      <c r="J2541" t="s">
        <v>1848</v>
      </c>
    </row>
    <row r="2542" spans="3:10" hidden="1">
      <c r="C2542">
        <v>224004</v>
      </c>
      <c r="D2542" t="s">
        <v>49</v>
      </c>
      <c r="E2542" t="s">
        <v>1856</v>
      </c>
      <c r="F2542" s="41"/>
      <c r="G2542" s="80" t="s">
        <v>18</v>
      </c>
      <c r="H2542" s="80" t="s">
        <v>9</v>
      </c>
      <c r="I2542" s="81" t="s">
        <v>1852</v>
      </c>
      <c r="J2542" t="s">
        <v>1848</v>
      </c>
    </row>
    <row r="2543" spans="3:10" hidden="1">
      <c r="C2543">
        <v>224005</v>
      </c>
      <c r="D2543" t="s">
        <v>49</v>
      </c>
      <c r="E2543" t="s">
        <v>1857</v>
      </c>
      <c r="F2543" s="41"/>
      <c r="G2543" s="80" t="s">
        <v>18</v>
      </c>
      <c r="H2543" s="80" t="s">
        <v>9</v>
      </c>
      <c r="I2543" s="81" t="s">
        <v>1852</v>
      </c>
      <c r="J2543" t="s">
        <v>1848</v>
      </c>
    </row>
    <row r="2544" spans="3:10" hidden="1">
      <c r="C2544">
        <v>224006</v>
      </c>
      <c r="D2544" t="s">
        <v>49</v>
      </c>
      <c r="E2544" t="s">
        <v>1858</v>
      </c>
      <c r="F2544" s="41"/>
      <c r="G2544" s="80" t="s">
        <v>18</v>
      </c>
      <c r="H2544" s="80" t="s">
        <v>9</v>
      </c>
      <c r="I2544" s="81" t="s">
        <v>1852</v>
      </c>
      <c r="J2544" t="s">
        <v>1848</v>
      </c>
    </row>
    <row r="2545" spans="3:10" hidden="1">
      <c r="C2545">
        <v>224007</v>
      </c>
      <c r="D2545" t="s">
        <v>49</v>
      </c>
      <c r="E2545" t="s">
        <v>1859</v>
      </c>
      <c r="F2545" s="41"/>
      <c r="G2545" s="80" t="s">
        <v>18</v>
      </c>
      <c r="H2545" s="80" t="s">
        <v>9</v>
      </c>
      <c r="I2545" s="81" t="s">
        <v>1852</v>
      </c>
      <c r="J2545" t="s">
        <v>1848</v>
      </c>
    </row>
    <row r="2546" spans="3:10" hidden="1">
      <c r="C2546">
        <v>224008</v>
      </c>
      <c r="D2546" t="s">
        <v>49</v>
      </c>
      <c r="E2546" t="s">
        <v>1860</v>
      </c>
      <c r="F2546" s="41"/>
      <c r="G2546" s="80" t="s">
        <v>18</v>
      </c>
      <c r="H2546" s="80" t="s">
        <v>9</v>
      </c>
      <c r="I2546" s="81" t="s">
        <v>1852</v>
      </c>
      <c r="J2546" t="s">
        <v>1848</v>
      </c>
    </row>
    <row r="2547" spans="3:10" hidden="1">
      <c r="C2547">
        <v>224009</v>
      </c>
      <c r="D2547" t="s">
        <v>49</v>
      </c>
      <c r="E2547" t="s">
        <v>1861</v>
      </c>
      <c r="F2547" s="41"/>
      <c r="G2547" s="80" t="s">
        <v>18</v>
      </c>
      <c r="H2547" s="80" t="s">
        <v>9</v>
      </c>
      <c r="I2547" s="81" t="s">
        <v>1852</v>
      </c>
      <c r="J2547" t="s">
        <v>1848</v>
      </c>
    </row>
    <row r="2548" spans="3:10" hidden="1">
      <c r="C2548">
        <v>224010</v>
      </c>
      <c r="D2548" t="s">
        <v>58</v>
      </c>
      <c r="E2548" t="s">
        <v>59</v>
      </c>
      <c r="F2548" s="41"/>
      <c r="G2548" s="80" t="s">
        <v>18</v>
      </c>
      <c r="H2548" s="80" t="s">
        <v>9</v>
      </c>
      <c r="I2548" s="81" t="s">
        <v>1852</v>
      </c>
      <c r="J2548" t="s">
        <v>1848</v>
      </c>
    </row>
    <row r="2549" spans="3:10" hidden="1">
      <c r="C2549">
        <v>225000</v>
      </c>
      <c r="D2549" t="s">
        <v>48</v>
      </c>
      <c r="E2549" t="s">
        <v>1862</v>
      </c>
      <c r="F2549" s="41"/>
      <c r="G2549" s="80" t="s">
        <v>598</v>
      </c>
      <c r="H2549" s="80" t="s">
        <v>9</v>
      </c>
      <c r="I2549" s="81" t="s">
        <v>1862</v>
      </c>
      <c r="J2549" t="s">
        <v>6</v>
      </c>
    </row>
    <row r="2550" spans="3:10" hidden="1">
      <c r="C2550">
        <v>225001</v>
      </c>
      <c r="D2550" t="s">
        <v>49</v>
      </c>
      <c r="E2550" t="s">
        <v>1705</v>
      </c>
      <c r="F2550" s="41"/>
      <c r="G2550" s="80" t="s">
        <v>598</v>
      </c>
      <c r="H2550" s="80" t="s">
        <v>9</v>
      </c>
      <c r="I2550" s="81" t="s">
        <v>1862</v>
      </c>
      <c r="J2550" t="s">
        <v>6</v>
      </c>
    </row>
    <row r="2551" spans="3:10" hidden="1">
      <c r="C2551">
        <v>225002</v>
      </c>
      <c r="D2551" t="s">
        <v>49</v>
      </c>
      <c r="E2551" t="s">
        <v>761</v>
      </c>
      <c r="F2551" s="41"/>
      <c r="G2551" s="80" t="s">
        <v>598</v>
      </c>
      <c r="H2551" s="80" t="s">
        <v>9</v>
      </c>
      <c r="I2551" s="81" t="s">
        <v>1862</v>
      </c>
      <c r="J2551" t="s">
        <v>6</v>
      </c>
    </row>
    <row r="2552" spans="3:10" hidden="1">
      <c r="C2552">
        <v>225003</v>
      </c>
      <c r="D2552" t="s">
        <v>49</v>
      </c>
      <c r="E2552" t="s">
        <v>1863</v>
      </c>
      <c r="F2552" s="41"/>
      <c r="G2552" s="80" t="s">
        <v>598</v>
      </c>
      <c r="H2552" s="80" t="s">
        <v>9</v>
      </c>
      <c r="I2552" s="81" t="s">
        <v>1862</v>
      </c>
      <c r="J2552" t="s">
        <v>6</v>
      </c>
    </row>
    <row r="2553" spans="3:10" hidden="1">
      <c r="C2553">
        <v>225004</v>
      </c>
      <c r="D2553" t="s">
        <v>49</v>
      </c>
      <c r="E2553" t="s">
        <v>1864</v>
      </c>
      <c r="F2553" s="41"/>
      <c r="G2553" s="80" t="s">
        <v>598</v>
      </c>
      <c r="H2553" s="80" t="s">
        <v>9</v>
      </c>
      <c r="I2553" s="81" t="s">
        <v>1862</v>
      </c>
      <c r="J2553" t="s">
        <v>6</v>
      </c>
    </row>
    <row r="2554" spans="3:10" hidden="1">
      <c r="C2554">
        <v>225005</v>
      </c>
      <c r="D2554" t="s">
        <v>49</v>
      </c>
      <c r="E2554" t="s">
        <v>1865</v>
      </c>
      <c r="F2554" s="41"/>
      <c r="G2554" s="80" t="s">
        <v>598</v>
      </c>
      <c r="H2554" s="80" t="s">
        <v>9</v>
      </c>
      <c r="I2554" s="81" t="s">
        <v>1862</v>
      </c>
      <c r="J2554" t="s">
        <v>6</v>
      </c>
    </row>
    <row r="2555" spans="3:10" hidden="1">
      <c r="C2555">
        <v>225006</v>
      </c>
      <c r="D2555" t="s">
        <v>49</v>
      </c>
      <c r="E2555" t="s">
        <v>1866</v>
      </c>
      <c r="F2555" s="41"/>
      <c r="G2555" s="80" t="s">
        <v>598</v>
      </c>
      <c r="H2555" s="80" t="s">
        <v>9</v>
      </c>
      <c r="I2555" s="81" t="s">
        <v>1862</v>
      </c>
      <c r="J2555" t="s">
        <v>6</v>
      </c>
    </row>
    <row r="2556" spans="3:10" hidden="1">
      <c r="C2556">
        <v>226000</v>
      </c>
      <c r="D2556" t="s">
        <v>48</v>
      </c>
      <c r="E2556" t="s">
        <v>1867</v>
      </c>
      <c r="F2556" s="41"/>
      <c r="G2556" s="80" t="s">
        <v>13</v>
      </c>
      <c r="H2556" s="80" t="s">
        <v>9</v>
      </c>
      <c r="I2556" s="81" t="s">
        <v>1867</v>
      </c>
      <c r="J2556" t="s">
        <v>6</v>
      </c>
    </row>
    <row r="2557" spans="3:10" hidden="1">
      <c r="C2557">
        <v>226001</v>
      </c>
      <c r="D2557" t="s">
        <v>49</v>
      </c>
      <c r="E2557" t="s">
        <v>1868</v>
      </c>
      <c r="F2557" s="41"/>
      <c r="G2557" s="80" t="s">
        <v>13</v>
      </c>
      <c r="H2557" s="80" t="s">
        <v>9</v>
      </c>
      <c r="I2557" s="81" t="s">
        <v>1867</v>
      </c>
      <c r="J2557" t="s">
        <v>6</v>
      </c>
    </row>
    <row r="2558" spans="3:10" hidden="1">
      <c r="C2558">
        <v>226002</v>
      </c>
      <c r="D2558" t="s">
        <v>49</v>
      </c>
      <c r="E2558" t="s">
        <v>1869</v>
      </c>
      <c r="F2558" s="41"/>
      <c r="G2558" s="80" t="s">
        <v>13</v>
      </c>
      <c r="H2558" s="80" t="s">
        <v>9</v>
      </c>
      <c r="I2558" s="81" t="s">
        <v>1867</v>
      </c>
      <c r="J2558" t="s">
        <v>6</v>
      </c>
    </row>
    <row r="2559" spans="3:10" hidden="1">
      <c r="C2559">
        <v>226003</v>
      </c>
      <c r="D2559" t="s">
        <v>49</v>
      </c>
      <c r="E2559" t="s">
        <v>1870</v>
      </c>
      <c r="F2559" s="41"/>
      <c r="G2559" s="80" t="s">
        <v>13</v>
      </c>
      <c r="H2559" s="80" t="s">
        <v>9</v>
      </c>
      <c r="I2559" s="81" t="s">
        <v>1867</v>
      </c>
      <c r="J2559" t="s">
        <v>6</v>
      </c>
    </row>
    <row r="2560" spans="3:10" hidden="1">
      <c r="C2560">
        <v>226004</v>
      </c>
      <c r="D2560" t="s">
        <v>49</v>
      </c>
      <c r="E2560" t="s">
        <v>1871</v>
      </c>
      <c r="F2560" s="41"/>
      <c r="G2560" s="80" t="s">
        <v>13</v>
      </c>
      <c r="H2560" s="80" t="s">
        <v>9</v>
      </c>
      <c r="I2560" s="81" t="s">
        <v>1867</v>
      </c>
      <c r="J2560" t="s">
        <v>6</v>
      </c>
    </row>
    <row r="2561" spans="3:10" hidden="1">
      <c r="C2561">
        <v>226005</v>
      </c>
      <c r="D2561" t="s">
        <v>49</v>
      </c>
      <c r="E2561" t="s">
        <v>1872</v>
      </c>
      <c r="F2561" s="41"/>
      <c r="G2561" s="80" t="s">
        <v>13</v>
      </c>
      <c r="H2561" s="80" t="s">
        <v>9</v>
      </c>
      <c r="I2561" s="81" t="s">
        <v>1867</v>
      </c>
      <c r="J2561" t="s">
        <v>6</v>
      </c>
    </row>
    <row r="2562" spans="3:10" hidden="1">
      <c r="C2562">
        <v>226006</v>
      </c>
      <c r="D2562" t="s">
        <v>49</v>
      </c>
      <c r="E2562" t="s">
        <v>1873</v>
      </c>
      <c r="F2562" s="41"/>
      <c r="G2562" s="80" t="s">
        <v>13</v>
      </c>
      <c r="H2562" s="80" t="s">
        <v>9</v>
      </c>
      <c r="I2562" s="81" t="s">
        <v>1867</v>
      </c>
      <c r="J2562" t="s">
        <v>6</v>
      </c>
    </row>
    <row r="2563" spans="3:10" hidden="1">
      <c r="C2563">
        <v>226007</v>
      </c>
      <c r="D2563" t="s">
        <v>49</v>
      </c>
      <c r="E2563" t="s">
        <v>1874</v>
      </c>
      <c r="F2563" s="41"/>
      <c r="G2563" s="80" t="s">
        <v>13</v>
      </c>
      <c r="H2563" s="80" t="s">
        <v>9</v>
      </c>
      <c r="I2563" s="81" t="s">
        <v>1867</v>
      </c>
      <c r="J2563" t="s">
        <v>6</v>
      </c>
    </row>
    <row r="2564" spans="3:10" hidden="1">
      <c r="C2564">
        <v>226008</v>
      </c>
      <c r="D2564" t="s">
        <v>49</v>
      </c>
      <c r="E2564" t="s">
        <v>57</v>
      </c>
      <c r="F2564" s="41"/>
      <c r="G2564" s="80" t="s">
        <v>13</v>
      </c>
      <c r="H2564" s="80" t="s">
        <v>9</v>
      </c>
      <c r="I2564" s="81" t="s">
        <v>1867</v>
      </c>
      <c r="J2564" t="s">
        <v>6</v>
      </c>
    </row>
    <row r="2565" spans="3:10" hidden="1">
      <c r="C2565">
        <v>226009</v>
      </c>
      <c r="D2565" t="s">
        <v>58</v>
      </c>
      <c r="E2565" t="s">
        <v>59</v>
      </c>
      <c r="F2565" s="41"/>
      <c r="G2565" s="80" t="s">
        <v>13</v>
      </c>
      <c r="H2565" s="80" t="s">
        <v>9</v>
      </c>
      <c r="I2565" s="81" t="s">
        <v>1867</v>
      </c>
      <c r="J2565" t="s">
        <v>6</v>
      </c>
    </row>
    <row r="2566" spans="3:10" hidden="1">
      <c r="C2566">
        <v>227000</v>
      </c>
      <c r="D2566" t="s">
        <v>48</v>
      </c>
      <c r="E2566" t="s">
        <v>1875</v>
      </c>
      <c r="F2566" s="41"/>
      <c r="G2566" s="80" t="s">
        <v>22</v>
      </c>
      <c r="H2566" s="80" t="s">
        <v>9</v>
      </c>
      <c r="I2566" s="81" t="s">
        <v>1875</v>
      </c>
      <c r="J2566" t="s">
        <v>6</v>
      </c>
    </row>
    <row r="2567" spans="3:10" hidden="1">
      <c r="C2567">
        <v>227001</v>
      </c>
      <c r="D2567" t="s">
        <v>49</v>
      </c>
      <c r="E2567" t="s">
        <v>1876</v>
      </c>
      <c r="F2567" s="41"/>
      <c r="G2567" s="80" t="s">
        <v>22</v>
      </c>
      <c r="H2567" s="80" t="s">
        <v>9</v>
      </c>
      <c r="I2567" s="81" t="s">
        <v>1875</v>
      </c>
      <c r="J2567" t="s">
        <v>6</v>
      </c>
    </row>
    <row r="2568" spans="3:10" hidden="1">
      <c r="C2568">
        <v>227002</v>
      </c>
      <c r="D2568" t="s">
        <v>58</v>
      </c>
      <c r="E2568" t="s">
        <v>59</v>
      </c>
      <c r="F2568" s="41"/>
      <c r="G2568" s="80" t="s">
        <v>22</v>
      </c>
      <c r="H2568" s="80" t="s">
        <v>9</v>
      </c>
      <c r="I2568" s="81" t="s">
        <v>1875</v>
      </c>
      <c r="J2568" t="s">
        <v>6</v>
      </c>
    </row>
    <row r="2569" spans="3:10" hidden="1">
      <c r="C2569">
        <v>228000</v>
      </c>
      <c r="D2569" t="s">
        <v>119</v>
      </c>
      <c r="E2569" t="s">
        <v>1877</v>
      </c>
      <c r="F2569" s="41"/>
      <c r="G2569" s="80" t="s">
        <v>18</v>
      </c>
      <c r="H2569" s="80" t="s">
        <v>1998</v>
      </c>
      <c r="I2569" s="81" t="s">
        <v>1877</v>
      </c>
      <c r="J2569" t="s">
        <v>1848</v>
      </c>
    </row>
    <row r="2570" spans="3:10" hidden="1">
      <c r="C2570">
        <v>228001</v>
      </c>
      <c r="D2570" t="s">
        <v>120</v>
      </c>
      <c r="E2570" t="s">
        <v>1878</v>
      </c>
      <c r="F2570" s="41"/>
      <c r="G2570" s="80" t="s">
        <v>18</v>
      </c>
      <c r="H2570" s="80" t="s">
        <v>1998</v>
      </c>
      <c r="I2570" s="81" t="s">
        <v>1877</v>
      </c>
      <c r="J2570" t="s">
        <v>1848</v>
      </c>
    </row>
    <row r="2571" spans="3:10" hidden="1">
      <c r="C2571">
        <v>228002</v>
      </c>
      <c r="D2571" t="s">
        <v>1879</v>
      </c>
      <c r="E2571" t="s">
        <v>1878</v>
      </c>
      <c r="F2571" s="41"/>
      <c r="G2571" s="80" t="s">
        <v>18</v>
      </c>
      <c r="H2571" s="80" t="s">
        <v>1998</v>
      </c>
      <c r="I2571" s="81" t="s">
        <v>1877</v>
      </c>
      <c r="J2571" t="s">
        <v>1848</v>
      </c>
    </row>
    <row r="2572" spans="3:10" hidden="1">
      <c r="C2572">
        <v>228003</v>
      </c>
      <c r="D2572" t="s">
        <v>124</v>
      </c>
      <c r="E2572" t="s">
        <v>251</v>
      </c>
      <c r="F2572" s="41"/>
      <c r="G2572" s="80" t="s">
        <v>18</v>
      </c>
      <c r="H2572" s="80" t="s">
        <v>1998</v>
      </c>
      <c r="I2572" s="81" t="s">
        <v>1877</v>
      </c>
      <c r="J2572" t="s">
        <v>1848</v>
      </c>
    </row>
    <row r="2573" spans="3:10" hidden="1">
      <c r="C2573">
        <v>228004</v>
      </c>
      <c r="D2573" t="s">
        <v>124</v>
      </c>
      <c r="E2573" t="s">
        <v>252</v>
      </c>
      <c r="F2573" s="41"/>
      <c r="G2573" s="80" t="s">
        <v>18</v>
      </c>
      <c r="H2573" s="80" t="s">
        <v>1998</v>
      </c>
      <c r="I2573" s="81" t="s">
        <v>1877</v>
      </c>
      <c r="J2573" t="s">
        <v>1848</v>
      </c>
    </row>
    <row r="2574" spans="3:10" hidden="1">
      <c r="C2574">
        <v>228005</v>
      </c>
      <c r="D2574" t="s">
        <v>131</v>
      </c>
      <c r="E2574" t="s">
        <v>1880</v>
      </c>
      <c r="F2574" s="41" t="s">
        <v>1881</v>
      </c>
      <c r="G2574" s="80" t="s">
        <v>18</v>
      </c>
      <c r="H2574" s="80" t="s">
        <v>1998</v>
      </c>
      <c r="I2574" s="81" t="s">
        <v>1877</v>
      </c>
      <c r="J2574" t="s">
        <v>1848</v>
      </c>
    </row>
    <row r="2575" spans="3:10" hidden="1">
      <c r="C2575">
        <v>228006</v>
      </c>
      <c r="D2575" t="s">
        <v>120</v>
      </c>
      <c r="E2575" t="s">
        <v>1882</v>
      </c>
      <c r="F2575" s="41"/>
      <c r="G2575" s="80" t="s">
        <v>18</v>
      </c>
      <c r="H2575" s="80" t="s">
        <v>1998</v>
      </c>
      <c r="I2575" s="81" t="s">
        <v>1877</v>
      </c>
      <c r="J2575" t="s">
        <v>1848</v>
      </c>
    </row>
    <row r="2576" spans="3:10" hidden="1">
      <c r="C2576">
        <v>228007</v>
      </c>
      <c r="D2576" t="s">
        <v>1879</v>
      </c>
      <c r="E2576" t="s">
        <v>1882</v>
      </c>
      <c r="F2576" s="41"/>
      <c r="G2576" s="80" t="s">
        <v>18</v>
      </c>
      <c r="H2576" s="80" t="s">
        <v>1998</v>
      </c>
      <c r="I2576" s="81" t="s">
        <v>1877</v>
      </c>
      <c r="J2576" t="s">
        <v>1848</v>
      </c>
    </row>
    <row r="2577" spans="3:10" hidden="1">
      <c r="C2577">
        <v>228008</v>
      </c>
      <c r="D2577" t="s">
        <v>124</v>
      </c>
      <c r="E2577" t="s">
        <v>281</v>
      </c>
      <c r="F2577" s="41"/>
      <c r="G2577" s="80" t="s">
        <v>18</v>
      </c>
      <c r="H2577" s="80" t="s">
        <v>1998</v>
      </c>
      <c r="I2577" s="81" t="s">
        <v>1877</v>
      </c>
      <c r="J2577" t="s">
        <v>1848</v>
      </c>
    </row>
    <row r="2578" spans="3:10" hidden="1">
      <c r="C2578">
        <v>228009</v>
      </c>
      <c r="D2578" t="s">
        <v>124</v>
      </c>
      <c r="E2578" t="s">
        <v>283</v>
      </c>
      <c r="F2578" s="41"/>
      <c r="G2578" s="80" t="s">
        <v>18</v>
      </c>
      <c r="H2578" s="80" t="s">
        <v>1998</v>
      </c>
      <c r="I2578" s="81" t="s">
        <v>1877</v>
      </c>
      <c r="J2578" t="s">
        <v>1848</v>
      </c>
    </row>
    <row r="2579" spans="3:10" hidden="1">
      <c r="C2579">
        <v>228010</v>
      </c>
      <c r="D2579" t="s">
        <v>124</v>
      </c>
      <c r="E2579" t="s">
        <v>284</v>
      </c>
      <c r="F2579" s="41"/>
      <c r="G2579" s="80" t="s">
        <v>18</v>
      </c>
      <c r="H2579" s="80" t="s">
        <v>1998</v>
      </c>
      <c r="I2579" s="81" t="s">
        <v>1877</v>
      </c>
      <c r="J2579" t="s">
        <v>1848</v>
      </c>
    </row>
    <row r="2580" spans="3:10" hidden="1">
      <c r="C2580">
        <v>228011</v>
      </c>
      <c r="D2580" t="s">
        <v>49</v>
      </c>
      <c r="E2580" t="s">
        <v>286</v>
      </c>
      <c r="F2580" s="41"/>
      <c r="G2580" s="80" t="s">
        <v>18</v>
      </c>
      <c r="H2580" s="80" t="s">
        <v>1998</v>
      </c>
      <c r="I2580" s="81" t="s">
        <v>1877</v>
      </c>
      <c r="J2580" t="s">
        <v>1848</v>
      </c>
    </row>
    <row r="2581" spans="3:10" hidden="1">
      <c r="C2581">
        <v>228012</v>
      </c>
      <c r="D2581" t="s">
        <v>120</v>
      </c>
      <c r="E2581" t="s">
        <v>1883</v>
      </c>
      <c r="F2581" s="41"/>
      <c r="G2581" s="80" t="s">
        <v>18</v>
      </c>
      <c r="H2581" s="80" t="s">
        <v>1998</v>
      </c>
      <c r="I2581" s="81" t="s">
        <v>1877</v>
      </c>
      <c r="J2581" t="s">
        <v>1848</v>
      </c>
    </row>
    <row r="2582" spans="3:10" hidden="1">
      <c r="C2582">
        <v>228013</v>
      </c>
      <c r="D2582" t="s">
        <v>49</v>
      </c>
      <c r="E2582" t="s">
        <v>1884</v>
      </c>
      <c r="F2582" s="41"/>
      <c r="G2582" s="80" t="s">
        <v>18</v>
      </c>
      <c r="H2582" s="80" t="s">
        <v>1998</v>
      </c>
      <c r="I2582" s="81" t="s">
        <v>1877</v>
      </c>
      <c r="J2582" t="s">
        <v>1848</v>
      </c>
    </row>
    <row r="2583" spans="3:10" hidden="1">
      <c r="C2583">
        <v>228014</v>
      </c>
      <c r="D2583" t="s">
        <v>49</v>
      </c>
      <c r="E2583" t="s">
        <v>1885</v>
      </c>
      <c r="F2583" s="41"/>
      <c r="G2583" s="80" t="s">
        <v>18</v>
      </c>
      <c r="H2583" s="80" t="s">
        <v>1998</v>
      </c>
      <c r="I2583" s="81" t="s">
        <v>1877</v>
      </c>
      <c r="J2583" t="s">
        <v>1848</v>
      </c>
    </row>
    <row r="2584" spans="3:10" hidden="1">
      <c r="C2584">
        <v>228015</v>
      </c>
      <c r="D2584" t="s">
        <v>49</v>
      </c>
      <c r="E2584" t="s">
        <v>422</v>
      </c>
      <c r="F2584" s="41"/>
      <c r="G2584" s="80" t="s">
        <v>18</v>
      </c>
      <c r="H2584" s="80" t="s">
        <v>1998</v>
      </c>
      <c r="I2584" s="81" t="s">
        <v>1877</v>
      </c>
      <c r="J2584" t="s">
        <v>1848</v>
      </c>
    </row>
    <row r="2585" spans="3:10" hidden="1">
      <c r="C2585">
        <v>228016</v>
      </c>
      <c r="D2585" t="s">
        <v>49</v>
      </c>
      <c r="E2585" t="s">
        <v>1886</v>
      </c>
      <c r="F2585" s="41"/>
      <c r="G2585" s="80" t="s">
        <v>18</v>
      </c>
      <c r="H2585" s="80" t="s">
        <v>1998</v>
      </c>
      <c r="I2585" s="81" t="s">
        <v>1877</v>
      </c>
      <c r="J2585" t="s">
        <v>1848</v>
      </c>
    </row>
    <row r="2586" spans="3:10" hidden="1">
      <c r="C2586">
        <v>228017</v>
      </c>
      <c r="D2586" t="s">
        <v>49</v>
      </c>
      <c r="E2586" t="s">
        <v>1887</v>
      </c>
      <c r="F2586" s="41"/>
      <c r="G2586" s="80" t="s">
        <v>18</v>
      </c>
      <c r="H2586" s="80" t="s">
        <v>1998</v>
      </c>
      <c r="I2586" s="81" t="s">
        <v>1877</v>
      </c>
      <c r="J2586" t="s">
        <v>1848</v>
      </c>
    </row>
    <row r="2587" spans="3:10" hidden="1">
      <c r="C2587">
        <v>228018</v>
      </c>
      <c r="D2587" t="s">
        <v>49</v>
      </c>
      <c r="E2587" t="s">
        <v>1888</v>
      </c>
      <c r="F2587" s="41"/>
      <c r="G2587" s="80" t="s">
        <v>18</v>
      </c>
      <c r="H2587" s="80" t="s">
        <v>1998</v>
      </c>
      <c r="I2587" s="81" t="s">
        <v>1877</v>
      </c>
      <c r="J2587" t="s">
        <v>1848</v>
      </c>
    </row>
    <row r="2588" spans="3:10" hidden="1">
      <c r="C2588">
        <v>228019</v>
      </c>
      <c r="D2588" t="s">
        <v>58</v>
      </c>
      <c r="E2588" t="s">
        <v>1889</v>
      </c>
      <c r="F2588" s="41"/>
      <c r="G2588" s="80" t="s">
        <v>18</v>
      </c>
      <c r="H2588" s="80" t="s">
        <v>1998</v>
      </c>
      <c r="I2588" s="81" t="s">
        <v>1877</v>
      </c>
      <c r="J2588" t="s">
        <v>1848</v>
      </c>
    </row>
    <row r="2589" spans="3:10" hidden="1">
      <c r="C2589">
        <v>229000</v>
      </c>
      <c r="D2589" t="s">
        <v>119</v>
      </c>
      <c r="E2589" t="s">
        <v>1890</v>
      </c>
      <c r="F2589" s="41"/>
      <c r="G2589" s="80" t="s">
        <v>18</v>
      </c>
      <c r="H2589" s="80" t="s">
        <v>1998</v>
      </c>
      <c r="I2589" s="81" t="s">
        <v>1890</v>
      </c>
      <c r="J2589" t="s">
        <v>1848</v>
      </c>
    </row>
    <row r="2590" spans="3:10" hidden="1">
      <c r="C2590">
        <v>229001</v>
      </c>
      <c r="D2590" t="s">
        <v>120</v>
      </c>
      <c r="E2590" t="s">
        <v>1891</v>
      </c>
      <c r="F2590" s="41"/>
      <c r="G2590" s="80" t="s">
        <v>18</v>
      </c>
      <c r="H2590" s="80" t="s">
        <v>1998</v>
      </c>
      <c r="I2590" s="81" t="s">
        <v>1890</v>
      </c>
      <c r="J2590" t="s">
        <v>1848</v>
      </c>
    </row>
    <row r="2591" spans="3:10" hidden="1">
      <c r="C2591">
        <v>229002</v>
      </c>
      <c r="D2591" t="s">
        <v>1879</v>
      </c>
      <c r="E2591" t="s">
        <v>1891</v>
      </c>
      <c r="F2591" s="41"/>
      <c r="G2591" s="80" t="s">
        <v>18</v>
      </c>
      <c r="H2591" s="80" t="s">
        <v>1998</v>
      </c>
      <c r="I2591" s="81" t="s">
        <v>1890</v>
      </c>
      <c r="J2591" t="s">
        <v>1848</v>
      </c>
    </row>
    <row r="2592" spans="3:10" hidden="1">
      <c r="C2592">
        <v>229003</v>
      </c>
      <c r="D2592" t="s">
        <v>124</v>
      </c>
      <c r="E2592" t="s">
        <v>1892</v>
      </c>
      <c r="F2592" s="41"/>
      <c r="G2592" s="80" t="s">
        <v>18</v>
      </c>
      <c r="H2592" s="80" t="s">
        <v>1998</v>
      </c>
      <c r="I2592" s="81" t="s">
        <v>1890</v>
      </c>
      <c r="J2592" t="s">
        <v>1848</v>
      </c>
    </row>
    <row r="2593" spans="3:10" hidden="1">
      <c r="C2593">
        <v>229004</v>
      </c>
      <c r="D2593" t="s">
        <v>66</v>
      </c>
      <c r="E2593" t="s">
        <v>1893</v>
      </c>
      <c r="F2593" s="41"/>
      <c r="G2593" s="80" t="s">
        <v>18</v>
      </c>
      <c r="H2593" s="80" t="s">
        <v>1998</v>
      </c>
      <c r="I2593" s="81" t="s">
        <v>1890</v>
      </c>
      <c r="J2593" t="s">
        <v>1848</v>
      </c>
    </row>
    <row r="2594" spans="3:10" hidden="1">
      <c r="C2594">
        <v>229005</v>
      </c>
      <c r="D2594" t="s">
        <v>66</v>
      </c>
      <c r="E2594" t="s">
        <v>1894</v>
      </c>
      <c r="F2594" s="41"/>
      <c r="G2594" s="80" t="s">
        <v>18</v>
      </c>
      <c r="H2594" s="80" t="s">
        <v>1998</v>
      </c>
      <c r="I2594" s="81" t="s">
        <v>1890</v>
      </c>
      <c r="J2594" t="s">
        <v>1848</v>
      </c>
    </row>
    <row r="2595" spans="3:10" hidden="1">
      <c r="C2595">
        <v>229006</v>
      </c>
      <c r="D2595" t="s">
        <v>49</v>
      </c>
      <c r="E2595" t="s">
        <v>1895</v>
      </c>
      <c r="F2595" s="41"/>
      <c r="G2595" s="80" t="s">
        <v>18</v>
      </c>
      <c r="H2595" s="80" t="s">
        <v>1998</v>
      </c>
      <c r="I2595" s="81" t="s">
        <v>1890</v>
      </c>
      <c r="J2595" t="s">
        <v>1848</v>
      </c>
    </row>
    <row r="2596" spans="3:10" hidden="1">
      <c r="C2596">
        <v>229007</v>
      </c>
      <c r="D2596" t="s">
        <v>49</v>
      </c>
      <c r="E2596" t="s">
        <v>1896</v>
      </c>
      <c r="F2596" s="41"/>
      <c r="G2596" s="80" t="s">
        <v>18</v>
      </c>
      <c r="H2596" s="80" t="s">
        <v>1998</v>
      </c>
      <c r="I2596" s="81" t="s">
        <v>1890</v>
      </c>
      <c r="J2596" t="s">
        <v>1848</v>
      </c>
    </row>
    <row r="2597" spans="3:10" hidden="1">
      <c r="C2597">
        <v>229008</v>
      </c>
      <c r="D2597" t="s">
        <v>49</v>
      </c>
      <c r="E2597" t="s">
        <v>1897</v>
      </c>
      <c r="F2597" s="41"/>
      <c r="G2597" s="80" t="s">
        <v>18</v>
      </c>
      <c r="H2597" s="80" t="s">
        <v>1998</v>
      </c>
      <c r="I2597" s="81" t="s">
        <v>1890</v>
      </c>
      <c r="J2597" t="s">
        <v>1848</v>
      </c>
    </row>
    <row r="2598" spans="3:10" hidden="1">
      <c r="C2598">
        <v>229009</v>
      </c>
      <c r="D2598" t="s">
        <v>49</v>
      </c>
      <c r="E2598" t="s">
        <v>1898</v>
      </c>
      <c r="F2598" s="41"/>
      <c r="G2598" s="80" t="s">
        <v>18</v>
      </c>
      <c r="H2598" s="80" t="s">
        <v>1998</v>
      </c>
      <c r="I2598" s="81" t="s">
        <v>1890</v>
      </c>
      <c r="J2598" t="s">
        <v>1848</v>
      </c>
    </row>
    <row r="2599" spans="3:10" hidden="1">
      <c r="C2599">
        <v>229010</v>
      </c>
      <c r="D2599" t="s">
        <v>49</v>
      </c>
      <c r="E2599" t="s">
        <v>1899</v>
      </c>
      <c r="F2599" s="41"/>
      <c r="G2599" s="80" t="s">
        <v>18</v>
      </c>
      <c r="H2599" s="80" t="s">
        <v>1998</v>
      </c>
      <c r="I2599" s="81" t="s">
        <v>1890</v>
      </c>
      <c r="J2599" t="s">
        <v>1848</v>
      </c>
    </row>
    <row r="2600" spans="3:10" hidden="1">
      <c r="C2600">
        <v>229011</v>
      </c>
      <c r="D2600" t="s">
        <v>120</v>
      </c>
      <c r="E2600" t="s">
        <v>1900</v>
      </c>
      <c r="F2600" s="41"/>
      <c r="G2600" s="80" t="s">
        <v>18</v>
      </c>
      <c r="H2600" s="80" t="s">
        <v>1998</v>
      </c>
      <c r="I2600" s="81" t="s">
        <v>1890</v>
      </c>
      <c r="J2600" t="s">
        <v>1848</v>
      </c>
    </row>
    <row r="2601" spans="3:10" hidden="1">
      <c r="C2601">
        <v>229012</v>
      </c>
      <c r="D2601" t="s">
        <v>49</v>
      </c>
      <c r="E2601" t="s">
        <v>1901</v>
      </c>
      <c r="F2601" s="41"/>
      <c r="G2601" s="80" t="s">
        <v>18</v>
      </c>
      <c r="H2601" s="80" t="s">
        <v>1998</v>
      </c>
      <c r="I2601" s="81" t="s">
        <v>1890</v>
      </c>
      <c r="J2601" t="s">
        <v>1848</v>
      </c>
    </row>
    <row r="2602" spans="3:10" hidden="1">
      <c r="C2602">
        <v>229013</v>
      </c>
      <c r="D2602" t="s">
        <v>49</v>
      </c>
      <c r="E2602" t="s">
        <v>1902</v>
      </c>
      <c r="F2602" s="41"/>
      <c r="G2602" s="80" t="s">
        <v>18</v>
      </c>
      <c r="H2602" s="80" t="s">
        <v>1998</v>
      </c>
      <c r="I2602" s="81" t="s">
        <v>1890</v>
      </c>
      <c r="J2602" t="s">
        <v>1848</v>
      </c>
    </row>
    <row r="2603" spans="3:10" hidden="1">
      <c r="C2603">
        <v>229014</v>
      </c>
      <c r="D2603" t="s">
        <v>49</v>
      </c>
      <c r="E2603" t="s">
        <v>1903</v>
      </c>
      <c r="F2603" s="41"/>
      <c r="G2603" s="80" t="s">
        <v>18</v>
      </c>
      <c r="H2603" s="80" t="s">
        <v>1998</v>
      </c>
      <c r="I2603" s="81" t="s">
        <v>1890</v>
      </c>
      <c r="J2603" t="s">
        <v>1848</v>
      </c>
    </row>
    <row r="2604" spans="3:10" hidden="1">
      <c r="C2604">
        <v>229015</v>
      </c>
      <c r="D2604" t="s">
        <v>49</v>
      </c>
      <c r="E2604" t="s">
        <v>1904</v>
      </c>
      <c r="F2604" s="41"/>
      <c r="G2604" s="80" t="s">
        <v>18</v>
      </c>
      <c r="H2604" s="80" t="s">
        <v>1998</v>
      </c>
      <c r="I2604" s="81" t="s">
        <v>1890</v>
      </c>
      <c r="J2604" t="s">
        <v>1848</v>
      </c>
    </row>
    <row r="2605" spans="3:10" hidden="1">
      <c r="C2605">
        <v>229016</v>
      </c>
      <c r="D2605" t="s">
        <v>49</v>
      </c>
      <c r="E2605" t="s">
        <v>1905</v>
      </c>
      <c r="F2605" s="41"/>
      <c r="G2605" s="80" t="s">
        <v>18</v>
      </c>
      <c r="H2605" s="80" t="s">
        <v>1998</v>
      </c>
      <c r="I2605" s="81" t="s">
        <v>1890</v>
      </c>
      <c r="J2605" t="s">
        <v>1848</v>
      </c>
    </row>
    <row r="2606" spans="3:10" hidden="1">
      <c r="C2606">
        <v>229017</v>
      </c>
      <c r="D2606" t="s">
        <v>49</v>
      </c>
      <c r="E2606" t="s">
        <v>1906</v>
      </c>
      <c r="F2606" s="41"/>
      <c r="G2606" s="80" t="s">
        <v>18</v>
      </c>
      <c r="H2606" s="80" t="s">
        <v>1998</v>
      </c>
      <c r="I2606" s="81" t="s">
        <v>1890</v>
      </c>
      <c r="J2606" t="s">
        <v>1848</v>
      </c>
    </row>
    <row r="2607" spans="3:10" hidden="1">
      <c r="C2607">
        <v>229018</v>
      </c>
      <c r="D2607" t="s">
        <v>49</v>
      </c>
      <c r="E2607" t="s">
        <v>1907</v>
      </c>
      <c r="F2607" s="41"/>
      <c r="G2607" s="80" t="s">
        <v>18</v>
      </c>
      <c r="H2607" s="80" t="s">
        <v>1998</v>
      </c>
      <c r="I2607" s="81" t="s">
        <v>1890</v>
      </c>
      <c r="J2607" t="s">
        <v>1848</v>
      </c>
    </row>
    <row r="2608" spans="3:10" hidden="1">
      <c r="C2608">
        <v>229019</v>
      </c>
      <c r="D2608" t="s">
        <v>49</v>
      </c>
      <c r="E2608" t="s">
        <v>1908</v>
      </c>
      <c r="F2608" s="41"/>
      <c r="G2608" s="80" t="s">
        <v>18</v>
      </c>
      <c r="H2608" s="80" t="s">
        <v>1998</v>
      </c>
      <c r="I2608" s="81" t="s">
        <v>1890</v>
      </c>
      <c r="J2608" t="s">
        <v>1848</v>
      </c>
    </row>
    <row r="2609" spans="3:10" hidden="1">
      <c r="C2609">
        <v>229020</v>
      </c>
      <c r="D2609" t="s">
        <v>120</v>
      </c>
      <c r="E2609" t="s">
        <v>1909</v>
      </c>
      <c r="F2609" s="41"/>
      <c r="G2609" s="80" t="s">
        <v>18</v>
      </c>
      <c r="H2609" s="80" t="s">
        <v>1998</v>
      </c>
      <c r="I2609" s="81" t="s">
        <v>1890</v>
      </c>
      <c r="J2609" t="s">
        <v>1848</v>
      </c>
    </row>
    <row r="2610" spans="3:10" hidden="1">
      <c r="C2610">
        <v>229021</v>
      </c>
      <c r="D2610" t="s">
        <v>1879</v>
      </c>
      <c r="E2610" t="s">
        <v>1909</v>
      </c>
      <c r="F2610" s="41"/>
      <c r="G2610" s="80" t="s">
        <v>18</v>
      </c>
      <c r="H2610" s="80" t="s">
        <v>1998</v>
      </c>
      <c r="I2610" s="81" t="s">
        <v>1890</v>
      </c>
      <c r="J2610" t="s">
        <v>1848</v>
      </c>
    </row>
    <row r="2611" spans="3:10" hidden="1">
      <c r="C2611">
        <v>229022</v>
      </c>
      <c r="D2611" t="s">
        <v>124</v>
      </c>
      <c r="E2611" t="s">
        <v>1910</v>
      </c>
      <c r="F2611" s="41"/>
      <c r="G2611" s="80" t="s">
        <v>18</v>
      </c>
      <c r="H2611" s="80" t="s">
        <v>1998</v>
      </c>
      <c r="I2611" s="81" t="s">
        <v>1890</v>
      </c>
      <c r="J2611" t="s">
        <v>1848</v>
      </c>
    </row>
    <row r="2612" spans="3:10" hidden="1">
      <c r="C2612">
        <v>229023</v>
      </c>
      <c r="D2612" t="s">
        <v>49</v>
      </c>
      <c r="E2612" t="s">
        <v>1911</v>
      </c>
      <c r="F2612" s="41"/>
      <c r="G2612" s="80" t="s">
        <v>18</v>
      </c>
      <c r="H2612" s="80" t="s">
        <v>1998</v>
      </c>
      <c r="I2612" s="81" t="s">
        <v>1890</v>
      </c>
      <c r="J2612" t="s">
        <v>1848</v>
      </c>
    </row>
    <row r="2613" spans="3:10" hidden="1">
      <c r="C2613">
        <v>229024</v>
      </c>
      <c r="D2613" t="s">
        <v>49</v>
      </c>
      <c r="E2613" t="s">
        <v>1912</v>
      </c>
      <c r="F2613" s="41"/>
      <c r="G2613" s="80" t="s">
        <v>18</v>
      </c>
      <c r="H2613" s="80" t="s">
        <v>1998</v>
      </c>
      <c r="I2613" s="81" t="s">
        <v>1890</v>
      </c>
      <c r="J2613" t="s">
        <v>1848</v>
      </c>
    </row>
    <row r="2614" spans="3:10" hidden="1">
      <c r="C2614">
        <v>229025</v>
      </c>
      <c r="D2614" t="s">
        <v>49</v>
      </c>
      <c r="E2614" t="s">
        <v>1913</v>
      </c>
      <c r="F2614" s="41"/>
      <c r="G2614" s="80" t="s">
        <v>18</v>
      </c>
      <c r="H2614" s="80" t="s">
        <v>1998</v>
      </c>
      <c r="I2614" s="81" t="s">
        <v>1890</v>
      </c>
      <c r="J2614" t="s">
        <v>1848</v>
      </c>
    </row>
    <row r="2615" spans="3:10" hidden="1">
      <c r="C2615">
        <v>229026</v>
      </c>
      <c r="D2615" t="s">
        <v>58</v>
      </c>
      <c r="E2615" t="s">
        <v>1889</v>
      </c>
      <c r="F2615" s="41"/>
      <c r="G2615" s="80" t="s">
        <v>18</v>
      </c>
      <c r="H2615" s="80" t="s">
        <v>1998</v>
      </c>
      <c r="I2615" s="81" t="s">
        <v>1890</v>
      </c>
      <c r="J2615" t="s">
        <v>1848</v>
      </c>
    </row>
    <row r="2616" spans="3:10" hidden="1">
      <c r="C2616">
        <v>230000</v>
      </c>
      <c r="D2616" t="s">
        <v>43</v>
      </c>
      <c r="E2616" t="s">
        <v>1914</v>
      </c>
      <c r="F2616" s="41"/>
      <c r="G2616" s="80" t="s">
        <v>18</v>
      </c>
      <c r="H2616" s="80" t="s">
        <v>2001</v>
      </c>
      <c r="I2616" s="81" t="s">
        <v>1914</v>
      </c>
      <c r="J2616" t="s">
        <v>1848</v>
      </c>
    </row>
    <row r="2617" spans="3:10" hidden="1">
      <c r="C2617">
        <v>230001</v>
      </c>
      <c r="D2617" t="s">
        <v>120</v>
      </c>
      <c r="E2617" t="s">
        <v>1915</v>
      </c>
      <c r="F2617" s="41"/>
      <c r="G2617" s="80" t="s">
        <v>18</v>
      </c>
      <c r="H2617" s="80" t="s">
        <v>2001</v>
      </c>
      <c r="I2617" s="81" t="s">
        <v>1914</v>
      </c>
      <c r="J2617" t="s">
        <v>1848</v>
      </c>
    </row>
    <row r="2618" spans="3:10" hidden="1">
      <c r="C2618">
        <v>230002</v>
      </c>
      <c r="D2618" t="s">
        <v>49</v>
      </c>
      <c r="E2618" t="s">
        <v>1916</v>
      </c>
      <c r="F2618" s="41"/>
      <c r="G2618" s="80" t="s">
        <v>18</v>
      </c>
      <c r="H2618" s="80" t="s">
        <v>2001</v>
      </c>
      <c r="I2618" s="81" t="s">
        <v>1914</v>
      </c>
      <c r="J2618" t="s">
        <v>1848</v>
      </c>
    </row>
    <row r="2619" spans="3:10" hidden="1">
      <c r="C2619">
        <v>230003</v>
      </c>
      <c r="D2619" t="s">
        <v>49</v>
      </c>
      <c r="E2619" t="s">
        <v>1917</v>
      </c>
      <c r="F2619" s="41"/>
      <c r="G2619" s="80" t="s">
        <v>18</v>
      </c>
      <c r="H2619" s="80" t="s">
        <v>2001</v>
      </c>
      <c r="I2619" s="81" t="s">
        <v>1914</v>
      </c>
      <c r="J2619" t="s">
        <v>1848</v>
      </c>
    </row>
    <row r="2620" spans="3:10" hidden="1">
      <c r="C2620">
        <v>230004</v>
      </c>
      <c r="D2620" t="s">
        <v>49</v>
      </c>
      <c r="E2620" t="s">
        <v>1918</v>
      </c>
      <c r="F2620" s="41"/>
      <c r="G2620" s="80" t="s">
        <v>18</v>
      </c>
      <c r="H2620" s="80" t="s">
        <v>2001</v>
      </c>
      <c r="I2620" s="81" t="s">
        <v>1914</v>
      </c>
      <c r="J2620" t="s">
        <v>1848</v>
      </c>
    </row>
    <row r="2621" spans="3:10" hidden="1">
      <c r="C2621">
        <v>230005</v>
      </c>
      <c r="D2621" t="s">
        <v>120</v>
      </c>
      <c r="E2621" t="s">
        <v>1919</v>
      </c>
      <c r="F2621" s="41"/>
      <c r="G2621" s="80" t="s">
        <v>18</v>
      </c>
      <c r="H2621" s="80" t="s">
        <v>2001</v>
      </c>
      <c r="I2621" s="81" t="s">
        <v>1914</v>
      </c>
      <c r="J2621" t="s">
        <v>1848</v>
      </c>
    </row>
    <row r="2622" spans="3:10" hidden="1">
      <c r="C2622">
        <v>230006</v>
      </c>
      <c r="D2622" t="s">
        <v>1879</v>
      </c>
      <c r="E2622" t="s">
        <v>1919</v>
      </c>
      <c r="F2622" s="41"/>
      <c r="G2622" s="80" t="s">
        <v>18</v>
      </c>
      <c r="H2622" s="80" t="s">
        <v>2001</v>
      </c>
      <c r="I2622" s="81" t="s">
        <v>1914</v>
      </c>
      <c r="J2622" t="s">
        <v>1848</v>
      </c>
    </row>
    <row r="2623" spans="3:10" hidden="1">
      <c r="C2623">
        <v>230007</v>
      </c>
      <c r="D2623" t="s">
        <v>58</v>
      </c>
      <c r="E2623" t="s">
        <v>1920</v>
      </c>
      <c r="F2623" s="41"/>
      <c r="G2623" s="80" t="s">
        <v>18</v>
      </c>
      <c r="H2623" s="80" t="s">
        <v>2001</v>
      </c>
      <c r="I2623" s="81" t="s">
        <v>1914</v>
      </c>
      <c r="J2623" t="s">
        <v>1848</v>
      </c>
    </row>
    <row r="2624" spans="3:10" hidden="1">
      <c r="C2624">
        <v>230008</v>
      </c>
      <c r="D2624" t="s">
        <v>49</v>
      </c>
      <c r="E2624" t="s">
        <v>1921</v>
      </c>
      <c r="F2624" s="41"/>
      <c r="G2624" s="80" t="s">
        <v>18</v>
      </c>
      <c r="H2624" s="80" t="s">
        <v>2001</v>
      </c>
      <c r="I2624" s="81" t="s">
        <v>1914</v>
      </c>
      <c r="J2624" t="s">
        <v>1848</v>
      </c>
    </row>
    <row r="2625" spans="3:10" hidden="1">
      <c r="C2625">
        <v>230009</v>
      </c>
      <c r="D2625" t="s">
        <v>49</v>
      </c>
      <c r="E2625" t="s">
        <v>1922</v>
      </c>
      <c r="F2625" s="41"/>
      <c r="G2625" s="80" t="s">
        <v>18</v>
      </c>
      <c r="H2625" s="80" t="s">
        <v>2001</v>
      </c>
      <c r="I2625" s="81" t="s">
        <v>1914</v>
      </c>
      <c r="J2625" t="s">
        <v>1848</v>
      </c>
    </row>
    <row r="2626" spans="3:10" hidden="1">
      <c r="C2626">
        <v>230010</v>
      </c>
      <c r="D2626" t="s">
        <v>49</v>
      </c>
      <c r="E2626" t="s">
        <v>1923</v>
      </c>
      <c r="F2626" s="41"/>
      <c r="G2626" s="80" t="s">
        <v>18</v>
      </c>
      <c r="H2626" s="80" t="s">
        <v>2001</v>
      </c>
      <c r="I2626" s="81" t="s">
        <v>1914</v>
      </c>
      <c r="J2626" t="s">
        <v>1848</v>
      </c>
    </row>
    <row r="2627" spans="3:10" hidden="1">
      <c r="C2627">
        <v>230011</v>
      </c>
      <c r="D2627" t="s">
        <v>49</v>
      </c>
      <c r="E2627" t="s">
        <v>1924</v>
      </c>
      <c r="F2627" s="41"/>
      <c r="G2627" s="80" t="s">
        <v>18</v>
      </c>
      <c r="H2627" s="80" t="s">
        <v>2001</v>
      </c>
      <c r="I2627" s="81" t="s">
        <v>1914</v>
      </c>
      <c r="J2627" t="s">
        <v>1848</v>
      </c>
    </row>
    <row r="2628" spans="3:10" hidden="1">
      <c r="C2628">
        <v>230012</v>
      </c>
      <c r="D2628" t="s">
        <v>49</v>
      </c>
      <c r="E2628" t="s">
        <v>1925</v>
      </c>
      <c r="F2628" s="41"/>
      <c r="G2628" s="80" t="s">
        <v>18</v>
      </c>
      <c r="H2628" s="80" t="s">
        <v>2001</v>
      </c>
      <c r="I2628" s="81" t="s">
        <v>1914</v>
      </c>
      <c r="J2628" t="s">
        <v>1848</v>
      </c>
    </row>
    <row r="2629" spans="3:10" hidden="1">
      <c r="C2629">
        <v>230013</v>
      </c>
      <c r="D2629" t="s">
        <v>58</v>
      </c>
      <c r="E2629" t="s">
        <v>1926</v>
      </c>
      <c r="F2629" s="41"/>
      <c r="G2629" s="80" t="s">
        <v>18</v>
      </c>
      <c r="H2629" s="80" t="s">
        <v>2001</v>
      </c>
      <c r="I2629" s="81" t="s">
        <v>1914</v>
      </c>
      <c r="J2629" t="s">
        <v>1848</v>
      </c>
    </row>
    <row r="2630" spans="3:10" hidden="1">
      <c r="C2630">
        <v>230014</v>
      </c>
      <c r="D2630" t="s">
        <v>120</v>
      </c>
      <c r="E2630" t="s">
        <v>1927</v>
      </c>
      <c r="F2630" s="41"/>
      <c r="G2630" s="80" t="s">
        <v>18</v>
      </c>
      <c r="H2630" s="80" t="s">
        <v>2001</v>
      </c>
      <c r="I2630" s="81" t="s">
        <v>1914</v>
      </c>
      <c r="J2630" t="s">
        <v>1848</v>
      </c>
    </row>
    <row r="2631" spans="3:10" hidden="1">
      <c r="C2631">
        <v>230015</v>
      </c>
      <c r="D2631" t="s">
        <v>49</v>
      </c>
      <c r="E2631" t="s">
        <v>1928</v>
      </c>
      <c r="F2631" s="41"/>
      <c r="G2631" s="80" t="s">
        <v>18</v>
      </c>
      <c r="H2631" s="80" t="s">
        <v>2001</v>
      </c>
      <c r="I2631" s="81" t="s">
        <v>1914</v>
      </c>
      <c r="J2631" t="s">
        <v>1848</v>
      </c>
    </row>
    <row r="2632" spans="3:10" hidden="1">
      <c r="C2632">
        <v>230016</v>
      </c>
      <c r="D2632" t="s">
        <v>49</v>
      </c>
      <c r="E2632" t="s">
        <v>1929</v>
      </c>
      <c r="F2632" s="41"/>
      <c r="G2632" s="80" t="s">
        <v>18</v>
      </c>
      <c r="H2632" s="80" t="s">
        <v>2001</v>
      </c>
      <c r="I2632" s="81" t="s">
        <v>1914</v>
      </c>
      <c r="J2632" t="s">
        <v>1848</v>
      </c>
    </row>
    <row r="2633" spans="3:10" hidden="1">
      <c r="C2633">
        <v>230017</v>
      </c>
      <c r="D2633" t="s">
        <v>120</v>
      </c>
      <c r="E2633" t="s">
        <v>1930</v>
      </c>
      <c r="F2633" s="41"/>
      <c r="G2633" s="80" t="s">
        <v>18</v>
      </c>
      <c r="H2633" s="80" t="s">
        <v>2001</v>
      </c>
      <c r="I2633" s="81" t="s">
        <v>1914</v>
      </c>
      <c r="J2633" t="s">
        <v>1848</v>
      </c>
    </row>
    <row r="2634" spans="3:10" hidden="1">
      <c r="C2634">
        <v>230018</v>
      </c>
      <c r="D2634" t="s">
        <v>49</v>
      </c>
      <c r="E2634" t="s">
        <v>1931</v>
      </c>
      <c r="F2634" s="41"/>
      <c r="G2634" s="80" t="s">
        <v>18</v>
      </c>
      <c r="H2634" s="80" t="s">
        <v>2001</v>
      </c>
      <c r="I2634" s="81" t="s">
        <v>1914</v>
      </c>
      <c r="J2634" t="s">
        <v>1848</v>
      </c>
    </row>
    <row r="2635" spans="3:10" hidden="1">
      <c r="C2635">
        <v>230019</v>
      </c>
      <c r="D2635" t="s">
        <v>49</v>
      </c>
      <c r="E2635" t="s">
        <v>1932</v>
      </c>
      <c r="F2635" s="41"/>
      <c r="G2635" s="80" t="s">
        <v>18</v>
      </c>
      <c r="H2635" s="80" t="s">
        <v>2001</v>
      </c>
      <c r="I2635" s="81" t="s">
        <v>1914</v>
      </c>
      <c r="J2635" t="s">
        <v>1848</v>
      </c>
    </row>
    <row r="2636" spans="3:10" hidden="1">
      <c r="C2636">
        <v>230020</v>
      </c>
      <c r="D2636" t="s">
        <v>58</v>
      </c>
      <c r="E2636" t="s">
        <v>1933</v>
      </c>
      <c r="F2636" s="41"/>
      <c r="G2636" s="80" t="s">
        <v>18</v>
      </c>
      <c r="H2636" s="80" t="s">
        <v>2001</v>
      </c>
      <c r="I2636" s="81" t="s">
        <v>1914</v>
      </c>
      <c r="J2636" t="s">
        <v>1848</v>
      </c>
    </row>
    <row r="2637" spans="3:10" hidden="1">
      <c r="C2637">
        <v>230021</v>
      </c>
      <c r="D2637" t="s">
        <v>49</v>
      </c>
      <c r="E2637" t="s">
        <v>1934</v>
      </c>
      <c r="F2637" s="41"/>
      <c r="G2637" s="80" t="s">
        <v>18</v>
      </c>
      <c r="H2637" s="80" t="s">
        <v>2001</v>
      </c>
      <c r="I2637" s="81" t="s">
        <v>1914</v>
      </c>
      <c r="J2637" t="s">
        <v>1848</v>
      </c>
    </row>
    <row r="2638" spans="3:10" hidden="1">
      <c r="C2638">
        <v>230022</v>
      </c>
      <c r="D2638" t="s">
        <v>58</v>
      </c>
      <c r="E2638" t="s">
        <v>1935</v>
      </c>
      <c r="F2638" s="41"/>
      <c r="G2638" s="80" t="s">
        <v>18</v>
      </c>
      <c r="H2638" s="80" t="s">
        <v>2001</v>
      </c>
      <c r="I2638" s="81" t="s">
        <v>1914</v>
      </c>
      <c r="J2638" t="s">
        <v>1848</v>
      </c>
    </row>
    <row r="2639" spans="3:10" hidden="1">
      <c r="C2639">
        <v>230023</v>
      </c>
      <c r="D2639" t="s">
        <v>49</v>
      </c>
      <c r="E2639" t="s">
        <v>1936</v>
      </c>
      <c r="F2639" s="41"/>
      <c r="G2639" s="80" t="s">
        <v>18</v>
      </c>
      <c r="H2639" s="80" t="s">
        <v>2001</v>
      </c>
      <c r="I2639" s="81" t="s">
        <v>1914</v>
      </c>
      <c r="J2639" t="s">
        <v>1848</v>
      </c>
    </row>
    <row r="2640" spans="3:10" hidden="1">
      <c r="C2640">
        <v>230024</v>
      </c>
      <c r="D2640" t="s">
        <v>49</v>
      </c>
      <c r="E2640" t="s">
        <v>1937</v>
      </c>
      <c r="F2640" s="41"/>
      <c r="G2640" s="80" t="s">
        <v>18</v>
      </c>
      <c r="H2640" s="80" t="s">
        <v>2001</v>
      </c>
      <c r="I2640" s="81" t="s">
        <v>1914</v>
      </c>
      <c r="J2640" t="s">
        <v>1848</v>
      </c>
    </row>
    <row r="2641" spans="3:10" hidden="1">
      <c r="C2641">
        <v>230025</v>
      </c>
      <c r="D2641" t="s">
        <v>49</v>
      </c>
      <c r="E2641" t="s">
        <v>1938</v>
      </c>
      <c r="F2641" s="41"/>
      <c r="G2641" s="80" t="s">
        <v>18</v>
      </c>
      <c r="H2641" s="80" t="s">
        <v>2001</v>
      </c>
      <c r="I2641" s="81" t="s">
        <v>1914</v>
      </c>
      <c r="J2641" t="s">
        <v>1848</v>
      </c>
    </row>
    <row r="2642" spans="3:10" hidden="1">
      <c r="C2642">
        <v>230026</v>
      </c>
      <c r="D2642" t="s">
        <v>49</v>
      </c>
      <c r="E2642" t="s">
        <v>1939</v>
      </c>
      <c r="F2642" s="41"/>
      <c r="G2642" s="80" t="s">
        <v>18</v>
      </c>
      <c r="H2642" s="80" t="s">
        <v>2001</v>
      </c>
      <c r="I2642" s="81" t="s">
        <v>1914</v>
      </c>
      <c r="J2642" t="s">
        <v>1848</v>
      </c>
    </row>
    <row r="2643" spans="3:10" hidden="1">
      <c r="C2643">
        <v>230027</v>
      </c>
      <c r="D2643" t="s">
        <v>49</v>
      </c>
      <c r="E2643" t="s">
        <v>1940</v>
      </c>
      <c r="F2643" s="41"/>
      <c r="G2643" s="80" t="s">
        <v>18</v>
      </c>
      <c r="H2643" s="80" t="s">
        <v>2001</v>
      </c>
      <c r="I2643" s="81" t="s">
        <v>1914</v>
      </c>
      <c r="J2643" t="s">
        <v>1848</v>
      </c>
    </row>
    <row r="2644" spans="3:10" hidden="1">
      <c r="C2644">
        <v>230028</v>
      </c>
      <c r="D2644" t="s">
        <v>120</v>
      </c>
      <c r="E2644" t="s">
        <v>1941</v>
      </c>
      <c r="F2644" s="41"/>
      <c r="G2644" s="80" t="s">
        <v>18</v>
      </c>
      <c r="H2644" s="80" t="s">
        <v>2001</v>
      </c>
      <c r="I2644" s="81" t="s">
        <v>1914</v>
      </c>
      <c r="J2644" t="s">
        <v>1848</v>
      </c>
    </row>
    <row r="2645" spans="3:10" hidden="1">
      <c r="C2645">
        <v>230029</v>
      </c>
      <c r="D2645" t="s">
        <v>49</v>
      </c>
      <c r="E2645" t="s">
        <v>1942</v>
      </c>
      <c r="F2645" s="41"/>
      <c r="G2645" s="80" t="s">
        <v>18</v>
      </c>
      <c r="H2645" s="80" t="s">
        <v>2001</v>
      </c>
      <c r="I2645" s="81" t="s">
        <v>1914</v>
      </c>
      <c r="J2645" t="s">
        <v>1848</v>
      </c>
    </row>
    <row r="2646" spans="3:10" hidden="1">
      <c r="C2646">
        <v>230030</v>
      </c>
      <c r="D2646" t="s">
        <v>58</v>
      </c>
      <c r="E2646" t="s">
        <v>1943</v>
      </c>
      <c r="F2646" s="41"/>
      <c r="G2646" s="80" t="s">
        <v>18</v>
      </c>
      <c r="H2646" s="80" t="s">
        <v>2001</v>
      </c>
      <c r="I2646" s="81" t="s">
        <v>1914</v>
      </c>
      <c r="J2646" t="s">
        <v>1848</v>
      </c>
    </row>
    <row r="2647" spans="3:10" hidden="1">
      <c r="C2647">
        <v>230031</v>
      </c>
      <c r="D2647" t="s">
        <v>49</v>
      </c>
      <c r="E2647" t="s">
        <v>1944</v>
      </c>
      <c r="F2647" s="41"/>
      <c r="G2647" s="80" t="s">
        <v>18</v>
      </c>
      <c r="H2647" s="80" t="s">
        <v>2001</v>
      </c>
      <c r="I2647" s="81" t="s">
        <v>1914</v>
      </c>
      <c r="J2647" t="s">
        <v>1848</v>
      </c>
    </row>
    <row r="2648" spans="3:10" hidden="1">
      <c r="C2648">
        <v>230032</v>
      </c>
      <c r="D2648" t="s">
        <v>49</v>
      </c>
      <c r="E2648" t="s">
        <v>1945</v>
      </c>
      <c r="F2648" s="41"/>
      <c r="G2648" s="80" t="s">
        <v>18</v>
      </c>
      <c r="H2648" s="80" t="s">
        <v>2001</v>
      </c>
      <c r="I2648" s="81" t="s">
        <v>1914</v>
      </c>
      <c r="J2648" t="s">
        <v>1848</v>
      </c>
    </row>
    <row r="2649" spans="3:10" hidden="1">
      <c r="C2649">
        <v>230033</v>
      </c>
      <c r="D2649" t="s">
        <v>49</v>
      </c>
      <c r="E2649" t="s">
        <v>1946</v>
      </c>
      <c r="F2649" s="41"/>
      <c r="G2649" s="80" t="s">
        <v>18</v>
      </c>
      <c r="H2649" s="80" t="s">
        <v>2001</v>
      </c>
      <c r="I2649" s="81" t="s">
        <v>1914</v>
      </c>
      <c r="J2649" t="s">
        <v>1848</v>
      </c>
    </row>
    <row r="2650" spans="3:10" hidden="1">
      <c r="C2650">
        <v>230034</v>
      </c>
      <c r="D2650" t="s">
        <v>49</v>
      </c>
      <c r="E2650" t="s">
        <v>1947</v>
      </c>
      <c r="F2650" s="41"/>
      <c r="G2650" s="80" t="s">
        <v>18</v>
      </c>
      <c r="H2650" s="80" t="s">
        <v>2001</v>
      </c>
      <c r="I2650" s="81" t="s">
        <v>1914</v>
      </c>
      <c r="J2650" t="s">
        <v>1848</v>
      </c>
    </row>
    <row r="2651" spans="3:10" hidden="1">
      <c r="C2651">
        <v>230035</v>
      </c>
      <c r="D2651" t="s">
        <v>120</v>
      </c>
      <c r="E2651" t="s">
        <v>1948</v>
      </c>
      <c r="F2651" s="41"/>
      <c r="G2651" s="80" t="s">
        <v>18</v>
      </c>
      <c r="H2651" s="80" t="s">
        <v>2001</v>
      </c>
      <c r="I2651" s="81" t="s">
        <v>1914</v>
      </c>
      <c r="J2651" t="s">
        <v>1848</v>
      </c>
    </row>
    <row r="2652" spans="3:10" hidden="1">
      <c r="C2652">
        <v>230036</v>
      </c>
      <c r="D2652" t="s">
        <v>49</v>
      </c>
      <c r="E2652" t="s">
        <v>1949</v>
      </c>
      <c r="F2652" s="41"/>
      <c r="G2652" s="80" t="s">
        <v>18</v>
      </c>
      <c r="H2652" s="80" t="s">
        <v>2001</v>
      </c>
      <c r="I2652" s="81" t="s">
        <v>1914</v>
      </c>
      <c r="J2652" t="s">
        <v>1848</v>
      </c>
    </row>
    <row r="2653" spans="3:10" hidden="1">
      <c r="C2653">
        <v>230037</v>
      </c>
      <c r="D2653" t="s">
        <v>58</v>
      </c>
      <c r="E2653" t="s">
        <v>1943</v>
      </c>
      <c r="F2653" s="41"/>
      <c r="G2653" s="80" t="s">
        <v>18</v>
      </c>
      <c r="H2653" s="80" t="s">
        <v>2001</v>
      </c>
      <c r="I2653" s="81" t="s">
        <v>1914</v>
      </c>
      <c r="J2653" t="s">
        <v>1848</v>
      </c>
    </row>
    <row r="2654" spans="3:10" hidden="1">
      <c r="C2654">
        <v>230038</v>
      </c>
      <c r="D2654" t="s">
        <v>49</v>
      </c>
      <c r="E2654" t="s">
        <v>1950</v>
      </c>
      <c r="F2654" s="41"/>
      <c r="G2654" s="80" t="s">
        <v>18</v>
      </c>
      <c r="H2654" s="80" t="s">
        <v>2001</v>
      </c>
      <c r="I2654" s="81" t="s">
        <v>1914</v>
      </c>
      <c r="J2654" t="s">
        <v>1848</v>
      </c>
    </row>
    <row r="2655" spans="3:10" hidden="1">
      <c r="C2655">
        <v>230039</v>
      </c>
      <c r="D2655" t="s">
        <v>49</v>
      </c>
      <c r="E2655" t="s">
        <v>1951</v>
      </c>
      <c r="F2655" s="41"/>
      <c r="G2655" s="80" t="s">
        <v>18</v>
      </c>
      <c r="H2655" s="80" t="s">
        <v>2001</v>
      </c>
      <c r="I2655" s="81" t="s">
        <v>1914</v>
      </c>
      <c r="J2655" t="s">
        <v>1848</v>
      </c>
    </row>
    <row r="2656" spans="3:10" hidden="1">
      <c r="C2656">
        <v>230040</v>
      </c>
      <c r="D2656" t="s">
        <v>120</v>
      </c>
      <c r="E2656" t="s">
        <v>1952</v>
      </c>
      <c r="F2656" s="41"/>
      <c r="G2656" s="80" t="s">
        <v>18</v>
      </c>
      <c r="H2656" s="80" t="s">
        <v>2001</v>
      </c>
      <c r="I2656" s="81" t="s">
        <v>1914</v>
      </c>
      <c r="J2656" t="s">
        <v>1848</v>
      </c>
    </row>
    <row r="2657" spans="3:10" hidden="1">
      <c r="C2657">
        <v>230041</v>
      </c>
      <c r="D2657" t="s">
        <v>49</v>
      </c>
      <c r="E2657" t="s">
        <v>1953</v>
      </c>
      <c r="F2657" s="41"/>
      <c r="G2657" s="80" t="s">
        <v>18</v>
      </c>
      <c r="H2657" s="80" t="s">
        <v>2001</v>
      </c>
      <c r="I2657" s="81" t="s">
        <v>1914</v>
      </c>
      <c r="J2657" t="s">
        <v>1848</v>
      </c>
    </row>
    <row r="2658" spans="3:10" hidden="1">
      <c r="C2658">
        <v>231000</v>
      </c>
      <c r="D2658" t="s">
        <v>48</v>
      </c>
      <c r="E2658" t="s">
        <v>47</v>
      </c>
      <c r="F2658" s="41"/>
      <c r="G2658" s="80" t="s">
        <v>8</v>
      </c>
      <c r="H2658" s="80" t="s">
        <v>9</v>
      </c>
      <c r="I2658" s="81" t="s">
        <v>47</v>
      </c>
      <c r="J2658" t="s">
        <v>6</v>
      </c>
    </row>
    <row r="2659" spans="3:10" hidden="1">
      <c r="C2659">
        <v>231001</v>
      </c>
      <c r="D2659" t="s">
        <v>49</v>
      </c>
      <c r="E2659" t="s">
        <v>50</v>
      </c>
      <c r="F2659" s="41"/>
      <c r="G2659" s="80" t="s">
        <v>8</v>
      </c>
      <c r="H2659" s="80" t="s">
        <v>9</v>
      </c>
      <c r="I2659" s="81" t="s">
        <v>47</v>
      </c>
      <c r="J2659" t="s">
        <v>6</v>
      </c>
    </row>
    <row r="2660" spans="3:10" hidden="1">
      <c r="C2660">
        <v>231002</v>
      </c>
      <c r="D2660" t="s">
        <v>49</v>
      </c>
      <c r="E2660" t="s">
        <v>51</v>
      </c>
      <c r="F2660" s="41"/>
      <c r="G2660" s="80" t="s">
        <v>8</v>
      </c>
      <c r="H2660" s="80" t="s">
        <v>9</v>
      </c>
      <c r="I2660" s="81" t="s">
        <v>47</v>
      </c>
      <c r="J2660" t="s">
        <v>6</v>
      </c>
    </row>
    <row r="2661" spans="3:10" hidden="1">
      <c r="C2661">
        <v>231003</v>
      </c>
      <c r="D2661" t="s">
        <v>49</v>
      </c>
      <c r="E2661" t="s">
        <v>52</v>
      </c>
      <c r="F2661" s="41"/>
      <c r="G2661" s="80" t="s">
        <v>8</v>
      </c>
      <c r="H2661" s="80" t="s">
        <v>9</v>
      </c>
      <c r="I2661" s="81" t="s">
        <v>47</v>
      </c>
      <c r="J2661" t="s">
        <v>6</v>
      </c>
    </row>
    <row r="2662" spans="3:10" hidden="1">
      <c r="C2662">
        <v>231004</v>
      </c>
      <c r="D2662" t="s">
        <v>49</v>
      </c>
      <c r="E2662" t="s">
        <v>53</v>
      </c>
      <c r="F2662" s="41"/>
      <c r="G2662" s="80" t="s">
        <v>8</v>
      </c>
      <c r="H2662" s="80" t="s">
        <v>9</v>
      </c>
      <c r="I2662" s="81" t="s">
        <v>47</v>
      </c>
      <c r="J2662" t="s">
        <v>6</v>
      </c>
    </row>
    <row r="2663" spans="3:10" hidden="1">
      <c r="C2663">
        <v>231005</v>
      </c>
      <c r="D2663" t="s">
        <v>49</v>
      </c>
      <c r="E2663" t="s">
        <v>54</v>
      </c>
      <c r="F2663" s="41"/>
      <c r="G2663" s="80" t="s">
        <v>8</v>
      </c>
      <c r="H2663" s="80" t="s">
        <v>9</v>
      </c>
      <c r="I2663" s="81" t="s">
        <v>47</v>
      </c>
      <c r="J2663" t="s">
        <v>6</v>
      </c>
    </row>
    <row r="2664" spans="3:10" hidden="1">
      <c r="C2664">
        <v>231006</v>
      </c>
      <c r="D2664" t="s">
        <v>49</v>
      </c>
      <c r="E2664" t="s">
        <v>55</v>
      </c>
      <c r="F2664" s="41"/>
      <c r="G2664" s="80" t="s">
        <v>8</v>
      </c>
      <c r="H2664" s="80" t="s">
        <v>9</v>
      </c>
      <c r="I2664" s="81" t="s">
        <v>47</v>
      </c>
      <c r="J2664" t="s">
        <v>6</v>
      </c>
    </row>
    <row r="2665" spans="3:10" hidden="1">
      <c r="C2665">
        <v>231007</v>
      </c>
      <c r="D2665" t="s">
        <v>49</v>
      </c>
      <c r="E2665" t="s">
        <v>1954</v>
      </c>
      <c r="F2665" s="41"/>
      <c r="G2665" s="80" t="s">
        <v>8</v>
      </c>
      <c r="H2665" s="80" t="s">
        <v>9</v>
      </c>
      <c r="I2665" s="81" t="s">
        <v>47</v>
      </c>
      <c r="J2665" t="s">
        <v>6</v>
      </c>
    </row>
    <row r="2666" spans="3:10" hidden="1">
      <c r="C2666">
        <v>231008</v>
      </c>
      <c r="D2666" t="s">
        <v>49</v>
      </c>
      <c r="E2666" t="s">
        <v>1955</v>
      </c>
      <c r="F2666" s="41"/>
      <c r="G2666" s="80" t="s">
        <v>8</v>
      </c>
      <c r="H2666" s="80" t="s">
        <v>9</v>
      </c>
      <c r="I2666" s="81" t="s">
        <v>47</v>
      </c>
      <c r="J2666" t="s">
        <v>6</v>
      </c>
    </row>
    <row r="2667" spans="3:10" hidden="1">
      <c r="C2667">
        <v>231009</v>
      </c>
      <c r="D2667" t="s">
        <v>49</v>
      </c>
      <c r="E2667" t="s">
        <v>56</v>
      </c>
      <c r="F2667" s="41"/>
      <c r="G2667" s="80" t="s">
        <v>8</v>
      </c>
      <c r="H2667" s="80" t="s">
        <v>9</v>
      </c>
      <c r="I2667" s="81" t="s">
        <v>47</v>
      </c>
      <c r="J2667" t="s">
        <v>6</v>
      </c>
    </row>
    <row r="2668" spans="3:10" hidden="1">
      <c r="C2668">
        <v>231010</v>
      </c>
      <c r="D2668" t="s">
        <v>49</v>
      </c>
      <c r="E2668" t="s">
        <v>57</v>
      </c>
      <c r="F2668" s="41"/>
      <c r="G2668" s="80" t="s">
        <v>8</v>
      </c>
      <c r="H2668" s="80" t="s">
        <v>9</v>
      </c>
      <c r="I2668" s="81" t="s">
        <v>47</v>
      </c>
      <c r="J2668" t="s">
        <v>6</v>
      </c>
    </row>
    <row r="2669" spans="3:10" hidden="1">
      <c r="C2669">
        <v>231011</v>
      </c>
      <c r="D2669" t="s">
        <v>58</v>
      </c>
      <c r="E2669" t="s">
        <v>59</v>
      </c>
      <c r="F2669" s="41"/>
      <c r="G2669" s="80" t="s">
        <v>8</v>
      </c>
      <c r="H2669" s="80" t="s">
        <v>9</v>
      </c>
      <c r="I2669" s="81" t="s">
        <v>47</v>
      </c>
      <c r="J2669" t="s">
        <v>6</v>
      </c>
    </row>
    <row r="2670" spans="3:10" hidden="1">
      <c r="C2670">
        <v>232000</v>
      </c>
      <c r="D2670" t="s">
        <v>48</v>
      </c>
      <c r="E2670" t="s">
        <v>60</v>
      </c>
      <c r="F2670" s="41"/>
      <c r="G2670" s="80" t="s">
        <v>8</v>
      </c>
      <c r="H2670" s="80" t="s">
        <v>9</v>
      </c>
      <c r="I2670" s="81" t="s">
        <v>60</v>
      </c>
      <c r="J2670" t="s">
        <v>6</v>
      </c>
    </row>
    <row r="2671" spans="3:10" hidden="1">
      <c r="C2671">
        <v>232001</v>
      </c>
      <c r="D2671" t="s">
        <v>49</v>
      </c>
      <c r="E2671" t="s">
        <v>61</v>
      </c>
      <c r="F2671" s="41"/>
      <c r="G2671" s="80" t="s">
        <v>8</v>
      </c>
      <c r="H2671" s="80" t="s">
        <v>9</v>
      </c>
      <c r="I2671" s="81" t="s">
        <v>60</v>
      </c>
      <c r="J2671" t="s">
        <v>6</v>
      </c>
    </row>
    <row r="2672" spans="3:10" hidden="1">
      <c r="C2672">
        <v>232002</v>
      </c>
      <c r="D2672" t="s">
        <v>49</v>
      </c>
      <c r="E2672" t="s">
        <v>62</v>
      </c>
      <c r="F2672" s="41"/>
      <c r="G2672" s="80" t="s">
        <v>8</v>
      </c>
      <c r="H2672" s="80" t="s">
        <v>9</v>
      </c>
      <c r="I2672" s="81" t="s">
        <v>60</v>
      </c>
      <c r="J2672" t="s">
        <v>6</v>
      </c>
    </row>
    <row r="2673" spans="3:10" hidden="1">
      <c r="C2673">
        <v>232003</v>
      </c>
      <c r="D2673" t="s">
        <v>49</v>
      </c>
      <c r="E2673" t="s">
        <v>63</v>
      </c>
      <c r="F2673" s="41"/>
      <c r="G2673" s="80" t="s">
        <v>8</v>
      </c>
      <c r="H2673" s="80" t="s">
        <v>9</v>
      </c>
      <c r="I2673" s="81" t="s">
        <v>60</v>
      </c>
      <c r="J2673" t="s">
        <v>6</v>
      </c>
    </row>
    <row r="2674" spans="3:10" hidden="1">
      <c r="C2674">
        <v>232004</v>
      </c>
      <c r="D2674" t="s">
        <v>49</v>
      </c>
      <c r="E2674" t="s">
        <v>64</v>
      </c>
      <c r="F2674" s="41"/>
      <c r="G2674" s="80" t="s">
        <v>8</v>
      </c>
      <c r="H2674" s="80" t="s">
        <v>9</v>
      </c>
      <c r="I2674" s="81" t="s">
        <v>60</v>
      </c>
      <c r="J2674" t="s">
        <v>6</v>
      </c>
    </row>
    <row r="2675" spans="3:10" hidden="1">
      <c r="C2675">
        <v>232005</v>
      </c>
      <c r="D2675" t="s">
        <v>49</v>
      </c>
      <c r="E2675" t="s">
        <v>65</v>
      </c>
      <c r="F2675" s="41"/>
      <c r="G2675" s="80" t="s">
        <v>8</v>
      </c>
      <c r="H2675" s="80" t="s">
        <v>9</v>
      </c>
      <c r="I2675" s="81" t="s">
        <v>60</v>
      </c>
      <c r="J2675" t="s">
        <v>6</v>
      </c>
    </row>
    <row r="2676" spans="3:10" hidden="1">
      <c r="C2676">
        <v>232006</v>
      </c>
      <c r="D2676" t="s">
        <v>66</v>
      </c>
      <c r="E2676" t="s">
        <v>67</v>
      </c>
      <c r="F2676" s="41"/>
      <c r="G2676" s="80" t="s">
        <v>8</v>
      </c>
      <c r="H2676" s="80" t="s">
        <v>9</v>
      </c>
      <c r="I2676" s="81" t="s">
        <v>60</v>
      </c>
      <c r="J2676" t="s">
        <v>6</v>
      </c>
    </row>
    <row r="2677" spans="3:10" hidden="1">
      <c r="C2677">
        <v>232007</v>
      </c>
      <c r="D2677" t="s">
        <v>66</v>
      </c>
      <c r="E2677" t="s">
        <v>68</v>
      </c>
      <c r="F2677" s="41"/>
      <c r="G2677" s="80" t="s">
        <v>8</v>
      </c>
      <c r="H2677" s="80" t="s">
        <v>9</v>
      </c>
      <c r="I2677" s="81" t="s">
        <v>60</v>
      </c>
      <c r="J2677" t="s">
        <v>6</v>
      </c>
    </row>
    <row r="2678" spans="3:10" hidden="1">
      <c r="C2678">
        <v>232008</v>
      </c>
      <c r="D2678" t="s">
        <v>66</v>
      </c>
      <c r="E2678" t="s">
        <v>69</v>
      </c>
      <c r="F2678" s="41"/>
      <c r="G2678" s="80" t="s">
        <v>8</v>
      </c>
      <c r="H2678" s="80" t="s">
        <v>9</v>
      </c>
      <c r="I2678" s="81" t="s">
        <v>60</v>
      </c>
      <c r="J2678" t="s">
        <v>6</v>
      </c>
    </row>
    <row r="2679" spans="3:10" hidden="1">
      <c r="C2679">
        <v>232009</v>
      </c>
      <c r="D2679" t="s">
        <v>49</v>
      </c>
      <c r="E2679" t="s">
        <v>1956</v>
      </c>
      <c r="F2679" s="41"/>
      <c r="G2679" s="80" t="s">
        <v>8</v>
      </c>
      <c r="H2679" s="80" t="s">
        <v>9</v>
      </c>
      <c r="I2679" s="81" t="s">
        <v>60</v>
      </c>
      <c r="J2679" t="s">
        <v>6</v>
      </c>
    </row>
    <row r="2680" spans="3:10" hidden="1">
      <c r="C2680">
        <v>232010</v>
      </c>
      <c r="D2680" t="s">
        <v>49</v>
      </c>
      <c r="E2680" t="s">
        <v>1957</v>
      </c>
      <c r="F2680" s="41"/>
      <c r="G2680" s="80" t="s">
        <v>8</v>
      </c>
      <c r="H2680" s="80" t="s">
        <v>9</v>
      </c>
      <c r="I2680" s="81" t="s">
        <v>60</v>
      </c>
      <c r="J2680" t="s">
        <v>6</v>
      </c>
    </row>
    <row r="2681" spans="3:10" hidden="1">
      <c r="C2681">
        <v>232011</v>
      </c>
      <c r="D2681" t="s">
        <v>49</v>
      </c>
      <c r="E2681" t="s">
        <v>1958</v>
      </c>
      <c r="F2681" s="41"/>
      <c r="G2681" s="80" t="s">
        <v>8</v>
      </c>
      <c r="H2681" s="80" t="s">
        <v>9</v>
      </c>
      <c r="I2681" s="81" t="s">
        <v>60</v>
      </c>
      <c r="J2681" t="s">
        <v>6</v>
      </c>
    </row>
    <row r="2682" spans="3:10" hidden="1">
      <c r="C2682">
        <v>232012</v>
      </c>
      <c r="D2682" t="s">
        <v>49</v>
      </c>
      <c r="E2682" t="s">
        <v>1959</v>
      </c>
      <c r="F2682" s="41"/>
      <c r="G2682" s="80" t="s">
        <v>8</v>
      </c>
      <c r="H2682" s="80" t="s">
        <v>9</v>
      </c>
      <c r="I2682" s="81" t="s">
        <v>60</v>
      </c>
      <c r="J2682" t="s">
        <v>6</v>
      </c>
    </row>
    <row r="2683" spans="3:10" hidden="1">
      <c r="C2683">
        <v>232013</v>
      </c>
      <c r="D2683" t="s">
        <v>49</v>
      </c>
      <c r="E2683" t="s">
        <v>1960</v>
      </c>
      <c r="F2683" s="41"/>
      <c r="G2683" s="80" t="s">
        <v>8</v>
      </c>
      <c r="H2683" s="80" t="s">
        <v>9</v>
      </c>
      <c r="I2683" s="81" t="s">
        <v>60</v>
      </c>
      <c r="J2683" t="s">
        <v>6</v>
      </c>
    </row>
    <row r="2684" spans="3:10" hidden="1">
      <c r="C2684">
        <v>232014</v>
      </c>
      <c r="D2684" t="s">
        <v>49</v>
      </c>
      <c r="E2684" t="s">
        <v>1961</v>
      </c>
      <c r="F2684" s="41"/>
      <c r="G2684" s="80" t="s">
        <v>8</v>
      </c>
      <c r="H2684" s="80" t="s">
        <v>9</v>
      </c>
      <c r="I2684" s="81" t="s">
        <v>60</v>
      </c>
      <c r="J2684" t="s">
        <v>6</v>
      </c>
    </row>
    <row r="2685" spans="3:10" hidden="1">
      <c r="C2685">
        <v>232015</v>
      </c>
      <c r="D2685" t="s">
        <v>1962</v>
      </c>
      <c r="E2685" t="s">
        <v>1963</v>
      </c>
      <c r="F2685" s="41"/>
      <c r="G2685" s="80" t="s">
        <v>8</v>
      </c>
      <c r="H2685" s="80" t="s">
        <v>9</v>
      </c>
      <c r="I2685" s="81" t="s">
        <v>60</v>
      </c>
      <c r="J2685" t="s">
        <v>6</v>
      </c>
    </row>
    <row r="2686" spans="3:10" hidden="1">
      <c r="C2686">
        <v>232016</v>
      </c>
      <c r="D2686" t="s">
        <v>49</v>
      </c>
      <c r="E2686" t="s">
        <v>70</v>
      </c>
      <c r="F2686" s="41"/>
      <c r="G2686" s="80" t="s">
        <v>8</v>
      </c>
      <c r="H2686" s="80" t="s">
        <v>9</v>
      </c>
      <c r="I2686" s="81" t="s">
        <v>60</v>
      </c>
      <c r="J2686" t="s">
        <v>6</v>
      </c>
    </row>
    <row r="2687" spans="3:10" hidden="1">
      <c r="C2687">
        <v>232017</v>
      </c>
      <c r="D2687" t="s">
        <v>49</v>
      </c>
      <c r="E2687" t="s">
        <v>71</v>
      </c>
      <c r="F2687" s="41"/>
      <c r="G2687" s="80" t="s">
        <v>8</v>
      </c>
      <c r="H2687" s="80" t="s">
        <v>9</v>
      </c>
      <c r="I2687" s="81" t="s">
        <v>60</v>
      </c>
      <c r="J2687" t="s">
        <v>6</v>
      </c>
    </row>
    <row r="2688" spans="3:10" hidden="1">
      <c r="C2688">
        <v>232018</v>
      </c>
      <c r="D2688" t="s">
        <v>49</v>
      </c>
      <c r="E2688" t="s">
        <v>72</v>
      </c>
      <c r="F2688" s="41"/>
      <c r="G2688" s="80" t="s">
        <v>8</v>
      </c>
      <c r="H2688" s="80" t="s">
        <v>9</v>
      </c>
      <c r="I2688" s="81" t="s">
        <v>60</v>
      </c>
      <c r="J2688" t="s">
        <v>6</v>
      </c>
    </row>
    <row r="2689" spans="3:10" hidden="1">
      <c r="C2689">
        <v>232019</v>
      </c>
      <c r="D2689" t="s">
        <v>49</v>
      </c>
      <c r="E2689" t="s">
        <v>57</v>
      </c>
      <c r="F2689" s="41"/>
      <c r="G2689" s="80" t="s">
        <v>8</v>
      </c>
      <c r="H2689" s="80" t="s">
        <v>9</v>
      </c>
      <c r="I2689" s="81" t="s">
        <v>60</v>
      </c>
      <c r="J2689" t="s">
        <v>6</v>
      </c>
    </row>
    <row r="2690" spans="3:10" hidden="1">
      <c r="C2690">
        <v>232020</v>
      </c>
      <c r="D2690" t="s">
        <v>58</v>
      </c>
      <c r="E2690" t="s">
        <v>59</v>
      </c>
      <c r="F2690" s="41"/>
      <c r="G2690" s="80" t="s">
        <v>8</v>
      </c>
      <c r="H2690" s="80" t="s">
        <v>9</v>
      </c>
      <c r="I2690" s="81" t="s">
        <v>60</v>
      </c>
      <c r="J2690" t="s">
        <v>6</v>
      </c>
    </row>
    <row r="2691" spans="3:10" hidden="1">
      <c r="C2691">
        <v>227003</v>
      </c>
      <c r="D2691" t="s">
        <v>48</v>
      </c>
      <c r="E2691" t="s">
        <v>1875</v>
      </c>
      <c r="F2691" s="41"/>
      <c r="G2691" s="80" t="s">
        <v>22</v>
      </c>
      <c r="H2691" s="80" t="s">
        <v>9</v>
      </c>
      <c r="I2691" s="81" t="s">
        <v>1875</v>
      </c>
      <c r="J2691" t="s">
        <v>6</v>
      </c>
    </row>
    <row r="2692" spans="3:10" hidden="1">
      <c r="C2692">
        <v>227004</v>
      </c>
      <c r="D2692" t="s">
        <v>49</v>
      </c>
      <c r="E2692" t="s">
        <v>1876</v>
      </c>
      <c r="F2692" s="41"/>
      <c r="G2692" s="80" t="s">
        <v>22</v>
      </c>
      <c r="H2692" s="80" t="s">
        <v>9</v>
      </c>
      <c r="I2692" s="81" t="s">
        <v>1875</v>
      </c>
      <c r="J2692" t="s">
        <v>6</v>
      </c>
    </row>
    <row r="2693" spans="3:10" hidden="1">
      <c r="C2693">
        <v>227005</v>
      </c>
      <c r="D2693" t="s">
        <v>58</v>
      </c>
      <c r="E2693" t="s">
        <v>59</v>
      </c>
      <c r="F2693" s="41"/>
      <c r="G2693" s="80" t="s">
        <v>22</v>
      </c>
      <c r="H2693" s="80" t="s">
        <v>9</v>
      </c>
      <c r="I2693" s="81" t="s">
        <v>1875</v>
      </c>
      <c r="J2693" t="s">
        <v>6</v>
      </c>
    </row>
    <row r="2694" spans="3:10" hidden="1">
      <c r="C2694">
        <v>233000</v>
      </c>
      <c r="D2694" t="s">
        <v>119</v>
      </c>
      <c r="E2694" t="s">
        <v>1964</v>
      </c>
      <c r="F2694" s="41"/>
      <c r="G2694" s="80" t="s">
        <v>1999</v>
      </c>
      <c r="H2694" s="80" t="s">
        <v>2000</v>
      </c>
      <c r="I2694" s="81" t="s">
        <v>1964</v>
      </c>
      <c r="J2694" t="s">
        <v>6</v>
      </c>
    </row>
    <row r="2695" spans="3:10" hidden="1">
      <c r="C2695">
        <v>233001</v>
      </c>
      <c r="D2695" t="s">
        <v>120</v>
      </c>
      <c r="E2695" t="s">
        <v>1750</v>
      </c>
      <c r="F2695" s="41"/>
      <c r="G2695" s="80" t="s">
        <v>1999</v>
      </c>
      <c r="H2695" s="80" t="s">
        <v>2000</v>
      </c>
      <c r="I2695" s="81" t="s">
        <v>1964</v>
      </c>
      <c r="J2695" t="s">
        <v>6</v>
      </c>
    </row>
    <row r="2696" spans="3:10" hidden="1">
      <c r="C2696">
        <v>233002</v>
      </c>
      <c r="D2696" t="s">
        <v>1879</v>
      </c>
      <c r="E2696" t="s">
        <v>1965</v>
      </c>
      <c r="F2696" s="41"/>
      <c r="G2696" s="80" t="s">
        <v>1999</v>
      </c>
      <c r="H2696" s="80" t="s">
        <v>2000</v>
      </c>
      <c r="I2696" s="81" t="s">
        <v>1964</v>
      </c>
      <c r="J2696" t="s">
        <v>6</v>
      </c>
    </row>
    <row r="2697" spans="3:10" hidden="1">
      <c r="C2697">
        <v>233003</v>
      </c>
      <c r="D2697" t="s">
        <v>124</v>
      </c>
      <c r="E2697" t="s">
        <v>1966</v>
      </c>
      <c r="F2697" s="41"/>
      <c r="G2697" s="80" t="s">
        <v>1999</v>
      </c>
      <c r="H2697" s="80" t="s">
        <v>2000</v>
      </c>
      <c r="I2697" s="81" t="s">
        <v>1964</v>
      </c>
      <c r="J2697" t="s">
        <v>6</v>
      </c>
    </row>
    <row r="2698" spans="3:10" hidden="1">
      <c r="C2698">
        <v>233004</v>
      </c>
      <c r="D2698" t="s">
        <v>124</v>
      </c>
      <c r="E2698" t="s">
        <v>1967</v>
      </c>
      <c r="F2698" s="41"/>
      <c r="G2698" s="80" t="s">
        <v>1999</v>
      </c>
      <c r="H2698" s="80" t="s">
        <v>2000</v>
      </c>
      <c r="I2698" s="81" t="s">
        <v>1964</v>
      </c>
      <c r="J2698" t="s">
        <v>6</v>
      </c>
    </row>
    <row r="2699" spans="3:10" hidden="1">
      <c r="C2699">
        <v>233005</v>
      </c>
      <c r="D2699" t="s">
        <v>124</v>
      </c>
      <c r="E2699" t="s">
        <v>1968</v>
      </c>
      <c r="F2699" s="41"/>
      <c r="G2699" s="80" t="s">
        <v>1999</v>
      </c>
      <c r="H2699" s="80" t="s">
        <v>2000</v>
      </c>
      <c r="I2699" s="81" t="s">
        <v>1964</v>
      </c>
      <c r="J2699" t="s">
        <v>6</v>
      </c>
    </row>
    <row r="2700" spans="3:10" hidden="1">
      <c r="C2700">
        <v>233006</v>
      </c>
      <c r="D2700" t="s">
        <v>124</v>
      </c>
      <c r="E2700" t="s">
        <v>1969</v>
      </c>
      <c r="F2700" s="41"/>
      <c r="G2700" s="80" t="s">
        <v>1999</v>
      </c>
      <c r="H2700" s="80" t="s">
        <v>2000</v>
      </c>
      <c r="I2700" s="81" t="s">
        <v>1964</v>
      </c>
      <c r="J2700" t="s">
        <v>6</v>
      </c>
    </row>
    <row r="2701" spans="3:10" hidden="1">
      <c r="C2701">
        <v>233007</v>
      </c>
      <c r="D2701" t="s">
        <v>124</v>
      </c>
      <c r="E2701" t="s">
        <v>1970</v>
      </c>
      <c r="F2701" s="41"/>
      <c r="G2701" s="80" t="s">
        <v>1999</v>
      </c>
      <c r="H2701" s="80" t="s">
        <v>2000</v>
      </c>
      <c r="I2701" s="81" t="s">
        <v>1964</v>
      </c>
      <c r="J2701" t="s">
        <v>6</v>
      </c>
    </row>
    <row r="2702" spans="3:10" hidden="1">
      <c r="C2702">
        <v>233008</v>
      </c>
      <c r="D2702" t="s">
        <v>124</v>
      </c>
      <c r="E2702" t="s">
        <v>1971</v>
      </c>
      <c r="F2702" s="41"/>
      <c r="G2702" s="80" t="s">
        <v>1999</v>
      </c>
      <c r="H2702" s="80" t="s">
        <v>2000</v>
      </c>
      <c r="I2702" s="81" t="s">
        <v>1964</v>
      </c>
      <c r="J2702" t="s">
        <v>6</v>
      </c>
    </row>
    <row r="2703" spans="3:10" hidden="1">
      <c r="C2703">
        <v>233009</v>
      </c>
      <c r="D2703" t="s">
        <v>124</v>
      </c>
      <c r="E2703" t="s">
        <v>1972</v>
      </c>
      <c r="F2703" s="41"/>
      <c r="G2703" s="80" t="s">
        <v>1999</v>
      </c>
      <c r="H2703" s="80" t="s">
        <v>2000</v>
      </c>
      <c r="I2703" s="81" t="s">
        <v>1964</v>
      </c>
      <c r="J2703" t="s">
        <v>6</v>
      </c>
    </row>
    <row r="2704" spans="3:10" hidden="1">
      <c r="C2704">
        <v>233010</v>
      </c>
      <c r="D2704" t="s">
        <v>49</v>
      </c>
      <c r="E2704" t="s">
        <v>1731</v>
      </c>
      <c r="F2704" s="41"/>
      <c r="G2704" s="80" t="s">
        <v>1999</v>
      </c>
      <c r="H2704" s="80" t="s">
        <v>2000</v>
      </c>
      <c r="I2704" s="81" t="s">
        <v>1964</v>
      </c>
      <c r="J2704" t="s">
        <v>6</v>
      </c>
    </row>
    <row r="2705" spans="3:10" hidden="1">
      <c r="C2705">
        <v>233011</v>
      </c>
      <c r="D2705" t="s">
        <v>124</v>
      </c>
      <c r="E2705" t="s">
        <v>1973</v>
      </c>
      <c r="F2705" s="41"/>
      <c r="G2705" s="80" t="s">
        <v>1999</v>
      </c>
      <c r="H2705" s="80" t="s">
        <v>2000</v>
      </c>
      <c r="I2705" s="81" t="s">
        <v>1964</v>
      </c>
      <c r="J2705" t="s">
        <v>6</v>
      </c>
    </row>
    <row r="2706" spans="3:10" hidden="1">
      <c r="C2706">
        <v>233012</v>
      </c>
      <c r="D2706" t="s">
        <v>124</v>
      </c>
      <c r="E2706" t="s">
        <v>1974</v>
      </c>
      <c r="F2706" s="41"/>
      <c r="G2706" s="80" t="s">
        <v>1999</v>
      </c>
      <c r="H2706" s="80" t="s">
        <v>2000</v>
      </c>
      <c r="I2706" s="81" t="s">
        <v>1964</v>
      </c>
      <c r="J2706" t="s">
        <v>6</v>
      </c>
    </row>
    <row r="2707" spans="3:10" hidden="1">
      <c r="C2707">
        <v>233013</v>
      </c>
      <c r="D2707" t="s">
        <v>49</v>
      </c>
      <c r="E2707" t="s">
        <v>1975</v>
      </c>
      <c r="F2707" s="41"/>
      <c r="G2707" s="80" t="s">
        <v>1999</v>
      </c>
      <c r="H2707" s="80" t="s">
        <v>2000</v>
      </c>
      <c r="I2707" s="81" t="s">
        <v>1964</v>
      </c>
      <c r="J2707" t="s">
        <v>6</v>
      </c>
    </row>
    <row r="2708" spans="3:10" hidden="1">
      <c r="C2708">
        <v>233014</v>
      </c>
      <c r="D2708" t="s">
        <v>120</v>
      </c>
      <c r="E2708" t="s">
        <v>1733</v>
      </c>
      <c r="F2708" s="41"/>
      <c r="G2708" s="80" t="s">
        <v>1999</v>
      </c>
      <c r="H2708" s="80" t="s">
        <v>2000</v>
      </c>
      <c r="I2708" s="81" t="s">
        <v>1964</v>
      </c>
      <c r="J2708" t="s">
        <v>6</v>
      </c>
    </row>
    <row r="2709" spans="3:10" hidden="1">
      <c r="C2709">
        <v>233015</v>
      </c>
      <c r="D2709" t="s">
        <v>49</v>
      </c>
      <c r="E2709" t="s">
        <v>1976</v>
      </c>
      <c r="F2709" s="41"/>
      <c r="G2709" s="80" t="s">
        <v>1999</v>
      </c>
      <c r="H2709" s="80" t="s">
        <v>2000</v>
      </c>
      <c r="I2709" s="81" t="s">
        <v>1964</v>
      </c>
      <c r="J2709" t="s">
        <v>6</v>
      </c>
    </row>
    <row r="2710" spans="3:10" hidden="1">
      <c r="C2710">
        <v>233016</v>
      </c>
      <c r="D2710" t="s">
        <v>1977</v>
      </c>
      <c r="E2710" t="s">
        <v>1978</v>
      </c>
      <c r="F2710" s="41"/>
      <c r="G2710" s="80" t="s">
        <v>1999</v>
      </c>
      <c r="H2710" s="80" t="s">
        <v>2000</v>
      </c>
      <c r="I2710" s="81" t="s">
        <v>1964</v>
      </c>
      <c r="J2710" t="s">
        <v>6</v>
      </c>
    </row>
    <row r="2711" spans="3:10" hidden="1">
      <c r="C2711">
        <v>233017</v>
      </c>
      <c r="D2711" t="s">
        <v>1739</v>
      </c>
      <c r="E2711" t="s">
        <v>1979</v>
      </c>
      <c r="F2711" s="41"/>
      <c r="G2711" s="80" t="s">
        <v>1999</v>
      </c>
      <c r="H2711" s="80" t="s">
        <v>2000</v>
      </c>
      <c r="I2711" s="81" t="s">
        <v>1964</v>
      </c>
      <c r="J2711" t="s">
        <v>6</v>
      </c>
    </row>
    <row r="2712" spans="3:10" hidden="1">
      <c r="C2712">
        <v>233018</v>
      </c>
      <c r="D2712" t="s">
        <v>124</v>
      </c>
      <c r="E2712" t="s">
        <v>1980</v>
      </c>
      <c r="F2712" s="41"/>
      <c r="G2712" s="80" t="s">
        <v>1999</v>
      </c>
      <c r="H2712" s="80" t="s">
        <v>2000</v>
      </c>
      <c r="I2712" s="81" t="s">
        <v>1964</v>
      </c>
      <c r="J2712" t="s">
        <v>6</v>
      </c>
    </row>
    <row r="2713" spans="3:10" hidden="1">
      <c r="C2713">
        <v>233019</v>
      </c>
      <c r="D2713" t="s">
        <v>1119</v>
      </c>
      <c r="E2713" t="s">
        <v>209</v>
      </c>
      <c r="F2713" s="41"/>
      <c r="G2713" s="80" t="s">
        <v>1999</v>
      </c>
      <c r="H2713" s="80" t="s">
        <v>2000</v>
      </c>
      <c r="I2713" s="81" t="s">
        <v>1964</v>
      </c>
      <c r="J2713" t="s">
        <v>6</v>
      </c>
    </row>
    <row r="2714" spans="3:10" hidden="1">
      <c r="C2714">
        <v>234000</v>
      </c>
      <c r="D2714" t="s">
        <v>48</v>
      </c>
      <c r="E2714" t="s">
        <v>1981</v>
      </c>
      <c r="F2714" s="41"/>
      <c r="G2714" s="80" t="s">
        <v>22</v>
      </c>
      <c r="H2714" s="80" t="s">
        <v>1998</v>
      </c>
      <c r="I2714" s="81" t="s">
        <v>1981</v>
      </c>
      <c r="J2714" t="s">
        <v>6</v>
      </c>
    </row>
    <row r="2715" spans="3:10" hidden="1">
      <c r="C2715">
        <v>234001</v>
      </c>
      <c r="D2715" t="s">
        <v>1982</v>
      </c>
      <c r="E2715" t="s">
        <v>1263</v>
      </c>
      <c r="F2715" s="41"/>
      <c r="G2715" s="80" t="s">
        <v>22</v>
      </c>
      <c r="H2715" s="80" t="s">
        <v>1998</v>
      </c>
      <c r="I2715" s="81" t="s">
        <v>1981</v>
      </c>
      <c r="J2715" t="s">
        <v>6</v>
      </c>
    </row>
    <row r="2716" spans="3:10" hidden="1">
      <c r="C2716">
        <v>234002</v>
      </c>
      <c r="D2716" t="s">
        <v>1982</v>
      </c>
      <c r="E2716" t="s">
        <v>1264</v>
      </c>
      <c r="F2716" s="41"/>
      <c r="G2716" s="80" t="s">
        <v>22</v>
      </c>
      <c r="H2716" s="80" t="s">
        <v>1998</v>
      </c>
      <c r="I2716" s="81" t="s">
        <v>1981</v>
      </c>
      <c r="J2716" t="s">
        <v>6</v>
      </c>
    </row>
    <row r="2717" spans="3:10" hidden="1">
      <c r="C2717">
        <v>234003</v>
      </c>
      <c r="D2717" t="s">
        <v>58</v>
      </c>
      <c r="E2717" t="s">
        <v>306</v>
      </c>
      <c r="F2717" s="41"/>
      <c r="G2717" s="80" t="s">
        <v>22</v>
      </c>
      <c r="H2717" s="80" t="s">
        <v>1998</v>
      </c>
      <c r="I2717" s="81" t="s">
        <v>1981</v>
      </c>
      <c r="J2717" t="s">
        <v>6</v>
      </c>
    </row>
    <row r="2718" spans="3:10" hidden="1">
      <c r="C2718">
        <v>234004</v>
      </c>
      <c r="D2718" t="s">
        <v>1982</v>
      </c>
      <c r="E2718" t="s">
        <v>1983</v>
      </c>
      <c r="F2718" s="41"/>
      <c r="G2718" s="80" t="s">
        <v>22</v>
      </c>
      <c r="H2718" s="80" t="s">
        <v>1998</v>
      </c>
      <c r="I2718" s="81" t="s">
        <v>1981</v>
      </c>
      <c r="J2718" t="s">
        <v>6</v>
      </c>
    </row>
    <row r="2719" spans="3:10" hidden="1">
      <c r="C2719">
        <v>235000</v>
      </c>
      <c r="D2719" t="s">
        <v>119</v>
      </c>
      <c r="E2719" t="s">
        <v>1984</v>
      </c>
      <c r="F2719" s="41"/>
      <c r="G2719" s="80" t="s">
        <v>18</v>
      </c>
      <c r="H2719" s="80" t="s">
        <v>9</v>
      </c>
      <c r="I2719" s="81" t="s">
        <v>1984</v>
      </c>
      <c r="J2719" t="s">
        <v>6</v>
      </c>
    </row>
    <row r="2720" spans="3:10" hidden="1">
      <c r="C2720">
        <v>235001</v>
      </c>
      <c r="D2720" t="s">
        <v>120</v>
      </c>
      <c r="E2720" t="s">
        <v>1985</v>
      </c>
      <c r="F2720" s="41"/>
      <c r="G2720" s="80" t="s">
        <v>18</v>
      </c>
      <c r="H2720" s="80" t="s">
        <v>9</v>
      </c>
      <c r="I2720" s="81" t="s">
        <v>1984</v>
      </c>
      <c r="J2720" t="s">
        <v>6</v>
      </c>
    </row>
    <row r="2721" spans="3:10" hidden="1">
      <c r="C2721">
        <v>235002</v>
      </c>
      <c r="D2721" t="s">
        <v>49</v>
      </c>
      <c r="E2721" t="s">
        <v>1986</v>
      </c>
      <c r="F2721" s="41"/>
      <c r="G2721" s="80" t="s">
        <v>18</v>
      </c>
      <c r="H2721" s="80" t="s">
        <v>9</v>
      </c>
      <c r="I2721" s="81" t="s">
        <v>1984</v>
      </c>
      <c r="J2721" t="s">
        <v>6</v>
      </c>
    </row>
    <row r="2722" spans="3:10" hidden="1">
      <c r="C2722">
        <v>235003</v>
      </c>
      <c r="D2722" t="s">
        <v>49</v>
      </c>
      <c r="E2722" t="s">
        <v>1987</v>
      </c>
      <c r="F2722" s="41"/>
      <c r="G2722" s="80" t="s">
        <v>18</v>
      </c>
      <c r="H2722" s="80" t="s">
        <v>9</v>
      </c>
      <c r="I2722" s="81" t="s">
        <v>1984</v>
      </c>
      <c r="J2722" t="s">
        <v>6</v>
      </c>
    </row>
    <row r="2723" spans="3:10" hidden="1">
      <c r="C2723">
        <v>235004</v>
      </c>
      <c r="D2723" t="s">
        <v>49</v>
      </c>
      <c r="E2723" t="s">
        <v>1988</v>
      </c>
      <c r="F2723" s="41"/>
      <c r="G2723" s="80" t="s">
        <v>18</v>
      </c>
      <c r="H2723" s="80" t="s">
        <v>9</v>
      </c>
      <c r="I2723" s="81" t="s">
        <v>1984</v>
      </c>
      <c r="J2723" t="s">
        <v>6</v>
      </c>
    </row>
    <row r="2724" spans="3:10" hidden="1">
      <c r="C2724">
        <v>235005</v>
      </c>
      <c r="D2724" t="s">
        <v>49</v>
      </c>
      <c r="E2724" t="s">
        <v>1989</v>
      </c>
      <c r="F2724" s="41"/>
      <c r="G2724" s="80" t="s">
        <v>18</v>
      </c>
      <c r="H2724" s="80" t="s">
        <v>9</v>
      </c>
      <c r="I2724" s="81" t="s">
        <v>1984</v>
      </c>
      <c r="J2724" t="s">
        <v>6</v>
      </c>
    </row>
    <row r="2725" spans="3:10" hidden="1">
      <c r="C2725">
        <v>235006</v>
      </c>
      <c r="D2725" t="s">
        <v>49</v>
      </c>
      <c r="E2725" t="s">
        <v>1990</v>
      </c>
      <c r="F2725" s="41"/>
      <c r="G2725" s="80" t="s">
        <v>18</v>
      </c>
      <c r="H2725" s="80" t="s">
        <v>9</v>
      </c>
      <c r="I2725" s="81" t="s">
        <v>1984</v>
      </c>
      <c r="J2725" t="s">
        <v>6</v>
      </c>
    </row>
    <row r="2726" spans="3:10" hidden="1">
      <c r="C2726">
        <v>235007</v>
      </c>
      <c r="D2726" t="s">
        <v>49</v>
      </c>
      <c r="E2726" t="s">
        <v>1991</v>
      </c>
      <c r="F2726" s="41"/>
      <c r="G2726" s="80" t="s">
        <v>18</v>
      </c>
      <c r="H2726" s="80" t="s">
        <v>9</v>
      </c>
      <c r="I2726" s="81" t="s">
        <v>1984</v>
      </c>
      <c r="J2726" t="s">
        <v>6</v>
      </c>
    </row>
    <row r="2727" spans="3:10" hidden="1">
      <c r="C2727">
        <v>235008</v>
      </c>
      <c r="D2727" t="s">
        <v>49</v>
      </c>
      <c r="E2727" t="s">
        <v>1992</v>
      </c>
      <c r="F2727" s="41"/>
      <c r="G2727" s="80" t="s">
        <v>18</v>
      </c>
      <c r="H2727" s="80" t="s">
        <v>9</v>
      </c>
      <c r="I2727" s="81" t="s">
        <v>1984</v>
      </c>
      <c r="J2727" t="s">
        <v>6</v>
      </c>
    </row>
    <row r="2728" spans="3:10" hidden="1">
      <c r="C2728">
        <v>235009</v>
      </c>
      <c r="D2728" t="s">
        <v>120</v>
      </c>
      <c r="E2728" t="s">
        <v>1993</v>
      </c>
      <c r="F2728" s="41"/>
      <c r="G2728" s="80" t="s">
        <v>18</v>
      </c>
      <c r="H2728" s="80" t="s">
        <v>9</v>
      </c>
      <c r="I2728" s="81" t="s">
        <v>1984</v>
      </c>
      <c r="J2728" t="s">
        <v>6</v>
      </c>
    </row>
    <row r="2729" spans="3:10" hidden="1">
      <c r="C2729">
        <v>235010</v>
      </c>
      <c r="D2729" t="s">
        <v>49</v>
      </c>
      <c r="E2729" t="s">
        <v>1994</v>
      </c>
      <c r="F2729" s="41"/>
      <c r="G2729" s="80" t="s">
        <v>18</v>
      </c>
      <c r="H2729" s="80" t="s">
        <v>9</v>
      </c>
      <c r="I2729" s="81" t="s">
        <v>1984</v>
      </c>
      <c r="J2729" t="s">
        <v>6</v>
      </c>
    </row>
    <row r="2737" spans="5:5">
      <c r="E2737" t="s">
        <v>2002</v>
      </c>
    </row>
    <row r="2739" spans="5:5">
      <c r="E2739" t="s">
        <v>2002</v>
      </c>
    </row>
  </sheetData>
  <sheetProtection sheet="1" sort="0" autoFilter="0" pivotTables="0"/>
  <phoneticPr fontId="2" type="noConversion"/>
  <conditionalFormatting sqref="D1118:F2681 D1117 F1117 D6:F267 D269:F1116 D268 F268">
    <cfRule type="expression" dxfId="254" priority="4">
      <formula>OR($D6 = "checklist",$D6 ="checklist-flat")</formula>
    </cfRule>
  </conditionalFormatting>
  <conditionalFormatting sqref="D1118:I2681 F1117:I1117 D1117 D6:I267 D269:I1116 F268:I268 D268">
    <cfRule type="expression" dxfId="253" priority="625">
      <formula>$D6="Section"</formula>
    </cfRule>
  </conditionalFormatting>
  <conditionalFormatting sqref="A4">
    <cfRule type="expression" dxfId="252" priority="1033">
      <formula>OR($D1117 = "checklist",$D1117 ="checklist-flat")</formula>
    </cfRule>
  </conditionalFormatting>
  <conditionalFormatting sqref="A4">
    <cfRule type="expression" dxfId="251" priority="1035">
      <formula>$D1117="Section"</formula>
    </cfRule>
  </conditionalFormatting>
  <conditionalFormatting sqref="E268">
    <cfRule type="expression" dxfId="250" priority="1149">
      <formula>OR($D268 = "checklist",$D268 ="checklist-flat")</formula>
    </cfRule>
  </conditionalFormatting>
  <conditionalFormatting sqref="E268">
    <cfRule type="expression" dxfId="249" priority="1151">
      <formula>$D268="Section"</formula>
    </cfRule>
  </conditionalFormatting>
  <conditionalFormatting sqref="E2683">
    <cfRule type="expression" dxfId="248" priority="1">
      <formula>OR($D2683 = "checklist",$D2683 ="checklist-flat")</formula>
    </cfRule>
  </conditionalFormatting>
  <conditionalFormatting sqref="E2683">
    <cfRule type="expression" dxfId="247" priority="2">
      <formula>$D2683="Section"</formula>
    </cfRule>
  </conditionalFormatting>
  <conditionalFormatting sqref="D6:E1116 D1118:E2681 D1117 A4 E2683">
    <cfRule type="expression" dxfId="246" priority="1167">
      <formula>COUNTIFS($D$6:$D$2729,$D$6,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M2374"/>
  <sheetViews>
    <sheetView tabSelected="1" topLeftCell="A2052" zoomScale="55" zoomScaleNormal="55" workbookViewId="0">
      <selection activeCell="G2207" sqref="G2207"/>
    </sheetView>
    <sheetView topLeftCell="A2314" zoomScale="89" zoomScaleNormal="89" workbookViewId="1">
      <selection activeCell="H2322" sqref="H2322"/>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1.375" customWidth="1"/>
    <col min="14" max="14" width="29.5" customWidth="1"/>
    <col min="15" max="15" width="18.75" customWidth="1"/>
    <col min="16" max="16" width="15.25" customWidth="1"/>
    <col min="17" max="17" width="16.875" customWidth="1"/>
  </cols>
  <sheetData>
    <row r="3" spans="1:13">
      <c r="A3" t="s">
        <v>5</v>
      </c>
      <c r="B3" t="s">
        <v>1259</v>
      </c>
      <c r="C3" s="10" t="s">
        <v>2003</v>
      </c>
      <c r="D3" t="s">
        <v>2004</v>
      </c>
      <c r="E3" t="s">
        <v>2005</v>
      </c>
      <c r="F3" t="s">
        <v>3</v>
      </c>
      <c r="G3" t="s">
        <v>119</v>
      </c>
      <c r="H3" t="s">
        <v>44</v>
      </c>
      <c r="I3" t="s">
        <v>45</v>
      </c>
      <c r="J3" t="s">
        <v>46</v>
      </c>
      <c r="K3" t="s">
        <v>2006</v>
      </c>
      <c r="L3" t="s">
        <v>2007</v>
      </c>
      <c r="M3" t="s">
        <v>2008</v>
      </c>
    </row>
    <row r="4" spans="1:13" ht="15" customHeight="1">
      <c r="A4" t="s">
        <v>28</v>
      </c>
      <c r="B4" t="str">
        <f ca="1">IF(OR(changes[[#This Row],[Type]]="Checklist",changes[[#This Row],[Type]]="checklist-flat"),1+IF(changes[[#This Row],[Type of change]] = "Edit",COUNTIFS($I$4:changes[[#This Row],[Name]],changes[[#This Row],[Name]], $E$4:changes[[#This Row],[Type of change]], "Edit")),B3)</f>
        <v>Version</v>
      </c>
      <c r="C4" s="20">
        <v>44483</v>
      </c>
      <c r="D4" s="2" t="s">
        <v>2009</v>
      </c>
      <c r="E4" t="s">
        <v>19</v>
      </c>
      <c r="F4" s="14"/>
      <c r="G4" s="14" t="s">
        <v>119</v>
      </c>
      <c r="J4" s="41"/>
    </row>
    <row r="5" spans="1:13">
      <c r="A5" t="s">
        <v>28</v>
      </c>
      <c r="B5" t="str">
        <f ca="1">IF(OR(changes[[#This Row],[Type]]="Checklist",changes[[#This Row],[Type]]="checklist-flat"),1+IF(changes[[#This Row],[Type of change]] = "Edit",COUNTIFS($I$4:changes[[#This Row],[Name]],changes[[#This Row],[Name]], $E$4:changes[[#This Row],[Type of change]], "Edit")),B4)</f>
        <v>Version</v>
      </c>
      <c r="C5" s="20">
        <v>44483</v>
      </c>
      <c r="D5" s="2" t="s">
        <v>2009</v>
      </c>
      <c r="E5" t="s">
        <v>19</v>
      </c>
      <c r="F5" s="14"/>
      <c r="G5" s="14" t="s">
        <v>119</v>
      </c>
    </row>
    <row r="6" spans="1:13" ht="15.75">
      <c r="A6" t="s">
        <v>28</v>
      </c>
      <c r="B6">
        <f ca="1">IF(OR(changes[[#This Row],[Type]]="Checklist",changes[[#This Row],[Type]]="checklist-flat"),1+IF(changes[[#This Row],[Type of change]] = "Edit",COUNTIFS($I$4:changes[[#This Row],[Name]],changes[[#This Row],[Name]], $E$4:changes[[#This Row],[Type of change]], "Edit")),B5)</f>
        <v>2</v>
      </c>
      <c r="C6" s="20">
        <v>44483</v>
      </c>
      <c r="D6" s="2" t="s">
        <v>2010</v>
      </c>
      <c r="E6" t="s">
        <v>15</v>
      </c>
      <c r="F6" s="14"/>
      <c r="G6" s="14" t="s">
        <v>1346</v>
      </c>
      <c r="H6" s="15" t="s">
        <v>119</v>
      </c>
      <c r="I6" s="15" t="s">
        <v>1346</v>
      </c>
      <c r="J6" s="3"/>
      <c r="K6" s="3"/>
      <c r="M6" s="3"/>
    </row>
    <row r="7" spans="1:13" ht="15.75">
      <c r="A7" t="s">
        <v>28</v>
      </c>
      <c r="B7">
        <f ca="1">IF(OR(changes[[#This Row],[Type]]="Checklist",changes[[#This Row],[Type]]="checklist-flat"),1+IF(changes[[#This Row],[Type of change]] = "Edit",COUNTIFS($I$4:changes[[#This Row],[Name]],changes[[#This Row],[Name]], $E$4:changes[[#This Row],[Type of change]], "Edit")),B6)</f>
        <v>2</v>
      </c>
      <c r="C7" s="20">
        <v>44483</v>
      </c>
      <c r="D7" s="2" t="s">
        <v>2010</v>
      </c>
      <c r="E7" t="s">
        <v>15</v>
      </c>
      <c r="F7" s="14"/>
      <c r="G7" s="14" t="s">
        <v>1346</v>
      </c>
      <c r="H7" s="15" t="s">
        <v>49</v>
      </c>
      <c r="I7" s="15" t="s">
        <v>403</v>
      </c>
      <c r="J7" s="3"/>
      <c r="K7" s="3"/>
      <c r="M7" s="3"/>
    </row>
    <row r="8" spans="1:13" ht="15.75">
      <c r="A8" t="s">
        <v>28</v>
      </c>
      <c r="B8">
        <f ca="1">IF(OR(changes[[#This Row],[Type]]="Checklist",changes[[#This Row],[Type]]="checklist-flat"),1+IF(changes[[#This Row],[Type of change]] = "Edit",COUNTIFS($I$4:changes[[#This Row],[Name]],changes[[#This Row],[Name]], $E$4:changes[[#This Row],[Type of change]], "Edit")),B7)</f>
        <v>2</v>
      </c>
      <c r="C8" s="20">
        <v>44483</v>
      </c>
      <c r="D8" s="2" t="s">
        <v>2010</v>
      </c>
      <c r="E8" t="s">
        <v>15</v>
      </c>
      <c r="F8" s="14"/>
      <c r="G8" s="14" t="s">
        <v>1346</v>
      </c>
      <c r="H8" s="15" t="s">
        <v>1739</v>
      </c>
      <c r="I8" s="15" t="s">
        <v>404</v>
      </c>
      <c r="J8" s="3"/>
      <c r="K8" s="3"/>
      <c r="M8" s="3"/>
    </row>
    <row r="9" spans="1:13" ht="15.75">
      <c r="A9" t="s">
        <v>28</v>
      </c>
      <c r="B9">
        <f ca="1">IF(OR(changes[[#This Row],[Type]]="Checklist",changes[[#This Row],[Type]]="checklist-flat"),1+IF(changes[[#This Row],[Type of change]] = "Edit",COUNTIFS($I$4:changes[[#This Row],[Name]],changes[[#This Row],[Name]], $E$4:changes[[#This Row],[Type of change]], "Edit")),B8)</f>
        <v>2</v>
      </c>
      <c r="C9" s="20">
        <v>44483</v>
      </c>
      <c r="D9" s="2" t="s">
        <v>2010</v>
      </c>
      <c r="E9" t="s">
        <v>15</v>
      </c>
      <c r="F9" s="14"/>
      <c r="G9" s="14" t="s">
        <v>1346</v>
      </c>
      <c r="H9" s="15" t="s">
        <v>1739</v>
      </c>
      <c r="I9" s="15" t="s">
        <v>405</v>
      </c>
      <c r="J9" s="3"/>
      <c r="K9" s="3"/>
      <c r="M9" s="3"/>
    </row>
    <row r="10" spans="1:13" ht="15.75">
      <c r="A10" t="s">
        <v>28</v>
      </c>
      <c r="B10">
        <f ca="1">IF(OR(changes[[#This Row],[Type]]="Checklist",changes[[#This Row],[Type]]="checklist-flat"),1+IF(changes[[#This Row],[Type of change]] = "Edit",COUNTIFS($I$4:changes[[#This Row],[Name]],changes[[#This Row],[Name]], $E$4:changes[[#This Row],[Type of change]], "Edit")),B9)</f>
        <v>2</v>
      </c>
      <c r="C10" s="20">
        <v>44483</v>
      </c>
      <c r="D10" s="2" t="s">
        <v>2010</v>
      </c>
      <c r="E10" t="s">
        <v>15</v>
      </c>
      <c r="F10" s="14"/>
      <c r="G10" s="14" t="s">
        <v>1346</v>
      </c>
      <c r="H10" s="15" t="s">
        <v>1739</v>
      </c>
      <c r="I10" s="15" t="s">
        <v>406</v>
      </c>
      <c r="J10" s="3"/>
      <c r="K10" s="3"/>
      <c r="M10" s="3"/>
    </row>
    <row r="11" spans="1:13" ht="15.75">
      <c r="A11" t="s">
        <v>28</v>
      </c>
      <c r="B11">
        <f ca="1">IF(OR(changes[[#This Row],[Type]]="Checklist",changes[[#This Row],[Type]]="checklist-flat"),1+IF(changes[[#This Row],[Type of change]] = "Edit",COUNTIFS($I$4:changes[[#This Row],[Name]],changes[[#This Row],[Name]], $E$4:changes[[#This Row],[Type of change]], "Edit")),B10)</f>
        <v>2</v>
      </c>
      <c r="C11" s="20">
        <v>44483</v>
      </c>
      <c r="D11" s="2" t="s">
        <v>2010</v>
      </c>
      <c r="E11" t="s">
        <v>15</v>
      </c>
      <c r="F11" s="14"/>
      <c r="G11" s="14" t="s">
        <v>1346</v>
      </c>
      <c r="H11" s="15" t="s">
        <v>1739</v>
      </c>
      <c r="I11" s="15" t="s">
        <v>407</v>
      </c>
      <c r="J11" s="3"/>
      <c r="K11" s="3"/>
      <c r="M11" s="3"/>
    </row>
    <row r="12" spans="1:13" ht="15.75">
      <c r="A12" t="s">
        <v>28</v>
      </c>
      <c r="B12">
        <f ca="1">IF(OR(changes[[#This Row],[Type]]="Checklist",changes[[#This Row],[Type]]="checklist-flat"),1+IF(changes[[#This Row],[Type of change]] = "Edit",COUNTIFS($I$4:changes[[#This Row],[Name]],changes[[#This Row],[Name]], $E$4:changes[[#This Row],[Type of change]], "Edit")),B11)</f>
        <v>2</v>
      </c>
      <c r="C12" s="20">
        <v>44483</v>
      </c>
      <c r="D12" s="2" t="s">
        <v>2010</v>
      </c>
      <c r="E12" t="s">
        <v>15</v>
      </c>
      <c r="F12" s="14"/>
      <c r="G12" s="14" t="s">
        <v>1346</v>
      </c>
      <c r="H12" s="15" t="s">
        <v>49</v>
      </c>
      <c r="I12" s="15" t="s">
        <v>408</v>
      </c>
      <c r="J12" s="3"/>
      <c r="K12" s="3"/>
      <c r="M12" s="3"/>
    </row>
    <row r="13" spans="1:13" ht="15.75">
      <c r="A13" t="s">
        <v>28</v>
      </c>
      <c r="B13">
        <f ca="1">IF(OR(changes[[#This Row],[Type]]="Checklist",changes[[#This Row],[Type]]="checklist-flat"),1+IF(changes[[#This Row],[Type of change]] = "Edit",COUNTIFS($I$4:changes[[#This Row],[Name]],changes[[#This Row],[Name]], $E$4:changes[[#This Row],[Type of change]], "Edit")),B12)</f>
        <v>2</v>
      </c>
      <c r="C13" s="20">
        <v>44483</v>
      </c>
      <c r="D13" s="2" t="s">
        <v>2010</v>
      </c>
      <c r="E13" t="s">
        <v>15</v>
      </c>
      <c r="F13" s="14"/>
      <c r="G13" s="14" t="s">
        <v>1346</v>
      </c>
      <c r="H13" s="15" t="s">
        <v>49</v>
      </c>
      <c r="I13" s="15" t="s">
        <v>409</v>
      </c>
      <c r="J13" s="3"/>
      <c r="K13" s="3"/>
      <c r="M13" s="3"/>
    </row>
    <row r="14" spans="1:13" ht="15.75">
      <c r="A14" t="s">
        <v>28</v>
      </c>
      <c r="B14">
        <f ca="1">IF(OR(changes[[#This Row],[Type]]="Checklist",changes[[#This Row],[Type]]="checklist-flat"),1+IF(changes[[#This Row],[Type of change]] = "Edit",COUNTIFS($I$4:changes[[#This Row],[Name]],changes[[#This Row],[Name]], $E$4:changes[[#This Row],[Type of change]], "Edit")),B13)</f>
        <v>2</v>
      </c>
      <c r="C14" s="20">
        <v>44483</v>
      </c>
      <c r="D14" s="2" t="s">
        <v>2010</v>
      </c>
      <c r="E14" t="s">
        <v>15</v>
      </c>
      <c r="F14" s="14"/>
      <c r="G14" s="14" t="s">
        <v>1346</v>
      </c>
      <c r="H14" s="15" t="s">
        <v>1739</v>
      </c>
      <c r="I14" s="15" t="s">
        <v>410</v>
      </c>
      <c r="J14" s="3"/>
      <c r="K14" s="3"/>
      <c r="M14" s="3"/>
    </row>
    <row r="15" spans="1:13" ht="15.75">
      <c r="A15" t="s">
        <v>28</v>
      </c>
      <c r="B15">
        <f ca="1">IF(OR(changes[[#This Row],[Type]]="Checklist",changes[[#This Row],[Type]]="checklist-flat"),1+IF(changes[[#This Row],[Type of change]] = "Edit",COUNTIFS($I$4:changes[[#This Row],[Name]],changes[[#This Row],[Name]], $E$4:changes[[#This Row],[Type of change]], "Edit")),B14)</f>
        <v>2</v>
      </c>
      <c r="C15" s="20">
        <v>44483</v>
      </c>
      <c r="D15" s="2" t="s">
        <v>2010</v>
      </c>
      <c r="E15" t="s">
        <v>15</v>
      </c>
      <c r="F15" s="14"/>
      <c r="G15" s="14" t="s">
        <v>1346</v>
      </c>
      <c r="H15" s="15" t="s">
        <v>49</v>
      </c>
      <c r="I15" s="15" t="s">
        <v>408</v>
      </c>
      <c r="J15" s="3"/>
      <c r="K15" s="3"/>
      <c r="M15" s="3"/>
    </row>
    <row r="16" spans="1:13" ht="15.75">
      <c r="A16" t="s">
        <v>28</v>
      </c>
      <c r="B16">
        <f ca="1">IF(OR(changes[[#This Row],[Type]]="Checklist",changes[[#This Row],[Type]]="checklist-flat"),1+IF(changes[[#This Row],[Type of change]] = "Edit",COUNTIFS($I$4:changes[[#This Row],[Name]],changes[[#This Row],[Name]], $E$4:changes[[#This Row],[Type of change]], "Edit")),B15)</f>
        <v>2</v>
      </c>
      <c r="C16" s="20">
        <v>44483</v>
      </c>
      <c r="D16" s="2" t="s">
        <v>2010</v>
      </c>
      <c r="E16" t="s">
        <v>15</v>
      </c>
      <c r="F16" s="14"/>
      <c r="G16" s="14" t="s">
        <v>1346</v>
      </c>
      <c r="H16" s="15" t="s">
        <v>49</v>
      </c>
      <c r="I16" s="15" t="s">
        <v>1263</v>
      </c>
      <c r="J16" s="3"/>
      <c r="K16" s="3"/>
      <c r="M16" s="3"/>
    </row>
    <row r="17" spans="1:13" ht="15.75">
      <c r="A17" t="s">
        <v>28</v>
      </c>
      <c r="B17">
        <f ca="1">IF(OR(changes[[#This Row],[Type]]="Checklist",changes[[#This Row],[Type]]="checklist-flat"),1+IF(changes[[#This Row],[Type of change]] = "Edit",COUNTIFS($I$4:changes[[#This Row],[Name]],changes[[#This Row],[Name]], $E$4:changes[[#This Row],[Type of change]], "Edit")),B16)</f>
        <v>3</v>
      </c>
      <c r="C17" s="20">
        <v>44483</v>
      </c>
      <c r="D17" s="2" t="s">
        <v>2010</v>
      </c>
      <c r="E17" t="s">
        <v>15</v>
      </c>
      <c r="F17" s="14"/>
      <c r="G17" s="14" t="s">
        <v>1346</v>
      </c>
      <c r="H17" s="15" t="s">
        <v>119</v>
      </c>
      <c r="I17" s="15" t="s">
        <v>1346</v>
      </c>
      <c r="J17" s="3"/>
      <c r="K17" s="3"/>
      <c r="M17" s="3"/>
    </row>
    <row r="18" spans="1:13" ht="15.75">
      <c r="A18" t="s">
        <v>28</v>
      </c>
      <c r="B18">
        <f ca="1">IF(OR(changes[[#This Row],[Type]]="Checklist",changes[[#This Row],[Type]]="checklist-flat"),1+IF(changes[[#This Row],[Type of change]] = "Edit",COUNTIFS($I$4:changes[[#This Row],[Name]],changes[[#This Row],[Name]], $E$4:changes[[#This Row],[Type of change]], "Edit")),B17)</f>
        <v>3</v>
      </c>
      <c r="C18" s="20">
        <v>44483</v>
      </c>
      <c r="D18" s="2" t="s">
        <v>2010</v>
      </c>
      <c r="E18" t="s">
        <v>15</v>
      </c>
      <c r="F18" s="14"/>
      <c r="G18" s="14" t="s">
        <v>1346</v>
      </c>
      <c r="H18" s="15" t="s">
        <v>49</v>
      </c>
      <c r="I18" s="15" t="s">
        <v>403</v>
      </c>
      <c r="J18" s="3"/>
      <c r="K18" s="3"/>
      <c r="M18" s="3"/>
    </row>
    <row r="19" spans="1:13" ht="15.75">
      <c r="A19" t="s">
        <v>28</v>
      </c>
      <c r="B19">
        <f ca="1">IF(OR(changes[[#This Row],[Type]]="Checklist",changes[[#This Row],[Type]]="checklist-flat"),1+IF(changes[[#This Row],[Type of change]] = "Edit",COUNTIFS($I$4:changes[[#This Row],[Name]],changes[[#This Row],[Name]], $E$4:changes[[#This Row],[Type of change]], "Edit")),B18)</f>
        <v>3</v>
      </c>
      <c r="C19" s="20">
        <v>44483</v>
      </c>
      <c r="D19" s="2" t="s">
        <v>2010</v>
      </c>
      <c r="E19" t="s">
        <v>15</v>
      </c>
      <c r="F19" s="14"/>
      <c r="G19" s="14" t="s">
        <v>1346</v>
      </c>
      <c r="H19" s="15" t="s">
        <v>1739</v>
      </c>
      <c r="I19" s="15" t="s">
        <v>404</v>
      </c>
      <c r="J19" s="3"/>
      <c r="K19" s="3"/>
      <c r="M19" s="3"/>
    </row>
    <row r="20" spans="1:13" ht="15.75">
      <c r="A20" t="s">
        <v>28</v>
      </c>
      <c r="B20">
        <f ca="1">IF(OR(changes[[#This Row],[Type]]="Checklist",changes[[#This Row],[Type]]="checklist-flat"),1+IF(changes[[#This Row],[Type of change]] = "Edit",COUNTIFS($I$4:changes[[#This Row],[Name]],changes[[#This Row],[Name]], $E$4:changes[[#This Row],[Type of change]], "Edit")),B19)</f>
        <v>3</v>
      </c>
      <c r="C20" s="20">
        <v>44483</v>
      </c>
      <c r="D20" s="2" t="s">
        <v>2010</v>
      </c>
      <c r="E20" t="s">
        <v>15</v>
      </c>
      <c r="F20" s="14"/>
      <c r="G20" s="14" t="s">
        <v>1346</v>
      </c>
      <c r="H20" s="15" t="s">
        <v>1739</v>
      </c>
      <c r="I20" s="15" t="s">
        <v>405</v>
      </c>
      <c r="J20" s="3"/>
      <c r="K20" s="3"/>
      <c r="M20" s="3"/>
    </row>
    <row r="21" spans="1:13" ht="15.75">
      <c r="A21" t="s">
        <v>28</v>
      </c>
      <c r="B21">
        <f ca="1">IF(OR(changes[[#This Row],[Type]]="Checklist",changes[[#This Row],[Type]]="checklist-flat"),1+IF(changes[[#This Row],[Type of change]] = "Edit",COUNTIFS($I$4:changes[[#This Row],[Name]],changes[[#This Row],[Name]], $E$4:changes[[#This Row],[Type of change]], "Edit")),B20)</f>
        <v>3</v>
      </c>
      <c r="C21" s="20">
        <v>44483</v>
      </c>
      <c r="D21" s="2" t="s">
        <v>2010</v>
      </c>
      <c r="E21" t="s">
        <v>15</v>
      </c>
      <c r="F21" s="14"/>
      <c r="G21" s="14" t="s">
        <v>1346</v>
      </c>
      <c r="H21" s="15" t="s">
        <v>1739</v>
      </c>
      <c r="I21" s="15" t="s">
        <v>406</v>
      </c>
      <c r="J21" s="3"/>
      <c r="K21" s="3"/>
      <c r="M21" s="3"/>
    </row>
    <row r="22" spans="1:13" ht="15.75">
      <c r="A22" t="s">
        <v>28</v>
      </c>
      <c r="B22">
        <f ca="1">IF(OR(changes[[#This Row],[Type]]="Checklist",changes[[#This Row],[Type]]="checklist-flat"),1+IF(changes[[#This Row],[Type of change]] = "Edit",COUNTIFS($I$4:changes[[#This Row],[Name]],changes[[#This Row],[Name]], $E$4:changes[[#This Row],[Type of change]], "Edit")),B21)</f>
        <v>3</v>
      </c>
      <c r="C22" s="20">
        <v>44483</v>
      </c>
      <c r="D22" s="2" t="s">
        <v>2010</v>
      </c>
      <c r="E22" t="s">
        <v>15</v>
      </c>
      <c r="F22" s="14"/>
      <c r="G22" s="14" t="s">
        <v>1346</v>
      </c>
      <c r="H22" s="15" t="s">
        <v>1739</v>
      </c>
      <c r="I22" s="15" t="s">
        <v>407</v>
      </c>
      <c r="J22" s="3"/>
      <c r="K22" s="3"/>
      <c r="M22" s="3"/>
    </row>
    <row r="23" spans="1:13" ht="15.75">
      <c r="A23" t="s">
        <v>28</v>
      </c>
      <c r="B23">
        <f ca="1">IF(OR(changes[[#This Row],[Type]]="Checklist",changes[[#This Row],[Type]]="checklist-flat"),1+IF(changes[[#This Row],[Type of change]] = "Edit",COUNTIFS($I$4:changes[[#This Row],[Name]],changes[[#This Row],[Name]], $E$4:changes[[#This Row],[Type of change]], "Edit")),B22)</f>
        <v>3</v>
      </c>
      <c r="C23" s="20">
        <v>44483</v>
      </c>
      <c r="D23" s="2" t="s">
        <v>2010</v>
      </c>
      <c r="E23" t="s">
        <v>15</v>
      </c>
      <c r="F23" s="14"/>
      <c r="G23" s="14" t="s">
        <v>1346</v>
      </c>
      <c r="H23" s="15" t="s">
        <v>49</v>
      </c>
      <c r="I23" s="15" t="s">
        <v>408</v>
      </c>
      <c r="J23" s="3"/>
      <c r="K23" s="3"/>
      <c r="M23" s="3"/>
    </row>
    <row r="24" spans="1:13" ht="15.75">
      <c r="A24" t="s">
        <v>28</v>
      </c>
      <c r="B24">
        <f ca="1">IF(OR(changes[[#This Row],[Type]]="Checklist",changes[[#This Row],[Type]]="checklist-flat"),1+IF(changes[[#This Row],[Type of change]] = "Edit",COUNTIFS($I$4:changes[[#This Row],[Name]],changes[[#This Row],[Name]], $E$4:changes[[#This Row],[Type of change]], "Edit")),B23)</f>
        <v>3</v>
      </c>
      <c r="C24" s="20">
        <v>44483</v>
      </c>
      <c r="D24" s="2" t="s">
        <v>2010</v>
      </c>
      <c r="E24" t="s">
        <v>15</v>
      </c>
      <c r="F24" s="14"/>
      <c r="G24" s="14" t="s">
        <v>1346</v>
      </c>
      <c r="H24" s="15" t="s">
        <v>49</v>
      </c>
      <c r="I24" s="15" t="s">
        <v>409</v>
      </c>
      <c r="J24" s="3"/>
      <c r="K24" s="3"/>
      <c r="M24" s="3"/>
    </row>
    <row r="25" spans="1:13" ht="15.75">
      <c r="A25" t="s">
        <v>28</v>
      </c>
      <c r="B25">
        <f ca="1">IF(OR(changes[[#This Row],[Type]]="Checklist",changes[[#This Row],[Type]]="checklist-flat"),1+IF(changes[[#This Row],[Type of change]] = "Edit",COUNTIFS($I$4:changes[[#This Row],[Name]],changes[[#This Row],[Name]], $E$4:changes[[#This Row],[Type of change]], "Edit")),B24)</f>
        <v>3</v>
      </c>
      <c r="C25" s="20">
        <v>44483</v>
      </c>
      <c r="D25" s="2" t="s">
        <v>2010</v>
      </c>
      <c r="E25" t="s">
        <v>15</v>
      </c>
      <c r="F25" s="14"/>
      <c r="G25" s="14" t="s">
        <v>1346</v>
      </c>
      <c r="H25" s="15" t="s">
        <v>1739</v>
      </c>
      <c r="I25" s="15" t="s">
        <v>410</v>
      </c>
      <c r="J25" s="3"/>
      <c r="K25" s="3"/>
      <c r="M25" s="3"/>
    </row>
    <row r="26" spans="1:13" ht="15.75">
      <c r="A26" t="s">
        <v>28</v>
      </c>
      <c r="B26">
        <f ca="1">IF(OR(changes[[#This Row],[Type]]="Checklist",changes[[#This Row],[Type]]="checklist-flat"),1+IF(changes[[#This Row],[Type of change]] = "Edit",COUNTIFS($I$4:changes[[#This Row],[Name]],changes[[#This Row],[Name]], $E$4:changes[[#This Row],[Type of change]], "Edit")),B25)</f>
        <v>3</v>
      </c>
      <c r="C26" s="20">
        <v>44483</v>
      </c>
      <c r="D26" s="2" t="s">
        <v>2010</v>
      </c>
      <c r="E26" t="s">
        <v>15</v>
      </c>
      <c r="F26" s="14"/>
      <c r="G26" s="14" t="s">
        <v>1346</v>
      </c>
      <c r="H26" s="15" t="s">
        <v>49</v>
      </c>
      <c r="I26" s="15" t="s">
        <v>408</v>
      </c>
      <c r="J26" s="3"/>
      <c r="K26" s="3"/>
      <c r="M26" s="3"/>
    </row>
    <row r="27" spans="1:13" ht="15.75">
      <c r="A27" t="s">
        <v>28</v>
      </c>
      <c r="B27">
        <f ca="1">IF(OR(changes[[#This Row],[Type]]="Checklist",changes[[#This Row],[Type]]="checklist-flat"),1+IF(changes[[#This Row],[Type of change]] = "Edit",COUNTIFS($I$4:changes[[#This Row],[Name]],changes[[#This Row],[Name]], $E$4:changes[[#This Row],[Type of change]], "Edit")),B26)</f>
        <v>3</v>
      </c>
      <c r="C27" s="20">
        <v>44483</v>
      </c>
      <c r="D27" s="2" t="s">
        <v>2010</v>
      </c>
      <c r="E27" t="s">
        <v>15</v>
      </c>
      <c r="F27" s="14"/>
      <c r="G27" s="14" t="s">
        <v>1346</v>
      </c>
      <c r="H27" s="15" t="s">
        <v>49</v>
      </c>
      <c r="I27" s="15" t="s">
        <v>1264</v>
      </c>
      <c r="J27" s="3"/>
      <c r="K27" s="3"/>
      <c r="M27" s="3"/>
    </row>
    <row r="28" spans="1:13" ht="15.75">
      <c r="A28" t="s">
        <v>28</v>
      </c>
      <c r="B28">
        <f ca="1">IF(OR(changes[[#This Row],[Type]]="Checklist",changes[[#This Row],[Type]]="checklist-flat"),1+IF(changes[[#This Row],[Type of change]] = "Edit",COUNTIFS($I$4:changes[[#This Row],[Name]],changes[[#This Row],[Name]], $E$4:changes[[#This Row],[Type of change]], "Edit")),B27)</f>
        <v>3</v>
      </c>
      <c r="C28" s="20">
        <v>44483</v>
      </c>
      <c r="D28" s="2" t="s">
        <v>2010</v>
      </c>
      <c r="E28" t="s">
        <v>15</v>
      </c>
      <c r="F28" s="14"/>
      <c r="G28" s="14" t="s">
        <v>1346</v>
      </c>
      <c r="H28" s="15" t="s">
        <v>1119</v>
      </c>
      <c r="I28" s="15" t="s">
        <v>306</v>
      </c>
      <c r="J28" s="3"/>
      <c r="K28" s="3"/>
      <c r="M28" s="3"/>
    </row>
    <row r="29" spans="1:13" ht="15.75">
      <c r="A29" t="s">
        <v>28</v>
      </c>
      <c r="B29">
        <f ca="1">IF(OR(changes[[#This Row],[Type]]="Checklist",changes[[#This Row],[Type]]="checklist-flat"),1+IF(changes[[#This Row],[Type of change]] = "Edit",COUNTIFS($I$4:changes[[#This Row],[Name]],changes[[#This Row],[Name]], $E$4:changes[[#This Row],[Type of change]], "Edit")),B28)</f>
        <v>3</v>
      </c>
      <c r="C29" s="20">
        <v>44483</v>
      </c>
      <c r="D29" s="2" t="s">
        <v>2010</v>
      </c>
      <c r="E29" t="s">
        <v>15</v>
      </c>
      <c r="F29" s="14"/>
      <c r="G29" s="14" t="s">
        <v>1346</v>
      </c>
      <c r="H29" s="15" t="s">
        <v>49</v>
      </c>
      <c r="I29" s="15" t="s">
        <v>380</v>
      </c>
      <c r="J29" s="3"/>
      <c r="K29" s="3"/>
      <c r="M29" s="3"/>
    </row>
    <row r="30" spans="1:13" ht="15.75">
      <c r="A30" t="s">
        <v>28</v>
      </c>
      <c r="B30">
        <f ca="1">IF(OR(changes[[#This Row],[Type]]="Checklist",changes[[#This Row],[Type]]="checklist-flat"),1+IF(changes[[#This Row],[Type of change]] = "Edit",COUNTIFS($I$4:changes[[#This Row],[Name]],changes[[#This Row],[Name]], $E$4:changes[[#This Row],[Type of change]], "Edit")),B29)</f>
        <v>2</v>
      </c>
      <c r="C30" s="20">
        <v>44483</v>
      </c>
      <c r="D30" s="2" t="s">
        <v>2010</v>
      </c>
      <c r="E30" t="s">
        <v>15</v>
      </c>
      <c r="F30" s="14"/>
      <c r="G30" s="14" t="s">
        <v>417</v>
      </c>
      <c r="H30" s="15" t="s">
        <v>119</v>
      </c>
      <c r="I30" s="15" t="s">
        <v>417</v>
      </c>
      <c r="J30" s="3"/>
      <c r="K30" s="3"/>
      <c r="M30" s="3"/>
    </row>
    <row r="31" spans="1:13" ht="15.75">
      <c r="A31" t="s">
        <v>28</v>
      </c>
      <c r="B31">
        <f ca="1">IF(OR(changes[[#This Row],[Type]]="Checklist",changes[[#This Row],[Type]]="checklist-flat"),1+IF(changes[[#This Row],[Type of change]] = "Edit",COUNTIFS($I$4:changes[[#This Row],[Name]],changes[[#This Row],[Name]], $E$4:changes[[#This Row],[Type of change]], "Edit")),B30)</f>
        <v>2</v>
      </c>
      <c r="C31" s="20">
        <v>44483</v>
      </c>
      <c r="D31" s="2" t="s">
        <v>2010</v>
      </c>
      <c r="E31" t="s">
        <v>15</v>
      </c>
      <c r="F31" s="14"/>
      <c r="G31" s="14" t="s">
        <v>417</v>
      </c>
      <c r="H31" s="15" t="s">
        <v>120</v>
      </c>
      <c r="I31" s="15" t="s">
        <v>418</v>
      </c>
      <c r="J31" s="3"/>
      <c r="K31" s="3"/>
      <c r="M31" s="3"/>
    </row>
    <row r="32" spans="1:13" ht="15.75">
      <c r="A32" t="s">
        <v>28</v>
      </c>
      <c r="B32">
        <f ca="1">IF(OR(changes[[#This Row],[Type]]="Checklist",changes[[#This Row],[Type]]="checklist-flat"),1+IF(changes[[#This Row],[Type of change]] = "Edit",COUNTIFS($I$4:changes[[#This Row],[Name]],changes[[#This Row],[Name]], $E$4:changes[[#This Row],[Type of change]], "Edit")),B31)</f>
        <v>2</v>
      </c>
      <c r="C32" s="20">
        <v>44483</v>
      </c>
      <c r="D32" s="2" t="s">
        <v>2010</v>
      </c>
      <c r="E32" t="s">
        <v>15</v>
      </c>
      <c r="F32" s="14"/>
      <c r="G32" s="14" t="s">
        <v>417</v>
      </c>
      <c r="H32" s="15" t="s">
        <v>49</v>
      </c>
      <c r="I32" s="15" t="s">
        <v>419</v>
      </c>
      <c r="J32" s="3"/>
      <c r="K32" s="3"/>
      <c r="M32" s="3"/>
    </row>
    <row r="33" spans="1:13" ht="15.75">
      <c r="A33" t="s">
        <v>28</v>
      </c>
      <c r="B33">
        <f ca="1">IF(OR(changes[[#This Row],[Type]]="Checklist",changes[[#This Row],[Type]]="checklist-flat"),1+IF(changes[[#This Row],[Type of change]] = "Edit",COUNTIFS($I$4:changes[[#This Row],[Name]],changes[[#This Row],[Name]], $E$4:changes[[#This Row],[Type of change]], "Edit")),B32)</f>
        <v>2</v>
      </c>
      <c r="C33" s="20">
        <v>44483</v>
      </c>
      <c r="D33" s="2" t="s">
        <v>2010</v>
      </c>
      <c r="E33" t="s">
        <v>15</v>
      </c>
      <c r="F33" s="14"/>
      <c r="G33" s="14" t="s">
        <v>417</v>
      </c>
      <c r="H33" s="15" t="s">
        <v>49</v>
      </c>
      <c r="I33" s="15" t="s">
        <v>421</v>
      </c>
      <c r="J33" s="3"/>
      <c r="K33" s="3"/>
      <c r="M33" s="3"/>
    </row>
    <row r="34" spans="1:13" ht="15.75">
      <c r="A34" t="s">
        <v>28</v>
      </c>
      <c r="B34">
        <f ca="1">IF(OR(changes[[#This Row],[Type]]="Checklist",changes[[#This Row],[Type]]="checklist-flat"),1+IF(changes[[#This Row],[Type of change]] = "Edit",COUNTIFS($I$4:changes[[#This Row],[Name]],changes[[#This Row],[Name]], $E$4:changes[[#This Row],[Type of change]], "Edit")),B33)</f>
        <v>2</v>
      </c>
      <c r="C34" s="20">
        <v>44483</v>
      </c>
      <c r="D34" s="2" t="s">
        <v>2010</v>
      </c>
      <c r="E34" t="s">
        <v>15</v>
      </c>
      <c r="F34" s="14"/>
      <c r="G34" s="14" t="s">
        <v>417</v>
      </c>
      <c r="H34" s="15" t="s">
        <v>120</v>
      </c>
      <c r="I34" s="15" t="s">
        <v>422</v>
      </c>
      <c r="J34" s="3"/>
      <c r="K34" s="3"/>
      <c r="M34" s="3"/>
    </row>
    <row r="35" spans="1:13" ht="15.75">
      <c r="A35" t="s">
        <v>28</v>
      </c>
      <c r="B35">
        <f ca="1">IF(OR(changes[[#This Row],[Type]]="Checklist",changes[[#This Row],[Type]]="checklist-flat"),1+IF(changes[[#This Row],[Type of change]] = "Edit",COUNTIFS($I$4:changes[[#This Row],[Name]],changes[[#This Row],[Name]], $E$4:changes[[#This Row],[Type of change]], "Edit")),B34)</f>
        <v>2</v>
      </c>
      <c r="C35" s="20">
        <v>44483</v>
      </c>
      <c r="D35" s="2" t="s">
        <v>2010</v>
      </c>
      <c r="E35" t="s">
        <v>15</v>
      </c>
      <c r="F35" s="14"/>
      <c r="G35" s="14" t="s">
        <v>417</v>
      </c>
      <c r="H35" s="15" t="s">
        <v>49</v>
      </c>
      <c r="I35" s="15" t="s">
        <v>423</v>
      </c>
      <c r="J35" s="3"/>
      <c r="K35" s="3"/>
      <c r="M35" s="3"/>
    </row>
    <row r="36" spans="1:13" ht="15.75">
      <c r="A36" t="s">
        <v>28</v>
      </c>
      <c r="B36">
        <f ca="1">IF(OR(changes[[#This Row],[Type]]="Checklist",changes[[#This Row],[Type]]="checklist-flat"),1+IF(changes[[#This Row],[Type of change]] = "Edit",COUNTIFS($I$4:changes[[#This Row],[Name]],changes[[#This Row],[Name]], $E$4:changes[[#This Row],[Type of change]], "Edit")),B35)</f>
        <v>2</v>
      </c>
      <c r="C36" s="20">
        <v>44483</v>
      </c>
      <c r="D36" s="2" t="s">
        <v>2010</v>
      </c>
      <c r="E36" t="s">
        <v>15</v>
      </c>
      <c r="F36" s="14"/>
      <c r="G36" s="14" t="s">
        <v>417</v>
      </c>
      <c r="H36" s="15" t="s">
        <v>49</v>
      </c>
      <c r="I36" s="15" t="s">
        <v>424</v>
      </c>
      <c r="J36" s="3"/>
      <c r="K36" s="3"/>
      <c r="M36" s="3"/>
    </row>
    <row r="37" spans="1:13" ht="15.75">
      <c r="A37" t="s">
        <v>28</v>
      </c>
      <c r="B37">
        <f ca="1">IF(OR(changes[[#This Row],[Type]]="Checklist",changes[[#This Row],[Type]]="checklist-flat"),1+IF(changes[[#This Row],[Type of change]] = "Edit",COUNTIFS($I$4:changes[[#This Row],[Name]],changes[[#This Row],[Name]], $E$4:changes[[#This Row],[Type of change]], "Edit")),B36)</f>
        <v>2</v>
      </c>
      <c r="C37" s="20">
        <v>44483</v>
      </c>
      <c r="D37" s="2" t="s">
        <v>2010</v>
      </c>
      <c r="E37" t="s">
        <v>15</v>
      </c>
      <c r="F37" s="14"/>
      <c r="G37" s="14" t="s">
        <v>417</v>
      </c>
      <c r="H37" s="15" t="s">
        <v>49</v>
      </c>
      <c r="I37" s="15" t="s">
        <v>425</v>
      </c>
      <c r="J37" s="3"/>
      <c r="K37" s="3"/>
      <c r="M37" s="3"/>
    </row>
    <row r="38" spans="1:13" ht="15.75">
      <c r="A38" t="s">
        <v>28</v>
      </c>
      <c r="B38">
        <f ca="1">IF(OR(changes[[#This Row],[Type]]="Checklist",changes[[#This Row],[Type]]="checklist-flat"),1+IF(changes[[#This Row],[Type of change]] = "Edit",COUNTIFS($I$4:changes[[#This Row],[Name]],changes[[#This Row],[Name]], $E$4:changes[[#This Row],[Type of change]], "Edit")),B37)</f>
        <v>2</v>
      </c>
      <c r="C38" s="20">
        <v>44483</v>
      </c>
      <c r="D38" s="2" t="s">
        <v>2010</v>
      </c>
      <c r="E38" t="s">
        <v>15</v>
      </c>
      <c r="F38" s="14"/>
      <c r="G38" s="14" t="s">
        <v>417</v>
      </c>
      <c r="H38" s="15" t="s">
        <v>49</v>
      </c>
      <c r="I38" s="15" t="s">
        <v>426</v>
      </c>
      <c r="J38" s="3"/>
      <c r="K38" s="3"/>
      <c r="M38" s="3"/>
    </row>
    <row r="39" spans="1:13" ht="15.75" customHeight="1">
      <c r="A39" t="s">
        <v>28</v>
      </c>
      <c r="B39">
        <f ca="1">IF(OR(changes[[#This Row],[Type]]="Checklist",changes[[#This Row],[Type]]="checklist-flat"),1+IF(changes[[#This Row],[Type of change]] = "Edit",COUNTIFS($I$4:changes[[#This Row],[Name]],changes[[#This Row],[Name]], $E$4:changes[[#This Row],[Type of change]], "Edit")),B38)</f>
        <v>1</v>
      </c>
      <c r="C39" s="20">
        <v>44483</v>
      </c>
      <c r="D39" s="2" t="s">
        <v>2010</v>
      </c>
      <c r="E39" s="2" t="s">
        <v>2011</v>
      </c>
      <c r="F39" s="14"/>
      <c r="G39" s="14" t="s">
        <v>2012</v>
      </c>
      <c r="H39" s="2" t="s">
        <v>119</v>
      </c>
      <c r="I39" s="2" t="s">
        <v>2012</v>
      </c>
      <c r="J39" s="2"/>
      <c r="K39" s="3"/>
      <c r="M39" s="3"/>
    </row>
    <row r="40" spans="1:13" ht="15.75" customHeight="1">
      <c r="A40" t="s">
        <v>28</v>
      </c>
      <c r="B40">
        <f ca="1">IF(OR(changes[[#This Row],[Type]]="Checklist",changes[[#This Row],[Type]]="checklist-flat"),1+IF(changes[[#This Row],[Type of change]] = "Edit",COUNTIFS($I$4:changes[[#This Row],[Name]],changes[[#This Row],[Name]], $E$4:changes[[#This Row],[Type of change]], "Edit")),B39)</f>
        <v>1</v>
      </c>
      <c r="C40" s="20">
        <v>44483</v>
      </c>
      <c r="D40" s="2" t="s">
        <v>2010</v>
      </c>
      <c r="E40" s="2" t="s">
        <v>2011</v>
      </c>
      <c r="F40" s="14"/>
      <c r="G40" s="14" t="s">
        <v>2012</v>
      </c>
      <c r="H40" s="2" t="s">
        <v>49</v>
      </c>
      <c r="I40" s="2" t="s">
        <v>1102</v>
      </c>
      <c r="J40" s="2"/>
      <c r="K40" s="3"/>
      <c r="M40" s="3"/>
    </row>
    <row r="41" spans="1:13" ht="15.75" customHeight="1">
      <c r="A41" t="s">
        <v>28</v>
      </c>
      <c r="B41">
        <f ca="1">IF(OR(changes[[#This Row],[Type]]="Checklist",changes[[#This Row],[Type]]="checklist-flat"),1+IF(changes[[#This Row],[Type of change]] = "Edit",COUNTIFS($I$4:changes[[#This Row],[Name]],changes[[#This Row],[Name]], $E$4:changes[[#This Row],[Type of change]], "Edit")),B40)</f>
        <v>1</v>
      </c>
      <c r="C41" s="20">
        <v>44483</v>
      </c>
      <c r="D41" s="2" t="s">
        <v>2010</v>
      </c>
      <c r="E41" s="2" t="s">
        <v>2011</v>
      </c>
      <c r="F41" s="14"/>
      <c r="G41" s="14" t="s">
        <v>2012</v>
      </c>
      <c r="H41" s="2" t="s">
        <v>49</v>
      </c>
      <c r="I41" s="2" t="s">
        <v>1103</v>
      </c>
      <c r="J41" s="2"/>
      <c r="K41" s="3"/>
      <c r="M41" s="3"/>
    </row>
    <row r="42" spans="1:13" ht="15.75" customHeight="1">
      <c r="A42" t="s">
        <v>28</v>
      </c>
      <c r="B42">
        <f ca="1">IF(OR(changes[[#This Row],[Type]]="Checklist",changes[[#This Row],[Type]]="checklist-flat"),1+IF(changes[[#This Row],[Type of change]] = "Edit",COUNTIFS($I$4:changes[[#This Row],[Name]],changes[[#This Row],[Name]], $E$4:changes[[#This Row],[Type of change]], "Edit")),B41)</f>
        <v>1</v>
      </c>
      <c r="C42" s="20">
        <v>44483</v>
      </c>
      <c r="D42" s="2" t="s">
        <v>2010</v>
      </c>
      <c r="E42" s="2" t="s">
        <v>2011</v>
      </c>
      <c r="F42" s="14"/>
      <c r="G42" s="14" t="s">
        <v>2012</v>
      </c>
      <c r="H42" s="2" t="s">
        <v>49</v>
      </c>
      <c r="I42" s="2" t="s">
        <v>1104</v>
      </c>
      <c r="J42" s="2"/>
      <c r="K42" s="3"/>
      <c r="M42" s="3"/>
    </row>
    <row r="43" spans="1:13" ht="15.75" customHeight="1">
      <c r="A43" t="s">
        <v>28</v>
      </c>
      <c r="B43">
        <f ca="1">IF(OR(changes[[#This Row],[Type]]="Checklist",changes[[#This Row],[Type]]="checklist-flat"),1+IF(changes[[#This Row],[Type of change]] = "Edit",COUNTIFS($I$4:changes[[#This Row],[Name]],changes[[#This Row],[Name]], $E$4:changes[[#This Row],[Type of change]], "Edit")),B42)</f>
        <v>1</v>
      </c>
      <c r="C43" s="20">
        <v>44483</v>
      </c>
      <c r="D43" s="2" t="s">
        <v>2010</v>
      </c>
      <c r="E43" s="2" t="s">
        <v>2011</v>
      </c>
      <c r="F43" s="14"/>
      <c r="G43" s="14" t="s">
        <v>2012</v>
      </c>
      <c r="H43" s="2" t="s">
        <v>49</v>
      </c>
      <c r="I43" s="2" t="s">
        <v>1105</v>
      </c>
      <c r="J43" s="2"/>
      <c r="K43" s="3"/>
      <c r="M43" s="3"/>
    </row>
    <row r="44" spans="1:13" ht="15.75" customHeight="1">
      <c r="A44" t="s">
        <v>28</v>
      </c>
      <c r="B44">
        <f ca="1">IF(OR(changes[[#This Row],[Type]]="Checklist",changes[[#This Row],[Type]]="checklist-flat"),1+IF(changes[[#This Row],[Type of change]] = "Edit",COUNTIFS($I$4:changes[[#This Row],[Name]],changes[[#This Row],[Name]], $E$4:changes[[#This Row],[Type of change]], "Edit")),B43)</f>
        <v>1</v>
      </c>
      <c r="C44" s="20">
        <v>44483</v>
      </c>
      <c r="D44" s="2" t="s">
        <v>2010</v>
      </c>
      <c r="E44" s="2" t="s">
        <v>2011</v>
      </c>
      <c r="F44" s="14"/>
      <c r="G44" s="14" t="s">
        <v>2012</v>
      </c>
      <c r="H44" s="2" t="s">
        <v>49</v>
      </c>
      <c r="I44" s="2" t="s">
        <v>1106</v>
      </c>
      <c r="J44" s="2"/>
      <c r="K44" s="3"/>
      <c r="M44" s="3"/>
    </row>
    <row r="45" spans="1:13" ht="15.75" customHeight="1">
      <c r="A45" t="s">
        <v>28</v>
      </c>
      <c r="B45">
        <f ca="1">IF(OR(changes[[#This Row],[Type]]="Checklist",changes[[#This Row],[Type]]="checklist-flat"),1+IF(changes[[#This Row],[Type of change]] = "Edit",COUNTIFS($I$4:changes[[#This Row],[Name]],changes[[#This Row],[Name]], $E$4:changes[[#This Row],[Type of change]], "Edit")),B44)</f>
        <v>1</v>
      </c>
      <c r="C45" s="20">
        <v>44483</v>
      </c>
      <c r="D45" s="2" t="s">
        <v>2010</v>
      </c>
      <c r="E45" s="2" t="s">
        <v>2011</v>
      </c>
      <c r="F45" s="14"/>
      <c r="G45" s="14" t="s">
        <v>2012</v>
      </c>
      <c r="H45" s="2" t="s">
        <v>49</v>
      </c>
      <c r="I45" s="2" t="s">
        <v>1107</v>
      </c>
      <c r="J45" s="2"/>
      <c r="K45" s="3"/>
      <c r="M45" s="3"/>
    </row>
    <row r="46" spans="1:13" ht="15.75" customHeight="1">
      <c r="A46" t="s">
        <v>28</v>
      </c>
      <c r="B46">
        <f ca="1">IF(OR(changes[[#This Row],[Type]]="Checklist",changes[[#This Row],[Type]]="checklist-flat"),1+IF(changes[[#This Row],[Type of change]] = "Edit",COUNTIFS($I$4:changes[[#This Row],[Name]],changes[[#This Row],[Name]], $E$4:changes[[#This Row],[Type of change]], "Edit")),B45)</f>
        <v>1</v>
      </c>
      <c r="C46" s="20">
        <v>44483</v>
      </c>
      <c r="D46" s="2" t="s">
        <v>2010</v>
      </c>
      <c r="E46" s="2" t="s">
        <v>2011</v>
      </c>
      <c r="F46" s="14"/>
      <c r="G46" s="14" t="s">
        <v>2012</v>
      </c>
      <c r="H46" s="2" t="s">
        <v>49</v>
      </c>
      <c r="I46" s="2" t="s">
        <v>1109</v>
      </c>
      <c r="J46" s="2"/>
      <c r="K46" s="3"/>
      <c r="M46" s="3"/>
    </row>
    <row r="47" spans="1:13" ht="15.75" customHeight="1">
      <c r="A47" t="s">
        <v>28</v>
      </c>
      <c r="B47">
        <f ca="1">IF(OR(changes[[#This Row],[Type]]="Checklist",changes[[#This Row],[Type]]="checklist-flat"),1+IF(changes[[#This Row],[Type of change]] = "Edit",COUNTIFS($I$4:changes[[#This Row],[Name]],changes[[#This Row],[Name]], $E$4:changes[[#This Row],[Type of change]], "Edit")),B46)</f>
        <v>1</v>
      </c>
      <c r="C47" s="20">
        <v>44483</v>
      </c>
      <c r="D47" s="2" t="s">
        <v>2010</v>
      </c>
      <c r="E47" s="2" t="s">
        <v>2011</v>
      </c>
      <c r="F47" s="14"/>
      <c r="G47" s="14" t="s">
        <v>2012</v>
      </c>
      <c r="H47" s="2" t="s">
        <v>49</v>
      </c>
      <c r="I47" s="2" t="s">
        <v>1111</v>
      </c>
      <c r="J47" s="2"/>
      <c r="K47" s="3"/>
      <c r="M47" s="3"/>
    </row>
    <row r="48" spans="1:13" ht="15.75" customHeight="1">
      <c r="A48" t="s">
        <v>28</v>
      </c>
      <c r="B48">
        <f ca="1">IF(OR(changes[[#This Row],[Type]]="Checklist",changes[[#This Row],[Type]]="checklist-flat"),1+IF(changes[[#This Row],[Type of change]] = "Edit",COUNTIFS($I$4:changes[[#This Row],[Name]],changes[[#This Row],[Name]], $E$4:changes[[#This Row],[Type of change]], "Edit")),B47)</f>
        <v>1</v>
      </c>
      <c r="C48" s="20">
        <v>44483</v>
      </c>
      <c r="D48" s="2" t="s">
        <v>2010</v>
      </c>
      <c r="E48" s="2" t="s">
        <v>2011</v>
      </c>
      <c r="F48" s="14"/>
      <c r="G48" s="14" t="s">
        <v>2012</v>
      </c>
      <c r="H48" s="2" t="s">
        <v>49</v>
      </c>
      <c r="I48" s="2" t="s">
        <v>1113</v>
      </c>
      <c r="J48" s="2"/>
      <c r="K48" s="3"/>
      <c r="M48" s="3"/>
    </row>
    <row r="49" spans="1:13" ht="15.75" customHeight="1">
      <c r="A49" t="s">
        <v>28</v>
      </c>
      <c r="B49">
        <f ca="1">IF(OR(changes[[#This Row],[Type]]="Checklist",changes[[#This Row],[Type]]="checklist-flat"),1+IF(changes[[#This Row],[Type of change]] = "Edit",COUNTIFS($I$4:changes[[#This Row],[Name]],changes[[#This Row],[Name]], $E$4:changes[[#This Row],[Type of change]], "Edit")),B48)</f>
        <v>1</v>
      </c>
      <c r="C49" s="20">
        <v>44483</v>
      </c>
      <c r="D49" s="2" t="s">
        <v>2010</v>
      </c>
      <c r="E49" s="2" t="s">
        <v>2011</v>
      </c>
      <c r="F49" s="14"/>
      <c r="G49" s="14" t="s">
        <v>2012</v>
      </c>
      <c r="H49" s="2" t="s">
        <v>49</v>
      </c>
      <c r="I49" s="2" t="s">
        <v>1114</v>
      </c>
      <c r="J49" s="2"/>
      <c r="K49" s="2"/>
      <c r="M49" s="3"/>
    </row>
    <row r="50" spans="1:13" ht="15.75" customHeight="1">
      <c r="A50" t="s">
        <v>28</v>
      </c>
      <c r="B50">
        <f ca="1">IF(OR(changes[[#This Row],[Type]]="Checklist",changes[[#This Row],[Type]]="checklist-flat"),1+IF(changes[[#This Row],[Type of change]] = "Edit",COUNTIFS($I$4:changes[[#This Row],[Name]],changes[[#This Row],[Name]], $E$4:changes[[#This Row],[Type of change]], "Edit")),B49)</f>
        <v>1</v>
      </c>
      <c r="C50" s="20">
        <v>44483</v>
      </c>
      <c r="D50" s="2" t="s">
        <v>2010</v>
      </c>
      <c r="E50" s="2" t="s">
        <v>2011</v>
      </c>
      <c r="F50" s="14"/>
      <c r="G50" s="14" t="s">
        <v>2012</v>
      </c>
      <c r="H50" s="2" t="s">
        <v>49</v>
      </c>
      <c r="I50" s="2" t="s">
        <v>380</v>
      </c>
      <c r="J50" s="2"/>
      <c r="K50" s="2"/>
      <c r="M50" s="3"/>
    </row>
    <row r="51" spans="1:13" ht="15.75">
      <c r="A51" t="s">
        <v>28</v>
      </c>
      <c r="B51">
        <f ca="1">IF(OR(changes[[#This Row],[Type]]="Checklist",changes[[#This Row],[Type]]="checklist-flat"),1+IF(changes[[#This Row],[Type of change]] = "Edit",COUNTIFS($I$4:changes[[#This Row],[Name]],changes[[#This Row],[Name]], $E$4:changes[[#This Row],[Type of change]], "Edit")),B50)</f>
        <v>1</v>
      </c>
      <c r="C51" s="20">
        <v>44484</v>
      </c>
      <c r="D51" s="2" t="s">
        <v>2010</v>
      </c>
      <c r="E51" t="s">
        <v>19</v>
      </c>
      <c r="F51" s="14"/>
      <c r="G51" s="14" t="s">
        <v>2013</v>
      </c>
      <c r="H51" s="3" t="s">
        <v>119</v>
      </c>
      <c r="I51" s="42" t="s">
        <v>2013</v>
      </c>
      <c r="J51" s="3"/>
      <c r="K51" s="3"/>
      <c r="M51" s="3"/>
    </row>
    <row r="52" spans="1:13" ht="15.75">
      <c r="A52" t="s">
        <v>28</v>
      </c>
      <c r="B52">
        <f ca="1">IF(OR(changes[[#This Row],[Type]]="Checklist",changes[[#This Row],[Type]]="checklist-flat"),1+IF(changes[[#This Row],[Type of change]] = "Edit",COUNTIFS($I$4:changes[[#This Row],[Name]],changes[[#This Row],[Name]], $E$4:changes[[#This Row],[Type of change]], "Edit")),B51)</f>
        <v>1</v>
      </c>
      <c r="C52" s="20">
        <v>44484</v>
      </c>
      <c r="D52" s="43" t="s">
        <v>2010</v>
      </c>
      <c r="E52" s="44" t="s">
        <v>19</v>
      </c>
      <c r="F52" s="14"/>
      <c r="G52" s="14" t="s">
        <v>2013</v>
      </c>
      <c r="H52" s="3" t="s">
        <v>120</v>
      </c>
      <c r="I52" s="42" t="s">
        <v>249</v>
      </c>
      <c r="J52" s="3"/>
      <c r="K52" s="3"/>
      <c r="M52" s="3"/>
    </row>
    <row r="53" spans="1:13" ht="15.75">
      <c r="A53" t="s">
        <v>28</v>
      </c>
      <c r="B53">
        <f ca="1">IF(OR(changes[[#This Row],[Type]]="Checklist",changes[[#This Row],[Type]]="checklist-flat"),1+IF(changes[[#This Row],[Type of change]] = "Edit",COUNTIFS($I$4:changes[[#This Row],[Name]],changes[[#This Row],[Name]], $E$4:changes[[#This Row],[Type of change]], "Edit")),B52)</f>
        <v>1</v>
      </c>
      <c r="C53" s="20">
        <v>44484</v>
      </c>
      <c r="D53" s="43" t="s">
        <v>2010</v>
      </c>
      <c r="E53" s="44" t="s">
        <v>19</v>
      </c>
      <c r="F53" s="14"/>
      <c r="G53" s="14" t="s">
        <v>2013</v>
      </c>
      <c r="H53" s="3" t="s">
        <v>124</v>
      </c>
      <c r="I53" s="42" t="s">
        <v>251</v>
      </c>
      <c r="J53" s="3"/>
      <c r="K53" s="3"/>
      <c r="M53" s="3"/>
    </row>
    <row r="54" spans="1:13" ht="15.75">
      <c r="A54" t="s">
        <v>28</v>
      </c>
      <c r="B54">
        <f ca="1">IF(OR(changes[[#This Row],[Type]]="Checklist",changes[[#This Row],[Type]]="checklist-flat"),1+IF(changes[[#This Row],[Type of change]] = "Edit",COUNTIFS($I$4:changes[[#This Row],[Name]],changes[[#This Row],[Name]], $E$4:changes[[#This Row],[Type of change]], "Edit")),B53)</f>
        <v>1</v>
      </c>
      <c r="C54" s="20">
        <v>44484</v>
      </c>
      <c r="D54" s="43" t="s">
        <v>2010</v>
      </c>
      <c r="E54" s="44" t="s">
        <v>19</v>
      </c>
      <c r="F54" s="14"/>
      <c r="G54" s="14" t="s">
        <v>2013</v>
      </c>
      <c r="H54" s="3" t="s">
        <v>124</v>
      </c>
      <c r="I54" s="42" t="s">
        <v>252</v>
      </c>
      <c r="J54" s="3"/>
      <c r="K54" s="3"/>
      <c r="M54" s="3"/>
    </row>
    <row r="55" spans="1:13" ht="15.75">
      <c r="A55" t="s">
        <v>28</v>
      </c>
      <c r="B55">
        <f ca="1">IF(OR(changes[[#This Row],[Type]]="Checklist",changes[[#This Row],[Type]]="checklist-flat"),1+IF(changes[[#This Row],[Type of change]] = "Edit",COUNTIFS($I$4:changes[[#This Row],[Name]],changes[[#This Row],[Name]], $E$4:changes[[#This Row],[Type of change]], "Edit")),B54)</f>
        <v>1</v>
      </c>
      <c r="C55" s="20">
        <v>44484</v>
      </c>
      <c r="D55" s="43" t="s">
        <v>2010</v>
      </c>
      <c r="E55" s="44" t="s">
        <v>19</v>
      </c>
      <c r="F55" s="14"/>
      <c r="G55" s="14" t="s">
        <v>2013</v>
      </c>
      <c r="H55" s="3" t="s">
        <v>49</v>
      </c>
      <c r="I55" s="42" t="s">
        <v>253</v>
      </c>
      <c r="J55" s="3"/>
      <c r="K55" s="3"/>
      <c r="M55" s="3"/>
    </row>
    <row r="56" spans="1:13" ht="15.75">
      <c r="A56" t="s">
        <v>28</v>
      </c>
      <c r="B56">
        <f ca="1">IF(OR(changes[[#This Row],[Type]]="Checklist",changes[[#This Row],[Type]]="checklist-flat"),1+IF(changes[[#This Row],[Type of change]] = "Edit",COUNTIFS($I$4:changes[[#This Row],[Name]],changes[[#This Row],[Name]], $E$4:changes[[#This Row],[Type of change]], "Edit")),B55)</f>
        <v>1</v>
      </c>
      <c r="C56" s="20">
        <v>44484</v>
      </c>
      <c r="D56" s="43" t="s">
        <v>2010</v>
      </c>
      <c r="E56" s="44" t="s">
        <v>19</v>
      </c>
      <c r="F56" s="14"/>
      <c r="G56" s="14" t="s">
        <v>2013</v>
      </c>
      <c r="H56" s="3" t="s">
        <v>120</v>
      </c>
      <c r="I56" s="42" t="s">
        <v>254</v>
      </c>
      <c r="J56" s="3"/>
      <c r="K56" s="3"/>
      <c r="M56" s="3"/>
    </row>
    <row r="57" spans="1:13" ht="15.75">
      <c r="A57" t="s">
        <v>28</v>
      </c>
      <c r="B57">
        <f ca="1">IF(OR(changes[[#This Row],[Type]]="Checklist",changes[[#This Row],[Type]]="checklist-flat"),1+IF(changes[[#This Row],[Type of change]] = "Edit",COUNTIFS($I$4:changes[[#This Row],[Name]],changes[[#This Row],[Name]], $E$4:changes[[#This Row],[Type of change]], "Edit")),B56)</f>
        <v>1</v>
      </c>
      <c r="C57" s="20">
        <v>44484</v>
      </c>
      <c r="D57" s="43" t="s">
        <v>2010</v>
      </c>
      <c r="E57" s="44" t="s">
        <v>19</v>
      </c>
      <c r="F57" s="14"/>
      <c r="G57" s="14" t="s">
        <v>2013</v>
      </c>
      <c r="H57" s="3" t="s">
        <v>49</v>
      </c>
      <c r="I57" s="42" t="s">
        <v>255</v>
      </c>
      <c r="J57" s="3"/>
      <c r="K57" s="3"/>
      <c r="M57" s="3"/>
    </row>
    <row r="58" spans="1:13" ht="15.75">
      <c r="A58" t="s">
        <v>28</v>
      </c>
      <c r="B58">
        <f ca="1">IF(OR(changes[[#This Row],[Type]]="Checklist",changes[[#This Row],[Type]]="checklist-flat"),1+IF(changes[[#This Row],[Type of change]] = "Edit",COUNTIFS($I$4:changes[[#This Row],[Name]],changes[[#This Row],[Name]], $E$4:changes[[#This Row],[Type of change]], "Edit")),B57)</f>
        <v>1</v>
      </c>
      <c r="C58" s="20">
        <v>44484</v>
      </c>
      <c r="D58" s="43" t="s">
        <v>2010</v>
      </c>
      <c r="E58" s="44" t="s">
        <v>19</v>
      </c>
      <c r="F58" s="14"/>
      <c r="G58" s="14" t="s">
        <v>2013</v>
      </c>
      <c r="H58" s="3" t="s">
        <v>49</v>
      </c>
      <c r="I58" s="42" t="s">
        <v>256</v>
      </c>
      <c r="J58" s="3"/>
      <c r="K58" s="3"/>
      <c r="M58" s="3"/>
    </row>
    <row r="59" spans="1:13" ht="15.75">
      <c r="A59" t="s">
        <v>28</v>
      </c>
      <c r="B59">
        <f ca="1">IF(OR(changes[[#This Row],[Type]]="Checklist",changes[[#This Row],[Type]]="checklist-flat"),1+IF(changes[[#This Row],[Type of change]] = "Edit",COUNTIFS($I$4:changes[[#This Row],[Name]],changes[[#This Row],[Name]], $E$4:changes[[#This Row],[Type of change]], "Edit")),B58)</f>
        <v>1</v>
      </c>
      <c r="C59" s="20">
        <v>44484</v>
      </c>
      <c r="D59" s="43" t="s">
        <v>2010</v>
      </c>
      <c r="E59" s="44" t="s">
        <v>19</v>
      </c>
      <c r="F59" s="14"/>
      <c r="G59" s="14" t="s">
        <v>2013</v>
      </c>
      <c r="H59" s="3" t="s">
        <v>49</v>
      </c>
      <c r="I59" s="42" t="s">
        <v>257</v>
      </c>
      <c r="J59" s="3"/>
      <c r="K59" s="3"/>
      <c r="M59" s="3"/>
    </row>
    <row r="60" spans="1:13" ht="15.75">
      <c r="A60" t="s">
        <v>28</v>
      </c>
      <c r="B60">
        <f ca="1">IF(OR(changes[[#This Row],[Type]]="Checklist",changes[[#This Row],[Type]]="checklist-flat"),1+IF(changes[[#This Row],[Type of change]] = "Edit",COUNTIFS($I$4:changes[[#This Row],[Name]],changes[[#This Row],[Name]], $E$4:changes[[#This Row],[Type of change]], "Edit")),B59)</f>
        <v>1</v>
      </c>
      <c r="C60" s="20">
        <v>44484</v>
      </c>
      <c r="D60" s="43" t="s">
        <v>2010</v>
      </c>
      <c r="E60" s="44" t="s">
        <v>19</v>
      </c>
      <c r="F60" s="14"/>
      <c r="G60" s="14" t="s">
        <v>2013</v>
      </c>
      <c r="H60" s="3" t="s">
        <v>49</v>
      </c>
      <c r="I60" s="42" t="s">
        <v>258</v>
      </c>
      <c r="J60" s="3"/>
      <c r="K60" s="3"/>
      <c r="M60" s="3"/>
    </row>
    <row r="61" spans="1:13" ht="15.75">
      <c r="A61" t="s">
        <v>28</v>
      </c>
      <c r="B61">
        <f ca="1">IF(OR(changes[[#This Row],[Type]]="Checklist",changes[[#This Row],[Type]]="checklist-flat"),1+IF(changes[[#This Row],[Type of change]] = "Edit",COUNTIFS($I$4:changes[[#This Row],[Name]],changes[[#This Row],[Name]], $E$4:changes[[#This Row],[Type of change]], "Edit")),B60)</f>
        <v>1</v>
      </c>
      <c r="C61" s="20">
        <v>44484</v>
      </c>
      <c r="D61" s="43" t="s">
        <v>2010</v>
      </c>
      <c r="E61" s="44" t="s">
        <v>19</v>
      </c>
      <c r="F61" s="14"/>
      <c r="G61" s="14" t="s">
        <v>2013</v>
      </c>
      <c r="H61" s="3" t="s">
        <v>120</v>
      </c>
      <c r="I61" s="42" t="s">
        <v>259</v>
      </c>
      <c r="J61" s="3"/>
      <c r="K61" s="3"/>
      <c r="M61" s="3"/>
    </row>
    <row r="62" spans="1:13" ht="15.75">
      <c r="A62" t="s">
        <v>28</v>
      </c>
      <c r="B62">
        <f ca="1">IF(OR(changes[[#This Row],[Type]]="Checklist",changes[[#This Row],[Type]]="checklist-flat"),1+IF(changes[[#This Row],[Type of change]] = "Edit",COUNTIFS($I$4:changes[[#This Row],[Name]],changes[[#This Row],[Name]], $E$4:changes[[#This Row],[Type of change]], "Edit")),B61)</f>
        <v>1</v>
      </c>
      <c r="C62" s="20">
        <v>44484</v>
      </c>
      <c r="D62" s="43" t="s">
        <v>2010</v>
      </c>
      <c r="E62" s="44" t="s">
        <v>19</v>
      </c>
      <c r="F62" s="14"/>
      <c r="G62" s="14" t="s">
        <v>2013</v>
      </c>
      <c r="H62" s="3" t="s">
        <v>49</v>
      </c>
      <c r="I62" s="42" t="s">
        <v>260</v>
      </c>
      <c r="J62" s="3"/>
      <c r="K62" s="3"/>
      <c r="M62" s="3"/>
    </row>
    <row r="63" spans="1:13" ht="15.75">
      <c r="A63" t="s">
        <v>28</v>
      </c>
      <c r="B63">
        <f ca="1">IF(OR(changes[[#This Row],[Type]]="Checklist",changes[[#This Row],[Type]]="checklist-flat"),1+IF(changes[[#This Row],[Type of change]] = "Edit",COUNTIFS($I$4:changes[[#This Row],[Name]],changes[[#This Row],[Name]], $E$4:changes[[#This Row],[Type of change]], "Edit")),B62)</f>
        <v>1</v>
      </c>
      <c r="C63" s="20">
        <v>44484</v>
      </c>
      <c r="D63" s="43" t="s">
        <v>2010</v>
      </c>
      <c r="E63" s="44" t="s">
        <v>19</v>
      </c>
      <c r="F63" s="14"/>
      <c r="G63" s="14" t="s">
        <v>2013</v>
      </c>
      <c r="H63" s="3" t="s">
        <v>49</v>
      </c>
      <c r="I63" s="42" t="s">
        <v>261</v>
      </c>
      <c r="J63" s="3"/>
      <c r="K63" s="3"/>
      <c r="M63" s="3"/>
    </row>
    <row r="64" spans="1:13" ht="15.75">
      <c r="A64" t="s">
        <v>28</v>
      </c>
      <c r="B64">
        <f ca="1">IF(OR(changes[[#This Row],[Type]]="Checklist",changes[[#This Row],[Type]]="checklist-flat"),1+IF(changes[[#This Row],[Type of change]] = "Edit",COUNTIFS($I$4:changes[[#This Row],[Name]],changes[[#This Row],[Name]], $E$4:changes[[#This Row],[Type of change]], "Edit")),B63)</f>
        <v>1</v>
      </c>
      <c r="C64" s="20">
        <v>44484</v>
      </c>
      <c r="D64" s="43" t="s">
        <v>2010</v>
      </c>
      <c r="E64" s="44" t="s">
        <v>19</v>
      </c>
      <c r="F64" s="14"/>
      <c r="G64" s="14" t="s">
        <v>2013</v>
      </c>
      <c r="H64" s="3" t="s">
        <v>49</v>
      </c>
      <c r="I64" s="42" t="s">
        <v>262</v>
      </c>
      <c r="J64" s="3"/>
      <c r="K64" s="3"/>
      <c r="M64" s="3"/>
    </row>
    <row r="65" spans="1:13" ht="15.75">
      <c r="A65" t="s">
        <v>28</v>
      </c>
      <c r="B65">
        <f ca="1">IF(OR(changes[[#This Row],[Type]]="Checklist",changes[[#This Row],[Type]]="checklist-flat"),1+IF(changes[[#This Row],[Type of change]] = "Edit",COUNTIFS($I$4:changes[[#This Row],[Name]],changes[[#This Row],[Name]], $E$4:changes[[#This Row],[Type of change]], "Edit")),B64)</f>
        <v>1</v>
      </c>
      <c r="C65" s="20">
        <v>44484</v>
      </c>
      <c r="D65" s="43" t="s">
        <v>2010</v>
      </c>
      <c r="E65" s="44" t="s">
        <v>19</v>
      </c>
      <c r="F65" s="14"/>
      <c r="G65" s="14" t="s">
        <v>2013</v>
      </c>
      <c r="H65" s="3" t="s">
        <v>49</v>
      </c>
      <c r="I65" s="42" t="s">
        <v>263</v>
      </c>
      <c r="J65" s="3"/>
      <c r="K65" s="3"/>
      <c r="M65" s="3"/>
    </row>
    <row r="66" spans="1:13" ht="15.75">
      <c r="A66" t="s">
        <v>28</v>
      </c>
      <c r="B66">
        <f ca="1">IF(OR(changes[[#This Row],[Type]]="Checklist",changes[[#This Row],[Type]]="checklist-flat"),1+IF(changes[[#This Row],[Type of change]] = "Edit",COUNTIFS($I$4:changes[[#This Row],[Name]],changes[[#This Row],[Name]], $E$4:changes[[#This Row],[Type of change]], "Edit")),B65)</f>
        <v>1</v>
      </c>
      <c r="C66" s="20">
        <v>44484</v>
      </c>
      <c r="D66" s="43" t="s">
        <v>2010</v>
      </c>
      <c r="E66" s="44" t="s">
        <v>19</v>
      </c>
      <c r="F66" s="14"/>
      <c r="G66" s="14" t="s">
        <v>2013</v>
      </c>
      <c r="H66" s="3" t="s">
        <v>49</v>
      </c>
      <c r="I66" s="42" t="s">
        <v>264</v>
      </c>
      <c r="J66" s="3"/>
      <c r="K66" s="3"/>
      <c r="M66" s="3"/>
    </row>
    <row r="67" spans="1:13" ht="15.75">
      <c r="A67" t="s">
        <v>28</v>
      </c>
      <c r="B67">
        <f ca="1">IF(OR(changes[[#This Row],[Type]]="Checklist",changes[[#This Row],[Type]]="checklist-flat"),1+IF(changes[[#This Row],[Type of change]] = "Edit",COUNTIFS($I$4:changes[[#This Row],[Name]],changes[[#This Row],[Name]], $E$4:changes[[#This Row],[Type of change]], "Edit")),B66)</f>
        <v>1</v>
      </c>
      <c r="C67" s="20">
        <v>44484</v>
      </c>
      <c r="D67" s="2" t="s">
        <v>2010</v>
      </c>
      <c r="E67" t="s">
        <v>19</v>
      </c>
      <c r="F67" s="14"/>
      <c r="G67" s="14" t="s">
        <v>2013</v>
      </c>
      <c r="H67" s="3" t="s">
        <v>1739</v>
      </c>
      <c r="I67" s="42" t="s">
        <v>265</v>
      </c>
      <c r="J67" s="3"/>
      <c r="K67" s="3"/>
      <c r="M67" s="3"/>
    </row>
    <row r="68" spans="1:13" ht="15.75">
      <c r="A68" t="s">
        <v>28</v>
      </c>
      <c r="B68">
        <f ca="1">IF(OR(changes[[#This Row],[Type]]="Checklist",changes[[#This Row],[Type]]="checklist-flat"),1+IF(changes[[#This Row],[Type of change]] = "Edit",COUNTIFS($I$4:changes[[#This Row],[Name]],changes[[#This Row],[Name]], $E$4:changes[[#This Row],[Type of change]], "Edit")),B67)</f>
        <v>1</v>
      </c>
      <c r="C68" s="20">
        <v>44484</v>
      </c>
      <c r="D68" s="2" t="s">
        <v>2010</v>
      </c>
      <c r="E68" t="s">
        <v>19</v>
      </c>
      <c r="F68" s="14"/>
      <c r="G68" s="14" t="s">
        <v>2013</v>
      </c>
      <c r="H68" s="3" t="s">
        <v>1739</v>
      </c>
      <c r="I68" s="42" t="s">
        <v>266</v>
      </c>
      <c r="J68" s="3"/>
      <c r="K68" s="3"/>
      <c r="M68" s="3"/>
    </row>
    <row r="69" spans="1:13" ht="15.75">
      <c r="A69" t="s">
        <v>28</v>
      </c>
      <c r="B69">
        <f ca="1">IF(OR(changes[[#This Row],[Type]]="Checklist",changes[[#This Row],[Type]]="checklist-flat"),1+IF(changes[[#This Row],[Type of change]] = "Edit",COUNTIFS($I$4:changes[[#This Row],[Name]],changes[[#This Row],[Name]], $E$4:changes[[#This Row],[Type of change]], "Edit")),B68)</f>
        <v>1</v>
      </c>
      <c r="C69" s="20">
        <v>44484</v>
      </c>
      <c r="D69" s="2" t="s">
        <v>2010</v>
      </c>
      <c r="E69" t="s">
        <v>19</v>
      </c>
      <c r="F69" s="14"/>
      <c r="G69" s="14" t="s">
        <v>2013</v>
      </c>
      <c r="H69" s="3" t="s">
        <v>49</v>
      </c>
      <c r="I69" s="42" t="s">
        <v>267</v>
      </c>
      <c r="J69" s="3"/>
      <c r="K69" s="3"/>
      <c r="M69" s="3"/>
    </row>
    <row r="70" spans="1:13" ht="15.75">
      <c r="A70" t="s">
        <v>28</v>
      </c>
      <c r="B70">
        <f ca="1">IF(OR(changes[[#This Row],[Type]]="Checklist",changes[[#This Row],[Type]]="checklist-flat"),1+IF(changes[[#This Row],[Type of change]] = "Edit",COUNTIFS($I$4:changes[[#This Row],[Name]],changes[[#This Row],[Name]], $E$4:changes[[#This Row],[Type of change]], "Edit")),B69)</f>
        <v>1</v>
      </c>
      <c r="C70" s="20">
        <v>44484</v>
      </c>
      <c r="D70" s="2" t="s">
        <v>2010</v>
      </c>
      <c r="E70" t="s">
        <v>19</v>
      </c>
      <c r="F70" s="14"/>
      <c r="G70" s="14" t="s">
        <v>2013</v>
      </c>
      <c r="H70" s="3" t="s">
        <v>49</v>
      </c>
      <c r="I70" s="42" t="s">
        <v>268</v>
      </c>
      <c r="J70" s="3"/>
      <c r="K70" s="3"/>
      <c r="M70" s="3"/>
    </row>
    <row r="71" spans="1:13" ht="15.75">
      <c r="A71" t="s">
        <v>28</v>
      </c>
      <c r="B71">
        <f ca="1">IF(OR(changes[[#This Row],[Type]]="Checklist",changes[[#This Row],[Type]]="checklist-flat"),1+IF(changes[[#This Row],[Type of change]] = "Edit",COUNTIFS($I$4:changes[[#This Row],[Name]],changes[[#This Row],[Name]], $E$4:changes[[#This Row],[Type of change]], "Edit")),B70)</f>
        <v>1</v>
      </c>
      <c r="C71" s="20">
        <v>44484</v>
      </c>
      <c r="D71" s="2" t="s">
        <v>2010</v>
      </c>
      <c r="E71" t="s">
        <v>19</v>
      </c>
      <c r="F71" s="14"/>
      <c r="G71" s="14" t="s">
        <v>2013</v>
      </c>
      <c r="H71" s="3" t="s">
        <v>49</v>
      </c>
      <c r="I71" s="42" t="s">
        <v>269</v>
      </c>
      <c r="J71" s="3"/>
      <c r="K71" s="3"/>
      <c r="M71" s="3"/>
    </row>
    <row r="72" spans="1:13" ht="15.75">
      <c r="A72" t="s">
        <v>28</v>
      </c>
      <c r="B72">
        <f ca="1">IF(OR(changes[[#This Row],[Type]]="Checklist",changes[[#This Row],[Type]]="checklist-flat"),1+IF(changes[[#This Row],[Type of change]] = "Edit",COUNTIFS($I$4:changes[[#This Row],[Name]],changes[[#This Row],[Name]], $E$4:changes[[#This Row],[Type of change]], "Edit")),B71)</f>
        <v>1</v>
      </c>
      <c r="C72" s="20">
        <v>44484</v>
      </c>
      <c r="D72" s="2" t="s">
        <v>2010</v>
      </c>
      <c r="E72" t="s">
        <v>19</v>
      </c>
      <c r="F72" s="14"/>
      <c r="G72" s="14" t="s">
        <v>2013</v>
      </c>
      <c r="H72" s="3" t="s">
        <v>49</v>
      </c>
      <c r="I72" s="42" t="s">
        <v>270</v>
      </c>
      <c r="J72" s="3"/>
      <c r="K72" s="3"/>
      <c r="M72" s="3"/>
    </row>
    <row r="73" spans="1:13" ht="15.75">
      <c r="A73" t="s">
        <v>28</v>
      </c>
      <c r="B73">
        <f ca="1">IF(OR(changes[[#This Row],[Type]]="Checklist",changes[[#This Row],[Type]]="checklist-flat"),1+IF(changes[[#This Row],[Type of change]] = "Edit",COUNTIFS($I$4:changes[[#This Row],[Name]],changes[[#This Row],[Name]], $E$4:changes[[#This Row],[Type of change]], "Edit")),B72)</f>
        <v>1</v>
      </c>
      <c r="C73" s="20">
        <v>44484</v>
      </c>
      <c r="D73" s="2" t="s">
        <v>2010</v>
      </c>
      <c r="E73" t="s">
        <v>19</v>
      </c>
      <c r="F73" s="14"/>
      <c r="G73" s="14" t="s">
        <v>2013</v>
      </c>
      <c r="H73" s="3" t="s">
        <v>49</v>
      </c>
      <c r="I73" s="42" t="s">
        <v>271</v>
      </c>
      <c r="J73" s="3"/>
      <c r="K73" s="3"/>
      <c r="M73" s="3"/>
    </row>
    <row r="74" spans="1:13" ht="15.75">
      <c r="A74" t="s">
        <v>28</v>
      </c>
      <c r="B74">
        <f ca="1">IF(OR(changes[[#This Row],[Type]]="Checklist",changes[[#This Row],[Type]]="checklist-flat"),1+IF(changes[[#This Row],[Type of change]] = "Edit",COUNTIFS($I$4:changes[[#This Row],[Name]],changes[[#This Row],[Name]], $E$4:changes[[#This Row],[Type of change]], "Edit")),B73)</f>
        <v>1</v>
      </c>
      <c r="C74" s="20">
        <v>44484</v>
      </c>
      <c r="D74" s="2" t="s">
        <v>2010</v>
      </c>
      <c r="E74" t="s">
        <v>19</v>
      </c>
      <c r="F74" s="14"/>
      <c r="G74" s="14" t="s">
        <v>2013</v>
      </c>
      <c r="H74" s="3" t="s">
        <v>49</v>
      </c>
      <c r="I74" s="42" t="s">
        <v>272</v>
      </c>
      <c r="J74" s="3"/>
      <c r="K74" s="3"/>
      <c r="M74" s="3"/>
    </row>
    <row r="75" spans="1:13" ht="15.75">
      <c r="A75" t="s">
        <v>28</v>
      </c>
      <c r="B75">
        <f ca="1">IF(OR(changes[[#This Row],[Type]]="Checklist",changes[[#This Row],[Type]]="checklist-flat"),1+IF(changes[[#This Row],[Type of change]] = "Edit",COUNTIFS($I$4:changes[[#This Row],[Name]],changes[[#This Row],[Name]], $E$4:changes[[#This Row],[Type of change]], "Edit")),B74)</f>
        <v>1</v>
      </c>
      <c r="C75" s="20">
        <v>44484</v>
      </c>
      <c r="D75" s="2" t="s">
        <v>2010</v>
      </c>
      <c r="E75" t="s">
        <v>19</v>
      </c>
      <c r="F75" s="14"/>
      <c r="G75" s="14" t="s">
        <v>2013</v>
      </c>
      <c r="H75" s="3" t="s">
        <v>120</v>
      </c>
      <c r="I75" s="42" t="s">
        <v>273</v>
      </c>
      <c r="J75" s="3"/>
      <c r="K75" s="3"/>
      <c r="M75" s="3"/>
    </row>
    <row r="76" spans="1:13" ht="15.75">
      <c r="A76" t="s">
        <v>28</v>
      </c>
      <c r="B76">
        <f ca="1">IF(OR(changes[[#This Row],[Type]]="Checklist",changes[[#This Row],[Type]]="checklist-flat"),1+IF(changes[[#This Row],[Type of change]] = "Edit",COUNTIFS($I$4:changes[[#This Row],[Name]],changes[[#This Row],[Name]], $E$4:changes[[#This Row],[Type of change]], "Edit")),B75)</f>
        <v>1</v>
      </c>
      <c r="C76" s="20">
        <v>44484</v>
      </c>
      <c r="D76" s="2" t="s">
        <v>2010</v>
      </c>
      <c r="E76" t="s">
        <v>19</v>
      </c>
      <c r="F76" s="14"/>
      <c r="G76" s="14" t="s">
        <v>2013</v>
      </c>
      <c r="H76" s="3" t="s">
        <v>49</v>
      </c>
      <c r="I76" s="42" t="s">
        <v>275</v>
      </c>
      <c r="J76" s="3"/>
      <c r="K76" s="3"/>
      <c r="M76" s="3"/>
    </row>
    <row r="77" spans="1:13" ht="15.75">
      <c r="A77" t="s">
        <v>28</v>
      </c>
      <c r="B77">
        <f ca="1">IF(OR(changes[[#This Row],[Type]]="Checklist",changes[[#This Row],[Type]]="checklist-flat"),1+IF(changes[[#This Row],[Type of change]] = "Edit",COUNTIFS($I$4:changes[[#This Row],[Name]],changes[[#This Row],[Name]], $E$4:changes[[#This Row],[Type of change]], "Edit")),B76)</f>
        <v>1</v>
      </c>
      <c r="C77" s="20">
        <v>44484</v>
      </c>
      <c r="D77" s="2" t="s">
        <v>2010</v>
      </c>
      <c r="E77" t="s">
        <v>19</v>
      </c>
      <c r="F77" s="14"/>
      <c r="G77" s="14" t="s">
        <v>2013</v>
      </c>
      <c r="H77" s="3" t="s">
        <v>49</v>
      </c>
      <c r="I77" s="42" t="s">
        <v>276</v>
      </c>
      <c r="J77" s="3"/>
      <c r="K77" s="3"/>
      <c r="M77" s="3"/>
    </row>
    <row r="78" spans="1:13" ht="15.75">
      <c r="A78" t="s">
        <v>28</v>
      </c>
      <c r="B78">
        <f ca="1">IF(OR(changes[[#This Row],[Type]]="Checklist",changes[[#This Row],[Type]]="checklist-flat"),1+IF(changes[[#This Row],[Type of change]] = "Edit",COUNTIFS($I$4:changes[[#This Row],[Name]],changes[[#This Row],[Name]], $E$4:changes[[#This Row],[Type of change]], "Edit")),B77)</f>
        <v>1</v>
      </c>
      <c r="C78" s="20">
        <v>44484</v>
      </c>
      <c r="D78" s="2" t="s">
        <v>2010</v>
      </c>
      <c r="E78" t="s">
        <v>19</v>
      </c>
      <c r="F78" s="14"/>
      <c r="G78" s="14" t="s">
        <v>2013</v>
      </c>
      <c r="H78" s="3" t="s">
        <v>49</v>
      </c>
      <c r="I78" s="42" t="s">
        <v>277</v>
      </c>
      <c r="J78" s="3"/>
      <c r="K78" s="3"/>
      <c r="M78" s="3"/>
    </row>
    <row r="79" spans="1:13" ht="15.75">
      <c r="A79" t="s">
        <v>28</v>
      </c>
      <c r="B79">
        <f ca="1">IF(OR(changes[[#This Row],[Type]]="Checklist",changes[[#This Row],[Type]]="checklist-flat"),1+IF(changes[[#This Row],[Type of change]] = "Edit",COUNTIFS($I$4:changes[[#This Row],[Name]],changes[[#This Row],[Name]], $E$4:changes[[#This Row],[Type of change]], "Edit")),B78)</f>
        <v>1</v>
      </c>
      <c r="C79" s="20">
        <v>44484</v>
      </c>
      <c r="D79" s="2" t="s">
        <v>2010</v>
      </c>
      <c r="E79" t="s">
        <v>19</v>
      </c>
      <c r="F79" s="14"/>
      <c r="G79" s="14" t="s">
        <v>2013</v>
      </c>
      <c r="H79" s="3" t="s">
        <v>120</v>
      </c>
      <c r="I79" s="42" t="s">
        <v>278</v>
      </c>
      <c r="J79" s="3"/>
      <c r="K79" s="3"/>
      <c r="M79" s="3"/>
    </row>
    <row r="80" spans="1:13" ht="14.25" customHeight="1">
      <c r="A80" t="s">
        <v>28</v>
      </c>
      <c r="B80">
        <f ca="1">IF(OR(changes[[#This Row],[Type]]="Checklist",changes[[#This Row],[Type]]="checklist-flat"),1+IF(changes[[#This Row],[Type of change]] = "Edit",COUNTIFS($I$4:changes[[#This Row],[Name]],changes[[#This Row],[Name]], $E$4:changes[[#This Row],[Type of change]], "Edit")),B79)</f>
        <v>1</v>
      </c>
      <c r="C80" s="20">
        <v>44484</v>
      </c>
      <c r="D80" s="2" t="s">
        <v>2010</v>
      </c>
      <c r="E80" t="s">
        <v>19</v>
      </c>
      <c r="F80" s="14"/>
      <c r="G80" s="14" t="s">
        <v>2013</v>
      </c>
      <c r="H80" s="3" t="s">
        <v>124</v>
      </c>
      <c r="I80" s="42" t="s">
        <v>280</v>
      </c>
      <c r="J80" s="3"/>
      <c r="K80" s="3"/>
      <c r="M80" s="3"/>
    </row>
    <row r="81" spans="1:13" ht="14.25" customHeight="1">
      <c r="A81" t="s">
        <v>28</v>
      </c>
      <c r="B81">
        <f ca="1">IF(OR(changes[[#This Row],[Type]]="Checklist",changes[[#This Row],[Type]]="checklist-flat"),1+IF(changes[[#This Row],[Type of change]] = "Edit",COUNTIFS($I$4:changes[[#This Row],[Name]],changes[[#This Row],[Name]], $E$4:changes[[#This Row],[Type of change]], "Edit")),B80)</f>
        <v>1</v>
      </c>
      <c r="C81" s="20">
        <v>44484</v>
      </c>
      <c r="D81" s="2" t="s">
        <v>2010</v>
      </c>
      <c r="E81" t="s">
        <v>19</v>
      </c>
      <c r="F81" s="14"/>
      <c r="G81" s="14" t="s">
        <v>2013</v>
      </c>
      <c r="H81" s="3" t="s">
        <v>124</v>
      </c>
      <c r="I81" s="42" t="s">
        <v>281</v>
      </c>
      <c r="J81" s="3" t="s">
        <v>282</v>
      </c>
      <c r="K81" s="3"/>
      <c r="M81" s="3"/>
    </row>
    <row r="82" spans="1:13" ht="14.25" customHeight="1">
      <c r="A82" t="s">
        <v>28</v>
      </c>
      <c r="B82">
        <f ca="1">IF(OR(changes[[#This Row],[Type]]="Checklist",changes[[#This Row],[Type]]="checklist-flat"),1+IF(changes[[#This Row],[Type of change]] = "Edit",COUNTIFS($I$4:changes[[#This Row],[Name]],changes[[#This Row],[Name]], $E$4:changes[[#This Row],[Type of change]], "Edit")),B81)</f>
        <v>1</v>
      </c>
      <c r="C82" s="20">
        <v>44484</v>
      </c>
      <c r="D82" s="2" t="s">
        <v>2010</v>
      </c>
      <c r="E82" t="s">
        <v>19</v>
      </c>
      <c r="F82" s="14"/>
      <c r="G82" s="14" t="s">
        <v>2013</v>
      </c>
      <c r="H82" s="3" t="s">
        <v>124</v>
      </c>
      <c r="I82" s="42" t="s">
        <v>283</v>
      </c>
      <c r="J82" s="3" t="s">
        <v>282</v>
      </c>
      <c r="K82" s="3"/>
      <c r="M82" s="3"/>
    </row>
    <row r="83" spans="1:13" ht="14.25" customHeight="1">
      <c r="A83" t="s">
        <v>28</v>
      </c>
      <c r="B83">
        <f ca="1">IF(OR(changes[[#This Row],[Type]]="Checklist",changes[[#This Row],[Type]]="checklist-flat"),1+IF(changes[[#This Row],[Type of change]] = "Edit",COUNTIFS($I$4:changes[[#This Row],[Name]],changes[[#This Row],[Name]], $E$4:changes[[#This Row],[Type of change]], "Edit")),B82)</f>
        <v>1</v>
      </c>
      <c r="C83" s="20">
        <v>44484</v>
      </c>
      <c r="D83" s="2" t="s">
        <v>2010</v>
      </c>
      <c r="E83" t="s">
        <v>19</v>
      </c>
      <c r="F83" s="14"/>
      <c r="G83" s="14" t="s">
        <v>2013</v>
      </c>
      <c r="H83" s="3" t="s">
        <v>124</v>
      </c>
      <c r="I83" s="42" t="s">
        <v>284</v>
      </c>
      <c r="J83" s="3" t="s">
        <v>285</v>
      </c>
      <c r="K83" s="3"/>
      <c r="M83" s="3"/>
    </row>
    <row r="84" spans="1:13" ht="14.25" customHeight="1">
      <c r="A84" t="s">
        <v>28</v>
      </c>
      <c r="B84">
        <f ca="1">IF(OR(changes[[#This Row],[Type]]="Checklist",changes[[#This Row],[Type]]="checklist-flat"),1+IF(changes[[#This Row],[Type of change]] = "Edit",COUNTIFS($I$4:changes[[#This Row],[Name]],changes[[#This Row],[Name]], $E$4:changes[[#This Row],[Type of change]], "Edit")),B83)</f>
        <v>1</v>
      </c>
      <c r="C84" s="20">
        <v>44484</v>
      </c>
      <c r="D84" s="2" t="s">
        <v>2010</v>
      </c>
      <c r="E84" t="s">
        <v>19</v>
      </c>
      <c r="F84" s="14"/>
      <c r="G84" s="14" t="s">
        <v>2013</v>
      </c>
      <c r="H84" s="3" t="s">
        <v>131</v>
      </c>
      <c r="I84" s="42" t="s">
        <v>286</v>
      </c>
      <c r="J84" s="3"/>
      <c r="K84" s="3"/>
      <c r="M84" s="3"/>
    </row>
    <row r="85" spans="1:13" ht="14.25" customHeight="1">
      <c r="A85" t="s">
        <v>28</v>
      </c>
      <c r="B85">
        <f ca="1">IF(OR(changes[[#This Row],[Type]]="Checklist",changes[[#This Row],[Type]]="checklist-flat"),1+IF(changes[[#This Row],[Type of change]] = "Edit",COUNTIFS($I$4:changes[[#This Row],[Name]],changes[[#This Row],[Name]], $E$4:changes[[#This Row],[Type of change]], "Edit")),B84)</f>
        <v>1</v>
      </c>
      <c r="C85" s="20">
        <v>44484</v>
      </c>
      <c r="D85" s="2" t="s">
        <v>2010</v>
      </c>
      <c r="E85" t="s">
        <v>19</v>
      </c>
      <c r="F85" s="14"/>
      <c r="G85" s="14" t="s">
        <v>2013</v>
      </c>
      <c r="H85" s="3" t="s">
        <v>49</v>
      </c>
      <c r="I85" s="42" t="s">
        <v>288</v>
      </c>
      <c r="J85" s="3"/>
      <c r="K85" s="3"/>
      <c r="M85" s="3"/>
    </row>
    <row r="86" spans="1:13" ht="14.25" customHeight="1">
      <c r="A86" t="s">
        <v>28</v>
      </c>
      <c r="B86">
        <f ca="1">IF(OR(changes[[#This Row],[Type]]="Checklist",changes[[#This Row],[Type]]="checklist-flat"),1+IF(changes[[#This Row],[Type of change]] = "Edit",COUNTIFS($I$4:changes[[#This Row],[Name]],changes[[#This Row],[Name]], $E$4:changes[[#This Row],[Type of change]], "Edit")),B85)</f>
        <v>1</v>
      </c>
      <c r="C86" s="20">
        <v>44484</v>
      </c>
      <c r="D86" s="2" t="s">
        <v>2010</v>
      </c>
      <c r="E86" t="s">
        <v>19</v>
      </c>
      <c r="F86" s="14"/>
      <c r="G86" s="14" t="s">
        <v>2013</v>
      </c>
      <c r="H86" s="3" t="s">
        <v>49</v>
      </c>
      <c r="I86" s="42" t="s">
        <v>289</v>
      </c>
      <c r="J86" s="3"/>
      <c r="K86" s="3"/>
      <c r="M86" s="3"/>
    </row>
    <row r="87" spans="1:13" ht="14.25" customHeight="1">
      <c r="A87" t="s">
        <v>28</v>
      </c>
      <c r="B87">
        <f ca="1">IF(OR(changes[[#This Row],[Type]]="Checklist",changes[[#This Row],[Type]]="checklist-flat"),1+IF(changes[[#This Row],[Type of change]] = "Edit",COUNTIFS($I$4:changes[[#This Row],[Name]],changes[[#This Row],[Name]], $E$4:changes[[#This Row],[Type of change]], "Edit")),B86)</f>
        <v>1</v>
      </c>
      <c r="C87" s="20">
        <v>44484</v>
      </c>
      <c r="D87" s="2" t="s">
        <v>2010</v>
      </c>
      <c r="E87" t="s">
        <v>19</v>
      </c>
      <c r="F87" s="14"/>
      <c r="G87" s="14" t="s">
        <v>2013</v>
      </c>
      <c r="H87" s="3" t="s">
        <v>120</v>
      </c>
      <c r="I87" s="42" t="s">
        <v>290</v>
      </c>
      <c r="J87" s="3"/>
      <c r="K87" s="3"/>
      <c r="M87" s="3"/>
    </row>
    <row r="88" spans="1:13" ht="14.25" customHeight="1">
      <c r="A88" t="s">
        <v>28</v>
      </c>
      <c r="B88">
        <f ca="1">IF(OR(changes[[#This Row],[Type]]="Checklist",changes[[#This Row],[Type]]="checklist-flat"),1+IF(changes[[#This Row],[Type of change]] = "Edit",COUNTIFS($I$4:changes[[#This Row],[Name]],changes[[#This Row],[Name]], $E$4:changes[[#This Row],[Type of change]], "Edit")),B87)</f>
        <v>1</v>
      </c>
      <c r="C88" s="20">
        <v>44484</v>
      </c>
      <c r="D88" s="2" t="s">
        <v>2010</v>
      </c>
      <c r="E88" t="s">
        <v>19</v>
      </c>
      <c r="F88" s="14"/>
      <c r="G88" s="14" t="s">
        <v>2013</v>
      </c>
      <c r="H88" s="3" t="s">
        <v>49</v>
      </c>
      <c r="I88" s="42" t="s">
        <v>291</v>
      </c>
      <c r="J88" s="3"/>
      <c r="K88" s="3"/>
      <c r="M88" s="3"/>
    </row>
    <row r="89" spans="1:13" ht="14.25" customHeight="1">
      <c r="A89" t="s">
        <v>28</v>
      </c>
      <c r="B89">
        <f ca="1">IF(OR(changes[[#This Row],[Type]]="Checklist",changes[[#This Row],[Type]]="checklist-flat"),1+IF(changes[[#This Row],[Type of change]] = "Edit",COUNTIFS($I$4:changes[[#This Row],[Name]],changes[[#This Row],[Name]], $E$4:changes[[#This Row],[Type of change]], "Edit")),B88)</f>
        <v>1</v>
      </c>
      <c r="C89" s="20">
        <v>44484</v>
      </c>
      <c r="D89" s="2" t="s">
        <v>2010</v>
      </c>
      <c r="E89" t="s">
        <v>19</v>
      </c>
      <c r="F89" s="14"/>
      <c r="G89" s="14" t="s">
        <v>2013</v>
      </c>
      <c r="H89" s="3" t="s">
        <v>49</v>
      </c>
      <c r="I89" s="42" t="s">
        <v>292</v>
      </c>
      <c r="J89" s="3"/>
      <c r="K89" s="3"/>
      <c r="M89" s="3"/>
    </row>
    <row r="90" spans="1:13" ht="14.25" customHeight="1">
      <c r="A90" t="s">
        <v>28</v>
      </c>
      <c r="B90">
        <f ca="1">IF(OR(changes[[#This Row],[Type]]="Checklist",changes[[#This Row],[Type]]="checklist-flat"),1+IF(changes[[#This Row],[Type of change]] = "Edit",COUNTIFS($I$4:changes[[#This Row],[Name]],changes[[#This Row],[Name]], $E$4:changes[[#This Row],[Type of change]], "Edit")),B89)</f>
        <v>1</v>
      </c>
      <c r="C90" s="20">
        <v>44484</v>
      </c>
      <c r="D90" s="2" t="s">
        <v>2010</v>
      </c>
      <c r="E90" t="s">
        <v>19</v>
      </c>
      <c r="F90" s="14"/>
      <c r="G90" s="14" t="s">
        <v>2013</v>
      </c>
      <c r="H90" s="3" t="s">
        <v>131</v>
      </c>
      <c r="I90" s="42" t="s">
        <v>293</v>
      </c>
      <c r="J90" s="3"/>
      <c r="K90" s="3"/>
      <c r="M90" s="3"/>
    </row>
    <row r="91" spans="1:13" ht="14.25" customHeight="1">
      <c r="A91" t="s">
        <v>28</v>
      </c>
      <c r="B91">
        <f ca="1">IF(OR(changes[[#This Row],[Type]]="Checklist",changes[[#This Row],[Type]]="checklist-flat"),1+IF(changes[[#This Row],[Type of change]] = "Edit",COUNTIFS($I$4:changes[[#This Row],[Name]],changes[[#This Row],[Name]], $E$4:changes[[#This Row],[Type of change]], "Edit")),B90)</f>
        <v>1</v>
      </c>
      <c r="C91" s="20">
        <v>44484</v>
      </c>
      <c r="D91" s="2" t="s">
        <v>2010</v>
      </c>
      <c r="E91" t="s">
        <v>19</v>
      </c>
      <c r="F91" s="14"/>
      <c r="G91" s="14" t="s">
        <v>2013</v>
      </c>
      <c r="H91" s="3" t="s">
        <v>49</v>
      </c>
      <c r="I91" s="42" t="s">
        <v>294</v>
      </c>
      <c r="J91" s="3"/>
      <c r="K91" s="3"/>
      <c r="M91" s="3"/>
    </row>
    <row r="92" spans="1:13">
      <c r="A92" t="s">
        <v>28</v>
      </c>
      <c r="B92">
        <f ca="1">IF(OR(changes[[#This Row],[Type]]="Checklist",changes[[#This Row],[Type]]="checklist-flat"),1+IF(changes[[#This Row],[Type of change]] = "Edit",COUNTIFS($I$4:changes[[#This Row],[Name]],changes[[#This Row],[Name]], $E$4:changes[[#This Row],[Type of change]], "Edit")),B91)</f>
        <v>1</v>
      </c>
      <c r="C92" s="20">
        <v>44484</v>
      </c>
      <c r="D92" s="2" t="s">
        <v>2010</v>
      </c>
      <c r="E92" s="2" t="s">
        <v>19</v>
      </c>
      <c r="F92" s="14"/>
      <c r="G92" s="14" t="s">
        <v>2013</v>
      </c>
      <c r="H92" s="2" t="s">
        <v>49</v>
      </c>
      <c r="I92" s="2" t="s">
        <v>295</v>
      </c>
      <c r="J92" s="3"/>
      <c r="K92" s="3"/>
      <c r="M92" s="3"/>
    </row>
    <row r="93" spans="1:13">
      <c r="A93" t="s">
        <v>28</v>
      </c>
      <c r="B93">
        <f ca="1">IF(OR(changes[[#This Row],[Type]]="Checklist",changes[[#This Row],[Type]]="checklist-flat"),1+IF(changes[[#This Row],[Type of change]] = "Edit",COUNTIFS($I$4:changes[[#This Row],[Name]],changes[[#This Row],[Name]], $E$4:changes[[#This Row],[Type of change]], "Edit")),B92)</f>
        <v>1</v>
      </c>
      <c r="C93" s="20">
        <v>44484</v>
      </c>
      <c r="D93" s="2" t="s">
        <v>2010</v>
      </c>
      <c r="E93" s="2" t="s">
        <v>19</v>
      </c>
      <c r="F93" s="14"/>
      <c r="G93" s="14" t="s">
        <v>2013</v>
      </c>
      <c r="H93" s="2" t="s">
        <v>49</v>
      </c>
      <c r="I93" s="2" t="s">
        <v>296</v>
      </c>
      <c r="J93" s="3"/>
      <c r="K93" s="3"/>
      <c r="M93" s="3"/>
    </row>
    <row r="94" spans="1:13">
      <c r="A94" t="s">
        <v>28</v>
      </c>
      <c r="B94">
        <f ca="1">IF(OR(changes[[#This Row],[Type]]="Checklist",changes[[#This Row],[Type]]="checklist-flat"),1+IF(changes[[#This Row],[Type of change]] = "Edit",COUNTIFS($I$4:changes[[#This Row],[Name]],changes[[#This Row],[Name]], $E$4:changes[[#This Row],[Type of change]], "Edit")),B93)</f>
        <v>1</v>
      </c>
      <c r="C94" s="20">
        <v>44484</v>
      </c>
      <c r="D94" s="2" t="s">
        <v>2010</v>
      </c>
      <c r="E94" s="2" t="s">
        <v>19</v>
      </c>
      <c r="F94" s="14"/>
      <c r="G94" s="14" t="s">
        <v>2013</v>
      </c>
      <c r="H94" s="2" t="s">
        <v>120</v>
      </c>
      <c r="I94" s="2" t="s">
        <v>297</v>
      </c>
      <c r="J94" s="3"/>
      <c r="K94" s="3"/>
      <c r="M94" s="3"/>
    </row>
    <row r="95" spans="1:13">
      <c r="A95" t="s">
        <v>28</v>
      </c>
      <c r="B95">
        <f ca="1">IF(OR(changes[[#This Row],[Type]]="Checklist",changes[[#This Row],[Type]]="checklist-flat"),1+IF(changes[[#This Row],[Type of change]] = "Edit",COUNTIFS($I$4:changes[[#This Row],[Name]],changes[[#This Row],[Name]], $E$4:changes[[#This Row],[Type of change]], "Edit")),B94)</f>
        <v>1</v>
      </c>
      <c r="C95" s="20">
        <v>44484</v>
      </c>
      <c r="D95" s="2" t="s">
        <v>2010</v>
      </c>
      <c r="E95" s="2" t="s">
        <v>19</v>
      </c>
      <c r="F95" s="14"/>
      <c r="G95" s="14" t="s">
        <v>2013</v>
      </c>
      <c r="H95" s="2" t="s">
        <v>49</v>
      </c>
      <c r="I95" s="2" t="s">
        <v>298</v>
      </c>
      <c r="J95" s="3"/>
      <c r="K95" s="3"/>
      <c r="M95" s="3"/>
    </row>
    <row r="96" spans="1:13">
      <c r="A96" t="s">
        <v>28</v>
      </c>
      <c r="B96">
        <f ca="1">IF(OR(changes[[#This Row],[Type]]="Checklist",changes[[#This Row],[Type]]="checklist-flat"),1+IF(changes[[#This Row],[Type of change]] = "Edit",COUNTIFS($I$4:changes[[#This Row],[Name]],changes[[#This Row],[Name]], $E$4:changes[[#This Row],[Type of change]], "Edit")),B95)</f>
        <v>1</v>
      </c>
      <c r="C96" s="20">
        <v>44484</v>
      </c>
      <c r="D96" s="2" t="s">
        <v>2010</v>
      </c>
      <c r="E96" s="2" t="s">
        <v>19</v>
      </c>
      <c r="F96" s="14"/>
      <c r="G96" s="14" t="s">
        <v>2013</v>
      </c>
      <c r="H96" s="2" t="s">
        <v>1119</v>
      </c>
      <c r="I96" s="2" t="s">
        <v>299</v>
      </c>
      <c r="J96" s="3"/>
      <c r="K96" s="3"/>
      <c r="M96" s="3"/>
    </row>
    <row r="97" spans="1:13">
      <c r="A97" t="s">
        <v>28</v>
      </c>
      <c r="B97">
        <f ca="1">IF(OR(changes[[#This Row],[Type]]="Checklist",changes[[#This Row],[Type]]="checklist-flat"),1+IF(changes[[#This Row],[Type of change]] = "Edit",COUNTIFS($I$4:changes[[#This Row],[Name]],changes[[#This Row],[Name]], $E$4:changes[[#This Row],[Type of change]], "Edit")),B96)</f>
        <v>1</v>
      </c>
      <c r="C97" s="20">
        <v>44484</v>
      </c>
      <c r="D97" s="2" t="s">
        <v>2010</v>
      </c>
      <c r="E97" s="2" t="s">
        <v>19</v>
      </c>
      <c r="F97" s="14"/>
      <c r="G97" s="14" t="s">
        <v>2013</v>
      </c>
      <c r="H97" s="2" t="s">
        <v>49</v>
      </c>
      <c r="I97" s="2" t="s">
        <v>300</v>
      </c>
      <c r="J97" s="3"/>
      <c r="K97" s="3"/>
      <c r="M97" s="3"/>
    </row>
    <row r="98" spans="1:13">
      <c r="A98" t="s">
        <v>28</v>
      </c>
      <c r="B98">
        <f ca="1">IF(OR(changes[[#This Row],[Type]]="Checklist",changes[[#This Row],[Type]]="checklist-flat"),1+IF(changes[[#This Row],[Type of change]] = "Edit",COUNTIFS($I$4:changes[[#This Row],[Name]],changes[[#This Row],[Name]], $E$4:changes[[#This Row],[Type of change]], "Edit")),B97)</f>
        <v>1</v>
      </c>
      <c r="C98" s="20">
        <v>44484</v>
      </c>
      <c r="D98" s="2" t="s">
        <v>2010</v>
      </c>
      <c r="E98" s="2" t="s">
        <v>19</v>
      </c>
      <c r="F98" s="14"/>
      <c r="G98" s="14" t="s">
        <v>2014</v>
      </c>
      <c r="H98" s="2" t="s">
        <v>119</v>
      </c>
      <c r="I98" s="2" t="s">
        <v>2014</v>
      </c>
      <c r="J98" s="3"/>
      <c r="K98" s="3"/>
      <c r="M98" s="3"/>
    </row>
    <row r="99" spans="1:13">
      <c r="A99" t="s">
        <v>28</v>
      </c>
      <c r="B99">
        <f ca="1">IF(OR(changes[[#This Row],[Type]]="Checklist",changes[[#This Row],[Type]]="checklist-flat"),1+IF(changes[[#This Row],[Type of change]] = "Edit",COUNTIFS($I$4:changes[[#This Row],[Name]],changes[[#This Row],[Name]], $E$4:changes[[#This Row],[Type of change]], "Edit")),B98)</f>
        <v>1</v>
      </c>
      <c r="C99" s="20">
        <v>44484</v>
      </c>
      <c r="D99" s="2" t="s">
        <v>2010</v>
      </c>
      <c r="E99" s="2" t="s">
        <v>19</v>
      </c>
      <c r="F99" s="14"/>
      <c r="G99" s="14" t="s">
        <v>2014</v>
      </c>
      <c r="H99" s="2" t="s">
        <v>49</v>
      </c>
      <c r="I99" s="2" t="s">
        <v>1263</v>
      </c>
      <c r="J99" s="3"/>
      <c r="K99" s="3"/>
      <c r="M99" s="3"/>
    </row>
    <row r="100" spans="1:13">
      <c r="A100" t="s">
        <v>28</v>
      </c>
      <c r="B100">
        <f ca="1">IF(OR(changes[[#This Row],[Type]]="Checklist",changes[[#This Row],[Type]]="checklist-flat"),1+IF(changes[[#This Row],[Type of change]] = "Edit",COUNTIFS($I$4:changes[[#This Row],[Name]],changes[[#This Row],[Name]], $E$4:changes[[#This Row],[Type of change]], "Edit")),B99)</f>
        <v>1</v>
      </c>
      <c r="C100" s="20">
        <v>44484</v>
      </c>
      <c r="D100" s="2" t="s">
        <v>2010</v>
      </c>
      <c r="E100" s="2" t="s">
        <v>19</v>
      </c>
      <c r="F100" s="14"/>
      <c r="G100" s="14" t="s">
        <v>2014</v>
      </c>
      <c r="H100" s="2" t="s">
        <v>49</v>
      </c>
      <c r="I100" s="2" t="s">
        <v>1264</v>
      </c>
      <c r="J100" s="3"/>
      <c r="K100" s="3"/>
      <c r="M100" s="3"/>
    </row>
    <row r="101" spans="1:13">
      <c r="A101" t="s">
        <v>28</v>
      </c>
      <c r="B101">
        <f ca="1">IF(OR(changes[[#This Row],[Type]]="Checklist",changes[[#This Row],[Type]]="checklist-flat"),1+IF(changes[[#This Row],[Type of change]] = "Edit",COUNTIFS($I$4:changes[[#This Row],[Name]],changes[[#This Row],[Name]], $E$4:changes[[#This Row],[Type of change]], "Edit")),B100)</f>
        <v>1</v>
      </c>
      <c r="C101" s="20">
        <v>44484</v>
      </c>
      <c r="D101" s="2" t="s">
        <v>2010</v>
      </c>
      <c r="E101" s="2" t="s">
        <v>19</v>
      </c>
      <c r="F101" s="14"/>
      <c r="G101" s="14" t="s">
        <v>2014</v>
      </c>
      <c r="H101" s="2" t="s">
        <v>1119</v>
      </c>
      <c r="I101" s="2" t="s">
        <v>306</v>
      </c>
      <c r="J101" s="3"/>
      <c r="K101" s="3"/>
      <c r="M101" s="3"/>
    </row>
    <row r="102" spans="1:13">
      <c r="A102" t="s">
        <v>28</v>
      </c>
      <c r="B102">
        <f ca="1">IF(OR(changes[[#This Row],[Type]]="Checklist",changes[[#This Row],[Type]]="checklist-flat"),1+IF(changes[[#This Row],[Type of change]] = "Edit",COUNTIFS($I$4:changes[[#This Row],[Name]],changes[[#This Row],[Name]], $E$4:changes[[#This Row],[Type of change]], "Edit")),B101)</f>
        <v>2</v>
      </c>
      <c r="C102" s="20">
        <v>44484</v>
      </c>
      <c r="D102" s="2" t="s">
        <v>2010</v>
      </c>
      <c r="E102" s="2" t="s">
        <v>15</v>
      </c>
      <c r="F102" s="14"/>
      <c r="G102" s="14" t="s">
        <v>248</v>
      </c>
      <c r="H102" s="2" t="s">
        <v>119</v>
      </c>
      <c r="I102" s="2" t="s">
        <v>248</v>
      </c>
      <c r="J102" s="3"/>
      <c r="K102" s="3"/>
      <c r="M102" s="3"/>
    </row>
    <row r="103" spans="1:13">
      <c r="A103" t="s">
        <v>28</v>
      </c>
      <c r="B103">
        <f ca="1">IF(OR(changes[[#This Row],[Type]]="Checklist",changes[[#This Row],[Type]]="checklist-flat"),1+IF(changes[[#This Row],[Type of change]] = "Edit",COUNTIFS($I$4:changes[[#This Row],[Name]],changes[[#This Row],[Name]], $E$4:changes[[#This Row],[Type of change]], "Edit")),B102)</f>
        <v>2</v>
      </c>
      <c r="C103" s="20">
        <v>44484</v>
      </c>
      <c r="D103" s="2" t="s">
        <v>2010</v>
      </c>
      <c r="E103" s="2" t="s">
        <v>15</v>
      </c>
      <c r="F103" s="14"/>
      <c r="G103" s="14" t="s">
        <v>1305</v>
      </c>
      <c r="H103" s="2" t="s">
        <v>119</v>
      </c>
      <c r="I103" s="2" t="s">
        <v>1305</v>
      </c>
      <c r="J103" s="3"/>
      <c r="K103" s="3"/>
      <c r="M103" s="3"/>
    </row>
    <row r="104" spans="1:13">
      <c r="A104" t="s">
        <v>28</v>
      </c>
      <c r="B104">
        <f ca="1">IF(OR(changes[[#This Row],[Type]]="Checklist",changes[[#This Row],[Type]]="checklist-flat"),1+IF(changes[[#This Row],[Type of change]] = "Edit",COUNTIFS($I$4:changes[[#This Row],[Name]],changes[[#This Row],[Name]], $E$4:changes[[#This Row],[Type of change]], "Edit")),B103)</f>
        <v>1</v>
      </c>
      <c r="C104" s="20">
        <v>44503</v>
      </c>
      <c r="D104" s="2" t="s">
        <v>2015</v>
      </c>
      <c r="E104" t="s">
        <v>2011</v>
      </c>
      <c r="F104" s="14"/>
      <c r="G104" s="14" t="s">
        <v>2016</v>
      </c>
      <c r="H104" s="2" t="s">
        <v>119</v>
      </c>
      <c r="I104" s="2" t="s">
        <v>2016</v>
      </c>
      <c r="J104" s="2"/>
      <c r="K104" s="2"/>
      <c r="M104" s="3"/>
    </row>
    <row r="105" spans="1:13">
      <c r="A105" t="s">
        <v>28</v>
      </c>
      <c r="B105">
        <f ca="1">IF(OR(changes[[#This Row],[Type]]="Checklist",changes[[#This Row],[Type]]="checklist-flat"),1+IF(changes[[#This Row],[Type of change]] = "Edit",COUNTIFS($I$4:changes[[#This Row],[Name]],changes[[#This Row],[Name]], $E$4:changes[[#This Row],[Type of change]], "Edit")),B104)</f>
        <v>1</v>
      </c>
      <c r="C105" s="20">
        <v>44503</v>
      </c>
      <c r="D105" s="2" t="s">
        <v>2015</v>
      </c>
      <c r="E105" t="s">
        <v>2011</v>
      </c>
      <c r="F105" s="14"/>
      <c r="G105" s="14" t="s">
        <v>2016</v>
      </c>
      <c r="H105" s="2" t="s">
        <v>49</v>
      </c>
      <c r="I105" s="2" t="s">
        <v>74</v>
      </c>
      <c r="J105" s="2"/>
      <c r="K105" s="2"/>
      <c r="M105" s="3"/>
    </row>
    <row r="106" spans="1:13">
      <c r="A106" t="s">
        <v>28</v>
      </c>
      <c r="B106">
        <f ca="1">IF(OR(changes[[#This Row],[Type]]="Checklist",changes[[#This Row],[Type]]="checklist-flat"),1+IF(changes[[#This Row],[Type of change]] = "Edit",COUNTIFS($I$4:changes[[#This Row],[Name]],changes[[#This Row],[Name]], $E$4:changes[[#This Row],[Type of change]], "Edit")),B105)</f>
        <v>1</v>
      </c>
      <c r="C106" s="20">
        <v>44503</v>
      </c>
      <c r="D106" s="2" t="s">
        <v>2015</v>
      </c>
      <c r="E106" t="s">
        <v>2011</v>
      </c>
      <c r="F106" s="14"/>
      <c r="G106" s="14" t="s">
        <v>2016</v>
      </c>
      <c r="H106" s="2" t="s">
        <v>49</v>
      </c>
      <c r="I106" s="2" t="s">
        <v>75</v>
      </c>
      <c r="J106" s="2"/>
      <c r="K106" s="2"/>
      <c r="M106" s="3"/>
    </row>
    <row r="107" spans="1:13">
      <c r="A107" t="s">
        <v>28</v>
      </c>
      <c r="B107">
        <f ca="1">IF(OR(changes[[#This Row],[Type]]="Checklist",changes[[#This Row],[Type]]="checklist-flat"),1+IF(changes[[#This Row],[Type of change]] = "Edit",COUNTIFS($I$4:changes[[#This Row],[Name]],changes[[#This Row],[Name]], $E$4:changes[[#This Row],[Type of change]], "Edit")),B106)</f>
        <v>1</v>
      </c>
      <c r="C107" s="20">
        <v>44503</v>
      </c>
      <c r="D107" s="2" t="s">
        <v>2015</v>
      </c>
      <c r="E107" t="s">
        <v>2011</v>
      </c>
      <c r="F107" s="14"/>
      <c r="G107" s="14" t="s">
        <v>2016</v>
      </c>
      <c r="H107" s="2" t="s">
        <v>49</v>
      </c>
      <c r="I107" s="2" t="s">
        <v>76</v>
      </c>
      <c r="J107" s="2"/>
      <c r="K107" s="2"/>
      <c r="M107" s="3"/>
    </row>
    <row r="108" spans="1:13">
      <c r="A108" t="s">
        <v>28</v>
      </c>
      <c r="B108">
        <f ca="1">IF(OR(changes[[#This Row],[Type]]="Checklist",changes[[#This Row],[Type]]="checklist-flat"),1+IF(changes[[#This Row],[Type of change]] = "Edit",COUNTIFS($I$4:changes[[#This Row],[Name]],changes[[#This Row],[Name]], $E$4:changes[[#This Row],[Type of change]], "Edit")),B107)</f>
        <v>1</v>
      </c>
      <c r="C108" s="20">
        <v>44503</v>
      </c>
      <c r="D108" s="2" t="s">
        <v>2015</v>
      </c>
      <c r="E108" t="s">
        <v>2011</v>
      </c>
      <c r="F108" s="14"/>
      <c r="G108" s="14" t="s">
        <v>2016</v>
      </c>
      <c r="H108" s="2" t="s">
        <v>49</v>
      </c>
      <c r="I108" s="2" t="s">
        <v>77</v>
      </c>
      <c r="J108" s="2"/>
      <c r="K108" s="2"/>
      <c r="M108" s="3"/>
    </row>
    <row r="109" spans="1:13">
      <c r="A109" t="s">
        <v>28</v>
      </c>
      <c r="B109">
        <f ca="1">IF(OR(changes[[#This Row],[Type]]="Checklist",changes[[#This Row],[Type]]="checklist-flat"),1+IF(changes[[#This Row],[Type of change]] = "Edit",COUNTIFS($I$4:changes[[#This Row],[Name]],changes[[#This Row],[Name]], $E$4:changes[[#This Row],[Type of change]], "Edit")),B108)</f>
        <v>1</v>
      </c>
      <c r="C109" s="20">
        <v>44503</v>
      </c>
      <c r="D109" s="2" t="s">
        <v>2015</v>
      </c>
      <c r="E109" t="s">
        <v>2011</v>
      </c>
      <c r="F109" s="14"/>
      <c r="G109" s="14" t="s">
        <v>2016</v>
      </c>
      <c r="H109" s="2" t="s">
        <v>49</v>
      </c>
      <c r="I109" s="2" t="s">
        <v>78</v>
      </c>
      <c r="J109" s="2"/>
      <c r="K109" s="2"/>
      <c r="M109" s="3"/>
    </row>
    <row r="110" spans="1:13">
      <c r="A110" t="s">
        <v>28</v>
      </c>
      <c r="B110">
        <f ca="1">IF(OR(changes[[#This Row],[Type]]="Checklist",changes[[#This Row],[Type]]="checklist-flat"),1+IF(changes[[#This Row],[Type of change]] = "Edit",COUNTIFS($I$4:changes[[#This Row],[Name]],changes[[#This Row],[Name]], $E$4:changes[[#This Row],[Type of change]], "Edit")),B109)</f>
        <v>1</v>
      </c>
      <c r="C110" s="20">
        <v>44503</v>
      </c>
      <c r="D110" s="2" t="s">
        <v>2015</v>
      </c>
      <c r="E110" t="s">
        <v>2011</v>
      </c>
      <c r="F110" s="14"/>
      <c r="G110" s="14" t="s">
        <v>2016</v>
      </c>
      <c r="H110" s="2" t="s">
        <v>49</v>
      </c>
      <c r="I110" s="2" t="s">
        <v>81</v>
      </c>
      <c r="J110" s="2"/>
      <c r="K110" s="2"/>
      <c r="M110" s="3"/>
    </row>
    <row r="111" spans="1:13">
      <c r="A111" t="s">
        <v>28</v>
      </c>
      <c r="B111">
        <f ca="1">IF(OR(changes[[#This Row],[Type]]="Checklist",changes[[#This Row],[Type]]="checklist-flat"),1+IF(changes[[#This Row],[Type of change]] = "Edit",COUNTIFS($I$4:changes[[#This Row],[Name]],changes[[#This Row],[Name]], $E$4:changes[[#This Row],[Type of change]], "Edit")),B110)</f>
        <v>1</v>
      </c>
      <c r="C111" s="20">
        <v>44503</v>
      </c>
      <c r="D111" s="2" t="s">
        <v>2015</v>
      </c>
      <c r="E111" t="s">
        <v>2011</v>
      </c>
      <c r="F111" s="14"/>
      <c r="G111" s="14" t="s">
        <v>2016</v>
      </c>
      <c r="H111" s="2" t="s">
        <v>49</v>
      </c>
      <c r="I111" s="2" t="s">
        <v>82</v>
      </c>
      <c r="J111" s="2"/>
      <c r="K111" s="2"/>
      <c r="M111" s="3"/>
    </row>
    <row r="112" spans="1:13">
      <c r="A112" t="s">
        <v>28</v>
      </c>
      <c r="B112">
        <f ca="1">IF(OR(changes[[#This Row],[Type]]="Checklist",changes[[#This Row],[Type]]="checklist-flat"),1+IF(changes[[#This Row],[Type of change]] = "Edit",COUNTIFS($I$4:changes[[#This Row],[Name]],changes[[#This Row],[Name]], $E$4:changes[[#This Row],[Type of change]], "Edit")),B111)</f>
        <v>1</v>
      </c>
      <c r="C112" s="20">
        <v>44503</v>
      </c>
      <c r="D112" s="2" t="s">
        <v>2015</v>
      </c>
      <c r="E112" t="s">
        <v>2011</v>
      </c>
      <c r="F112" s="14"/>
      <c r="G112" s="14" t="s">
        <v>428</v>
      </c>
      <c r="H112" s="2" t="s">
        <v>119</v>
      </c>
      <c r="I112" s="2" t="s">
        <v>428</v>
      </c>
      <c r="J112" s="2"/>
      <c r="K112" s="2"/>
      <c r="M112" s="3"/>
    </row>
    <row r="113" spans="1:13">
      <c r="A113" t="s">
        <v>28</v>
      </c>
      <c r="B113">
        <f ca="1">IF(OR(changes[[#This Row],[Type]]="Checklist",changes[[#This Row],[Type]]="checklist-flat"),1+IF(changes[[#This Row],[Type of change]] = "Edit",COUNTIFS($I$4:changes[[#This Row],[Name]],changes[[#This Row],[Name]], $E$4:changes[[#This Row],[Type of change]], "Edit")),B112)</f>
        <v>1</v>
      </c>
      <c r="C113" s="20">
        <v>44503</v>
      </c>
      <c r="D113" s="2" t="s">
        <v>2015</v>
      </c>
      <c r="E113" t="s">
        <v>2011</v>
      </c>
      <c r="F113" s="14"/>
      <c r="G113" s="14" t="s">
        <v>428</v>
      </c>
      <c r="H113" s="2" t="s">
        <v>49</v>
      </c>
      <c r="I113" s="2" t="s">
        <v>429</v>
      </c>
      <c r="J113" s="2"/>
      <c r="K113" s="2"/>
      <c r="M113" s="3"/>
    </row>
    <row r="114" spans="1:13">
      <c r="A114" t="s">
        <v>28</v>
      </c>
      <c r="B114">
        <f ca="1">IF(OR(changes[[#This Row],[Type]]="Checklist",changes[[#This Row],[Type]]="checklist-flat"),1+IF(changes[[#This Row],[Type of change]] = "Edit",COUNTIFS($I$4:changes[[#This Row],[Name]],changes[[#This Row],[Name]], $E$4:changes[[#This Row],[Type of change]], "Edit")),B113)</f>
        <v>1</v>
      </c>
      <c r="C114" s="20">
        <v>44503</v>
      </c>
      <c r="D114" s="2" t="s">
        <v>2015</v>
      </c>
      <c r="E114" t="s">
        <v>2011</v>
      </c>
      <c r="F114" s="14"/>
      <c r="G114" s="14" t="s">
        <v>428</v>
      </c>
      <c r="H114" s="2" t="s">
        <v>49</v>
      </c>
      <c r="I114" s="2" t="s">
        <v>430</v>
      </c>
      <c r="J114" s="2"/>
      <c r="K114" s="2"/>
      <c r="M114" s="3"/>
    </row>
    <row r="115" spans="1:13" ht="15.75">
      <c r="A115" t="s">
        <v>28</v>
      </c>
      <c r="B115">
        <f ca="1">IF(OR(changes[[#This Row],[Type]]="Checklist",changes[[#This Row],[Type]]="checklist-flat"),1+IF(changes[[#This Row],[Type of change]] = "Edit",COUNTIFS($I$4:changes[[#This Row],[Name]],changes[[#This Row],[Name]], $E$4:changes[[#This Row],[Type of change]], "Edit")),B114)</f>
        <v>1</v>
      </c>
      <c r="C115" s="20">
        <v>44503</v>
      </c>
      <c r="D115" s="2" t="s">
        <v>2015</v>
      </c>
      <c r="E115" t="s">
        <v>2011</v>
      </c>
      <c r="F115" s="14"/>
      <c r="G115" s="14" t="s">
        <v>428</v>
      </c>
      <c r="H115" t="s">
        <v>49</v>
      </c>
      <c r="I115" t="s">
        <v>431</v>
      </c>
      <c r="J115" s="45"/>
      <c r="K115" s="3"/>
      <c r="M115" s="3"/>
    </row>
    <row r="116" spans="1:13">
      <c r="A116" t="s">
        <v>28</v>
      </c>
      <c r="B116">
        <f ca="1">IF(OR(changes[[#This Row],[Type]]="Checklist",changes[[#This Row],[Type]]="checklist-flat"),1+IF(changes[[#This Row],[Type of change]] = "Edit",COUNTIFS($I$4:changes[[#This Row],[Name]],changes[[#This Row],[Name]], $E$4:changes[[#This Row],[Type of change]], "Edit")),B115)</f>
        <v>1</v>
      </c>
      <c r="C116" s="20">
        <v>44503</v>
      </c>
      <c r="D116" s="2" t="s">
        <v>2015</v>
      </c>
      <c r="E116" t="s">
        <v>2011</v>
      </c>
      <c r="F116" s="14"/>
      <c r="G116" s="14" t="s">
        <v>428</v>
      </c>
      <c r="H116" t="s">
        <v>49</v>
      </c>
      <c r="I116" t="s">
        <v>432</v>
      </c>
      <c r="M116" s="3"/>
    </row>
    <row r="117" spans="1:13">
      <c r="A117" t="s">
        <v>28</v>
      </c>
      <c r="B117">
        <f ca="1">IF(OR(changes[[#This Row],[Type]]="Checklist",changes[[#This Row],[Type]]="checklist-flat"),1+IF(changes[[#This Row],[Type of change]] = "Edit",COUNTIFS($I$4:changes[[#This Row],[Name]],changes[[#This Row],[Name]], $E$4:changes[[#This Row],[Type of change]], "Edit")),B116)</f>
        <v>1</v>
      </c>
      <c r="C117" s="20">
        <v>44503</v>
      </c>
      <c r="D117" s="2" t="s">
        <v>2015</v>
      </c>
      <c r="E117" t="s">
        <v>2011</v>
      </c>
      <c r="F117" s="14"/>
      <c r="G117" s="14" t="s">
        <v>428</v>
      </c>
      <c r="H117" t="s">
        <v>49</v>
      </c>
      <c r="I117" t="s">
        <v>433</v>
      </c>
      <c r="M117" s="3"/>
    </row>
    <row r="118" spans="1:13">
      <c r="A118" t="s">
        <v>28</v>
      </c>
      <c r="B118">
        <f ca="1">IF(OR(changes[[#This Row],[Type]]="Checklist",changes[[#This Row],[Type]]="checklist-flat"),1+IF(changes[[#This Row],[Type of change]] = "Edit",COUNTIFS($I$4:changes[[#This Row],[Name]],changes[[#This Row],[Name]], $E$4:changes[[#This Row],[Type of change]], "Edit")),B117)</f>
        <v>1</v>
      </c>
      <c r="C118" s="20">
        <v>44503</v>
      </c>
      <c r="D118" s="2" t="s">
        <v>2015</v>
      </c>
      <c r="E118" t="s">
        <v>2011</v>
      </c>
      <c r="F118" s="14"/>
      <c r="G118" s="14" t="s">
        <v>428</v>
      </c>
      <c r="H118" t="s">
        <v>49</v>
      </c>
      <c r="I118" t="s">
        <v>434</v>
      </c>
      <c r="M118" s="3"/>
    </row>
    <row r="119" spans="1:13">
      <c r="A119" t="s">
        <v>28</v>
      </c>
      <c r="B119">
        <f ca="1">IF(OR(changes[[#This Row],[Type]]="Checklist",changes[[#This Row],[Type]]="checklist-flat"),1+IF(changes[[#This Row],[Type of change]] = "Edit",COUNTIFS($I$4:changes[[#This Row],[Name]],changes[[#This Row],[Name]], $E$4:changes[[#This Row],[Type of change]], "Edit")),B118)</f>
        <v>1</v>
      </c>
      <c r="C119" s="20">
        <v>44503</v>
      </c>
      <c r="D119" s="2" t="s">
        <v>2015</v>
      </c>
      <c r="E119" t="s">
        <v>2011</v>
      </c>
      <c r="F119" s="14"/>
      <c r="G119" s="14" t="s">
        <v>428</v>
      </c>
      <c r="H119" t="s">
        <v>49</v>
      </c>
      <c r="I119" t="s">
        <v>435</v>
      </c>
      <c r="M119" s="3"/>
    </row>
    <row r="120" spans="1:13">
      <c r="A120" t="s">
        <v>28</v>
      </c>
      <c r="B120">
        <f ca="1">IF(OR(changes[[#This Row],[Type]]="Checklist",changes[[#This Row],[Type]]="checklist-flat"),1+IF(changes[[#This Row],[Type of change]] = "Edit",COUNTIFS($I$4:changes[[#This Row],[Name]],changes[[#This Row],[Name]], $E$4:changes[[#This Row],[Type of change]], "Edit")),B119)</f>
        <v>1</v>
      </c>
      <c r="C120" s="20">
        <v>44503</v>
      </c>
      <c r="D120" s="2" t="s">
        <v>2015</v>
      </c>
      <c r="E120" t="s">
        <v>2011</v>
      </c>
      <c r="F120" s="14"/>
      <c r="G120" s="14" t="s">
        <v>428</v>
      </c>
      <c r="H120" t="s">
        <v>49</v>
      </c>
      <c r="I120" t="s">
        <v>436</v>
      </c>
      <c r="M120" s="3"/>
    </row>
    <row r="121" spans="1:13">
      <c r="A121" t="s">
        <v>28</v>
      </c>
      <c r="B121">
        <f ca="1">IF(OR(changes[[#This Row],[Type]]="Checklist",changes[[#This Row],[Type]]="checklist-flat"),1+IF(changes[[#This Row],[Type of change]] = "Edit",COUNTIFS($I$4:changes[[#This Row],[Name]],changes[[#This Row],[Name]], $E$4:changes[[#This Row],[Type of change]], "Edit")),B120)</f>
        <v>1</v>
      </c>
      <c r="C121" s="20">
        <v>44503</v>
      </c>
      <c r="D121" s="2" t="s">
        <v>2015</v>
      </c>
      <c r="E121" t="s">
        <v>2011</v>
      </c>
      <c r="F121" s="14"/>
      <c r="G121" s="14" t="s">
        <v>428</v>
      </c>
      <c r="H121" s="14" t="s">
        <v>49</v>
      </c>
      <c r="I121" t="s">
        <v>437</v>
      </c>
      <c r="M121" s="3"/>
    </row>
    <row r="122" spans="1:13">
      <c r="A122" t="s">
        <v>28</v>
      </c>
      <c r="B122">
        <f ca="1">IF(OR(changes[[#This Row],[Type]]="Checklist",changes[[#This Row],[Type]]="checklist-flat"),1+IF(changes[[#This Row],[Type of change]] = "Edit",COUNTIFS($I$4:changes[[#This Row],[Name]],changes[[#This Row],[Name]], $E$4:changes[[#This Row],[Type of change]], "Edit")),B121)</f>
        <v>1</v>
      </c>
      <c r="C122" s="20">
        <v>44503</v>
      </c>
      <c r="D122" s="2" t="s">
        <v>2015</v>
      </c>
      <c r="E122" t="s">
        <v>2011</v>
      </c>
      <c r="F122" s="14"/>
      <c r="G122" s="14" t="s">
        <v>428</v>
      </c>
      <c r="H122" s="14" t="s">
        <v>49</v>
      </c>
      <c r="I122" t="s">
        <v>438</v>
      </c>
      <c r="M122" s="3"/>
    </row>
    <row r="123" spans="1:13">
      <c r="A123" t="s">
        <v>28</v>
      </c>
      <c r="B123">
        <f ca="1">IF(OR(changes[[#This Row],[Type]]="Checklist",changes[[#This Row],[Type]]="checklist-flat"),1+IF(changes[[#This Row],[Type of change]] = "Edit",COUNTIFS($I$4:changes[[#This Row],[Name]],changes[[#This Row],[Name]], $E$4:changes[[#This Row],[Type of change]], "Edit")),B122)</f>
        <v>1</v>
      </c>
      <c r="C123" s="20">
        <v>44503</v>
      </c>
      <c r="D123" s="2" t="s">
        <v>2015</v>
      </c>
      <c r="E123" t="s">
        <v>15</v>
      </c>
      <c r="F123" s="14"/>
      <c r="G123" s="14" t="s">
        <v>428</v>
      </c>
      <c r="H123" s="14" t="s">
        <v>1739</v>
      </c>
      <c r="I123" t="s">
        <v>68</v>
      </c>
      <c r="M123" s="3"/>
    </row>
    <row r="124" spans="1:13">
      <c r="A124" t="s">
        <v>28</v>
      </c>
      <c r="B124">
        <f ca="1">IF(OR(changes[[#This Row],[Type]]="Checklist",changes[[#This Row],[Type]]="checklist-flat"),1+IF(changes[[#This Row],[Type of change]] = "Edit",COUNTIFS($I$4:changes[[#This Row],[Name]],changes[[#This Row],[Name]], $E$4:changes[[#This Row],[Type of change]], "Edit")),B123)</f>
        <v>1</v>
      </c>
      <c r="C124" s="20">
        <v>44515</v>
      </c>
      <c r="D124" s="2" t="s">
        <v>2015</v>
      </c>
      <c r="E124" t="s">
        <v>2011</v>
      </c>
      <c r="F124" s="14"/>
      <c r="G124" s="14" t="s">
        <v>1189</v>
      </c>
      <c r="H124" s="14" t="s">
        <v>119</v>
      </c>
      <c r="I124" t="s">
        <v>1189</v>
      </c>
      <c r="M124" s="3"/>
    </row>
    <row r="125" spans="1:13">
      <c r="A125" t="s">
        <v>28</v>
      </c>
      <c r="B125">
        <f ca="1">IF(OR(changes[[#This Row],[Type]]="Checklist",changes[[#This Row],[Type]]="checklist-flat"),1+IF(changes[[#This Row],[Type of change]] = "Edit",COUNTIFS($I$4:changes[[#This Row],[Name]],changes[[#This Row],[Name]], $E$4:changes[[#This Row],[Type of change]], "Edit")),B124)</f>
        <v>1</v>
      </c>
      <c r="C125" s="20">
        <v>44515</v>
      </c>
      <c r="D125" s="2" t="s">
        <v>2015</v>
      </c>
      <c r="E125" t="s">
        <v>2011</v>
      </c>
      <c r="F125" s="14"/>
      <c r="G125" s="14" t="s">
        <v>1189</v>
      </c>
      <c r="H125" s="14" t="s">
        <v>49</v>
      </c>
      <c r="I125" t="s">
        <v>74</v>
      </c>
      <c r="M125" s="3"/>
    </row>
    <row r="126" spans="1:13">
      <c r="A126" t="s">
        <v>28</v>
      </c>
      <c r="B126">
        <f ca="1">IF(OR(changes[[#This Row],[Type]]="Checklist",changes[[#This Row],[Type]]="checklist-flat"),1+IF(changes[[#This Row],[Type of change]] = "Edit",COUNTIFS($I$4:changes[[#This Row],[Name]],changes[[#This Row],[Name]], $E$4:changes[[#This Row],[Type of change]], "Edit")),B125)</f>
        <v>1</v>
      </c>
      <c r="C126" s="20">
        <v>44515</v>
      </c>
      <c r="D126" s="2" t="s">
        <v>2015</v>
      </c>
      <c r="E126" t="s">
        <v>2011</v>
      </c>
      <c r="F126" s="14"/>
      <c r="G126" s="14" t="s">
        <v>1189</v>
      </c>
      <c r="H126" s="14" t="s">
        <v>49</v>
      </c>
      <c r="I126" t="s">
        <v>75</v>
      </c>
      <c r="M126" s="3"/>
    </row>
    <row r="127" spans="1:13">
      <c r="A127" t="s">
        <v>28</v>
      </c>
      <c r="B127">
        <f ca="1">IF(OR(changes[[#This Row],[Type]]="Checklist",changes[[#This Row],[Type]]="checklist-flat"),1+IF(changes[[#This Row],[Type of change]] = "Edit",COUNTIFS($I$4:changes[[#This Row],[Name]],changes[[#This Row],[Name]], $E$4:changes[[#This Row],[Type of change]], "Edit")),B126)</f>
        <v>1</v>
      </c>
      <c r="C127" s="20">
        <v>44515</v>
      </c>
      <c r="D127" s="2" t="s">
        <v>2015</v>
      </c>
      <c r="E127" t="s">
        <v>2011</v>
      </c>
      <c r="F127" s="14"/>
      <c r="G127" s="14" t="s">
        <v>1189</v>
      </c>
      <c r="H127" s="14" t="s">
        <v>49</v>
      </c>
      <c r="I127" t="s">
        <v>76</v>
      </c>
      <c r="M127" s="3"/>
    </row>
    <row r="128" spans="1:13">
      <c r="A128" t="s">
        <v>28</v>
      </c>
      <c r="B128">
        <f ca="1">IF(OR(changes[[#This Row],[Type]]="Checklist",changes[[#This Row],[Type]]="checklist-flat"),1+IF(changes[[#This Row],[Type of change]] = "Edit",COUNTIFS($I$4:changes[[#This Row],[Name]],changes[[#This Row],[Name]], $E$4:changes[[#This Row],[Type of change]], "Edit")),B127)</f>
        <v>1</v>
      </c>
      <c r="C128" s="20">
        <v>44515</v>
      </c>
      <c r="D128" s="2" t="s">
        <v>2015</v>
      </c>
      <c r="E128" t="s">
        <v>2011</v>
      </c>
      <c r="F128" s="14"/>
      <c r="G128" s="14" t="s">
        <v>1189</v>
      </c>
      <c r="H128" s="14" t="s">
        <v>49</v>
      </c>
      <c r="I128" t="s">
        <v>77</v>
      </c>
      <c r="M128" s="3"/>
    </row>
    <row r="129" spans="1:13">
      <c r="A129" t="s">
        <v>28</v>
      </c>
      <c r="B129">
        <f ca="1">IF(OR(changes[[#This Row],[Type]]="Checklist",changes[[#This Row],[Type]]="checklist-flat"),1+IF(changes[[#This Row],[Type of change]] = "Edit",COUNTIFS($I$4:changes[[#This Row],[Name]],changes[[#This Row],[Name]], $E$4:changes[[#This Row],[Type of change]], "Edit")),B128)</f>
        <v>1</v>
      </c>
      <c r="C129" s="20">
        <v>44515</v>
      </c>
      <c r="D129" s="2" t="s">
        <v>2015</v>
      </c>
      <c r="E129" t="s">
        <v>2011</v>
      </c>
      <c r="F129" s="14"/>
      <c r="G129" s="14" t="s">
        <v>1189</v>
      </c>
      <c r="H129" s="14" t="s">
        <v>49</v>
      </c>
      <c r="I129" t="s">
        <v>78</v>
      </c>
      <c r="M129" s="3"/>
    </row>
    <row r="130" spans="1:13">
      <c r="A130" t="s">
        <v>28</v>
      </c>
      <c r="B130">
        <f ca="1">IF(OR(changes[[#This Row],[Type]]="Checklist",changes[[#This Row],[Type]]="checklist-flat"),1+IF(changes[[#This Row],[Type of change]] = "Edit",COUNTIFS($I$4:changes[[#This Row],[Name]],changes[[#This Row],[Name]], $E$4:changes[[#This Row],[Type of change]], "Edit")),B129)</f>
        <v>1</v>
      </c>
      <c r="C130" s="20">
        <v>44515</v>
      </c>
      <c r="D130" s="2" t="s">
        <v>2015</v>
      </c>
      <c r="E130" t="s">
        <v>2011</v>
      </c>
      <c r="F130" s="14"/>
      <c r="G130" s="14" t="s">
        <v>1189</v>
      </c>
      <c r="H130" s="14" t="s">
        <v>49</v>
      </c>
      <c r="I130" t="s">
        <v>1191</v>
      </c>
      <c r="M130" s="3"/>
    </row>
    <row r="131" spans="1:13">
      <c r="A131" t="s">
        <v>28</v>
      </c>
      <c r="B131">
        <f ca="1">IF(OR(changes[[#This Row],[Type]]="Checklist",changes[[#This Row],[Type]]="checklist-flat"),1+IF(changes[[#This Row],[Type of change]] = "Edit",COUNTIFS($I$4:changes[[#This Row],[Name]],changes[[#This Row],[Name]], $E$4:changes[[#This Row],[Type of change]], "Edit")),B130)</f>
        <v>1</v>
      </c>
      <c r="C131" s="20">
        <v>44515</v>
      </c>
      <c r="D131" s="2" t="s">
        <v>2015</v>
      </c>
      <c r="E131" t="s">
        <v>2011</v>
      </c>
      <c r="F131" s="14"/>
      <c r="G131" s="14" t="s">
        <v>1189</v>
      </c>
      <c r="H131" s="14" t="s">
        <v>49</v>
      </c>
      <c r="I131" t="s">
        <v>435</v>
      </c>
      <c r="M131" s="3"/>
    </row>
    <row r="132" spans="1:13">
      <c r="A132" t="s">
        <v>28</v>
      </c>
      <c r="B132">
        <f ca="1">IF(OR(changes[[#This Row],[Type]]="Checklist",changes[[#This Row],[Type]]="checklist-flat"),1+IF(changes[[#This Row],[Type of change]] = "Edit",COUNTIFS($I$4:changes[[#This Row],[Name]],changes[[#This Row],[Name]], $E$4:changes[[#This Row],[Type of change]], "Edit")),B131)</f>
        <v>1</v>
      </c>
      <c r="C132" s="20">
        <v>44515</v>
      </c>
      <c r="D132" s="2" t="s">
        <v>2015</v>
      </c>
      <c r="E132" t="s">
        <v>2011</v>
      </c>
      <c r="F132" s="14"/>
      <c r="G132" s="14" t="s">
        <v>439</v>
      </c>
      <c r="H132" s="14" t="s">
        <v>119</v>
      </c>
      <c r="I132" t="s">
        <v>439</v>
      </c>
      <c r="M132" s="3"/>
    </row>
    <row r="133" spans="1:13">
      <c r="A133" t="s">
        <v>28</v>
      </c>
      <c r="B133">
        <f ca="1">IF(OR(changes[[#This Row],[Type]]="Checklist",changes[[#This Row],[Type]]="checklist-flat"),1+IF(changes[[#This Row],[Type of change]] = "Edit",COUNTIFS($I$4:changes[[#This Row],[Name]],changes[[#This Row],[Name]], $E$4:changes[[#This Row],[Type of change]], "Edit")),B132)</f>
        <v>1</v>
      </c>
      <c r="C133" s="20">
        <v>44515</v>
      </c>
      <c r="D133" s="2" t="s">
        <v>2015</v>
      </c>
      <c r="E133" t="s">
        <v>2011</v>
      </c>
      <c r="F133" s="14"/>
      <c r="G133" s="14" t="s">
        <v>439</v>
      </c>
      <c r="H133" s="14" t="s">
        <v>49</v>
      </c>
      <c r="I133" t="s">
        <v>74</v>
      </c>
      <c r="M133" s="3"/>
    </row>
    <row r="134" spans="1:13">
      <c r="A134" t="s">
        <v>28</v>
      </c>
      <c r="B134">
        <f ca="1">IF(OR(changes[[#This Row],[Type]]="Checklist",changes[[#This Row],[Type]]="checklist-flat"),1+IF(changes[[#This Row],[Type of change]] = "Edit",COUNTIFS($I$4:changes[[#This Row],[Name]],changes[[#This Row],[Name]], $E$4:changes[[#This Row],[Type of change]], "Edit")),B133)</f>
        <v>1</v>
      </c>
      <c r="C134" s="20">
        <v>44515</v>
      </c>
      <c r="D134" s="2" t="s">
        <v>2015</v>
      </c>
      <c r="E134" t="s">
        <v>2011</v>
      </c>
      <c r="F134" s="14"/>
      <c r="G134" s="14" t="s">
        <v>439</v>
      </c>
      <c r="H134" s="14" t="s">
        <v>49</v>
      </c>
      <c r="I134" t="s">
        <v>440</v>
      </c>
      <c r="M134" s="3"/>
    </row>
    <row r="135" spans="1:13">
      <c r="A135" t="s">
        <v>28</v>
      </c>
      <c r="B135">
        <f ca="1">IF(OR(changes[[#This Row],[Type]]="Checklist",changes[[#This Row],[Type]]="checklist-flat"),1+IF(changes[[#This Row],[Type of change]] = "Edit",COUNTIFS($I$4:changes[[#This Row],[Name]],changes[[#This Row],[Name]], $E$4:changes[[#This Row],[Type of change]], "Edit")),B134)</f>
        <v>1</v>
      </c>
      <c r="C135" s="20">
        <v>44515</v>
      </c>
      <c r="D135" s="2" t="s">
        <v>2015</v>
      </c>
      <c r="E135" t="s">
        <v>2011</v>
      </c>
      <c r="F135" s="14"/>
      <c r="G135" s="14" t="s">
        <v>439</v>
      </c>
      <c r="H135" s="14" t="s">
        <v>1739</v>
      </c>
      <c r="I135" t="s">
        <v>441</v>
      </c>
      <c r="M135" s="3"/>
    </row>
    <row r="136" spans="1:13">
      <c r="A136" t="s">
        <v>28</v>
      </c>
      <c r="B136">
        <f ca="1">IF(OR(changes[[#This Row],[Type]]="Checklist",changes[[#This Row],[Type]]="checklist-flat"),1+IF(changes[[#This Row],[Type of change]] = "Edit",COUNTIFS($I$4:changes[[#This Row],[Name]],changes[[#This Row],[Name]], $E$4:changes[[#This Row],[Type of change]], "Edit")),B135)</f>
        <v>1</v>
      </c>
      <c r="C136" s="20">
        <v>44515</v>
      </c>
      <c r="D136" s="2" t="s">
        <v>2015</v>
      </c>
      <c r="E136" t="s">
        <v>2011</v>
      </c>
      <c r="F136" s="14"/>
      <c r="G136" s="14" t="s">
        <v>439</v>
      </c>
      <c r="H136" s="14" t="s">
        <v>1739</v>
      </c>
      <c r="I136" t="s">
        <v>442</v>
      </c>
      <c r="M136" s="3"/>
    </row>
    <row r="137" spans="1:13">
      <c r="A137" t="s">
        <v>28</v>
      </c>
      <c r="B137">
        <f ca="1">IF(OR(changes[[#This Row],[Type]]="Checklist",changes[[#This Row],[Type]]="checklist-flat"),1+IF(changes[[#This Row],[Type of change]] = "Edit",COUNTIFS($I$4:changes[[#This Row],[Name]],changes[[#This Row],[Name]], $E$4:changes[[#This Row],[Type of change]], "Edit")),B136)</f>
        <v>1</v>
      </c>
      <c r="C137" s="20">
        <v>44515</v>
      </c>
      <c r="D137" s="2" t="s">
        <v>2015</v>
      </c>
      <c r="E137" t="s">
        <v>2011</v>
      </c>
      <c r="F137" s="14"/>
      <c r="G137" s="14" t="s">
        <v>439</v>
      </c>
      <c r="H137" s="14" t="s">
        <v>1739</v>
      </c>
      <c r="I137" t="s">
        <v>340</v>
      </c>
      <c r="M137" s="3"/>
    </row>
    <row r="138" spans="1:13">
      <c r="A138" t="s">
        <v>28</v>
      </c>
      <c r="B138">
        <f ca="1">IF(OR(changes[[#This Row],[Type]]="Checklist",changes[[#This Row],[Type]]="checklist-flat"),1+IF(changes[[#This Row],[Type of change]] = "Edit",COUNTIFS($I$4:changes[[#This Row],[Name]],changes[[#This Row],[Name]], $E$4:changes[[#This Row],[Type of change]], "Edit")),B137)</f>
        <v>1</v>
      </c>
      <c r="C138" s="20">
        <v>44515</v>
      </c>
      <c r="D138" s="2" t="s">
        <v>2015</v>
      </c>
      <c r="E138" t="s">
        <v>10</v>
      </c>
      <c r="F138" s="14"/>
      <c r="G138" s="14" t="s">
        <v>439</v>
      </c>
      <c r="H138" s="14" t="s">
        <v>49</v>
      </c>
      <c r="I138" t="s">
        <v>288</v>
      </c>
      <c r="M138" s="3"/>
    </row>
    <row r="139" spans="1:13">
      <c r="A139" t="s">
        <v>28</v>
      </c>
      <c r="B139">
        <f ca="1">IF(OR(changes[[#This Row],[Type]]="Checklist",changes[[#This Row],[Type]]="checklist-flat"),1+IF(changes[[#This Row],[Type of change]] = "Edit",COUNTIFS($I$4:changes[[#This Row],[Name]],changes[[#This Row],[Name]], $E$4:changes[[#This Row],[Type of change]], "Edit")),B138)</f>
        <v>1</v>
      </c>
      <c r="C139" s="20">
        <v>44515</v>
      </c>
      <c r="D139" s="2" t="s">
        <v>2015</v>
      </c>
      <c r="E139" t="s">
        <v>10</v>
      </c>
      <c r="F139" s="14"/>
      <c r="G139" s="14" t="s">
        <v>439</v>
      </c>
      <c r="H139" s="14" t="s">
        <v>49</v>
      </c>
      <c r="I139" t="s">
        <v>289</v>
      </c>
      <c r="M139" s="3"/>
    </row>
    <row r="140" spans="1:13">
      <c r="A140" t="s">
        <v>28</v>
      </c>
      <c r="B140">
        <f ca="1">IF(OR(changes[[#This Row],[Type]]="Checklist",changes[[#This Row],[Type]]="checklist-flat"),1+IF(changes[[#This Row],[Type of change]] = "Edit",COUNTIFS($I$4:changes[[#This Row],[Name]],changes[[#This Row],[Name]], $E$4:changes[[#This Row],[Type of change]], "Edit")),B139)</f>
        <v>1</v>
      </c>
      <c r="C140" s="20">
        <v>44515</v>
      </c>
      <c r="D140" s="2" t="s">
        <v>2015</v>
      </c>
      <c r="E140" t="s">
        <v>10</v>
      </c>
      <c r="F140" s="14"/>
      <c r="G140" s="14" t="s">
        <v>439</v>
      </c>
      <c r="H140" s="14" t="s">
        <v>49</v>
      </c>
      <c r="I140" t="s">
        <v>288</v>
      </c>
      <c r="M140" s="3"/>
    </row>
    <row r="141" spans="1:13">
      <c r="A141" t="s">
        <v>28</v>
      </c>
      <c r="B141">
        <f ca="1">IF(OR(changes[[#This Row],[Type]]="Checklist",changes[[#This Row],[Type]]="checklist-flat"),1+IF(changes[[#This Row],[Type of change]] = "Edit",COUNTIFS($I$4:changes[[#This Row],[Name]],changes[[#This Row],[Name]], $E$4:changes[[#This Row],[Type of change]], "Edit")),B140)</f>
        <v>1</v>
      </c>
      <c r="C141" s="20">
        <v>44515</v>
      </c>
      <c r="D141" s="2" t="s">
        <v>2015</v>
      </c>
      <c r="E141" t="s">
        <v>10</v>
      </c>
      <c r="F141" s="14"/>
      <c r="G141" s="14" t="s">
        <v>439</v>
      </c>
      <c r="H141" s="14" t="s">
        <v>49</v>
      </c>
      <c r="I141" s="14" t="s">
        <v>289</v>
      </c>
      <c r="J141" s="46"/>
      <c r="K141" s="3"/>
      <c r="M141" s="3"/>
    </row>
    <row r="142" spans="1:13">
      <c r="A142" t="s">
        <v>28</v>
      </c>
      <c r="B142">
        <f ca="1">IF(OR(changes[[#This Row],[Type]]="Checklist",changes[[#This Row],[Type]]="checklist-flat"),1+IF(changes[[#This Row],[Type of change]] = "Edit",COUNTIFS($I$4:changes[[#This Row],[Name]],changes[[#This Row],[Name]], $E$4:changes[[#This Row],[Type of change]], "Edit")),B141)</f>
        <v>1</v>
      </c>
      <c r="C142" s="20">
        <v>44515</v>
      </c>
      <c r="D142" s="2" t="s">
        <v>2015</v>
      </c>
      <c r="E142" t="s">
        <v>2011</v>
      </c>
      <c r="F142" s="14"/>
      <c r="G142" s="14" t="s">
        <v>443</v>
      </c>
      <c r="H142" s="14" t="s">
        <v>119</v>
      </c>
      <c r="I142" s="14" t="s">
        <v>443</v>
      </c>
      <c r="K142" s="3"/>
      <c r="M142" s="3"/>
    </row>
    <row r="143" spans="1:13">
      <c r="A143" t="s">
        <v>28</v>
      </c>
      <c r="B143">
        <f ca="1">IF(OR(changes[[#This Row],[Type]]="Checklist",changes[[#This Row],[Type]]="checklist-flat"),1+IF(changes[[#This Row],[Type of change]] = "Edit",COUNTIFS($I$4:changes[[#This Row],[Name]],changes[[#This Row],[Name]], $E$4:changes[[#This Row],[Type of change]], "Edit")),B142)</f>
        <v>1</v>
      </c>
      <c r="C143" s="20">
        <v>44515</v>
      </c>
      <c r="D143" s="2" t="s">
        <v>2015</v>
      </c>
      <c r="E143" t="s">
        <v>2011</v>
      </c>
      <c r="F143" s="14"/>
      <c r="G143" s="14" t="s">
        <v>443</v>
      </c>
      <c r="H143" s="14" t="s">
        <v>120</v>
      </c>
      <c r="I143" s="14" t="s">
        <v>249</v>
      </c>
      <c r="K143" s="3"/>
      <c r="M143" s="3"/>
    </row>
    <row r="144" spans="1:13">
      <c r="A144" t="s">
        <v>28</v>
      </c>
      <c r="B144">
        <f ca="1">IF(OR(changes[[#This Row],[Type]]="Checklist",changes[[#This Row],[Type]]="checklist-flat"),1+IF(changes[[#This Row],[Type of change]] = "Edit",COUNTIFS($I$4:changes[[#This Row],[Name]],changes[[#This Row],[Name]], $E$4:changes[[#This Row],[Type of change]], "Edit")),B143)</f>
        <v>1</v>
      </c>
      <c r="C144" s="20">
        <v>44515</v>
      </c>
      <c r="D144" s="2" t="s">
        <v>2015</v>
      </c>
      <c r="E144" t="s">
        <v>2011</v>
      </c>
      <c r="F144" s="14"/>
      <c r="G144" s="14" t="s">
        <v>443</v>
      </c>
      <c r="H144" s="14" t="s">
        <v>124</v>
      </c>
      <c r="I144" s="14" t="s">
        <v>251</v>
      </c>
      <c r="K144" s="3"/>
      <c r="M144" s="3"/>
    </row>
    <row r="145" spans="1:13">
      <c r="A145" t="s">
        <v>28</v>
      </c>
      <c r="B145">
        <f ca="1">IF(OR(changes[[#This Row],[Type]]="Checklist",changes[[#This Row],[Type]]="checklist-flat"),1+IF(changes[[#This Row],[Type of change]] = "Edit",COUNTIFS($I$4:changes[[#This Row],[Name]],changes[[#This Row],[Name]], $E$4:changes[[#This Row],[Type of change]], "Edit")),B144)</f>
        <v>1</v>
      </c>
      <c r="C145" s="20">
        <v>44515</v>
      </c>
      <c r="D145" s="2" t="s">
        <v>2015</v>
      </c>
      <c r="E145" t="s">
        <v>2011</v>
      </c>
      <c r="F145" s="14"/>
      <c r="G145" s="14" t="s">
        <v>443</v>
      </c>
      <c r="H145" s="14" t="s">
        <v>124</v>
      </c>
      <c r="I145" s="14" t="s">
        <v>252</v>
      </c>
      <c r="K145" s="3"/>
      <c r="M145" s="3"/>
    </row>
    <row r="146" spans="1:13">
      <c r="A146" t="s">
        <v>28</v>
      </c>
      <c r="B146">
        <f ca="1">IF(OR(changes[[#This Row],[Type]]="Checklist",changes[[#This Row],[Type]]="checklist-flat"),1+IF(changes[[#This Row],[Type of change]] = "Edit",COUNTIFS($I$4:changes[[#This Row],[Name]],changes[[#This Row],[Name]], $E$4:changes[[#This Row],[Type of change]], "Edit")),B145)</f>
        <v>1</v>
      </c>
      <c r="C146" s="20">
        <v>44515</v>
      </c>
      <c r="D146" s="2" t="s">
        <v>2015</v>
      </c>
      <c r="E146" t="s">
        <v>2011</v>
      </c>
      <c r="F146" s="14"/>
      <c r="G146" s="14" t="s">
        <v>443</v>
      </c>
      <c r="H146" s="14" t="s">
        <v>49</v>
      </c>
      <c r="I146" s="14" t="s">
        <v>253</v>
      </c>
      <c r="K146" s="3"/>
      <c r="M146" s="3"/>
    </row>
    <row r="147" spans="1:13">
      <c r="A147" t="s">
        <v>28</v>
      </c>
      <c r="B147">
        <f ca="1">IF(OR(changes[[#This Row],[Type]]="Checklist",changes[[#This Row],[Type]]="checklist-flat"),1+IF(changes[[#This Row],[Type of change]] = "Edit",COUNTIFS($I$4:changes[[#This Row],[Name]],changes[[#This Row],[Name]], $E$4:changes[[#This Row],[Type of change]], "Edit")),B146)</f>
        <v>1</v>
      </c>
      <c r="C147" s="20">
        <v>44515</v>
      </c>
      <c r="D147" s="2" t="s">
        <v>2015</v>
      </c>
      <c r="E147" t="s">
        <v>2011</v>
      </c>
      <c r="F147" s="14"/>
      <c r="G147" s="14" t="s">
        <v>443</v>
      </c>
      <c r="H147" s="14" t="s">
        <v>120</v>
      </c>
      <c r="I147" s="14" t="s">
        <v>254</v>
      </c>
      <c r="K147" s="3"/>
      <c r="M147" s="3"/>
    </row>
    <row r="148" spans="1:13">
      <c r="A148" t="s">
        <v>28</v>
      </c>
      <c r="B148">
        <f ca="1">IF(OR(changes[[#This Row],[Type]]="Checklist",changes[[#This Row],[Type]]="checklist-flat"),1+IF(changes[[#This Row],[Type of change]] = "Edit",COUNTIFS($I$4:changes[[#This Row],[Name]],changes[[#This Row],[Name]], $E$4:changes[[#This Row],[Type of change]], "Edit")),B147)</f>
        <v>1</v>
      </c>
      <c r="C148" s="20">
        <v>44515</v>
      </c>
      <c r="D148" s="2" t="s">
        <v>2015</v>
      </c>
      <c r="E148" t="s">
        <v>2011</v>
      </c>
      <c r="F148" s="14"/>
      <c r="G148" s="14" t="s">
        <v>443</v>
      </c>
      <c r="H148" s="47" t="s">
        <v>49</v>
      </c>
      <c r="I148" s="47" t="s">
        <v>255</v>
      </c>
      <c r="K148" s="3"/>
      <c r="M148" s="3"/>
    </row>
    <row r="149" spans="1:13">
      <c r="A149" t="s">
        <v>28</v>
      </c>
      <c r="B149">
        <f ca="1">IF(OR(changes[[#This Row],[Type]]="Checklist",changes[[#This Row],[Type]]="checklist-flat"),1+IF(changes[[#This Row],[Type of change]] = "Edit",COUNTIFS($I$4:changes[[#This Row],[Name]],changes[[#This Row],[Name]], $E$4:changes[[#This Row],[Type of change]], "Edit")),B148)</f>
        <v>1</v>
      </c>
      <c r="C149" s="20">
        <v>44515</v>
      </c>
      <c r="D149" s="2" t="s">
        <v>2015</v>
      </c>
      <c r="E149" t="s">
        <v>2011</v>
      </c>
      <c r="F149" s="14"/>
      <c r="G149" s="14" t="s">
        <v>443</v>
      </c>
      <c r="H149" s="47" t="s">
        <v>49</v>
      </c>
      <c r="I149" s="47" t="s">
        <v>256</v>
      </c>
      <c r="K149" s="3"/>
      <c r="M149" s="3"/>
    </row>
    <row r="150" spans="1:13">
      <c r="A150" t="s">
        <v>28</v>
      </c>
      <c r="B150">
        <f ca="1">IF(OR(changes[[#This Row],[Type]]="Checklist",changes[[#This Row],[Type]]="checklist-flat"),1+IF(changes[[#This Row],[Type of change]] = "Edit",COUNTIFS($I$4:changes[[#This Row],[Name]],changes[[#This Row],[Name]], $E$4:changes[[#This Row],[Type of change]], "Edit")),B149)</f>
        <v>1</v>
      </c>
      <c r="C150" s="20">
        <v>44515</v>
      </c>
      <c r="D150" s="2" t="s">
        <v>2015</v>
      </c>
      <c r="E150" t="s">
        <v>2011</v>
      </c>
      <c r="F150" s="14"/>
      <c r="G150" s="14" t="s">
        <v>443</v>
      </c>
      <c r="H150" s="47" t="s">
        <v>49</v>
      </c>
      <c r="I150" s="47" t="s">
        <v>257</v>
      </c>
      <c r="K150" s="3"/>
      <c r="M150" s="3"/>
    </row>
    <row r="151" spans="1:13">
      <c r="A151" t="s">
        <v>28</v>
      </c>
      <c r="B151">
        <f ca="1">IF(OR(changes[[#This Row],[Type]]="Checklist",changes[[#This Row],[Type]]="checklist-flat"),1+IF(changes[[#This Row],[Type of change]] = "Edit",COUNTIFS($I$4:changes[[#This Row],[Name]],changes[[#This Row],[Name]], $E$4:changes[[#This Row],[Type of change]], "Edit")),B150)</f>
        <v>1</v>
      </c>
      <c r="C151" s="20">
        <v>44515</v>
      </c>
      <c r="D151" s="2" t="s">
        <v>2015</v>
      </c>
      <c r="E151" t="s">
        <v>2011</v>
      </c>
      <c r="F151" s="14"/>
      <c r="G151" s="14" t="s">
        <v>443</v>
      </c>
      <c r="H151" s="47" t="s">
        <v>49</v>
      </c>
      <c r="I151" s="47" t="s">
        <v>258</v>
      </c>
      <c r="K151" s="3"/>
      <c r="M151" s="3"/>
    </row>
    <row r="152" spans="1:13">
      <c r="A152" t="s">
        <v>28</v>
      </c>
      <c r="B152">
        <f ca="1">IF(OR(changes[[#This Row],[Type]]="Checklist",changes[[#This Row],[Type]]="checklist-flat"),1+IF(changes[[#This Row],[Type of change]] = "Edit",COUNTIFS($I$4:changes[[#This Row],[Name]],changes[[#This Row],[Name]], $E$4:changes[[#This Row],[Type of change]], "Edit")),B151)</f>
        <v>1</v>
      </c>
      <c r="C152" s="20">
        <v>44515</v>
      </c>
      <c r="D152" s="2" t="s">
        <v>2015</v>
      </c>
      <c r="E152" t="s">
        <v>2011</v>
      </c>
      <c r="F152" s="14"/>
      <c r="G152" s="14" t="s">
        <v>443</v>
      </c>
      <c r="H152" s="47" t="s">
        <v>120</v>
      </c>
      <c r="I152" s="47" t="s">
        <v>273</v>
      </c>
      <c r="K152" s="3"/>
      <c r="M152" s="3"/>
    </row>
    <row r="153" spans="1:13">
      <c r="A153" t="s">
        <v>28</v>
      </c>
      <c r="B153">
        <f ca="1">IF(OR(changes[[#This Row],[Type]]="Checklist",changes[[#This Row],[Type]]="checklist-flat"),1+IF(changes[[#This Row],[Type of change]] = "Edit",COUNTIFS($I$4:changes[[#This Row],[Name]],changes[[#This Row],[Name]], $E$4:changes[[#This Row],[Type of change]], "Edit")),B152)</f>
        <v>1</v>
      </c>
      <c r="C153" s="20">
        <v>44515</v>
      </c>
      <c r="D153" s="2" t="s">
        <v>2015</v>
      </c>
      <c r="E153" t="s">
        <v>2011</v>
      </c>
      <c r="F153" s="14"/>
      <c r="G153" s="14" t="s">
        <v>443</v>
      </c>
      <c r="H153" s="47" t="s">
        <v>49</v>
      </c>
      <c r="I153" s="47" t="s">
        <v>274</v>
      </c>
      <c r="K153" s="3"/>
      <c r="M153" s="3"/>
    </row>
    <row r="154" spans="1:13">
      <c r="A154" t="s">
        <v>28</v>
      </c>
      <c r="B154">
        <f ca="1">IF(OR(changes[[#This Row],[Type]]="Checklist",changes[[#This Row],[Type]]="checklist-flat"),1+IF(changes[[#This Row],[Type of change]] = "Edit",COUNTIFS($I$4:changes[[#This Row],[Name]],changes[[#This Row],[Name]], $E$4:changes[[#This Row],[Type of change]], "Edit")),B153)</f>
        <v>1</v>
      </c>
      <c r="C154" s="20">
        <v>44515</v>
      </c>
      <c r="D154" s="2" t="s">
        <v>2015</v>
      </c>
      <c r="E154" t="s">
        <v>2011</v>
      </c>
      <c r="F154" s="14"/>
      <c r="G154" s="14" t="s">
        <v>443</v>
      </c>
      <c r="H154" s="47" t="s">
        <v>49</v>
      </c>
      <c r="I154" s="47" t="s">
        <v>275</v>
      </c>
      <c r="K154" s="3"/>
      <c r="M154" s="3"/>
    </row>
    <row r="155" spans="1:13">
      <c r="A155" t="s">
        <v>28</v>
      </c>
      <c r="B155">
        <f ca="1">IF(OR(changes[[#This Row],[Type]]="Checklist",changes[[#This Row],[Type]]="checklist-flat"),1+IF(changes[[#This Row],[Type of change]] = "Edit",COUNTIFS($I$4:changes[[#This Row],[Name]],changes[[#This Row],[Name]], $E$4:changes[[#This Row],[Type of change]], "Edit")),B154)</f>
        <v>1</v>
      </c>
      <c r="C155" s="20">
        <v>44515</v>
      </c>
      <c r="D155" s="2" t="s">
        <v>2015</v>
      </c>
      <c r="E155" t="s">
        <v>2011</v>
      </c>
      <c r="F155" s="14"/>
      <c r="G155" s="14" t="s">
        <v>443</v>
      </c>
      <c r="H155" s="47" t="s">
        <v>49</v>
      </c>
      <c r="I155" s="47" t="s">
        <v>276</v>
      </c>
      <c r="K155" s="3"/>
      <c r="M155" s="3"/>
    </row>
    <row r="156" spans="1:13">
      <c r="A156" t="s">
        <v>28</v>
      </c>
      <c r="B156">
        <f ca="1">IF(OR(changes[[#This Row],[Type]]="Checklist",changes[[#This Row],[Type]]="checklist-flat"),1+IF(changes[[#This Row],[Type of change]] = "Edit",COUNTIFS($I$4:changes[[#This Row],[Name]],changes[[#This Row],[Name]], $E$4:changes[[#This Row],[Type of change]], "Edit")),B155)</f>
        <v>1</v>
      </c>
      <c r="C156" s="20">
        <v>44515</v>
      </c>
      <c r="D156" s="2" t="s">
        <v>2015</v>
      </c>
      <c r="E156" t="s">
        <v>2011</v>
      </c>
      <c r="F156" s="14"/>
      <c r="G156" s="14" t="s">
        <v>443</v>
      </c>
      <c r="H156" s="47" t="s">
        <v>49</v>
      </c>
      <c r="I156" s="47" t="s">
        <v>277</v>
      </c>
      <c r="K156" s="3"/>
      <c r="M156" s="3"/>
    </row>
    <row r="157" spans="1:13">
      <c r="A157" t="s">
        <v>28</v>
      </c>
      <c r="B157">
        <f ca="1">IF(OR(changes[[#This Row],[Type]]="Checklist",changes[[#This Row],[Type]]="checklist-flat"),1+IF(changes[[#This Row],[Type of change]] = "Edit",COUNTIFS($I$4:changes[[#This Row],[Name]],changes[[#This Row],[Name]], $E$4:changes[[#This Row],[Type of change]], "Edit")),B156)</f>
        <v>1</v>
      </c>
      <c r="C157" s="20">
        <v>44515</v>
      </c>
      <c r="D157" s="2" t="s">
        <v>2015</v>
      </c>
      <c r="E157" t="s">
        <v>2011</v>
      </c>
      <c r="F157" s="14"/>
      <c r="G157" s="14" t="s">
        <v>443</v>
      </c>
      <c r="H157" s="47" t="s">
        <v>120</v>
      </c>
      <c r="I157" s="47" t="s">
        <v>278</v>
      </c>
      <c r="K157" s="3"/>
      <c r="M157" s="3"/>
    </row>
    <row r="158" spans="1:13">
      <c r="A158" t="s">
        <v>28</v>
      </c>
      <c r="B158">
        <f ca="1">IF(OR(changes[[#This Row],[Type]]="Checklist",changes[[#This Row],[Type]]="checklist-flat"),1+IF(changes[[#This Row],[Type of change]] = "Edit",COUNTIFS($I$4:changes[[#This Row],[Name]],changes[[#This Row],[Name]], $E$4:changes[[#This Row],[Type of change]], "Edit")),B157)</f>
        <v>1</v>
      </c>
      <c r="C158" s="20">
        <v>44515</v>
      </c>
      <c r="D158" s="2" t="s">
        <v>2015</v>
      </c>
      <c r="E158" t="s">
        <v>2011</v>
      </c>
      <c r="F158" s="14"/>
      <c r="G158" s="14" t="s">
        <v>443</v>
      </c>
      <c r="H158" s="47" t="s">
        <v>124</v>
      </c>
      <c r="I158" s="47" t="s">
        <v>280</v>
      </c>
      <c r="K158" s="3"/>
      <c r="M158" s="3"/>
    </row>
    <row r="159" spans="1:13">
      <c r="A159" t="s">
        <v>28</v>
      </c>
      <c r="B159">
        <f ca="1">IF(OR(changes[[#This Row],[Type]]="Checklist",changes[[#This Row],[Type]]="checklist-flat"),1+IF(changes[[#This Row],[Type of change]] = "Edit",COUNTIFS($I$4:changes[[#This Row],[Name]],changes[[#This Row],[Name]], $E$4:changes[[#This Row],[Type of change]], "Edit")),B158)</f>
        <v>1</v>
      </c>
      <c r="C159" s="20">
        <v>44515</v>
      </c>
      <c r="D159" s="2" t="s">
        <v>2015</v>
      </c>
      <c r="E159" t="s">
        <v>2011</v>
      </c>
      <c r="F159" s="14"/>
      <c r="G159" s="14" t="s">
        <v>443</v>
      </c>
      <c r="H159" s="47" t="s">
        <v>124</v>
      </c>
      <c r="I159" s="47" t="s">
        <v>281</v>
      </c>
      <c r="K159" s="3"/>
      <c r="M159" s="3"/>
    </row>
    <row r="160" spans="1:13">
      <c r="A160" t="s">
        <v>28</v>
      </c>
      <c r="B160">
        <f ca="1">IF(OR(changes[[#This Row],[Type]]="Checklist",changes[[#This Row],[Type]]="checklist-flat"),1+IF(changes[[#This Row],[Type of change]] = "Edit",COUNTIFS($I$4:changes[[#This Row],[Name]],changes[[#This Row],[Name]], $E$4:changes[[#This Row],[Type of change]], "Edit")),B159)</f>
        <v>1</v>
      </c>
      <c r="C160" s="20">
        <v>44515</v>
      </c>
      <c r="D160" s="2" t="s">
        <v>2015</v>
      </c>
      <c r="E160" t="s">
        <v>2011</v>
      </c>
      <c r="F160" s="14"/>
      <c r="G160" s="14" t="s">
        <v>443</v>
      </c>
      <c r="H160" s="47" t="s">
        <v>124</v>
      </c>
      <c r="I160" s="47" t="s">
        <v>283</v>
      </c>
      <c r="K160" s="3"/>
      <c r="M160" s="3"/>
    </row>
    <row r="161" spans="1:13">
      <c r="A161" t="s">
        <v>28</v>
      </c>
      <c r="B161">
        <f ca="1">IF(OR(changes[[#This Row],[Type]]="Checklist",changes[[#This Row],[Type]]="checklist-flat"),1+IF(changes[[#This Row],[Type of change]] = "Edit",COUNTIFS($I$4:changes[[#This Row],[Name]],changes[[#This Row],[Name]], $E$4:changes[[#This Row],[Type of change]], "Edit")),B160)</f>
        <v>1</v>
      </c>
      <c r="C161" s="20">
        <v>44515</v>
      </c>
      <c r="D161" s="2" t="s">
        <v>2015</v>
      </c>
      <c r="E161" t="s">
        <v>2011</v>
      </c>
      <c r="F161" s="14"/>
      <c r="G161" s="14" t="s">
        <v>443</v>
      </c>
      <c r="H161" s="47" t="s">
        <v>124</v>
      </c>
      <c r="I161" s="47" t="s">
        <v>284</v>
      </c>
      <c r="K161" s="3"/>
      <c r="M161" s="3"/>
    </row>
    <row r="162" spans="1:13">
      <c r="A162" t="s">
        <v>28</v>
      </c>
      <c r="B162">
        <f ca="1">IF(OR(changes[[#This Row],[Type]]="Checklist",changes[[#This Row],[Type]]="checklist-flat"),1+IF(changes[[#This Row],[Type of change]] = "Edit",COUNTIFS($I$4:changes[[#This Row],[Name]],changes[[#This Row],[Name]], $E$4:changes[[#This Row],[Type of change]], "Edit")),B161)</f>
        <v>1</v>
      </c>
      <c r="C162" s="20">
        <v>44515</v>
      </c>
      <c r="D162" s="2" t="s">
        <v>2015</v>
      </c>
      <c r="E162" t="s">
        <v>2011</v>
      </c>
      <c r="F162" s="14"/>
      <c r="G162" s="14" t="s">
        <v>443</v>
      </c>
      <c r="H162" s="47" t="s">
        <v>131</v>
      </c>
      <c r="I162" s="47" t="s">
        <v>286</v>
      </c>
      <c r="K162" s="3"/>
      <c r="M162" s="3"/>
    </row>
    <row r="163" spans="1:13">
      <c r="A163" t="s">
        <v>28</v>
      </c>
      <c r="B163">
        <f ca="1">IF(OR(changes[[#This Row],[Type]]="Checklist",changes[[#This Row],[Type]]="checklist-flat"),1+IF(changes[[#This Row],[Type of change]] = "Edit",COUNTIFS($I$4:changes[[#This Row],[Name]],changes[[#This Row],[Name]], $E$4:changes[[#This Row],[Type of change]], "Edit")),B162)</f>
        <v>1</v>
      </c>
      <c r="C163" s="20">
        <v>44515</v>
      </c>
      <c r="D163" s="2" t="s">
        <v>2015</v>
      </c>
      <c r="E163" t="s">
        <v>2011</v>
      </c>
      <c r="F163" s="14"/>
      <c r="G163" s="14" t="s">
        <v>443</v>
      </c>
      <c r="H163" s="47" t="s">
        <v>49</v>
      </c>
      <c r="I163" s="47" t="s">
        <v>288</v>
      </c>
      <c r="K163" s="3"/>
      <c r="M163" s="3"/>
    </row>
    <row r="164" spans="1:13">
      <c r="A164" t="s">
        <v>28</v>
      </c>
      <c r="B164">
        <f ca="1">IF(OR(changes[[#This Row],[Type]]="Checklist",changes[[#This Row],[Type]]="checklist-flat"),1+IF(changes[[#This Row],[Type of change]] = "Edit",COUNTIFS($I$4:changes[[#This Row],[Name]],changes[[#This Row],[Name]], $E$4:changes[[#This Row],[Type of change]], "Edit")),B163)</f>
        <v>1</v>
      </c>
      <c r="C164" s="20">
        <v>44515</v>
      </c>
      <c r="D164" s="2" t="s">
        <v>2015</v>
      </c>
      <c r="E164" t="s">
        <v>2011</v>
      </c>
      <c r="F164" s="14"/>
      <c r="G164" s="14" t="s">
        <v>443</v>
      </c>
      <c r="H164" s="47" t="s">
        <v>49</v>
      </c>
      <c r="I164" s="47" t="s">
        <v>289</v>
      </c>
      <c r="K164" s="3"/>
      <c r="M164" s="3"/>
    </row>
    <row r="165" spans="1:13">
      <c r="A165" t="s">
        <v>28</v>
      </c>
      <c r="B165">
        <f ca="1">IF(OR(changes[[#This Row],[Type]]="Checklist",changes[[#This Row],[Type]]="checklist-flat"),1+IF(changes[[#This Row],[Type of change]] = "Edit",COUNTIFS($I$4:changes[[#This Row],[Name]],changes[[#This Row],[Name]], $E$4:changes[[#This Row],[Type of change]], "Edit")),B164)</f>
        <v>1</v>
      </c>
      <c r="C165" s="20">
        <v>44515</v>
      </c>
      <c r="D165" s="2" t="s">
        <v>2015</v>
      </c>
      <c r="E165" t="s">
        <v>2011</v>
      </c>
      <c r="F165" s="14"/>
      <c r="G165" s="14" t="s">
        <v>443</v>
      </c>
      <c r="H165" s="47" t="s">
        <v>120</v>
      </c>
      <c r="I165" s="47" t="s">
        <v>290</v>
      </c>
      <c r="K165" s="3"/>
      <c r="M165" s="3"/>
    </row>
    <row r="166" spans="1:13">
      <c r="A166" t="s">
        <v>28</v>
      </c>
      <c r="B166">
        <f ca="1">IF(OR(changes[[#This Row],[Type]]="Checklist",changes[[#This Row],[Type]]="checklist-flat"),1+IF(changes[[#This Row],[Type of change]] = "Edit",COUNTIFS($I$4:changes[[#This Row],[Name]],changes[[#This Row],[Name]], $E$4:changes[[#This Row],[Type of change]], "Edit")),B165)</f>
        <v>1</v>
      </c>
      <c r="C166" s="20">
        <v>44515</v>
      </c>
      <c r="D166" s="2" t="s">
        <v>2015</v>
      </c>
      <c r="E166" t="s">
        <v>2011</v>
      </c>
      <c r="F166" s="14"/>
      <c r="G166" s="14" t="s">
        <v>443</v>
      </c>
      <c r="H166" s="47" t="s">
        <v>49</v>
      </c>
      <c r="I166" s="47" t="s">
        <v>291</v>
      </c>
      <c r="K166" s="3"/>
      <c r="M166" s="3"/>
    </row>
    <row r="167" spans="1:13">
      <c r="A167" t="s">
        <v>28</v>
      </c>
      <c r="B167">
        <f ca="1">IF(OR(changes[[#This Row],[Type]]="Checklist",changes[[#This Row],[Type]]="checklist-flat"),1+IF(changes[[#This Row],[Type of change]] = "Edit",COUNTIFS($I$4:changes[[#This Row],[Name]],changes[[#This Row],[Name]], $E$4:changes[[#This Row],[Type of change]], "Edit")),B166)</f>
        <v>1</v>
      </c>
      <c r="C167" s="20">
        <v>44515</v>
      </c>
      <c r="D167" s="2" t="s">
        <v>2015</v>
      </c>
      <c r="E167" t="s">
        <v>2011</v>
      </c>
      <c r="F167" s="14"/>
      <c r="G167" s="14" t="s">
        <v>443</v>
      </c>
      <c r="H167" s="47" t="s">
        <v>49</v>
      </c>
      <c r="I167" s="47" t="s">
        <v>292</v>
      </c>
      <c r="K167" s="3"/>
      <c r="M167" s="3"/>
    </row>
    <row r="168" spans="1:13">
      <c r="A168" t="s">
        <v>28</v>
      </c>
      <c r="B168">
        <f ca="1">IF(OR(changes[[#This Row],[Type]]="Checklist",changes[[#This Row],[Type]]="checklist-flat"),1+IF(changes[[#This Row],[Type of change]] = "Edit",COUNTIFS($I$4:changes[[#This Row],[Name]],changes[[#This Row],[Name]], $E$4:changes[[#This Row],[Type of change]], "Edit")),B167)</f>
        <v>1</v>
      </c>
      <c r="C168" s="20">
        <v>44515</v>
      </c>
      <c r="D168" s="2" t="s">
        <v>2015</v>
      </c>
      <c r="E168" t="s">
        <v>2011</v>
      </c>
      <c r="F168" s="14"/>
      <c r="G168" s="14" t="s">
        <v>443</v>
      </c>
      <c r="H168" s="47" t="s">
        <v>131</v>
      </c>
      <c r="I168" s="47" t="s">
        <v>293</v>
      </c>
      <c r="K168" s="3"/>
      <c r="M168" s="3"/>
    </row>
    <row r="169" spans="1:13">
      <c r="A169" t="s">
        <v>28</v>
      </c>
      <c r="B169">
        <f ca="1">IF(OR(changes[[#This Row],[Type]]="Checklist",changes[[#This Row],[Type]]="checklist-flat"),1+IF(changes[[#This Row],[Type of change]] = "Edit",COUNTIFS($I$4:changes[[#This Row],[Name]],changes[[#This Row],[Name]], $E$4:changes[[#This Row],[Type of change]], "Edit")),B168)</f>
        <v>1</v>
      </c>
      <c r="C169" s="20">
        <v>44515</v>
      </c>
      <c r="D169" s="2" t="s">
        <v>2015</v>
      </c>
      <c r="E169" t="s">
        <v>2011</v>
      </c>
      <c r="F169" s="14"/>
      <c r="G169" s="14" t="s">
        <v>443</v>
      </c>
      <c r="H169" s="47" t="s">
        <v>49</v>
      </c>
      <c r="I169" s="47" t="s">
        <v>294</v>
      </c>
      <c r="K169" s="3"/>
      <c r="M169" s="3"/>
    </row>
    <row r="170" spans="1:13">
      <c r="A170" t="s">
        <v>28</v>
      </c>
      <c r="B170">
        <f ca="1">IF(OR(changes[[#This Row],[Type]]="Checklist",changes[[#This Row],[Type]]="checklist-flat"),1+IF(changes[[#This Row],[Type of change]] = "Edit",COUNTIFS($I$4:changes[[#This Row],[Name]],changes[[#This Row],[Name]], $E$4:changes[[#This Row],[Type of change]], "Edit")),B169)</f>
        <v>1</v>
      </c>
      <c r="C170" s="20">
        <v>44515</v>
      </c>
      <c r="D170" s="2" t="s">
        <v>2015</v>
      </c>
      <c r="E170" t="s">
        <v>2011</v>
      </c>
      <c r="F170" s="14"/>
      <c r="G170" s="14" t="s">
        <v>443</v>
      </c>
      <c r="H170" s="47" t="s">
        <v>49</v>
      </c>
      <c r="I170" s="47" t="s">
        <v>295</v>
      </c>
      <c r="K170" s="3"/>
      <c r="M170" s="3"/>
    </row>
    <row r="171" spans="1:13">
      <c r="A171" t="s">
        <v>28</v>
      </c>
      <c r="B171">
        <f ca="1">IF(OR(changes[[#This Row],[Type]]="Checklist",changes[[#This Row],[Type]]="checklist-flat"),1+IF(changes[[#This Row],[Type of change]] = "Edit",COUNTIFS($I$4:changes[[#This Row],[Name]],changes[[#This Row],[Name]], $E$4:changes[[#This Row],[Type of change]], "Edit")),B170)</f>
        <v>1</v>
      </c>
      <c r="C171" s="20">
        <v>44515</v>
      </c>
      <c r="D171" s="2" t="s">
        <v>2015</v>
      </c>
      <c r="E171" t="s">
        <v>2011</v>
      </c>
      <c r="F171" s="14"/>
      <c r="G171" s="14" t="s">
        <v>443</v>
      </c>
      <c r="H171" s="47" t="s">
        <v>49</v>
      </c>
      <c r="I171" s="47" t="s">
        <v>296</v>
      </c>
      <c r="K171" s="3"/>
      <c r="M171" s="3"/>
    </row>
    <row r="172" spans="1:13">
      <c r="A172" t="s">
        <v>28</v>
      </c>
      <c r="B172">
        <f ca="1">IF(OR(changes[[#This Row],[Type]]="Checklist",changes[[#This Row],[Type]]="checklist-flat"),1+IF(changes[[#This Row],[Type of change]] = "Edit",COUNTIFS($I$4:changes[[#This Row],[Name]],changes[[#This Row],[Name]], $E$4:changes[[#This Row],[Type of change]], "Edit")),B171)</f>
        <v>1</v>
      </c>
      <c r="C172" s="20">
        <v>44515</v>
      </c>
      <c r="D172" s="2" t="s">
        <v>2015</v>
      </c>
      <c r="E172" t="s">
        <v>2011</v>
      </c>
      <c r="F172" s="14"/>
      <c r="G172" s="14" t="s">
        <v>443</v>
      </c>
      <c r="H172" s="47" t="s">
        <v>120</v>
      </c>
      <c r="I172" s="47" t="s">
        <v>297</v>
      </c>
      <c r="K172" s="3"/>
      <c r="M172" s="3"/>
    </row>
    <row r="173" spans="1:13">
      <c r="A173" t="s">
        <v>28</v>
      </c>
      <c r="B173">
        <f ca="1">IF(OR(changes[[#This Row],[Type]]="Checklist",changes[[#This Row],[Type]]="checklist-flat"),1+IF(changes[[#This Row],[Type of change]] = "Edit",COUNTIFS($I$4:changes[[#This Row],[Name]],changes[[#This Row],[Name]], $E$4:changes[[#This Row],[Type of change]], "Edit")),B172)</f>
        <v>1</v>
      </c>
      <c r="C173" s="20">
        <v>44515</v>
      </c>
      <c r="D173" s="2" t="s">
        <v>2015</v>
      </c>
      <c r="E173" t="s">
        <v>2011</v>
      </c>
      <c r="F173" s="14"/>
      <c r="G173" s="14" t="s">
        <v>443</v>
      </c>
      <c r="H173" s="47" t="s">
        <v>49</v>
      </c>
      <c r="I173" s="47" t="s">
        <v>298</v>
      </c>
      <c r="K173" s="3"/>
      <c r="M173" s="3"/>
    </row>
    <row r="174" spans="1:13">
      <c r="A174" t="s">
        <v>28</v>
      </c>
      <c r="B174">
        <f ca="1">IF(OR(changes[[#This Row],[Type]]="Checklist",changes[[#This Row],[Type]]="checklist-flat"),1+IF(changes[[#This Row],[Type of change]] = "Edit",COUNTIFS($I$4:changes[[#This Row],[Name]],changes[[#This Row],[Name]], $E$4:changes[[#This Row],[Type of change]], "Edit")),B173)</f>
        <v>1</v>
      </c>
      <c r="C174" s="20">
        <v>44515</v>
      </c>
      <c r="D174" s="2" t="s">
        <v>2015</v>
      </c>
      <c r="E174" t="s">
        <v>2011</v>
      </c>
      <c r="F174" s="14"/>
      <c r="G174" s="14" t="s">
        <v>443</v>
      </c>
      <c r="H174" s="47" t="s">
        <v>1119</v>
      </c>
      <c r="I174" s="47" t="s">
        <v>299</v>
      </c>
      <c r="K174" s="3"/>
      <c r="M174" s="3"/>
    </row>
    <row r="175" spans="1:13">
      <c r="A175" t="s">
        <v>28</v>
      </c>
      <c r="B175">
        <f ca="1">IF(OR(changes[[#This Row],[Type]]="Checklist",changes[[#This Row],[Type]]="checklist-flat"),1+IF(changes[[#This Row],[Type of change]] = "Edit",COUNTIFS($I$4:changes[[#This Row],[Name]],changes[[#This Row],[Name]], $E$4:changes[[#This Row],[Type of change]], "Edit")),B174)</f>
        <v>1</v>
      </c>
      <c r="C175" s="20">
        <v>44515</v>
      </c>
      <c r="D175" s="2" t="s">
        <v>2015</v>
      </c>
      <c r="E175" t="s">
        <v>2011</v>
      </c>
      <c r="F175" s="14"/>
      <c r="G175" s="14" t="s">
        <v>443</v>
      </c>
      <c r="H175" s="47" t="s">
        <v>49</v>
      </c>
      <c r="I175" s="47" t="s">
        <v>300</v>
      </c>
      <c r="K175" s="3"/>
      <c r="M175" s="3"/>
    </row>
    <row r="176" spans="1:13">
      <c r="A176" t="s">
        <v>28</v>
      </c>
      <c r="B176">
        <f ca="1">IF(OR(changes[[#This Row],[Type]]="Checklist",changes[[#This Row],[Type]]="checklist-flat"),1+IF(changes[[#This Row],[Type of change]] = "Edit",COUNTIFS($I$4:changes[[#This Row],[Name]],changes[[#This Row],[Name]], $E$4:changes[[#This Row],[Type of change]], "Edit")),B175)</f>
        <v>2</v>
      </c>
      <c r="C176" s="20">
        <v>44530</v>
      </c>
      <c r="D176" s="2" t="s">
        <v>2015</v>
      </c>
      <c r="E176" t="s">
        <v>15</v>
      </c>
      <c r="F176" s="14"/>
      <c r="G176" s="14" t="s">
        <v>60</v>
      </c>
      <c r="H176" t="s">
        <v>48</v>
      </c>
      <c r="I176" t="s">
        <v>60</v>
      </c>
      <c r="K176" s="3"/>
      <c r="M176" s="3"/>
    </row>
    <row r="177" spans="1:13">
      <c r="A177" t="s">
        <v>28</v>
      </c>
      <c r="B177">
        <f ca="1">IF(OR(changes[[#This Row],[Type]]="Checklist",changes[[#This Row],[Type]]="checklist-flat"),1+IF(changes[[#This Row],[Type of change]] = "Edit",COUNTIFS($I$4:changes[[#This Row],[Name]],changes[[#This Row],[Name]], $E$4:changes[[#This Row],[Type of change]], "Edit")),B176)</f>
        <v>2</v>
      </c>
      <c r="C177" s="20">
        <v>44530</v>
      </c>
      <c r="D177" s="2" t="s">
        <v>2015</v>
      </c>
      <c r="E177" t="s">
        <v>15</v>
      </c>
      <c r="F177" s="14"/>
      <c r="G177" s="14" t="s">
        <v>60</v>
      </c>
      <c r="H177" t="s">
        <v>49</v>
      </c>
      <c r="I177" t="s">
        <v>61</v>
      </c>
      <c r="K177" s="3"/>
      <c r="M177" s="3"/>
    </row>
    <row r="178" spans="1:13">
      <c r="A178" t="s">
        <v>28</v>
      </c>
      <c r="B178">
        <f ca="1">IF(OR(changes[[#This Row],[Type]]="Checklist",changes[[#This Row],[Type]]="checklist-flat"),1+IF(changes[[#This Row],[Type of change]] = "Edit",COUNTIFS($I$4:changes[[#This Row],[Name]],changes[[#This Row],[Name]], $E$4:changes[[#This Row],[Type of change]], "Edit")),B177)</f>
        <v>2</v>
      </c>
      <c r="C178" s="20">
        <v>44530</v>
      </c>
      <c r="D178" s="2" t="s">
        <v>2015</v>
      </c>
      <c r="E178" t="s">
        <v>15</v>
      </c>
      <c r="F178" s="14"/>
      <c r="G178" s="14" t="s">
        <v>60</v>
      </c>
      <c r="H178" t="s">
        <v>49</v>
      </c>
      <c r="I178" t="s">
        <v>62</v>
      </c>
      <c r="K178" s="3"/>
      <c r="M178" s="3"/>
    </row>
    <row r="179" spans="1:13">
      <c r="A179" t="s">
        <v>28</v>
      </c>
      <c r="B179">
        <f ca="1">IF(OR(changes[[#This Row],[Type]]="Checklist",changes[[#This Row],[Type]]="checklist-flat"),1+IF(changes[[#This Row],[Type of change]] = "Edit",COUNTIFS($I$4:changes[[#This Row],[Name]],changes[[#This Row],[Name]], $E$4:changes[[#This Row],[Type of change]], "Edit")),B178)</f>
        <v>2</v>
      </c>
      <c r="C179" s="20">
        <v>44530</v>
      </c>
      <c r="D179" s="2" t="s">
        <v>2015</v>
      </c>
      <c r="E179" t="s">
        <v>15</v>
      </c>
      <c r="F179" s="14"/>
      <c r="G179" s="14" t="s">
        <v>60</v>
      </c>
      <c r="H179" t="s">
        <v>49</v>
      </c>
      <c r="I179" t="s">
        <v>63</v>
      </c>
      <c r="K179" s="3"/>
      <c r="M179" s="3"/>
    </row>
    <row r="180" spans="1:13">
      <c r="A180" t="s">
        <v>28</v>
      </c>
      <c r="B180">
        <f ca="1">IF(OR(changes[[#This Row],[Type]]="Checklist",changes[[#This Row],[Type]]="checklist-flat"),1+IF(changes[[#This Row],[Type of change]] = "Edit",COUNTIFS($I$4:changes[[#This Row],[Name]],changes[[#This Row],[Name]], $E$4:changes[[#This Row],[Type of change]], "Edit")),B179)</f>
        <v>2</v>
      </c>
      <c r="C180" s="20">
        <v>44530</v>
      </c>
      <c r="D180" s="2" t="s">
        <v>2015</v>
      </c>
      <c r="E180" t="s">
        <v>15</v>
      </c>
      <c r="F180" s="14"/>
      <c r="G180" s="14" t="s">
        <v>60</v>
      </c>
      <c r="H180" t="s">
        <v>49</v>
      </c>
      <c r="I180" t="s">
        <v>64</v>
      </c>
      <c r="K180" s="3"/>
      <c r="M180" s="3"/>
    </row>
    <row r="181" spans="1:13">
      <c r="A181" t="s">
        <v>28</v>
      </c>
      <c r="B181">
        <f ca="1">IF(OR(changes[[#This Row],[Type]]="Checklist",changes[[#This Row],[Type]]="checklist-flat"),1+IF(changes[[#This Row],[Type of change]] = "Edit",COUNTIFS($I$4:changes[[#This Row],[Name]],changes[[#This Row],[Name]], $E$4:changes[[#This Row],[Type of change]], "Edit")),B180)</f>
        <v>2</v>
      </c>
      <c r="C181" s="20">
        <v>44530</v>
      </c>
      <c r="D181" s="2" t="s">
        <v>2015</v>
      </c>
      <c r="E181" t="s">
        <v>15</v>
      </c>
      <c r="F181" s="14"/>
      <c r="G181" s="14" t="s">
        <v>60</v>
      </c>
      <c r="H181" t="s">
        <v>49</v>
      </c>
      <c r="I181" t="s">
        <v>65</v>
      </c>
      <c r="K181" s="3"/>
      <c r="M181" s="3"/>
    </row>
    <row r="182" spans="1:13">
      <c r="A182" t="s">
        <v>28</v>
      </c>
      <c r="B182">
        <f ca="1">IF(OR(changes[[#This Row],[Type]]="Checklist",changes[[#This Row],[Type]]="checklist-flat"),1+IF(changes[[#This Row],[Type of change]] = "Edit",COUNTIFS($I$4:changes[[#This Row],[Name]],changes[[#This Row],[Name]], $E$4:changes[[#This Row],[Type of change]], "Edit")),B181)</f>
        <v>2</v>
      </c>
      <c r="C182" s="20">
        <v>44530</v>
      </c>
      <c r="D182" s="2" t="s">
        <v>2015</v>
      </c>
      <c r="E182" t="s">
        <v>15</v>
      </c>
      <c r="F182" s="14"/>
      <c r="G182" s="14" t="s">
        <v>60</v>
      </c>
      <c r="H182" t="s">
        <v>66</v>
      </c>
      <c r="I182" t="s">
        <v>67</v>
      </c>
      <c r="K182" s="3"/>
      <c r="M182" s="3"/>
    </row>
    <row r="183" spans="1:13">
      <c r="A183" t="s">
        <v>28</v>
      </c>
      <c r="B183">
        <f ca="1">IF(OR(changes[[#This Row],[Type]]="Checklist",changes[[#This Row],[Type]]="checklist-flat"),1+IF(changes[[#This Row],[Type of change]] = "Edit",COUNTIFS($I$4:changes[[#This Row],[Name]],changes[[#This Row],[Name]], $E$4:changes[[#This Row],[Type of change]], "Edit")),B182)</f>
        <v>2</v>
      </c>
      <c r="C183" s="20">
        <v>44530</v>
      </c>
      <c r="D183" s="2" t="s">
        <v>2015</v>
      </c>
      <c r="E183" t="s">
        <v>15</v>
      </c>
      <c r="F183" s="14"/>
      <c r="G183" s="14" t="s">
        <v>60</v>
      </c>
      <c r="H183" t="s">
        <v>66</v>
      </c>
      <c r="I183" t="s">
        <v>68</v>
      </c>
      <c r="K183" s="3"/>
      <c r="M183" s="3"/>
    </row>
    <row r="184" spans="1:13">
      <c r="A184" t="s">
        <v>28</v>
      </c>
      <c r="B184">
        <f ca="1">IF(OR(changes[[#This Row],[Type]]="Checklist",changes[[#This Row],[Type]]="checklist-flat"),1+IF(changes[[#This Row],[Type of change]] = "Edit",COUNTIFS($I$4:changes[[#This Row],[Name]],changes[[#This Row],[Name]], $E$4:changes[[#This Row],[Type of change]], "Edit")),B183)</f>
        <v>2</v>
      </c>
      <c r="C184" s="20">
        <v>44530</v>
      </c>
      <c r="D184" s="2" t="s">
        <v>2015</v>
      </c>
      <c r="E184" t="s">
        <v>15</v>
      </c>
      <c r="F184" s="14"/>
      <c r="G184" s="14" t="s">
        <v>60</v>
      </c>
      <c r="H184" t="s">
        <v>66</v>
      </c>
      <c r="I184" t="s">
        <v>69</v>
      </c>
      <c r="K184" s="3"/>
      <c r="M184" s="3"/>
    </row>
    <row r="185" spans="1:13">
      <c r="A185" t="s">
        <v>28</v>
      </c>
      <c r="B185">
        <f ca="1">IF(OR(changes[[#This Row],[Type]]="Checklist",changes[[#This Row],[Type]]="checklist-flat"),1+IF(changes[[#This Row],[Type of change]] = "Edit",COUNTIFS($I$4:changes[[#This Row],[Name]],changes[[#This Row],[Name]], $E$4:changes[[#This Row],[Type of change]], "Edit")),B184)</f>
        <v>2</v>
      </c>
      <c r="C185" s="20">
        <v>44530</v>
      </c>
      <c r="D185" s="2" t="s">
        <v>2015</v>
      </c>
      <c r="E185" t="s">
        <v>15</v>
      </c>
      <c r="F185" s="14"/>
      <c r="G185" s="14" t="s">
        <v>60</v>
      </c>
      <c r="H185" t="s">
        <v>49</v>
      </c>
      <c r="I185" t="s">
        <v>70</v>
      </c>
      <c r="K185" s="3"/>
      <c r="M185" s="3"/>
    </row>
    <row r="186" spans="1:13">
      <c r="A186" t="s">
        <v>28</v>
      </c>
      <c r="B186">
        <f ca="1">IF(OR(changes[[#This Row],[Type]]="Checklist",changes[[#This Row],[Type]]="checklist-flat"),1+IF(changes[[#This Row],[Type of change]] = "Edit",COUNTIFS($I$4:changes[[#This Row],[Name]],changes[[#This Row],[Name]], $E$4:changes[[#This Row],[Type of change]], "Edit")),B185)</f>
        <v>2</v>
      </c>
      <c r="C186" s="20">
        <v>44530</v>
      </c>
      <c r="D186" s="2" t="s">
        <v>2015</v>
      </c>
      <c r="E186" t="s">
        <v>15</v>
      </c>
      <c r="F186" s="14"/>
      <c r="G186" s="14" t="s">
        <v>60</v>
      </c>
      <c r="H186" t="s">
        <v>49</v>
      </c>
      <c r="I186" t="s">
        <v>71</v>
      </c>
      <c r="K186" s="3"/>
      <c r="M186" s="3"/>
    </row>
    <row r="187" spans="1:13">
      <c r="A187" t="s">
        <v>28</v>
      </c>
      <c r="B187">
        <f ca="1">IF(OR(changes[[#This Row],[Type]]="Checklist",changes[[#This Row],[Type]]="checklist-flat"),1+IF(changes[[#This Row],[Type of change]] = "Edit",COUNTIFS($I$4:changes[[#This Row],[Name]],changes[[#This Row],[Name]], $E$4:changes[[#This Row],[Type of change]], "Edit")),B186)</f>
        <v>2</v>
      </c>
      <c r="C187" s="20">
        <v>44530</v>
      </c>
      <c r="D187" s="2" t="s">
        <v>2015</v>
      </c>
      <c r="E187" t="s">
        <v>15</v>
      </c>
      <c r="F187" s="14"/>
      <c r="G187" s="14" t="s">
        <v>60</v>
      </c>
      <c r="H187" t="s">
        <v>49</v>
      </c>
      <c r="I187" t="s">
        <v>72</v>
      </c>
      <c r="K187" s="3"/>
      <c r="M187" s="3"/>
    </row>
    <row r="188" spans="1:13">
      <c r="A188" t="s">
        <v>28</v>
      </c>
      <c r="B188">
        <f ca="1">IF(OR(changes[[#This Row],[Type]]="Checklist",changes[[#This Row],[Type]]="checklist-flat"),1+IF(changes[[#This Row],[Type of change]] = "Edit",COUNTIFS($I$4:changes[[#This Row],[Name]],changes[[#This Row],[Name]], $E$4:changes[[#This Row],[Type of change]], "Edit")),B187)</f>
        <v>2</v>
      </c>
      <c r="C188" s="20">
        <v>44530</v>
      </c>
      <c r="D188" s="2" t="s">
        <v>2015</v>
      </c>
      <c r="E188" t="s">
        <v>15</v>
      </c>
      <c r="F188" s="14"/>
      <c r="G188" s="14" t="s">
        <v>301</v>
      </c>
      <c r="H188" t="s">
        <v>119</v>
      </c>
      <c r="I188" t="s">
        <v>301</v>
      </c>
      <c r="K188" s="3"/>
      <c r="M188" s="3"/>
    </row>
    <row r="189" spans="1:13">
      <c r="A189" t="s">
        <v>28</v>
      </c>
      <c r="B189">
        <f ca="1">IF(OR(changes[[#This Row],[Type]]="Checklist",changes[[#This Row],[Type]]="checklist-flat"),1+IF(changes[[#This Row],[Type of change]] = "Edit",COUNTIFS($I$4:changes[[#This Row],[Name]],changes[[#This Row],[Name]], $E$4:changes[[#This Row],[Type of change]], "Edit")),B188)</f>
        <v>2</v>
      </c>
      <c r="C189" s="20">
        <v>44530</v>
      </c>
      <c r="D189" s="2" t="s">
        <v>2015</v>
      </c>
      <c r="E189" t="s">
        <v>15</v>
      </c>
      <c r="F189" s="14"/>
      <c r="G189" s="14" t="s">
        <v>301</v>
      </c>
      <c r="H189" t="s">
        <v>120</v>
      </c>
      <c r="I189" t="s">
        <v>249</v>
      </c>
      <c r="K189" s="3"/>
      <c r="M189" s="3"/>
    </row>
    <row r="190" spans="1:13">
      <c r="A190" t="s">
        <v>28</v>
      </c>
      <c r="B190">
        <f ca="1">IF(OR(changes[[#This Row],[Type]]="Checklist",changes[[#This Row],[Type]]="checklist-flat"),1+IF(changes[[#This Row],[Type of change]] = "Edit",COUNTIFS($I$4:changes[[#This Row],[Name]],changes[[#This Row],[Name]], $E$4:changes[[#This Row],[Type of change]], "Edit")),B189)</f>
        <v>2</v>
      </c>
      <c r="C190" s="20">
        <v>44530</v>
      </c>
      <c r="D190" s="2" t="s">
        <v>2015</v>
      </c>
      <c r="E190" t="s">
        <v>15</v>
      </c>
      <c r="F190" s="14"/>
      <c r="G190" s="14" t="s">
        <v>301</v>
      </c>
      <c r="H190" t="s">
        <v>49</v>
      </c>
      <c r="I190" t="s">
        <v>302</v>
      </c>
      <c r="K190" s="3"/>
      <c r="M190" s="3"/>
    </row>
    <row r="191" spans="1:13">
      <c r="A191" t="s">
        <v>28</v>
      </c>
      <c r="B191">
        <f ca="1">IF(OR(changes[[#This Row],[Type]]="Checklist",changes[[#This Row],[Type]]="checklist-flat"),1+IF(changes[[#This Row],[Type of change]] = "Edit",COUNTIFS($I$4:changes[[#This Row],[Name]],changes[[#This Row],[Name]], $E$4:changes[[#This Row],[Type of change]], "Edit")),B190)</f>
        <v>2</v>
      </c>
      <c r="C191" s="20">
        <v>44530</v>
      </c>
      <c r="D191" s="2" t="s">
        <v>2015</v>
      </c>
      <c r="E191" t="s">
        <v>15</v>
      </c>
      <c r="F191" s="14"/>
      <c r="G191" s="14" t="s">
        <v>301</v>
      </c>
      <c r="H191" t="s">
        <v>124</v>
      </c>
      <c r="I191" t="s">
        <v>251</v>
      </c>
      <c r="K191" s="3"/>
      <c r="M191" s="3"/>
    </row>
    <row r="192" spans="1:13">
      <c r="A192" t="s">
        <v>28</v>
      </c>
      <c r="B192">
        <f ca="1">IF(OR(changes[[#This Row],[Type]]="Checklist",changes[[#This Row],[Type]]="checklist-flat"),1+IF(changes[[#This Row],[Type of change]] = "Edit",COUNTIFS($I$4:changes[[#This Row],[Name]],changes[[#This Row],[Name]], $E$4:changes[[#This Row],[Type of change]], "Edit")),B191)</f>
        <v>2</v>
      </c>
      <c r="C192" s="20">
        <v>44530</v>
      </c>
      <c r="D192" s="2" t="s">
        <v>2015</v>
      </c>
      <c r="E192" t="s">
        <v>15</v>
      </c>
      <c r="F192" s="14"/>
      <c r="G192" s="14" t="s">
        <v>301</v>
      </c>
      <c r="H192" t="s">
        <v>124</v>
      </c>
      <c r="I192" t="s">
        <v>252</v>
      </c>
      <c r="K192" s="3"/>
      <c r="M192" s="3"/>
    </row>
    <row r="193" spans="1:13">
      <c r="A193" t="s">
        <v>28</v>
      </c>
      <c r="B193">
        <f ca="1">IF(OR(changes[[#This Row],[Type]]="Checklist",changes[[#This Row],[Type]]="checklist-flat"),1+IF(changes[[#This Row],[Type of change]] = "Edit",COUNTIFS($I$4:changes[[#This Row],[Name]],changes[[#This Row],[Name]], $E$4:changes[[#This Row],[Type of change]], "Edit")),B192)</f>
        <v>2</v>
      </c>
      <c r="C193" s="20">
        <v>44530</v>
      </c>
      <c r="D193" s="2" t="s">
        <v>2015</v>
      </c>
      <c r="E193" t="s">
        <v>15</v>
      </c>
      <c r="F193" s="14"/>
      <c r="G193" s="14" t="s">
        <v>301</v>
      </c>
      <c r="H193" t="s">
        <v>49</v>
      </c>
      <c r="I193" t="s">
        <v>253</v>
      </c>
      <c r="K193" s="3"/>
      <c r="M193" s="3"/>
    </row>
    <row r="194" spans="1:13">
      <c r="A194" t="s">
        <v>28</v>
      </c>
      <c r="B194">
        <f ca="1">IF(OR(changes[[#This Row],[Type]]="Checklist",changes[[#This Row],[Type]]="checklist-flat"),1+IF(changes[[#This Row],[Type of change]] = "Edit",COUNTIFS($I$4:changes[[#This Row],[Name]],changes[[#This Row],[Name]], $E$4:changes[[#This Row],[Type of change]], "Edit")),B193)</f>
        <v>2</v>
      </c>
      <c r="C194" s="20">
        <v>44530</v>
      </c>
      <c r="D194" s="2" t="s">
        <v>2015</v>
      </c>
      <c r="E194" t="s">
        <v>15</v>
      </c>
      <c r="F194" s="14"/>
      <c r="G194" s="14" t="s">
        <v>301</v>
      </c>
      <c r="H194" t="s">
        <v>120</v>
      </c>
      <c r="I194" t="s">
        <v>303</v>
      </c>
      <c r="K194" s="3"/>
      <c r="M194" s="3"/>
    </row>
    <row r="195" spans="1:13">
      <c r="A195" t="s">
        <v>28</v>
      </c>
      <c r="B195">
        <f ca="1">IF(OR(changes[[#This Row],[Type]]="Checklist",changes[[#This Row],[Type]]="checklist-flat"),1+IF(changes[[#This Row],[Type of change]] = "Edit",COUNTIFS($I$4:changes[[#This Row],[Name]],changes[[#This Row],[Name]], $E$4:changes[[#This Row],[Type of change]], "Edit")),B194)</f>
        <v>2</v>
      </c>
      <c r="C195" s="20">
        <v>44530</v>
      </c>
      <c r="D195" s="2" t="s">
        <v>2015</v>
      </c>
      <c r="E195" t="s">
        <v>15</v>
      </c>
      <c r="F195" s="14"/>
      <c r="G195" s="14" t="s">
        <v>301</v>
      </c>
      <c r="H195" t="s">
        <v>49</v>
      </c>
      <c r="I195" t="s">
        <v>304</v>
      </c>
      <c r="K195" s="3"/>
      <c r="M195" s="3"/>
    </row>
    <row r="196" spans="1:13">
      <c r="A196" t="s">
        <v>28</v>
      </c>
      <c r="B196">
        <f ca="1">IF(OR(changes[[#This Row],[Type]]="Checklist",changes[[#This Row],[Type]]="checklist-flat"),1+IF(changes[[#This Row],[Type of change]] = "Edit",COUNTIFS($I$4:changes[[#This Row],[Name]],changes[[#This Row],[Name]], $E$4:changes[[#This Row],[Type of change]], "Edit")),B195)</f>
        <v>2</v>
      </c>
      <c r="C196" s="20">
        <v>44530</v>
      </c>
      <c r="D196" s="2" t="s">
        <v>2015</v>
      </c>
      <c r="E196" t="s">
        <v>15</v>
      </c>
      <c r="F196" s="14"/>
      <c r="G196" s="14" t="s">
        <v>301</v>
      </c>
      <c r="H196" t="s">
        <v>49</v>
      </c>
      <c r="I196" t="s">
        <v>305</v>
      </c>
      <c r="K196" s="3"/>
      <c r="M196" s="3"/>
    </row>
    <row r="197" spans="1:13">
      <c r="A197" t="s">
        <v>28</v>
      </c>
      <c r="B197">
        <f ca="1">IF(OR(changes[[#This Row],[Type]]="Checklist",changes[[#This Row],[Type]]="checklist-flat"),1+IF(changes[[#This Row],[Type of change]] = "Edit",COUNTIFS($I$4:changes[[#This Row],[Name]],changes[[#This Row],[Name]], $E$4:changes[[#This Row],[Type of change]], "Edit")),B196)</f>
        <v>2</v>
      </c>
      <c r="C197" s="20">
        <v>44530</v>
      </c>
      <c r="D197" s="2" t="s">
        <v>2015</v>
      </c>
      <c r="E197" t="s">
        <v>15</v>
      </c>
      <c r="F197" s="14"/>
      <c r="G197" s="14" t="s">
        <v>301</v>
      </c>
      <c r="H197" t="s">
        <v>120</v>
      </c>
      <c r="I197" t="s">
        <v>259</v>
      </c>
      <c r="K197" s="3"/>
      <c r="M197" s="3"/>
    </row>
    <row r="198" spans="1:13">
      <c r="A198" t="s">
        <v>28</v>
      </c>
      <c r="B198">
        <f ca="1">IF(OR(changes[[#This Row],[Type]]="Checklist",changes[[#This Row],[Type]]="checklist-flat"),1+IF(changes[[#This Row],[Type of change]] = "Edit",COUNTIFS($I$4:changes[[#This Row],[Name]],changes[[#This Row],[Name]], $E$4:changes[[#This Row],[Type of change]], "Edit")),B197)</f>
        <v>2</v>
      </c>
      <c r="C198" s="20">
        <v>44530</v>
      </c>
      <c r="D198" s="2" t="s">
        <v>2015</v>
      </c>
      <c r="E198" t="s">
        <v>15</v>
      </c>
      <c r="F198" s="14"/>
      <c r="G198" s="14" t="s">
        <v>301</v>
      </c>
      <c r="H198" t="s">
        <v>49</v>
      </c>
      <c r="I198" t="s">
        <v>260</v>
      </c>
      <c r="K198" s="3"/>
      <c r="M198" s="3"/>
    </row>
    <row r="199" spans="1:13">
      <c r="A199" t="s">
        <v>28</v>
      </c>
      <c r="B199">
        <f ca="1">IF(OR(changes[[#This Row],[Type]]="Checklist",changes[[#This Row],[Type]]="checklist-flat"),1+IF(changes[[#This Row],[Type of change]] = "Edit",COUNTIFS($I$4:changes[[#This Row],[Name]],changes[[#This Row],[Name]], $E$4:changes[[#This Row],[Type of change]], "Edit")),B198)</f>
        <v>2</v>
      </c>
      <c r="C199" s="20">
        <v>44530</v>
      </c>
      <c r="D199" s="2" t="s">
        <v>2015</v>
      </c>
      <c r="E199" t="s">
        <v>15</v>
      </c>
      <c r="F199" s="14"/>
      <c r="G199" s="14" t="s">
        <v>301</v>
      </c>
      <c r="H199" t="s">
        <v>120</v>
      </c>
      <c r="I199" t="s">
        <v>273</v>
      </c>
      <c r="K199" s="3"/>
      <c r="M199" s="3"/>
    </row>
    <row r="200" spans="1:13">
      <c r="A200" t="s">
        <v>28</v>
      </c>
      <c r="B200">
        <f ca="1">IF(OR(changes[[#This Row],[Type]]="Checklist",changes[[#This Row],[Type]]="checklist-flat"),1+IF(changes[[#This Row],[Type of change]] = "Edit",COUNTIFS($I$4:changes[[#This Row],[Name]],changes[[#This Row],[Name]], $E$4:changes[[#This Row],[Type of change]], "Edit")),B199)</f>
        <v>2</v>
      </c>
      <c r="C200" s="20">
        <v>44530</v>
      </c>
      <c r="D200" s="2" t="s">
        <v>2015</v>
      </c>
      <c r="E200" t="s">
        <v>15</v>
      </c>
      <c r="F200" s="14"/>
      <c r="G200" s="14" t="s">
        <v>301</v>
      </c>
      <c r="H200" t="s">
        <v>49</v>
      </c>
      <c r="I200" t="s">
        <v>276</v>
      </c>
      <c r="K200" s="3"/>
      <c r="M200" s="3"/>
    </row>
    <row r="201" spans="1:13">
      <c r="A201" t="s">
        <v>28</v>
      </c>
      <c r="B201">
        <f ca="1">IF(OR(changes[[#This Row],[Type]]="Checklist",changes[[#This Row],[Type]]="checklist-flat"),1+IF(changes[[#This Row],[Type of change]] = "Edit",COUNTIFS($I$4:changes[[#This Row],[Name]],changes[[#This Row],[Name]], $E$4:changes[[#This Row],[Type of change]], "Edit")),B200)</f>
        <v>2</v>
      </c>
      <c r="C201" s="20">
        <v>44530</v>
      </c>
      <c r="D201" s="2" t="s">
        <v>2015</v>
      </c>
      <c r="E201" t="s">
        <v>15</v>
      </c>
      <c r="F201" s="14"/>
      <c r="G201" s="14" t="s">
        <v>301</v>
      </c>
      <c r="H201" t="s">
        <v>58</v>
      </c>
      <c r="I201" t="s">
        <v>306</v>
      </c>
      <c r="K201" s="3"/>
      <c r="M201" s="3"/>
    </row>
    <row r="202" spans="1:13">
      <c r="A202" t="s">
        <v>28</v>
      </c>
      <c r="B202">
        <f ca="1">IF(OR(changes[[#This Row],[Type]]="Checklist",changes[[#This Row],[Type]]="checklist-flat"),1+IF(changes[[#This Row],[Type of change]] = "Edit",COUNTIFS($I$4:changes[[#This Row],[Name]],changes[[#This Row],[Name]], $E$4:changes[[#This Row],[Type of change]], "Edit")),B201)</f>
        <v>2</v>
      </c>
      <c r="C202" s="20">
        <v>44530</v>
      </c>
      <c r="D202" s="2" t="s">
        <v>2015</v>
      </c>
      <c r="E202" t="s">
        <v>15</v>
      </c>
      <c r="F202" s="14"/>
      <c r="G202" s="14" t="s">
        <v>301</v>
      </c>
      <c r="H202" t="s">
        <v>49</v>
      </c>
      <c r="I202" t="s">
        <v>307</v>
      </c>
      <c r="K202" s="3"/>
      <c r="M202" s="3"/>
    </row>
    <row r="203" spans="1:13">
      <c r="A203" t="s">
        <v>28</v>
      </c>
      <c r="B203">
        <f ca="1">IF(OR(changes[[#This Row],[Type]]="Checklist",changes[[#This Row],[Type]]="checklist-flat"),1+IF(changes[[#This Row],[Type of change]] = "Edit",COUNTIFS($I$4:changes[[#This Row],[Name]],changes[[#This Row],[Name]], $E$4:changes[[#This Row],[Type of change]], "Edit")),B202)</f>
        <v>2</v>
      </c>
      <c r="C203" s="20">
        <v>44530</v>
      </c>
      <c r="D203" s="2" t="s">
        <v>2015</v>
      </c>
      <c r="E203" t="s">
        <v>15</v>
      </c>
      <c r="F203" s="14"/>
      <c r="G203" s="14" t="s">
        <v>301</v>
      </c>
      <c r="H203" t="s">
        <v>49</v>
      </c>
      <c r="I203" t="s">
        <v>277</v>
      </c>
      <c r="K203" s="3"/>
      <c r="M203" s="3"/>
    </row>
    <row r="204" spans="1:13">
      <c r="A204" t="s">
        <v>28</v>
      </c>
      <c r="B204">
        <f ca="1">IF(OR(changes[[#This Row],[Type]]="Checklist",changes[[#This Row],[Type]]="checklist-flat"),1+IF(changes[[#This Row],[Type of change]] = "Edit",COUNTIFS($I$4:changes[[#This Row],[Name]],changes[[#This Row],[Name]], $E$4:changes[[#This Row],[Type of change]], "Edit")),B203)</f>
        <v>2</v>
      </c>
      <c r="C204" s="20">
        <v>44530</v>
      </c>
      <c r="D204" s="2" t="s">
        <v>2015</v>
      </c>
      <c r="E204" t="s">
        <v>15</v>
      </c>
      <c r="F204" s="14"/>
      <c r="G204" s="14" t="s">
        <v>301</v>
      </c>
      <c r="H204" t="s">
        <v>120</v>
      </c>
      <c r="I204" t="s">
        <v>278</v>
      </c>
      <c r="K204" s="3"/>
      <c r="M204" s="3"/>
    </row>
    <row r="205" spans="1:13">
      <c r="A205" t="s">
        <v>28</v>
      </c>
      <c r="B205">
        <f ca="1">IF(OR(changes[[#This Row],[Type]]="Checklist",changes[[#This Row],[Type]]="checklist-flat"),1+IF(changes[[#This Row],[Type of change]] = "Edit",COUNTIFS($I$4:changes[[#This Row],[Name]],changes[[#This Row],[Name]], $E$4:changes[[#This Row],[Type of change]], "Edit")),B204)</f>
        <v>2</v>
      </c>
      <c r="C205" s="20">
        <v>44530</v>
      </c>
      <c r="D205" s="2" t="s">
        <v>2015</v>
      </c>
      <c r="E205" t="s">
        <v>15</v>
      </c>
      <c r="F205" s="14"/>
      <c r="G205" s="14" t="s">
        <v>301</v>
      </c>
      <c r="H205" t="s">
        <v>49</v>
      </c>
      <c r="I205" t="s">
        <v>286</v>
      </c>
      <c r="K205" s="3"/>
      <c r="M205" s="3"/>
    </row>
    <row r="206" spans="1:13">
      <c r="A206" t="s">
        <v>28</v>
      </c>
      <c r="B206">
        <f ca="1">IF(OR(changes[[#This Row],[Type]]="Checklist",changes[[#This Row],[Type]]="checklist-flat"),1+IF(changes[[#This Row],[Type of change]] = "Edit",COUNTIFS($I$4:changes[[#This Row],[Name]],changes[[#This Row],[Name]], $E$4:changes[[#This Row],[Type of change]], "Edit")),B205)</f>
        <v>2</v>
      </c>
      <c r="C206" s="20">
        <v>44530</v>
      </c>
      <c r="D206" s="2" t="s">
        <v>2015</v>
      </c>
      <c r="E206" t="s">
        <v>15</v>
      </c>
      <c r="F206" s="14"/>
      <c r="G206" s="14" t="s">
        <v>301</v>
      </c>
      <c r="H206" t="s">
        <v>49</v>
      </c>
      <c r="I206" t="s">
        <v>288</v>
      </c>
      <c r="K206" s="3"/>
      <c r="M206" s="3"/>
    </row>
    <row r="207" spans="1:13">
      <c r="A207" t="s">
        <v>28</v>
      </c>
      <c r="B207">
        <f ca="1">IF(OR(changes[[#This Row],[Type]]="Checklist",changes[[#This Row],[Type]]="checklist-flat"),1+IF(changes[[#This Row],[Type of change]] = "Edit",COUNTIFS($I$4:changes[[#This Row],[Name]],changes[[#This Row],[Name]], $E$4:changes[[#This Row],[Type of change]], "Edit")),B206)</f>
        <v>2</v>
      </c>
      <c r="C207" s="20">
        <v>44530</v>
      </c>
      <c r="D207" s="2" t="s">
        <v>2015</v>
      </c>
      <c r="E207" t="s">
        <v>15</v>
      </c>
      <c r="F207" s="14"/>
      <c r="G207" s="14" t="s">
        <v>301</v>
      </c>
      <c r="H207" t="s">
        <v>120</v>
      </c>
      <c r="I207" t="s">
        <v>297</v>
      </c>
      <c r="K207" s="3"/>
      <c r="M207" s="3"/>
    </row>
    <row r="208" spans="1:13">
      <c r="A208" t="s">
        <v>28</v>
      </c>
      <c r="B208">
        <f ca="1">IF(OR(changes[[#This Row],[Type]]="Checklist",changes[[#This Row],[Type]]="checklist-flat"),1+IF(changes[[#This Row],[Type of change]] = "Edit",COUNTIFS($I$4:changes[[#This Row],[Name]],changes[[#This Row],[Name]], $E$4:changes[[#This Row],[Type of change]], "Edit")),B207)</f>
        <v>2</v>
      </c>
      <c r="C208" s="20">
        <v>44530</v>
      </c>
      <c r="D208" s="2" t="s">
        <v>2015</v>
      </c>
      <c r="E208" t="s">
        <v>15</v>
      </c>
      <c r="F208" s="14"/>
      <c r="G208" s="14" t="s">
        <v>301</v>
      </c>
      <c r="H208" t="s">
        <v>49</v>
      </c>
      <c r="I208" t="s">
        <v>298</v>
      </c>
      <c r="K208" s="3"/>
      <c r="M208" s="3"/>
    </row>
    <row r="209" spans="1:13">
      <c r="A209" t="s">
        <v>28</v>
      </c>
      <c r="B209">
        <f ca="1">IF(OR(changes[[#This Row],[Type]]="Checklist",changes[[#This Row],[Type]]="checklist-flat"),1+IF(changes[[#This Row],[Type of change]] = "Edit",COUNTIFS($I$4:changes[[#This Row],[Name]],changes[[#This Row],[Name]], $E$4:changes[[#This Row],[Type of change]], "Edit")),B208)</f>
        <v>2</v>
      </c>
      <c r="C209" s="20">
        <v>44530</v>
      </c>
      <c r="D209" s="2" t="s">
        <v>2015</v>
      </c>
      <c r="E209" t="s">
        <v>15</v>
      </c>
      <c r="F209" s="14"/>
      <c r="G209" s="14" t="s">
        <v>301</v>
      </c>
      <c r="H209" t="s">
        <v>58</v>
      </c>
      <c r="I209" t="s">
        <v>306</v>
      </c>
      <c r="K209" s="3"/>
      <c r="M209" s="3"/>
    </row>
    <row r="210" spans="1:13">
      <c r="A210" t="s">
        <v>28</v>
      </c>
      <c r="B210">
        <f ca="1">IF(OR(changes[[#This Row],[Type]]="Checklist",changes[[#This Row],[Type]]="checklist-flat"),1+IF(changes[[#This Row],[Type of change]] = "Edit",COUNTIFS($I$4:changes[[#This Row],[Name]],changes[[#This Row],[Name]], $E$4:changes[[#This Row],[Type of change]], "Edit")),B209)</f>
        <v>2</v>
      </c>
      <c r="C210" s="20">
        <v>44530</v>
      </c>
      <c r="D210" s="2" t="s">
        <v>2015</v>
      </c>
      <c r="E210" t="s">
        <v>15</v>
      </c>
      <c r="F210" s="14"/>
      <c r="G210" s="14" t="s">
        <v>301</v>
      </c>
      <c r="H210" t="s">
        <v>49</v>
      </c>
      <c r="I210" t="s">
        <v>300</v>
      </c>
      <c r="K210" s="3"/>
      <c r="M210" s="3"/>
    </row>
    <row r="211" spans="1:13">
      <c r="A211" t="s">
        <v>28</v>
      </c>
      <c r="B211">
        <f ca="1">IF(OR(changes[[#This Row],[Type]]="Checklist",changes[[#This Row],[Type]]="checklist-flat"),1+IF(changes[[#This Row],[Type of change]] = "Edit",COUNTIFS($I$4:changes[[#This Row],[Name]],changes[[#This Row],[Name]], $E$4:changes[[#This Row],[Type of change]], "Edit")),B210)</f>
        <v>2</v>
      </c>
      <c r="C211" s="20">
        <v>44530</v>
      </c>
      <c r="D211" s="2" t="s">
        <v>2015</v>
      </c>
      <c r="E211" t="s">
        <v>15</v>
      </c>
      <c r="F211" s="14"/>
      <c r="G211" s="14" t="s">
        <v>235</v>
      </c>
      <c r="H211" t="s">
        <v>48</v>
      </c>
      <c r="I211" t="s">
        <v>235</v>
      </c>
      <c r="K211" s="3"/>
      <c r="M211" s="3"/>
    </row>
    <row r="212" spans="1:13">
      <c r="A212" t="s">
        <v>28</v>
      </c>
      <c r="B212">
        <f ca="1">IF(OR(changes[[#This Row],[Type]]="Checklist",changes[[#This Row],[Type]]="checklist-flat"),1+IF(changes[[#This Row],[Type of change]] = "Edit",COUNTIFS($I$4:changes[[#This Row],[Name]],changes[[#This Row],[Name]], $E$4:changes[[#This Row],[Type of change]], "Edit")),B211)</f>
        <v>2</v>
      </c>
      <c r="C212" s="20">
        <v>44530</v>
      </c>
      <c r="D212" s="2" t="s">
        <v>2015</v>
      </c>
      <c r="E212" t="s">
        <v>15</v>
      </c>
      <c r="F212" s="14"/>
      <c r="G212" s="14" t="s">
        <v>235</v>
      </c>
      <c r="H212" t="s">
        <v>49</v>
      </c>
      <c r="I212" t="s">
        <v>236</v>
      </c>
      <c r="K212" s="3"/>
      <c r="M212" s="3"/>
    </row>
    <row r="213" spans="1:13">
      <c r="A213" t="s">
        <v>28</v>
      </c>
      <c r="B213">
        <f ca="1">IF(OR(changes[[#This Row],[Type]]="Checklist",changes[[#This Row],[Type]]="checklist-flat"),1+IF(changes[[#This Row],[Type of change]] = "Edit",COUNTIFS($I$4:changes[[#This Row],[Name]],changes[[#This Row],[Name]], $E$4:changes[[#This Row],[Type of change]], "Edit")),B212)</f>
        <v>2</v>
      </c>
      <c r="C213" s="20">
        <v>44530</v>
      </c>
      <c r="D213" s="2" t="s">
        <v>2015</v>
      </c>
      <c r="E213" t="s">
        <v>15</v>
      </c>
      <c r="F213" s="14"/>
      <c r="G213" s="14" t="s">
        <v>235</v>
      </c>
      <c r="H213" t="s">
        <v>49</v>
      </c>
      <c r="I213" t="s">
        <v>237</v>
      </c>
      <c r="K213" s="3"/>
      <c r="M213" s="3"/>
    </row>
    <row r="214" spans="1:13">
      <c r="A214" t="s">
        <v>28</v>
      </c>
      <c r="B214">
        <f ca="1">IF(OR(changes[[#This Row],[Type]]="Checklist",changes[[#This Row],[Type]]="checklist-flat"),1+IF(changes[[#This Row],[Type of change]] = "Edit",COUNTIFS($I$4:changes[[#This Row],[Name]],changes[[#This Row],[Name]], $E$4:changes[[#This Row],[Type of change]], "Edit")),B213)</f>
        <v>2</v>
      </c>
      <c r="C214" s="20">
        <v>44530</v>
      </c>
      <c r="D214" s="2" t="s">
        <v>2015</v>
      </c>
      <c r="E214" t="s">
        <v>15</v>
      </c>
      <c r="F214" s="14"/>
      <c r="G214" s="14" t="s">
        <v>235</v>
      </c>
      <c r="H214" t="s">
        <v>49</v>
      </c>
      <c r="I214" t="s">
        <v>238</v>
      </c>
      <c r="K214" s="3"/>
      <c r="M214" s="3"/>
    </row>
    <row r="215" spans="1:13">
      <c r="A215" t="s">
        <v>28</v>
      </c>
      <c r="B215">
        <f ca="1">IF(OR(changes[[#This Row],[Type]]="Checklist",changes[[#This Row],[Type]]="checklist-flat"),1+IF(changes[[#This Row],[Type of change]] = "Edit",COUNTIFS($I$4:changes[[#This Row],[Name]],changes[[#This Row],[Name]], $E$4:changes[[#This Row],[Type of change]], "Edit")),B214)</f>
        <v>2</v>
      </c>
      <c r="C215" s="20">
        <v>44530</v>
      </c>
      <c r="D215" s="2" t="s">
        <v>2015</v>
      </c>
      <c r="E215" t="s">
        <v>15</v>
      </c>
      <c r="F215" s="14"/>
      <c r="G215" s="14" t="s">
        <v>235</v>
      </c>
      <c r="H215" t="s">
        <v>49</v>
      </c>
      <c r="I215" t="s">
        <v>239</v>
      </c>
      <c r="K215" s="3"/>
      <c r="M215" s="3"/>
    </row>
    <row r="216" spans="1:13">
      <c r="A216" t="s">
        <v>28</v>
      </c>
      <c r="B216">
        <f ca="1">IF(OR(changes[[#This Row],[Type]]="Checklist",changes[[#This Row],[Type]]="checklist-flat"),1+IF(changes[[#This Row],[Type of change]] = "Edit",COUNTIFS($I$4:changes[[#This Row],[Name]],changes[[#This Row],[Name]], $E$4:changes[[#This Row],[Type of change]], "Edit")),B215)</f>
        <v>2</v>
      </c>
      <c r="C216" s="20">
        <v>44530</v>
      </c>
      <c r="D216" s="2" t="s">
        <v>2015</v>
      </c>
      <c r="E216" t="s">
        <v>15</v>
      </c>
      <c r="F216" s="14"/>
      <c r="G216" s="14" t="s">
        <v>235</v>
      </c>
      <c r="H216" t="s">
        <v>49</v>
      </c>
      <c r="I216" t="s">
        <v>240</v>
      </c>
      <c r="K216" s="3"/>
      <c r="M216" s="3"/>
    </row>
    <row r="217" spans="1:13">
      <c r="A217" t="s">
        <v>28</v>
      </c>
      <c r="B217">
        <f ca="1">IF(OR(changes[[#This Row],[Type]]="Checklist",changes[[#This Row],[Type]]="checklist-flat"),1+IF(changes[[#This Row],[Type of change]] = "Edit",COUNTIFS($I$4:changes[[#This Row],[Name]],changes[[#This Row],[Name]], $E$4:changes[[#This Row],[Type of change]], "Edit")),B216)</f>
        <v>2</v>
      </c>
      <c r="C217" s="20">
        <v>44530</v>
      </c>
      <c r="D217" s="2" t="s">
        <v>2015</v>
      </c>
      <c r="E217" t="s">
        <v>15</v>
      </c>
      <c r="F217" s="14"/>
      <c r="G217" s="14" t="s">
        <v>235</v>
      </c>
      <c r="H217" t="s">
        <v>49</v>
      </c>
      <c r="I217" t="s">
        <v>241</v>
      </c>
      <c r="K217" s="3"/>
      <c r="M217" s="3"/>
    </row>
    <row r="218" spans="1:13">
      <c r="A218" t="s">
        <v>28</v>
      </c>
      <c r="B218">
        <f ca="1">IF(OR(changes[[#This Row],[Type]]="Checklist",changes[[#This Row],[Type]]="checklist-flat"),1+IF(changes[[#This Row],[Type of change]] = "Edit",COUNTIFS($I$4:changes[[#This Row],[Name]],changes[[#This Row],[Name]], $E$4:changes[[#This Row],[Type of change]], "Edit")),B217)</f>
        <v>2</v>
      </c>
      <c r="C218" s="20">
        <v>44530</v>
      </c>
      <c r="D218" s="2" t="s">
        <v>2015</v>
      </c>
      <c r="E218" t="s">
        <v>15</v>
      </c>
      <c r="F218" s="14"/>
      <c r="G218" s="14" t="s">
        <v>235</v>
      </c>
      <c r="H218" t="s">
        <v>49</v>
      </c>
      <c r="I218" t="s">
        <v>242</v>
      </c>
      <c r="K218" s="3"/>
      <c r="M218" s="3"/>
    </row>
    <row r="219" spans="1:13">
      <c r="A219" t="s">
        <v>28</v>
      </c>
      <c r="B219">
        <f ca="1">IF(OR(changes[[#This Row],[Type]]="Checklist",changes[[#This Row],[Type]]="checklist-flat"),1+IF(changes[[#This Row],[Type of change]] = "Edit",COUNTIFS($I$4:changes[[#This Row],[Name]],changes[[#This Row],[Name]], $E$4:changes[[#This Row],[Type of change]], "Edit")),B218)</f>
        <v>2</v>
      </c>
      <c r="C219" s="20">
        <v>44530</v>
      </c>
      <c r="D219" s="2" t="s">
        <v>2015</v>
      </c>
      <c r="E219" t="s">
        <v>15</v>
      </c>
      <c r="F219" s="14"/>
      <c r="G219" s="14" t="s">
        <v>235</v>
      </c>
      <c r="H219" t="s">
        <v>49</v>
      </c>
      <c r="I219" t="s">
        <v>243</v>
      </c>
      <c r="K219" s="3"/>
      <c r="M219" s="3"/>
    </row>
    <row r="220" spans="1:13">
      <c r="A220" t="s">
        <v>28</v>
      </c>
      <c r="B220">
        <f ca="1">IF(OR(changes[[#This Row],[Type]]="Checklist",changes[[#This Row],[Type]]="checklist-flat"),1+IF(changes[[#This Row],[Type of change]] = "Edit",COUNTIFS($I$4:changes[[#This Row],[Name]],changes[[#This Row],[Name]], $E$4:changes[[#This Row],[Type of change]], "Edit")),B219)</f>
        <v>2</v>
      </c>
      <c r="C220" s="20">
        <v>44530</v>
      </c>
      <c r="D220" s="2" t="s">
        <v>2015</v>
      </c>
      <c r="E220" t="s">
        <v>15</v>
      </c>
      <c r="F220" s="14"/>
      <c r="G220" s="14" t="s">
        <v>235</v>
      </c>
      <c r="H220" t="s">
        <v>49</v>
      </c>
      <c r="I220" t="s">
        <v>244</v>
      </c>
      <c r="K220" s="3"/>
      <c r="M220" s="3"/>
    </row>
    <row r="221" spans="1:13">
      <c r="A221" t="s">
        <v>28</v>
      </c>
      <c r="B221">
        <f ca="1">IF(OR(changes[[#This Row],[Type]]="Checklist",changes[[#This Row],[Type]]="checklist-flat"),1+IF(changes[[#This Row],[Type of change]] = "Edit",COUNTIFS($I$4:changes[[#This Row],[Name]],changes[[#This Row],[Name]], $E$4:changes[[#This Row],[Type of change]], "Edit")),B220)</f>
        <v>2</v>
      </c>
      <c r="C221" s="20">
        <v>44530</v>
      </c>
      <c r="D221" s="2" t="s">
        <v>2015</v>
      </c>
      <c r="E221" t="s">
        <v>15</v>
      </c>
      <c r="F221" s="14"/>
      <c r="G221" s="14" t="s">
        <v>235</v>
      </c>
      <c r="H221" t="s">
        <v>49</v>
      </c>
      <c r="I221" t="s">
        <v>245</v>
      </c>
      <c r="K221" s="3"/>
      <c r="M221" s="3"/>
    </row>
    <row r="222" spans="1:13">
      <c r="A222" t="s">
        <v>28</v>
      </c>
      <c r="B222">
        <f ca="1">IF(OR(changes[[#This Row],[Type]]="Checklist",changes[[#This Row],[Type]]="checklist-flat"),1+IF(changes[[#This Row],[Type of change]] = "Edit",COUNTIFS($I$4:changes[[#This Row],[Name]],changes[[#This Row],[Name]], $E$4:changes[[#This Row],[Type of change]], "Edit")),B221)</f>
        <v>2</v>
      </c>
      <c r="C222" s="20">
        <v>44530</v>
      </c>
      <c r="D222" s="2" t="s">
        <v>2015</v>
      </c>
      <c r="E222" t="s">
        <v>15</v>
      </c>
      <c r="F222" s="14"/>
      <c r="G222" s="14" t="s">
        <v>235</v>
      </c>
      <c r="H222" t="s">
        <v>49</v>
      </c>
      <c r="I222" t="s">
        <v>246</v>
      </c>
      <c r="K222" s="3"/>
      <c r="M222" s="3"/>
    </row>
    <row r="223" spans="1:13">
      <c r="A223" t="s">
        <v>28</v>
      </c>
      <c r="B223">
        <f ca="1">IF(OR(changes[[#This Row],[Type]]="Checklist",changes[[#This Row],[Type]]="checklist-flat"),1+IF(changes[[#This Row],[Type of change]] = "Edit",COUNTIFS($I$4:changes[[#This Row],[Name]],changes[[#This Row],[Name]], $E$4:changes[[#This Row],[Type of change]], "Edit")),B222)</f>
        <v>2</v>
      </c>
      <c r="C223" s="20">
        <v>44530</v>
      </c>
      <c r="D223" s="2" t="s">
        <v>2015</v>
      </c>
      <c r="E223" t="s">
        <v>15</v>
      </c>
      <c r="F223" s="14"/>
      <c r="G223" s="14" t="s">
        <v>235</v>
      </c>
      <c r="H223" t="s">
        <v>49</v>
      </c>
      <c r="I223" t="s">
        <v>247</v>
      </c>
      <c r="K223" s="3"/>
      <c r="M223" s="3"/>
    </row>
    <row r="224" spans="1:13">
      <c r="A224" t="s">
        <v>28</v>
      </c>
      <c r="B224">
        <f ca="1">IF(OR(changes[[#This Row],[Type]]="Checklist",changes[[#This Row],[Type]]="checklist-flat"),1+IF(changes[[#This Row],[Type of change]] = "Edit",COUNTIFS($I$4:changes[[#This Row],[Name]],changes[[#This Row],[Name]], $E$4:changes[[#This Row],[Type of change]], "Edit")),B223)</f>
        <v>2</v>
      </c>
      <c r="C224" s="20">
        <v>44530</v>
      </c>
      <c r="D224" s="2" t="s">
        <v>2015</v>
      </c>
      <c r="E224" t="s">
        <v>15</v>
      </c>
      <c r="F224" s="14"/>
      <c r="G224" s="14" t="s">
        <v>443</v>
      </c>
      <c r="H224" t="s">
        <v>119</v>
      </c>
      <c r="I224" t="s">
        <v>443</v>
      </c>
      <c r="K224" s="3"/>
      <c r="M224" s="3"/>
    </row>
    <row r="225" spans="1:13">
      <c r="A225" t="s">
        <v>28</v>
      </c>
      <c r="B225">
        <f ca="1">IF(OR(changes[[#This Row],[Type]]="Checklist",changes[[#This Row],[Type]]="checklist-flat"),1+IF(changes[[#This Row],[Type of change]] = "Edit",COUNTIFS($I$4:changes[[#This Row],[Name]],changes[[#This Row],[Name]], $E$4:changes[[#This Row],[Type of change]], "Edit")),B224)</f>
        <v>2</v>
      </c>
      <c r="C225" s="20">
        <v>44530</v>
      </c>
      <c r="D225" s="2" t="s">
        <v>2015</v>
      </c>
      <c r="E225" t="s">
        <v>15</v>
      </c>
      <c r="F225" s="14"/>
      <c r="G225" s="14" t="s">
        <v>443</v>
      </c>
      <c r="H225" t="s">
        <v>120</v>
      </c>
      <c r="I225" t="s">
        <v>249</v>
      </c>
      <c r="K225" s="3"/>
      <c r="M225" s="3"/>
    </row>
    <row r="226" spans="1:13">
      <c r="A226" t="s">
        <v>28</v>
      </c>
      <c r="B226">
        <f ca="1">IF(OR(changes[[#This Row],[Type]]="Checklist",changes[[#This Row],[Type]]="checklist-flat"),1+IF(changes[[#This Row],[Type of change]] = "Edit",COUNTIFS($I$4:changes[[#This Row],[Name]],changes[[#This Row],[Name]], $E$4:changes[[#This Row],[Type of change]], "Edit")),B225)</f>
        <v>2</v>
      </c>
      <c r="C226" s="20">
        <v>44530</v>
      </c>
      <c r="D226" s="2" t="s">
        <v>2015</v>
      </c>
      <c r="E226" t="s">
        <v>15</v>
      </c>
      <c r="F226" s="14"/>
      <c r="G226" s="14" t="s">
        <v>443</v>
      </c>
      <c r="H226" t="s">
        <v>49</v>
      </c>
      <c r="I226" t="s">
        <v>250</v>
      </c>
      <c r="K226" s="3"/>
      <c r="M226" s="3"/>
    </row>
    <row r="227" spans="1:13">
      <c r="A227" t="s">
        <v>28</v>
      </c>
      <c r="B227">
        <f ca="1">IF(OR(changes[[#This Row],[Type]]="Checklist",changes[[#This Row],[Type]]="checklist-flat"),1+IF(changes[[#This Row],[Type of change]] = "Edit",COUNTIFS($I$4:changes[[#This Row],[Name]],changes[[#This Row],[Name]], $E$4:changes[[#This Row],[Type of change]], "Edit")),B226)</f>
        <v>2</v>
      </c>
      <c r="C227" s="20">
        <v>44530</v>
      </c>
      <c r="D227" s="2" t="s">
        <v>2015</v>
      </c>
      <c r="E227" t="s">
        <v>15</v>
      </c>
      <c r="F227" s="14"/>
      <c r="G227" s="14" t="s">
        <v>443</v>
      </c>
      <c r="H227" t="s">
        <v>124</v>
      </c>
      <c r="I227" t="s">
        <v>251</v>
      </c>
      <c r="K227" s="3"/>
      <c r="M227" s="3"/>
    </row>
    <row r="228" spans="1:13">
      <c r="A228" t="s">
        <v>28</v>
      </c>
      <c r="B228">
        <f ca="1">IF(OR(changes[[#This Row],[Type]]="Checklist",changes[[#This Row],[Type]]="checklist-flat"),1+IF(changes[[#This Row],[Type of change]] = "Edit",COUNTIFS($I$4:changes[[#This Row],[Name]],changes[[#This Row],[Name]], $E$4:changes[[#This Row],[Type of change]], "Edit")),B227)</f>
        <v>2</v>
      </c>
      <c r="C228" s="20">
        <v>44530</v>
      </c>
      <c r="D228" s="2" t="s">
        <v>2015</v>
      </c>
      <c r="E228" t="s">
        <v>15</v>
      </c>
      <c r="F228" s="14"/>
      <c r="G228" s="14" t="s">
        <v>443</v>
      </c>
      <c r="H228" t="s">
        <v>124</v>
      </c>
      <c r="I228" t="s">
        <v>252</v>
      </c>
      <c r="K228" s="3"/>
      <c r="M228" s="3"/>
    </row>
    <row r="229" spans="1:13">
      <c r="A229" t="s">
        <v>28</v>
      </c>
      <c r="B229">
        <f ca="1">IF(OR(changes[[#This Row],[Type]]="Checklist",changes[[#This Row],[Type]]="checklist-flat"),1+IF(changes[[#This Row],[Type of change]] = "Edit",COUNTIFS($I$4:changes[[#This Row],[Name]],changes[[#This Row],[Name]], $E$4:changes[[#This Row],[Type of change]], "Edit")),B228)</f>
        <v>2</v>
      </c>
      <c r="C229" s="20">
        <v>44530</v>
      </c>
      <c r="D229" s="2" t="s">
        <v>2015</v>
      </c>
      <c r="E229" t="s">
        <v>15</v>
      </c>
      <c r="F229" s="14"/>
      <c r="G229" s="14" t="s">
        <v>443</v>
      </c>
      <c r="H229" t="s">
        <v>49</v>
      </c>
      <c r="I229" t="s">
        <v>253</v>
      </c>
      <c r="K229" s="3"/>
      <c r="M229" s="3"/>
    </row>
    <row r="230" spans="1:13">
      <c r="A230" t="s">
        <v>28</v>
      </c>
      <c r="B230">
        <f ca="1">IF(OR(changes[[#This Row],[Type]]="Checklist",changes[[#This Row],[Type]]="checklist-flat"),1+IF(changes[[#This Row],[Type of change]] = "Edit",COUNTIFS($I$4:changes[[#This Row],[Name]],changes[[#This Row],[Name]], $E$4:changes[[#This Row],[Type of change]], "Edit")),B229)</f>
        <v>2</v>
      </c>
      <c r="C230" s="20">
        <v>44530</v>
      </c>
      <c r="D230" s="2" t="s">
        <v>2015</v>
      </c>
      <c r="E230" t="s">
        <v>15</v>
      </c>
      <c r="F230" s="14"/>
      <c r="G230" s="14" t="s">
        <v>443</v>
      </c>
      <c r="H230" t="s">
        <v>120</v>
      </c>
      <c r="I230" t="s">
        <v>254</v>
      </c>
      <c r="K230" s="3"/>
      <c r="M230" s="3"/>
    </row>
    <row r="231" spans="1:13">
      <c r="A231" t="s">
        <v>28</v>
      </c>
      <c r="B231">
        <f ca="1">IF(OR(changes[[#This Row],[Type]]="Checklist",changes[[#This Row],[Type]]="checklist-flat"),1+IF(changes[[#This Row],[Type of change]] = "Edit",COUNTIFS($I$4:changes[[#This Row],[Name]],changes[[#This Row],[Name]], $E$4:changes[[#This Row],[Type of change]], "Edit")),B230)</f>
        <v>2</v>
      </c>
      <c r="C231" s="20">
        <v>44530</v>
      </c>
      <c r="D231" s="2" t="s">
        <v>2015</v>
      </c>
      <c r="E231" t="s">
        <v>15</v>
      </c>
      <c r="F231" s="14"/>
      <c r="G231" s="14" t="s">
        <v>443</v>
      </c>
      <c r="H231" t="s">
        <v>49</v>
      </c>
      <c r="I231" t="s">
        <v>255</v>
      </c>
      <c r="K231" s="3"/>
      <c r="M231" s="3"/>
    </row>
    <row r="232" spans="1:13">
      <c r="A232" t="s">
        <v>28</v>
      </c>
      <c r="B232">
        <f ca="1">IF(OR(changes[[#This Row],[Type]]="Checklist",changes[[#This Row],[Type]]="checklist-flat"),1+IF(changes[[#This Row],[Type of change]] = "Edit",COUNTIFS($I$4:changes[[#This Row],[Name]],changes[[#This Row],[Name]], $E$4:changes[[#This Row],[Type of change]], "Edit")),B231)</f>
        <v>2</v>
      </c>
      <c r="C232" s="20">
        <v>44530</v>
      </c>
      <c r="D232" s="2" t="s">
        <v>2015</v>
      </c>
      <c r="E232" t="s">
        <v>15</v>
      </c>
      <c r="F232" s="14"/>
      <c r="G232" s="14" t="s">
        <v>443</v>
      </c>
      <c r="H232" t="s">
        <v>49</v>
      </c>
      <c r="I232" t="s">
        <v>256</v>
      </c>
      <c r="K232" s="3"/>
      <c r="M232" s="3"/>
    </row>
    <row r="233" spans="1:13">
      <c r="A233" t="s">
        <v>28</v>
      </c>
      <c r="B233">
        <f ca="1">IF(OR(changes[[#This Row],[Type]]="Checklist",changes[[#This Row],[Type]]="checklist-flat"),1+IF(changes[[#This Row],[Type of change]] = "Edit",COUNTIFS($I$4:changes[[#This Row],[Name]],changes[[#This Row],[Name]], $E$4:changes[[#This Row],[Type of change]], "Edit")),B232)</f>
        <v>2</v>
      </c>
      <c r="C233" s="20">
        <v>44530</v>
      </c>
      <c r="D233" s="2" t="s">
        <v>2015</v>
      </c>
      <c r="E233" t="s">
        <v>15</v>
      </c>
      <c r="F233" s="14"/>
      <c r="G233" s="14" t="s">
        <v>443</v>
      </c>
      <c r="H233" t="s">
        <v>49</v>
      </c>
      <c r="I233" t="s">
        <v>257</v>
      </c>
      <c r="K233" s="3"/>
      <c r="M233" s="3"/>
    </row>
    <row r="234" spans="1:13">
      <c r="A234" t="s">
        <v>28</v>
      </c>
      <c r="B234">
        <f ca="1">IF(OR(changes[[#This Row],[Type]]="Checklist",changes[[#This Row],[Type]]="checklist-flat"),1+IF(changes[[#This Row],[Type of change]] = "Edit",COUNTIFS($I$4:changes[[#This Row],[Name]],changes[[#This Row],[Name]], $E$4:changes[[#This Row],[Type of change]], "Edit")),B233)</f>
        <v>2</v>
      </c>
      <c r="C234" s="20">
        <v>44530</v>
      </c>
      <c r="D234" s="2" t="s">
        <v>2015</v>
      </c>
      <c r="E234" t="s">
        <v>15</v>
      </c>
      <c r="F234" s="14"/>
      <c r="G234" s="14" t="s">
        <v>443</v>
      </c>
      <c r="H234" t="s">
        <v>49</v>
      </c>
      <c r="I234" t="s">
        <v>258</v>
      </c>
      <c r="K234" s="3"/>
      <c r="M234" s="3"/>
    </row>
    <row r="235" spans="1:13">
      <c r="A235" t="s">
        <v>28</v>
      </c>
      <c r="B235">
        <f ca="1">IF(OR(changes[[#This Row],[Type]]="Checklist",changes[[#This Row],[Type]]="checklist-flat"),1+IF(changes[[#This Row],[Type of change]] = "Edit",COUNTIFS($I$4:changes[[#This Row],[Name]],changes[[#This Row],[Name]], $E$4:changes[[#This Row],[Type of change]], "Edit")),B234)</f>
        <v>2</v>
      </c>
      <c r="C235" s="20">
        <v>44530</v>
      </c>
      <c r="D235" s="2" t="s">
        <v>2015</v>
      </c>
      <c r="E235" t="s">
        <v>15</v>
      </c>
      <c r="F235" s="14"/>
      <c r="G235" s="14" t="s">
        <v>443</v>
      </c>
      <c r="H235" t="s">
        <v>120</v>
      </c>
      <c r="I235" t="s">
        <v>273</v>
      </c>
      <c r="K235" s="3"/>
      <c r="M235" s="3"/>
    </row>
    <row r="236" spans="1:13">
      <c r="A236" t="s">
        <v>28</v>
      </c>
      <c r="B236">
        <f ca="1">IF(OR(changes[[#This Row],[Type]]="Checklist",changes[[#This Row],[Type]]="checklist-flat"),1+IF(changes[[#This Row],[Type of change]] = "Edit",COUNTIFS($I$4:changes[[#This Row],[Name]],changes[[#This Row],[Name]], $E$4:changes[[#This Row],[Type of change]], "Edit")),B235)</f>
        <v>2</v>
      </c>
      <c r="C236" s="20">
        <v>44530</v>
      </c>
      <c r="D236" s="2" t="s">
        <v>2015</v>
      </c>
      <c r="E236" t="s">
        <v>15</v>
      </c>
      <c r="F236" s="14"/>
      <c r="G236" s="14" t="s">
        <v>443</v>
      </c>
      <c r="H236" t="s">
        <v>49</v>
      </c>
      <c r="I236" t="s">
        <v>274</v>
      </c>
      <c r="K236" s="3"/>
      <c r="M236" s="3"/>
    </row>
    <row r="237" spans="1:13">
      <c r="A237" t="s">
        <v>28</v>
      </c>
      <c r="B237">
        <f ca="1">IF(OR(changes[[#This Row],[Type]]="Checklist",changes[[#This Row],[Type]]="checklist-flat"),1+IF(changes[[#This Row],[Type of change]] = "Edit",COUNTIFS($I$4:changes[[#This Row],[Name]],changes[[#This Row],[Name]], $E$4:changes[[#This Row],[Type of change]], "Edit")),B236)</f>
        <v>2</v>
      </c>
      <c r="C237" s="20">
        <v>44530</v>
      </c>
      <c r="D237" s="2" t="s">
        <v>2015</v>
      </c>
      <c r="E237" t="s">
        <v>15</v>
      </c>
      <c r="F237" s="14"/>
      <c r="G237" s="14" t="s">
        <v>443</v>
      </c>
      <c r="H237" t="s">
        <v>49</v>
      </c>
      <c r="I237" t="s">
        <v>275</v>
      </c>
      <c r="K237" s="3"/>
      <c r="M237" s="3"/>
    </row>
    <row r="238" spans="1:13">
      <c r="A238" t="s">
        <v>28</v>
      </c>
      <c r="B238">
        <f ca="1">IF(OR(changes[[#This Row],[Type]]="Checklist",changes[[#This Row],[Type]]="checklist-flat"),1+IF(changes[[#This Row],[Type of change]] = "Edit",COUNTIFS($I$4:changes[[#This Row],[Name]],changes[[#This Row],[Name]], $E$4:changes[[#This Row],[Type of change]], "Edit")),B237)</f>
        <v>2</v>
      </c>
      <c r="C238" s="20">
        <v>44530</v>
      </c>
      <c r="D238" s="2" t="s">
        <v>2015</v>
      </c>
      <c r="E238" t="s">
        <v>15</v>
      </c>
      <c r="F238" s="14"/>
      <c r="G238" s="14" t="s">
        <v>443</v>
      </c>
      <c r="H238" t="s">
        <v>49</v>
      </c>
      <c r="I238" t="s">
        <v>276</v>
      </c>
      <c r="K238" s="3"/>
      <c r="M238" s="3"/>
    </row>
    <row r="239" spans="1:13">
      <c r="A239" t="s">
        <v>28</v>
      </c>
      <c r="B239">
        <f ca="1">IF(OR(changes[[#This Row],[Type]]="Checklist",changes[[#This Row],[Type]]="checklist-flat"),1+IF(changes[[#This Row],[Type of change]] = "Edit",COUNTIFS($I$4:changes[[#This Row],[Name]],changes[[#This Row],[Name]], $E$4:changes[[#This Row],[Type of change]], "Edit")),B238)</f>
        <v>2</v>
      </c>
      <c r="C239" s="20">
        <v>44530</v>
      </c>
      <c r="D239" s="2" t="s">
        <v>2015</v>
      </c>
      <c r="E239" t="s">
        <v>15</v>
      </c>
      <c r="F239" s="14"/>
      <c r="G239" s="14" t="s">
        <v>443</v>
      </c>
      <c r="H239" t="s">
        <v>49</v>
      </c>
      <c r="I239" t="s">
        <v>277</v>
      </c>
      <c r="K239" s="3"/>
      <c r="M239" s="3"/>
    </row>
    <row r="240" spans="1:13">
      <c r="A240" t="s">
        <v>28</v>
      </c>
      <c r="B240">
        <f ca="1">IF(OR(changes[[#This Row],[Type]]="Checklist",changes[[#This Row],[Type]]="checklist-flat"),1+IF(changes[[#This Row],[Type of change]] = "Edit",COUNTIFS($I$4:changes[[#This Row],[Name]],changes[[#This Row],[Name]], $E$4:changes[[#This Row],[Type of change]], "Edit")),B239)</f>
        <v>2</v>
      </c>
      <c r="C240" s="20">
        <v>44530</v>
      </c>
      <c r="D240" s="2" t="s">
        <v>2015</v>
      </c>
      <c r="E240" t="s">
        <v>15</v>
      </c>
      <c r="F240" s="14"/>
      <c r="G240" s="14" t="s">
        <v>443</v>
      </c>
      <c r="H240" t="s">
        <v>120</v>
      </c>
      <c r="I240" t="s">
        <v>278</v>
      </c>
      <c r="K240" s="3"/>
      <c r="M240" s="3"/>
    </row>
    <row r="241" spans="1:13">
      <c r="A241" t="s">
        <v>28</v>
      </c>
      <c r="B241">
        <f ca="1">IF(OR(changes[[#This Row],[Type]]="Checklist",changes[[#This Row],[Type]]="checklist-flat"),1+IF(changes[[#This Row],[Type of change]] = "Edit",COUNTIFS($I$4:changes[[#This Row],[Name]],changes[[#This Row],[Name]], $E$4:changes[[#This Row],[Type of change]], "Edit")),B240)</f>
        <v>2</v>
      </c>
      <c r="C241" s="20">
        <v>44530</v>
      </c>
      <c r="D241" s="2" t="s">
        <v>2015</v>
      </c>
      <c r="E241" t="s">
        <v>15</v>
      </c>
      <c r="F241" s="14"/>
      <c r="G241" s="14" t="s">
        <v>443</v>
      </c>
      <c r="H241" t="s">
        <v>49</v>
      </c>
      <c r="I241" t="s">
        <v>279</v>
      </c>
      <c r="K241" s="3"/>
      <c r="M241" s="3"/>
    </row>
    <row r="242" spans="1:13">
      <c r="A242" t="s">
        <v>28</v>
      </c>
      <c r="B242">
        <f ca="1">IF(OR(changes[[#This Row],[Type]]="Checklist",changes[[#This Row],[Type]]="checklist-flat"),1+IF(changes[[#This Row],[Type of change]] = "Edit",COUNTIFS($I$4:changes[[#This Row],[Name]],changes[[#This Row],[Name]], $E$4:changes[[#This Row],[Type of change]], "Edit")),B241)</f>
        <v>2</v>
      </c>
      <c r="C242" s="20">
        <v>44530</v>
      </c>
      <c r="D242" s="2" t="s">
        <v>2015</v>
      </c>
      <c r="E242" t="s">
        <v>15</v>
      </c>
      <c r="F242" s="14"/>
      <c r="G242" s="14" t="s">
        <v>443</v>
      </c>
      <c r="H242" t="s">
        <v>124</v>
      </c>
      <c r="I242" t="s">
        <v>280</v>
      </c>
      <c r="K242" s="3"/>
      <c r="M242" s="3"/>
    </row>
    <row r="243" spans="1:13">
      <c r="A243" t="s">
        <v>28</v>
      </c>
      <c r="B243">
        <f ca="1">IF(OR(changes[[#This Row],[Type]]="Checklist",changes[[#This Row],[Type]]="checklist-flat"),1+IF(changes[[#This Row],[Type of change]] = "Edit",COUNTIFS($I$4:changes[[#This Row],[Name]],changes[[#This Row],[Name]], $E$4:changes[[#This Row],[Type of change]], "Edit")),B242)</f>
        <v>2</v>
      </c>
      <c r="C243" s="20">
        <v>44530</v>
      </c>
      <c r="D243" s="2" t="s">
        <v>2015</v>
      </c>
      <c r="E243" t="s">
        <v>15</v>
      </c>
      <c r="F243" s="14"/>
      <c r="G243" s="14" t="s">
        <v>443</v>
      </c>
      <c r="H243" t="s">
        <v>124</v>
      </c>
      <c r="I243" t="s">
        <v>281</v>
      </c>
      <c r="K243" s="3"/>
      <c r="M243" s="3"/>
    </row>
    <row r="244" spans="1:13">
      <c r="A244" t="s">
        <v>28</v>
      </c>
      <c r="B244">
        <f ca="1">IF(OR(changes[[#This Row],[Type]]="Checklist",changes[[#This Row],[Type]]="checklist-flat"),1+IF(changes[[#This Row],[Type of change]] = "Edit",COUNTIFS($I$4:changes[[#This Row],[Name]],changes[[#This Row],[Name]], $E$4:changes[[#This Row],[Type of change]], "Edit")),B243)</f>
        <v>2</v>
      </c>
      <c r="C244" s="20">
        <v>44530</v>
      </c>
      <c r="D244" s="2" t="s">
        <v>2015</v>
      </c>
      <c r="E244" t="s">
        <v>15</v>
      </c>
      <c r="F244" s="14"/>
      <c r="G244" s="14" t="s">
        <v>443</v>
      </c>
      <c r="H244" t="s">
        <v>124</v>
      </c>
      <c r="I244" t="s">
        <v>283</v>
      </c>
      <c r="K244" s="3"/>
      <c r="M244" s="3"/>
    </row>
    <row r="245" spans="1:13">
      <c r="A245" t="s">
        <v>28</v>
      </c>
      <c r="B245">
        <f ca="1">IF(OR(changes[[#This Row],[Type]]="Checklist",changes[[#This Row],[Type]]="checklist-flat"),1+IF(changes[[#This Row],[Type of change]] = "Edit",COUNTIFS($I$4:changes[[#This Row],[Name]],changes[[#This Row],[Name]], $E$4:changes[[#This Row],[Type of change]], "Edit")),B244)</f>
        <v>2</v>
      </c>
      <c r="C245" s="20">
        <v>44530</v>
      </c>
      <c r="D245" s="2" t="s">
        <v>2015</v>
      </c>
      <c r="E245" t="s">
        <v>15</v>
      </c>
      <c r="F245" s="14"/>
      <c r="G245" s="14" t="s">
        <v>443</v>
      </c>
      <c r="H245" t="s">
        <v>124</v>
      </c>
      <c r="I245" t="s">
        <v>284</v>
      </c>
      <c r="K245" s="3"/>
      <c r="M245" s="3"/>
    </row>
    <row r="246" spans="1:13">
      <c r="A246" t="s">
        <v>28</v>
      </c>
      <c r="B246">
        <f ca="1">IF(OR(changes[[#This Row],[Type]]="Checklist",changes[[#This Row],[Type]]="checklist-flat"),1+IF(changes[[#This Row],[Type of change]] = "Edit",COUNTIFS($I$4:changes[[#This Row],[Name]],changes[[#This Row],[Name]], $E$4:changes[[#This Row],[Type of change]], "Edit")),B245)</f>
        <v>2</v>
      </c>
      <c r="C246" s="20">
        <v>44530</v>
      </c>
      <c r="D246" s="2" t="s">
        <v>2015</v>
      </c>
      <c r="E246" t="s">
        <v>15</v>
      </c>
      <c r="F246" s="14"/>
      <c r="G246" s="14" t="s">
        <v>443</v>
      </c>
      <c r="H246" t="s">
        <v>131</v>
      </c>
      <c r="I246" t="s">
        <v>286</v>
      </c>
      <c r="K246" s="3"/>
      <c r="M246" s="3"/>
    </row>
    <row r="247" spans="1:13">
      <c r="A247" t="s">
        <v>28</v>
      </c>
      <c r="B247">
        <f ca="1">IF(OR(changes[[#This Row],[Type]]="Checklist",changes[[#This Row],[Type]]="checklist-flat"),1+IF(changes[[#This Row],[Type of change]] = "Edit",COUNTIFS($I$4:changes[[#This Row],[Name]],changes[[#This Row],[Name]], $E$4:changes[[#This Row],[Type of change]], "Edit")),B246)</f>
        <v>2</v>
      </c>
      <c r="C247" s="20">
        <v>44530</v>
      </c>
      <c r="D247" s="2" t="s">
        <v>2015</v>
      </c>
      <c r="E247" t="s">
        <v>15</v>
      </c>
      <c r="F247" s="14"/>
      <c r="G247" s="14" t="s">
        <v>443</v>
      </c>
      <c r="H247" t="s">
        <v>49</v>
      </c>
      <c r="I247" t="s">
        <v>288</v>
      </c>
      <c r="K247" s="3"/>
      <c r="M247" s="3"/>
    </row>
    <row r="248" spans="1:13">
      <c r="A248" t="s">
        <v>28</v>
      </c>
      <c r="B248">
        <f ca="1">IF(OR(changes[[#This Row],[Type]]="Checklist",changes[[#This Row],[Type]]="checklist-flat"),1+IF(changes[[#This Row],[Type of change]] = "Edit",COUNTIFS($I$4:changes[[#This Row],[Name]],changes[[#This Row],[Name]], $E$4:changes[[#This Row],[Type of change]], "Edit")),B247)</f>
        <v>2</v>
      </c>
      <c r="C248" s="20">
        <v>44530</v>
      </c>
      <c r="D248" s="2" t="s">
        <v>2015</v>
      </c>
      <c r="E248" t="s">
        <v>15</v>
      </c>
      <c r="F248" s="14"/>
      <c r="G248" s="14" t="s">
        <v>443</v>
      </c>
      <c r="H248" t="s">
        <v>49</v>
      </c>
      <c r="I248" t="s">
        <v>289</v>
      </c>
      <c r="K248" s="3"/>
      <c r="M248" s="3"/>
    </row>
    <row r="249" spans="1:13">
      <c r="A249" t="s">
        <v>28</v>
      </c>
      <c r="B249">
        <f ca="1">IF(OR(changes[[#This Row],[Type]]="Checklist",changes[[#This Row],[Type]]="checklist-flat"),1+IF(changes[[#This Row],[Type of change]] = "Edit",COUNTIFS($I$4:changes[[#This Row],[Name]],changes[[#This Row],[Name]], $E$4:changes[[#This Row],[Type of change]], "Edit")),B248)</f>
        <v>2</v>
      </c>
      <c r="C249" s="20">
        <v>44530</v>
      </c>
      <c r="D249" s="2" t="s">
        <v>2015</v>
      </c>
      <c r="E249" t="s">
        <v>15</v>
      </c>
      <c r="F249" s="14"/>
      <c r="G249" s="14" t="s">
        <v>443</v>
      </c>
      <c r="H249" t="s">
        <v>120</v>
      </c>
      <c r="I249" t="s">
        <v>290</v>
      </c>
      <c r="K249" s="3"/>
      <c r="M249" s="3"/>
    </row>
    <row r="250" spans="1:13">
      <c r="A250" t="s">
        <v>28</v>
      </c>
      <c r="B250">
        <f ca="1">IF(OR(changes[[#This Row],[Type]]="Checklist",changes[[#This Row],[Type]]="checklist-flat"),1+IF(changes[[#This Row],[Type of change]] = "Edit",COUNTIFS($I$4:changes[[#This Row],[Name]],changes[[#This Row],[Name]], $E$4:changes[[#This Row],[Type of change]], "Edit")),B249)</f>
        <v>2</v>
      </c>
      <c r="C250" s="20">
        <v>44530</v>
      </c>
      <c r="D250" s="2" t="s">
        <v>2015</v>
      </c>
      <c r="E250" t="s">
        <v>15</v>
      </c>
      <c r="F250" s="14"/>
      <c r="G250" s="14" t="s">
        <v>443</v>
      </c>
      <c r="H250" t="s">
        <v>49</v>
      </c>
      <c r="I250" t="s">
        <v>291</v>
      </c>
      <c r="K250" s="3"/>
      <c r="M250" s="3"/>
    </row>
    <row r="251" spans="1:13">
      <c r="A251" t="s">
        <v>28</v>
      </c>
      <c r="B251">
        <f ca="1">IF(OR(changes[[#This Row],[Type]]="Checklist",changes[[#This Row],[Type]]="checklist-flat"),1+IF(changes[[#This Row],[Type of change]] = "Edit",COUNTIFS($I$4:changes[[#This Row],[Name]],changes[[#This Row],[Name]], $E$4:changes[[#This Row],[Type of change]], "Edit")),B250)</f>
        <v>2</v>
      </c>
      <c r="C251" s="20">
        <v>44530</v>
      </c>
      <c r="D251" s="2" t="s">
        <v>2015</v>
      </c>
      <c r="E251" t="s">
        <v>15</v>
      </c>
      <c r="F251" s="14"/>
      <c r="G251" s="14" t="s">
        <v>443</v>
      </c>
      <c r="H251" t="s">
        <v>49</v>
      </c>
      <c r="I251" t="s">
        <v>292</v>
      </c>
      <c r="K251" s="3"/>
      <c r="M251" s="3"/>
    </row>
    <row r="252" spans="1:13">
      <c r="A252" t="s">
        <v>28</v>
      </c>
      <c r="B252">
        <f ca="1">IF(OR(changes[[#This Row],[Type]]="Checklist",changes[[#This Row],[Type]]="checklist-flat"),1+IF(changes[[#This Row],[Type of change]] = "Edit",COUNTIFS($I$4:changes[[#This Row],[Name]],changes[[#This Row],[Name]], $E$4:changes[[#This Row],[Type of change]], "Edit")),B251)</f>
        <v>2</v>
      </c>
      <c r="C252" s="20">
        <v>44530</v>
      </c>
      <c r="D252" s="2" t="s">
        <v>2015</v>
      </c>
      <c r="E252" t="s">
        <v>15</v>
      </c>
      <c r="F252" s="14"/>
      <c r="G252" s="14" t="s">
        <v>443</v>
      </c>
      <c r="H252" t="s">
        <v>131</v>
      </c>
      <c r="I252" t="s">
        <v>293</v>
      </c>
      <c r="K252" s="3"/>
      <c r="M252" s="3"/>
    </row>
    <row r="253" spans="1:13">
      <c r="A253" t="s">
        <v>28</v>
      </c>
      <c r="B253">
        <f ca="1">IF(OR(changes[[#This Row],[Type]]="Checklist",changes[[#This Row],[Type]]="checklist-flat"),1+IF(changes[[#This Row],[Type of change]] = "Edit",COUNTIFS($I$4:changes[[#This Row],[Name]],changes[[#This Row],[Name]], $E$4:changes[[#This Row],[Type of change]], "Edit")),B252)</f>
        <v>2</v>
      </c>
      <c r="C253" s="20">
        <v>44530</v>
      </c>
      <c r="D253" s="2" t="s">
        <v>2015</v>
      </c>
      <c r="E253" t="s">
        <v>15</v>
      </c>
      <c r="F253" s="14"/>
      <c r="G253" s="14" t="s">
        <v>443</v>
      </c>
      <c r="H253" t="s">
        <v>49</v>
      </c>
      <c r="I253" t="s">
        <v>294</v>
      </c>
      <c r="K253" s="3"/>
      <c r="M253" s="3"/>
    </row>
    <row r="254" spans="1:13">
      <c r="A254" t="s">
        <v>28</v>
      </c>
      <c r="B254">
        <f ca="1">IF(OR(changes[[#This Row],[Type]]="Checklist",changes[[#This Row],[Type]]="checklist-flat"),1+IF(changes[[#This Row],[Type of change]] = "Edit",COUNTIFS($I$4:changes[[#This Row],[Name]],changes[[#This Row],[Name]], $E$4:changes[[#This Row],[Type of change]], "Edit")),B253)</f>
        <v>2</v>
      </c>
      <c r="C254" s="20">
        <v>44530</v>
      </c>
      <c r="D254" s="2" t="s">
        <v>2015</v>
      </c>
      <c r="E254" t="s">
        <v>15</v>
      </c>
      <c r="F254" s="14"/>
      <c r="G254" s="14" t="s">
        <v>443</v>
      </c>
      <c r="H254" t="s">
        <v>49</v>
      </c>
      <c r="I254" t="s">
        <v>295</v>
      </c>
      <c r="K254" s="3"/>
      <c r="M254" s="3"/>
    </row>
    <row r="255" spans="1:13">
      <c r="A255" t="s">
        <v>28</v>
      </c>
      <c r="B255">
        <f ca="1">IF(OR(changes[[#This Row],[Type]]="Checklist",changes[[#This Row],[Type]]="checklist-flat"),1+IF(changes[[#This Row],[Type of change]] = "Edit",COUNTIFS($I$4:changes[[#This Row],[Name]],changes[[#This Row],[Name]], $E$4:changes[[#This Row],[Type of change]], "Edit")),B254)</f>
        <v>2</v>
      </c>
      <c r="C255" s="20">
        <v>44530</v>
      </c>
      <c r="D255" s="2" t="s">
        <v>2015</v>
      </c>
      <c r="E255" t="s">
        <v>15</v>
      </c>
      <c r="F255" s="14"/>
      <c r="G255" s="14" t="s">
        <v>443</v>
      </c>
      <c r="H255" t="s">
        <v>49</v>
      </c>
      <c r="I255" t="s">
        <v>296</v>
      </c>
      <c r="K255" s="3"/>
      <c r="M255" s="3"/>
    </row>
    <row r="256" spans="1:13">
      <c r="A256" t="s">
        <v>28</v>
      </c>
      <c r="B256">
        <f ca="1">IF(OR(changes[[#This Row],[Type]]="Checklist",changes[[#This Row],[Type]]="checklist-flat"),1+IF(changes[[#This Row],[Type of change]] = "Edit",COUNTIFS($I$4:changes[[#This Row],[Name]],changes[[#This Row],[Name]], $E$4:changes[[#This Row],[Type of change]], "Edit")),B255)</f>
        <v>2</v>
      </c>
      <c r="C256" s="20">
        <v>44530</v>
      </c>
      <c r="D256" s="2" t="s">
        <v>2015</v>
      </c>
      <c r="E256" t="s">
        <v>15</v>
      </c>
      <c r="F256" s="14"/>
      <c r="G256" s="14" t="s">
        <v>443</v>
      </c>
      <c r="H256" t="s">
        <v>120</v>
      </c>
      <c r="I256" t="s">
        <v>297</v>
      </c>
      <c r="K256" s="3"/>
      <c r="M256" s="3"/>
    </row>
    <row r="257" spans="1:13">
      <c r="A257" t="s">
        <v>28</v>
      </c>
      <c r="B257">
        <f ca="1">IF(OR(changes[[#This Row],[Type]]="Checklist",changes[[#This Row],[Type]]="checklist-flat"),1+IF(changes[[#This Row],[Type of change]] = "Edit",COUNTIFS($I$4:changes[[#This Row],[Name]],changes[[#This Row],[Name]], $E$4:changes[[#This Row],[Type of change]], "Edit")),B256)</f>
        <v>2</v>
      </c>
      <c r="C257" s="20">
        <v>44530</v>
      </c>
      <c r="D257" s="2" t="s">
        <v>2015</v>
      </c>
      <c r="E257" t="s">
        <v>15</v>
      </c>
      <c r="F257" s="14"/>
      <c r="G257" s="14" t="s">
        <v>443</v>
      </c>
      <c r="H257" t="s">
        <v>49</v>
      </c>
      <c r="I257" t="s">
        <v>298</v>
      </c>
      <c r="K257" s="3"/>
      <c r="M257" s="3"/>
    </row>
    <row r="258" spans="1:13">
      <c r="A258" t="s">
        <v>28</v>
      </c>
      <c r="B258">
        <f ca="1">IF(OR(changes[[#This Row],[Type]]="Checklist",changes[[#This Row],[Type]]="checklist-flat"),1+IF(changes[[#This Row],[Type of change]] = "Edit",COUNTIFS($I$4:changes[[#This Row],[Name]],changes[[#This Row],[Name]], $E$4:changes[[#This Row],[Type of change]], "Edit")),B257)</f>
        <v>2</v>
      </c>
      <c r="C258" s="20">
        <v>44530</v>
      </c>
      <c r="D258" s="2" t="s">
        <v>2015</v>
      </c>
      <c r="E258" t="s">
        <v>15</v>
      </c>
      <c r="F258" s="14"/>
      <c r="G258" s="14" t="s">
        <v>443</v>
      </c>
      <c r="H258" t="s">
        <v>58</v>
      </c>
      <c r="I258" t="s">
        <v>299</v>
      </c>
      <c r="K258" s="3"/>
      <c r="M258" s="3"/>
    </row>
    <row r="259" spans="1:13">
      <c r="A259" t="s">
        <v>28</v>
      </c>
      <c r="B259">
        <f ca="1">IF(OR(changes[[#This Row],[Type]]="Checklist",changes[[#This Row],[Type]]="checklist-flat"),1+IF(changes[[#This Row],[Type of change]] = "Edit",COUNTIFS($I$4:changes[[#This Row],[Name]],changes[[#This Row],[Name]], $E$4:changes[[#This Row],[Type of change]], "Edit")),B258)</f>
        <v>2</v>
      </c>
      <c r="C259" s="20">
        <v>44530</v>
      </c>
      <c r="D259" s="2" t="s">
        <v>2015</v>
      </c>
      <c r="E259" t="s">
        <v>15</v>
      </c>
      <c r="F259" s="14"/>
      <c r="G259" s="14" t="s">
        <v>443</v>
      </c>
      <c r="H259" t="s">
        <v>49</v>
      </c>
      <c r="I259" t="s">
        <v>300</v>
      </c>
      <c r="K259" s="3"/>
      <c r="M259" s="3"/>
    </row>
    <row r="260" spans="1:13">
      <c r="A260" t="s">
        <v>28</v>
      </c>
      <c r="B260">
        <f ca="1">IF(OR(changes[[#This Row],[Type]]="Checklist",changes[[#This Row],[Type]]="checklist-flat"),1+IF(changes[[#This Row],[Type of change]] = "Edit",COUNTIFS($I$4:changes[[#This Row],[Name]],changes[[#This Row],[Name]], $E$4:changes[[#This Row],[Type of change]], "Edit")),B259)</f>
        <v>3</v>
      </c>
      <c r="C260" s="20">
        <v>44530</v>
      </c>
      <c r="D260" s="2" t="s">
        <v>2015</v>
      </c>
      <c r="E260" t="s">
        <v>15</v>
      </c>
      <c r="F260" s="14"/>
      <c r="G260" s="14" t="s">
        <v>248</v>
      </c>
      <c r="H260" t="s">
        <v>119</v>
      </c>
      <c r="I260" t="s">
        <v>248</v>
      </c>
      <c r="K260" s="3"/>
      <c r="M260" s="3"/>
    </row>
    <row r="261" spans="1:13">
      <c r="A261" t="s">
        <v>28</v>
      </c>
      <c r="B261">
        <f ca="1">IF(OR(changes[[#This Row],[Type]]="Checklist",changes[[#This Row],[Type]]="checklist-flat"),1+IF(changes[[#This Row],[Type of change]] = "Edit",COUNTIFS($I$4:changes[[#This Row],[Name]],changes[[#This Row],[Name]], $E$4:changes[[#This Row],[Type of change]], "Edit")),B260)</f>
        <v>3</v>
      </c>
      <c r="C261" s="20">
        <v>44530</v>
      </c>
      <c r="D261" s="2" t="s">
        <v>2015</v>
      </c>
      <c r="E261" t="s">
        <v>15</v>
      </c>
      <c r="F261" s="14"/>
      <c r="G261" s="14" t="s">
        <v>248</v>
      </c>
      <c r="H261" t="s">
        <v>120</v>
      </c>
      <c r="I261" t="s">
        <v>249</v>
      </c>
      <c r="K261" s="3"/>
      <c r="M261" s="3"/>
    </row>
    <row r="262" spans="1:13">
      <c r="A262" t="s">
        <v>28</v>
      </c>
      <c r="B262">
        <f ca="1">IF(OR(changes[[#This Row],[Type]]="Checklist",changes[[#This Row],[Type]]="checklist-flat"),1+IF(changes[[#This Row],[Type of change]] = "Edit",COUNTIFS($I$4:changes[[#This Row],[Name]],changes[[#This Row],[Name]], $E$4:changes[[#This Row],[Type of change]], "Edit")),B261)</f>
        <v>3</v>
      </c>
      <c r="C262" s="20">
        <v>44530</v>
      </c>
      <c r="D262" s="2" t="s">
        <v>2015</v>
      </c>
      <c r="E262" t="s">
        <v>15</v>
      </c>
      <c r="F262" s="14"/>
      <c r="G262" s="14" t="s">
        <v>248</v>
      </c>
      <c r="H262" t="s">
        <v>49</v>
      </c>
      <c r="I262" t="s">
        <v>250</v>
      </c>
      <c r="K262" s="3"/>
      <c r="M262" s="3"/>
    </row>
    <row r="263" spans="1:13">
      <c r="A263" t="s">
        <v>28</v>
      </c>
      <c r="B263">
        <f ca="1">IF(OR(changes[[#This Row],[Type]]="Checklist",changes[[#This Row],[Type]]="checklist-flat"),1+IF(changes[[#This Row],[Type of change]] = "Edit",COUNTIFS($I$4:changes[[#This Row],[Name]],changes[[#This Row],[Name]], $E$4:changes[[#This Row],[Type of change]], "Edit")),B262)</f>
        <v>3</v>
      </c>
      <c r="C263" s="20">
        <v>44530</v>
      </c>
      <c r="D263" s="2" t="s">
        <v>2015</v>
      </c>
      <c r="E263" t="s">
        <v>15</v>
      </c>
      <c r="F263" s="14"/>
      <c r="G263" s="14" t="s">
        <v>248</v>
      </c>
      <c r="H263" t="s">
        <v>124</v>
      </c>
      <c r="I263" t="s">
        <v>251</v>
      </c>
      <c r="K263" s="3"/>
      <c r="M263" s="3"/>
    </row>
    <row r="264" spans="1:13">
      <c r="A264" t="s">
        <v>28</v>
      </c>
      <c r="B264">
        <f ca="1">IF(OR(changes[[#This Row],[Type]]="Checklist",changes[[#This Row],[Type]]="checklist-flat"),1+IF(changes[[#This Row],[Type of change]] = "Edit",COUNTIFS($I$4:changes[[#This Row],[Name]],changes[[#This Row],[Name]], $E$4:changes[[#This Row],[Type of change]], "Edit")),B263)</f>
        <v>3</v>
      </c>
      <c r="C264" s="20">
        <v>44530</v>
      </c>
      <c r="D264" s="2" t="s">
        <v>2015</v>
      </c>
      <c r="E264" t="s">
        <v>15</v>
      </c>
      <c r="F264" s="14"/>
      <c r="G264" s="14" t="s">
        <v>248</v>
      </c>
      <c r="H264" t="s">
        <v>124</v>
      </c>
      <c r="I264" t="s">
        <v>252</v>
      </c>
      <c r="K264" s="3"/>
      <c r="M264" s="3"/>
    </row>
    <row r="265" spans="1:13">
      <c r="A265" t="s">
        <v>28</v>
      </c>
      <c r="B265">
        <f ca="1">IF(OR(changes[[#This Row],[Type]]="Checklist",changes[[#This Row],[Type]]="checklist-flat"),1+IF(changes[[#This Row],[Type of change]] = "Edit",COUNTIFS($I$4:changes[[#This Row],[Name]],changes[[#This Row],[Name]], $E$4:changes[[#This Row],[Type of change]], "Edit")),B264)</f>
        <v>3</v>
      </c>
      <c r="C265" s="20">
        <v>44530</v>
      </c>
      <c r="D265" s="2" t="s">
        <v>2015</v>
      </c>
      <c r="E265" t="s">
        <v>15</v>
      </c>
      <c r="F265" s="14"/>
      <c r="G265" s="14" t="s">
        <v>248</v>
      </c>
      <c r="H265" t="s">
        <v>49</v>
      </c>
      <c r="I265" t="s">
        <v>253</v>
      </c>
      <c r="K265" s="3"/>
      <c r="M265" s="3"/>
    </row>
    <row r="266" spans="1:13">
      <c r="A266" t="s">
        <v>28</v>
      </c>
      <c r="B266">
        <f ca="1">IF(OR(changes[[#This Row],[Type]]="Checklist",changes[[#This Row],[Type]]="checklist-flat"),1+IF(changes[[#This Row],[Type of change]] = "Edit",COUNTIFS($I$4:changes[[#This Row],[Name]],changes[[#This Row],[Name]], $E$4:changes[[#This Row],[Type of change]], "Edit")),B265)</f>
        <v>3</v>
      </c>
      <c r="C266" s="20">
        <v>44530</v>
      </c>
      <c r="D266" s="2" t="s">
        <v>2015</v>
      </c>
      <c r="E266" t="s">
        <v>15</v>
      </c>
      <c r="F266" s="14"/>
      <c r="G266" s="14" t="s">
        <v>248</v>
      </c>
      <c r="H266" t="s">
        <v>120</v>
      </c>
      <c r="I266" t="s">
        <v>254</v>
      </c>
      <c r="K266" s="3"/>
      <c r="M266" s="3"/>
    </row>
    <row r="267" spans="1:13">
      <c r="A267" t="s">
        <v>28</v>
      </c>
      <c r="B267">
        <f ca="1">IF(OR(changes[[#This Row],[Type]]="Checklist",changes[[#This Row],[Type]]="checklist-flat"),1+IF(changes[[#This Row],[Type of change]] = "Edit",COUNTIFS($I$4:changes[[#This Row],[Name]],changes[[#This Row],[Name]], $E$4:changes[[#This Row],[Type of change]], "Edit")),B266)</f>
        <v>3</v>
      </c>
      <c r="C267" s="20">
        <v>44530</v>
      </c>
      <c r="D267" s="2" t="s">
        <v>2015</v>
      </c>
      <c r="E267" t="s">
        <v>15</v>
      </c>
      <c r="F267" s="14"/>
      <c r="G267" s="14" t="s">
        <v>248</v>
      </c>
      <c r="H267" t="s">
        <v>49</v>
      </c>
      <c r="I267" t="s">
        <v>255</v>
      </c>
      <c r="K267" s="3"/>
      <c r="M267" s="3"/>
    </row>
    <row r="268" spans="1:13">
      <c r="A268" t="s">
        <v>28</v>
      </c>
      <c r="B268">
        <f ca="1">IF(OR(changes[[#This Row],[Type]]="Checklist",changes[[#This Row],[Type]]="checklist-flat"),1+IF(changes[[#This Row],[Type of change]] = "Edit",COUNTIFS($I$4:changes[[#This Row],[Name]],changes[[#This Row],[Name]], $E$4:changes[[#This Row],[Type of change]], "Edit")),B267)</f>
        <v>3</v>
      </c>
      <c r="C268" s="20">
        <v>44530</v>
      </c>
      <c r="D268" s="2" t="s">
        <v>2015</v>
      </c>
      <c r="E268" t="s">
        <v>15</v>
      </c>
      <c r="F268" s="14"/>
      <c r="G268" s="14" t="s">
        <v>248</v>
      </c>
      <c r="H268" t="s">
        <v>49</v>
      </c>
      <c r="I268" t="s">
        <v>256</v>
      </c>
      <c r="K268" s="3"/>
      <c r="M268" s="3"/>
    </row>
    <row r="269" spans="1:13">
      <c r="A269" t="s">
        <v>28</v>
      </c>
      <c r="B269">
        <f ca="1">IF(OR(changes[[#This Row],[Type]]="Checklist",changes[[#This Row],[Type]]="checklist-flat"),1+IF(changes[[#This Row],[Type of change]] = "Edit",COUNTIFS($I$4:changes[[#This Row],[Name]],changes[[#This Row],[Name]], $E$4:changes[[#This Row],[Type of change]], "Edit")),B268)</f>
        <v>3</v>
      </c>
      <c r="C269" s="20">
        <v>44530</v>
      </c>
      <c r="D269" s="2" t="s">
        <v>2015</v>
      </c>
      <c r="E269" t="s">
        <v>15</v>
      </c>
      <c r="F269" s="14"/>
      <c r="G269" s="14" t="s">
        <v>248</v>
      </c>
      <c r="H269" t="s">
        <v>49</v>
      </c>
      <c r="I269" t="s">
        <v>257</v>
      </c>
      <c r="K269" s="3"/>
      <c r="M269" s="3"/>
    </row>
    <row r="270" spans="1:13">
      <c r="A270" t="s">
        <v>28</v>
      </c>
      <c r="B270">
        <f ca="1">IF(OR(changes[[#This Row],[Type]]="Checklist",changes[[#This Row],[Type]]="checklist-flat"),1+IF(changes[[#This Row],[Type of change]] = "Edit",COUNTIFS($I$4:changes[[#This Row],[Name]],changes[[#This Row],[Name]], $E$4:changes[[#This Row],[Type of change]], "Edit")),B269)</f>
        <v>3</v>
      </c>
      <c r="C270" s="20">
        <v>44530</v>
      </c>
      <c r="D270" s="2" t="s">
        <v>2015</v>
      </c>
      <c r="E270" t="s">
        <v>15</v>
      </c>
      <c r="F270" s="14"/>
      <c r="G270" s="14" t="s">
        <v>248</v>
      </c>
      <c r="H270" t="s">
        <v>49</v>
      </c>
      <c r="I270" t="s">
        <v>258</v>
      </c>
      <c r="K270" s="3"/>
      <c r="M270" s="3"/>
    </row>
    <row r="271" spans="1:13">
      <c r="A271" t="s">
        <v>28</v>
      </c>
      <c r="B271">
        <f ca="1">IF(OR(changes[[#This Row],[Type]]="Checklist",changes[[#This Row],[Type]]="checklist-flat"),1+IF(changes[[#This Row],[Type of change]] = "Edit",COUNTIFS($I$4:changes[[#This Row],[Name]],changes[[#This Row],[Name]], $E$4:changes[[#This Row],[Type of change]], "Edit")),B270)</f>
        <v>3</v>
      </c>
      <c r="C271" s="20">
        <v>44530</v>
      </c>
      <c r="D271" s="2" t="s">
        <v>2015</v>
      </c>
      <c r="E271" t="s">
        <v>15</v>
      </c>
      <c r="F271" s="14"/>
      <c r="G271" s="14" t="s">
        <v>248</v>
      </c>
      <c r="H271" t="s">
        <v>120</v>
      </c>
      <c r="I271" t="s">
        <v>259</v>
      </c>
      <c r="K271" s="3"/>
      <c r="M271" s="3"/>
    </row>
    <row r="272" spans="1:13">
      <c r="A272" t="s">
        <v>28</v>
      </c>
      <c r="B272">
        <f ca="1">IF(OR(changes[[#This Row],[Type]]="Checklist",changes[[#This Row],[Type]]="checklist-flat"),1+IF(changes[[#This Row],[Type of change]] = "Edit",COUNTIFS($I$4:changes[[#This Row],[Name]],changes[[#This Row],[Name]], $E$4:changes[[#This Row],[Type of change]], "Edit")),B271)</f>
        <v>3</v>
      </c>
      <c r="C272" s="20">
        <v>44530</v>
      </c>
      <c r="D272" s="2" t="s">
        <v>2015</v>
      </c>
      <c r="E272" t="s">
        <v>15</v>
      </c>
      <c r="F272" s="14"/>
      <c r="G272" s="14" t="s">
        <v>248</v>
      </c>
      <c r="H272" t="s">
        <v>49</v>
      </c>
      <c r="I272" t="s">
        <v>260</v>
      </c>
      <c r="K272" s="3"/>
      <c r="M272" s="3"/>
    </row>
    <row r="273" spans="1:13">
      <c r="A273" t="s">
        <v>28</v>
      </c>
      <c r="B273">
        <f ca="1">IF(OR(changes[[#This Row],[Type]]="Checklist",changes[[#This Row],[Type]]="checklist-flat"),1+IF(changes[[#This Row],[Type of change]] = "Edit",COUNTIFS($I$4:changes[[#This Row],[Name]],changes[[#This Row],[Name]], $E$4:changes[[#This Row],[Type of change]], "Edit")),B272)</f>
        <v>3</v>
      </c>
      <c r="C273" s="20">
        <v>44530</v>
      </c>
      <c r="D273" s="2" t="s">
        <v>2015</v>
      </c>
      <c r="E273" t="s">
        <v>15</v>
      </c>
      <c r="F273" s="14"/>
      <c r="G273" s="14" t="s">
        <v>248</v>
      </c>
      <c r="H273" t="s">
        <v>49</v>
      </c>
      <c r="I273" t="s">
        <v>261</v>
      </c>
      <c r="K273" s="3"/>
      <c r="M273" s="3"/>
    </row>
    <row r="274" spans="1:13">
      <c r="A274" t="s">
        <v>28</v>
      </c>
      <c r="B274">
        <f ca="1">IF(OR(changes[[#This Row],[Type]]="Checklist",changes[[#This Row],[Type]]="checklist-flat"),1+IF(changes[[#This Row],[Type of change]] = "Edit",COUNTIFS($I$4:changes[[#This Row],[Name]],changes[[#This Row],[Name]], $E$4:changes[[#This Row],[Type of change]], "Edit")),B273)</f>
        <v>3</v>
      </c>
      <c r="C274" s="20">
        <v>44530</v>
      </c>
      <c r="D274" s="2" t="s">
        <v>2015</v>
      </c>
      <c r="E274" t="s">
        <v>15</v>
      </c>
      <c r="F274" s="14"/>
      <c r="G274" s="14" t="s">
        <v>248</v>
      </c>
      <c r="H274" t="s">
        <v>49</v>
      </c>
      <c r="I274" t="s">
        <v>262</v>
      </c>
      <c r="K274" s="3"/>
      <c r="M274" s="3"/>
    </row>
    <row r="275" spans="1:13">
      <c r="A275" t="s">
        <v>28</v>
      </c>
      <c r="B275">
        <f ca="1">IF(OR(changes[[#This Row],[Type]]="Checklist",changes[[#This Row],[Type]]="checklist-flat"),1+IF(changes[[#This Row],[Type of change]] = "Edit",COUNTIFS($I$4:changes[[#This Row],[Name]],changes[[#This Row],[Name]], $E$4:changes[[#This Row],[Type of change]], "Edit")),B274)</f>
        <v>3</v>
      </c>
      <c r="C275" s="20">
        <v>44530</v>
      </c>
      <c r="D275" s="2" t="s">
        <v>2015</v>
      </c>
      <c r="E275" t="s">
        <v>15</v>
      </c>
      <c r="F275" s="14"/>
      <c r="G275" s="14" t="s">
        <v>248</v>
      </c>
      <c r="H275" t="s">
        <v>49</v>
      </c>
      <c r="I275" t="s">
        <v>263</v>
      </c>
      <c r="K275" s="3"/>
      <c r="M275" s="3"/>
    </row>
    <row r="276" spans="1:13">
      <c r="A276" t="s">
        <v>28</v>
      </c>
      <c r="B276">
        <f ca="1">IF(OR(changes[[#This Row],[Type]]="Checklist",changes[[#This Row],[Type]]="checklist-flat"),1+IF(changes[[#This Row],[Type of change]] = "Edit",COUNTIFS($I$4:changes[[#This Row],[Name]],changes[[#This Row],[Name]], $E$4:changes[[#This Row],[Type of change]], "Edit")),B275)</f>
        <v>3</v>
      </c>
      <c r="C276" s="20">
        <v>44530</v>
      </c>
      <c r="D276" s="2" t="s">
        <v>2015</v>
      </c>
      <c r="E276" t="s">
        <v>15</v>
      </c>
      <c r="F276" s="14"/>
      <c r="G276" s="14" t="s">
        <v>248</v>
      </c>
      <c r="H276" t="s">
        <v>49</v>
      </c>
      <c r="I276" t="s">
        <v>264</v>
      </c>
      <c r="K276" s="3"/>
      <c r="M276" s="3"/>
    </row>
    <row r="277" spans="1:13">
      <c r="A277" t="s">
        <v>28</v>
      </c>
      <c r="B277">
        <f ca="1">IF(OR(changes[[#This Row],[Type]]="Checklist",changes[[#This Row],[Type]]="checklist-flat"),1+IF(changes[[#This Row],[Type of change]] = "Edit",COUNTIFS($I$4:changes[[#This Row],[Name]],changes[[#This Row],[Name]], $E$4:changes[[#This Row],[Type of change]], "Edit")),B276)</f>
        <v>3</v>
      </c>
      <c r="C277" s="20">
        <v>44530</v>
      </c>
      <c r="D277" s="2" t="s">
        <v>2015</v>
      </c>
      <c r="E277" t="s">
        <v>15</v>
      </c>
      <c r="F277" s="14"/>
      <c r="G277" s="14" t="s">
        <v>248</v>
      </c>
      <c r="H277" t="s">
        <v>66</v>
      </c>
      <c r="I277" t="s">
        <v>265</v>
      </c>
      <c r="K277" s="3"/>
      <c r="M277" s="3"/>
    </row>
    <row r="278" spans="1:13">
      <c r="A278" t="s">
        <v>28</v>
      </c>
      <c r="B278">
        <f ca="1">IF(OR(changes[[#This Row],[Type]]="Checklist",changes[[#This Row],[Type]]="checklist-flat"),1+IF(changes[[#This Row],[Type of change]] = "Edit",COUNTIFS($I$4:changes[[#This Row],[Name]],changes[[#This Row],[Name]], $E$4:changes[[#This Row],[Type of change]], "Edit")),B277)</f>
        <v>3</v>
      </c>
      <c r="C278" s="20">
        <v>44530</v>
      </c>
      <c r="D278" s="2" t="s">
        <v>2015</v>
      </c>
      <c r="E278" t="s">
        <v>15</v>
      </c>
      <c r="F278" s="14"/>
      <c r="G278" s="14" t="s">
        <v>248</v>
      </c>
      <c r="H278" t="s">
        <v>66</v>
      </c>
      <c r="I278" t="s">
        <v>266</v>
      </c>
      <c r="K278" s="3"/>
      <c r="M278" s="3"/>
    </row>
    <row r="279" spans="1:13">
      <c r="A279" t="s">
        <v>28</v>
      </c>
      <c r="B279">
        <f ca="1">IF(OR(changes[[#This Row],[Type]]="Checklist",changes[[#This Row],[Type]]="checklist-flat"),1+IF(changes[[#This Row],[Type of change]] = "Edit",COUNTIFS($I$4:changes[[#This Row],[Name]],changes[[#This Row],[Name]], $E$4:changes[[#This Row],[Type of change]], "Edit")),B278)</f>
        <v>3</v>
      </c>
      <c r="C279" s="20">
        <v>44530</v>
      </c>
      <c r="D279" s="2" t="s">
        <v>2015</v>
      </c>
      <c r="E279" t="s">
        <v>15</v>
      </c>
      <c r="F279" s="14"/>
      <c r="G279" s="14" t="s">
        <v>248</v>
      </c>
      <c r="H279" t="s">
        <v>49</v>
      </c>
      <c r="I279" t="s">
        <v>267</v>
      </c>
      <c r="K279" s="3"/>
      <c r="M279" s="3"/>
    </row>
    <row r="280" spans="1:13">
      <c r="A280" t="s">
        <v>28</v>
      </c>
      <c r="B280">
        <f ca="1">IF(OR(changes[[#This Row],[Type]]="Checklist",changes[[#This Row],[Type]]="checklist-flat"),1+IF(changes[[#This Row],[Type of change]] = "Edit",COUNTIFS($I$4:changes[[#This Row],[Name]],changes[[#This Row],[Name]], $E$4:changes[[#This Row],[Type of change]], "Edit")),B279)</f>
        <v>3</v>
      </c>
      <c r="C280" s="20">
        <v>44530</v>
      </c>
      <c r="D280" s="2" t="s">
        <v>2015</v>
      </c>
      <c r="E280" t="s">
        <v>15</v>
      </c>
      <c r="F280" s="14"/>
      <c r="G280" s="14" t="s">
        <v>248</v>
      </c>
      <c r="H280" t="s">
        <v>49</v>
      </c>
      <c r="I280" t="s">
        <v>268</v>
      </c>
      <c r="K280" s="3"/>
      <c r="M280" s="3"/>
    </row>
    <row r="281" spans="1:13">
      <c r="A281" t="s">
        <v>28</v>
      </c>
      <c r="B281">
        <f ca="1">IF(OR(changes[[#This Row],[Type]]="Checklist",changes[[#This Row],[Type]]="checklist-flat"),1+IF(changes[[#This Row],[Type of change]] = "Edit",COUNTIFS($I$4:changes[[#This Row],[Name]],changes[[#This Row],[Name]], $E$4:changes[[#This Row],[Type of change]], "Edit")),B280)</f>
        <v>3</v>
      </c>
      <c r="C281" s="20">
        <v>44530</v>
      </c>
      <c r="D281" s="2" t="s">
        <v>2015</v>
      </c>
      <c r="E281" t="s">
        <v>15</v>
      </c>
      <c r="F281" s="14"/>
      <c r="G281" s="14" t="s">
        <v>248</v>
      </c>
      <c r="H281" t="s">
        <v>49</v>
      </c>
      <c r="I281" t="s">
        <v>269</v>
      </c>
      <c r="K281" s="3"/>
      <c r="M281" s="3"/>
    </row>
    <row r="282" spans="1:13">
      <c r="A282" t="s">
        <v>28</v>
      </c>
      <c r="B282">
        <f ca="1">IF(OR(changes[[#This Row],[Type]]="Checklist",changes[[#This Row],[Type]]="checklist-flat"),1+IF(changes[[#This Row],[Type of change]] = "Edit",COUNTIFS($I$4:changes[[#This Row],[Name]],changes[[#This Row],[Name]], $E$4:changes[[#This Row],[Type of change]], "Edit")),B281)</f>
        <v>3</v>
      </c>
      <c r="C282" s="20">
        <v>44530</v>
      </c>
      <c r="D282" s="2" t="s">
        <v>2015</v>
      </c>
      <c r="E282" t="s">
        <v>15</v>
      </c>
      <c r="F282" s="14"/>
      <c r="G282" s="14" t="s">
        <v>248</v>
      </c>
      <c r="H282" t="s">
        <v>49</v>
      </c>
      <c r="I282" t="s">
        <v>270</v>
      </c>
      <c r="K282" s="3"/>
      <c r="M282" s="3"/>
    </row>
    <row r="283" spans="1:13">
      <c r="A283" t="s">
        <v>28</v>
      </c>
      <c r="B283">
        <f ca="1">IF(OR(changes[[#This Row],[Type]]="Checklist",changes[[#This Row],[Type]]="checklist-flat"),1+IF(changes[[#This Row],[Type of change]] = "Edit",COUNTIFS($I$4:changes[[#This Row],[Name]],changes[[#This Row],[Name]], $E$4:changes[[#This Row],[Type of change]], "Edit")),B282)</f>
        <v>3</v>
      </c>
      <c r="C283" s="20">
        <v>44530</v>
      </c>
      <c r="D283" s="2" t="s">
        <v>2015</v>
      </c>
      <c r="E283" t="s">
        <v>15</v>
      </c>
      <c r="F283" s="14"/>
      <c r="G283" s="14" t="s">
        <v>248</v>
      </c>
      <c r="H283" t="s">
        <v>49</v>
      </c>
      <c r="I283" t="s">
        <v>271</v>
      </c>
      <c r="K283" s="3"/>
      <c r="M283" s="3"/>
    </row>
    <row r="284" spans="1:13">
      <c r="A284" t="s">
        <v>28</v>
      </c>
      <c r="B284">
        <f ca="1">IF(OR(changes[[#This Row],[Type]]="Checklist",changes[[#This Row],[Type]]="checklist-flat"),1+IF(changes[[#This Row],[Type of change]] = "Edit",COUNTIFS($I$4:changes[[#This Row],[Name]],changes[[#This Row],[Name]], $E$4:changes[[#This Row],[Type of change]], "Edit")),B283)</f>
        <v>3</v>
      </c>
      <c r="C284" s="20">
        <v>44530</v>
      </c>
      <c r="D284" s="2" t="s">
        <v>2015</v>
      </c>
      <c r="E284" t="s">
        <v>15</v>
      </c>
      <c r="F284" s="14"/>
      <c r="G284" s="14" t="s">
        <v>248</v>
      </c>
      <c r="H284" t="s">
        <v>49</v>
      </c>
      <c r="I284" t="s">
        <v>272</v>
      </c>
      <c r="K284" s="3"/>
      <c r="M284" s="3"/>
    </row>
    <row r="285" spans="1:13">
      <c r="A285" t="s">
        <v>28</v>
      </c>
      <c r="B285">
        <f ca="1">IF(OR(changes[[#This Row],[Type]]="Checklist",changes[[#This Row],[Type]]="checklist-flat"),1+IF(changes[[#This Row],[Type of change]] = "Edit",COUNTIFS($I$4:changes[[#This Row],[Name]],changes[[#This Row],[Name]], $E$4:changes[[#This Row],[Type of change]], "Edit")),B284)</f>
        <v>3</v>
      </c>
      <c r="C285" s="20">
        <v>44530</v>
      </c>
      <c r="D285" s="2" t="s">
        <v>2015</v>
      </c>
      <c r="E285" t="s">
        <v>15</v>
      </c>
      <c r="F285" s="14"/>
      <c r="G285" s="14" t="s">
        <v>248</v>
      </c>
      <c r="H285" t="s">
        <v>120</v>
      </c>
      <c r="I285" t="s">
        <v>273</v>
      </c>
      <c r="K285" s="3"/>
      <c r="M285" s="3"/>
    </row>
    <row r="286" spans="1:13">
      <c r="A286" t="s">
        <v>28</v>
      </c>
      <c r="B286">
        <f ca="1">IF(OR(changes[[#This Row],[Type]]="Checklist",changes[[#This Row],[Type]]="checklist-flat"),1+IF(changes[[#This Row],[Type of change]] = "Edit",COUNTIFS($I$4:changes[[#This Row],[Name]],changes[[#This Row],[Name]], $E$4:changes[[#This Row],[Type of change]], "Edit")),B285)</f>
        <v>3</v>
      </c>
      <c r="C286" s="20">
        <v>44530</v>
      </c>
      <c r="D286" s="2" t="s">
        <v>2015</v>
      </c>
      <c r="E286" t="s">
        <v>15</v>
      </c>
      <c r="F286" s="14"/>
      <c r="G286" s="14" t="s">
        <v>248</v>
      </c>
      <c r="H286" t="s">
        <v>49</v>
      </c>
      <c r="I286" t="s">
        <v>274</v>
      </c>
      <c r="K286" s="3"/>
      <c r="M286" s="3"/>
    </row>
    <row r="287" spans="1:13">
      <c r="A287" t="s">
        <v>28</v>
      </c>
      <c r="B287">
        <f ca="1">IF(OR(changes[[#This Row],[Type]]="Checklist",changes[[#This Row],[Type]]="checklist-flat"),1+IF(changes[[#This Row],[Type of change]] = "Edit",COUNTIFS($I$4:changes[[#This Row],[Name]],changes[[#This Row],[Name]], $E$4:changes[[#This Row],[Type of change]], "Edit")),B286)</f>
        <v>3</v>
      </c>
      <c r="C287" s="20">
        <v>44530</v>
      </c>
      <c r="D287" s="2" t="s">
        <v>2015</v>
      </c>
      <c r="E287" t="s">
        <v>15</v>
      </c>
      <c r="F287" s="14"/>
      <c r="G287" s="14" t="s">
        <v>248</v>
      </c>
      <c r="H287" t="s">
        <v>49</v>
      </c>
      <c r="I287" t="s">
        <v>275</v>
      </c>
      <c r="K287" s="3"/>
      <c r="M287" s="3"/>
    </row>
    <row r="288" spans="1:13">
      <c r="A288" t="s">
        <v>28</v>
      </c>
      <c r="B288">
        <f ca="1">IF(OR(changes[[#This Row],[Type]]="Checklist",changes[[#This Row],[Type]]="checklist-flat"),1+IF(changes[[#This Row],[Type of change]] = "Edit",COUNTIFS($I$4:changes[[#This Row],[Name]],changes[[#This Row],[Name]], $E$4:changes[[#This Row],[Type of change]], "Edit")),B287)</f>
        <v>3</v>
      </c>
      <c r="C288" s="20">
        <v>44530</v>
      </c>
      <c r="D288" s="2" t="s">
        <v>2015</v>
      </c>
      <c r="E288" t="s">
        <v>15</v>
      </c>
      <c r="F288" s="14"/>
      <c r="G288" s="14" t="s">
        <v>248</v>
      </c>
      <c r="H288" t="s">
        <v>49</v>
      </c>
      <c r="I288" t="s">
        <v>276</v>
      </c>
      <c r="K288" s="3"/>
      <c r="M288" s="3"/>
    </row>
    <row r="289" spans="1:13">
      <c r="A289" t="s">
        <v>28</v>
      </c>
      <c r="B289">
        <f ca="1">IF(OR(changes[[#This Row],[Type]]="Checklist",changes[[#This Row],[Type]]="checklist-flat"),1+IF(changes[[#This Row],[Type of change]] = "Edit",COUNTIFS($I$4:changes[[#This Row],[Name]],changes[[#This Row],[Name]], $E$4:changes[[#This Row],[Type of change]], "Edit")),B288)</f>
        <v>3</v>
      </c>
      <c r="C289" s="20">
        <v>44530</v>
      </c>
      <c r="D289" s="2" t="s">
        <v>2015</v>
      </c>
      <c r="E289" t="s">
        <v>15</v>
      </c>
      <c r="F289" s="14"/>
      <c r="G289" s="14" t="s">
        <v>248</v>
      </c>
      <c r="H289" t="s">
        <v>49</v>
      </c>
      <c r="I289" t="s">
        <v>277</v>
      </c>
      <c r="K289" s="3"/>
      <c r="M289" s="3"/>
    </row>
    <row r="290" spans="1:13">
      <c r="A290" t="s">
        <v>28</v>
      </c>
      <c r="B290">
        <f ca="1">IF(OR(changes[[#This Row],[Type]]="Checklist",changes[[#This Row],[Type]]="checklist-flat"),1+IF(changes[[#This Row],[Type of change]] = "Edit",COUNTIFS($I$4:changes[[#This Row],[Name]],changes[[#This Row],[Name]], $E$4:changes[[#This Row],[Type of change]], "Edit")),B289)</f>
        <v>3</v>
      </c>
      <c r="C290" s="20">
        <v>44530</v>
      </c>
      <c r="D290" s="2" t="s">
        <v>2015</v>
      </c>
      <c r="E290" t="s">
        <v>15</v>
      </c>
      <c r="F290" s="14"/>
      <c r="G290" s="14" t="s">
        <v>248</v>
      </c>
      <c r="H290" t="s">
        <v>120</v>
      </c>
      <c r="I290" t="s">
        <v>278</v>
      </c>
      <c r="K290" s="3"/>
      <c r="M290" s="3"/>
    </row>
    <row r="291" spans="1:13">
      <c r="A291" t="s">
        <v>28</v>
      </c>
      <c r="B291">
        <f ca="1">IF(OR(changes[[#This Row],[Type]]="Checklist",changes[[#This Row],[Type]]="checklist-flat"),1+IF(changes[[#This Row],[Type of change]] = "Edit",COUNTIFS($I$4:changes[[#This Row],[Name]],changes[[#This Row],[Name]], $E$4:changes[[#This Row],[Type of change]], "Edit")),B290)</f>
        <v>3</v>
      </c>
      <c r="C291" s="20">
        <v>44530</v>
      </c>
      <c r="D291" s="2" t="s">
        <v>2015</v>
      </c>
      <c r="E291" t="s">
        <v>15</v>
      </c>
      <c r="F291" s="14"/>
      <c r="G291" s="14" t="s">
        <v>248</v>
      </c>
      <c r="H291" t="s">
        <v>49</v>
      </c>
      <c r="I291" t="s">
        <v>279</v>
      </c>
      <c r="K291" s="3"/>
      <c r="M291" s="3"/>
    </row>
    <row r="292" spans="1:13">
      <c r="A292" t="s">
        <v>28</v>
      </c>
      <c r="B292">
        <f ca="1">IF(OR(changes[[#This Row],[Type]]="Checklist",changes[[#This Row],[Type]]="checklist-flat"),1+IF(changes[[#This Row],[Type of change]] = "Edit",COUNTIFS($I$4:changes[[#This Row],[Name]],changes[[#This Row],[Name]], $E$4:changes[[#This Row],[Type of change]], "Edit")),B291)</f>
        <v>3</v>
      </c>
      <c r="C292" s="20">
        <v>44530</v>
      </c>
      <c r="D292" s="2" t="s">
        <v>2015</v>
      </c>
      <c r="E292" t="s">
        <v>15</v>
      </c>
      <c r="F292" s="14"/>
      <c r="G292" s="14" t="s">
        <v>248</v>
      </c>
      <c r="H292" t="s">
        <v>124</v>
      </c>
      <c r="I292" t="s">
        <v>280</v>
      </c>
      <c r="K292" s="3"/>
      <c r="M292" s="3"/>
    </row>
    <row r="293" spans="1:13">
      <c r="A293" t="s">
        <v>28</v>
      </c>
      <c r="B293">
        <f ca="1">IF(OR(changes[[#This Row],[Type]]="Checklist",changes[[#This Row],[Type]]="checklist-flat"),1+IF(changes[[#This Row],[Type of change]] = "Edit",COUNTIFS($I$4:changes[[#This Row],[Name]],changes[[#This Row],[Name]], $E$4:changes[[#This Row],[Type of change]], "Edit")),B292)</f>
        <v>3</v>
      </c>
      <c r="C293" s="20">
        <v>44530</v>
      </c>
      <c r="D293" s="2" t="s">
        <v>2015</v>
      </c>
      <c r="E293" t="s">
        <v>15</v>
      </c>
      <c r="F293" s="14"/>
      <c r="G293" s="14" t="s">
        <v>248</v>
      </c>
      <c r="H293" t="s">
        <v>124</v>
      </c>
      <c r="I293" t="s">
        <v>281</v>
      </c>
      <c r="J293" t="s">
        <v>282</v>
      </c>
      <c r="K293" s="3"/>
      <c r="M293" s="3"/>
    </row>
    <row r="294" spans="1:13">
      <c r="A294" t="s">
        <v>28</v>
      </c>
      <c r="B294">
        <f ca="1">IF(OR(changes[[#This Row],[Type]]="Checklist",changes[[#This Row],[Type]]="checklist-flat"),1+IF(changes[[#This Row],[Type of change]] = "Edit",COUNTIFS($I$4:changes[[#This Row],[Name]],changes[[#This Row],[Name]], $E$4:changes[[#This Row],[Type of change]], "Edit")),B293)</f>
        <v>3</v>
      </c>
      <c r="C294" s="20">
        <v>44530</v>
      </c>
      <c r="D294" s="2" t="s">
        <v>2015</v>
      </c>
      <c r="E294" t="s">
        <v>15</v>
      </c>
      <c r="F294" s="14"/>
      <c r="G294" s="14" t="s">
        <v>248</v>
      </c>
      <c r="H294" t="s">
        <v>124</v>
      </c>
      <c r="I294" t="s">
        <v>283</v>
      </c>
      <c r="J294" t="s">
        <v>282</v>
      </c>
      <c r="K294" s="3"/>
      <c r="M294" s="3"/>
    </row>
    <row r="295" spans="1:13">
      <c r="A295" t="s">
        <v>28</v>
      </c>
      <c r="B295">
        <f ca="1">IF(OR(changes[[#This Row],[Type]]="Checklist",changes[[#This Row],[Type]]="checklist-flat"),1+IF(changes[[#This Row],[Type of change]] = "Edit",COUNTIFS($I$4:changes[[#This Row],[Name]],changes[[#This Row],[Name]], $E$4:changes[[#This Row],[Type of change]], "Edit")),B294)</f>
        <v>3</v>
      </c>
      <c r="C295" s="20">
        <v>44530</v>
      </c>
      <c r="D295" s="2" t="s">
        <v>2015</v>
      </c>
      <c r="E295" t="s">
        <v>15</v>
      </c>
      <c r="F295" s="14"/>
      <c r="G295" s="14" t="s">
        <v>248</v>
      </c>
      <c r="H295" t="s">
        <v>124</v>
      </c>
      <c r="I295" t="s">
        <v>284</v>
      </c>
      <c r="J295" t="s">
        <v>285</v>
      </c>
      <c r="K295" s="3"/>
      <c r="M295" s="3"/>
    </row>
    <row r="296" spans="1:13">
      <c r="A296" t="s">
        <v>28</v>
      </c>
      <c r="B296">
        <f ca="1">IF(OR(changes[[#This Row],[Type]]="Checklist",changes[[#This Row],[Type]]="checklist-flat"),1+IF(changes[[#This Row],[Type of change]] = "Edit",COUNTIFS($I$4:changes[[#This Row],[Name]],changes[[#This Row],[Name]], $E$4:changes[[#This Row],[Type of change]], "Edit")),B295)</f>
        <v>3</v>
      </c>
      <c r="C296" s="20">
        <v>44530</v>
      </c>
      <c r="D296" s="2" t="s">
        <v>2015</v>
      </c>
      <c r="E296" t="s">
        <v>15</v>
      </c>
      <c r="F296" s="14"/>
      <c r="G296" s="14" t="s">
        <v>248</v>
      </c>
      <c r="H296" t="s">
        <v>131</v>
      </c>
      <c r="I296" t="s">
        <v>286</v>
      </c>
      <c r="K296" s="3"/>
      <c r="M296" s="3"/>
    </row>
    <row r="297" spans="1:13">
      <c r="A297" t="s">
        <v>28</v>
      </c>
      <c r="B297">
        <f ca="1">IF(OR(changes[[#This Row],[Type]]="Checklist",changes[[#This Row],[Type]]="checklist-flat"),1+IF(changes[[#This Row],[Type of change]] = "Edit",COUNTIFS($I$4:changes[[#This Row],[Name]],changes[[#This Row],[Name]], $E$4:changes[[#This Row],[Type of change]], "Edit")),B296)</f>
        <v>3</v>
      </c>
      <c r="C297" s="20">
        <v>44530</v>
      </c>
      <c r="D297" s="2" t="s">
        <v>2015</v>
      </c>
      <c r="E297" t="s">
        <v>15</v>
      </c>
      <c r="F297" s="14"/>
      <c r="G297" s="14" t="s">
        <v>248</v>
      </c>
      <c r="H297" t="s">
        <v>49</v>
      </c>
      <c r="I297" t="s">
        <v>288</v>
      </c>
      <c r="K297" s="3"/>
      <c r="M297" s="3"/>
    </row>
    <row r="298" spans="1:13">
      <c r="A298" t="s">
        <v>28</v>
      </c>
      <c r="B298">
        <f ca="1">IF(OR(changes[[#This Row],[Type]]="Checklist",changes[[#This Row],[Type]]="checklist-flat"),1+IF(changes[[#This Row],[Type of change]] = "Edit",COUNTIFS($I$4:changes[[#This Row],[Name]],changes[[#This Row],[Name]], $E$4:changes[[#This Row],[Type of change]], "Edit")),B297)</f>
        <v>3</v>
      </c>
      <c r="C298" s="20">
        <v>44530</v>
      </c>
      <c r="D298" s="2" t="s">
        <v>2015</v>
      </c>
      <c r="E298" t="s">
        <v>15</v>
      </c>
      <c r="F298" s="14"/>
      <c r="G298" s="14" t="s">
        <v>248</v>
      </c>
      <c r="H298" t="s">
        <v>49</v>
      </c>
      <c r="I298" t="s">
        <v>289</v>
      </c>
      <c r="K298" s="3"/>
      <c r="M298" s="3"/>
    </row>
    <row r="299" spans="1:13">
      <c r="A299" t="s">
        <v>28</v>
      </c>
      <c r="B299">
        <f ca="1">IF(OR(changes[[#This Row],[Type]]="Checklist",changes[[#This Row],[Type]]="checklist-flat"),1+IF(changes[[#This Row],[Type of change]] = "Edit",COUNTIFS($I$4:changes[[#This Row],[Name]],changes[[#This Row],[Name]], $E$4:changes[[#This Row],[Type of change]], "Edit")),B298)</f>
        <v>3</v>
      </c>
      <c r="C299" s="20">
        <v>44530</v>
      </c>
      <c r="D299" s="2" t="s">
        <v>2015</v>
      </c>
      <c r="E299" t="s">
        <v>15</v>
      </c>
      <c r="F299" s="14"/>
      <c r="G299" s="14" t="s">
        <v>248</v>
      </c>
      <c r="H299" t="s">
        <v>120</v>
      </c>
      <c r="I299" t="s">
        <v>290</v>
      </c>
      <c r="K299" s="3"/>
      <c r="M299" s="3"/>
    </row>
    <row r="300" spans="1:13">
      <c r="A300" t="s">
        <v>28</v>
      </c>
      <c r="B300">
        <f ca="1">IF(OR(changes[[#This Row],[Type]]="Checklist",changes[[#This Row],[Type]]="checklist-flat"),1+IF(changes[[#This Row],[Type of change]] = "Edit",COUNTIFS($I$4:changes[[#This Row],[Name]],changes[[#This Row],[Name]], $E$4:changes[[#This Row],[Type of change]], "Edit")),B299)</f>
        <v>3</v>
      </c>
      <c r="C300" s="20">
        <v>44530</v>
      </c>
      <c r="D300" s="2" t="s">
        <v>2015</v>
      </c>
      <c r="E300" t="s">
        <v>15</v>
      </c>
      <c r="F300" s="14"/>
      <c r="G300" s="14" t="s">
        <v>248</v>
      </c>
      <c r="H300" t="s">
        <v>49</v>
      </c>
      <c r="I300" t="s">
        <v>291</v>
      </c>
      <c r="K300" s="3"/>
      <c r="M300" s="3"/>
    </row>
    <row r="301" spans="1:13">
      <c r="A301" t="s">
        <v>28</v>
      </c>
      <c r="B301">
        <f ca="1">IF(OR(changes[[#This Row],[Type]]="Checklist",changes[[#This Row],[Type]]="checklist-flat"),1+IF(changes[[#This Row],[Type of change]] = "Edit",COUNTIFS($I$4:changes[[#This Row],[Name]],changes[[#This Row],[Name]], $E$4:changes[[#This Row],[Type of change]], "Edit")),B300)</f>
        <v>3</v>
      </c>
      <c r="C301" s="20">
        <v>44530</v>
      </c>
      <c r="D301" s="2" t="s">
        <v>2015</v>
      </c>
      <c r="E301" t="s">
        <v>15</v>
      </c>
      <c r="F301" s="14"/>
      <c r="G301" s="14" t="s">
        <v>248</v>
      </c>
      <c r="H301" t="s">
        <v>49</v>
      </c>
      <c r="I301" t="s">
        <v>292</v>
      </c>
      <c r="K301" s="3"/>
      <c r="M301" s="3"/>
    </row>
    <row r="302" spans="1:13">
      <c r="A302" t="s">
        <v>28</v>
      </c>
      <c r="B302">
        <f ca="1">IF(OR(changes[[#This Row],[Type]]="Checklist",changes[[#This Row],[Type]]="checklist-flat"),1+IF(changes[[#This Row],[Type of change]] = "Edit",COUNTIFS($I$4:changes[[#This Row],[Name]],changes[[#This Row],[Name]], $E$4:changes[[#This Row],[Type of change]], "Edit")),B301)</f>
        <v>3</v>
      </c>
      <c r="C302" s="20">
        <v>44530</v>
      </c>
      <c r="D302" s="2" t="s">
        <v>2015</v>
      </c>
      <c r="E302" t="s">
        <v>15</v>
      </c>
      <c r="F302" s="14"/>
      <c r="G302" s="14" t="s">
        <v>248</v>
      </c>
      <c r="H302" t="s">
        <v>131</v>
      </c>
      <c r="I302" t="s">
        <v>293</v>
      </c>
      <c r="K302" s="3"/>
      <c r="M302" s="3"/>
    </row>
    <row r="303" spans="1:13">
      <c r="A303" t="s">
        <v>28</v>
      </c>
      <c r="B303">
        <f ca="1">IF(OR(changes[[#This Row],[Type]]="Checklist",changes[[#This Row],[Type]]="checklist-flat"),1+IF(changes[[#This Row],[Type of change]] = "Edit",COUNTIFS($I$4:changes[[#This Row],[Name]],changes[[#This Row],[Name]], $E$4:changes[[#This Row],[Type of change]], "Edit")),B302)</f>
        <v>3</v>
      </c>
      <c r="C303" s="20">
        <v>44530</v>
      </c>
      <c r="D303" s="2" t="s">
        <v>2015</v>
      </c>
      <c r="E303" t="s">
        <v>15</v>
      </c>
      <c r="F303" s="14"/>
      <c r="G303" s="14" t="s">
        <v>248</v>
      </c>
      <c r="H303" t="s">
        <v>49</v>
      </c>
      <c r="I303" t="s">
        <v>294</v>
      </c>
      <c r="K303" s="3"/>
      <c r="M303" s="3"/>
    </row>
    <row r="304" spans="1:13">
      <c r="A304" t="s">
        <v>28</v>
      </c>
      <c r="B304">
        <f ca="1">IF(OR(changes[[#This Row],[Type]]="Checklist",changes[[#This Row],[Type]]="checklist-flat"),1+IF(changes[[#This Row],[Type of change]] = "Edit",COUNTIFS($I$4:changes[[#This Row],[Name]],changes[[#This Row],[Name]], $E$4:changes[[#This Row],[Type of change]], "Edit")),B303)</f>
        <v>3</v>
      </c>
      <c r="C304" s="20">
        <v>44530</v>
      </c>
      <c r="D304" s="2" t="s">
        <v>2015</v>
      </c>
      <c r="E304" t="s">
        <v>15</v>
      </c>
      <c r="F304" s="14"/>
      <c r="G304" s="14" t="s">
        <v>248</v>
      </c>
      <c r="H304" t="s">
        <v>49</v>
      </c>
      <c r="I304" t="s">
        <v>295</v>
      </c>
      <c r="K304" s="3"/>
      <c r="M304" s="3"/>
    </row>
    <row r="305" spans="1:13">
      <c r="A305" t="s">
        <v>28</v>
      </c>
      <c r="B305">
        <f ca="1">IF(OR(changes[[#This Row],[Type]]="Checklist",changes[[#This Row],[Type]]="checklist-flat"),1+IF(changes[[#This Row],[Type of change]] = "Edit",COUNTIFS($I$4:changes[[#This Row],[Name]],changes[[#This Row],[Name]], $E$4:changes[[#This Row],[Type of change]], "Edit")),B304)</f>
        <v>3</v>
      </c>
      <c r="C305" s="20">
        <v>44530</v>
      </c>
      <c r="D305" s="2" t="s">
        <v>2015</v>
      </c>
      <c r="E305" t="s">
        <v>15</v>
      </c>
      <c r="F305" s="14"/>
      <c r="G305" s="14" t="s">
        <v>248</v>
      </c>
      <c r="H305" t="s">
        <v>49</v>
      </c>
      <c r="I305" t="s">
        <v>296</v>
      </c>
      <c r="K305" s="3"/>
      <c r="M305" s="3"/>
    </row>
    <row r="306" spans="1:13">
      <c r="A306" t="s">
        <v>28</v>
      </c>
      <c r="B306">
        <f ca="1">IF(OR(changes[[#This Row],[Type]]="Checklist",changes[[#This Row],[Type]]="checklist-flat"),1+IF(changes[[#This Row],[Type of change]] = "Edit",COUNTIFS($I$4:changes[[#This Row],[Name]],changes[[#This Row],[Name]], $E$4:changes[[#This Row],[Type of change]], "Edit")),B305)</f>
        <v>3</v>
      </c>
      <c r="C306" s="20">
        <v>44530</v>
      </c>
      <c r="D306" s="2" t="s">
        <v>2015</v>
      </c>
      <c r="E306" t="s">
        <v>15</v>
      </c>
      <c r="F306" s="14"/>
      <c r="G306" s="14" t="s">
        <v>248</v>
      </c>
      <c r="H306" t="s">
        <v>120</v>
      </c>
      <c r="I306" t="s">
        <v>297</v>
      </c>
      <c r="K306" s="3"/>
      <c r="M306" s="3"/>
    </row>
    <row r="307" spans="1:13">
      <c r="A307" t="s">
        <v>28</v>
      </c>
      <c r="B307">
        <f ca="1">IF(OR(changes[[#This Row],[Type]]="Checklist",changes[[#This Row],[Type]]="checklist-flat"),1+IF(changes[[#This Row],[Type of change]] = "Edit",COUNTIFS($I$4:changes[[#This Row],[Name]],changes[[#This Row],[Name]], $E$4:changes[[#This Row],[Type of change]], "Edit")),B306)</f>
        <v>3</v>
      </c>
      <c r="C307" s="20">
        <v>44530</v>
      </c>
      <c r="D307" s="2" t="s">
        <v>2015</v>
      </c>
      <c r="E307" t="s">
        <v>15</v>
      </c>
      <c r="F307" s="14"/>
      <c r="G307" s="14" t="s">
        <v>248</v>
      </c>
      <c r="H307" t="s">
        <v>49</v>
      </c>
      <c r="I307" t="s">
        <v>298</v>
      </c>
      <c r="K307" s="3"/>
      <c r="M307" s="3"/>
    </row>
    <row r="308" spans="1:13">
      <c r="A308" t="s">
        <v>28</v>
      </c>
      <c r="B308">
        <f ca="1">IF(OR(changes[[#This Row],[Type]]="Checklist",changes[[#This Row],[Type]]="checklist-flat"),1+IF(changes[[#This Row],[Type of change]] = "Edit",COUNTIFS($I$4:changes[[#This Row],[Name]],changes[[#This Row],[Name]], $E$4:changes[[#This Row],[Type of change]], "Edit")),B307)</f>
        <v>3</v>
      </c>
      <c r="C308" s="20">
        <v>44530</v>
      </c>
      <c r="D308" s="2" t="s">
        <v>2015</v>
      </c>
      <c r="E308" t="s">
        <v>15</v>
      </c>
      <c r="F308" s="14"/>
      <c r="G308" s="14" t="s">
        <v>248</v>
      </c>
      <c r="H308" t="s">
        <v>58</v>
      </c>
      <c r="I308" t="s">
        <v>299</v>
      </c>
      <c r="K308" s="3"/>
      <c r="M308" s="3"/>
    </row>
    <row r="309" spans="1:13">
      <c r="A309" t="s">
        <v>28</v>
      </c>
      <c r="B309">
        <f ca="1">IF(OR(changes[[#This Row],[Type]]="Checklist",changes[[#This Row],[Type]]="checklist-flat"),1+IF(changes[[#This Row],[Type of change]] = "Edit",COUNTIFS($I$4:changes[[#This Row],[Name]],changes[[#This Row],[Name]], $E$4:changes[[#This Row],[Type of change]], "Edit")),B308)</f>
        <v>3</v>
      </c>
      <c r="C309" s="20">
        <v>44530</v>
      </c>
      <c r="D309" s="2" t="s">
        <v>2015</v>
      </c>
      <c r="E309" t="s">
        <v>15</v>
      </c>
      <c r="F309" s="14"/>
      <c r="G309" s="14" t="s">
        <v>248</v>
      </c>
      <c r="H309" t="s">
        <v>49</v>
      </c>
      <c r="I309" t="s">
        <v>300</v>
      </c>
      <c r="K309" s="3"/>
      <c r="M309" s="3"/>
    </row>
    <row r="310" spans="1:13">
      <c r="A310" t="s">
        <v>28</v>
      </c>
      <c r="B310">
        <f ca="1">IF(OR(changes[[#This Row],[Type]]="Checklist",changes[[#This Row],[Type]]="checklist-flat"),1+IF(changes[[#This Row],[Type of change]] = "Edit",COUNTIFS($I$4:changes[[#This Row],[Name]],changes[[#This Row],[Name]], $E$4:changes[[#This Row],[Type of change]], "Edit")),B309)</f>
        <v>2</v>
      </c>
      <c r="C310" s="20">
        <v>44530</v>
      </c>
      <c r="D310" s="2" t="s">
        <v>2015</v>
      </c>
      <c r="E310" t="s">
        <v>15</v>
      </c>
      <c r="F310" s="14"/>
      <c r="G310" s="14" t="s">
        <v>355</v>
      </c>
      <c r="H310" t="s">
        <v>48</v>
      </c>
      <c r="I310" t="s">
        <v>355</v>
      </c>
      <c r="K310" s="3"/>
      <c r="M310" s="3"/>
    </row>
    <row r="311" spans="1:13">
      <c r="A311" t="s">
        <v>28</v>
      </c>
      <c r="B311">
        <f ca="1">IF(OR(changes[[#This Row],[Type]]="Checklist",changes[[#This Row],[Type]]="checklist-flat"),1+IF(changes[[#This Row],[Type of change]] = "Edit",COUNTIFS($I$4:changes[[#This Row],[Name]],changes[[#This Row],[Name]], $E$4:changes[[#This Row],[Type of change]], "Edit")),B310)</f>
        <v>2</v>
      </c>
      <c r="C311" s="20">
        <v>44530</v>
      </c>
      <c r="D311" s="2" t="s">
        <v>2015</v>
      </c>
      <c r="E311" t="s">
        <v>15</v>
      </c>
      <c r="F311" s="14"/>
      <c r="G311" s="14" t="s">
        <v>355</v>
      </c>
      <c r="H311" t="s">
        <v>49</v>
      </c>
      <c r="I311" t="s">
        <v>339</v>
      </c>
      <c r="K311" s="3"/>
      <c r="M311" s="3"/>
    </row>
    <row r="312" spans="1:13">
      <c r="A312" t="s">
        <v>28</v>
      </c>
      <c r="B312">
        <f ca="1">IF(OR(changes[[#This Row],[Type]]="Checklist",changes[[#This Row],[Type]]="checklist-flat"),1+IF(changes[[#This Row],[Type of change]] = "Edit",COUNTIFS($I$4:changes[[#This Row],[Name]],changes[[#This Row],[Name]], $E$4:changes[[#This Row],[Type of change]], "Edit")),B311)</f>
        <v>2</v>
      </c>
      <c r="C312" s="20">
        <v>44530</v>
      </c>
      <c r="D312" s="2" t="s">
        <v>2015</v>
      </c>
      <c r="E312" t="s">
        <v>15</v>
      </c>
      <c r="F312" s="14"/>
      <c r="G312" s="14" t="s">
        <v>355</v>
      </c>
      <c r="H312" t="s">
        <v>49</v>
      </c>
      <c r="I312" t="s">
        <v>265</v>
      </c>
      <c r="K312" s="3"/>
      <c r="M312" s="3"/>
    </row>
    <row r="313" spans="1:13">
      <c r="A313" t="s">
        <v>28</v>
      </c>
      <c r="B313">
        <f ca="1">IF(OR(changes[[#This Row],[Type]]="Checklist",changes[[#This Row],[Type]]="checklist-flat"),1+IF(changes[[#This Row],[Type of change]] = "Edit",COUNTIFS($I$4:changes[[#This Row],[Name]],changes[[#This Row],[Name]], $E$4:changes[[#This Row],[Type of change]], "Edit")),B312)</f>
        <v>2</v>
      </c>
      <c r="C313" s="20">
        <v>44530</v>
      </c>
      <c r="D313" s="2" t="s">
        <v>2015</v>
      </c>
      <c r="E313" t="s">
        <v>15</v>
      </c>
      <c r="F313" s="14"/>
      <c r="G313" s="14" t="s">
        <v>355</v>
      </c>
      <c r="H313" t="s">
        <v>49</v>
      </c>
      <c r="I313" t="s">
        <v>340</v>
      </c>
      <c r="K313" s="3"/>
      <c r="M313" s="3"/>
    </row>
    <row r="314" spans="1:13">
      <c r="A314" t="s">
        <v>28</v>
      </c>
      <c r="B314">
        <f ca="1">IF(OR(changes[[#This Row],[Type]]="Checklist",changes[[#This Row],[Type]]="checklist-flat"),1+IF(changes[[#This Row],[Type of change]] = "Edit",COUNTIFS($I$4:changes[[#This Row],[Name]],changes[[#This Row],[Name]], $E$4:changes[[#This Row],[Type of change]], "Edit")),B313)</f>
        <v>2</v>
      </c>
      <c r="C314" s="20">
        <v>44530</v>
      </c>
      <c r="D314" s="2" t="s">
        <v>2015</v>
      </c>
      <c r="E314" t="s">
        <v>15</v>
      </c>
      <c r="F314" s="14"/>
      <c r="G314" s="14" t="s">
        <v>355</v>
      </c>
      <c r="H314" t="s">
        <v>49</v>
      </c>
      <c r="I314" t="s">
        <v>356</v>
      </c>
      <c r="K314" s="3"/>
      <c r="M314" s="3"/>
    </row>
    <row r="315" spans="1:13">
      <c r="A315" t="s">
        <v>28</v>
      </c>
      <c r="B315">
        <f ca="1">IF(OR(changes[[#This Row],[Type]]="Checklist",changes[[#This Row],[Type]]="checklist-flat"),1+IF(changes[[#This Row],[Type of change]] = "Edit",COUNTIFS($I$4:changes[[#This Row],[Name]],changes[[#This Row],[Name]], $E$4:changes[[#This Row],[Type of change]], "Edit")),B314)</f>
        <v>2</v>
      </c>
      <c r="C315" s="20">
        <v>44530</v>
      </c>
      <c r="D315" s="2" t="s">
        <v>2015</v>
      </c>
      <c r="E315" t="s">
        <v>15</v>
      </c>
      <c r="F315" s="14"/>
      <c r="G315" s="14" t="s">
        <v>355</v>
      </c>
      <c r="H315" t="s">
        <v>49</v>
      </c>
      <c r="I315" t="s">
        <v>357</v>
      </c>
      <c r="K315" s="3"/>
      <c r="M315" s="3"/>
    </row>
    <row r="316" spans="1:13">
      <c r="A316" t="s">
        <v>28</v>
      </c>
      <c r="B316">
        <f ca="1">IF(OR(changes[[#This Row],[Type]]="Checklist",changes[[#This Row],[Type]]="checklist-flat"),1+IF(changes[[#This Row],[Type of change]] = "Edit",COUNTIFS($I$4:changes[[#This Row],[Name]],changes[[#This Row],[Name]], $E$4:changes[[#This Row],[Type of change]], "Edit")),B315)</f>
        <v>2</v>
      </c>
      <c r="C316" s="20">
        <v>44530</v>
      </c>
      <c r="D316" s="2" t="s">
        <v>2015</v>
      </c>
      <c r="E316" t="s">
        <v>15</v>
      </c>
      <c r="F316" s="14"/>
      <c r="G316" s="14" t="s">
        <v>355</v>
      </c>
      <c r="H316" t="s">
        <v>49</v>
      </c>
      <c r="I316" t="s">
        <v>358</v>
      </c>
      <c r="K316" s="3"/>
      <c r="M316" s="3"/>
    </row>
    <row r="317" spans="1:13">
      <c r="A317" t="s">
        <v>28</v>
      </c>
      <c r="B317">
        <f ca="1">IF(OR(changes[[#This Row],[Type]]="Checklist",changes[[#This Row],[Type]]="checklist-flat"),1+IF(changes[[#This Row],[Type of change]] = "Edit",COUNTIFS($I$4:changes[[#This Row],[Name]],changes[[#This Row],[Name]], $E$4:changes[[#This Row],[Type of change]], "Edit")),B316)</f>
        <v>2</v>
      </c>
      <c r="C317" s="20">
        <v>44530</v>
      </c>
      <c r="D317" s="2" t="s">
        <v>2015</v>
      </c>
      <c r="E317" t="s">
        <v>15</v>
      </c>
      <c r="F317" s="14"/>
      <c r="G317" s="14" t="s">
        <v>359</v>
      </c>
      <c r="H317" t="s">
        <v>119</v>
      </c>
      <c r="I317" t="s">
        <v>359</v>
      </c>
      <c r="K317" s="3"/>
      <c r="M317" s="3"/>
    </row>
    <row r="318" spans="1:13">
      <c r="A318" t="s">
        <v>28</v>
      </c>
      <c r="B318">
        <f ca="1">IF(OR(changes[[#This Row],[Type]]="Checklist",changes[[#This Row],[Type]]="checklist-flat"),1+IF(changes[[#This Row],[Type of change]] = "Edit",COUNTIFS($I$4:changes[[#This Row],[Name]],changes[[#This Row],[Name]], $E$4:changes[[#This Row],[Type of change]], "Edit")),B317)</f>
        <v>2</v>
      </c>
      <c r="C318" s="20">
        <v>44530</v>
      </c>
      <c r="D318" s="2" t="s">
        <v>2015</v>
      </c>
      <c r="E318" t="s">
        <v>15</v>
      </c>
      <c r="F318" s="14"/>
      <c r="G318" s="14" t="s">
        <v>359</v>
      </c>
      <c r="H318" t="s">
        <v>120</v>
      </c>
      <c r="I318" t="s">
        <v>360</v>
      </c>
      <c r="K318" s="3"/>
      <c r="M318" s="3"/>
    </row>
    <row r="319" spans="1:13">
      <c r="A319" t="s">
        <v>28</v>
      </c>
      <c r="B319">
        <f ca="1">IF(OR(changes[[#This Row],[Type]]="Checklist",changes[[#This Row],[Type]]="checklist-flat"),1+IF(changes[[#This Row],[Type of change]] = "Edit",COUNTIFS($I$4:changes[[#This Row],[Name]],changes[[#This Row],[Name]], $E$4:changes[[#This Row],[Type of change]], "Edit")),B318)</f>
        <v>2</v>
      </c>
      <c r="C319" s="20">
        <v>44530</v>
      </c>
      <c r="D319" s="2" t="s">
        <v>2015</v>
      </c>
      <c r="E319" t="s">
        <v>15</v>
      </c>
      <c r="F319" s="14"/>
      <c r="G319" s="14" t="s">
        <v>359</v>
      </c>
      <c r="H319" t="s">
        <v>49</v>
      </c>
      <c r="I319" t="s">
        <v>361</v>
      </c>
      <c r="K319" s="3"/>
      <c r="M319" s="3"/>
    </row>
    <row r="320" spans="1:13">
      <c r="A320" t="s">
        <v>28</v>
      </c>
      <c r="B320">
        <f ca="1">IF(OR(changes[[#This Row],[Type]]="Checklist",changes[[#This Row],[Type]]="checklist-flat"),1+IF(changes[[#This Row],[Type of change]] = "Edit",COUNTIFS($I$4:changes[[#This Row],[Name]],changes[[#This Row],[Name]], $E$4:changes[[#This Row],[Type of change]], "Edit")),B319)</f>
        <v>2</v>
      </c>
      <c r="C320" s="20">
        <v>44530</v>
      </c>
      <c r="D320" s="2" t="s">
        <v>2015</v>
      </c>
      <c r="E320" t="s">
        <v>15</v>
      </c>
      <c r="F320" s="14"/>
      <c r="G320" s="14" t="s">
        <v>359</v>
      </c>
      <c r="H320" t="s">
        <v>49</v>
      </c>
      <c r="I320" t="s">
        <v>362</v>
      </c>
      <c r="K320" s="3"/>
      <c r="M320" s="3"/>
    </row>
    <row r="321" spans="1:13">
      <c r="A321" t="s">
        <v>28</v>
      </c>
      <c r="B321">
        <f ca="1">IF(OR(changes[[#This Row],[Type]]="Checklist",changes[[#This Row],[Type]]="checklist-flat"),1+IF(changes[[#This Row],[Type of change]] = "Edit",COUNTIFS($I$4:changes[[#This Row],[Name]],changes[[#This Row],[Name]], $E$4:changes[[#This Row],[Type of change]], "Edit")),B320)</f>
        <v>2</v>
      </c>
      <c r="C321" s="20">
        <v>44530</v>
      </c>
      <c r="D321" s="2" t="s">
        <v>2015</v>
      </c>
      <c r="E321" t="s">
        <v>15</v>
      </c>
      <c r="F321" s="14"/>
      <c r="G321" s="14" t="s">
        <v>359</v>
      </c>
      <c r="H321" t="s">
        <v>49</v>
      </c>
      <c r="I321" t="s">
        <v>363</v>
      </c>
      <c r="K321" s="3"/>
      <c r="M321" s="3"/>
    </row>
    <row r="322" spans="1:13">
      <c r="A322" t="s">
        <v>28</v>
      </c>
      <c r="B322">
        <f ca="1">IF(OR(changes[[#This Row],[Type]]="Checklist",changes[[#This Row],[Type]]="checklist-flat"),1+IF(changes[[#This Row],[Type of change]] = "Edit",COUNTIFS($I$4:changes[[#This Row],[Name]],changes[[#This Row],[Name]], $E$4:changes[[#This Row],[Type of change]], "Edit")),B321)</f>
        <v>2</v>
      </c>
      <c r="C322" s="20">
        <v>44530</v>
      </c>
      <c r="D322" s="2" t="s">
        <v>2015</v>
      </c>
      <c r="E322" t="s">
        <v>15</v>
      </c>
      <c r="F322" s="14"/>
      <c r="G322" s="14" t="s">
        <v>359</v>
      </c>
      <c r="H322" t="s">
        <v>49</v>
      </c>
      <c r="I322" t="s">
        <v>364</v>
      </c>
      <c r="K322" s="3"/>
      <c r="M322" s="3"/>
    </row>
    <row r="323" spans="1:13">
      <c r="A323" t="s">
        <v>28</v>
      </c>
      <c r="B323">
        <f ca="1">IF(OR(changes[[#This Row],[Type]]="Checklist",changes[[#This Row],[Type]]="checklist-flat"),1+IF(changes[[#This Row],[Type of change]] = "Edit",COUNTIFS($I$4:changes[[#This Row],[Name]],changes[[#This Row],[Name]], $E$4:changes[[#This Row],[Type of change]], "Edit")),B322)</f>
        <v>2</v>
      </c>
      <c r="C323" s="20">
        <v>44530</v>
      </c>
      <c r="D323" s="2" t="s">
        <v>2015</v>
      </c>
      <c r="E323" t="s">
        <v>15</v>
      </c>
      <c r="F323" s="14"/>
      <c r="G323" s="14" t="s">
        <v>359</v>
      </c>
      <c r="H323" t="s">
        <v>49</v>
      </c>
      <c r="I323" t="s">
        <v>365</v>
      </c>
      <c r="K323" s="3"/>
      <c r="M323" s="3"/>
    </row>
    <row r="324" spans="1:13">
      <c r="A324" t="s">
        <v>28</v>
      </c>
      <c r="B324">
        <f ca="1">IF(OR(changes[[#This Row],[Type]]="Checklist",changes[[#This Row],[Type]]="checklist-flat"),1+IF(changes[[#This Row],[Type of change]] = "Edit",COUNTIFS($I$4:changes[[#This Row],[Name]],changes[[#This Row],[Name]], $E$4:changes[[#This Row],[Type of change]], "Edit")),B323)</f>
        <v>2</v>
      </c>
      <c r="C324" s="20">
        <v>44530</v>
      </c>
      <c r="D324" s="2" t="s">
        <v>2015</v>
      </c>
      <c r="E324" t="s">
        <v>15</v>
      </c>
      <c r="F324" s="14"/>
      <c r="G324" s="14" t="s">
        <v>359</v>
      </c>
      <c r="H324" t="s">
        <v>120</v>
      </c>
      <c r="I324" t="s">
        <v>366</v>
      </c>
      <c r="K324" s="3"/>
      <c r="M324" s="3"/>
    </row>
    <row r="325" spans="1:13">
      <c r="A325" t="s">
        <v>28</v>
      </c>
      <c r="B325">
        <f ca="1">IF(OR(changes[[#This Row],[Type]]="Checklist",changes[[#This Row],[Type]]="checklist-flat"),1+IF(changes[[#This Row],[Type of change]] = "Edit",COUNTIFS($I$4:changes[[#This Row],[Name]],changes[[#This Row],[Name]], $E$4:changes[[#This Row],[Type of change]], "Edit")),B324)</f>
        <v>2</v>
      </c>
      <c r="C325" s="20">
        <v>44530</v>
      </c>
      <c r="D325" s="2" t="s">
        <v>2015</v>
      </c>
      <c r="E325" t="s">
        <v>15</v>
      </c>
      <c r="F325" s="14"/>
      <c r="G325" s="14" t="s">
        <v>359</v>
      </c>
      <c r="H325" t="s">
        <v>49</v>
      </c>
      <c r="I325" t="s">
        <v>367</v>
      </c>
      <c r="K325" s="3"/>
      <c r="M325" s="3"/>
    </row>
    <row r="326" spans="1:13">
      <c r="A326" t="s">
        <v>28</v>
      </c>
      <c r="B326">
        <f ca="1">IF(OR(changes[[#This Row],[Type]]="Checklist",changes[[#This Row],[Type]]="checklist-flat"),1+IF(changes[[#This Row],[Type of change]] = "Edit",COUNTIFS($I$4:changes[[#This Row],[Name]],changes[[#This Row],[Name]], $E$4:changes[[#This Row],[Type of change]], "Edit")),B325)</f>
        <v>2</v>
      </c>
      <c r="C326" s="20">
        <v>44530</v>
      </c>
      <c r="D326" s="2" t="s">
        <v>2015</v>
      </c>
      <c r="E326" t="s">
        <v>15</v>
      </c>
      <c r="F326" s="14"/>
      <c r="G326" s="14" t="s">
        <v>359</v>
      </c>
      <c r="H326" t="s">
        <v>49</v>
      </c>
      <c r="I326" t="s">
        <v>368</v>
      </c>
      <c r="K326" s="3"/>
      <c r="M326" s="3"/>
    </row>
    <row r="327" spans="1:13">
      <c r="A327" t="s">
        <v>28</v>
      </c>
      <c r="B327">
        <f ca="1">IF(OR(changes[[#This Row],[Type]]="Checklist",changes[[#This Row],[Type]]="checklist-flat"),1+IF(changes[[#This Row],[Type of change]] = "Edit",COUNTIFS($I$4:changes[[#This Row],[Name]],changes[[#This Row],[Name]], $E$4:changes[[#This Row],[Type of change]], "Edit")),B326)</f>
        <v>2</v>
      </c>
      <c r="C327" s="20">
        <v>44530</v>
      </c>
      <c r="D327" s="2" t="s">
        <v>2015</v>
      </c>
      <c r="E327" t="s">
        <v>15</v>
      </c>
      <c r="F327" s="14"/>
      <c r="G327" s="14" t="s">
        <v>359</v>
      </c>
      <c r="H327" t="s">
        <v>49</v>
      </c>
      <c r="I327" t="s">
        <v>369</v>
      </c>
      <c r="K327" s="3"/>
      <c r="M327" s="3"/>
    </row>
    <row r="328" spans="1:13">
      <c r="A328" t="s">
        <v>28</v>
      </c>
      <c r="B328">
        <f ca="1">IF(OR(changes[[#This Row],[Type]]="Checklist",changes[[#This Row],[Type]]="checklist-flat"),1+IF(changes[[#This Row],[Type of change]] = "Edit",COUNTIFS($I$4:changes[[#This Row],[Name]],changes[[#This Row],[Name]], $E$4:changes[[#This Row],[Type of change]], "Edit")),B327)</f>
        <v>2</v>
      </c>
      <c r="C328" s="20">
        <v>44530</v>
      </c>
      <c r="D328" s="2" t="s">
        <v>2015</v>
      </c>
      <c r="E328" t="s">
        <v>15</v>
      </c>
      <c r="F328" s="14"/>
      <c r="G328" s="14" t="s">
        <v>359</v>
      </c>
      <c r="H328" t="s">
        <v>49</v>
      </c>
      <c r="I328" t="s">
        <v>370</v>
      </c>
      <c r="K328" s="3"/>
      <c r="M328" s="3"/>
    </row>
    <row r="329" spans="1:13">
      <c r="A329" t="s">
        <v>28</v>
      </c>
      <c r="B329">
        <f ca="1">IF(OR(changes[[#This Row],[Type]]="Checklist",changes[[#This Row],[Type]]="checklist-flat"),1+IF(changes[[#This Row],[Type of change]] = "Edit",COUNTIFS($I$4:changes[[#This Row],[Name]],changes[[#This Row],[Name]], $E$4:changes[[#This Row],[Type of change]], "Edit")),B328)</f>
        <v>2</v>
      </c>
      <c r="C329" s="20">
        <v>44530</v>
      </c>
      <c r="D329" s="2" t="s">
        <v>2015</v>
      </c>
      <c r="E329" t="s">
        <v>15</v>
      </c>
      <c r="F329" s="14"/>
      <c r="G329" s="14" t="s">
        <v>359</v>
      </c>
      <c r="H329" t="s">
        <v>49</v>
      </c>
      <c r="I329" t="s">
        <v>371</v>
      </c>
      <c r="K329" s="3"/>
      <c r="M329" s="3"/>
    </row>
    <row r="330" spans="1:13">
      <c r="A330" t="s">
        <v>28</v>
      </c>
      <c r="B330">
        <f ca="1">IF(OR(changes[[#This Row],[Type]]="Checklist",changes[[#This Row],[Type]]="checklist-flat"),1+IF(changes[[#This Row],[Type of change]] = "Edit",COUNTIFS($I$4:changes[[#This Row],[Name]],changes[[#This Row],[Name]], $E$4:changes[[#This Row],[Type of change]], "Edit")),B329)</f>
        <v>2</v>
      </c>
      <c r="C330" s="20">
        <v>44530</v>
      </c>
      <c r="D330" s="2" t="s">
        <v>2015</v>
      </c>
      <c r="E330" t="s">
        <v>15</v>
      </c>
      <c r="F330" s="14"/>
      <c r="G330" s="14" t="s">
        <v>343</v>
      </c>
      <c r="H330" t="s">
        <v>48</v>
      </c>
      <c r="I330" t="s">
        <v>343</v>
      </c>
      <c r="K330" s="3"/>
      <c r="M330" s="3"/>
    </row>
    <row r="331" spans="1:13">
      <c r="A331" t="s">
        <v>28</v>
      </c>
      <c r="B331">
        <f ca="1">IF(OR(changes[[#This Row],[Type]]="Checklist",changes[[#This Row],[Type]]="checklist-flat"),1+IF(changes[[#This Row],[Type of change]] = "Edit",COUNTIFS($I$4:changes[[#This Row],[Name]],changes[[#This Row],[Name]], $E$4:changes[[#This Row],[Type of change]], "Edit")),B330)</f>
        <v>2</v>
      </c>
      <c r="C331" s="20">
        <v>44530</v>
      </c>
      <c r="D331" s="2" t="s">
        <v>2015</v>
      </c>
      <c r="E331" t="s">
        <v>15</v>
      </c>
      <c r="F331" s="14"/>
      <c r="G331" s="14" t="s">
        <v>343</v>
      </c>
      <c r="H331" t="s">
        <v>49</v>
      </c>
      <c r="I331" t="s">
        <v>339</v>
      </c>
      <c r="K331" s="3"/>
      <c r="M331" s="3"/>
    </row>
    <row r="332" spans="1:13">
      <c r="A332" t="s">
        <v>28</v>
      </c>
      <c r="B332">
        <f ca="1">IF(OR(changes[[#This Row],[Type]]="Checklist",changes[[#This Row],[Type]]="checklist-flat"),1+IF(changes[[#This Row],[Type of change]] = "Edit",COUNTIFS($I$4:changes[[#This Row],[Name]],changes[[#This Row],[Name]], $E$4:changes[[#This Row],[Type of change]], "Edit")),B331)</f>
        <v>2</v>
      </c>
      <c r="C332" s="20">
        <v>44530</v>
      </c>
      <c r="D332" s="2" t="s">
        <v>2015</v>
      </c>
      <c r="E332" t="s">
        <v>15</v>
      </c>
      <c r="F332" s="14"/>
      <c r="G332" s="14" t="s">
        <v>343</v>
      </c>
      <c r="H332" t="s">
        <v>49</v>
      </c>
      <c r="I332" t="s">
        <v>340</v>
      </c>
      <c r="K332" s="3"/>
      <c r="M332" s="3"/>
    </row>
    <row r="333" spans="1:13">
      <c r="A333" t="s">
        <v>28</v>
      </c>
      <c r="B333">
        <f ca="1">IF(OR(changes[[#This Row],[Type]]="Checklist",changes[[#This Row],[Type]]="checklist-flat"),1+IF(changes[[#This Row],[Type of change]] = "Edit",COUNTIFS($I$4:changes[[#This Row],[Name]],changes[[#This Row],[Name]], $E$4:changes[[#This Row],[Type of change]], "Edit")),B332)</f>
        <v>2</v>
      </c>
      <c r="C333" s="20">
        <v>44530</v>
      </c>
      <c r="D333" s="2" t="s">
        <v>2015</v>
      </c>
      <c r="E333" t="s">
        <v>15</v>
      </c>
      <c r="F333" s="14"/>
      <c r="G333" s="14" t="s">
        <v>343</v>
      </c>
      <c r="H333" t="s">
        <v>49</v>
      </c>
      <c r="I333" t="s">
        <v>341</v>
      </c>
      <c r="K333" s="3"/>
      <c r="M333" s="3"/>
    </row>
    <row r="334" spans="1:13">
      <c r="A334" t="s">
        <v>28</v>
      </c>
      <c r="B334">
        <f ca="1">IF(OR(changes[[#This Row],[Type]]="Checklist",changes[[#This Row],[Type]]="checklist-flat"),1+IF(changes[[#This Row],[Type of change]] = "Edit",COUNTIFS($I$4:changes[[#This Row],[Name]],changes[[#This Row],[Name]], $E$4:changes[[#This Row],[Type of change]], "Edit")),B333)</f>
        <v>2</v>
      </c>
      <c r="C334" s="20">
        <v>44530</v>
      </c>
      <c r="D334" s="2" t="s">
        <v>2015</v>
      </c>
      <c r="E334" t="s">
        <v>15</v>
      </c>
      <c r="F334" s="14"/>
      <c r="G334" s="14" t="s">
        <v>343</v>
      </c>
      <c r="H334" t="s">
        <v>49</v>
      </c>
      <c r="I334" t="s">
        <v>344</v>
      </c>
      <c r="K334" s="3"/>
      <c r="M334" s="3"/>
    </row>
    <row r="335" spans="1:13">
      <c r="A335" t="s">
        <v>28</v>
      </c>
      <c r="B335">
        <f ca="1">IF(OR(changes[[#This Row],[Type]]="Checklist",changes[[#This Row],[Type]]="checklist-flat"),1+IF(changes[[#This Row],[Type of change]] = "Edit",COUNTIFS($I$4:changes[[#This Row],[Name]],changes[[#This Row],[Name]], $E$4:changes[[#This Row],[Type of change]], "Edit")),B334)</f>
        <v>2</v>
      </c>
      <c r="C335" s="20">
        <v>44530</v>
      </c>
      <c r="D335" s="2" t="s">
        <v>2015</v>
      </c>
      <c r="E335" t="s">
        <v>15</v>
      </c>
      <c r="F335" s="14"/>
      <c r="G335" s="14" t="s">
        <v>345</v>
      </c>
      <c r="H335" t="s">
        <v>48</v>
      </c>
      <c r="I335" t="s">
        <v>345</v>
      </c>
      <c r="K335" s="3"/>
      <c r="M335" s="3"/>
    </row>
    <row r="336" spans="1:13">
      <c r="A336" t="s">
        <v>28</v>
      </c>
      <c r="B336">
        <f ca="1">IF(OR(changes[[#This Row],[Type]]="Checklist",changes[[#This Row],[Type]]="checklist-flat"),1+IF(changes[[#This Row],[Type of change]] = "Edit",COUNTIFS($I$4:changes[[#This Row],[Name]],changes[[#This Row],[Name]], $E$4:changes[[#This Row],[Type of change]], "Edit")),B335)</f>
        <v>2</v>
      </c>
      <c r="C336" s="20">
        <v>44530</v>
      </c>
      <c r="D336" s="2" t="s">
        <v>2015</v>
      </c>
      <c r="E336" t="s">
        <v>15</v>
      </c>
      <c r="F336" s="14"/>
      <c r="G336" s="14" t="s">
        <v>345</v>
      </c>
      <c r="H336" t="s">
        <v>49</v>
      </c>
      <c r="I336" t="s">
        <v>339</v>
      </c>
      <c r="K336" s="3"/>
      <c r="M336" s="3"/>
    </row>
    <row r="337" spans="1:13">
      <c r="A337" t="s">
        <v>28</v>
      </c>
      <c r="B337">
        <f ca="1">IF(OR(changes[[#This Row],[Type]]="Checklist",changes[[#This Row],[Type]]="checklist-flat"),1+IF(changes[[#This Row],[Type of change]] = "Edit",COUNTIFS($I$4:changes[[#This Row],[Name]],changes[[#This Row],[Name]], $E$4:changes[[#This Row],[Type of change]], "Edit")),B336)</f>
        <v>2</v>
      </c>
      <c r="C337" s="20">
        <v>44530</v>
      </c>
      <c r="D337" s="2" t="s">
        <v>2015</v>
      </c>
      <c r="E337" t="s">
        <v>15</v>
      </c>
      <c r="F337" s="14"/>
      <c r="G337" s="14" t="s">
        <v>345</v>
      </c>
      <c r="H337" t="s">
        <v>49</v>
      </c>
      <c r="I337" t="s">
        <v>340</v>
      </c>
      <c r="K337" s="3"/>
      <c r="M337" s="3"/>
    </row>
    <row r="338" spans="1:13">
      <c r="A338" t="s">
        <v>28</v>
      </c>
      <c r="B338">
        <f ca="1">IF(OR(changes[[#This Row],[Type]]="Checklist",changes[[#This Row],[Type]]="checklist-flat"),1+IF(changes[[#This Row],[Type of change]] = "Edit",COUNTIFS($I$4:changes[[#This Row],[Name]],changes[[#This Row],[Name]], $E$4:changes[[#This Row],[Type of change]], "Edit")),B337)</f>
        <v>2</v>
      </c>
      <c r="C338" s="20">
        <v>44530</v>
      </c>
      <c r="D338" s="2" t="s">
        <v>2015</v>
      </c>
      <c r="E338" t="s">
        <v>15</v>
      </c>
      <c r="F338" s="14"/>
      <c r="G338" s="14" t="s">
        <v>345</v>
      </c>
      <c r="H338" t="s">
        <v>49</v>
      </c>
      <c r="I338" t="s">
        <v>341</v>
      </c>
      <c r="K338" s="3"/>
      <c r="M338" s="3"/>
    </row>
    <row r="339" spans="1:13">
      <c r="A339" t="s">
        <v>28</v>
      </c>
      <c r="B339">
        <f ca="1">IF(OR(changes[[#This Row],[Type]]="Checklist",changes[[#This Row],[Type]]="checklist-flat"),1+IF(changes[[#This Row],[Type of change]] = "Edit",COUNTIFS($I$4:changes[[#This Row],[Name]],changes[[#This Row],[Name]], $E$4:changes[[#This Row],[Type of change]], "Edit")),B338)</f>
        <v>2</v>
      </c>
      <c r="C339" s="20">
        <v>44530</v>
      </c>
      <c r="D339" s="2" t="s">
        <v>2015</v>
      </c>
      <c r="E339" t="s">
        <v>15</v>
      </c>
      <c r="F339" s="14"/>
      <c r="G339" s="14" t="s">
        <v>345</v>
      </c>
      <c r="H339" t="s">
        <v>49</v>
      </c>
      <c r="I339" t="s">
        <v>346</v>
      </c>
      <c r="K339" s="3"/>
      <c r="M339" s="3"/>
    </row>
    <row r="340" spans="1:13">
      <c r="A340" t="s">
        <v>28</v>
      </c>
      <c r="B340">
        <f ca="1">IF(OR(changes[[#This Row],[Type]]="Checklist",changes[[#This Row],[Type]]="checklist-flat"),1+IF(changes[[#This Row],[Type of change]] = "Edit",COUNTIFS($I$4:changes[[#This Row],[Name]],changes[[#This Row],[Name]], $E$4:changes[[#This Row],[Type of change]], "Edit")),B339)</f>
        <v>2</v>
      </c>
      <c r="C340" s="20">
        <v>44530</v>
      </c>
      <c r="D340" s="2" t="s">
        <v>2015</v>
      </c>
      <c r="E340" t="s">
        <v>15</v>
      </c>
      <c r="F340" s="14"/>
      <c r="G340" s="14" t="s">
        <v>394</v>
      </c>
      <c r="H340" t="s">
        <v>48</v>
      </c>
      <c r="I340" t="s">
        <v>394</v>
      </c>
      <c r="K340" s="3"/>
      <c r="M340" s="3"/>
    </row>
    <row r="341" spans="1:13">
      <c r="A341" t="s">
        <v>28</v>
      </c>
      <c r="B341">
        <f ca="1">IF(OR(changes[[#This Row],[Type]]="Checklist",changes[[#This Row],[Type]]="checklist-flat"),1+IF(changes[[#This Row],[Type of change]] = "Edit",COUNTIFS($I$4:changes[[#This Row],[Name]],changes[[#This Row],[Name]], $E$4:changes[[#This Row],[Type of change]], "Edit")),B340)</f>
        <v>2</v>
      </c>
      <c r="C341" s="20">
        <v>44530</v>
      </c>
      <c r="D341" s="2" t="s">
        <v>2015</v>
      </c>
      <c r="E341" t="s">
        <v>15</v>
      </c>
      <c r="F341" s="14"/>
      <c r="G341" s="14" t="s">
        <v>394</v>
      </c>
      <c r="H341" t="s">
        <v>49</v>
      </c>
      <c r="I341" t="s">
        <v>361</v>
      </c>
      <c r="K341" s="3"/>
      <c r="M341" s="3"/>
    </row>
    <row r="342" spans="1:13">
      <c r="A342" t="s">
        <v>28</v>
      </c>
      <c r="B342">
        <f ca="1">IF(OR(changes[[#This Row],[Type]]="Checklist",changes[[#This Row],[Type]]="checklist-flat"),1+IF(changes[[#This Row],[Type of change]] = "Edit",COUNTIFS($I$4:changes[[#This Row],[Name]],changes[[#This Row],[Name]], $E$4:changes[[#This Row],[Type of change]], "Edit")),B341)</f>
        <v>2</v>
      </c>
      <c r="C342" s="20">
        <v>44530</v>
      </c>
      <c r="D342" s="2" t="s">
        <v>2015</v>
      </c>
      <c r="E342" t="s">
        <v>15</v>
      </c>
      <c r="F342" s="14"/>
      <c r="G342" s="14" t="s">
        <v>394</v>
      </c>
      <c r="H342" t="s">
        <v>49</v>
      </c>
      <c r="I342" t="s">
        <v>395</v>
      </c>
      <c r="K342" s="3"/>
      <c r="M342" s="3"/>
    </row>
    <row r="343" spans="1:13">
      <c r="A343" t="s">
        <v>28</v>
      </c>
      <c r="B343">
        <f ca="1">IF(OR(changes[[#This Row],[Type]]="Checklist",changes[[#This Row],[Type]]="checklist-flat"),1+IF(changes[[#This Row],[Type of change]] = "Edit",COUNTIFS($I$4:changes[[#This Row],[Name]],changes[[#This Row],[Name]], $E$4:changes[[#This Row],[Type of change]], "Edit")),B342)</f>
        <v>2</v>
      </c>
      <c r="C343" s="20">
        <v>44530</v>
      </c>
      <c r="D343" s="2" t="s">
        <v>2015</v>
      </c>
      <c r="E343" t="s">
        <v>15</v>
      </c>
      <c r="F343" s="14"/>
      <c r="G343" s="14" t="s">
        <v>394</v>
      </c>
      <c r="H343" t="s">
        <v>49</v>
      </c>
      <c r="I343" t="s">
        <v>396</v>
      </c>
      <c r="K343" s="3"/>
      <c r="M343" s="3"/>
    </row>
    <row r="344" spans="1:13">
      <c r="A344" t="s">
        <v>28</v>
      </c>
      <c r="B344">
        <f ca="1">IF(OR(changes[[#This Row],[Type]]="Checklist",changes[[#This Row],[Type]]="checklist-flat"),1+IF(changes[[#This Row],[Type of change]] = "Edit",COUNTIFS($I$4:changes[[#This Row],[Name]],changes[[#This Row],[Name]], $E$4:changes[[#This Row],[Type of change]], "Edit")),B343)</f>
        <v>2</v>
      </c>
      <c r="C344" s="20">
        <v>44530</v>
      </c>
      <c r="D344" s="2" t="s">
        <v>2015</v>
      </c>
      <c r="E344" t="s">
        <v>15</v>
      </c>
      <c r="F344" s="14"/>
      <c r="G344" s="14" t="s">
        <v>394</v>
      </c>
      <c r="H344" t="s">
        <v>49</v>
      </c>
      <c r="I344" t="s">
        <v>397</v>
      </c>
      <c r="K344" s="3"/>
      <c r="M344" s="3"/>
    </row>
    <row r="345" spans="1:13">
      <c r="A345" t="s">
        <v>28</v>
      </c>
      <c r="B345">
        <f ca="1">IF(OR(changes[[#This Row],[Type]]="Checklist",changes[[#This Row],[Type]]="checklist-flat"),1+IF(changes[[#This Row],[Type of change]] = "Edit",COUNTIFS($I$4:changes[[#This Row],[Name]],changes[[#This Row],[Name]], $E$4:changes[[#This Row],[Type of change]], "Edit")),B344)</f>
        <v>2</v>
      </c>
      <c r="C345" s="20">
        <v>44530</v>
      </c>
      <c r="D345" s="2" t="s">
        <v>2015</v>
      </c>
      <c r="E345" t="s">
        <v>15</v>
      </c>
      <c r="F345" s="14"/>
      <c r="G345" s="14" t="s">
        <v>394</v>
      </c>
      <c r="H345" t="s">
        <v>49</v>
      </c>
      <c r="I345" t="s">
        <v>398</v>
      </c>
      <c r="K345" s="3"/>
      <c r="M345" s="3"/>
    </row>
    <row r="346" spans="1:13">
      <c r="A346" t="s">
        <v>28</v>
      </c>
      <c r="B346">
        <f ca="1">IF(OR(changes[[#This Row],[Type]]="Checklist",changes[[#This Row],[Type]]="checklist-flat"),1+IF(changes[[#This Row],[Type of change]] = "Edit",COUNTIFS($I$4:changes[[#This Row],[Name]],changes[[#This Row],[Name]], $E$4:changes[[#This Row],[Type of change]], "Edit")),B345)</f>
        <v>2</v>
      </c>
      <c r="C346" s="20">
        <v>44530</v>
      </c>
      <c r="D346" s="2" t="s">
        <v>2015</v>
      </c>
      <c r="E346" t="s">
        <v>15</v>
      </c>
      <c r="F346" s="14"/>
      <c r="G346" s="14" t="s">
        <v>394</v>
      </c>
      <c r="H346" t="s">
        <v>49</v>
      </c>
      <c r="I346" t="s">
        <v>399</v>
      </c>
      <c r="K346" s="3"/>
      <c r="M346" s="3"/>
    </row>
    <row r="347" spans="1:13">
      <c r="A347" t="s">
        <v>28</v>
      </c>
      <c r="B347">
        <f ca="1">IF(OR(changes[[#This Row],[Type]]="Checklist",changes[[#This Row],[Type]]="checklist-flat"),1+IF(changes[[#This Row],[Type of change]] = "Edit",COUNTIFS($I$4:changes[[#This Row],[Name]],changes[[#This Row],[Name]], $E$4:changes[[#This Row],[Type of change]], "Edit")),B346)</f>
        <v>1</v>
      </c>
      <c r="C347" s="20">
        <v>44530</v>
      </c>
      <c r="D347" s="2" t="s">
        <v>2015</v>
      </c>
      <c r="E347" t="s">
        <v>2011</v>
      </c>
      <c r="F347" s="14"/>
      <c r="G347" s="14" t="s">
        <v>444</v>
      </c>
      <c r="H347" t="s">
        <v>48</v>
      </c>
      <c r="I347" t="s">
        <v>444</v>
      </c>
      <c r="K347" s="3"/>
      <c r="M347" s="3"/>
    </row>
    <row r="348" spans="1:13">
      <c r="A348" t="s">
        <v>28</v>
      </c>
      <c r="B348">
        <f ca="1">IF(OR(changes[[#This Row],[Type]]="Checklist",changes[[#This Row],[Type]]="checklist-flat"),1+IF(changes[[#This Row],[Type of change]] = "Edit",COUNTIFS($I$4:changes[[#This Row],[Name]],changes[[#This Row],[Name]], $E$4:changes[[#This Row],[Type of change]], "Edit")),B347)</f>
        <v>1</v>
      </c>
      <c r="C348" s="20">
        <v>44530</v>
      </c>
      <c r="D348" s="2" t="s">
        <v>2015</v>
      </c>
      <c r="E348" t="s">
        <v>2011</v>
      </c>
      <c r="F348" s="14"/>
      <c r="G348" s="14" t="s">
        <v>444</v>
      </c>
      <c r="H348" t="s">
        <v>49</v>
      </c>
      <c r="I348" t="s">
        <v>445</v>
      </c>
      <c r="K348" s="3"/>
      <c r="M348" s="3"/>
    </row>
    <row r="349" spans="1:13">
      <c r="A349" t="s">
        <v>28</v>
      </c>
      <c r="B349">
        <f ca="1">IF(OR(changes[[#This Row],[Type]]="Checklist",changes[[#This Row],[Type]]="checklist-flat"),1+IF(changes[[#This Row],[Type of change]] = "Edit",COUNTIFS($I$4:changes[[#This Row],[Name]],changes[[#This Row],[Name]], $E$4:changes[[#This Row],[Type of change]], "Edit")),B348)</f>
        <v>1</v>
      </c>
      <c r="C349" s="20">
        <v>44530</v>
      </c>
      <c r="D349" s="2" t="s">
        <v>2015</v>
      </c>
      <c r="E349" t="s">
        <v>2011</v>
      </c>
      <c r="F349" s="14"/>
      <c r="G349" s="14" t="s">
        <v>444</v>
      </c>
      <c r="H349" t="s">
        <v>49</v>
      </c>
      <c r="I349" t="s">
        <v>260</v>
      </c>
      <c r="K349" s="3"/>
      <c r="M349" s="3"/>
    </row>
    <row r="350" spans="1:13">
      <c r="A350" t="s">
        <v>28</v>
      </c>
      <c r="B350">
        <f ca="1">IF(OR(changes[[#This Row],[Type]]="Checklist",changes[[#This Row],[Type]]="checklist-flat"),1+IF(changes[[#This Row],[Type of change]] = "Edit",COUNTIFS($I$4:changes[[#This Row],[Name]],changes[[#This Row],[Name]], $E$4:changes[[#This Row],[Type of change]], "Edit")),B349)</f>
        <v>1</v>
      </c>
      <c r="C350" s="20">
        <v>44530</v>
      </c>
      <c r="D350" s="2" t="s">
        <v>2015</v>
      </c>
      <c r="E350" t="s">
        <v>2011</v>
      </c>
      <c r="F350" s="14"/>
      <c r="G350" s="14" t="s">
        <v>444</v>
      </c>
      <c r="H350" t="s">
        <v>49</v>
      </c>
      <c r="I350" t="s">
        <v>261</v>
      </c>
      <c r="K350" s="3"/>
      <c r="M350" s="3"/>
    </row>
    <row r="351" spans="1:13">
      <c r="A351" t="s">
        <v>28</v>
      </c>
      <c r="B351">
        <f ca="1">IF(OR(changes[[#This Row],[Type]]="Checklist",changes[[#This Row],[Type]]="checklist-flat"),1+IF(changes[[#This Row],[Type of change]] = "Edit",COUNTIFS($I$4:changes[[#This Row],[Name]],changes[[#This Row],[Name]], $E$4:changes[[#This Row],[Type of change]], "Edit")),B350)</f>
        <v>1</v>
      </c>
      <c r="C351" s="20">
        <v>44530</v>
      </c>
      <c r="D351" s="2" t="s">
        <v>2015</v>
      </c>
      <c r="E351" t="s">
        <v>2011</v>
      </c>
      <c r="F351" s="14"/>
      <c r="G351" s="14" t="s">
        <v>444</v>
      </c>
      <c r="H351" t="s">
        <v>49</v>
      </c>
      <c r="I351" t="s">
        <v>446</v>
      </c>
      <c r="K351" s="3"/>
      <c r="M351" s="3"/>
    </row>
    <row r="352" spans="1:13">
      <c r="A352" t="s">
        <v>28</v>
      </c>
      <c r="B352">
        <f ca="1">IF(OR(changes[[#This Row],[Type]]="Checklist",changes[[#This Row],[Type]]="checklist-flat"),1+IF(changes[[#This Row],[Type of change]] = "Edit",COUNTIFS($I$4:changes[[#This Row],[Name]],changes[[#This Row],[Name]], $E$4:changes[[#This Row],[Type of change]], "Edit")),B351)</f>
        <v>1</v>
      </c>
      <c r="C352" s="20">
        <v>44530</v>
      </c>
      <c r="D352" s="2" t="s">
        <v>2015</v>
      </c>
      <c r="E352" t="s">
        <v>2011</v>
      </c>
      <c r="F352" s="14"/>
      <c r="G352" s="14" t="s">
        <v>444</v>
      </c>
      <c r="H352" t="s">
        <v>49</v>
      </c>
      <c r="I352" t="s">
        <v>447</v>
      </c>
      <c r="K352" s="3"/>
      <c r="M352" s="3"/>
    </row>
    <row r="353" spans="1:13">
      <c r="A353" t="s">
        <v>28</v>
      </c>
      <c r="B353">
        <f ca="1">IF(OR(changes[[#This Row],[Type]]="Checklist",changes[[#This Row],[Type]]="checklist-flat"),1+IF(changes[[#This Row],[Type of change]] = "Edit",COUNTIFS($I$4:changes[[#This Row],[Name]],changes[[#This Row],[Name]], $E$4:changes[[#This Row],[Type of change]], "Edit")),B352)</f>
        <v>1</v>
      </c>
      <c r="C353" s="20">
        <v>44530</v>
      </c>
      <c r="D353" s="2" t="s">
        <v>2015</v>
      </c>
      <c r="E353" t="s">
        <v>2011</v>
      </c>
      <c r="F353" s="14"/>
      <c r="G353" s="14" t="s">
        <v>444</v>
      </c>
      <c r="H353" t="s">
        <v>49</v>
      </c>
      <c r="I353" t="s">
        <v>448</v>
      </c>
      <c r="K353" s="3"/>
      <c r="M353" s="3"/>
    </row>
    <row r="354" spans="1:13">
      <c r="A354" t="s">
        <v>28</v>
      </c>
      <c r="B354">
        <f ca="1">IF(OR(changes[[#This Row],[Type]]="Checklist",changes[[#This Row],[Type]]="checklist-flat"),1+IF(changes[[#This Row],[Type of change]] = "Edit",COUNTIFS($I$4:changes[[#This Row],[Name]],changes[[#This Row],[Name]], $E$4:changes[[#This Row],[Type of change]], "Edit")),B353)</f>
        <v>1</v>
      </c>
      <c r="C354" s="20">
        <v>44530</v>
      </c>
      <c r="D354" s="2" t="s">
        <v>2015</v>
      </c>
      <c r="E354" t="s">
        <v>2011</v>
      </c>
      <c r="F354" s="14"/>
      <c r="G354" s="14" t="s">
        <v>449</v>
      </c>
      <c r="H354" t="s">
        <v>48</v>
      </c>
      <c r="I354" t="s">
        <v>449</v>
      </c>
      <c r="K354" s="3"/>
      <c r="M354" s="3"/>
    </row>
    <row r="355" spans="1:13">
      <c r="A355" t="s">
        <v>28</v>
      </c>
      <c r="B355">
        <f ca="1">IF(OR(changes[[#This Row],[Type]]="Checklist",changes[[#This Row],[Type]]="checklist-flat"),1+IF(changes[[#This Row],[Type of change]] = "Edit",COUNTIFS($I$4:changes[[#This Row],[Name]],changes[[#This Row],[Name]], $E$4:changes[[#This Row],[Type of change]], "Edit")),B354)</f>
        <v>1</v>
      </c>
      <c r="C355" s="20">
        <v>44530</v>
      </c>
      <c r="D355" s="2" t="s">
        <v>2015</v>
      </c>
      <c r="E355" t="s">
        <v>2011</v>
      </c>
      <c r="F355" s="14"/>
      <c r="G355" s="14" t="s">
        <v>449</v>
      </c>
      <c r="H355" t="s">
        <v>49</v>
      </c>
      <c r="I355" t="s">
        <v>339</v>
      </c>
      <c r="K355" s="3"/>
      <c r="M355" s="3"/>
    </row>
    <row r="356" spans="1:13">
      <c r="A356" t="s">
        <v>28</v>
      </c>
      <c r="B356">
        <f ca="1">IF(OR(changes[[#This Row],[Type]]="Checklist",changes[[#This Row],[Type]]="checklist-flat"),1+IF(changes[[#This Row],[Type of change]] = "Edit",COUNTIFS($I$4:changes[[#This Row],[Name]],changes[[#This Row],[Name]], $E$4:changes[[#This Row],[Type of change]], "Edit")),B355)</f>
        <v>1</v>
      </c>
      <c r="C356" s="20">
        <v>44530</v>
      </c>
      <c r="D356" s="2" t="s">
        <v>2015</v>
      </c>
      <c r="E356" t="s">
        <v>2011</v>
      </c>
      <c r="F356" s="14"/>
      <c r="G356" s="14" t="s">
        <v>449</v>
      </c>
      <c r="H356" t="s">
        <v>49</v>
      </c>
      <c r="I356" t="s">
        <v>340</v>
      </c>
      <c r="K356" s="3"/>
      <c r="M356" s="3"/>
    </row>
    <row r="357" spans="1:13">
      <c r="A357" t="s">
        <v>28</v>
      </c>
      <c r="B357">
        <f ca="1">IF(OR(changes[[#This Row],[Type]]="Checklist",changes[[#This Row],[Type]]="checklist-flat"),1+IF(changes[[#This Row],[Type of change]] = "Edit",COUNTIFS($I$4:changes[[#This Row],[Name]],changes[[#This Row],[Name]], $E$4:changes[[#This Row],[Type of change]], "Edit")),B356)</f>
        <v>1</v>
      </c>
      <c r="C357" s="20">
        <v>44530</v>
      </c>
      <c r="D357" s="2" t="s">
        <v>2015</v>
      </c>
      <c r="E357" t="s">
        <v>2011</v>
      </c>
      <c r="F357" s="14"/>
      <c r="G357" s="14" t="s">
        <v>449</v>
      </c>
      <c r="H357" t="s">
        <v>49</v>
      </c>
      <c r="I357" t="s">
        <v>341</v>
      </c>
      <c r="K357" s="3"/>
      <c r="M357" s="3"/>
    </row>
    <row r="358" spans="1:13">
      <c r="A358" t="s">
        <v>28</v>
      </c>
      <c r="B358">
        <f ca="1">IF(OR(changes[[#This Row],[Type]]="Checklist",changes[[#This Row],[Type]]="checklist-flat"),1+IF(changes[[#This Row],[Type of change]] = "Edit",COUNTIFS($I$4:changes[[#This Row],[Name]],changes[[#This Row],[Name]], $E$4:changes[[#This Row],[Type of change]], "Edit")),B357)</f>
        <v>1</v>
      </c>
      <c r="C358" s="20">
        <v>44530</v>
      </c>
      <c r="D358" s="2" t="s">
        <v>2015</v>
      </c>
      <c r="E358" t="s">
        <v>2011</v>
      </c>
      <c r="F358" s="14"/>
      <c r="G358" s="14" t="s">
        <v>449</v>
      </c>
      <c r="H358" t="s">
        <v>49</v>
      </c>
      <c r="I358" t="s">
        <v>450</v>
      </c>
      <c r="K358" s="3"/>
      <c r="M358" s="3"/>
    </row>
    <row r="359" spans="1:13">
      <c r="A359" t="s">
        <v>28</v>
      </c>
      <c r="B359">
        <f ca="1">IF(OR(changes[[#This Row],[Type]]="Checklist",changes[[#This Row],[Type]]="checklist-flat"),1+IF(changes[[#This Row],[Type of change]] = "Edit",COUNTIFS($I$4:changes[[#This Row],[Name]],changes[[#This Row],[Name]], $E$4:changes[[#This Row],[Type of change]], "Edit")),B358)</f>
        <v>1</v>
      </c>
      <c r="C359" s="20">
        <v>44530</v>
      </c>
      <c r="D359" s="2" t="s">
        <v>2015</v>
      </c>
      <c r="E359" t="s">
        <v>2011</v>
      </c>
      <c r="F359" s="14"/>
      <c r="G359" s="14" t="s">
        <v>451</v>
      </c>
      <c r="H359" t="s">
        <v>48</v>
      </c>
      <c r="I359" t="s">
        <v>451</v>
      </c>
      <c r="K359" s="3"/>
      <c r="M359" s="3"/>
    </row>
    <row r="360" spans="1:13">
      <c r="A360" t="s">
        <v>28</v>
      </c>
      <c r="B360">
        <f ca="1">IF(OR(changes[[#This Row],[Type]]="Checklist",changes[[#This Row],[Type]]="checklist-flat"),1+IF(changes[[#This Row],[Type of change]] = "Edit",COUNTIFS($I$4:changes[[#This Row],[Name]],changes[[#This Row],[Name]], $E$4:changes[[#This Row],[Type of change]], "Edit")),B359)</f>
        <v>1</v>
      </c>
      <c r="C360" s="20">
        <v>44530</v>
      </c>
      <c r="D360" s="2" t="s">
        <v>2015</v>
      </c>
      <c r="E360" t="s">
        <v>2011</v>
      </c>
      <c r="F360" s="14"/>
      <c r="G360" s="14" t="s">
        <v>451</v>
      </c>
      <c r="H360" t="s">
        <v>49</v>
      </c>
      <c r="I360" t="s">
        <v>339</v>
      </c>
      <c r="K360" s="3"/>
      <c r="M360" s="3"/>
    </row>
    <row r="361" spans="1:13">
      <c r="A361" t="s">
        <v>28</v>
      </c>
      <c r="B361">
        <f ca="1">IF(OR(changes[[#This Row],[Type]]="Checklist",changes[[#This Row],[Type]]="checklist-flat"),1+IF(changes[[#This Row],[Type of change]] = "Edit",COUNTIFS($I$4:changes[[#This Row],[Name]],changes[[#This Row],[Name]], $E$4:changes[[#This Row],[Type of change]], "Edit")),B360)</f>
        <v>1</v>
      </c>
      <c r="C361" s="20">
        <v>44530</v>
      </c>
      <c r="D361" s="2" t="s">
        <v>2015</v>
      </c>
      <c r="E361" t="s">
        <v>2011</v>
      </c>
      <c r="F361" s="14"/>
      <c r="G361" s="14" t="s">
        <v>451</v>
      </c>
      <c r="H361" t="s">
        <v>49</v>
      </c>
      <c r="I361" t="s">
        <v>340</v>
      </c>
      <c r="K361" s="3"/>
      <c r="M361" s="3"/>
    </row>
    <row r="362" spans="1:13">
      <c r="A362" t="s">
        <v>28</v>
      </c>
      <c r="B362">
        <f ca="1">IF(OR(changes[[#This Row],[Type]]="Checklist",changes[[#This Row],[Type]]="checklist-flat"),1+IF(changes[[#This Row],[Type of change]] = "Edit",COUNTIFS($I$4:changes[[#This Row],[Name]],changes[[#This Row],[Name]], $E$4:changes[[#This Row],[Type of change]], "Edit")),B361)</f>
        <v>1</v>
      </c>
      <c r="C362" s="20">
        <v>44530</v>
      </c>
      <c r="D362" s="2" t="s">
        <v>2015</v>
      </c>
      <c r="E362" t="s">
        <v>2011</v>
      </c>
      <c r="F362" s="14"/>
      <c r="G362" s="14" t="s">
        <v>451</v>
      </c>
      <c r="H362" t="s">
        <v>49</v>
      </c>
      <c r="I362" t="s">
        <v>341</v>
      </c>
      <c r="K362" s="3"/>
      <c r="M362" s="3"/>
    </row>
    <row r="363" spans="1:13">
      <c r="A363" t="s">
        <v>28</v>
      </c>
      <c r="B363">
        <f ca="1">IF(OR(changes[[#This Row],[Type]]="Checklist",changes[[#This Row],[Type]]="checklist-flat"),1+IF(changes[[#This Row],[Type of change]] = "Edit",COUNTIFS($I$4:changes[[#This Row],[Name]],changes[[#This Row],[Name]], $E$4:changes[[#This Row],[Type of change]], "Edit")),B362)</f>
        <v>1</v>
      </c>
      <c r="C363" s="20">
        <v>44530</v>
      </c>
      <c r="D363" s="2" t="s">
        <v>2015</v>
      </c>
      <c r="E363" t="s">
        <v>2011</v>
      </c>
      <c r="F363" s="14"/>
      <c r="G363" s="14" t="s">
        <v>451</v>
      </c>
      <c r="H363" t="s">
        <v>49</v>
      </c>
      <c r="I363" t="s">
        <v>452</v>
      </c>
      <c r="K363" s="3"/>
      <c r="M363" s="3"/>
    </row>
    <row r="364" spans="1:13">
      <c r="A364" t="s">
        <v>28</v>
      </c>
      <c r="B364">
        <f ca="1">IF(OR(changes[[#This Row],[Type]]="Checklist",changes[[#This Row],[Type]]="checklist-flat"),1+IF(changes[[#This Row],[Type of change]] = "Edit",COUNTIFS($I$4:changes[[#This Row],[Name]],changes[[#This Row],[Name]], $E$4:changes[[#This Row],[Type of change]], "Edit")),B363)</f>
        <v>1</v>
      </c>
      <c r="C364" s="20">
        <v>44530</v>
      </c>
      <c r="D364" s="2" t="s">
        <v>2015</v>
      </c>
      <c r="E364" t="s">
        <v>2011</v>
      </c>
      <c r="F364" s="14"/>
      <c r="G364" s="14" t="s">
        <v>2017</v>
      </c>
      <c r="H364" t="s">
        <v>48</v>
      </c>
      <c r="I364" t="s">
        <v>2017</v>
      </c>
      <c r="K364" s="3"/>
      <c r="M364" s="3"/>
    </row>
    <row r="365" spans="1:13">
      <c r="A365" t="s">
        <v>28</v>
      </c>
      <c r="B365">
        <f ca="1">IF(OR(changes[[#This Row],[Type]]="Checklist",changes[[#This Row],[Type]]="checklist-flat"),1+IF(changes[[#This Row],[Type of change]] = "Edit",COUNTIFS($I$4:changes[[#This Row],[Name]],changes[[#This Row],[Name]], $E$4:changes[[#This Row],[Type of change]], "Edit")),B364)</f>
        <v>1</v>
      </c>
      <c r="C365" s="20">
        <v>44530</v>
      </c>
      <c r="D365" s="2" t="s">
        <v>2015</v>
      </c>
      <c r="E365" t="s">
        <v>2011</v>
      </c>
      <c r="F365" s="14"/>
      <c r="G365" s="14" t="s">
        <v>2017</v>
      </c>
      <c r="H365" t="s">
        <v>49</v>
      </c>
      <c r="I365" t="s">
        <v>2018</v>
      </c>
      <c r="K365" s="3"/>
      <c r="M365" s="3"/>
    </row>
    <row r="366" spans="1:13">
      <c r="A366" t="s">
        <v>28</v>
      </c>
      <c r="B366">
        <f ca="1">IF(OR(changes[[#This Row],[Type]]="Checklist",changes[[#This Row],[Type]]="checklist-flat"),1+IF(changes[[#This Row],[Type of change]] = "Edit",COUNTIFS($I$4:changes[[#This Row],[Name]],changes[[#This Row],[Name]], $E$4:changes[[#This Row],[Type of change]], "Edit")),B365)</f>
        <v>1</v>
      </c>
      <c r="C366" s="20">
        <v>44530</v>
      </c>
      <c r="D366" s="2" t="s">
        <v>2015</v>
      </c>
      <c r="E366" t="s">
        <v>2011</v>
      </c>
      <c r="F366" s="14"/>
      <c r="G366" s="14" t="s">
        <v>2017</v>
      </c>
      <c r="H366" t="s">
        <v>131</v>
      </c>
      <c r="I366" t="s">
        <v>2019</v>
      </c>
      <c r="J366" t="s">
        <v>1378</v>
      </c>
      <c r="K366" s="3"/>
      <c r="M366" s="3"/>
    </row>
    <row r="367" spans="1:13">
      <c r="A367" t="s">
        <v>28</v>
      </c>
      <c r="B367">
        <f ca="1">IF(OR(changes[[#This Row],[Type]]="Checklist",changes[[#This Row],[Type]]="checklist-flat"),1+IF(changes[[#This Row],[Type of change]] = "Edit",COUNTIFS($I$4:changes[[#This Row],[Name]],changes[[#This Row],[Name]], $E$4:changes[[#This Row],[Type of change]], "Edit")),B366)</f>
        <v>1</v>
      </c>
      <c r="C367" s="20">
        <v>44530</v>
      </c>
      <c r="D367" s="2" t="s">
        <v>2015</v>
      </c>
      <c r="E367" t="s">
        <v>2011</v>
      </c>
      <c r="F367" s="14"/>
      <c r="G367" s="14" t="s">
        <v>2017</v>
      </c>
      <c r="H367" t="s">
        <v>131</v>
      </c>
      <c r="I367" t="s">
        <v>2020</v>
      </c>
      <c r="J367" t="s">
        <v>1378</v>
      </c>
      <c r="K367" s="3"/>
      <c r="M367" s="3"/>
    </row>
    <row r="368" spans="1:13">
      <c r="A368" t="s">
        <v>28</v>
      </c>
      <c r="B368">
        <f ca="1">IF(OR(changes[[#This Row],[Type]]="Checklist",changes[[#This Row],[Type]]="checklist-flat"),1+IF(changes[[#This Row],[Type of change]] = "Edit",COUNTIFS($I$4:changes[[#This Row],[Name]],changes[[#This Row],[Name]], $E$4:changes[[#This Row],[Type of change]], "Edit")),B367)</f>
        <v>1</v>
      </c>
      <c r="C368" s="20">
        <v>44530</v>
      </c>
      <c r="D368" s="2" t="s">
        <v>2015</v>
      </c>
      <c r="E368" t="s">
        <v>2011</v>
      </c>
      <c r="F368" s="14"/>
      <c r="G368" s="14" t="s">
        <v>2017</v>
      </c>
      <c r="H368" t="s">
        <v>131</v>
      </c>
      <c r="I368" t="s">
        <v>2021</v>
      </c>
      <c r="J368" t="s">
        <v>1378</v>
      </c>
      <c r="K368" s="3"/>
      <c r="M368" s="3"/>
    </row>
    <row r="369" spans="1:13">
      <c r="A369" t="s">
        <v>28</v>
      </c>
      <c r="B369">
        <f ca="1">IF(OR(changes[[#This Row],[Type]]="Checklist",changes[[#This Row],[Type]]="checklist-flat"),1+IF(changes[[#This Row],[Type of change]] = "Edit",COUNTIFS($I$4:changes[[#This Row],[Name]],changes[[#This Row],[Name]], $E$4:changes[[#This Row],[Type of change]], "Edit")),B368)</f>
        <v>1</v>
      </c>
      <c r="C369" s="20">
        <v>44530</v>
      </c>
      <c r="D369" s="2" t="s">
        <v>2015</v>
      </c>
      <c r="E369" t="s">
        <v>2011</v>
      </c>
      <c r="F369" s="14"/>
      <c r="G369" s="14" t="s">
        <v>2017</v>
      </c>
      <c r="H369" t="s">
        <v>131</v>
      </c>
      <c r="I369" t="s">
        <v>2022</v>
      </c>
      <c r="J369" t="s">
        <v>1378</v>
      </c>
      <c r="K369" s="3"/>
      <c r="M369" s="3"/>
    </row>
    <row r="370" spans="1:13">
      <c r="A370" t="s">
        <v>28</v>
      </c>
      <c r="B370">
        <f ca="1">IF(OR(changes[[#This Row],[Type]]="Checklist",changes[[#This Row],[Type]]="checklist-flat"),1+IF(changes[[#This Row],[Type of change]] = "Edit",COUNTIFS($I$4:changes[[#This Row],[Name]],changes[[#This Row],[Name]], $E$4:changes[[#This Row],[Type of change]], "Edit")),B369)</f>
        <v>1</v>
      </c>
      <c r="C370" s="20">
        <v>44530</v>
      </c>
      <c r="D370" s="2" t="s">
        <v>2015</v>
      </c>
      <c r="E370" t="s">
        <v>2011</v>
      </c>
      <c r="F370" s="14"/>
      <c r="G370" s="14" t="s">
        <v>2017</v>
      </c>
      <c r="H370" t="s">
        <v>901</v>
      </c>
      <c r="I370" t="s">
        <v>2023</v>
      </c>
      <c r="K370" s="3"/>
      <c r="M370" s="3"/>
    </row>
    <row r="371" spans="1:13">
      <c r="A371" t="s">
        <v>28</v>
      </c>
      <c r="B371">
        <f ca="1">IF(OR(changes[[#This Row],[Type]]="Checklist",changes[[#This Row],[Type]]="checklist-flat"),1+IF(changes[[#This Row],[Type of change]] = "Edit",COUNTIFS($I$4:changes[[#This Row],[Name]],changes[[#This Row],[Name]], $E$4:changes[[#This Row],[Type of change]], "Edit")),B370)</f>
        <v>1</v>
      </c>
      <c r="C371" s="20">
        <v>44530</v>
      </c>
      <c r="D371" s="2" t="s">
        <v>2015</v>
      </c>
      <c r="E371" t="s">
        <v>2011</v>
      </c>
      <c r="F371" s="14"/>
      <c r="G371" s="14" t="s">
        <v>2017</v>
      </c>
      <c r="H371" t="s">
        <v>58</v>
      </c>
      <c r="I371" t="s">
        <v>209</v>
      </c>
      <c r="K371" s="3"/>
      <c r="M371" s="3"/>
    </row>
    <row r="372" spans="1:13">
      <c r="A372" t="s">
        <v>28</v>
      </c>
      <c r="B372">
        <f ca="1">IF(OR(changes[[#This Row],[Type]]="Checklist",changes[[#This Row],[Type]]="checklist-flat"),1+IF(changes[[#This Row],[Type of change]] = "Edit",COUNTIFS($I$4:changes[[#This Row],[Name]],changes[[#This Row],[Name]], $E$4:changes[[#This Row],[Type of change]], "Edit")),B371)</f>
        <v>1</v>
      </c>
      <c r="C372" s="20">
        <v>44582</v>
      </c>
      <c r="D372" s="2" t="s">
        <v>2024</v>
      </c>
      <c r="E372" t="s">
        <v>2011</v>
      </c>
      <c r="F372" s="14" t="s">
        <v>9</v>
      </c>
      <c r="G372" s="14" t="s">
        <v>788</v>
      </c>
      <c r="H372" t="s">
        <v>119</v>
      </c>
      <c r="I372" t="s">
        <v>788</v>
      </c>
      <c r="K372" s="3"/>
      <c r="M372" s="3"/>
    </row>
    <row r="373" spans="1:13">
      <c r="A373" t="s">
        <v>28</v>
      </c>
      <c r="B373">
        <f ca="1">IF(OR(changes[[#This Row],[Type]]="Checklist",changes[[#This Row],[Type]]="checklist-flat"),1+IF(changes[[#This Row],[Type of change]] = "Edit",COUNTIFS($I$4:changes[[#This Row],[Name]],changes[[#This Row],[Name]], $E$4:changes[[#This Row],[Type of change]], "Edit")),B372)</f>
        <v>1</v>
      </c>
      <c r="C373" s="20">
        <v>44582</v>
      </c>
      <c r="D373" s="2" t="s">
        <v>2024</v>
      </c>
      <c r="E373" t="s">
        <v>2011</v>
      </c>
      <c r="F373" s="14" t="s">
        <v>9</v>
      </c>
      <c r="G373" s="14" t="s">
        <v>788</v>
      </c>
      <c r="H373" t="s">
        <v>49</v>
      </c>
      <c r="I373" t="s">
        <v>789</v>
      </c>
      <c r="K373" s="3"/>
      <c r="M373" s="3"/>
    </row>
    <row r="374" spans="1:13">
      <c r="A374" t="s">
        <v>28</v>
      </c>
      <c r="B374">
        <f ca="1">IF(OR(changes[[#This Row],[Type]]="Checklist",changes[[#This Row],[Type]]="checklist-flat"),1+IF(changes[[#This Row],[Type of change]] = "Edit",COUNTIFS($I$4:changes[[#This Row],[Name]],changes[[#This Row],[Name]], $E$4:changes[[#This Row],[Type of change]], "Edit")),B373)</f>
        <v>1</v>
      </c>
      <c r="C374" s="20">
        <v>44582</v>
      </c>
      <c r="D374" s="2" t="s">
        <v>2024</v>
      </c>
      <c r="E374" t="s">
        <v>2011</v>
      </c>
      <c r="F374" s="14" t="s">
        <v>9</v>
      </c>
      <c r="G374" s="14" t="s">
        <v>788</v>
      </c>
      <c r="H374" t="s">
        <v>49</v>
      </c>
      <c r="I374" t="s">
        <v>790</v>
      </c>
      <c r="K374" s="3"/>
      <c r="M374" s="3"/>
    </row>
    <row r="375" spans="1:13">
      <c r="A375" t="s">
        <v>28</v>
      </c>
      <c r="B375">
        <f ca="1">IF(OR(changes[[#This Row],[Type]]="Checklist",changes[[#This Row],[Type]]="checklist-flat"),1+IF(changes[[#This Row],[Type of change]] = "Edit",COUNTIFS($I$4:changes[[#This Row],[Name]],changes[[#This Row],[Name]], $E$4:changes[[#This Row],[Type of change]], "Edit")),B374)</f>
        <v>1</v>
      </c>
      <c r="C375" s="20">
        <v>44582</v>
      </c>
      <c r="D375" s="2" t="s">
        <v>2024</v>
      </c>
      <c r="E375" t="s">
        <v>2011</v>
      </c>
      <c r="F375" s="14" t="s">
        <v>9</v>
      </c>
      <c r="G375" s="14" t="s">
        <v>788</v>
      </c>
      <c r="H375" t="s">
        <v>791</v>
      </c>
      <c r="I375" t="s">
        <v>792</v>
      </c>
      <c r="K375" s="3"/>
      <c r="M375" s="3"/>
    </row>
    <row r="376" spans="1:13">
      <c r="A376" t="s">
        <v>28</v>
      </c>
      <c r="B376">
        <f ca="1">IF(OR(changes[[#This Row],[Type]]="Checklist",changes[[#This Row],[Type]]="checklist-flat"),1+IF(changes[[#This Row],[Type of change]] = "Edit",COUNTIFS($I$4:changes[[#This Row],[Name]],changes[[#This Row],[Name]], $E$4:changes[[#This Row],[Type of change]], "Edit")),B375)</f>
        <v>1</v>
      </c>
      <c r="C376" s="20">
        <v>44582</v>
      </c>
      <c r="D376" s="2" t="s">
        <v>2024</v>
      </c>
      <c r="E376" t="s">
        <v>2011</v>
      </c>
      <c r="F376" s="14" t="s">
        <v>9</v>
      </c>
      <c r="G376" s="14" t="s">
        <v>788</v>
      </c>
      <c r="H376" t="s">
        <v>791</v>
      </c>
      <c r="I376" t="s">
        <v>793</v>
      </c>
      <c r="K376" s="3"/>
      <c r="M376" s="3"/>
    </row>
    <row r="377" spans="1:13">
      <c r="A377" t="s">
        <v>28</v>
      </c>
      <c r="B377">
        <f ca="1">IF(OR(changes[[#This Row],[Type]]="Checklist",changes[[#This Row],[Type]]="checklist-flat"),1+IF(changes[[#This Row],[Type of change]] = "Edit",COUNTIFS($I$4:changes[[#This Row],[Name]],changes[[#This Row],[Name]], $E$4:changes[[#This Row],[Type of change]], "Edit")),B376)</f>
        <v>1</v>
      </c>
      <c r="C377" s="20">
        <v>44582</v>
      </c>
      <c r="D377" s="2" t="s">
        <v>2024</v>
      </c>
      <c r="E377" t="s">
        <v>2011</v>
      </c>
      <c r="F377" s="14" t="s">
        <v>9</v>
      </c>
      <c r="G377" s="14" t="s">
        <v>788</v>
      </c>
      <c r="H377" t="s">
        <v>791</v>
      </c>
      <c r="I377" t="s">
        <v>794</v>
      </c>
      <c r="K377" s="3"/>
      <c r="M377" s="3"/>
    </row>
    <row r="378" spans="1:13">
      <c r="A378" t="s">
        <v>28</v>
      </c>
      <c r="B378">
        <f ca="1">IF(OR(changes[[#This Row],[Type]]="Checklist",changes[[#This Row],[Type]]="checklist-flat"),1+IF(changes[[#This Row],[Type of change]] = "Edit",COUNTIFS($I$4:changes[[#This Row],[Name]],changes[[#This Row],[Name]], $E$4:changes[[#This Row],[Type of change]], "Edit")),B377)</f>
        <v>1</v>
      </c>
      <c r="C378" s="20">
        <v>44582</v>
      </c>
      <c r="D378" s="2" t="s">
        <v>2024</v>
      </c>
      <c r="E378" t="s">
        <v>2011</v>
      </c>
      <c r="F378" s="14" t="s">
        <v>9</v>
      </c>
      <c r="G378" s="14" t="s">
        <v>788</v>
      </c>
      <c r="H378" t="s">
        <v>791</v>
      </c>
      <c r="I378" t="s">
        <v>795</v>
      </c>
      <c r="K378" s="3"/>
      <c r="M378" s="3"/>
    </row>
    <row r="379" spans="1:13">
      <c r="A379" t="s">
        <v>28</v>
      </c>
      <c r="B379">
        <f ca="1">IF(OR(changes[[#This Row],[Type]]="Checklist",changes[[#This Row],[Type]]="checklist-flat"),1+IF(changes[[#This Row],[Type of change]] = "Edit",COUNTIFS($I$4:changes[[#This Row],[Name]],changes[[#This Row],[Name]], $E$4:changes[[#This Row],[Type of change]], "Edit")),B378)</f>
        <v>1</v>
      </c>
      <c r="C379" s="20">
        <v>44582</v>
      </c>
      <c r="D379" s="2" t="s">
        <v>2024</v>
      </c>
      <c r="E379" t="s">
        <v>2011</v>
      </c>
      <c r="F379" s="14" t="s">
        <v>9</v>
      </c>
      <c r="G379" s="14" t="s">
        <v>788</v>
      </c>
      <c r="H379" t="s">
        <v>796</v>
      </c>
      <c r="I379" t="s">
        <v>797</v>
      </c>
      <c r="J379" t="s">
        <v>153</v>
      </c>
      <c r="K379" s="3"/>
      <c r="M379" s="3"/>
    </row>
    <row r="380" spans="1:13">
      <c r="A380" t="s">
        <v>28</v>
      </c>
      <c r="B380">
        <f ca="1">IF(OR(changes[[#This Row],[Type]]="Checklist",changes[[#This Row],[Type]]="checklist-flat"),1+IF(changes[[#This Row],[Type of change]] = "Edit",COUNTIFS($I$4:changes[[#This Row],[Name]],changes[[#This Row],[Name]], $E$4:changes[[#This Row],[Type of change]], "Edit")),B379)</f>
        <v>1</v>
      </c>
      <c r="C380" s="20">
        <v>44582</v>
      </c>
      <c r="D380" s="2" t="s">
        <v>2024</v>
      </c>
      <c r="E380" t="s">
        <v>2011</v>
      </c>
      <c r="F380" s="14" t="s">
        <v>9</v>
      </c>
      <c r="G380" s="14" t="s">
        <v>788</v>
      </c>
      <c r="H380" t="s">
        <v>791</v>
      </c>
      <c r="I380" t="s">
        <v>798</v>
      </c>
      <c r="K380" s="3"/>
      <c r="M380" s="3"/>
    </row>
    <row r="381" spans="1:13">
      <c r="A381" t="s">
        <v>28</v>
      </c>
      <c r="B381">
        <f ca="1">IF(OR(changes[[#This Row],[Type]]="Checklist",changes[[#This Row],[Type]]="checklist-flat"),1+IF(changes[[#This Row],[Type of change]] = "Edit",COUNTIFS($I$4:changes[[#This Row],[Name]],changes[[#This Row],[Name]], $E$4:changes[[#This Row],[Type of change]], "Edit")),B380)</f>
        <v>1</v>
      </c>
      <c r="C381" s="20">
        <v>44582</v>
      </c>
      <c r="D381" s="2" t="s">
        <v>2024</v>
      </c>
      <c r="E381" t="s">
        <v>2011</v>
      </c>
      <c r="F381" s="14" t="s">
        <v>9</v>
      </c>
      <c r="G381" s="14" t="s">
        <v>788</v>
      </c>
      <c r="H381" t="s">
        <v>49</v>
      </c>
      <c r="I381" t="s">
        <v>799</v>
      </c>
      <c r="K381" s="3"/>
      <c r="M381" s="3"/>
    </row>
    <row r="382" spans="1:13">
      <c r="A382" t="s">
        <v>28</v>
      </c>
      <c r="B382">
        <f ca="1">IF(OR(changes[[#This Row],[Type]]="Checklist",changes[[#This Row],[Type]]="checklist-flat"),1+IF(changes[[#This Row],[Type of change]] = "Edit",COUNTIFS($I$4:changes[[#This Row],[Name]],changes[[#This Row],[Name]], $E$4:changes[[#This Row],[Type of change]], "Edit")),B381)</f>
        <v>1</v>
      </c>
      <c r="C382" s="20">
        <v>44582</v>
      </c>
      <c r="D382" s="2" t="s">
        <v>2024</v>
      </c>
      <c r="E382" t="s">
        <v>2011</v>
      </c>
      <c r="F382" s="14" t="s">
        <v>9</v>
      </c>
      <c r="G382" s="14" t="s">
        <v>788</v>
      </c>
      <c r="H382" t="s">
        <v>49</v>
      </c>
      <c r="I382" t="s">
        <v>800</v>
      </c>
      <c r="K382" s="3"/>
      <c r="M382" s="3"/>
    </row>
    <row r="383" spans="1:13">
      <c r="A383" t="s">
        <v>28</v>
      </c>
      <c r="B383">
        <f ca="1">IF(OR(changes[[#This Row],[Type]]="Checklist",changes[[#This Row],[Type]]="checklist-flat"),1+IF(changes[[#This Row],[Type of change]] = "Edit",COUNTIFS($I$4:changes[[#This Row],[Name]],changes[[#This Row],[Name]], $E$4:changes[[#This Row],[Type of change]], "Edit")),B382)</f>
        <v>1</v>
      </c>
      <c r="C383" s="20">
        <v>44582</v>
      </c>
      <c r="D383" s="2" t="s">
        <v>2024</v>
      </c>
      <c r="E383" t="s">
        <v>2011</v>
      </c>
      <c r="F383" s="14" t="s">
        <v>9</v>
      </c>
      <c r="G383" s="14" t="s">
        <v>788</v>
      </c>
      <c r="H383" t="s">
        <v>49</v>
      </c>
      <c r="I383" t="s">
        <v>801</v>
      </c>
      <c r="K383" s="3"/>
      <c r="M383" s="3"/>
    </row>
    <row r="384" spans="1:13">
      <c r="A384" t="s">
        <v>28</v>
      </c>
      <c r="B384">
        <f ca="1">IF(OR(changes[[#This Row],[Type]]="Checklist",changes[[#This Row],[Type]]="checklist-flat"),1+IF(changes[[#This Row],[Type of change]] = "Edit",COUNTIFS($I$4:changes[[#This Row],[Name]],changes[[#This Row],[Name]], $E$4:changes[[#This Row],[Type of change]], "Edit")),B383)</f>
        <v>1</v>
      </c>
      <c r="C384" s="20">
        <v>44582</v>
      </c>
      <c r="D384" s="2" t="s">
        <v>2024</v>
      </c>
      <c r="E384" t="s">
        <v>2011</v>
      </c>
      <c r="F384" s="14" t="s">
        <v>9</v>
      </c>
      <c r="G384" s="14" t="s">
        <v>788</v>
      </c>
      <c r="H384" t="s">
        <v>802</v>
      </c>
      <c r="I384" t="s">
        <v>803</v>
      </c>
      <c r="K384" s="3"/>
      <c r="M384" s="3"/>
    </row>
    <row r="385" spans="1:13">
      <c r="A385" t="s">
        <v>28</v>
      </c>
      <c r="B385">
        <f ca="1">IF(OR(changes[[#This Row],[Type]]="Checklist",changes[[#This Row],[Type]]="checklist-flat"),1+IF(changes[[#This Row],[Type of change]] = "Edit",COUNTIFS($I$4:changes[[#This Row],[Name]],changes[[#This Row],[Name]], $E$4:changes[[#This Row],[Type of change]], "Edit")),B384)</f>
        <v>1</v>
      </c>
      <c r="C385" s="20">
        <v>44582</v>
      </c>
      <c r="D385" s="2" t="s">
        <v>2024</v>
      </c>
      <c r="E385" t="s">
        <v>2011</v>
      </c>
      <c r="F385" s="14" t="s">
        <v>9</v>
      </c>
      <c r="G385" s="14" t="s">
        <v>804</v>
      </c>
      <c r="H385" t="s">
        <v>119</v>
      </c>
      <c r="I385" t="s">
        <v>804</v>
      </c>
      <c r="K385" s="3"/>
      <c r="M385" s="3"/>
    </row>
    <row r="386" spans="1:13">
      <c r="A386" t="s">
        <v>28</v>
      </c>
      <c r="B386">
        <f ca="1">IF(OR(changes[[#This Row],[Type]]="Checklist",changes[[#This Row],[Type]]="checklist-flat"),1+IF(changes[[#This Row],[Type of change]] = "Edit",COUNTIFS($I$4:changes[[#This Row],[Name]],changes[[#This Row],[Name]], $E$4:changes[[#This Row],[Type of change]], "Edit")),B385)</f>
        <v>1</v>
      </c>
      <c r="C386" s="20">
        <v>44582</v>
      </c>
      <c r="D386" s="2" t="s">
        <v>2024</v>
      </c>
      <c r="E386" t="s">
        <v>2011</v>
      </c>
      <c r="F386" s="14" t="s">
        <v>9</v>
      </c>
      <c r="G386" s="14" t="s">
        <v>804</v>
      </c>
      <c r="H386" t="s">
        <v>120</v>
      </c>
      <c r="I386" t="s">
        <v>805</v>
      </c>
      <c r="K386" s="3"/>
      <c r="M386" s="3"/>
    </row>
    <row r="387" spans="1:13">
      <c r="A387" t="s">
        <v>28</v>
      </c>
      <c r="B387">
        <f ca="1">IF(OR(changes[[#This Row],[Type]]="Checklist",changes[[#This Row],[Type]]="checklist-flat"),1+IF(changes[[#This Row],[Type of change]] = "Edit",COUNTIFS($I$4:changes[[#This Row],[Name]],changes[[#This Row],[Name]], $E$4:changes[[#This Row],[Type of change]], "Edit")),B386)</f>
        <v>1</v>
      </c>
      <c r="C387" s="20">
        <v>44582</v>
      </c>
      <c r="D387" s="2" t="s">
        <v>2024</v>
      </c>
      <c r="E387" t="s">
        <v>2011</v>
      </c>
      <c r="F387" s="14" t="s">
        <v>9</v>
      </c>
      <c r="G387" s="14" t="s">
        <v>804</v>
      </c>
      <c r="H387" t="s">
        <v>49</v>
      </c>
      <c r="I387" t="s">
        <v>806</v>
      </c>
      <c r="K387" s="3"/>
      <c r="M387" s="3"/>
    </row>
    <row r="388" spans="1:13">
      <c r="A388" t="s">
        <v>28</v>
      </c>
      <c r="B388">
        <f ca="1">IF(OR(changes[[#This Row],[Type]]="Checklist",changes[[#This Row],[Type]]="checklist-flat"),1+IF(changes[[#This Row],[Type of change]] = "Edit",COUNTIFS($I$4:changes[[#This Row],[Name]],changes[[#This Row],[Name]], $E$4:changes[[#This Row],[Type of change]], "Edit")),B387)</f>
        <v>1</v>
      </c>
      <c r="C388" s="20">
        <v>44582</v>
      </c>
      <c r="D388" s="2" t="s">
        <v>2024</v>
      </c>
      <c r="E388" t="s">
        <v>2011</v>
      </c>
      <c r="F388" s="14" t="s">
        <v>9</v>
      </c>
      <c r="G388" s="14" t="s">
        <v>804</v>
      </c>
      <c r="H388" t="s">
        <v>49</v>
      </c>
      <c r="I388" t="s">
        <v>807</v>
      </c>
      <c r="K388" s="3"/>
      <c r="M388" s="3"/>
    </row>
    <row r="389" spans="1:13">
      <c r="A389" t="s">
        <v>28</v>
      </c>
      <c r="B389">
        <f ca="1">IF(OR(changes[[#This Row],[Type]]="Checklist",changes[[#This Row],[Type]]="checklist-flat"),1+IF(changes[[#This Row],[Type of change]] = "Edit",COUNTIFS($I$4:changes[[#This Row],[Name]],changes[[#This Row],[Name]], $E$4:changes[[#This Row],[Type of change]], "Edit")),B388)</f>
        <v>1</v>
      </c>
      <c r="C389" s="20">
        <v>44582</v>
      </c>
      <c r="D389" s="2" t="s">
        <v>2024</v>
      </c>
      <c r="E389" t="s">
        <v>2011</v>
      </c>
      <c r="F389" s="14" t="s">
        <v>9</v>
      </c>
      <c r="G389" s="14" t="s">
        <v>804</v>
      </c>
      <c r="H389" t="s">
        <v>49</v>
      </c>
      <c r="I389" t="s">
        <v>808</v>
      </c>
      <c r="K389" s="3"/>
      <c r="M389" s="3"/>
    </row>
    <row r="390" spans="1:13">
      <c r="A390" t="s">
        <v>28</v>
      </c>
      <c r="B390">
        <f ca="1">IF(OR(changes[[#This Row],[Type]]="Checklist",changes[[#This Row],[Type]]="checklist-flat"),1+IF(changes[[#This Row],[Type of change]] = "Edit",COUNTIFS($I$4:changes[[#This Row],[Name]],changes[[#This Row],[Name]], $E$4:changes[[#This Row],[Type of change]], "Edit")),B389)</f>
        <v>1</v>
      </c>
      <c r="C390" s="20">
        <v>44582</v>
      </c>
      <c r="D390" s="2" t="s">
        <v>2024</v>
      </c>
      <c r="E390" t="s">
        <v>2011</v>
      </c>
      <c r="F390" s="14" t="s">
        <v>9</v>
      </c>
      <c r="G390" s="14" t="s">
        <v>804</v>
      </c>
      <c r="H390" s="48" t="s">
        <v>49</v>
      </c>
      <c r="I390" s="48" t="s">
        <v>809</v>
      </c>
      <c r="J390" s="48"/>
      <c r="K390" s="3"/>
      <c r="M390" s="3"/>
    </row>
    <row r="391" spans="1:13">
      <c r="A391" t="s">
        <v>28</v>
      </c>
      <c r="B391">
        <f ca="1">IF(OR(changes[[#This Row],[Type]]="Checklist",changes[[#This Row],[Type]]="checklist-flat"),1+IF(changes[[#This Row],[Type of change]] = "Edit",COUNTIFS($I$4:changes[[#This Row],[Name]],changes[[#This Row],[Name]], $E$4:changes[[#This Row],[Type of change]], "Edit")),B390)</f>
        <v>1</v>
      </c>
      <c r="C391" s="20">
        <v>44582</v>
      </c>
      <c r="D391" s="2" t="s">
        <v>2024</v>
      </c>
      <c r="E391" t="s">
        <v>2011</v>
      </c>
      <c r="F391" s="14" t="s">
        <v>9</v>
      </c>
      <c r="G391" s="14" t="s">
        <v>804</v>
      </c>
      <c r="H391" t="s">
        <v>791</v>
      </c>
      <c r="I391" t="s">
        <v>810</v>
      </c>
      <c r="K391" s="3"/>
      <c r="M391" s="3"/>
    </row>
    <row r="392" spans="1:13">
      <c r="A392" t="s">
        <v>28</v>
      </c>
      <c r="B392">
        <f ca="1">IF(OR(changes[[#This Row],[Type]]="Checklist",changes[[#This Row],[Type]]="checklist-flat"),1+IF(changes[[#This Row],[Type of change]] = "Edit",COUNTIFS($I$4:changes[[#This Row],[Name]],changes[[#This Row],[Name]], $E$4:changes[[#This Row],[Type of change]], "Edit")),B391)</f>
        <v>1</v>
      </c>
      <c r="C392" s="20">
        <v>44582</v>
      </c>
      <c r="D392" s="2" t="s">
        <v>2024</v>
      </c>
      <c r="E392" t="s">
        <v>2011</v>
      </c>
      <c r="F392" s="14" t="s">
        <v>9</v>
      </c>
      <c r="G392" s="14" t="s">
        <v>804</v>
      </c>
      <c r="H392" t="s">
        <v>49</v>
      </c>
      <c r="I392" t="s">
        <v>811</v>
      </c>
      <c r="K392" s="3"/>
      <c r="M392" s="3"/>
    </row>
    <row r="393" spans="1:13">
      <c r="A393" t="s">
        <v>28</v>
      </c>
      <c r="B393">
        <f ca="1">IF(OR(changes[[#This Row],[Type]]="Checklist",changes[[#This Row],[Type]]="checklist-flat"),1+IF(changes[[#This Row],[Type of change]] = "Edit",COUNTIFS($I$4:changes[[#This Row],[Name]],changes[[#This Row],[Name]], $E$4:changes[[#This Row],[Type of change]], "Edit")),B392)</f>
        <v>1</v>
      </c>
      <c r="C393" s="20">
        <v>44582</v>
      </c>
      <c r="D393" s="2" t="s">
        <v>2024</v>
      </c>
      <c r="E393" t="s">
        <v>2011</v>
      </c>
      <c r="F393" s="14" t="s">
        <v>9</v>
      </c>
      <c r="G393" s="14" t="s">
        <v>804</v>
      </c>
      <c r="H393" s="48" t="s">
        <v>49</v>
      </c>
      <c r="I393" s="48" t="s">
        <v>812</v>
      </c>
      <c r="J393" s="48"/>
      <c r="K393" s="3"/>
      <c r="M393" s="3"/>
    </row>
    <row r="394" spans="1:13">
      <c r="A394" t="s">
        <v>28</v>
      </c>
      <c r="B394">
        <f ca="1">IF(OR(changes[[#This Row],[Type]]="Checklist",changes[[#This Row],[Type]]="checklist-flat"),1+IF(changes[[#This Row],[Type of change]] = "Edit",COUNTIFS($I$4:changes[[#This Row],[Name]],changes[[#This Row],[Name]], $E$4:changes[[#This Row],[Type of change]], "Edit")),B393)</f>
        <v>1</v>
      </c>
      <c r="C394" s="20">
        <v>44582</v>
      </c>
      <c r="D394" s="2" t="s">
        <v>2024</v>
      </c>
      <c r="E394" t="s">
        <v>2011</v>
      </c>
      <c r="F394" s="14" t="s">
        <v>9</v>
      </c>
      <c r="G394" s="14" t="s">
        <v>804</v>
      </c>
      <c r="H394" t="s">
        <v>120</v>
      </c>
      <c r="I394" t="s">
        <v>814</v>
      </c>
      <c r="K394" s="3"/>
      <c r="M394" s="3"/>
    </row>
    <row r="395" spans="1:13">
      <c r="A395" t="s">
        <v>28</v>
      </c>
      <c r="B395">
        <f ca="1">IF(OR(changes[[#This Row],[Type]]="Checklist",changes[[#This Row],[Type]]="checklist-flat"),1+IF(changes[[#This Row],[Type of change]] = "Edit",COUNTIFS($I$4:changes[[#This Row],[Name]],changes[[#This Row],[Name]], $E$4:changes[[#This Row],[Type of change]], "Edit")),B394)</f>
        <v>1</v>
      </c>
      <c r="C395" s="20">
        <v>44582</v>
      </c>
      <c r="D395" s="2" t="s">
        <v>2024</v>
      </c>
      <c r="E395" t="s">
        <v>2011</v>
      </c>
      <c r="F395" s="14" t="s">
        <v>9</v>
      </c>
      <c r="G395" s="14" t="s">
        <v>804</v>
      </c>
      <c r="H395" t="s">
        <v>49</v>
      </c>
      <c r="I395" t="s">
        <v>806</v>
      </c>
      <c r="K395" s="3"/>
      <c r="M395" s="3"/>
    </row>
    <row r="396" spans="1:13">
      <c r="A396" t="s">
        <v>28</v>
      </c>
      <c r="B396">
        <f ca="1">IF(OR(changes[[#This Row],[Type]]="Checklist",changes[[#This Row],[Type]]="checklist-flat"),1+IF(changes[[#This Row],[Type of change]] = "Edit",COUNTIFS($I$4:changes[[#This Row],[Name]],changes[[#This Row],[Name]], $E$4:changes[[#This Row],[Type of change]], "Edit")),B395)</f>
        <v>1</v>
      </c>
      <c r="C396" s="20">
        <v>44582</v>
      </c>
      <c r="D396" s="2" t="s">
        <v>2024</v>
      </c>
      <c r="E396" t="s">
        <v>2011</v>
      </c>
      <c r="F396" s="14" t="s">
        <v>9</v>
      </c>
      <c r="G396" s="14" t="s">
        <v>804</v>
      </c>
      <c r="H396" t="s">
        <v>49</v>
      </c>
      <c r="I396" t="s">
        <v>815</v>
      </c>
      <c r="K396" s="3"/>
      <c r="M396" s="3"/>
    </row>
    <row r="397" spans="1:13">
      <c r="A397" t="s">
        <v>28</v>
      </c>
      <c r="B397">
        <f ca="1">IF(OR(changes[[#This Row],[Type]]="Checklist",changes[[#This Row],[Type]]="checklist-flat"),1+IF(changes[[#This Row],[Type of change]] = "Edit",COUNTIFS($I$4:changes[[#This Row],[Name]],changes[[#This Row],[Name]], $E$4:changes[[#This Row],[Type of change]], "Edit")),B396)</f>
        <v>1</v>
      </c>
      <c r="C397" s="20">
        <v>44582</v>
      </c>
      <c r="D397" s="2" t="s">
        <v>2024</v>
      </c>
      <c r="E397" t="s">
        <v>2011</v>
      </c>
      <c r="F397" s="14" t="s">
        <v>9</v>
      </c>
      <c r="G397" s="14" t="s">
        <v>804</v>
      </c>
      <c r="H397" s="48" t="s">
        <v>49</v>
      </c>
      <c r="I397" s="48" t="s">
        <v>816</v>
      </c>
      <c r="J397" s="48"/>
      <c r="K397" s="3"/>
      <c r="M397" s="3"/>
    </row>
    <row r="398" spans="1:13">
      <c r="A398" t="s">
        <v>28</v>
      </c>
      <c r="B398">
        <f ca="1">IF(OR(changes[[#This Row],[Type]]="Checklist",changes[[#This Row],[Type]]="checklist-flat"),1+IF(changes[[#This Row],[Type of change]] = "Edit",COUNTIFS($I$4:changes[[#This Row],[Name]],changes[[#This Row],[Name]], $E$4:changes[[#This Row],[Type of change]], "Edit")),B397)</f>
        <v>1</v>
      </c>
      <c r="C398" s="20">
        <v>44582</v>
      </c>
      <c r="D398" s="2" t="s">
        <v>2024</v>
      </c>
      <c r="E398" t="s">
        <v>2011</v>
      </c>
      <c r="F398" s="14" t="s">
        <v>9</v>
      </c>
      <c r="G398" s="14" t="s">
        <v>804</v>
      </c>
      <c r="H398" t="s">
        <v>49</v>
      </c>
      <c r="I398" t="s">
        <v>817</v>
      </c>
      <c r="K398" s="3"/>
      <c r="M398" s="3"/>
    </row>
    <row r="399" spans="1:13">
      <c r="A399" t="s">
        <v>28</v>
      </c>
      <c r="B399">
        <f ca="1">IF(OR(changes[[#This Row],[Type]]="Checklist",changes[[#This Row],[Type]]="checklist-flat"),1+IF(changes[[#This Row],[Type of change]] = "Edit",COUNTIFS($I$4:changes[[#This Row],[Name]],changes[[#This Row],[Name]], $E$4:changes[[#This Row],[Type of change]], "Edit")),B398)</f>
        <v>1</v>
      </c>
      <c r="C399" s="20">
        <v>44582</v>
      </c>
      <c r="D399" s="2" t="s">
        <v>2024</v>
      </c>
      <c r="E399" t="s">
        <v>2011</v>
      </c>
      <c r="F399" s="14" t="s">
        <v>9</v>
      </c>
      <c r="G399" s="14" t="s">
        <v>804</v>
      </c>
      <c r="H399" t="s">
        <v>49</v>
      </c>
      <c r="I399" t="s">
        <v>818</v>
      </c>
      <c r="K399" s="3"/>
      <c r="M399" s="3"/>
    </row>
    <row r="400" spans="1:13">
      <c r="A400" t="s">
        <v>28</v>
      </c>
      <c r="B400">
        <f ca="1">IF(OR(changes[[#This Row],[Type]]="Checklist",changes[[#This Row],[Type]]="checklist-flat"),1+IF(changes[[#This Row],[Type of change]] = "Edit",COUNTIFS($I$4:changes[[#This Row],[Name]],changes[[#This Row],[Name]], $E$4:changes[[#This Row],[Type of change]], "Edit")),B399)</f>
        <v>1</v>
      </c>
      <c r="C400" s="20">
        <v>44582</v>
      </c>
      <c r="D400" s="2" t="s">
        <v>2024</v>
      </c>
      <c r="E400" t="s">
        <v>2011</v>
      </c>
      <c r="F400" s="14" t="s">
        <v>9</v>
      </c>
      <c r="G400" s="14" t="s">
        <v>804</v>
      </c>
      <c r="H400" t="s">
        <v>49</v>
      </c>
      <c r="I400" t="s">
        <v>819</v>
      </c>
      <c r="K400" s="3"/>
      <c r="M400" s="3"/>
    </row>
    <row r="401" spans="1:13">
      <c r="A401" t="s">
        <v>28</v>
      </c>
      <c r="B401">
        <f ca="1">IF(OR(changes[[#This Row],[Type]]="Checklist",changes[[#This Row],[Type]]="checklist-flat"),1+IF(changes[[#This Row],[Type of change]] = "Edit",COUNTIFS($I$4:changes[[#This Row],[Name]],changes[[#This Row],[Name]], $E$4:changes[[#This Row],[Type of change]], "Edit")),B400)</f>
        <v>1</v>
      </c>
      <c r="C401" s="20">
        <v>44582</v>
      </c>
      <c r="D401" s="2" t="s">
        <v>2024</v>
      </c>
      <c r="E401" t="s">
        <v>2011</v>
      </c>
      <c r="F401" s="14" t="s">
        <v>9</v>
      </c>
      <c r="G401" s="14" t="s">
        <v>804</v>
      </c>
      <c r="H401" s="48" t="s">
        <v>49</v>
      </c>
      <c r="I401" s="48" t="s">
        <v>820</v>
      </c>
      <c r="J401" s="48"/>
      <c r="K401" s="3"/>
      <c r="M401" s="3"/>
    </row>
    <row r="402" spans="1:13">
      <c r="A402" t="s">
        <v>28</v>
      </c>
      <c r="B402">
        <f ca="1">IF(OR(changes[[#This Row],[Type]]="Checklist",changes[[#This Row],[Type]]="checklist-flat"),1+IF(changes[[#This Row],[Type of change]] = "Edit",COUNTIFS($I$4:changes[[#This Row],[Name]],changes[[#This Row],[Name]], $E$4:changes[[#This Row],[Type of change]], "Edit")),B401)</f>
        <v>1</v>
      </c>
      <c r="C402" s="20">
        <v>44582</v>
      </c>
      <c r="D402" s="2" t="s">
        <v>2024</v>
      </c>
      <c r="E402" t="s">
        <v>2011</v>
      </c>
      <c r="F402" s="14" t="s">
        <v>9</v>
      </c>
      <c r="G402" s="14" t="s">
        <v>804</v>
      </c>
      <c r="H402" t="s">
        <v>120</v>
      </c>
      <c r="I402" t="s">
        <v>821</v>
      </c>
      <c r="K402" s="3"/>
      <c r="M402" s="3"/>
    </row>
    <row r="403" spans="1:13">
      <c r="A403" t="s">
        <v>28</v>
      </c>
      <c r="B403">
        <f ca="1">IF(OR(changes[[#This Row],[Type]]="Checklist",changes[[#This Row],[Type]]="checklist-flat"),1+IF(changes[[#This Row],[Type of change]] = "Edit",COUNTIFS($I$4:changes[[#This Row],[Name]],changes[[#This Row],[Name]], $E$4:changes[[#This Row],[Type of change]], "Edit")),B402)</f>
        <v>1</v>
      </c>
      <c r="C403" s="20">
        <v>44582</v>
      </c>
      <c r="D403" s="2" t="s">
        <v>2024</v>
      </c>
      <c r="E403" t="s">
        <v>2011</v>
      </c>
      <c r="F403" s="14" t="s">
        <v>9</v>
      </c>
      <c r="G403" s="14" t="s">
        <v>804</v>
      </c>
      <c r="H403" t="s">
        <v>49</v>
      </c>
      <c r="I403" t="s">
        <v>822</v>
      </c>
      <c r="K403" s="3"/>
      <c r="M403" s="3"/>
    </row>
    <row r="404" spans="1:13">
      <c r="A404" t="s">
        <v>28</v>
      </c>
      <c r="B404">
        <f ca="1">IF(OR(changes[[#This Row],[Type]]="Checklist",changes[[#This Row],[Type]]="checklist-flat"),1+IF(changes[[#This Row],[Type of change]] = "Edit",COUNTIFS($I$4:changes[[#This Row],[Name]],changes[[#This Row],[Name]], $E$4:changes[[#This Row],[Type of change]], "Edit")),B403)</f>
        <v>1</v>
      </c>
      <c r="C404" s="20">
        <v>44582</v>
      </c>
      <c r="D404" s="2" t="s">
        <v>2024</v>
      </c>
      <c r="E404" t="s">
        <v>2011</v>
      </c>
      <c r="F404" s="14" t="s">
        <v>9</v>
      </c>
      <c r="G404" s="14" t="s">
        <v>804</v>
      </c>
      <c r="H404" t="s">
        <v>49</v>
      </c>
      <c r="I404" t="s">
        <v>823</v>
      </c>
      <c r="K404" s="3"/>
      <c r="M404" s="3"/>
    </row>
    <row r="405" spans="1:13">
      <c r="A405" t="s">
        <v>28</v>
      </c>
      <c r="B405">
        <f ca="1">IF(OR(changes[[#This Row],[Type]]="Checklist",changes[[#This Row],[Type]]="checklist-flat"),1+IF(changes[[#This Row],[Type of change]] = "Edit",COUNTIFS($I$4:changes[[#This Row],[Name]],changes[[#This Row],[Name]], $E$4:changes[[#This Row],[Type of change]], "Edit")),B404)</f>
        <v>1</v>
      </c>
      <c r="C405" s="20">
        <v>44582</v>
      </c>
      <c r="D405" s="2" t="s">
        <v>2024</v>
      </c>
      <c r="E405" t="s">
        <v>2011</v>
      </c>
      <c r="F405" s="14" t="s">
        <v>9</v>
      </c>
      <c r="G405" s="14" t="s">
        <v>824</v>
      </c>
      <c r="H405" s="49" t="s">
        <v>119</v>
      </c>
      <c r="I405" s="47" t="s">
        <v>824</v>
      </c>
      <c r="K405" s="3"/>
      <c r="M405" s="3"/>
    </row>
    <row r="406" spans="1:13">
      <c r="A406" t="s">
        <v>28</v>
      </c>
      <c r="B406">
        <f ca="1">IF(OR(changes[[#This Row],[Type]]="Checklist",changes[[#This Row],[Type]]="checklist-flat"),1+IF(changes[[#This Row],[Type of change]] = "Edit",COUNTIFS($I$4:changes[[#This Row],[Name]],changes[[#This Row],[Name]], $E$4:changes[[#This Row],[Type of change]], "Edit")),B405)</f>
        <v>1</v>
      </c>
      <c r="C406" s="20">
        <v>44582</v>
      </c>
      <c r="D406" s="2" t="s">
        <v>2024</v>
      </c>
      <c r="E406" t="s">
        <v>2011</v>
      </c>
      <c r="F406" s="14" t="s">
        <v>9</v>
      </c>
      <c r="G406" s="14" t="s">
        <v>824</v>
      </c>
      <c r="H406" s="49" t="s">
        <v>49</v>
      </c>
      <c r="I406" s="47" t="s">
        <v>260</v>
      </c>
      <c r="K406" s="3"/>
      <c r="M406" s="3"/>
    </row>
    <row r="407" spans="1:13">
      <c r="A407" t="s">
        <v>28</v>
      </c>
      <c r="B407">
        <f ca="1">IF(OR(changes[[#This Row],[Type]]="Checklist",changes[[#This Row],[Type]]="checklist-flat"),1+IF(changes[[#This Row],[Type of change]] = "Edit",COUNTIFS($I$4:changes[[#This Row],[Name]],changes[[#This Row],[Name]], $E$4:changes[[#This Row],[Type of change]], "Edit")),B406)</f>
        <v>1</v>
      </c>
      <c r="C407" s="20">
        <v>44582</v>
      </c>
      <c r="D407" s="2" t="s">
        <v>2024</v>
      </c>
      <c r="E407" t="s">
        <v>2011</v>
      </c>
      <c r="F407" s="14" t="s">
        <v>9</v>
      </c>
      <c r="G407" s="14" t="s">
        <v>824</v>
      </c>
      <c r="H407" s="49" t="s">
        <v>49</v>
      </c>
      <c r="I407" s="47" t="s">
        <v>261</v>
      </c>
      <c r="K407" s="3"/>
      <c r="M407" s="3"/>
    </row>
    <row r="408" spans="1:13">
      <c r="A408" t="s">
        <v>28</v>
      </c>
      <c r="B408">
        <f ca="1">IF(OR(changes[[#This Row],[Type]]="Checklist",changes[[#This Row],[Type]]="checklist-flat"),1+IF(changes[[#This Row],[Type of change]] = "Edit",COUNTIFS($I$4:changes[[#This Row],[Name]],changes[[#This Row],[Name]], $E$4:changes[[#This Row],[Type of change]], "Edit")),B407)</f>
        <v>1</v>
      </c>
      <c r="C408" s="20">
        <v>44582</v>
      </c>
      <c r="D408" s="2" t="s">
        <v>2024</v>
      </c>
      <c r="E408" t="s">
        <v>2011</v>
      </c>
      <c r="F408" s="14" t="s">
        <v>9</v>
      </c>
      <c r="G408" s="14" t="s">
        <v>824</v>
      </c>
      <c r="H408" s="49" t="s">
        <v>49</v>
      </c>
      <c r="I408" s="47" t="s">
        <v>262</v>
      </c>
      <c r="K408" s="3"/>
      <c r="M408" s="3"/>
    </row>
    <row r="409" spans="1:13">
      <c r="A409" t="s">
        <v>28</v>
      </c>
      <c r="B409">
        <f ca="1">IF(OR(changes[[#This Row],[Type]]="Checklist",changes[[#This Row],[Type]]="checklist-flat"),1+IF(changes[[#This Row],[Type of change]] = "Edit",COUNTIFS($I$4:changes[[#This Row],[Name]],changes[[#This Row],[Name]], $E$4:changes[[#This Row],[Type of change]], "Edit")),B408)</f>
        <v>1</v>
      </c>
      <c r="C409" s="20">
        <v>44582</v>
      </c>
      <c r="D409" s="2" t="s">
        <v>2024</v>
      </c>
      <c r="E409" t="s">
        <v>2011</v>
      </c>
      <c r="F409" s="14" t="s">
        <v>9</v>
      </c>
      <c r="G409" s="14" t="s">
        <v>824</v>
      </c>
      <c r="H409" s="49" t="s">
        <v>49</v>
      </c>
      <c r="I409" s="47" t="s">
        <v>263</v>
      </c>
      <c r="K409" s="3"/>
      <c r="M409" s="3"/>
    </row>
    <row r="410" spans="1:13">
      <c r="A410" t="s">
        <v>28</v>
      </c>
      <c r="B410">
        <f ca="1">IF(OR(changes[[#This Row],[Type]]="Checklist",changes[[#This Row],[Type]]="checklist-flat"),1+IF(changes[[#This Row],[Type of change]] = "Edit",COUNTIFS($I$4:changes[[#This Row],[Name]],changes[[#This Row],[Name]], $E$4:changes[[#This Row],[Type of change]], "Edit")),B409)</f>
        <v>1</v>
      </c>
      <c r="C410" s="20">
        <v>44582</v>
      </c>
      <c r="D410" s="2" t="s">
        <v>2024</v>
      </c>
      <c r="E410" t="s">
        <v>2011</v>
      </c>
      <c r="F410" s="14" t="s">
        <v>9</v>
      </c>
      <c r="G410" s="14" t="s">
        <v>824</v>
      </c>
      <c r="H410" s="49" t="s">
        <v>49</v>
      </c>
      <c r="I410" s="47" t="s">
        <v>264</v>
      </c>
      <c r="K410" s="3"/>
      <c r="M410" s="3"/>
    </row>
    <row r="411" spans="1:13">
      <c r="A411" t="s">
        <v>28</v>
      </c>
      <c r="B411">
        <f ca="1">IF(OR(changes[[#This Row],[Type]]="Checklist",changes[[#This Row],[Type]]="checklist-flat"),1+IF(changes[[#This Row],[Type of change]] = "Edit",COUNTIFS($I$4:changes[[#This Row],[Name]],changes[[#This Row],[Name]], $E$4:changes[[#This Row],[Type of change]], "Edit")),B410)</f>
        <v>1</v>
      </c>
      <c r="C411" s="20">
        <v>44582</v>
      </c>
      <c r="D411" s="2" t="s">
        <v>2024</v>
      </c>
      <c r="E411" t="s">
        <v>2011</v>
      </c>
      <c r="F411" s="14" t="s">
        <v>9</v>
      </c>
      <c r="G411" s="14" t="s">
        <v>824</v>
      </c>
      <c r="H411" s="49" t="s">
        <v>66</v>
      </c>
      <c r="I411" s="47" t="s">
        <v>265</v>
      </c>
      <c r="K411" s="3"/>
      <c r="M411" s="3"/>
    </row>
    <row r="412" spans="1:13">
      <c r="A412" t="s">
        <v>28</v>
      </c>
      <c r="B412">
        <f ca="1">IF(OR(changes[[#This Row],[Type]]="Checklist",changes[[#This Row],[Type]]="checklist-flat"),1+IF(changes[[#This Row],[Type of change]] = "Edit",COUNTIFS($I$4:changes[[#This Row],[Name]],changes[[#This Row],[Name]], $E$4:changes[[#This Row],[Type of change]], "Edit")),B411)</f>
        <v>1</v>
      </c>
      <c r="C412" s="20">
        <v>44582</v>
      </c>
      <c r="D412" s="2" t="s">
        <v>2024</v>
      </c>
      <c r="E412" t="s">
        <v>2011</v>
      </c>
      <c r="F412" s="14" t="s">
        <v>9</v>
      </c>
      <c r="G412" s="14" t="s">
        <v>824</v>
      </c>
      <c r="H412" s="49" t="s">
        <v>66</v>
      </c>
      <c r="I412" s="47" t="s">
        <v>266</v>
      </c>
      <c r="K412" s="3"/>
      <c r="M412" s="3"/>
    </row>
    <row r="413" spans="1:13">
      <c r="A413" t="s">
        <v>28</v>
      </c>
      <c r="B413">
        <f ca="1">IF(OR(changes[[#This Row],[Type]]="Checklist",changes[[#This Row],[Type]]="checklist-flat"),1+IF(changes[[#This Row],[Type of change]] = "Edit",COUNTIFS($I$4:changes[[#This Row],[Name]],changes[[#This Row],[Name]], $E$4:changes[[#This Row],[Type of change]], "Edit")),B412)</f>
        <v>1</v>
      </c>
      <c r="C413" s="20">
        <v>44582</v>
      </c>
      <c r="D413" s="2" t="s">
        <v>2024</v>
      </c>
      <c r="E413" t="s">
        <v>2011</v>
      </c>
      <c r="F413" s="14" t="s">
        <v>9</v>
      </c>
      <c r="G413" s="14" t="s">
        <v>824</v>
      </c>
      <c r="H413" s="49" t="s">
        <v>49</v>
      </c>
      <c r="I413" s="47" t="s">
        <v>267</v>
      </c>
      <c r="K413" s="3"/>
      <c r="M413" s="3"/>
    </row>
    <row r="414" spans="1:13">
      <c r="A414" t="s">
        <v>28</v>
      </c>
      <c r="B414">
        <f ca="1">IF(OR(changes[[#This Row],[Type]]="Checklist",changes[[#This Row],[Type]]="checklist-flat"),1+IF(changes[[#This Row],[Type of change]] = "Edit",COUNTIFS($I$4:changes[[#This Row],[Name]],changes[[#This Row],[Name]], $E$4:changes[[#This Row],[Type of change]], "Edit")),B413)</f>
        <v>1</v>
      </c>
      <c r="C414" s="20">
        <v>44582</v>
      </c>
      <c r="D414" s="2" t="s">
        <v>2024</v>
      </c>
      <c r="E414" t="s">
        <v>2011</v>
      </c>
      <c r="F414" s="14" t="s">
        <v>9</v>
      </c>
      <c r="G414" s="14" t="s">
        <v>824</v>
      </c>
      <c r="H414" s="49" t="s">
        <v>49</v>
      </c>
      <c r="I414" s="47" t="s">
        <v>268</v>
      </c>
      <c r="K414" s="3"/>
      <c r="M414" s="3"/>
    </row>
    <row r="415" spans="1:13">
      <c r="A415" t="s">
        <v>28</v>
      </c>
      <c r="B415">
        <f ca="1">IF(OR(changes[[#This Row],[Type]]="Checklist",changes[[#This Row],[Type]]="checklist-flat"),1+IF(changes[[#This Row],[Type of change]] = "Edit",COUNTIFS($I$4:changes[[#This Row],[Name]],changes[[#This Row],[Name]], $E$4:changes[[#This Row],[Type of change]], "Edit")),B414)</f>
        <v>1</v>
      </c>
      <c r="C415" s="20">
        <v>44582</v>
      </c>
      <c r="D415" s="2" t="s">
        <v>2024</v>
      </c>
      <c r="E415" t="s">
        <v>2011</v>
      </c>
      <c r="F415" s="14" t="s">
        <v>9</v>
      </c>
      <c r="G415" s="14" t="s">
        <v>824</v>
      </c>
      <c r="H415" s="49" t="s">
        <v>49</v>
      </c>
      <c r="I415" s="47" t="s">
        <v>269</v>
      </c>
      <c r="K415" s="3"/>
      <c r="M415" s="3"/>
    </row>
    <row r="416" spans="1:13">
      <c r="A416" t="s">
        <v>28</v>
      </c>
      <c r="B416">
        <f ca="1">IF(OR(changes[[#This Row],[Type]]="Checklist",changes[[#This Row],[Type]]="checklist-flat"),1+IF(changes[[#This Row],[Type of change]] = "Edit",COUNTIFS($I$4:changes[[#This Row],[Name]],changes[[#This Row],[Name]], $E$4:changes[[#This Row],[Type of change]], "Edit")),B415)</f>
        <v>1</v>
      </c>
      <c r="C416" s="20">
        <v>44582</v>
      </c>
      <c r="D416" s="2" t="s">
        <v>2024</v>
      </c>
      <c r="E416" t="s">
        <v>2011</v>
      </c>
      <c r="F416" s="14" t="s">
        <v>9</v>
      </c>
      <c r="G416" s="14" t="s">
        <v>824</v>
      </c>
      <c r="H416" s="49" t="s">
        <v>49</v>
      </c>
      <c r="I416" s="47" t="s">
        <v>270</v>
      </c>
      <c r="K416" s="3"/>
      <c r="M416" s="3"/>
    </row>
    <row r="417" spans="1:13">
      <c r="A417" t="s">
        <v>28</v>
      </c>
      <c r="B417">
        <f ca="1">IF(OR(changes[[#This Row],[Type]]="Checklist",changes[[#This Row],[Type]]="checklist-flat"),1+IF(changes[[#This Row],[Type of change]] = "Edit",COUNTIFS($I$4:changes[[#This Row],[Name]],changes[[#This Row],[Name]], $E$4:changes[[#This Row],[Type of change]], "Edit")),B416)</f>
        <v>1</v>
      </c>
      <c r="C417" s="20">
        <v>44582</v>
      </c>
      <c r="D417" s="2" t="s">
        <v>2024</v>
      </c>
      <c r="E417" t="s">
        <v>2011</v>
      </c>
      <c r="F417" s="14" t="s">
        <v>9</v>
      </c>
      <c r="G417" s="14" t="s">
        <v>824</v>
      </c>
      <c r="H417" s="49" t="s">
        <v>49</v>
      </c>
      <c r="I417" s="47" t="s">
        <v>271</v>
      </c>
      <c r="K417" s="3"/>
      <c r="M417" s="3"/>
    </row>
    <row r="418" spans="1:13">
      <c r="A418" t="s">
        <v>28</v>
      </c>
      <c r="B418">
        <f ca="1">IF(OR(changes[[#This Row],[Type]]="Checklist",changes[[#This Row],[Type]]="checklist-flat"),1+IF(changes[[#This Row],[Type of change]] = "Edit",COUNTIFS($I$4:changes[[#This Row],[Name]],changes[[#This Row],[Name]], $E$4:changes[[#This Row],[Type of change]], "Edit")),B417)</f>
        <v>1</v>
      </c>
      <c r="C418" s="20">
        <v>44582</v>
      </c>
      <c r="D418" s="2" t="s">
        <v>2024</v>
      </c>
      <c r="E418" t="s">
        <v>2011</v>
      </c>
      <c r="F418" s="14" t="s">
        <v>9</v>
      </c>
      <c r="G418" s="14" t="s">
        <v>824</v>
      </c>
      <c r="H418" s="49" t="s">
        <v>49</v>
      </c>
      <c r="I418" s="47" t="s">
        <v>272</v>
      </c>
      <c r="K418" s="3"/>
      <c r="M418" s="3"/>
    </row>
    <row r="419" spans="1:13">
      <c r="A419" t="s">
        <v>28</v>
      </c>
      <c r="B419">
        <f ca="1">IF(OR(changes[[#This Row],[Type]]="Checklist",changes[[#This Row],[Type]]="checklist-flat"),1+IF(changes[[#This Row],[Type of change]] = "Edit",COUNTIFS($I$4:changes[[#This Row],[Name]],changes[[#This Row],[Name]], $E$4:changes[[#This Row],[Type of change]], "Edit")),B418)</f>
        <v>1</v>
      </c>
      <c r="C419" s="20">
        <v>44582</v>
      </c>
      <c r="D419" s="2" t="s">
        <v>2024</v>
      </c>
      <c r="E419" t="s">
        <v>2011</v>
      </c>
      <c r="F419" s="14" t="s">
        <v>9</v>
      </c>
      <c r="G419" s="14" t="s">
        <v>825</v>
      </c>
      <c r="H419" t="s">
        <v>119</v>
      </c>
      <c r="I419" s="47" t="s">
        <v>825</v>
      </c>
      <c r="K419" s="3"/>
      <c r="M419" s="3"/>
    </row>
    <row r="420" spans="1:13">
      <c r="A420" t="s">
        <v>28</v>
      </c>
      <c r="B420">
        <f ca="1">IF(OR(changes[[#This Row],[Type]]="Checklist",changes[[#This Row],[Type]]="checklist-flat"),1+IF(changes[[#This Row],[Type of change]] = "Edit",COUNTIFS($I$4:changes[[#This Row],[Name]],changes[[#This Row],[Name]], $E$4:changes[[#This Row],[Type of change]], "Edit")),B419)</f>
        <v>1</v>
      </c>
      <c r="C420" s="20">
        <v>44582</v>
      </c>
      <c r="D420" s="2" t="s">
        <v>2024</v>
      </c>
      <c r="E420" t="s">
        <v>2011</v>
      </c>
      <c r="F420" s="14" t="s">
        <v>9</v>
      </c>
      <c r="G420" s="14" t="s">
        <v>825</v>
      </c>
      <c r="H420" t="s">
        <v>49</v>
      </c>
      <c r="I420" s="47" t="s">
        <v>826</v>
      </c>
      <c r="K420" s="3"/>
      <c r="M420" s="3"/>
    </row>
    <row r="421" spans="1:13">
      <c r="A421" t="s">
        <v>28</v>
      </c>
      <c r="B421">
        <f ca="1">IF(OR(changes[[#This Row],[Type]]="Checklist",changes[[#This Row],[Type]]="checklist-flat"),1+IF(changes[[#This Row],[Type of change]] = "Edit",COUNTIFS($I$4:changes[[#This Row],[Name]],changes[[#This Row],[Name]], $E$4:changes[[#This Row],[Type of change]], "Edit")),B420)</f>
        <v>1</v>
      </c>
      <c r="C421" s="20">
        <v>44582</v>
      </c>
      <c r="D421" s="2" t="s">
        <v>2024</v>
      </c>
      <c r="E421" t="s">
        <v>2011</v>
      </c>
      <c r="F421" s="14" t="s">
        <v>9</v>
      </c>
      <c r="G421" s="14" t="s">
        <v>825</v>
      </c>
      <c r="H421" t="s">
        <v>49</v>
      </c>
      <c r="I421" s="47" t="s">
        <v>827</v>
      </c>
      <c r="K421" s="3"/>
      <c r="M421" s="3"/>
    </row>
    <row r="422" spans="1:13">
      <c r="A422" t="s">
        <v>28</v>
      </c>
      <c r="B422">
        <f ca="1">IF(OR(changes[[#This Row],[Type]]="Checklist",changes[[#This Row],[Type]]="checklist-flat"),1+IF(changes[[#This Row],[Type of change]] = "Edit",COUNTIFS($I$4:changes[[#This Row],[Name]],changes[[#This Row],[Name]], $E$4:changes[[#This Row],[Type of change]], "Edit")),B421)</f>
        <v>1</v>
      </c>
      <c r="C422" s="20">
        <v>44582</v>
      </c>
      <c r="D422" s="2" t="s">
        <v>2024</v>
      </c>
      <c r="E422" t="s">
        <v>2011</v>
      </c>
      <c r="F422" s="14" t="s">
        <v>9</v>
      </c>
      <c r="G422" s="14" t="s">
        <v>825</v>
      </c>
      <c r="H422" t="s">
        <v>49</v>
      </c>
      <c r="I422" s="47" t="s">
        <v>828</v>
      </c>
      <c r="K422" s="3"/>
      <c r="M422" s="3"/>
    </row>
    <row r="423" spans="1:13">
      <c r="A423" t="s">
        <v>28</v>
      </c>
      <c r="B423">
        <f ca="1">IF(OR(changes[[#This Row],[Type]]="Checklist",changes[[#This Row],[Type]]="checklist-flat"),1+IF(changes[[#This Row],[Type of change]] = "Edit",COUNTIFS($I$4:changes[[#This Row],[Name]],changes[[#This Row],[Name]], $E$4:changes[[#This Row],[Type of change]], "Edit")),B422)</f>
        <v>1</v>
      </c>
      <c r="C423" s="20">
        <v>44582</v>
      </c>
      <c r="D423" s="2" t="s">
        <v>2024</v>
      </c>
      <c r="E423" t="s">
        <v>2011</v>
      </c>
      <c r="F423" s="14" t="s">
        <v>9</v>
      </c>
      <c r="G423" s="14" t="s">
        <v>825</v>
      </c>
      <c r="H423" t="s">
        <v>49</v>
      </c>
      <c r="I423" s="47" t="s">
        <v>341</v>
      </c>
      <c r="K423" s="3"/>
      <c r="M423" s="3"/>
    </row>
    <row r="424" spans="1:13">
      <c r="A424" t="s">
        <v>28</v>
      </c>
      <c r="B424">
        <f ca="1">IF(OR(changes[[#This Row],[Type]]="Checklist",changes[[#This Row],[Type]]="checklist-flat"),1+IF(changes[[#This Row],[Type of change]] = "Edit",COUNTIFS($I$4:changes[[#This Row],[Name]],changes[[#This Row],[Name]], $E$4:changes[[#This Row],[Type of change]], "Edit")),B423)</f>
        <v>1</v>
      </c>
      <c r="C424" s="20">
        <v>44582</v>
      </c>
      <c r="D424" s="2" t="s">
        <v>2024</v>
      </c>
      <c r="E424" t="s">
        <v>2011</v>
      </c>
      <c r="F424" s="14" t="s">
        <v>9</v>
      </c>
      <c r="G424" s="14" t="s">
        <v>825</v>
      </c>
      <c r="H424" t="s">
        <v>49</v>
      </c>
      <c r="I424" s="47" t="s">
        <v>829</v>
      </c>
      <c r="K424" s="3"/>
      <c r="M424" s="3"/>
    </row>
    <row r="425" spans="1:13">
      <c r="A425" t="s">
        <v>28</v>
      </c>
      <c r="B425">
        <f ca="1">IF(OR(changes[[#This Row],[Type]]="Checklist",changes[[#This Row],[Type]]="checklist-flat"),1+IF(changes[[#This Row],[Type of change]] = "Edit",COUNTIFS($I$4:changes[[#This Row],[Name]],changes[[#This Row],[Name]], $E$4:changes[[#This Row],[Type of change]], "Edit")),B424)</f>
        <v>1</v>
      </c>
      <c r="C425" s="20">
        <v>44600</v>
      </c>
      <c r="D425" s="2" t="s">
        <v>2024</v>
      </c>
      <c r="E425" t="s">
        <v>2011</v>
      </c>
      <c r="F425" s="14" t="s">
        <v>9</v>
      </c>
      <c r="G425" s="14" t="s">
        <v>830</v>
      </c>
      <c r="H425" t="s">
        <v>119</v>
      </c>
      <c r="I425" t="s">
        <v>830</v>
      </c>
      <c r="K425" s="3"/>
      <c r="M425" s="3"/>
    </row>
    <row r="426" spans="1:13">
      <c r="A426" t="s">
        <v>28</v>
      </c>
      <c r="B426">
        <f ca="1">IF(OR(changes[[#This Row],[Type]]="Checklist",changes[[#This Row],[Type]]="checklist-flat"),1+IF(changes[[#This Row],[Type of change]] = "Edit",COUNTIFS($I$4:changes[[#This Row],[Name]],changes[[#This Row],[Name]], $E$4:changes[[#This Row],[Type of change]], "Edit")),B425)</f>
        <v>1</v>
      </c>
      <c r="C426" s="20">
        <v>44600</v>
      </c>
      <c r="D426" s="2" t="s">
        <v>2024</v>
      </c>
      <c r="E426" t="s">
        <v>2011</v>
      </c>
      <c r="F426" s="14" t="s">
        <v>9</v>
      </c>
      <c r="G426" s="14" t="s">
        <v>830</v>
      </c>
      <c r="H426" t="s">
        <v>831</v>
      </c>
      <c r="I426" t="s">
        <v>832</v>
      </c>
      <c r="K426" s="3"/>
      <c r="M426" s="3"/>
    </row>
    <row r="427" spans="1:13">
      <c r="A427" t="s">
        <v>28</v>
      </c>
      <c r="B427">
        <f ca="1">IF(OR(changes[[#This Row],[Type]]="Checklist",changes[[#This Row],[Type]]="checklist-flat"),1+IF(changes[[#This Row],[Type of change]] = "Edit",COUNTIFS($I$4:changes[[#This Row],[Name]],changes[[#This Row],[Name]], $E$4:changes[[#This Row],[Type of change]], "Edit")),B426)</f>
        <v>1</v>
      </c>
      <c r="C427" s="20">
        <v>44600</v>
      </c>
      <c r="D427" s="2" t="s">
        <v>2024</v>
      </c>
      <c r="E427" t="s">
        <v>2011</v>
      </c>
      <c r="F427" s="14" t="s">
        <v>9</v>
      </c>
      <c r="G427" s="14" t="s">
        <v>830</v>
      </c>
      <c r="H427" t="s">
        <v>833</v>
      </c>
      <c r="I427" t="s">
        <v>834</v>
      </c>
      <c r="K427" s="3"/>
      <c r="M427" s="3"/>
    </row>
    <row r="428" spans="1:13">
      <c r="A428" t="s">
        <v>28</v>
      </c>
      <c r="B428">
        <f ca="1">IF(OR(changes[[#This Row],[Type]]="Checklist",changes[[#This Row],[Type]]="checklist-flat"),1+IF(changes[[#This Row],[Type of change]] = "Edit",COUNTIFS($I$4:changes[[#This Row],[Name]],changes[[#This Row],[Name]], $E$4:changes[[#This Row],[Type of change]], "Edit")),B427)</f>
        <v>1</v>
      </c>
      <c r="C428" s="20">
        <v>44600</v>
      </c>
      <c r="D428" s="2" t="s">
        <v>2024</v>
      </c>
      <c r="E428" t="s">
        <v>2011</v>
      </c>
      <c r="F428" s="14" t="s">
        <v>9</v>
      </c>
      <c r="G428" s="14" t="s">
        <v>830</v>
      </c>
      <c r="H428" t="s">
        <v>831</v>
      </c>
      <c r="I428" t="s">
        <v>835</v>
      </c>
      <c r="K428" s="3"/>
      <c r="M428" s="3"/>
    </row>
    <row r="429" spans="1:13">
      <c r="A429" t="s">
        <v>28</v>
      </c>
      <c r="B429">
        <f ca="1">IF(OR(changes[[#This Row],[Type]]="Checklist",changes[[#This Row],[Type]]="checklist-flat"),1+IF(changes[[#This Row],[Type of change]] = "Edit",COUNTIFS($I$4:changes[[#This Row],[Name]],changes[[#This Row],[Name]], $E$4:changes[[#This Row],[Type of change]], "Edit")),B428)</f>
        <v>1</v>
      </c>
      <c r="C429" s="20">
        <v>44600</v>
      </c>
      <c r="D429" s="2" t="s">
        <v>2024</v>
      </c>
      <c r="E429" t="s">
        <v>2011</v>
      </c>
      <c r="F429" s="14" t="s">
        <v>9</v>
      </c>
      <c r="G429" s="14" t="s">
        <v>830</v>
      </c>
      <c r="H429" t="s">
        <v>831</v>
      </c>
      <c r="I429" t="s">
        <v>836</v>
      </c>
      <c r="K429" s="3"/>
      <c r="M429" s="3"/>
    </row>
    <row r="430" spans="1:13">
      <c r="A430" t="s">
        <v>28</v>
      </c>
      <c r="B430">
        <f ca="1">IF(OR(changes[[#This Row],[Type]]="Checklist",changes[[#This Row],[Type]]="checklist-flat"),1+IF(changes[[#This Row],[Type of change]] = "Edit",COUNTIFS($I$4:changes[[#This Row],[Name]],changes[[#This Row],[Name]], $E$4:changes[[#This Row],[Type of change]], "Edit")),B429)</f>
        <v>1</v>
      </c>
      <c r="C430" s="20">
        <v>44600</v>
      </c>
      <c r="D430" s="2" t="s">
        <v>2024</v>
      </c>
      <c r="E430" t="s">
        <v>2011</v>
      </c>
      <c r="F430" s="14" t="s">
        <v>9</v>
      </c>
      <c r="G430" s="14" t="s">
        <v>830</v>
      </c>
      <c r="H430" t="s">
        <v>831</v>
      </c>
      <c r="I430" t="s">
        <v>837</v>
      </c>
      <c r="K430" s="3"/>
      <c r="M430" s="3"/>
    </row>
    <row r="431" spans="1:13">
      <c r="A431" t="s">
        <v>28</v>
      </c>
      <c r="B431">
        <f ca="1">IF(OR(changes[[#This Row],[Type]]="Checklist",changes[[#This Row],[Type]]="checklist-flat"),1+IF(changes[[#This Row],[Type of change]] = "Edit",COUNTIFS($I$4:changes[[#This Row],[Name]],changes[[#This Row],[Name]], $E$4:changes[[#This Row],[Type of change]], "Edit")),B430)</f>
        <v>1</v>
      </c>
      <c r="C431" s="20">
        <v>44600</v>
      </c>
      <c r="D431" s="2" t="s">
        <v>2024</v>
      </c>
      <c r="E431" t="s">
        <v>2011</v>
      </c>
      <c r="F431" s="14" t="s">
        <v>9</v>
      </c>
      <c r="G431" s="14" t="s">
        <v>830</v>
      </c>
      <c r="H431" t="s">
        <v>831</v>
      </c>
      <c r="I431" t="s">
        <v>838</v>
      </c>
      <c r="K431" s="3"/>
      <c r="M431" s="3"/>
    </row>
    <row r="432" spans="1:13">
      <c r="A432" t="s">
        <v>28</v>
      </c>
      <c r="B432">
        <f ca="1">IF(OR(changes[[#This Row],[Type]]="Checklist",changes[[#This Row],[Type]]="checklist-flat"),1+IF(changes[[#This Row],[Type of change]] = "Edit",COUNTIFS($I$4:changes[[#This Row],[Name]],changes[[#This Row],[Name]], $E$4:changes[[#This Row],[Type of change]], "Edit")),B431)</f>
        <v>1</v>
      </c>
      <c r="C432" s="20">
        <v>44600</v>
      </c>
      <c r="D432" s="2" t="s">
        <v>2024</v>
      </c>
      <c r="E432" t="s">
        <v>2011</v>
      </c>
      <c r="F432" s="14" t="s">
        <v>9</v>
      </c>
      <c r="G432" s="14" t="s">
        <v>839</v>
      </c>
      <c r="H432" s="50" t="s">
        <v>119</v>
      </c>
      <c r="I432" s="50" t="s">
        <v>839</v>
      </c>
      <c r="K432" s="3"/>
      <c r="M432" s="3"/>
    </row>
    <row r="433" spans="1:13">
      <c r="A433" t="s">
        <v>28</v>
      </c>
      <c r="B433">
        <f ca="1">IF(OR(changes[[#This Row],[Type]]="Checklist",changes[[#This Row],[Type]]="checklist-flat"),1+IF(changes[[#This Row],[Type of change]] = "Edit",COUNTIFS($I$4:changes[[#This Row],[Name]],changes[[#This Row],[Name]], $E$4:changes[[#This Row],[Type of change]], "Edit")),B432)</f>
        <v>1</v>
      </c>
      <c r="C433" s="20">
        <v>44600</v>
      </c>
      <c r="D433" s="2" t="s">
        <v>2024</v>
      </c>
      <c r="E433" t="s">
        <v>2011</v>
      </c>
      <c r="F433" s="14" t="s">
        <v>9</v>
      </c>
      <c r="G433" s="14" t="s">
        <v>839</v>
      </c>
      <c r="H433" s="47" t="s">
        <v>49</v>
      </c>
      <c r="I433" s="47" t="s">
        <v>840</v>
      </c>
      <c r="K433" s="3"/>
      <c r="M433" s="3"/>
    </row>
    <row r="434" spans="1:13">
      <c r="A434" t="s">
        <v>28</v>
      </c>
      <c r="B434">
        <f ca="1">IF(OR(changes[[#This Row],[Type]]="Checklist",changes[[#This Row],[Type]]="checklist-flat"),1+IF(changes[[#This Row],[Type of change]] = "Edit",COUNTIFS($I$4:changes[[#This Row],[Name]],changes[[#This Row],[Name]], $E$4:changes[[#This Row],[Type of change]], "Edit")),B433)</f>
        <v>1</v>
      </c>
      <c r="C434" s="20">
        <v>44600</v>
      </c>
      <c r="D434" s="2" t="s">
        <v>2024</v>
      </c>
      <c r="E434" t="s">
        <v>2011</v>
      </c>
      <c r="F434" s="14" t="s">
        <v>9</v>
      </c>
      <c r="G434" s="14" t="s">
        <v>839</v>
      </c>
      <c r="H434" s="47" t="s">
        <v>49</v>
      </c>
      <c r="I434" s="51" t="s">
        <v>841</v>
      </c>
      <c r="K434" s="3"/>
      <c r="M434" s="3"/>
    </row>
    <row r="435" spans="1:13">
      <c r="A435" t="s">
        <v>28</v>
      </c>
      <c r="B435">
        <f ca="1">IF(OR(changes[[#This Row],[Type]]="Checklist",changes[[#This Row],[Type]]="checklist-flat"),1+IF(changes[[#This Row],[Type of change]] = "Edit",COUNTIFS($I$4:changes[[#This Row],[Name]],changes[[#This Row],[Name]], $E$4:changes[[#This Row],[Type of change]], "Edit")),B434)</f>
        <v>1</v>
      </c>
      <c r="C435" s="20">
        <v>44600</v>
      </c>
      <c r="D435" s="2" t="s">
        <v>2024</v>
      </c>
      <c r="E435" t="s">
        <v>2011</v>
      </c>
      <c r="F435" s="14" t="s">
        <v>9</v>
      </c>
      <c r="G435" s="14" t="s">
        <v>839</v>
      </c>
      <c r="H435" s="47" t="s">
        <v>49</v>
      </c>
      <c r="I435" s="47" t="s">
        <v>842</v>
      </c>
      <c r="K435" s="3"/>
      <c r="M435" s="3"/>
    </row>
    <row r="436" spans="1:13">
      <c r="A436" t="s">
        <v>28</v>
      </c>
      <c r="B436">
        <f ca="1">IF(OR(changes[[#This Row],[Type]]="Checklist",changes[[#This Row],[Type]]="checklist-flat"),1+IF(changes[[#This Row],[Type of change]] = "Edit",COUNTIFS($I$4:changes[[#This Row],[Name]],changes[[#This Row],[Name]], $E$4:changes[[#This Row],[Type of change]], "Edit")),B435)</f>
        <v>1</v>
      </c>
      <c r="C436" s="20">
        <v>44600</v>
      </c>
      <c r="D436" s="2" t="s">
        <v>2024</v>
      </c>
      <c r="E436" t="s">
        <v>2011</v>
      </c>
      <c r="F436" s="14" t="s">
        <v>9</v>
      </c>
      <c r="G436" s="14" t="s">
        <v>839</v>
      </c>
      <c r="H436" s="47" t="s">
        <v>49</v>
      </c>
      <c r="I436" s="47" t="s">
        <v>843</v>
      </c>
      <c r="K436" s="3"/>
      <c r="M436" s="3"/>
    </row>
    <row r="437" spans="1:13">
      <c r="A437" t="s">
        <v>28</v>
      </c>
      <c r="B437">
        <f ca="1">IF(OR(changes[[#This Row],[Type]]="Checklist",changes[[#This Row],[Type]]="checklist-flat"),1+IF(changes[[#This Row],[Type of change]] = "Edit",COUNTIFS($I$4:changes[[#This Row],[Name]],changes[[#This Row],[Name]], $E$4:changes[[#This Row],[Type of change]], "Edit")),B436)</f>
        <v>1</v>
      </c>
      <c r="C437" s="20">
        <v>44600</v>
      </c>
      <c r="D437" s="2" t="s">
        <v>2024</v>
      </c>
      <c r="E437" t="s">
        <v>2011</v>
      </c>
      <c r="F437" s="14" t="s">
        <v>9</v>
      </c>
      <c r="G437" s="14" t="s">
        <v>839</v>
      </c>
      <c r="H437" s="47" t="s">
        <v>49</v>
      </c>
      <c r="I437" s="47" t="s">
        <v>844</v>
      </c>
      <c r="K437" s="3"/>
      <c r="M437" s="3"/>
    </row>
    <row r="438" spans="1:13">
      <c r="A438" t="s">
        <v>28</v>
      </c>
      <c r="B438">
        <f ca="1">IF(OR(changes[[#This Row],[Type]]="Checklist",changes[[#This Row],[Type]]="checklist-flat"),1+IF(changes[[#This Row],[Type of change]] = "Edit",COUNTIFS($I$4:changes[[#This Row],[Name]],changes[[#This Row],[Name]], $E$4:changes[[#This Row],[Type of change]], "Edit")),B437)</f>
        <v>1</v>
      </c>
      <c r="C438" s="20">
        <v>44600</v>
      </c>
      <c r="D438" s="2" t="s">
        <v>2024</v>
      </c>
      <c r="E438" t="s">
        <v>2011</v>
      </c>
      <c r="F438" s="14" t="s">
        <v>9</v>
      </c>
      <c r="G438" s="14" t="s">
        <v>839</v>
      </c>
      <c r="H438" s="47" t="s">
        <v>49</v>
      </c>
      <c r="I438" s="47" t="s">
        <v>80</v>
      </c>
      <c r="K438" s="3"/>
      <c r="M438" s="3"/>
    </row>
    <row r="439" spans="1:13">
      <c r="A439" t="s">
        <v>28</v>
      </c>
      <c r="B439">
        <f ca="1">IF(OR(changes[[#This Row],[Type]]="Checklist",changes[[#This Row],[Type]]="checklist-flat"),1+IF(changes[[#This Row],[Type of change]] = "Edit",COUNTIFS($I$4:changes[[#This Row],[Name]],changes[[#This Row],[Name]], $E$4:changes[[#This Row],[Type of change]], "Edit")),B438)</f>
        <v>1</v>
      </c>
      <c r="C439" s="20">
        <v>44600</v>
      </c>
      <c r="D439" s="2" t="s">
        <v>2024</v>
      </c>
      <c r="E439" t="s">
        <v>2011</v>
      </c>
      <c r="F439" s="14" t="s">
        <v>9</v>
      </c>
      <c r="G439" s="14" t="s">
        <v>839</v>
      </c>
      <c r="H439" s="47" t="s">
        <v>49</v>
      </c>
      <c r="I439" s="47" t="s">
        <v>845</v>
      </c>
      <c r="K439" s="3"/>
      <c r="M439" s="3"/>
    </row>
    <row r="440" spans="1:13">
      <c r="A440" t="s">
        <v>28</v>
      </c>
      <c r="B440">
        <f ca="1">IF(OR(changes[[#This Row],[Type]]="Checklist",changes[[#This Row],[Type]]="checklist-flat"),1+IF(changes[[#This Row],[Type of change]] = "Edit",COUNTIFS($I$4:changes[[#This Row],[Name]],changes[[#This Row],[Name]], $E$4:changes[[#This Row],[Type of change]], "Edit")),B439)</f>
        <v>1</v>
      </c>
      <c r="C440" s="20">
        <v>44600</v>
      </c>
      <c r="D440" s="2" t="s">
        <v>2024</v>
      </c>
      <c r="E440" t="s">
        <v>2011</v>
      </c>
      <c r="F440" s="14" t="s">
        <v>9</v>
      </c>
      <c r="G440" s="14" t="s">
        <v>839</v>
      </c>
      <c r="H440" s="47" t="s">
        <v>49</v>
      </c>
      <c r="I440" s="47" t="s">
        <v>81</v>
      </c>
      <c r="K440" s="3"/>
      <c r="M440" s="3"/>
    </row>
    <row r="441" spans="1:13">
      <c r="A441" t="s">
        <v>28</v>
      </c>
      <c r="B441">
        <f ca="1">IF(OR(changes[[#This Row],[Type]]="Checklist",changes[[#This Row],[Type]]="checklist-flat"),1+IF(changes[[#This Row],[Type of change]] = "Edit",COUNTIFS($I$4:changes[[#This Row],[Name]],changes[[#This Row],[Name]], $E$4:changes[[#This Row],[Type of change]], "Edit")),B440)</f>
        <v>1</v>
      </c>
      <c r="C441" s="20">
        <v>44600</v>
      </c>
      <c r="D441" s="2" t="s">
        <v>2024</v>
      </c>
      <c r="E441" t="s">
        <v>2011</v>
      </c>
      <c r="F441" s="14" t="s">
        <v>9</v>
      </c>
      <c r="G441" s="14" t="s">
        <v>839</v>
      </c>
      <c r="H441" s="47" t="s">
        <v>49</v>
      </c>
      <c r="I441" s="47" t="s">
        <v>82</v>
      </c>
      <c r="K441" s="3"/>
      <c r="M441" s="3"/>
    </row>
    <row r="442" spans="1:13">
      <c r="A442" t="s">
        <v>28</v>
      </c>
      <c r="B442">
        <f ca="1">IF(OR(changes[[#This Row],[Type]]="Checklist",changes[[#This Row],[Type]]="checklist-flat"),1+IF(changes[[#This Row],[Type of change]] = "Edit",COUNTIFS($I$4:changes[[#This Row],[Name]],changes[[#This Row],[Name]], $E$4:changes[[#This Row],[Type of change]], "Edit")),B441)</f>
        <v>1</v>
      </c>
      <c r="C442" s="20">
        <v>44600</v>
      </c>
      <c r="D442" s="2" t="s">
        <v>2024</v>
      </c>
      <c r="E442" t="s">
        <v>2011</v>
      </c>
      <c r="F442" s="14" t="s">
        <v>9</v>
      </c>
      <c r="G442" s="14" t="s">
        <v>839</v>
      </c>
      <c r="H442" s="47" t="s">
        <v>49</v>
      </c>
      <c r="I442" s="47" t="s">
        <v>846</v>
      </c>
      <c r="K442" s="3"/>
      <c r="M442" s="3"/>
    </row>
    <row r="443" spans="1:13">
      <c r="A443" t="s">
        <v>28</v>
      </c>
      <c r="B443">
        <f ca="1">IF(OR(changes[[#This Row],[Type]]="Checklist",changes[[#This Row],[Type]]="checklist-flat"),1+IF(changes[[#This Row],[Type of change]] = "Edit",COUNTIFS($I$4:changes[[#This Row],[Name]],changes[[#This Row],[Name]], $E$4:changes[[#This Row],[Type of change]], "Edit")),B442)</f>
        <v>1</v>
      </c>
      <c r="C443" s="20">
        <v>44600</v>
      </c>
      <c r="D443" s="2" t="s">
        <v>2024</v>
      </c>
      <c r="E443" t="s">
        <v>2011</v>
      </c>
      <c r="F443" s="14" t="s">
        <v>9</v>
      </c>
      <c r="G443" s="14" t="s">
        <v>839</v>
      </c>
      <c r="H443" s="47" t="s">
        <v>49</v>
      </c>
      <c r="I443" s="47" t="s">
        <v>847</v>
      </c>
      <c r="K443" s="3"/>
      <c r="M443" s="3"/>
    </row>
    <row r="444" spans="1:13">
      <c r="A444" t="s">
        <v>28</v>
      </c>
      <c r="B444">
        <f ca="1">IF(OR(changes[[#This Row],[Type]]="Checklist",changes[[#This Row],[Type]]="checklist-flat"),1+IF(changes[[#This Row],[Type of change]] = "Edit",COUNTIFS($I$4:changes[[#This Row],[Name]],changes[[#This Row],[Name]], $E$4:changes[[#This Row],[Type of change]], "Edit")),B443)</f>
        <v>1</v>
      </c>
      <c r="C444" s="20">
        <v>44600</v>
      </c>
      <c r="D444" s="2" t="s">
        <v>2024</v>
      </c>
      <c r="E444" t="s">
        <v>2011</v>
      </c>
      <c r="F444" s="14" t="s">
        <v>9</v>
      </c>
      <c r="G444" s="14" t="s">
        <v>839</v>
      </c>
      <c r="H444" s="47" t="s">
        <v>49</v>
      </c>
      <c r="I444" s="47" t="s">
        <v>848</v>
      </c>
      <c r="K444" s="3"/>
      <c r="M444" s="3"/>
    </row>
    <row r="445" spans="1:13">
      <c r="A445" t="s">
        <v>28</v>
      </c>
      <c r="B445">
        <f ca="1">IF(OR(changes[[#This Row],[Type]]="Checklist",changes[[#This Row],[Type]]="checklist-flat"),1+IF(changes[[#This Row],[Type of change]] = "Edit",COUNTIFS($I$4:changes[[#This Row],[Name]],changes[[#This Row],[Name]], $E$4:changes[[#This Row],[Type of change]], "Edit")),B444)</f>
        <v>1</v>
      </c>
      <c r="C445" s="20">
        <v>44600</v>
      </c>
      <c r="D445" s="2" t="s">
        <v>2024</v>
      </c>
      <c r="E445" t="s">
        <v>2011</v>
      </c>
      <c r="F445" s="14" t="s">
        <v>9</v>
      </c>
      <c r="G445" s="14" t="s">
        <v>839</v>
      </c>
      <c r="H445" s="47" t="s">
        <v>49</v>
      </c>
      <c r="I445" s="47" t="s">
        <v>849</v>
      </c>
      <c r="K445" s="3"/>
      <c r="M445" s="3"/>
    </row>
    <row r="446" spans="1:13">
      <c r="A446" t="s">
        <v>28</v>
      </c>
      <c r="B446">
        <f ca="1">IF(OR(changes[[#This Row],[Type]]="Checklist",changes[[#This Row],[Type]]="checklist-flat"),1+IF(changes[[#This Row],[Type of change]] = "Edit",COUNTIFS($I$4:changes[[#This Row],[Name]],changes[[#This Row],[Name]], $E$4:changes[[#This Row],[Type of change]], "Edit")),B445)</f>
        <v>1</v>
      </c>
      <c r="C446" s="20">
        <v>44600</v>
      </c>
      <c r="D446" s="2" t="s">
        <v>2024</v>
      </c>
      <c r="E446" t="s">
        <v>2011</v>
      </c>
      <c r="F446" s="14" t="s">
        <v>9</v>
      </c>
      <c r="G446" s="14" t="s">
        <v>839</v>
      </c>
      <c r="H446" s="47" t="s">
        <v>49</v>
      </c>
      <c r="I446" s="47" t="s">
        <v>850</v>
      </c>
      <c r="K446" s="3"/>
      <c r="M446" s="3"/>
    </row>
    <row r="447" spans="1:13">
      <c r="A447" t="s">
        <v>28</v>
      </c>
      <c r="B447">
        <f ca="1">IF(OR(changes[[#This Row],[Type]]="Checklist",changes[[#This Row],[Type]]="checklist-flat"),1+IF(changes[[#This Row],[Type of change]] = "Edit",COUNTIFS($I$4:changes[[#This Row],[Name]],changes[[#This Row],[Name]], $E$4:changes[[#This Row],[Type of change]], "Edit")),B446)</f>
        <v>1</v>
      </c>
      <c r="C447" s="20">
        <v>44600</v>
      </c>
      <c r="D447" s="2" t="s">
        <v>2024</v>
      </c>
      <c r="E447" t="s">
        <v>2011</v>
      </c>
      <c r="F447" s="14" t="s">
        <v>9</v>
      </c>
      <c r="G447" s="14" t="s">
        <v>839</v>
      </c>
      <c r="H447" s="47" t="s">
        <v>49</v>
      </c>
      <c r="I447" s="47" t="s">
        <v>851</v>
      </c>
      <c r="K447" s="3"/>
      <c r="M447" s="3"/>
    </row>
    <row r="448" spans="1:13">
      <c r="A448" t="s">
        <v>28</v>
      </c>
      <c r="B448">
        <f ca="1">IF(OR(changes[[#This Row],[Type]]="Checklist",changes[[#This Row],[Type]]="checklist-flat"),1+IF(changes[[#This Row],[Type of change]] = "Edit",COUNTIFS($I$4:changes[[#This Row],[Name]],changes[[#This Row],[Name]], $E$4:changes[[#This Row],[Type of change]], "Edit")),B447)</f>
        <v>1</v>
      </c>
      <c r="C448" s="20">
        <v>44600</v>
      </c>
      <c r="D448" s="2" t="s">
        <v>2025</v>
      </c>
      <c r="E448" t="s">
        <v>2011</v>
      </c>
      <c r="F448" s="14" t="s">
        <v>1998</v>
      </c>
      <c r="G448" s="14" t="s">
        <v>1599</v>
      </c>
      <c r="H448" t="s">
        <v>119</v>
      </c>
      <c r="I448" t="s">
        <v>1599</v>
      </c>
      <c r="K448" s="3"/>
      <c r="M448" s="3"/>
    </row>
    <row r="449" spans="1:13">
      <c r="A449" t="s">
        <v>28</v>
      </c>
      <c r="B449">
        <f ca="1">IF(OR(changes[[#This Row],[Type]]="Checklist",changes[[#This Row],[Type]]="checklist-flat"),1+IF(changes[[#This Row],[Type of change]] = "Edit",COUNTIFS($I$4:changes[[#This Row],[Name]],changes[[#This Row],[Name]], $E$4:changes[[#This Row],[Type of change]], "Edit")),B448)</f>
        <v>1</v>
      </c>
      <c r="C449" s="20">
        <v>44600</v>
      </c>
      <c r="D449" s="2" t="s">
        <v>2025</v>
      </c>
      <c r="E449" t="s">
        <v>2011</v>
      </c>
      <c r="F449" s="14" t="s">
        <v>1998</v>
      </c>
      <c r="G449" s="14" t="s">
        <v>1599</v>
      </c>
      <c r="H449" t="s">
        <v>49</v>
      </c>
      <c r="I449" t="s">
        <v>1600</v>
      </c>
      <c r="K449" s="3"/>
      <c r="M449" s="3"/>
    </row>
    <row r="450" spans="1:13">
      <c r="A450" t="s">
        <v>28</v>
      </c>
      <c r="B450">
        <f ca="1">IF(OR(changes[[#This Row],[Type]]="Checklist",changes[[#This Row],[Type]]="checklist-flat"),1+IF(changes[[#This Row],[Type of change]] = "Edit",COUNTIFS($I$4:changes[[#This Row],[Name]],changes[[#This Row],[Name]], $E$4:changes[[#This Row],[Type of change]], "Edit")),B449)</f>
        <v>1</v>
      </c>
      <c r="C450" s="20">
        <v>44600</v>
      </c>
      <c r="D450" s="2" t="s">
        <v>2025</v>
      </c>
      <c r="E450" t="s">
        <v>2011</v>
      </c>
      <c r="F450" s="14" t="s">
        <v>1998</v>
      </c>
      <c r="G450" s="14" t="s">
        <v>2026</v>
      </c>
      <c r="H450" t="s">
        <v>119</v>
      </c>
      <c r="I450" t="s">
        <v>2026</v>
      </c>
      <c r="K450" s="3"/>
      <c r="M450" s="3" t="s">
        <v>2027</v>
      </c>
    </row>
    <row r="451" spans="1:13">
      <c r="A451" t="s">
        <v>28</v>
      </c>
      <c r="B451">
        <f ca="1">IF(OR(changes[[#This Row],[Type]]="Checklist",changes[[#This Row],[Type]]="checklist-flat"),1+IF(changes[[#This Row],[Type of change]] = "Edit",COUNTIFS($I$4:changes[[#This Row],[Name]],changes[[#This Row],[Name]], $E$4:changes[[#This Row],[Type of change]], "Edit")),B450)</f>
        <v>1</v>
      </c>
      <c r="C451" s="20">
        <v>44600</v>
      </c>
      <c r="D451" s="2" t="s">
        <v>2025</v>
      </c>
      <c r="E451" t="s">
        <v>2011</v>
      </c>
      <c r="F451" s="14" t="s">
        <v>1998</v>
      </c>
      <c r="G451" s="14" t="s">
        <v>2026</v>
      </c>
      <c r="H451" t="s">
        <v>49</v>
      </c>
      <c r="I451" t="s">
        <v>1208</v>
      </c>
      <c r="K451" s="3"/>
      <c r="M451" s="3"/>
    </row>
    <row r="452" spans="1:13">
      <c r="A452" t="s">
        <v>28</v>
      </c>
      <c r="B452">
        <f ca="1">IF(OR(changes[[#This Row],[Type]]="Checklist",changes[[#This Row],[Type]]="checklist-flat"),1+IF(changes[[#This Row],[Type of change]] = "Edit",COUNTIFS($I$4:changes[[#This Row],[Name]],changes[[#This Row],[Name]], $E$4:changes[[#This Row],[Type of change]], "Edit")),B451)</f>
        <v>1</v>
      </c>
      <c r="C452" s="20">
        <v>44600</v>
      </c>
      <c r="D452" s="2" t="s">
        <v>2025</v>
      </c>
      <c r="E452" t="s">
        <v>2011</v>
      </c>
      <c r="F452" s="14" t="s">
        <v>1998</v>
      </c>
      <c r="G452" s="14" t="s">
        <v>2026</v>
      </c>
      <c r="H452" t="s">
        <v>131</v>
      </c>
      <c r="I452" t="s">
        <v>2028</v>
      </c>
      <c r="K452" s="3"/>
      <c r="M452" s="3"/>
    </row>
    <row r="453" spans="1:13">
      <c r="A453" t="s">
        <v>28</v>
      </c>
      <c r="B453">
        <f ca="1">IF(OR(changes[[#This Row],[Type]]="Checklist",changes[[#This Row],[Type]]="checklist-flat"),1+IF(changes[[#This Row],[Type of change]] = "Edit",COUNTIFS($I$4:changes[[#This Row],[Name]],changes[[#This Row],[Name]], $E$4:changes[[#This Row],[Type of change]], "Edit")),B452)</f>
        <v>1</v>
      </c>
      <c r="C453" s="20">
        <v>44600</v>
      </c>
      <c r="D453" s="2" t="s">
        <v>2025</v>
      </c>
      <c r="E453" t="s">
        <v>2011</v>
      </c>
      <c r="F453" s="14" t="s">
        <v>1998</v>
      </c>
      <c r="G453" s="14" t="s">
        <v>2026</v>
      </c>
      <c r="H453" t="s">
        <v>131</v>
      </c>
      <c r="I453" t="s">
        <v>2022</v>
      </c>
      <c r="K453" s="3"/>
      <c r="M453" s="3"/>
    </row>
    <row r="454" spans="1:13">
      <c r="A454" t="s">
        <v>28</v>
      </c>
      <c r="B454">
        <f ca="1">IF(OR(changes[[#This Row],[Type]]="Checklist",changes[[#This Row],[Type]]="checklist-flat"),1+IF(changes[[#This Row],[Type of change]] = "Edit",COUNTIFS($I$4:changes[[#This Row],[Name]],changes[[#This Row],[Name]], $E$4:changes[[#This Row],[Type of change]], "Edit")),B453)</f>
        <v>1</v>
      </c>
      <c r="C454" s="20">
        <v>44600</v>
      </c>
      <c r="D454" s="2" t="s">
        <v>2025</v>
      </c>
      <c r="E454" t="s">
        <v>2011</v>
      </c>
      <c r="F454" s="14" t="s">
        <v>1998</v>
      </c>
      <c r="G454" s="14" t="s">
        <v>2026</v>
      </c>
      <c r="H454" t="s">
        <v>901</v>
      </c>
      <c r="I454" t="s">
        <v>1210</v>
      </c>
      <c r="K454" s="3"/>
      <c r="M454" s="3"/>
    </row>
    <row r="455" spans="1:13">
      <c r="A455" t="s">
        <v>28</v>
      </c>
      <c r="B455">
        <f ca="1">IF(OR(changes[[#This Row],[Type]]="Checklist",changes[[#This Row],[Type]]="checklist-flat"),1+IF(changes[[#This Row],[Type of change]] = "Edit",COUNTIFS($I$4:changes[[#This Row],[Name]],changes[[#This Row],[Name]], $E$4:changes[[#This Row],[Type of change]], "Edit")),B454)</f>
        <v>1</v>
      </c>
      <c r="C455" s="20">
        <v>44600</v>
      </c>
      <c r="D455" s="2" t="s">
        <v>2025</v>
      </c>
      <c r="E455" t="s">
        <v>2011</v>
      </c>
      <c r="F455" s="14" t="s">
        <v>1998</v>
      </c>
      <c r="G455" s="14" t="s">
        <v>2026</v>
      </c>
      <c r="H455" t="s">
        <v>58</v>
      </c>
      <c r="I455" t="s">
        <v>209</v>
      </c>
      <c r="K455" s="3"/>
      <c r="M455" s="3"/>
    </row>
    <row r="456" spans="1:13">
      <c r="A456" t="s">
        <v>28</v>
      </c>
      <c r="B456">
        <f ca="1">IF(OR(changes[[#This Row],[Type]]="Checklist",changes[[#This Row],[Type]]="checklist-flat"),1+IF(changes[[#This Row],[Type of change]] = "Edit",COUNTIFS($I$4:changes[[#This Row],[Name]],changes[[#This Row],[Name]], $E$4:changes[[#This Row],[Type of change]], "Edit")),B455)</f>
        <v>1</v>
      </c>
      <c r="C456" s="20">
        <v>44609</v>
      </c>
      <c r="D456" s="2" t="s">
        <v>2025</v>
      </c>
      <c r="E456" t="s">
        <v>2011</v>
      </c>
      <c r="F456" s="14" t="s">
        <v>1998</v>
      </c>
      <c r="G456" s="14" t="s">
        <v>2029</v>
      </c>
      <c r="H456" s="47" t="s">
        <v>119</v>
      </c>
      <c r="I456" s="47" t="s">
        <v>2029</v>
      </c>
      <c r="J456" s="52"/>
      <c r="K456" s="3"/>
      <c r="M456" s="3"/>
    </row>
    <row r="457" spans="1:13">
      <c r="A457" t="s">
        <v>28</v>
      </c>
      <c r="B457">
        <f ca="1">IF(OR(changes[[#This Row],[Type]]="Checklist",changes[[#This Row],[Type]]="checklist-flat"),1+IF(changes[[#This Row],[Type of change]] = "Edit",COUNTIFS($I$4:changes[[#This Row],[Name]],changes[[#This Row],[Name]], $E$4:changes[[#This Row],[Type of change]], "Edit")),B456)</f>
        <v>1</v>
      </c>
      <c r="C457" s="20">
        <v>44609</v>
      </c>
      <c r="D457" s="2" t="s">
        <v>2025</v>
      </c>
      <c r="E457" t="s">
        <v>2011</v>
      </c>
      <c r="F457" s="14" t="s">
        <v>1998</v>
      </c>
      <c r="G457" s="14" t="s">
        <v>2029</v>
      </c>
      <c r="H457" s="23" t="s">
        <v>49</v>
      </c>
      <c r="I457" t="s">
        <v>2030</v>
      </c>
      <c r="K457" s="3"/>
      <c r="M457" s="3"/>
    </row>
    <row r="458" spans="1:13">
      <c r="A458" t="s">
        <v>28</v>
      </c>
      <c r="B458">
        <f ca="1">IF(OR(changes[[#This Row],[Type]]="Checklist",changes[[#This Row],[Type]]="checklist-flat"),1+IF(changes[[#This Row],[Type of change]] = "Edit",COUNTIFS($I$4:changes[[#This Row],[Name]],changes[[#This Row],[Name]], $E$4:changes[[#This Row],[Type of change]], "Edit")),B457)</f>
        <v>1</v>
      </c>
      <c r="C458" s="20">
        <v>44609</v>
      </c>
      <c r="D458" s="2" t="s">
        <v>2025</v>
      </c>
      <c r="E458" t="s">
        <v>2011</v>
      </c>
      <c r="F458" s="14" t="s">
        <v>1998</v>
      </c>
      <c r="G458" s="14" t="s">
        <v>2029</v>
      </c>
      <c r="H458" t="s">
        <v>2031</v>
      </c>
      <c r="I458" t="s">
        <v>2032</v>
      </c>
      <c r="J458" t="s">
        <v>1378</v>
      </c>
      <c r="K458" s="3"/>
      <c r="M458" s="3"/>
    </row>
    <row r="459" spans="1:13">
      <c r="A459" t="s">
        <v>28</v>
      </c>
      <c r="B459">
        <f ca="1">IF(OR(changes[[#This Row],[Type]]="Checklist",changes[[#This Row],[Type]]="checklist-flat"),1+IF(changes[[#This Row],[Type of change]] = "Edit",COUNTIFS($I$4:changes[[#This Row],[Name]],changes[[#This Row],[Name]], $E$4:changes[[#This Row],[Type of change]], "Edit")),B458)</f>
        <v>1</v>
      </c>
      <c r="C459" s="20">
        <v>44609</v>
      </c>
      <c r="D459" s="2" t="s">
        <v>2025</v>
      </c>
      <c r="E459" t="s">
        <v>2011</v>
      </c>
      <c r="F459" s="14" t="s">
        <v>1998</v>
      </c>
      <c r="G459" s="14" t="s">
        <v>2029</v>
      </c>
      <c r="H459" t="s">
        <v>2031</v>
      </c>
      <c r="I459" t="s">
        <v>2033</v>
      </c>
      <c r="J459" t="s">
        <v>1378</v>
      </c>
      <c r="K459" s="3"/>
      <c r="M459" s="3"/>
    </row>
    <row r="460" spans="1:13">
      <c r="A460" t="s">
        <v>28</v>
      </c>
      <c r="B460">
        <f ca="1">IF(OR(changes[[#This Row],[Type]]="Checklist",changes[[#This Row],[Type]]="checklist-flat"),1+IF(changes[[#This Row],[Type of change]] = "Edit",COUNTIFS($I$4:changes[[#This Row],[Name]],changes[[#This Row],[Name]], $E$4:changes[[#This Row],[Type of change]], "Edit")),B459)</f>
        <v>1</v>
      </c>
      <c r="C460" s="20">
        <v>44609</v>
      </c>
      <c r="D460" s="2" t="s">
        <v>2025</v>
      </c>
      <c r="E460" t="s">
        <v>2011</v>
      </c>
      <c r="F460" s="14" t="s">
        <v>1998</v>
      </c>
      <c r="G460" s="14" t="s">
        <v>2029</v>
      </c>
      <c r="H460" t="s">
        <v>2031</v>
      </c>
      <c r="I460" t="s">
        <v>2034</v>
      </c>
      <c r="J460" t="s">
        <v>1378</v>
      </c>
      <c r="K460" s="3"/>
      <c r="M460" s="3"/>
    </row>
    <row r="461" spans="1:13">
      <c r="A461" t="s">
        <v>28</v>
      </c>
      <c r="B461">
        <f ca="1">IF(OR(changes[[#This Row],[Type]]="Checklist",changes[[#This Row],[Type]]="checklist-flat"),1+IF(changes[[#This Row],[Type of change]] = "Edit",COUNTIFS($I$4:changes[[#This Row],[Name]],changes[[#This Row],[Name]], $E$4:changes[[#This Row],[Type of change]], "Edit")),B460)</f>
        <v>1</v>
      </c>
      <c r="C461" s="20">
        <v>44609</v>
      </c>
      <c r="D461" s="2" t="s">
        <v>2025</v>
      </c>
      <c r="E461" t="s">
        <v>2011</v>
      </c>
      <c r="F461" s="14" t="s">
        <v>1998</v>
      </c>
      <c r="G461" s="14" t="s">
        <v>2029</v>
      </c>
      <c r="H461" t="s">
        <v>2031</v>
      </c>
      <c r="I461" t="s">
        <v>2035</v>
      </c>
      <c r="J461" t="s">
        <v>1378</v>
      </c>
      <c r="K461" s="3"/>
      <c r="M461" s="3"/>
    </row>
    <row r="462" spans="1:13">
      <c r="A462" t="s">
        <v>28</v>
      </c>
      <c r="B462">
        <f ca="1">IF(OR(changes[[#This Row],[Type]]="Checklist",changes[[#This Row],[Type]]="checklist-flat"),1+IF(changes[[#This Row],[Type of change]] = "Edit",COUNTIFS($I$4:changes[[#This Row],[Name]],changes[[#This Row],[Name]], $E$4:changes[[#This Row],[Type of change]], "Edit")),B461)</f>
        <v>1</v>
      </c>
      <c r="C462" s="20">
        <v>44609</v>
      </c>
      <c r="D462" s="2" t="s">
        <v>2025</v>
      </c>
      <c r="E462" t="s">
        <v>2011</v>
      </c>
      <c r="F462" s="14" t="s">
        <v>1998</v>
      </c>
      <c r="G462" s="14" t="s">
        <v>2029</v>
      </c>
      <c r="H462" t="s">
        <v>2031</v>
      </c>
      <c r="I462" t="s">
        <v>2036</v>
      </c>
      <c r="J462" t="s">
        <v>1378</v>
      </c>
      <c r="K462" s="3"/>
      <c r="M462" s="3"/>
    </row>
    <row r="463" spans="1:13">
      <c r="A463" t="s">
        <v>28</v>
      </c>
      <c r="B463">
        <f ca="1">IF(OR(changes[[#This Row],[Type]]="Checklist",changes[[#This Row],[Type]]="checklist-flat"),1+IF(changes[[#This Row],[Type of change]] = "Edit",COUNTIFS($I$4:changes[[#This Row],[Name]],changes[[#This Row],[Name]], $E$4:changes[[#This Row],[Type of change]], "Edit")),B462)</f>
        <v>1</v>
      </c>
      <c r="C463" s="20">
        <v>44609</v>
      </c>
      <c r="D463" s="2" t="s">
        <v>2025</v>
      </c>
      <c r="E463" t="s">
        <v>2011</v>
      </c>
      <c r="F463" s="14" t="s">
        <v>1998</v>
      </c>
      <c r="G463" s="14" t="s">
        <v>2029</v>
      </c>
      <c r="H463" t="s">
        <v>2031</v>
      </c>
      <c r="I463" t="s">
        <v>2037</v>
      </c>
      <c r="J463" t="s">
        <v>1378</v>
      </c>
      <c r="K463" s="3"/>
      <c r="M463" s="3"/>
    </row>
    <row r="464" spans="1:13">
      <c r="A464" t="s">
        <v>28</v>
      </c>
      <c r="B464">
        <f ca="1">IF(OR(changes[[#This Row],[Type]]="Checklist",changes[[#This Row],[Type]]="checklist-flat"),1+IF(changes[[#This Row],[Type of change]] = "Edit",COUNTIFS($I$4:changes[[#This Row],[Name]],changes[[#This Row],[Name]], $E$4:changes[[#This Row],[Type of change]], "Edit")),B463)</f>
        <v>1</v>
      </c>
      <c r="C464" s="20">
        <v>44609</v>
      </c>
      <c r="D464" s="2" t="s">
        <v>2025</v>
      </c>
      <c r="E464" t="s">
        <v>2011</v>
      </c>
      <c r="F464" s="14" t="s">
        <v>1998</v>
      </c>
      <c r="G464" s="14" t="s">
        <v>2029</v>
      </c>
      <c r="H464" t="s">
        <v>2031</v>
      </c>
      <c r="I464" t="s">
        <v>2038</v>
      </c>
      <c r="J464" t="s">
        <v>1378</v>
      </c>
      <c r="K464" s="3"/>
      <c r="M464" s="3"/>
    </row>
    <row r="465" spans="1:13">
      <c r="A465" t="s">
        <v>28</v>
      </c>
      <c r="B465">
        <f ca="1">IF(OR(changes[[#This Row],[Type]]="Checklist",changes[[#This Row],[Type]]="checklist-flat"),1+IF(changes[[#This Row],[Type of change]] = "Edit",COUNTIFS($I$4:changes[[#This Row],[Name]],changes[[#This Row],[Name]], $E$4:changes[[#This Row],[Type of change]], "Edit")),B464)</f>
        <v>1</v>
      </c>
      <c r="C465" s="20">
        <v>44609</v>
      </c>
      <c r="D465" s="2" t="s">
        <v>2025</v>
      </c>
      <c r="E465" t="s">
        <v>2011</v>
      </c>
      <c r="F465" s="14" t="s">
        <v>1998</v>
      </c>
      <c r="G465" s="14" t="s">
        <v>2029</v>
      </c>
      <c r="H465" t="s">
        <v>2031</v>
      </c>
      <c r="I465" t="s">
        <v>2039</v>
      </c>
      <c r="J465" t="s">
        <v>1378</v>
      </c>
      <c r="K465" s="3"/>
      <c r="M465" s="3"/>
    </row>
    <row r="466" spans="1:13">
      <c r="A466" t="s">
        <v>28</v>
      </c>
      <c r="B466">
        <f ca="1">IF(OR(changes[[#This Row],[Type]]="Checklist",changes[[#This Row],[Type]]="checklist-flat"),1+IF(changes[[#This Row],[Type of change]] = "Edit",COUNTIFS($I$4:changes[[#This Row],[Name]],changes[[#This Row],[Name]], $E$4:changes[[#This Row],[Type of change]], "Edit")),B465)</f>
        <v>1</v>
      </c>
      <c r="C466" s="20">
        <v>44609</v>
      </c>
      <c r="D466" s="2" t="s">
        <v>2025</v>
      </c>
      <c r="E466" t="s">
        <v>2011</v>
      </c>
      <c r="F466" s="14" t="s">
        <v>1998</v>
      </c>
      <c r="G466" s="14" t="s">
        <v>2029</v>
      </c>
      <c r="H466" t="s">
        <v>2031</v>
      </c>
      <c r="I466" t="s">
        <v>2040</v>
      </c>
      <c r="J466" t="s">
        <v>1378</v>
      </c>
      <c r="K466" s="3"/>
      <c r="M466" s="3"/>
    </row>
    <row r="467" spans="1:13">
      <c r="A467" t="s">
        <v>28</v>
      </c>
      <c r="B467">
        <f ca="1">IF(OR(changes[[#This Row],[Type]]="Checklist",changes[[#This Row],[Type]]="checklist-flat"),1+IF(changes[[#This Row],[Type of change]] = "Edit",COUNTIFS($I$4:changes[[#This Row],[Name]],changes[[#This Row],[Name]], $E$4:changes[[#This Row],[Type of change]], "Edit")),B466)</f>
        <v>1</v>
      </c>
      <c r="C467" s="20">
        <v>44609</v>
      </c>
      <c r="D467" s="2" t="s">
        <v>2025</v>
      </c>
      <c r="E467" t="s">
        <v>2011</v>
      </c>
      <c r="F467" s="14" t="s">
        <v>1998</v>
      </c>
      <c r="G467" s="14" t="s">
        <v>2029</v>
      </c>
      <c r="H467" t="s">
        <v>2041</v>
      </c>
      <c r="I467" t="s">
        <v>1399</v>
      </c>
      <c r="K467" s="3"/>
      <c r="M467" s="3"/>
    </row>
    <row r="468" spans="1:13">
      <c r="A468" t="s">
        <v>28</v>
      </c>
      <c r="B468">
        <f ca="1">IF(OR(changes[[#This Row],[Type]]="Checklist",changes[[#This Row],[Type]]="checklist-flat"),1+IF(changes[[#This Row],[Type of change]] = "Edit",COUNTIFS($I$4:changes[[#This Row],[Name]],changes[[#This Row],[Name]], $E$4:changes[[#This Row],[Type of change]], "Edit")),B467)</f>
        <v>1</v>
      </c>
      <c r="C468" s="20">
        <v>44609</v>
      </c>
      <c r="D468" s="2" t="s">
        <v>2025</v>
      </c>
      <c r="E468" t="s">
        <v>2011</v>
      </c>
      <c r="F468" s="14" t="s">
        <v>1998</v>
      </c>
      <c r="G468" s="14" t="s">
        <v>2029</v>
      </c>
      <c r="H468" t="s">
        <v>2041</v>
      </c>
      <c r="I468" t="s">
        <v>2042</v>
      </c>
      <c r="K468" s="3"/>
      <c r="M468" s="3"/>
    </row>
    <row r="469" spans="1:13">
      <c r="A469" t="s">
        <v>28</v>
      </c>
      <c r="B469">
        <f ca="1">IF(OR(changes[[#This Row],[Type]]="Checklist",changes[[#This Row],[Type]]="checklist-flat"),1+IF(changes[[#This Row],[Type of change]] = "Edit",COUNTIFS($I$4:changes[[#This Row],[Name]],changes[[#This Row],[Name]], $E$4:changes[[#This Row],[Type of change]], "Edit")),B468)</f>
        <v>1</v>
      </c>
      <c r="C469" s="20">
        <v>44609</v>
      </c>
      <c r="D469" s="2" t="s">
        <v>2025</v>
      </c>
      <c r="E469" t="s">
        <v>2011</v>
      </c>
      <c r="F469" s="14" t="s">
        <v>1998</v>
      </c>
      <c r="G469" s="14" t="s">
        <v>2029</v>
      </c>
      <c r="H469" t="s">
        <v>2041</v>
      </c>
      <c r="I469" t="s">
        <v>2043</v>
      </c>
      <c r="K469" s="3"/>
      <c r="M469" s="3"/>
    </row>
    <row r="470" spans="1:13">
      <c r="A470" t="s">
        <v>28</v>
      </c>
      <c r="B470">
        <f ca="1">IF(OR(changes[[#This Row],[Type]]="Checklist",changes[[#This Row],[Type]]="checklist-flat"),1+IF(changes[[#This Row],[Type of change]] = "Edit",COUNTIFS($I$4:changes[[#This Row],[Name]],changes[[#This Row],[Name]], $E$4:changes[[#This Row],[Type of change]], "Edit")),B469)</f>
        <v>1</v>
      </c>
      <c r="C470" s="20">
        <v>44609</v>
      </c>
      <c r="D470" s="2" t="s">
        <v>2025</v>
      </c>
      <c r="E470" t="s">
        <v>2011</v>
      </c>
      <c r="F470" s="14" t="s">
        <v>1998</v>
      </c>
      <c r="G470" s="14" t="s">
        <v>2029</v>
      </c>
      <c r="H470" t="s">
        <v>2041</v>
      </c>
      <c r="I470" t="s">
        <v>2044</v>
      </c>
      <c r="K470" s="3"/>
      <c r="M470" s="3"/>
    </row>
    <row r="471" spans="1:13">
      <c r="A471" t="s">
        <v>28</v>
      </c>
      <c r="B471">
        <f ca="1">IF(OR(changes[[#This Row],[Type]]="Checklist",changes[[#This Row],[Type]]="checklist-flat"),1+IF(changes[[#This Row],[Type of change]] = "Edit",COUNTIFS($I$4:changes[[#This Row],[Name]],changes[[#This Row],[Name]], $E$4:changes[[#This Row],[Type of change]], "Edit")),B470)</f>
        <v>1</v>
      </c>
      <c r="C471" s="20">
        <v>44609</v>
      </c>
      <c r="D471" s="2" t="s">
        <v>2025</v>
      </c>
      <c r="E471" t="s">
        <v>2011</v>
      </c>
      <c r="F471" s="14" t="s">
        <v>1998</v>
      </c>
      <c r="G471" s="14" t="s">
        <v>2029</v>
      </c>
      <c r="H471" t="s">
        <v>58</v>
      </c>
      <c r="I471" t="s">
        <v>1068</v>
      </c>
      <c r="K471" s="3"/>
      <c r="M471" s="3"/>
    </row>
    <row r="472" spans="1:13">
      <c r="A472" t="s">
        <v>28</v>
      </c>
      <c r="B472">
        <f ca="1">IF(OR(changes[[#This Row],[Type]]="Checklist",changes[[#This Row],[Type]]="checklist-flat"),1+IF(changes[[#This Row],[Type of change]] = "Edit",COUNTIFS($I$4:changes[[#This Row],[Name]],changes[[#This Row],[Name]], $E$4:changes[[#This Row],[Type of change]], "Edit")),B471)</f>
        <v>1</v>
      </c>
      <c r="C472" s="20">
        <v>44609</v>
      </c>
      <c r="D472" s="2" t="s">
        <v>2025</v>
      </c>
      <c r="E472" t="s">
        <v>2011</v>
      </c>
      <c r="F472" s="14" t="s">
        <v>1998</v>
      </c>
      <c r="G472" s="14" t="s">
        <v>1601</v>
      </c>
      <c r="H472" s="47" t="s">
        <v>119</v>
      </c>
      <c r="I472" s="47" t="s">
        <v>1601</v>
      </c>
      <c r="J472" s="52"/>
      <c r="K472" s="3"/>
      <c r="M472" s="3" t="s">
        <v>2045</v>
      </c>
    </row>
    <row r="473" spans="1:13">
      <c r="A473" t="s">
        <v>28</v>
      </c>
      <c r="B473">
        <f ca="1">IF(OR(changes[[#This Row],[Type]]="Checklist",changes[[#This Row],[Type]]="checklist-flat"),1+IF(changes[[#This Row],[Type of change]] = "Edit",COUNTIFS($I$4:changes[[#This Row],[Name]],changes[[#This Row],[Name]], $E$4:changes[[#This Row],[Type of change]], "Edit")),B472)</f>
        <v>1</v>
      </c>
      <c r="C473" s="20">
        <v>44609</v>
      </c>
      <c r="D473" s="2" t="s">
        <v>2025</v>
      </c>
      <c r="E473" t="s">
        <v>2011</v>
      </c>
      <c r="F473" s="14" t="s">
        <v>1998</v>
      </c>
      <c r="G473" s="14" t="s">
        <v>1601</v>
      </c>
      <c r="H473" s="47" t="s">
        <v>49</v>
      </c>
      <c r="I473" s="47" t="s">
        <v>1263</v>
      </c>
      <c r="K473" s="3"/>
      <c r="M473" s="3"/>
    </row>
    <row r="474" spans="1:13">
      <c r="A474" t="s">
        <v>28</v>
      </c>
      <c r="B474">
        <f ca="1">IF(OR(changes[[#This Row],[Type]]="Checklist",changes[[#This Row],[Type]]="checklist-flat"),1+IF(changes[[#This Row],[Type of change]] = "Edit",COUNTIFS($I$4:changes[[#This Row],[Name]],changes[[#This Row],[Name]], $E$4:changes[[#This Row],[Type of change]], "Edit")),B473)</f>
        <v>1</v>
      </c>
      <c r="C474" s="20">
        <v>44609</v>
      </c>
      <c r="D474" s="2" t="s">
        <v>2025</v>
      </c>
      <c r="E474" t="s">
        <v>2011</v>
      </c>
      <c r="F474" s="14" t="s">
        <v>1998</v>
      </c>
      <c r="G474" s="14" t="s">
        <v>1601</v>
      </c>
      <c r="H474" s="47" t="s">
        <v>49</v>
      </c>
      <c r="I474" s="47" t="s">
        <v>1264</v>
      </c>
      <c r="K474" s="3"/>
      <c r="M474" s="3"/>
    </row>
    <row r="475" spans="1:13">
      <c r="A475" t="s">
        <v>28</v>
      </c>
      <c r="B475">
        <f ca="1">IF(OR(changes[[#This Row],[Type]]="Checklist",changes[[#This Row],[Type]]="checklist-flat"),1+IF(changes[[#This Row],[Type of change]] = "Edit",COUNTIFS($I$4:changes[[#This Row],[Name]],changes[[#This Row],[Name]], $E$4:changes[[#This Row],[Type of change]], "Edit")),B474)</f>
        <v>1</v>
      </c>
      <c r="C475" s="20">
        <v>44609</v>
      </c>
      <c r="D475" s="2" t="s">
        <v>2025</v>
      </c>
      <c r="E475" t="s">
        <v>2011</v>
      </c>
      <c r="F475" s="14" t="s">
        <v>1998</v>
      </c>
      <c r="G475" s="14" t="s">
        <v>1601</v>
      </c>
      <c r="H475" s="47" t="s">
        <v>1119</v>
      </c>
      <c r="I475" s="47" t="s">
        <v>2046</v>
      </c>
      <c r="K475" s="3"/>
      <c r="M475" s="3"/>
    </row>
    <row r="476" spans="1:13">
      <c r="A476" t="s">
        <v>28</v>
      </c>
      <c r="B476">
        <f ca="1">IF(OR(changes[[#This Row],[Type]]="Checklist",changes[[#This Row],[Type]]="checklist-flat"),1+IF(changes[[#This Row],[Type of change]] = "Edit",COUNTIFS($I$4:changes[[#This Row],[Name]],changes[[#This Row],[Name]], $E$4:changes[[#This Row],[Type of change]], "Edit")),B475)</f>
        <v>1</v>
      </c>
      <c r="C476" s="20">
        <v>44609</v>
      </c>
      <c r="D476" s="2" t="s">
        <v>2025</v>
      </c>
      <c r="E476" t="s">
        <v>2011</v>
      </c>
      <c r="F476" s="14" t="s">
        <v>1998</v>
      </c>
      <c r="G476" s="14" t="s">
        <v>1601</v>
      </c>
      <c r="H476" s="47" t="s">
        <v>49</v>
      </c>
      <c r="I476" s="47" t="s">
        <v>1602</v>
      </c>
      <c r="K476" s="3"/>
      <c r="M476" s="3"/>
    </row>
    <row r="477" spans="1:13">
      <c r="A477" t="s">
        <v>28</v>
      </c>
      <c r="B477">
        <f ca="1">IF(OR(changes[[#This Row],[Type]]="Checklist",changes[[#This Row],[Type]]="checklist-flat"),1+IF(changes[[#This Row],[Type of change]] = "Edit",COUNTIFS($I$4:changes[[#This Row],[Name]],changes[[#This Row],[Name]], $E$4:changes[[#This Row],[Type of change]], "Edit")),B476)</f>
        <v>1</v>
      </c>
      <c r="C477" s="20">
        <v>44609</v>
      </c>
      <c r="D477" s="2" t="s">
        <v>2025</v>
      </c>
      <c r="E477" t="s">
        <v>2011</v>
      </c>
      <c r="F477" s="14" t="s">
        <v>1998</v>
      </c>
      <c r="G477" s="14" t="s">
        <v>1603</v>
      </c>
      <c r="H477" s="47" t="s">
        <v>119</v>
      </c>
      <c r="I477" s="47" t="s">
        <v>1603</v>
      </c>
      <c r="J477" s="52"/>
      <c r="K477" s="3"/>
      <c r="M477" s="3"/>
    </row>
    <row r="478" spans="1:13">
      <c r="A478" t="s">
        <v>28</v>
      </c>
      <c r="B478">
        <f ca="1">IF(OR(changes[[#This Row],[Type]]="Checklist",changes[[#This Row],[Type]]="checklist-flat"),1+IF(changes[[#This Row],[Type of change]] = "Edit",COUNTIFS($I$4:changes[[#This Row],[Name]],changes[[#This Row],[Name]], $E$4:changes[[#This Row],[Type of change]], "Edit")),B477)</f>
        <v>1</v>
      </c>
      <c r="C478" s="20">
        <v>44609</v>
      </c>
      <c r="D478" s="2" t="s">
        <v>2025</v>
      </c>
      <c r="E478" t="s">
        <v>2011</v>
      </c>
      <c r="F478" s="14" t="s">
        <v>1998</v>
      </c>
      <c r="G478" s="14" t="s">
        <v>1603</v>
      </c>
      <c r="H478" s="47" t="s">
        <v>49</v>
      </c>
      <c r="I478" s="47" t="s">
        <v>1263</v>
      </c>
      <c r="K478" s="3"/>
      <c r="M478" s="3"/>
    </row>
    <row r="479" spans="1:13">
      <c r="A479" t="s">
        <v>28</v>
      </c>
      <c r="B479">
        <f ca="1">IF(OR(changes[[#This Row],[Type]]="Checklist",changes[[#This Row],[Type]]="checklist-flat"),1+IF(changes[[#This Row],[Type of change]] = "Edit",COUNTIFS($I$4:changes[[#This Row],[Name]],changes[[#This Row],[Name]], $E$4:changes[[#This Row],[Type of change]], "Edit")),B478)</f>
        <v>1</v>
      </c>
      <c r="C479" s="20">
        <v>44609</v>
      </c>
      <c r="D479" s="2" t="s">
        <v>2025</v>
      </c>
      <c r="E479" t="s">
        <v>2011</v>
      </c>
      <c r="F479" s="14" t="s">
        <v>1998</v>
      </c>
      <c r="G479" s="14" t="s">
        <v>1603</v>
      </c>
      <c r="H479" s="47" t="s">
        <v>49</v>
      </c>
      <c r="I479" s="47" t="s">
        <v>1264</v>
      </c>
      <c r="K479" s="3"/>
      <c r="M479" s="3"/>
    </row>
    <row r="480" spans="1:13">
      <c r="A480" t="s">
        <v>28</v>
      </c>
      <c r="B480">
        <f ca="1">IF(OR(changes[[#This Row],[Type]]="Checklist",changes[[#This Row],[Type]]="checklist-flat"),1+IF(changes[[#This Row],[Type of change]] = "Edit",COUNTIFS($I$4:changes[[#This Row],[Name]],changes[[#This Row],[Name]], $E$4:changes[[#This Row],[Type of change]], "Edit")),B479)</f>
        <v>1</v>
      </c>
      <c r="C480" s="20">
        <v>44609</v>
      </c>
      <c r="D480" s="2" t="s">
        <v>2025</v>
      </c>
      <c r="E480" t="s">
        <v>2011</v>
      </c>
      <c r="F480" s="14" t="s">
        <v>1998</v>
      </c>
      <c r="G480" s="14" t="s">
        <v>1603</v>
      </c>
      <c r="H480" s="47" t="s">
        <v>1119</v>
      </c>
      <c r="I480" s="47" t="s">
        <v>2046</v>
      </c>
      <c r="K480" s="3"/>
      <c r="M480" s="3"/>
    </row>
    <row r="481" spans="1:13">
      <c r="A481" t="s">
        <v>28</v>
      </c>
      <c r="B481">
        <f ca="1">IF(OR(changes[[#This Row],[Type]]="Checklist",changes[[#This Row],[Type]]="checklist-flat"),1+IF(changes[[#This Row],[Type of change]] = "Edit",COUNTIFS($I$4:changes[[#This Row],[Name]],changes[[#This Row],[Name]], $E$4:changes[[#This Row],[Type of change]], "Edit")),B480)</f>
        <v>1</v>
      </c>
      <c r="C481" s="20">
        <v>44609</v>
      </c>
      <c r="D481" s="2" t="s">
        <v>2025</v>
      </c>
      <c r="E481" t="s">
        <v>2011</v>
      </c>
      <c r="F481" s="14" t="s">
        <v>1998</v>
      </c>
      <c r="G481" s="14" t="s">
        <v>1603</v>
      </c>
      <c r="H481" s="47" t="s">
        <v>49</v>
      </c>
      <c r="I481" s="47" t="s">
        <v>1604</v>
      </c>
      <c r="K481" s="3"/>
      <c r="M481" s="3"/>
    </row>
    <row r="482" spans="1:13">
      <c r="A482" t="s">
        <v>28</v>
      </c>
      <c r="B482">
        <f ca="1">IF(OR(changes[[#This Row],[Type]]="Checklist",changes[[#This Row],[Type]]="checklist-flat"),1+IF(changes[[#This Row],[Type of change]] = "Edit",COUNTIFS($I$4:changes[[#This Row],[Name]],changes[[#This Row],[Name]], $E$4:changes[[#This Row],[Type of change]], "Edit")),B481)</f>
        <v>1</v>
      </c>
      <c r="C482" s="20">
        <v>44609</v>
      </c>
      <c r="D482" s="2" t="s">
        <v>2025</v>
      </c>
      <c r="E482" t="s">
        <v>2011</v>
      </c>
      <c r="F482" s="14" t="s">
        <v>1998</v>
      </c>
      <c r="G482" s="14" t="s">
        <v>1605</v>
      </c>
      <c r="H482" s="47" t="s">
        <v>119</v>
      </c>
      <c r="I482" s="47" t="s">
        <v>1605</v>
      </c>
      <c r="J482" s="52"/>
      <c r="K482" s="3"/>
      <c r="M482" s="3"/>
    </row>
    <row r="483" spans="1:13">
      <c r="A483" t="s">
        <v>28</v>
      </c>
      <c r="B483">
        <f ca="1">IF(OR(changes[[#This Row],[Type]]="Checklist",changes[[#This Row],[Type]]="checklist-flat"),1+IF(changes[[#This Row],[Type of change]] = "Edit",COUNTIFS($I$4:changes[[#This Row],[Name]],changes[[#This Row],[Name]], $E$4:changes[[#This Row],[Type of change]], "Edit")),B482)</f>
        <v>1</v>
      </c>
      <c r="C483" s="20">
        <v>44609</v>
      </c>
      <c r="D483" s="2" t="s">
        <v>2025</v>
      </c>
      <c r="E483" t="s">
        <v>2011</v>
      </c>
      <c r="F483" s="14" t="s">
        <v>1998</v>
      </c>
      <c r="G483" s="14" t="s">
        <v>1605</v>
      </c>
      <c r="H483" s="47" t="s">
        <v>49</v>
      </c>
      <c r="I483" s="47" t="s">
        <v>1263</v>
      </c>
      <c r="K483" s="3"/>
      <c r="M483" s="3"/>
    </row>
    <row r="484" spans="1:13">
      <c r="A484" t="s">
        <v>28</v>
      </c>
      <c r="B484">
        <f ca="1">IF(OR(changes[[#This Row],[Type]]="Checklist",changes[[#This Row],[Type]]="checklist-flat"),1+IF(changes[[#This Row],[Type of change]] = "Edit",COUNTIFS($I$4:changes[[#This Row],[Name]],changes[[#This Row],[Name]], $E$4:changes[[#This Row],[Type of change]], "Edit")),B483)</f>
        <v>1</v>
      </c>
      <c r="C484" s="20">
        <v>44609</v>
      </c>
      <c r="D484" s="2" t="s">
        <v>2025</v>
      </c>
      <c r="E484" t="s">
        <v>2011</v>
      </c>
      <c r="F484" s="14" t="s">
        <v>1998</v>
      </c>
      <c r="G484" s="14" t="s">
        <v>1605</v>
      </c>
      <c r="H484" s="47" t="s">
        <v>49</v>
      </c>
      <c r="I484" s="47" t="s">
        <v>1264</v>
      </c>
      <c r="K484" s="3"/>
      <c r="M484" s="3"/>
    </row>
    <row r="485" spans="1:13">
      <c r="A485" t="s">
        <v>28</v>
      </c>
      <c r="B485">
        <f ca="1">IF(OR(changes[[#This Row],[Type]]="Checklist",changes[[#This Row],[Type]]="checklist-flat"),1+IF(changes[[#This Row],[Type of change]] = "Edit",COUNTIFS($I$4:changes[[#This Row],[Name]],changes[[#This Row],[Name]], $E$4:changes[[#This Row],[Type of change]], "Edit")),B484)</f>
        <v>1</v>
      </c>
      <c r="C485" s="20">
        <v>44609</v>
      </c>
      <c r="D485" s="2" t="s">
        <v>2025</v>
      </c>
      <c r="E485" t="s">
        <v>2011</v>
      </c>
      <c r="F485" s="14" t="s">
        <v>1998</v>
      </c>
      <c r="G485" s="14" t="s">
        <v>1605</v>
      </c>
      <c r="H485" s="47" t="s">
        <v>1119</v>
      </c>
      <c r="I485" s="47" t="s">
        <v>2046</v>
      </c>
      <c r="K485" s="3"/>
      <c r="M485" s="3"/>
    </row>
    <row r="486" spans="1:13">
      <c r="A486" t="s">
        <v>28</v>
      </c>
      <c r="B486">
        <f ca="1">IF(OR(changes[[#This Row],[Type]]="Checklist",changes[[#This Row],[Type]]="checklist-flat"),1+IF(changes[[#This Row],[Type of change]] = "Edit",COUNTIFS($I$4:changes[[#This Row],[Name]],changes[[#This Row],[Name]], $E$4:changes[[#This Row],[Type of change]], "Edit")),B485)</f>
        <v>1</v>
      </c>
      <c r="C486" s="20">
        <v>44609</v>
      </c>
      <c r="D486" s="2" t="s">
        <v>2025</v>
      </c>
      <c r="E486" t="s">
        <v>2011</v>
      </c>
      <c r="F486" s="14" t="s">
        <v>1998</v>
      </c>
      <c r="G486" s="14" t="s">
        <v>1605</v>
      </c>
      <c r="H486" s="47" t="s">
        <v>49</v>
      </c>
      <c r="I486" s="47" t="s">
        <v>1606</v>
      </c>
      <c r="K486" s="3"/>
      <c r="M486" s="3"/>
    </row>
    <row r="487" spans="1:13">
      <c r="A487" t="s">
        <v>28</v>
      </c>
      <c r="B487">
        <f ca="1">IF(OR(changes[[#This Row],[Type]]="Checklist",changes[[#This Row],[Type]]="checklist-flat"),1+IF(changes[[#This Row],[Type of change]] = "Edit",COUNTIFS($I$4:changes[[#This Row],[Name]],changes[[#This Row],[Name]], $E$4:changes[[#This Row],[Type of change]], "Edit")),B486)</f>
        <v>1</v>
      </c>
      <c r="C487" s="20">
        <v>44609</v>
      </c>
      <c r="D487" s="2" t="s">
        <v>2025</v>
      </c>
      <c r="E487" t="s">
        <v>2011</v>
      </c>
      <c r="F487" s="14" t="s">
        <v>1998</v>
      </c>
      <c r="G487" s="14" t="s">
        <v>1607</v>
      </c>
      <c r="H487" s="47" t="s">
        <v>119</v>
      </c>
      <c r="I487" s="47" t="s">
        <v>1607</v>
      </c>
      <c r="J487" s="52"/>
      <c r="K487" s="3"/>
      <c r="M487" s="3"/>
    </row>
    <row r="488" spans="1:13">
      <c r="A488" t="s">
        <v>28</v>
      </c>
      <c r="B488">
        <f ca="1">IF(OR(changes[[#This Row],[Type]]="Checklist",changes[[#This Row],[Type]]="checklist-flat"),1+IF(changes[[#This Row],[Type of change]] = "Edit",COUNTIFS($I$4:changes[[#This Row],[Name]],changes[[#This Row],[Name]], $E$4:changes[[#This Row],[Type of change]], "Edit")),B487)</f>
        <v>1</v>
      </c>
      <c r="C488" s="20">
        <v>44609</v>
      </c>
      <c r="D488" s="2" t="s">
        <v>2025</v>
      </c>
      <c r="E488" t="s">
        <v>2011</v>
      </c>
      <c r="F488" s="14" t="s">
        <v>1998</v>
      </c>
      <c r="G488" s="14" t="s">
        <v>1607</v>
      </c>
      <c r="H488" s="47" t="s">
        <v>49</v>
      </c>
      <c r="I488" s="47" t="s">
        <v>1263</v>
      </c>
      <c r="K488" s="3"/>
      <c r="M488" s="3"/>
    </row>
    <row r="489" spans="1:13">
      <c r="A489" t="s">
        <v>28</v>
      </c>
      <c r="B489">
        <f ca="1">IF(OR(changes[[#This Row],[Type]]="Checklist",changes[[#This Row],[Type]]="checklist-flat"),1+IF(changes[[#This Row],[Type of change]] = "Edit",COUNTIFS($I$4:changes[[#This Row],[Name]],changes[[#This Row],[Name]], $E$4:changes[[#This Row],[Type of change]], "Edit")),B488)</f>
        <v>1</v>
      </c>
      <c r="C489" s="20">
        <v>44609</v>
      </c>
      <c r="D489" s="2" t="s">
        <v>2025</v>
      </c>
      <c r="E489" t="s">
        <v>2011</v>
      </c>
      <c r="F489" s="14" t="s">
        <v>1998</v>
      </c>
      <c r="G489" s="14" t="s">
        <v>1607</v>
      </c>
      <c r="H489" s="47" t="s">
        <v>49</v>
      </c>
      <c r="I489" s="47" t="s">
        <v>1264</v>
      </c>
      <c r="K489" s="3"/>
      <c r="M489" s="3"/>
    </row>
    <row r="490" spans="1:13">
      <c r="A490" t="s">
        <v>28</v>
      </c>
      <c r="B490">
        <f ca="1">IF(OR(changes[[#This Row],[Type]]="Checklist",changes[[#This Row],[Type]]="checklist-flat"),1+IF(changes[[#This Row],[Type of change]] = "Edit",COUNTIFS($I$4:changes[[#This Row],[Name]],changes[[#This Row],[Name]], $E$4:changes[[#This Row],[Type of change]], "Edit")),B489)</f>
        <v>1</v>
      </c>
      <c r="C490" s="20">
        <v>44609</v>
      </c>
      <c r="D490" s="2" t="s">
        <v>2025</v>
      </c>
      <c r="E490" t="s">
        <v>2011</v>
      </c>
      <c r="F490" s="14" t="s">
        <v>1998</v>
      </c>
      <c r="G490" s="14" t="s">
        <v>1607</v>
      </c>
      <c r="H490" s="47" t="s">
        <v>1119</v>
      </c>
      <c r="I490" s="47" t="s">
        <v>2046</v>
      </c>
      <c r="K490" s="3"/>
      <c r="M490" s="3"/>
    </row>
    <row r="491" spans="1:13">
      <c r="A491" t="s">
        <v>28</v>
      </c>
      <c r="B491">
        <f ca="1">IF(OR(changes[[#This Row],[Type]]="Checklist",changes[[#This Row],[Type]]="checklist-flat"),1+IF(changes[[#This Row],[Type of change]] = "Edit",COUNTIFS($I$4:changes[[#This Row],[Name]],changes[[#This Row],[Name]], $E$4:changes[[#This Row],[Type of change]], "Edit")),B490)</f>
        <v>1</v>
      </c>
      <c r="C491" s="20">
        <v>44609</v>
      </c>
      <c r="D491" s="2" t="s">
        <v>2025</v>
      </c>
      <c r="E491" t="s">
        <v>2011</v>
      </c>
      <c r="F491" s="14" t="s">
        <v>1998</v>
      </c>
      <c r="G491" s="14" t="s">
        <v>1607</v>
      </c>
      <c r="H491" s="47" t="s">
        <v>49</v>
      </c>
      <c r="I491" s="47" t="s">
        <v>1608</v>
      </c>
      <c r="K491" s="3"/>
      <c r="M491" s="3"/>
    </row>
    <row r="492" spans="1:13">
      <c r="A492" t="s">
        <v>28</v>
      </c>
      <c r="B492">
        <f ca="1">IF(OR(changes[[#This Row],[Type]]="Checklist",changes[[#This Row],[Type]]="checklist-flat"),1+IF(changes[[#This Row],[Type of change]] = "Edit",COUNTIFS($I$4:changes[[#This Row],[Name]],changes[[#This Row],[Name]], $E$4:changes[[#This Row],[Type of change]], "Edit")),B491)</f>
        <v>1</v>
      </c>
      <c r="C492" s="20">
        <v>44609</v>
      </c>
      <c r="D492" s="2" t="s">
        <v>2025</v>
      </c>
      <c r="E492" t="s">
        <v>2011</v>
      </c>
      <c r="F492" s="14" t="s">
        <v>1998</v>
      </c>
      <c r="G492" s="14" t="s">
        <v>1609</v>
      </c>
      <c r="H492" s="47" t="s">
        <v>119</v>
      </c>
      <c r="I492" s="47" t="s">
        <v>1609</v>
      </c>
      <c r="J492" s="52"/>
      <c r="K492" s="3"/>
      <c r="M492" s="3"/>
    </row>
    <row r="493" spans="1:13">
      <c r="A493" t="s">
        <v>28</v>
      </c>
      <c r="B493">
        <f ca="1">IF(OR(changes[[#This Row],[Type]]="Checklist",changes[[#This Row],[Type]]="checklist-flat"),1+IF(changes[[#This Row],[Type of change]] = "Edit",COUNTIFS($I$4:changes[[#This Row],[Name]],changes[[#This Row],[Name]], $E$4:changes[[#This Row],[Type of change]], "Edit")),B492)</f>
        <v>1</v>
      </c>
      <c r="C493" s="20">
        <v>44609</v>
      </c>
      <c r="D493" s="2" t="s">
        <v>2025</v>
      </c>
      <c r="E493" t="s">
        <v>2011</v>
      </c>
      <c r="F493" s="14" t="s">
        <v>1998</v>
      </c>
      <c r="G493" s="14" t="s">
        <v>1609</v>
      </c>
      <c r="H493" s="47" t="s">
        <v>49</v>
      </c>
      <c r="I493" s="47" t="s">
        <v>1263</v>
      </c>
      <c r="K493" s="3"/>
      <c r="M493" s="3"/>
    </row>
    <row r="494" spans="1:13">
      <c r="A494" t="s">
        <v>28</v>
      </c>
      <c r="B494">
        <f ca="1">IF(OR(changes[[#This Row],[Type]]="Checklist",changes[[#This Row],[Type]]="checklist-flat"),1+IF(changes[[#This Row],[Type of change]] = "Edit",COUNTIFS($I$4:changes[[#This Row],[Name]],changes[[#This Row],[Name]], $E$4:changes[[#This Row],[Type of change]], "Edit")),B493)</f>
        <v>1</v>
      </c>
      <c r="C494" s="20">
        <v>44609</v>
      </c>
      <c r="D494" s="2" t="s">
        <v>2025</v>
      </c>
      <c r="E494" t="s">
        <v>2011</v>
      </c>
      <c r="F494" s="14" t="s">
        <v>1998</v>
      </c>
      <c r="G494" s="14" t="s">
        <v>1609</v>
      </c>
      <c r="H494" s="47" t="s">
        <v>49</v>
      </c>
      <c r="I494" s="47" t="s">
        <v>1264</v>
      </c>
      <c r="K494" s="3"/>
      <c r="M494" s="3"/>
    </row>
    <row r="495" spans="1:13">
      <c r="A495" t="s">
        <v>28</v>
      </c>
      <c r="B495">
        <f ca="1">IF(OR(changes[[#This Row],[Type]]="Checklist",changes[[#This Row],[Type]]="checklist-flat"),1+IF(changes[[#This Row],[Type of change]] = "Edit",COUNTIFS($I$4:changes[[#This Row],[Name]],changes[[#This Row],[Name]], $E$4:changes[[#This Row],[Type of change]], "Edit")),B494)</f>
        <v>1</v>
      </c>
      <c r="C495" s="20">
        <v>44609</v>
      </c>
      <c r="D495" s="2" t="s">
        <v>2025</v>
      </c>
      <c r="E495" t="s">
        <v>2011</v>
      </c>
      <c r="F495" s="14" t="s">
        <v>1998</v>
      </c>
      <c r="G495" s="14" t="s">
        <v>1609</v>
      </c>
      <c r="H495" s="47" t="s">
        <v>1119</v>
      </c>
      <c r="I495" s="47" t="s">
        <v>2046</v>
      </c>
      <c r="K495" s="3"/>
      <c r="M495" s="3"/>
    </row>
    <row r="496" spans="1:13">
      <c r="A496" t="s">
        <v>28</v>
      </c>
      <c r="B496">
        <f ca="1">IF(OR(changes[[#This Row],[Type]]="Checklist",changes[[#This Row],[Type]]="checklist-flat"),1+IF(changes[[#This Row],[Type of change]] = "Edit",COUNTIFS($I$4:changes[[#This Row],[Name]],changes[[#This Row],[Name]], $E$4:changes[[#This Row],[Type of change]], "Edit")),B495)</f>
        <v>1</v>
      </c>
      <c r="C496" s="20">
        <v>44609</v>
      </c>
      <c r="D496" s="2" t="s">
        <v>2025</v>
      </c>
      <c r="E496" t="s">
        <v>2011</v>
      </c>
      <c r="F496" s="14" t="s">
        <v>1998</v>
      </c>
      <c r="G496" s="14" t="s">
        <v>1609</v>
      </c>
      <c r="H496" s="47" t="s">
        <v>49</v>
      </c>
      <c r="I496" s="47" t="s">
        <v>2047</v>
      </c>
      <c r="K496" s="3"/>
      <c r="M496" s="3"/>
    </row>
    <row r="497" spans="1:13">
      <c r="A497" t="s">
        <v>28</v>
      </c>
      <c r="B497">
        <f ca="1">IF(OR(changes[[#This Row],[Type]]="Checklist",changes[[#This Row],[Type]]="checklist-flat"),1+IF(changes[[#This Row],[Type of change]] = "Edit",COUNTIFS($I$4:changes[[#This Row],[Name]],changes[[#This Row],[Name]], $E$4:changes[[#This Row],[Type of change]], "Edit")),B496)</f>
        <v>1</v>
      </c>
      <c r="C497" s="20">
        <v>44609</v>
      </c>
      <c r="D497" s="2" t="s">
        <v>2025</v>
      </c>
      <c r="E497" t="s">
        <v>2011</v>
      </c>
      <c r="F497" s="14" t="s">
        <v>1998</v>
      </c>
      <c r="G497" s="14" t="s">
        <v>1611</v>
      </c>
      <c r="H497" s="47" t="s">
        <v>119</v>
      </c>
      <c r="I497" s="47" t="s">
        <v>1611</v>
      </c>
      <c r="J497" s="52"/>
      <c r="K497" s="3"/>
      <c r="M497" s="3"/>
    </row>
    <row r="498" spans="1:13">
      <c r="A498" t="s">
        <v>28</v>
      </c>
      <c r="B498">
        <f ca="1">IF(OR(changes[[#This Row],[Type]]="Checklist",changes[[#This Row],[Type]]="checklist-flat"),1+IF(changes[[#This Row],[Type of change]] = "Edit",COUNTIFS($I$4:changes[[#This Row],[Name]],changes[[#This Row],[Name]], $E$4:changes[[#This Row],[Type of change]], "Edit")),B497)</f>
        <v>1</v>
      </c>
      <c r="C498" s="20">
        <v>44609</v>
      </c>
      <c r="D498" s="2" t="s">
        <v>2025</v>
      </c>
      <c r="E498" t="s">
        <v>2011</v>
      </c>
      <c r="F498" s="14" t="s">
        <v>1998</v>
      </c>
      <c r="G498" s="14" t="s">
        <v>1611</v>
      </c>
      <c r="H498" s="47" t="s">
        <v>49</v>
      </c>
      <c r="I498" s="47" t="s">
        <v>1263</v>
      </c>
      <c r="K498" s="3"/>
      <c r="M498" s="3"/>
    </row>
    <row r="499" spans="1:13">
      <c r="A499" t="s">
        <v>28</v>
      </c>
      <c r="B499">
        <f ca="1">IF(OR(changes[[#This Row],[Type]]="Checklist",changes[[#This Row],[Type]]="checklist-flat"),1+IF(changes[[#This Row],[Type of change]] = "Edit",COUNTIFS($I$4:changes[[#This Row],[Name]],changes[[#This Row],[Name]], $E$4:changes[[#This Row],[Type of change]], "Edit")),B498)</f>
        <v>1</v>
      </c>
      <c r="C499" s="20">
        <v>44609</v>
      </c>
      <c r="D499" s="2" t="s">
        <v>2025</v>
      </c>
      <c r="E499" t="s">
        <v>2011</v>
      </c>
      <c r="F499" s="14" t="s">
        <v>1998</v>
      </c>
      <c r="G499" s="14" t="s">
        <v>1611</v>
      </c>
      <c r="H499" s="47" t="s">
        <v>49</v>
      </c>
      <c r="I499" s="47" t="s">
        <v>1264</v>
      </c>
      <c r="K499" s="3"/>
      <c r="M499" s="3"/>
    </row>
    <row r="500" spans="1:13">
      <c r="A500" t="s">
        <v>28</v>
      </c>
      <c r="B500">
        <f ca="1">IF(OR(changes[[#This Row],[Type]]="Checklist",changes[[#This Row],[Type]]="checklist-flat"),1+IF(changes[[#This Row],[Type of change]] = "Edit",COUNTIFS($I$4:changes[[#This Row],[Name]],changes[[#This Row],[Name]], $E$4:changes[[#This Row],[Type of change]], "Edit")),B499)</f>
        <v>1</v>
      </c>
      <c r="C500" s="20">
        <v>44609</v>
      </c>
      <c r="D500" s="2" t="s">
        <v>2025</v>
      </c>
      <c r="E500" t="s">
        <v>2011</v>
      </c>
      <c r="F500" s="14" t="s">
        <v>1998</v>
      </c>
      <c r="G500" s="14" t="s">
        <v>1611</v>
      </c>
      <c r="H500" s="47" t="s">
        <v>1119</v>
      </c>
      <c r="I500" s="47" t="s">
        <v>2046</v>
      </c>
      <c r="K500" s="3"/>
      <c r="M500" s="3"/>
    </row>
    <row r="501" spans="1:13">
      <c r="A501" t="s">
        <v>28</v>
      </c>
      <c r="B501">
        <f ca="1">IF(OR(changes[[#This Row],[Type]]="Checklist",changes[[#This Row],[Type]]="checklist-flat"),1+IF(changes[[#This Row],[Type of change]] = "Edit",COUNTIFS($I$4:changes[[#This Row],[Name]],changes[[#This Row],[Name]], $E$4:changes[[#This Row],[Type of change]], "Edit")),B500)</f>
        <v>1</v>
      </c>
      <c r="C501" s="20">
        <v>44609</v>
      </c>
      <c r="D501" s="2" t="s">
        <v>2025</v>
      </c>
      <c r="E501" t="s">
        <v>2011</v>
      </c>
      <c r="F501" s="14" t="s">
        <v>1998</v>
      </c>
      <c r="G501" s="14" t="s">
        <v>1611</v>
      </c>
      <c r="H501" s="47" t="s">
        <v>49</v>
      </c>
      <c r="I501" s="47" t="s">
        <v>1612</v>
      </c>
      <c r="K501" s="3"/>
      <c r="M501" s="3"/>
    </row>
    <row r="502" spans="1:13">
      <c r="A502" t="s">
        <v>28</v>
      </c>
      <c r="B502">
        <f ca="1">IF(OR(changes[[#This Row],[Type]]="Checklist",changes[[#This Row],[Type]]="checklist-flat"),1+IF(changes[[#This Row],[Type of change]] = "Edit",COUNTIFS($I$4:changes[[#This Row],[Name]],changes[[#This Row],[Name]], $E$4:changes[[#This Row],[Type of change]], "Edit")),B501)</f>
        <v>1</v>
      </c>
      <c r="C502" s="20">
        <v>44609</v>
      </c>
      <c r="D502" s="2" t="s">
        <v>2025</v>
      </c>
      <c r="E502" t="s">
        <v>2011</v>
      </c>
      <c r="F502" s="14" t="s">
        <v>1998</v>
      </c>
      <c r="G502" s="14" t="s">
        <v>1613</v>
      </c>
      <c r="H502" s="47" t="s">
        <v>119</v>
      </c>
      <c r="I502" s="47" t="s">
        <v>1613</v>
      </c>
      <c r="J502" s="52"/>
      <c r="K502" s="3"/>
      <c r="M502" s="3"/>
    </row>
    <row r="503" spans="1:13">
      <c r="A503" t="s">
        <v>28</v>
      </c>
      <c r="B503">
        <f ca="1">IF(OR(changes[[#This Row],[Type]]="Checklist",changes[[#This Row],[Type]]="checklist-flat"),1+IF(changes[[#This Row],[Type of change]] = "Edit",COUNTIFS($I$4:changes[[#This Row],[Name]],changes[[#This Row],[Name]], $E$4:changes[[#This Row],[Type of change]], "Edit")),B502)</f>
        <v>1</v>
      </c>
      <c r="C503" s="20">
        <v>44609</v>
      </c>
      <c r="D503" s="2" t="s">
        <v>2025</v>
      </c>
      <c r="E503" t="s">
        <v>2011</v>
      </c>
      <c r="F503" s="14" t="s">
        <v>1998</v>
      </c>
      <c r="G503" s="14" t="s">
        <v>1613</v>
      </c>
      <c r="H503" s="47" t="s">
        <v>49</v>
      </c>
      <c r="I503" s="47" t="s">
        <v>1263</v>
      </c>
      <c r="K503" s="3"/>
      <c r="M503" s="3"/>
    </row>
    <row r="504" spans="1:13">
      <c r="A504" t="s">
        <v>28</v>
      </c>
      <c r="B504">
        <f ca="1">IF(OR(changes[[#This Row],[Type]]="Checklist",changes[[#This Row],[Type]]="checklist-flat"),1+IF(changes[[#This Row],[Type of change]] = "Edit",COUNTIFS($I$4:changes[[#This Row],[Name]],changes[[#This Row],[Name]], $E$4:changes[[#This Row],[Type of change]], "Edit")),B503)</f>
        <v>1</v>
      </c>
      <c r="C504" s="20">
        <v>44609</v>
      </c>
      <c r="D504" s="2" t="s">
        <v>2025</v>
      </c>
      <c r="E504" t="s">
        <v>2011</v>
      </c>
      <c r="F504" s="14" t="s">
        <v>1998</v>
      </c>
      <c r="G504" s="14" t="s">
        <v>1613</v>
      </c>
      <c r="H504" s="47" t="s">
        <v>49</v>
      </c>
      <c r="I504" s="47" t="s">
        <v>1264</v>
      </c>
      <c r="K504" s="3"/>
      <c r="M504" s="3"/>
    </row>
    <row r="505" spans="1:13">
      <c r="A505" t="s">
        <v>28</v>
      </c>
      <c r="B505">
        <f ca="1">IF(OR(changes[[#This Row],[Type]]="Checklist",changes[[#This Row],[Type]]="checklist-flat"),1+IF(changes[[#This Row],[Type of change]] = "Edit",COUNTIFS($I$4:changes[[#This Row],[Name]],changes[[#This Row],[Name]], $E$4:changes[[#This Row],[Type of change]], "Edit")),B504)</f>
        <v>1</v>
      </c>
      <c r="C505" s="20">
        <v>44609</v>
      </c>
      <c r="D505" s="2" t="s">
        <v>2025</v>
      </c>
      <c r="E505" t="s">
        <v>2011</v>
      </c>
      <c r="F505" s="14" t="s">
        <v>1998</v>
      </c>
      <c r="G505" s="14" t="s">
        <v>1613</v>
      </c>
      <c r="H505" s="47" t="s">
        <v>1119</v>
      </c>
      <c r="I505" s="47" t="s">
        <v>2046</v>
      </c>
      <c r="K505" s="3"/>
      <c r="M505" s="3"/>
    </row>
    <row r="506" spans="1:13">
      <c r="A506" t="s">
        <v>28</v>
      </c>
      <c r="B506">
        <f ca="1">IF(OR(changes[[#This Row],[Type]]="Checklist",changes[[#This Row],[Type]]="checklist-flat"),1+IF(changes[[#This Row],[Type of change]] = "Edit",COUNTIFS($I$4:changes[[#This Row],[Name]],changes[[#This Row],[Name]], $E$4:changes[[#This Row],[Type of change]], "Edit")),B505)</f>
        <v>1</v>
      </c>
      <c r="C506" s="20">
        <v>44609</v>
      </c>
      <c r="D506" s="2" t="s">
        <v>2025</v>
      </c>
      <c r="E506" t="s">
        <v>2011</v>
      </c>
      <c r="F506" s="14" t="s">
        <v>1998</v>
      </c>
      <c r="G506" s="14" t="s">
        <v>1613</v>
      </c>
      <c r="H506" s="47" t="s">
        <v>49</v>
      </c>
      <c r="I506" s="47" t="s">
        <v>1614</v>
      </c>
      <c r="K506" s="3"/>
      <c r="M506" s="3"/>
    </row>
    <row r="507" spans="1:13">
      <c r="A507" t="s">
        <v>28</v>
      </c>
      <c r="B507">
        <f ca="1">IF(OR(changes[[#This Row],[Type]]="Checklist",changes[[#This Row],[Type]]="checklist-flat"),1+IF(changes[[#This Row],[Type of change]] = "Edit",COUNTIFS($I$4:changes[[#This Row],[Name]],changes[[#This Row],[Name]], $E$4:changes[[#This Row],[Type of change]], "Edit")),B506)</f>
        <v>1</v>
      </c>
      <c r="C507" s="20">
        <v>44609</v>
      </c>
      <c r="D507" s="2" t="s">
        <v>2025</v>
      </c>
      <c r="E507" t="s">
        <v>2011</v>
      </c>
      <c r="F507" s="14" t="s">
        <v>1998</v>
      </c>
      <c r="G507" s="14" t="s">
        <v>1615</v>
      </c>
      <c r="H507" s="47" t="s">
        <v>119</v>
      </c>
      <c r="I507" s="47" t="s">
        <v>1615</v>
      </c>
      <c r="J507" s="52"/>
      <c r="K507" s="3"/>
      <c r="M507" s="3"/>
    </row>
    <row r="508" spans="1:13">
      <c r="A508" t="s">
        <v>28</v>
      </c>
      <c r="B508">
        <f ca="1">IF(OR(changes[[#This Row],[Type]]="Checklist",changes[[#This Row],[Type]]="checklist-flat"),1+IF(changes[[#This Row],[Type of change]] = "Edit",COUNTIFS($I$4:changes[[#This Row],[Name]],changes[[#This Row],[Name]], $E$4:changes[[#This Row],[Type of change]], "Edit")),B507)</f>
        <v>1</v>
      </c>
      <c r="C508" s="20">
        <v>44609</v>
      </c>
      <c r="D508" s="2" t="s">
        <v>2025</v>
      </c>
      <c r="E508" t="s">
        <v>2011</v>
      </c>
      <c r="F508" s="14" t="s">
        <v>1998</v>
      </c>
      <c r="G508" s="14" t="s">
        <v>1615</v>
      </c>
      <c r="H508" t="s">
        <v>49</v>
      </c>
      <c r="I508" t="s">
        <v>1616</v>
      </c>
      <c r="K508" s="3"/>
      <c r="M508" s="3"/>
    </row>
    <row r="509" spans="1:13">
      <c r="A509" t="s">
        <v>28</v>
      </c>
      <c r="B509">
        <f ca="1">IF(OR(changes[[#This Row],[Type]]="Checklist",changes[[#This Row],[Type]]="checklist-flat"),1+IF(changes[[#This Row],[Type of change]] = "Edit",COUNTIFS($I$4:changes[[#This Row],[Name]],changes[[#This Row],[Name]], $E$4:changes[[#This Row],[Type of change]], "Edit")),B508)</f>
        <v>1</v>
      </c>
      <c r="C509" s="20">
        <v>44609</v>
      </c>
      <c r="D509" s="2" t="s">
        <v>2025</v>
      </c>
      <c r="E509" t="s">
        <v>2011</v>
      </c>
      <c r="F509" s="14" t="s">
        <v>1998</v>
      </c>
      <c r="G509" s="14" t="s">
        <v>1615</v>
      </c>
      <c r="H509" t="s">
        <v>49</v>
      </c>
      <c r="I509" t="s">
        <v>1617</v>
      </c>
      <c r="K509" s="3"/>
      <c r="M509" s="3"/>
    </row>
    <row r="510" spans="1:13">
      <c r="A510" t="s">
        <v>28</v>
      </c>
      <c r="B510">
        <f ca="1">IF(OR(changes[[#This Row],[Type]]="Checklist",changes[[#This Row],[Type]]="checklist-flat"),1+IF(changes[[#This Row],[Type of change]] = "Edit",COUNTIFS($I$4:changes[[#This Row],[Name]],changes[[#This Row],[Name]], $E$4:changes[[#This Row],[Type of change]], "Edit")),B509)</f>
        <v>1</v>
      </c>
      <c r="C510" s="20">
        <v>44609</v>
      </c>
      <c r="D510" s="2" t="s">
        <v>2025</v>
      </c>
      <c r="E510" t="s">
        <v>2011</v>
      </c>
      <c r="F510" s="14" t="s">
        <v>1998</v>
      </c>
      <c r="G510" s="14" t="s">
        <v>1615</v>
      </c>
      <c r="H510" t="s">
        <v>49</v>
      </c>
      <c r="I510" t="s">
        <v>1618</v>
      </c>
      <c r="K510" s="3"/>
      <c r="M510" s="3"/>
    </row>
    <row r="511" spans="1:13">
      <c r="A511" t="s">
        <v>28</v>
      </c>
      <c r="B511">
        <f ca="1">IF(OR(changes[[#This Row],[Type]]="Checklist",changes[[#This Row],[Type]]="checklist-flat"),1+IF(changes[[#This Row],[Type of change]] = "Edit",COUNTIFS($I$4:changes[[#This Row],[Name]],changes[[#This Row],[Name]], $E$4:changes[[#This Row],[Type of change]], "Edit")),B510)</f>
        <v>1</v>
      </c>
      <c r="C511" s="20">
        <v>44609</v>
      </c>
      <c r="D511" s="2" t="s">
        <v>2025</v>
      </c>
      <c r="E511" t="s">
        <v>2011</v>
      </c>
      <c r="F511" s="14" t="s">
        <v>1998</v>
      </c>
      <c r="G511" s="14" t="s">
        <v>1615</v>
      </c>
      <c r="H511" t="s">
        <v>1119</v>
      </c>
      <c r="I511" t="s">
        <v>306</v>
      </c>
      <c r="K511" s="3"/>
      <c r="M511" s="3"/>
    </row>
    <row r="512" spans="1:13">
      <c r="A512" t="s">
        <v>28</v>
      </c>
      <c r="B512">
        <f ca="1">IF(OR(changes[[#This Row],[Type]]="Checklist",changes[[#This Row],[Type]]="checklist-flat"),1+IF(changes[[#This Row],[Type of change]] = "Edit",COUNTIFS($I$4:changes[[#This Row],[Name]],changes[[#This Row],[Name]], $E$4:changes[[#This Row],[Type of change]], "Edit")),B511)</f>
        <v>1</v>
      </c>
      <c r="C512" s="20">
        <v>44609</v>
      </c>
      <c r="D512" s="2" t="s">
        <v>2025</v>
      </c>
      <c r="E512" t="s">
        <v>2011</v>
      </c>
      <c r="F512" s="14" t="s">
        <v>1998</v>
      </c>
      <c r="G512" s="14" t="s">
        <v>1615</v>
      </c>
      <c r="H512" t="s">
        <v>49</v>
      </c>
      <c r="I512" t="s">
        <v>1619</v>
      </c>
      <c r="K512" s="3"/>
      <c r="M512" s="3"/>
    </row>
    <row r="513" spans="1:13">
      <c r="A513" t="s">
        <v>28</v>
      </c>
      <c r="B513">
        <f ca="1">IF(OR(changes[[#This Row],[Type]]="Checklist",changes[[#This Row],[Type]]="checklist-flat"),1+IF(changes[[#This Row],[Type of change]] = "Edit",COUNTIFS($I$4:changes[[#This Row],[Name]],changes[[#This Row],[Name]], $E$4:changes[[#This Row],[Type of change]], "Edit")),B512)</f>
        <v>1</v>
      </c>
      <c r="C513" s="20">
        <v>44609</v>
      </c>
      <c r="D513" s="2" t="s">
        <v>2025</v>
      </c>
      <c r="E513" t="s">
        <v>2011</v>
      </c>
      <c r="F513" s="14" t="s">
        <v>1998</v>
      </c>
      <c r="G513" s="14" t="s">
        <v>1620</v>
      </c>
      <c r="H513" s="47" t="s">
        <v>119</v>
      </c>
      <c r="I513" s="47" t="s">
        <v>1620</v>
      </c>
      <c r="J513" s="52"/>
      <c r="K513" s="3"/>
      <c r="M513" s="3"/>
    </row>
    <row r="514" spans="1:13">
      <c r="A514" t="s">
        <v>28</v>
      </c>
      <c r="B514">
        <f ca="1">IF(OR(changes[[#This Row],[Type]]="Checklist",changes[[#This Row],[Type]]="checklist-flat"),1+IF(changes[[#This Row],[Type of change]] = "Edit",COUNTIFS($I$4:changes[[#This Row],[Name]],changes[[#This Row],[Name]], $E$4:changes[[#This Row],[Type of change]], "Edit")),B513)</f>
        <v>1</v>
      </c>
      <c r="C514" s="20">
        <v>44609</v>
      </c>
      <c r="D514" s="2" t="s">
        <v>2025</v>
      </c>
      <c r="E514" t="s">
        <v>2011</v>
      </c>
      <c r="F514" s="14" t="s">
        <v>1998</v>
      </c>
      <c r="G514" s="14" t="s">
        <v>1620</v>
      </c>
      <c r="H514" t="s">
        <v>831</v>
      </c>
      <c r="I514" t="s">
        <v>1621</v>
      </c>
      <c r="K514" s="3"/>
      <c r="M514" s="3"/>
    </row>
    <row r="515" spans="1:13">
      <c r="A515" t="s">
        <v>28</v>
      </c>
      <c r="B515">
        <f ca="1">IF(OR(changes[[#This Row],[Type]]="Checklist",changes[[#This Row],[Type]]="checklist-flat"),1+IF(changes[[#This Row],[Type of change]] = "Edit",COUNTIFS($I$4:changes[[#This Row],[Name]],changes[[#This Row],[Name]], $E$4:changes[[#This Row],[Type of change]], "Edit")),B514)</f>
        <v>1</v>
      </c>
      <c r="C515" s="20">
        <v>44609</v>
      </c>
      <c r="D515" s="2" t="s">
        <v>2025</v>
      </c>
      <c r="E515" t="s">
        <v>2011</v>
      </c>
      <c r="F515" s="14" t="s">
        <v>1998</v>
      </c>
      <c r="G515" s="14" t="s">
        <v>1620</v>
      </c>
      <c r="H515" t="s">
        <v>831</v>
      </c>
      <c r="I515" t="s">
        <v>1622</v>
      </c>
      <c r="K515" s="3"/>
      <c r="M515" s="3"/>
    </row>
    <row r="516" spans="1:13">
      <c r="A516" t="s">
        <v>28</v>
      </c>
      <c r="B516">
        <f ca="1">IF(OR(changes[[#This Row],[Type]]="Checklist",changes[[#This Row],[Type]]="checklist-flat"),1+IF(changes[[#This Row],[Type of change]] = "Edit",COUNTIFS($I$4:changes[[#This Row],[Name]],changes[[#This Row],[Name]], $E$4:changes[[#This Row],[Type of change]], "Edit")),B515)</f>
        <v>1</v>
      </c>
      <c r="C516" s="20">
        <v>44609</v>
      </c>
      <c r="D516" s="2" t="s">
        <v>2025</v>
      </c>
      <c r="E516" t="s">
        <v>2011</v>
      </c>
      <c r="F516" s="14" t="s">
        <v>1998</v>
      </c>
      <c r="G516" s="14" t="s">
        <v>1620</v>
      </c>
      <c r="H516" t="s">
        <v>831</v>
      </c>
      <c r="I516" t="s">
        <v>1623</v>
      </c>
      <c r="K516" s="3"/>
      <c r="M516" s="3"/>
    </row>
    <row r="517" spans="1:13">
      <c r="A517" t="s">
        <v>28</v>
      </c>
      <c r="B517">
        <f ca="1">IF(OR(changes[[#This Row],[Type]]="Checklist",changes[[#This Row],[Type]]="checklist-flat"),1+IF(changes[[#This Row],[Type of change]] = "Edit",COUNTIFS($I$4:changes[[#This Row],[Name]],changes[[#This Row],[Name]], $E$4:changes[[#This Row],[Type of change]], "Edit")),B516)</f>
        <v>1</v>
      </c>
      <c r="C517" s="20">
        <v>44609</v>
      </c>
      <c r="D517" s="2" t="s">
        <v>2025</v>
      </c>
      <c r="E517" t="s">
        <v>2011</v>
      </c>
      <c r="F517" s="14" t="s">
        <v>1998</v>
      </c>
      <c r="G517" s="14" t="s">
        <v>1620</v>
      </c>
      <c r="H517" t="s">
        <v>1119</v>
      </c>
      <c r="I517" t="s">
        <v>1624</v>
      </c>
      <c r="K517" s="3"/>
      <c r="M517" s="3"/>
    </row>
    <row r="518" spans="1:13">
      <c r="A518" t="s">
        <v>28</v>
      </c>
      <c r="B518">
        <f ca="1">IF(OR(changes[[#This Row],[Type]]="Checklist",changes[[#This Row],[Type]]="checklist-flat"),1+IF(changes[[#This Row],[Type of change]] = "Edit",COUNTIFS($I$4:changes[[#This Row],[Name]],changes[[#This Row],[Name]], $E$4:changes[[#This Row],[Type of change]], "Edit")),B517)</f>
        <v>1</v>
      </c>
      <c r="C518" s="20">
        <v>44609</v>
      </c>
      <c r="D518" s="2" t="s">
        <v>2025</v>
      </c>
      <c r="E518" t="s">
        <v>2011</v>
      </c>
      <c r="F518" s="14" t="s">
        <v>1998</v>
      </c>
      <c r="G518" s="14" t="s">
        <v>1620</v>
      </c>
      <c r="H518" t="s">
        <v>49</v>
      </c>
      <c r="I518" t="s">
        <v>1625</v>
      </c>
      <c r="K518" s="3"/>
      <c r="M518" s="3"/>
    </row>
    <row r="519" spans="1:13">
      <c r="A519" t="s">
        <v>28</v>
      </c>
      <c r="B519">
        <f ca="1">IF(OR(changes[[#This Row],[Type]]="Checklist",changes[[#This Row],[Type]]="checklist-flat"),1+IF(changes[[#This Row],[Type of change]] = "Edit",COUNTIFS($I$4:changes[[#This Row],[Name]],changes[[#This Row],[Name]], $E$4:changes[[#This Row],[Type of change]], "Edit")),B518)</f>
        <v>1</v>
      </c>
      <c r="C519" s="20">
        <v>44609</v>
      </c>
      <c r="D519" s="2" t="s">
        <v>2048</v>
      </c>
      <c r="E519" t="s">
        <v>2011</v>
      </c>
      <c r="F519" s="14" t="s">
        <v>9</v>
      </c>
      <c r="G519" t="s">
        <v>884</v>
      </c>
      <c r="H519" t="s">
        <v>119</v>
      </c>
      <c r="I519" t="s">
        <v>884</v>
      </c>
      <c r="K519" s="3"/>
      <c r="M519" s="3" t="s">
        <v>2049</v>
      </c>
    </row>
    <row r="520" spans="1:13">
      <c r="A520" t="s">
        <v>28</v>
      </c>
      <c r="B520">
        <f ca="1">IF(OR(changes[[#This Row],[Type]]="Checklist",changes[[#This Row],[Type]]="checklist-flat"),1+IF(changes[[#This Row],[Type of change]] = "Edit",COUNTIFS($I$4:changes[[#This Row],[Name]],changes[[#This Row],[Name]], $E$4:changes[[#This Row],[Type of change]], "Edit")),B519)</f>
        <v>1</v>
      </c>
      <c r="C520" s="20">
        <v>44609</v>
      </c>
      <c r="D520" s="2" t="s">
        <v>2048</v>
      </c>
      <c r="E520" t="s">
        <v>2011</v>
      </c>
      <c r="F520" s="14" t="s">
        <v>9</v>
      </c>
      <c r="G520" t="s">
        <v>884</v>
      </c>
      <c r="H520" t="s">
        <v>49</v>
      </c>
      <c r="I520" t="s">
        <v>540</v>
      </c>
      <c r="K520" s="3"/>
      <c r="M520" s="3"/>
    </row>
    <row r="521" spans="1:13">
      <c r="A521" t="s">
        <v>28</v>
      </c>
      <c r="B521">
        <f ca="1">IF(OR(changes[[#This Row],[Type]]="Checklist",changes[[#This Row],[Type]]="checklist-flat"),1+IF(changes[[#This Row],[Type of change]] = "Edit",COUNTIFS($I$4:changes[[#This Row],[Name]],changes[[#This Row],[Name]], $E$4:changes[[#This Row],[Type of change]], "Edit")),B520)</f>
        <v>1</v>
      </c>
      <c r="C521" s="20">
        <v>44609</v>
      </c>
      <c r="D521" s="2" t="s">
        <v>2048</v>
      </c>
      <c r="E521" t="s">
        <v>2011</v>
      </c>
      <c r="F521" s="14" t="s">
        <v>9</v>
      </c>
      <c r="G521" t="s">
        <v>884</v>
      </c>
      <c r="H521" t="s">
        <v>49</v>
      </c>
      <c r="I521" t="s">
        <v>541</v>
      </c>
      <c r="K521" s="3"/>
      <c r="M521" s="3"/>
    </row>
    <row r="522" spans="1:13">
      <c r="A522" t="s">
        <v>28</v>
      </c>
      <c r="B522">
        <f ca="1">IF(OR(changes[[#This Row],[Type]]="Checklist",changes[[#This Row],[Type]]="checklist-flat"),1+IF(changes[[#This Row],[Type of change]] = "Edit",COUNTIFS($I$4:changes[[#This Row],[Name]],changes[[#This Row],[Name]], $E$4:changes[[#This Row],[Type of change]], "Edit")),B521)</f>
        <v>1</v>
      </c>
      <c r="C522" s="20">
        <v>44609</v>
      </c>
      <c r="D522" s="2" t="s">
        <v>2048</v>
      </c>
      <c r="E522" t="s">
        <v>2011</v>
      </c>
      <c r="F522" s="14" t="s">
        <v>9</v>
      </c>
      <c r="G522" t="s">
        <v>884</v>
      </c>
      <c r="H522" t="s">
        <v>49</v>
      </c>
      <c r="I522" t="s">
        <v>542</v>
      </c>
      <c r="K522" s="3"/>
      <c r="M522" s="3"/>
    </row>
    <row r="523" spans="1:13">
      <c r="A523" t="s">
        <v>28</v>
      </c>
      <c r="B523">
        <f ca="1">IF(OR(changes[[#This Row],[Type]]="Checklist",changes[[#This Row],[Type]]="checklist-flat"),1+IF(changes[[#This Row],[Type of change]] = "Edit",COUNTIFS($I$4:changes[[#This Row],[Name]],changes[[#This Row],[Name]], $E$4:changes[[#This Row],[Type of change]], "Edit")),B522)</f>
        <v>1</v>
      </c>
      <c r="C523" s="20">
        <v>44609</v>
      </c>
      <c r="D523" s="2" t="s">
        <v>2048</v>
      </c>
      <c r="E523" t="s">
        <v>2011</v>
      </c>
      <c r="F523" s="14" t="s">
        <v>9</v>
      </c>
      <c r="G523" t="s">
        <v>884</v>
      </c>
      <c r="H523" t="s">
        <v>49</v>
      </c>
      <c r="I523" t="s">
        <v>543</v>
      </c>
      <c r="K523" s="3"/>
      <c r="M523" s="3"/>
    </row>
    <row r="524" spans="1:13">
      <c r="A524" t="s">
        <v>28</v>
      </c>
      <c r="B524">
        <f ca="1">IF(OR(changes[[#This Row],[Type]]="Checklist",changes[[#This Row],[Type]]="checklist-flat"),1+IF(changes[[#This Row],[Type of change]] = "Edit",COUNTIFS($I$4:changes[[#This Row],[Name]],changes[[#This Row],[Name]], $E$4:changes[[#This Row],[Type of change]], "Edit")),B523)</f>
        <v>1</v>
      </c>
      <c r="C524" s="20">
        <v>44609</v>
      </c>
      <c r="D524" s="2" t="s">
        <v>2048</v>
      </c>
      <c r="E524" t="s">
        <v>2011</v>
      </c>
      <c r="F524" s="14" t="s">
        <v>9</v>
      </c>
      <c r="G524" t="s">
        <v>884</v>
      </c>
      <c r="H524" t="s">
        <v>49</v>
      </c>
      <c r="I524" t="s">
        <v>544</v>
      </c>
      <c r="K524" s="3"/>
      <c r="M524" s="3"/>
    </row>
    <row r="525" spans="1:13">
      <c r="A525" t="s">
        <v>28</v>
      </c>
      <c r="B525">
        <f ca="1">IF(OR(changes[[#This Row],[Type]]="Checklist",changes[[#This Row],[Type]]="checklist-flat"),1+IF(changes[[#This Row],[Type of change]] = "Edit",COUNTIFS($I$4:changes[[#This Row],[Name]],changes[[#This Row],[Name]], $E$4:changes[[#This Row],[Type of change]], "Edit")),B524)</f>
        <v>1</v>
      </c>
      <c r="C525" s="20">
        <v>44609</v>
      </c>
      <c r="D525" s="2" t="s">
        <v>2048</v>
      </c>
      <c r="E525" t="s">
        <v>2011</v>
      </c>
      <c r="F525" s="14" t="s">
        <v>9</v>
      </c>
      <c r="G525" t="s">
        <v>884</v>
      </c>
      <c r="H525" t="s">
        <v>49</v>
      </c>
      <c r="I525" t="s">
        <v>545</v>
      </c>
      <c r="K525" s="3"/>
      <c r="M525" s="3"/>
    </row>
    <row r="526" spans="1:13">
      <c r="A526" t="s">
        <v>28</v>
      </c>
      <c r="B526">
        <f ca="1">IF(OR(changes[[#This Row],[Type]]="Checklist",changes[[#This Row],[Type]]="checklist-flat"),1+IF(changes[[#This Row],[Type of change]] = "Edit",COUNTIFS($I$4:changes[[#This Row],[Name]],changes[[#This Row],[Name]], $E$4:changes[[#This Row],[Type of change]], "Edit")),B525)</f>
        <v>1</v>
      </c>
      <c r="C526" s="20">
        <v>44609</v>
      </c>
      <c r="D526" s="2" t="s">
        <v>2048</v>
      </c>
      <c r="E526" t="s">
        <v>2011</v>
      </c>
      <c r="F526" s="14" t="s">
        <v>9</v>
      </c>
      <c r="G526" t="s">
        <v>884</v>
      </c>
      <c r="H526" t="s">
        <v>49</v>
      </c>
      <c r="I526" t="s">
        <v>546</v>
      </c>
      <c r="K526" s="3"/>
      <c r="M526" s="3"/>
    </row>
    <row r="527" spans="1:13">
      <c r="A527" t="s">
        <v>11</v>
      </c>
      <c r="B527">
        <f ca="1">IF(OR(changes[[#This Row],[Type]]="Checklist",changes[[#This Row],[Type]]="checklist-flat"),1+IF(changes[[#This Row],[Type of change]] = "Edit",COUNTIFS($I$4:changes[[#This Row],[Name]],changes[[#This Row],[Name]], $E$4:changes[[#This Row],[Type of change]], "Edit")),B526)</f>
        <v>1</v>
      </c>
      <c r="C527" s="20">
        <v>44609</v>
      </c>
      <c r="D527" s="2" t="s">
        <v>2048</v>
      </c>
      <c r="E527" t="s">
        <v>2011</v>
      </c>
      <c r="F527" s="14" t="s">
        <v>9</v>
      </c>
      <c r="G527" t="s">
        <v>884</v>
      </c>
      <c r="H527" t="s">
        <v>120</v>
      </c>
      <c r="I527" t="s">
        <v>2050</v>
      </c>
      <c r="K527" s="3"/>
      <c r="M527" s="3" t="s">
        <v>2051</v>
      </c>
    </row>
    <row r="528" spans="1:13">
      <c r="A528" t="s">
        <v>11</v>
      </c>
      <c r="B528">
        <f ca="1">IF(OR(changes[[#This Row],[Type]]="Checklist",changes[[#This Row],[Type]]="checklist-flat"),1+IF(changes[[#This Row],[Type of change]] = "Edit",COUNTIFS($I$4:changes[[#This Row],[Name]],changes[[#This Row],[Name]], $E$4:changes[[#This Row],[Type of change]], "Edit")),B527)</f>
        <v>1</v>
      </c>
      <c r="C528" s="20">
        <v>44609</v>
      </c>
      <c r="D528" s="2" t="s">
        <v>2048</v>
      </c>
      <c r="E528" t="s">
        <v>2011</v>
      </c>
      <c r="F528" s="14" t="s">
        <v>9</v>
      </c>
      <c r="G528" t="s">
        <v>884</v>
      </c>
      <c r="H528" t="s">
        <v>49</v>
      </c>
      <c r="I528" t="s">
        <v>2052</v>
      </c>
      <c r="K528" s="3"/>
      <c r="M528" s="3"/>
    </row>
    <row r="529" spans="1:13">
      <c r="A529" t="s">
        <v>11</v>
      </c>
      <c r="B529">
        <f ca="1">IF(OR(changes[[#This Row],[Type]]="Checklist",changes[[#This Row],[Type]]="checklist-flat"),1+IF(changes[[#This Row],[Type of change]] = "Edit",COUNTIFS($I$4:changes[[#This Row],[Name]],changes[[#This Row],[Name]], $E$4:changes[[#This Row],[Type of change]], "Edit")),B528)</f>
        <v>1</v>
      </c>
      <c r="C529" s="20">
        <v>44609</v>
      </c>
      <c r="D529" s="2" t="s">
        <v>2048</v>
      </c>
      <c r="E529" t="s">
        <v>2011</v>
      </c>
      <c r="F529" s="14" t="s">
        <v>9</v>
      </c>
      <c r="G529" t="s">
        <v>884</v>
      </c>
      <c r="H529" t="s">
        <v>49</v>
      </c>
      <c r="I529" t="s">
        <v>549</v>
      </c>
      <c r="K529" s="3"/>
      <c r="M529" s="3"/>
    </row>
    <row r="530" spans="1:13">
      <c r="A530" t="s">
        <v>11</v>
      </c>
      <c r="B530">
        <f ca="1">IF(OR(changes[[#This Row],[Type]]="Checklist",changes[[#This Row],[Type]]="checklist-flat"),1+IF(changes[[#This Row],[Type of change]] = "Edit",COUNTIFS($I$4:changes[[#This Row],[Name]],changes[[#This Row],[Name]], $E$4:changes[[#This Row],[Type of change]], "Edit")),B529)</f>
        <v>1</v>
      </c>
      <c r="C530" s="20">
        <v>44609</v>
      </c>
      <c r="D530" s="2" t="s">
        <v>2048</v>
      </c>
      <c r="E530" t="s">
        <v>2011</v>
      </c>
      <c r="F530" s="14" t="s">
        <v>9</v>
      </c>
      <c r="G530" t="s">
        <v>884</v>
      </c>
      <c r="H530" t="s">
        <v>49</v>
      </c>
      <c r="I530" t="s">
        <v>2053</v>
      </c>
      <c r="K530" s="3"/>
      <c r="M530" s="3"/>
    </row>
    <row r="531" spans="1:13">
      <c r="A531" t="s">
        <v>11</v>
      </c>
      <c r="B531">
        <f ca="1">IF(OR(changes[[#This Row],[Type]]="Checklist",changes[[#This Row],[Type]]="checklist-flat"),1+IF(changes[[#This Row],[Type of change]] = "Edit",COUNTIFS($I$4:changes[[#This Row],[Name]],changes[[#This Row],[Name]], $E$4:changes[[#This Row],[Type of change]], "Edit")),B530)</f>
        <v>1</v>
      </c>
      <c r="C531" s="20">
        <v>44609</v>
      </c>
      <c r="D531" s="2" t="s">
        <v>2048</v>
      </c>
      <c r="E531" t="s">
        <v>2011</v>
      </c>
      <c r="F531" s="14" t="s">
        <v>9</v>
      </c>
      <c r="G531" t="s">
        <v>884</v>
      </c>
      <c r="H531" t="s">
        <v>49</v>
      </c>
      <c r="I531" t="s">
        <v>1617</v>
      </c>
      <c r="K531" s="3"/>
      <c r="M531" s="3"/>
    </row>
    <row r="532" spans="1:13">
      <c r="A532" t="s">
        <v>11</v>
      </c>
      <c r="B532">
        <f ca="1">IF(OR(changes[[#This Row],[Type]]="Checklist",changes[[#This Row],[Type]]="checklist-flat"),1+IF(changes[[#This Row],[Type of change]] = "Edit",COUNTIFS($I$4:changes[[#This Row],[Name]],changes[[#This Row],[Name]], $E$4:changes[[#This Row],[Type of change]], "Edit")),B531)</f>
        <v>1</v>
      </c>
      <c r="C532" s="20">
        <v>44609</v>
      </c>
      <c r="D532" s="2" t="s">
        <v>2048</v>
      </c>
      <c r="E532" t="s">
        <v>2011</v>
      </c>
      <c r="F532" s="14" t="s">
        <v>9</v>
      </c>
      <c r="G532" t="s">
        <v>884</v>
      </c>
      <c r="H532" t="s">
        <v>49</v>
      </c>
      <c r="I532" t="s">
        <v>1618</v>
      </c>
      <c r="K532" s="3"/>
      <c r="M532" s="3"/>
    </row>
    <row r="533" spans="1:13">
      <c r="A533" t="s">
        <v>11</v>
      </c>
      <c r="B533">
        <f ca="1">IF(OR(changes[[#This Row],[Type]]="Checklist",changes[[#This Row],[Type]]="checklist-flat"),1+IF(changes[[#This Row],[Type of change]] = "Edit",COUNTIFS($I$4:changes[[#This Row],[Name]],changes[[#This Row],[Name]], $E$4:changes[[#This Row],[Type of change]], "Edit")),B532)</f>
        <v>1</v>
      </c>
      <c r="C533" s="20">
        <v>44609</v>
      </c>
      <c r="D533" s="2" t="s">
        <v>2048</v>
      </c>
      <c r="E533" t="s">
        <v>2011</v>
      </c>
      <c r="F533" s="14" t="s">
        <v>9</v>
      </c>
      <c r="G533" t="s">
        <v>884</v>
      </c>
      <c r="H533" t="s">
        <v>49</v>
      </c>
      <c r="I533" t="s">
        <v>2054</v>
      </c>
      <c r="K533" s="3"/>
      <c r="M533" s="3"/>
    </row>
    <row r="534" spans="1:13">
      <c r="A534" t="s">
        <v>11</v>
      </c>
      <c r="B534">
        <f ca="1">IF(OR(changes[[#This Row],[Type]]="Checklist",changes[[#This Row],[Type]]="checklist-flat"),1+IF(changes[[#This Row],[Type of change]] = "Edit",COUNTIFS($I$4:changes[[#This Row],[Name]],changes[[#This Row],[Name]], $E$4:changes[[#This Row],[Type of change]], "Edit")),B533)</f>
        <v>1</v>
      </c>
      <c r="C534" s="20">
        <v>44609</v>
      </c>
      <c r="D534" s="2" t="s">
        <v>2048</v>
      </c>
      <c r="E534" t="s">
        <v>2011</v>
      </c>
      <c r="F534" s="14" t="s">
        <v>9</v>
      </c>
      <c r="G534" t="s">
        <v>884</v>
      </c>
      <c r="H534" t="s">
        <v>49</v>
      </c>
      <c r="I534" t="s">
        <v>2055</v>
      </c>
      <c r="K534" s="3"/>
      <c r="M534" s="3"/>
    </row>
    <row r="535" spans="1:13">
      <c r="A535" t="s">
        <v>11</v>
      </c>
      <c r="B535">
        <f ca="1">IF(OR(changes[[#This Row],[Type]]="Checklist",changes[[#This Row],[Type]]="checklist-flat"),1+IF(changes[[#This Row],[Type of change]] = "Edit",COUNTIFS($I$4:changes[[#This Row],[Name]],changes[[#This Row],[Name]], $E$4:changes[[#This Row],[Type of change]], "Edit")),B534)</f>
        <v>1</v>
      </c>
      <c r="C535" s="20">
        <v>44609</v>
      </c>
      <c r="D535" s="2" t="s">
        <v>2048</v>
      </c>
      <c r="E535" t="s">
        <v>2011</v>
      </c>
      <c r="F535" s="14" t="s">
        <v>9</v>
      </c>
      <c r="G535" t="s">
        <v>884</v>
      </c>
      <c r="H535" t="s">
        <v>49</v>
      </c>
      <c r="I535" t="s">
        <v>556</v>
      </c>
      <c r="K535" s="3"/>
      <c r="M535" s="3"/>
    </row>
    <row r="536" spans="1:13">
      <c r="A536" t="s">
        <v>28</v>
      </c>
      <c r="B536">
        <f ca="1">IF(OR(changes[[#This Row],[Type]]="Checklist",changes[[#This Row],[Type]]="checklist-flat"),1+IF(changes[[#This Row],[Type of change]] = "Edit",COUNTIFS($I$4:changes[[#This Row],[Name]],changes[[#This Row],[Name]], $E$4:changes[[#This Row],[Type of change]], "Edit")),B535)</f>
        <v>1</v>
      </c>
      <c r="C536" s="20">
        <v>44609</v>
      </c>
      <c r="D536" s="2" t="s">
        <v>2048</v>
      </c>
      <c r="E536" t="s">
        <v>2011</v>
      </c>
      <c r="F536" s="14" t="s">
        <v>9</v>
      </c>
      <c r="G536" t="s">
        <v>885</v>
      </c>
      <c r="H536" t="s">
        <v>119</v>
      </c>
      <c r="I536" t="s">
        <v>885</v>
      </c>
      <c r="K536" s="3"/>
      <c r="M536" s="3" t="s">
        <v>2056</v>
      </c>
    </row>
    <row r="537" spans="1:13">
      <c r="A537" t="s">
        <v>28</v>
      </c>
      <c r="B537">
        <f ca="1">IF(OR(changes[[#This Row],[Type]]="Checklist",changes[[#This Row],[Type]]="checklist-flat"),1+IF(changes[[#This Row],[Type of change]] = "Edit",COUNTIFS($I$4:changes[[#This Row],[Name]],changes[[#This Row],[Name]], $E$4:changes[[#This Row],[Type of change]], "Edit")),B536)</f>
        <v>1</v>
      </c>
      <c r="C537" s="20">
        <v>44609</v>
      </c>
      <c r="D537" s="2" t="s">
        <v>2048</v>
      </c>
      <c r="E537" t="s">
        <v>2011</v>
      </c>
      <c r="F537" s="14" t="s">
        <v>9</v>
      </c>
      <c r="G537" t="s">
        <v>885</v>
      </c>
      <c r="H537" t="s">
        <v>49</v>
      </c>
      <c r="I537" t="s">
        <v>886</v>
      </c>
      <c r="K537" s="3"/>
      <c r="M537" s="3"/>
    </row>
    <row r="538" spans="1:13">
      <c r="A538" t="s">
        <v>28</v>
      </c>
      <c r="B538">
        <f ca="1">IF(OR(changes[[#This Row],[Type]]="Checklist",changes[[#This Row],[Type]]="checklist-flat"),1+IF(changes[[#This Row],[Type of change]] = "Edit",COUNTIFS($I$4:changes[[#This Row],[Name]],changes[[#This Row],[Name]], $E$4:changes[[#This Row],[Type of change]], "Edit")),B537)</f>
        <v>1</v>
      </c>
      <c r="C538" s="20">
        <v>44609</v>
      </c>
      <c r="D538" s="2" t="s">
        <v>2048</v>
      </c>
      <c r="E538" t="s">
        <v>2011</v>
      </c>
      <c r="F538" s="14" t="s">
        <v>9</v>
      </c>
      <c r="G538" t="s">
        <v>885</v>
      </c>
      <c r="H538" t="s">
        <v>49</v>
      </c>
      <c r="I538" t="s">
        <v>887</v>
      </c>
      <c r="K538" s="3"/>
      <c r="M538" s="3"/>
    </row>
    <row r="539" spans="1:13">
      <c r="A539" t="s">
        <v>28</v>
      </c>
      <c r="B539">
        <f ca="1">IF(OR(changes[[#This Row],[Type]]="Checklist",changes[[#This Row],[Type]]="checklist-flat"),1+IF(changes[[#This Row],[Type of change]] = "Edit",COUNTIFS($I$4:changes[[#This Row],[Name]],changes[[#This Row],[Name]], $E$4:changes[[#This Row],[Type of change]], "Edit")),B538)</f>
        <v>1</v>
      </c>
      <c r="C539" s="20">
        <v>44609</v>
      </c>
      <c r="D539" s="2" t="s">
        <v>2048</v>
      </c>
      <c r="E539" t="s">
        <v>2011</v>
      </c>
      <c r="F539" s="14" t="s">
        <v>9</v>
      </c>
      <c r="G539" t="s">
        <v>885</v>
      </c>
      <c r="H539" t="s">
        <v>49</v>
      </c>
      <c r="I539" t="s">
        <v>888</v>
      </c>
      <c r="K539" s="3"/>
      <c r="M539" s="3"/>
    </row>
    <row r="540" spans="1:13">
      <c r="A540" t="s">
        <v>28</v>
      </c>
      <c r="B540">
        <f ca="1">IF(OR(changes[[#This Row],[Type]]="Checklist",changes[[#This Row],[Type]]="checklist-flat"),1+IF(changes[[#This Row],[Type of change]] = "Edit",COUNTIFS($I$4:changes[[#This Row],[Name]],changes[[#This Row],[Name]], $E$4:changes[[#This Row],[Type of change]], "Edit")),B539)</f>
        <v>1</v>
      </c>
      <c r="C540" s="20">
        <v>44609</v>
      </c>
      <c r="D540" s="2" t="s">
        <v>2048</v>
      </c>
      <c r="E540" t="s">
        <v>2011</v>
      </c>
      <c r="F540" s="14" t="s">
        <v>9</v>
      </c>
      <c r="G540" t="s">
        <v>885</v>
      </c>
      <c r="H540" t="s">
        <v>49</v>
      </c>
      <c r="I540" t="s">
        <v>889</v>
      </c>
      <c r="K540" s="3"/>
      <c r="M540" s="3"/>
    </row>
    <row r="541" spans="1:13">
      <c r="A541" t="s">
        <v>28</v>
      </c>
      <c r="B541">
        <f ca="1">IF(OR(changes[[#This Row],[Type]]="Checklist",changes[[#This Row],[Type]]="checklist-flat"),1+IF(changes[[#This Row],[Type of change]] = "Edit",COUNTIFS($I$4:changes[[#This Row],[Name]],changes[[#This Row],[Name]], $E$4:changes[[#This Row],[Type of change]], "Edit")),B540)</f>
        <v>1</v>
      </c>
      <c r="C541" s="20">
        <v>44609</v>
      </c>
      <c r="D541" s="2" t="s">
        <v>2048</v>
      </c>
      <c r="E541" t="s">
        <v>2011</v>
      </c>
      <c r="F541" s="14" t="s">
        <v>9</v>
      </c>
      <c r="G541" t="s">
        <v>885</v>
      </c>
      <c r="H541" t="s">
        <v>49</v>
      </c>
      <c r="I541" t="s">
        <v>890</v>
      </c>
      <c r="K541" s="3"/>
      <c r="M541" s="3"/>
    </row>
    <row r="542" spans="1:13">
      <c r="A542" t="s">
        <v>28</v>
      </c>
      <c r="B542">
        <f ca="1">IF(OR(changes[[#This Row],[Type]]="Checklist",changes[[#This Row],[Type]]="checklist-flat"),1+IF(changes[[#This Row],[Type of change]] = "Edit",COUNTIFS($I$4:changes[[#This Row],[Name]],changes[[#This Row],[Name]], $E$4:changes[[#This Row],[Type of change]], "Edit")),B541)</f>
        <v>1</v>
      </c>
      <c r="C542" s="20">
        <v>44609</v>
      </c>
      <c r="D542" s="2" t="s">
        <v>2048</v>
      </c>
      <c r="E542" t="s">
        <v>2011</v>
      </c>
      <c r="F542" s="14" t="s">
        <v>9</v>
      </c>
      <c r="G542" t="s">
        <v>885</v>
      </c>
      <c r="H542" t="s">
        <v>49</v>
      </c>
      <c r="I542" t="s">
        <v>891</v>
      </c>
      <c r="K542" s="3"/>
      <c r="M542" s="3"/>
    </row>
    <row r="543" spans="1:13">
      <c r="A543" t="s">
        <v>28</v>
      </c>
      <c r="B543">
        <f ca="1">IF(OR(changes[[#This Row],[Type]]="Checklist",changes[[#This Row],[Type]]="checklist-flat"),1+IF(changes[[#This Row],[Type of change]] = "Edit",COUNTIFS($I$4:changes[[#This Row],[Name]],changes[[#This Row],[Name]], $E$4:changes[[#This Row],[Type of change]], "Edit")),B542)</f>
        <v>1</v>
      </c>
      <c r="C543" s="20">
        <v>44609</v>
      </c>
      <c r="D543" s="2" t="s">
        <v>2048</v>
      </c>
      <c r="E543" t="s">
        <v>2011</v>
      </c>
      <c r="F543" s="14" t="s">
        <v>9</v>
      </c>
      <c r="G543" t="s">
        <v>885</v>
      </c>
      <c r="H543" t="s">
        <v>49</v>
      </c>
      <c r="I543" t="s">
        <v>892</v>
      </c>
      <c r="K543" s="3"/>
      <c r="M543" s="3"/>
    </row>
    <row r="544" spans="1:13">
      <c r="A544" t="s">
        <v>28</v>
      </c>
      <c r="B544">
        <f ca="1">IF(OR(changes[[#This Row],[Type]]="Checklist",changes[[#This Row],[Type]]="checklist-flat"),1+IF(changes[[#This Row],[Type of change]] = "Edit",COUNTIFS($I$4:changes[[#This Row],[Name]],changes[[#This Row],[Name]], $E$4:changes[[#This Row],[Type of change]], "Edit")),B543)</f>
        <v>1</v>
      </c>
      <c r="C544" s="20">
        <v>44609</v>
      </c>
      <c r="D544" s="14" t="s">
        <v>2048</v>
      </c>
      <c r="E544" s="14" t="s">
        <v>2011</v>
      </c>
      <c r="F544" s="14" t="s">
        <v>9</v>
      </c>
      <c r="G544" s="14" t="s">
        <v>2057</v>
      </c>
      <c r="H544" s="14" t="s">
        <v>119</v>
      </c>
      <c r="I544" s="14" t="s">
        <v>2057</v>
      </c>
      <c r="J544" s="14"/>
      <c r="K544" s="3"/>
      <c r="M544" t="s">
        <v>2058</v>
      </c>
    </row>
    <row r="545" spans="1:13">
      <c r="A545" t="s">
        <v>28</v>
      </c>
      <c r="B545">
        <f ca="1">IF(OR(changes[[#This Row],[Type]]="Checklist",changes[[#This Row],[Type]]="checklist-flat"),1+IF(changes[[#This Row],[Type of change]] = "Edit",COUNTIFS($I$4:changes[[#This Row],[Name]],changes[[#This Row],[Name]], $E$4:changes[[#This Row],[Type of change]], "Edit")),B544)</f>
        <v>1</v>
      </c>
      <c r="C545" s="20">
        <v>44609</v>
      </c>
      <c r="D545" s="14" t="s">
        <v>2048</v>
      </c>
      <c r="E545" s="14" t="s">
        <v>2011</v>
      </c>
      <c r="F545" s="14" t="s">
        <v>9</v>
      </c>
      <c r="G545" s="14" t="s">
        <v>2057</v>
      </c>
      <c r="H545" s="14" t="s">
        <v>49</v>
      </c>
      <c r="I545" s="14" t="s">
        <v>894</v>
      </c>
      <c r="J545" s="14"/>
      <c r="K545" s="3"/>
      <c r="M545" s="3"/>
    </row>
    <row r="546" spans="1:13">
      <c r="A546" t="s">
        <v>28</v>
      </c>
      <c r="B546">
        <f ca="1">IF(OR(changes[[#This Row],[Type]]="Checklist",changes[[#This Row],[Type]]="checklist-flat"),1+IF(changes[[#This Row],[Type of change]] = "Edit",COUNTIFS($I$4:changes[[#This Row],[Name]],changes[[#This Row],[Name]], $E$4:changes[[#This Row],[Type of change]], "Edit")),B545)</f>
        <v>1</v>
      </c>
      <c r="C546" s="20">
        <v>44609</v>
      </c>
      <c r="D546" s="14" t="s">
        <v>2048</v>
      </c>
      <c r="E546" s="14" t="s">
        <v>2011</v>
      </c>
      <c r="F546" s="14" t="s">
        <v>9</v>
      </c>
      <c r="G546" s="14" t="s">
        <v>2057</v>
      </c>
      <c r="H546" s="14" t="s">
        <v>49</v>
      </c>
      <c r="I546" s="14" t="s">
        <v>895</v>
      </c>
      <c r="J546" s="14"/>
      <c r="K546" s="3"/>
      <c r="M546" s="3"/>
    </row>
    <row r="547" spans="1:13">
      <c r="A547" t="s">
        <v>28</v>
      </c>
      <c r="B547">
        <f ca="1">IF(OR(changes[[#This Row],[Type]]="Checklist",changes[[#This Row],[Type]]="checklist-flat"),1+IF(changes[[#This Row],[Type of change]] = "Edit",COUNTIFS($I$4:changes[[#This Row],[Name]],changes[[#This Row],[Name]], $E$4:changes[[#This Row],[Type of change]], "Edit")),B546)</f>
        <v>1</v>
      </c>
      <c r="C547" s="20">
        <v>44609</v>
      </c>
      <c r="D547" s="14" t="s">
        <v>2048</v>
      </c>
      <c r="E547" s="14" t="s">
        <v>2011</v>
      </c>
      <c r="F547" s="14" t="s">
        <v>9</v>
      </c>
      <c r="G547" s="14" t="s">
        <v>2057</v>
      </c>
      <c r="H547" s="14" t="s">
        <v>49</v>
      </c>
      <c r="I547" s="14" t="s">
        <v>896</v>
      </c>
      <c r="J547" s="14"/>
      <c r="K547" s="3"/>
      <c r="M547" s="3"/>
    </row>
    <row r="548" spans="1:13">
      <c r="A548" t="s">
        <v>28</v>
      </c>
      <c r="B548">
        <f ca="1">IF(OR(changes[[#This Row],[Type]]="Checklist",changes[[#This Row],[Type]]="checklist-flat"),1+IF(changes[[#This Row],[Type of change]] = "Edit",COUNTIFS($I$4:changes[[#This Row],[Name]],changes[[#This Row],[Name]], $E$4:changes[[#This Row],[Type of change]], "Edit")),B547)</f>
        <v>1</v>
      </c>
      <c r="C548" s="20">
        <v>44609</v>
      </c>
      <c r="D548" s="14" t="s">
        <v>2048</v>
      </c>
      <c r="E548" s="14" t="s">
        <v>2011</v>
      </c>
      <c r="F548" s="14" t="s">
        <v>9</v>
      </c>
      <c r="G548" s="14" t="s">
        <v>2057</v>
      </c>
      <c r="H548" s="14" t="s">
        <v>49</v>
      </c>
      <c r="I548" s="14" t="s">
        <v>897</v>
      </c>
      <c r="J548" s="14"/>
      <c r="K548" s="3"/>
      <c r="M548" s="3"/>
    </row>
    <row r="549" spans="1:13">
      <c r="A549" t="s">
        <v>28</v>
      </c>
      <c r="B549">
        <f ca="1">IF(OR(changes[[#This Row],[Type]]="Checklist",changes[[#This Row],[Type]]="checklist-flat"),1+IF(changes[[#This Row],[Type of change]] = "Edit",COUNTIFS($I$4:changes[[#This Row],[Name]],changes[[#This Row],[Name]], $E$4:changes[[#This Row],[Type of change]], "Edit")),B548)</f>
        <v>1</v>
      </c>
      <c r="C549" s="20">
        <v>44609</v>
      </c>
      <c r="D549" s="14" t="s">
        <v>2048</v>
      </c>
      <c r="E549" s="14" t="s">
        <v>10</v>
      </c>
      <c r="F549" s="14" t="s">
        <v>9</v>
      </c>
      <c r="G549" s="14" t="s">
        <v>557</v>
      </c>
      <c r="H549" s="14" t="s">
        <v>49</v>
      </c>
      <c r="I549" s="14" t="s">
        <v>898</v>
      </c>
      <c r="J549" s="14"/>
      <c r="K549" s="3"/>
      <c r="M549" s="3"/>
    </row>
    <row r="550" spans="1:13">
      <c r="A550" t="s">
        <v>28</v>
      </c>
      <c r="B550">
        <f ca="1">IF(OR(changes[[#This Row],[Type]]="Checklist",changes[[#This Row],[Type]]="checklist-flat"),1+IF(changes[[#This Row],[Type of change]] = "Edit",COUNTIFS($I$4:changes[[#This Row],[Name]],changes[[#This Row],[Name]], $E$4:changes[[#This Row],[Type of change]], "Edit")),B549)</f>
        <v>1</v>
      </c>
      <c r="C550" s="20">
        <v>44609</v>
      </c>
      <c r="D550" s="14" t="s">
        <v>2048</v>
      </c>
      <c r="E550" s="14" t="s">
        <v>10</v>
      </c>
      <c r="F550" s="14" t="s">
        <v>9</v>
      </c>
      <c r="G550" s="14" t="s">
        <v>1120</v>
      </c>
      <c r="H550" s="14" t="s">
        <v>120</v>
      </c>
      <c r="I550" s="14" t="s">
        <v>2059</v>
      </c>
      <c r="J550" s="14"/>
      <c r="K550" s="3"/>
      <c r="M550" s="3"/>
    </row>
    <row r="551" spans="1:13">
      <c r="A551" t="s">
        <v>28</v>
      </c>
      <c r="B551">
        <f ca="1">IF(OR(changes[[#This Row],[Type]]="Checklist",changes[[#This Row],[Type]]="checklist-flat"),1+IF(changes[[#This Row],[Type of change]] = "Edit",COUNTIFS($I$4:changes[[#This Row],[Name]],changes[[#This Row],[Name]], $E$4:changes[[#This Row],[Type of change]], "Edit")),B550)</f>
        <v>1</v>
      </c>
      <c r="C551" s="20">
        <v>44609</v>
      </c>
      <c r="D551" s="14" t="s">
        <v>2048</v>
      </c>
      <c r="E551" s="14" t="s">
        <v>10</v>
      </c>
      <c r="F551" s="14" t="s">
        <v>9</v>
      </c>
      <c r="G551" s="14" t="s">
        <v>1120</v>
      </c>
      <c r="H551" s="14" t="s">
        <v>49</v>
      </c>
      <c r="I551" s="14" t="s">
        <v>540</v>
      </c>
      <c r="J551" s="14"/>
      <c r="K551" s="3"/>
      <c r="M551" s="3"/>
    </row>
    <row r="552" spans="1:13">
      <c r="A552" t="s">
        <v>28</v>
      </c>
      <c r="B552">
        <f ca="1">IF(OR(changes[[#This Row],[Type]]="Checklist",changes[[#This Row],[Type]]="checklist-flat"),1+IF(changes[[#This Row],[Type of change]] = "Edit",COUNTIFS($I$4:changes[[#This Row],[Name]],changes[[#This Row],[Name]], $E$4:changes[[#This Row],[Type of change]], "Edit")),B551)</f>
        <v>1</v>
      </c>
      <c r="C552" s="20">
        <v>44609</v>
      </c>
      <c r="D552" s="14" t="s">
        <v>2048</v>
      </c>
      <c r="E552" s="14" t="s">
        <v>10</v>
      </c>
      <c r="F552" s="14" t="s">
        <v>9</v>
      </c>
      <c r="G552" s="14" t="s">
        <v>1120</v>
      </c>
      <c r="H552" s="14" t="s">
        <v>49</v>
      </c>
      <c r="I552" s="14" t="s">
        <v>541</v>
      </c>
      <c r="J552" s="14"/>
      <c r="K552" s="3"/>
      <c r="M552" s="3"/>
    </row>
    <row r="553" spans="1:13">
      <c r="A553" t="s">
        <v>28</v>
      </c>
      <c r="B553">
        <f ca="1">IF(OR(changes[[#This Row],[Type]]="Checklist",changes[[#This Row],[Type]]="checklist-flat"),1+IF(changes[[#This Row],[Type of change]] = "Edit",COUNTIFS($I$4:changes[[#This Row],[Name]],changes[[#This Row],[Name]], $E$4:changes[[#This Row],[Type of change]], "Edit")),B552)</f>
        <v>1</v>
      </c>
      <c r="C553" s="20">
        <v>44609</v>
      </c>
      <c r="D553" s="14" t="s">
        <v>2048</v>
      </c>
      <c r="E553" s="14" t="s">
        <v>10</v>
      </c>
      <c r="F553" s="14" t="s">
        <v>9</v>
      </c>
      <c r="G553" s="14" t="s">
        <v>1120</v>
      </c>
      <c r="H553" s="14" t="s">
        <v>49</v>
      </c>
      <c r="I553" s="14" t="s">
        <v>542</v>
      </c>
      <c r="J553" s="14"/>
      <c r="K553" s="3"/>
      <c r="M553" s="3"/>
    </row>
    <row r="554" spans="1:13">
      <c r="A554" t="s">
        <v>28</v>
      </c>
      <c r="B554">
        <f ca="1">IF(OR(changes[[#This Row],[Type]]="Checklist",changes[[#This Row],[Type]]="checklist-flat"),1+IF(changes[[#This Row],[Type of change]] = "Edit",COUNTIFS($I$4:changes[[#This Row],[Name]],changes[[#This Row],[Name]], $E$4:changes[[#This Row],[Type of change]], "Edit")),B553)</f>
        <v>1</v>
      </c>
      <c r="C554" s="20">
        <v>44609</v>
      </c>
      <c r="D554" s="14" t="s">
        <v>2048</v>
      </c>
      <c r="E554" s="14" t="s">
        <v>10</v>
      </c>
      <c r="F554" s="14" t="s">
        <v>9</v>
      </c>
      <c r="G554" s="14" t="s">
        <v>1120</v>
      </c>
      <c r="H554" s="14" t="s">
        <v>49</v>
      </c>
      <c r="I554" s="14" t="s">
        <v>543</v>
      </c>
      <c r="J554" s="14"/>
      <c r="K554" s="3"/>
      <c r="M554" s="3"/>
    </row>
    <row r="555" spans="1:13">
      <c r="A555" t="s">
        <v>28</v>
      </c>
      <c r="B555">
        <f ca="1">IF(OR(changes[[#This Row],[Type]]="Checklist",changes[[#This Row],[Type]]="checklist-flat"),1+IF(changes[[#This Row],[Type of change]] = "Edit",COUNTIFS($I$4:changes[[#This Row],[Name]],changes[[#This Row],[Name]], $E$4:changes[[#This Row],[Type of change]], "Edit")),B554)</f>
        <v>1</v>
      </c>
      <c r="C555" s="20">
        <v>44609</v>
      </c>
      <c r="D555" s="14" t="s">
        <v>2048</v>
      </c>
      <c r="E555" s="14" t="s">
        <v>10</v>
      </c>
      <c r="F555" s="14" t="s">
        <v>9</v>
      </c>
      <c r="G555" s="14" t="s">
        <v>1120</v>
      </c>
      <c r="H555" s="14" t="s">
        <v>49</v>
      </c>
      <c r="I555" s="14" t="s">
        <v>544</v>
      </c>
      <c r="J555" s="14"/>
      <c r="K555" s="3"/>
      <c r="M555" s="3"/>
    </row>
    <row r="556" spans="1:13">
      <c r="A556" t="s">
        <v>28</v>
      </c>
      <c r="B556">
        <f ca="1">IF(OR(changes[[#This Row],[Type]]="Checklist",changes[[#This Row],[Type]]="checklist-flat"),1+IF(changes[[#This Row],[Type of change]] = "Edit",COUNTIFS($I$4:changes[[#This Row],[Name]],changes[[#This Row],[Name]], $E$4:changes[[#This Row],[Type of change]], "Edit")),B555)</f>
        <v>1</v>
      </c>
      <c r="C556" s="20">
        <v>44609</v>
      </c>
      <c r="D556" s="14" t="s">
        <v>2048</v>
      </c>
      <c r="E556" s="14" t="s">
        <v>10</v>
      </c>
      <c r="F556" s="14" t="s">
        <v>9</v>
      </c>
      <c r="G556" s="14" t="s">
        <v>1120</v>
      </c>
      <c r="H556" s="14" t="s">
        <v>49</v>
      </c>
      <c r="I556" s="14" t="s">
        <v>545</v>
      </c>
      <c r="J556" s="14"/>
      <c r="K556" s="3"/>
      <c r="M556" s="3"/>
    </row>
    <row r="557" spans="1:13">
      <c r="A557" t="s">
        <v>28</v>
      </c>
      <c r="B557">
        <f ca="1">IF(OR(changes[[#This Row],[Type]]="Checklist",changes[[#This Row],[Type]]="checklist-flat"),1+IF(changes[[#This Row],[Type of change]] = "Edit",COUNTIFS($I$4:changes[[#This Row],[Name]],changes[[#This Row],[Name]], $E$4:changes[[#This Row],[Type of change]], "Edit")),B556)</f>
        <v>1</v>
      </c>
      <c r="C557" s="20">
        <v>44609</v>
      </c>
      <c r="D557" s="14" t="s">
        <v>2048</v>
      </c>
      <c r="E557" s="14" t="s">
        <v>10</v>
      </c>
      <c r="F557" s="14" t="s">
        <v>9</v>
      </c>
      <c r="G557" s="14" t="s">
        <v>1120</v>
      </c>
      <c r="H557" s="14" t="s">
        <v>49</v>
      </c>
      <c r="I557" s="14" t="s">
        <v>546</v>
      </c>
      <c r="J557" s="14"/>
      <c r="K557" s="3"/>
      <c r="M557" s="3"/>
    </row>
    <row r="558" spans="1:13">
      <c r="A558" t="s">
        <v>28</v>
      </c>
      <c r="B558">
        <f ca="1">IF(OR(changes[[#This Row],[Type]]="Checklist",changes[[#This Row],[Type]]="checklist-flat"),1+IF(changes[[#This Row],[Type of change]] = "Edit",COUNTIFS($I$4:changes[[#This Row],[Name]],changes[[#This Row],[Name]], $E$4:changes[[#This Row],[Type of change]], "Edit")),B557)</f>
        <v>1</v>
      </c>
      <c r="C558" s="20">
        <v>44609</v>
      </c>
      <c r="D558" s="14" t="s">
        <v>2048</v>
      </c>
      <c r="E558" s="14" t="s">
        <v>10</v>
      </c>
      <c r="F558" s="14" t="s">
        <v>9</v>
      </c>
      <c r="G558" s="14" t="s">
        <v>1120</v>
      </c>
      <c r="H558" s="14" t="s">
        <v>120</v>
      </c>
      <c r="I558" s="14" t="s">
        <v>2060</v>
      </c>
      <c r="J558" s="14"/>
      <c r="K558" s="3"/>
      <c r="M558" s="3"/>
    </row>
    <row r="559" spans="1:13">
      <c r="A559" t="s">
        <v>28</v>
      </c>
      <c r="B559">
        <f ca="1">IF(OR(changes[[#This Row],[Type]]="Checklist",changes[[#This Row],[Type]]="checklist-flat"),1+IF(changes[[#This Row],[Type of change]] = "Edit",COUNTIFS($I$4:changes[[#This Row],[Name]],changes[[#This Row],[Name]], $E$4:changes[[#This Row],[Type of change]], "Edit")),B558)</f>
        <v>1</v>
      </c>
      <c r="C559" s="20">
        <v>44609</v>
      </c>
      <c r="D559" s="14" t="s">
        <v>2048</v>
      </c>
      <c r="E559" s="14" t="s">
        <v>10</v>
      </c>
      <c r="F559" s="14" t="s">
        <v>9</v>
      </c>
      <c r="G559" s="14" t="s">
        <v>1120</v>
      </c>
      <c r="H559" s="14" t="s">
        <v>49</v>
      </c>
      <c r="I559" s="14" t="s">
        <v>540</v>
      </c>
      <c r="J559" s="14"/>
      <c r="K559" s="3"/>
      <c r="M559" s="3"/>
    </row>
    <row r="560" spans="1:13">
      <c r="A560" t="s">
        <v>28</v>
      </c>
      <c r="B560">
        <f ca="1">IF(OR(changes[[#This Row],[Type]]="Checklist",changes[[#This Row],[Type]]="checklist-flat"),1+IF(changes[[#This Row],[Type of change]] = "Edit",COUNTIFS($I$4:changes[[#This Row],[Name]],changes[[#This Row],[Name]], $E$4:changes[[#This Row],[Type of change]], "Edit")),B559)</f>
        <v>1</v>
      </c>
      <c r="C560" s="20">
        <v>44609</v>
      </c>
      <c r="D560" s="14" t="s">
        <v>2048</v>
      </c>
      <c r="E560" s="14" t="s">
        <v>10</v>
      </c>
      <c r="F560" s="14" t="s">
        <v>9</v>
      </c>
      <c r="G560" s="14" t="s">
        <v>1120</v>
      </c>
      <c r="H560" s="14" t="s">
        <v>49</v>
      </c>
      <c r="I560" s="14" t="s">
        <v>541</v>
      </c>
      <c r="J560" s="14"/>
      <c r="K560" s="3"/>
      <c r="M560" s="3"/>
    </row>
    <row r="561" spans="1:13">
      <c r="A561" t="s">
        <v>28</v>
      </c>
      <c r="B561">
        <f ca="1">IF(OR(changes[[#This Row],[Type]]="Checklist",changes[[#This Row],[Type]]="checklist-flat"),1+IF(changes[[#This Row],[Type of change]] = "Edit",COUNTIFS($I$4:changes[[#This Row],[Name]],changes[[#This Row],[Name]], $E$4:changes[[#This Row],[Type of change]], "Edit")),B560)</f>
        <v>1</v>
      </c>
      <c r="C561" s="20">
        <v>44609</v>
      </c>
      <c r="D561" s="14" t="s">
        <v>2048</v>
      </c>
      <c r="E561" s="14" t="s">
        <v>10</v>
      </c>
      <c r="F561" s="14" t="s">
        <v>9</v>
      </c>
      <c r="G561" s="14" t="s">
        <v>1120</v>
      </c>
      <c r="H561" s="14" t="s">
        <v>49</v>
      </c>
      <c r="I561" s="14" t="s">
        <v>542</v>
      </c>
      <c r="J561" s="14"/>
      <c r="K561" s="3"/>
      <c r="M561" s="3"/>
    </row>
    <row r="562" spans="1:13">
      <c r="A562" t="s">
        <v>28</v>
      </c>
      <c r="B562">
        <f ca="1">IF(OR(changes[[#This Row],[Type]]="Checklist",changes[[#This Row],[Type]]="checklist-flat"),1+IF(changes[[#This Row],[Type of change]] = "Edit",COUNTIFS($I$4:changes[[#This Row],[Name]],changes[[#This Row],[Name]], $E$4:changes[[#This Row],[Type of change]], "Edit")),B561)</f>
        <v>1</v>
      </c>
      <c r="C562" s="20">
        <v>44609</v>
      </c>
      <c r="D562" s="14" t="s">
        <v>2048</v>
      </c>
      <c r="E562" s="14" t="s">
        <v>10</v>
      </c>
      <c r="F562" s="14" t="s">
        <v>9</v>
      </c>
      <c r="G562" s="14" t="s">
        <v>1120</v>
      </c>
      <c r="H562" s="14" t="s">
        <v>49</v>
      </c>
      <c r="I562" s="14" t="s">
        <v>543</v>
      </c>
      <c r="J562" s="14"/>
      <c r="K562" s="3"/>
      <c r="M562" s="3"/>
    </row>
    <row r="563" spans="1:13">
      <c r="A563" t="s">
        <v>28</v>
      </c>
      <c r="B563">
        <f ca="1">IF(OR(changes[[#This Row],[Type]]="Checklist",changes[[#This Row],[Type]]="checklist-flat"),1+IF(changes[[#This Row],[Type of change]] = "Edit",COUNTIFS($I$4:changes[[#This Row],[Name]],changes[[#This Row],[Name]], $E$4:changes[[#This Row],[Type of change]], "Edit")),B562)</f>
        <v>1</v>
      </c>
      <c r="C563" s="20">
        <v>44609</v>
      </c>
      <c r="D563" s="14" t="s">
        <v>2048</v>
      </c>
      <c r="E563" s="14" t="s">
        <v>10</v>
      </c>
      <c r="F563" s="14" t="s">
        <v>9</v>
      </c>
      <c r="G563" s="14" t="s">
        <v>1120</v>
      </c>
      <c r="H563" s="14" t="s">
        <v>49</v>
      </c>
      <c r="I563" s="14" t="s">
        <v>544</v>
      </c>
      <c r="J563" s="14"/>
      <c r="K563" s="3"/>
      <c r="M563" s="3"/>
    </row>
    <row r="564" spans="1:13">
      <c r="A564" t="s">
        <v>28</v>
      </c>
      <c r="B564">
        <f ca="1">IF(OR(changes[[#This Row],[Type]]="Checklist",changes[[#This Row],[Type]]="checklist-flat"),1+IF(changes[[#This Row],[Type of change]] = "Edit",COUNTIFS($I$4:changes[[#This Row],[Name]],changes[[#This Row],[Name]], $E$4:changes[[#This Row],[Type of change]], "Edit")),B563)</f>
        <v>1</v>
      </c>
      <c r="C564" s="20">
        <v>44609</v>
      </c>
      <c r="D564" s="14" t="s">
        <v>2048</v>
      </c>
      <c r="E564" s="14" t="s">
        <v>10</v>
      </c>
      <c r="F564" s="14" t="s">
        <v>9</v>
      </c>
      <c r="G564" s="14" t="s">
        <v>1120</v>
      </c>
      <c r="H564" s="14" t="s">
        <v>49</v>
      </c>
      <c r="I564" s="14" t="s">
        <v>545</v>
      </c>
      <c r="J564" s="14"/>
      <c r="K564" s="3"/>
      <c r="M564" s="3"/>
    </row>
    <row r="565" spans="1:13">
      <c r="A565" t="s">
        <v>28</v>
      </c>
      <c r="B565">
        <f ca="1">IF(OR(changes[[#This Row],[Type]]="Checklist",changes[[#This Row],[Type]]="checklist-flat"),1+IF(changes[[#This Row],[Type of change]] = "Edit",COUNTIFS($I$4:changes[[#This Row],[Name]],changes[[#This Row],[Name]], $E$4:changes[[#This Row],[Type of change]], "Edit")),B564)</f>
        <v>1</v>
      </c>
      <c r="C565" s="20">
        <v>44609</v>
      </c>
      <c r="D565" s="14" t="s">
        <v>2048</v>
      </c>
      <c r="E565" s="14" t="s">
        <v>10</v>
      </c>
      <c r="F565" s="14" t="s">
        <v>9</v>
      </c>
      <c r="G565" s="14" t="s">
        <v>1120</v>
      </c>
      <c r="H565" s="14" t="s">
        <v>49</v>
      </c>
      <c r="I565" s="14" t="s">
        <v>546</v>
      </c>
      <c r="J565" s="14"/>
      <c r="K565" s="3"/>
      <c r="M565" s="3"/>
    </row>
    <row r="566" spans="1:13">
      <c r="A566" t="s">
        <v>11</v>
      </c>
      <c r="B566">
        <f ca="1">IF(OR(changes[[#This Row],[Type]]="Checklist",changes[[#This Row],[Type]]="checklist-flat"),1+IF(changes[[#This Row],[Type of change]] = "Edit",COUNTIFS($I$4:changes[[#This Row],[Name]],changes[[#This Row],[Name]], $E$4:changes[[#This Row],[Type of change]], "Edit")),B565)</f>
        <v>1</v>
      </c>
      <c r="C566" s="20">
        <v>44609</v>
      </c>
      <c r="D566" s="14" t="s">
        <v>2048</v>
      </c>
      <c r="E566" s="14" t="s">
        <v>2011</v>
      </c>
      <c r="F566" s="14" t="s">
        <v>9</v>
      </c>
      <c r="G566" s="14" t="s">
        <v>1601</v>
      </c>
      <c r="H566" s="14" t="s">
        <v>119</v>
      </c>
      <c r="I566" s="14" t="s">
        <v>1601</v>
      </c>
      <c r="J566" s="14"/>
      <c r="K566" s="3"/>
      <c r="M566" s="3" t="s">
        <v>2061</v>
      </c>
    </row>
    <row r="567" spans="1:13">
      <c r="A567" t="s">
        <v>11</v>
      </c>
      <c r="B567">
        <f ca="1">IF(OR(changes[[#This Row],[Type]]="Checklist",changes[[#This Row],[Type]]="checklist-flat"),1+IF(changes[[#This Row],[Type of change]] = "Edit",COUNTIFS($I$4:changes[[#This Row],[Name]],changes[[#This Row],[Name]], $E$4:changes[[#This Row],[Type of change]], "Edit")),B566)</f>
        <v>1</v>
      </c>
      <c r="C567" s="20">
        <v>44609</v>
      </c>
      <c r="D567" s="14" t="s">
        <v>2048</v>
      </c>
      <c r="E567" s="14" t="s">
        <v>2011</v>
      </c>
      <c r="F567" s="14" t="s">
        <v>9</v>
      </c>
      <c r="G567" s="14" t="s">
        <v>1601</v>
      </c>
      <c r="H567" s="14" t="s">
        <v>49</v>
      </c>
      <c r="I567" s="14" t="s">
        <v>1263</v>
      </c>
      <c r="J567" s="14"/>
      <c r="K567" s="3"/>
      <c r="M567" s="3"/>
    </row>
    <row r="568" spans="1:13">
      <c r="A568" t="s">
        <v>11</v>
      </c>
      <c r="B568">
        <f ca="1">IF(OR(changes[[#This Row],[Type]]="Checklist",changes[[#This Row],[Type]]="checklist-flat"),1+IF(changes[[#This Row],[Type of change]] = "Edit",COUNTIFS($I$4:changes[[#This Row],[Name]],changes[[#This Row],[Name]], $E$4:changes[[#This Row],[Type of change]], "Edit")),B567)</f>
        <v>1</v>
      </c>
      <c r="C568" s="20">
        <v>44609</v>
      </c>
      <c r="D568" s="14" t="s">
        <v>2048</v>
      </c>
      <c r="E568" s="14" t="s">
        <v>2011</v>
      </c>
      <c r="F568" s="14" t="s">
        <v>9</v>
      </c>
      <c r="G568" s="14" t="s">
        <v>1601</v>
      </c>
      <c r="H568" s="14" t="s">
        <v>49</v>
      </c>
      <c r="I568" s="14" t="s">
        <v>1264</v>
      </c>
      <c r="J568" s="14"/>
      <c r="K568" s="3"/>
      <c r="M568" s="3"/>
    </row>
    <row r="569" spans="1:13">
      <c r="A569" t="s">
        <v>11</v>
      </c>
      <c r="B569">
        <f ca="1">IF(OR(changes[[#This Row],[Type]]="Checklist",changes[[#This Row],[Type]]="checklist-flat"),1+IF(changes[[#This Row],[Type of change]] = "Edit",COUNTIFS($I$4:changes[[#This Row],[Name]],changes[[#This Row],[Name]], $E$4:changes[[#This Row],[Type of change]], "Edit")),B568)</f>
        <v>1</v>
      </c>
      <c r="C569" s="20">
        <v>44609</v>
      </c>
      <c r="D569" s="14" t="s">
        <v>2048</v>
      </c>
      <c r="E569" s="14" t="s">
        <v>2011</v>
      </c>
      <c r="F569" s="14" t="s">
        <v>9</v>
      </c>
      <c r="G569" s="14" t="s">
        <v>1601</v>
      </c>
      <c r="H569" s="14" t="s">
        <v>1119</v>
      </c>
      <c r="I569" s="14" t="s">
        <v>2046</v>
      </c>
      <c r="J569" s="14"/>
      <c r="K569" s="3"/>
      <c r="M569" s="3"/>
    </row>
    <row r="570" spans="1:13">
      <c r="A570" t="s">
        <v>11</v>
      </c>
      <c r="B570">
        <f ca="1">IF(OR(changes[[#This Row],[Type]]="Checklist",changes[[#This Row],[Type]]="checklist-flat"),1+IF(changes[[#This Row],[Type of change]] = "Edit",COUNTIFS($I$4:changes[[#This Row],[Name]],changes[[#This Row],[Name]], $E$4:changes[[#This Row],[Type of change]], "Edit")),B569)</f>
        <v>1</v>
      </c>
      <c r="C570" s="20">
        <v>44609</v>
      </c>
      <c r="D570" s="14" t="s">
        <v>2048</v>
      </c>
      <c r="E570" s="14" t="s">
        <v>2011</v>
      </c>
      <c r="F570" s="14" t="s">
        <v>9</v>
      </c>
      <c r="G570" s="14" t="s">
        <v>1601</v>
      </c>
      <c r="H570" s="14" t="s">
        <v>49</v>
      </c>
      <c r="I570" s="14" t="s">
        <v>1358</v>
      </c>
      <c r="J570" s="14"/>
      <c r="K570" s="3"/>
      <c r="M570" s="3"/>
    </row>
    <row r="571" spans="1:13">
      <c r="A571" t="s">
        <v>28</v>
      </c>
      <c r="B571">
        <f ca="1">IF(OR(changes[[#This Row],[Type]]="Checklist",changes[[#This Row],[Type]]="checklist-flat"),1+IF(changes[[#This Row],[Type of change]] = "Edit",COUNTIFS($I$4:changes[[#This Row],[Name]],changes[[#This Row],[Name]], $E$4:changes[[#This Row],[Type of change]], "Edit")),B570)</f>
        <v>1</v>
      </c>
      <c r="C571" s="20">
        <v>44609</v>
      </c>
      <c r="D571" s="14" t="s">
        <v>2048</v>
      </c>
      <c r="E571" s="14" t="s">
        <v>2011</v>
      </c>
      <c r="F571" s="14" t="s">
        <v>9</v>
      </c>
      <c r="G571" s="14" t="s">
        <v>1626</v>
      </c>
      <c r="H571" s="14" t="s">
        <v>119</v>
      </c>
      <c r="I571" s="14" t="s">
        <v>1626</v>
      </c>
      <c r="J571" s="14"/>
      <c r="K571" s="3"/>
      <c r="M571" s="3"/>
    </row>
    <row r="572" spans="1:13">
      <c r="A572" t="s">
        <v>28</v>
      </c>
      <c r="B572">
        <f ca="1">IF(OR(changes[[#This Row],[Type]]="Checklist",changes[[#This Row],[Type]]="checklist-flat"),1+IF(changes[[#This Row],[Type of change]] = "Edit",COUNTIFS($I$4:changes[[#This Row],[Name]],changes[[#This Row],[Name]], $E$4:changes[[#This Row],[Type of change]], "Edit")),B571)</f>
        <v>1</v>
      </c>
      <c r="C572" s="20">
        <v>44609</v>
      </c>
      <c r="D572" s="14" t="s">
        <v>2048</v>
      </c>
      <c r="E572" s="14" t="s">
        <v>2011</v>
      </c>
      <c r="F572" s="14" t="s">
        <v>9</v>
      </c>
      <c r="G572" s="14" t="s">
        <v>1626</v>
      </c>
      <c r="H572" s="14" t="s">
        <v>49</v>
      </c>
      <c r="I572" s="14" t="s">
        <v>1263</v>
      </c>
      <c r="J572" s="14"/>
      <c r="K572" s="3"/>
      <c r="M572" s="3"/>
    </row>
    <row r="573" spans="1:13">
      <c r="A573" t="s">
        <v>28</v>
      </c>
      <c r="B573">
        <f ca="1">IF(OR(changes[[#This Row],[Type]]="Checklist",changes[[#This Row],[Type]]="checklist-flat"),1+IF(changes[[#This Row],[Type of change]] = "Edit",COUNTIFS($I$4:changes[[#This Row],[Name]],changes[[#This Row],[Name]], $E$4:changes[[#This Row],[Type of change]], "Edit")),B572)</f>
        <v>1</v>
      </c>
      <c r="C573" s="20">
        <v>44609</v>
      </c>
      <c r="D573" s="14" t="s">
        <v>2048</v>
      </c>
      <c r="E573" s="14" t="s">
        <v>2011</v>
      </c>
      <c r="F573" s="14" t="s">
        <v>9</v>
      </c>
      <c r="G573" s="14" t="s">
        <v>1626</v>
      </c>
      <c r="H573" s="14" t="s">
        <v>49</v>
      </c>
      <c r="I573" s="14" t="s">
        <v>1264</v>
      </c>
      <c r="K573" s="3"/>
      <c r="M573" s="3"/>
    </row>
    <row r="574" spans="1:13">
      <c r="A574" t="s">
        <v>28</v>
      </c>
      <c r="B574">
        <f ca="1">IF(OR(changes[[#This Row],[Type]]="Checklist",changes[[#This Row],[Type]]="checklist-flat"),1+IF(changes[[#This Row],[Type of change]] = "Edit",COUNTIFS($I$4:changes[[#This Row],[Name]],changes[[#This Row],[Name]], $E$4:changes[[#This Row],[Type of change]], "Edit")),B573)</f>
        <v>1</v>
      </c>
      <c r="C574" s="20">
        <v>44609</v>
      </c>
      <c r="D574" s="14" t="s">
        <v>2048</v>
      </c>
      <c r="E574" s="14" t="s">
        <v>2011</v>
      </c>
      <c r="F574" s="14" t="s">
        <v>9</v>
      </c>
      <c r="G574" s="14" t="s">
        <v>1626</v>
      </c>
      <c r="H574" s="14" t="s">
        <v>1119</v>
      </c>
      <c r="I574" s="14" t="s">
        <v>2046</v>
      </c>
      <c r="K574" s="3"/>
      <c r="M574" s="3"/>
    </row>
    <row r="575" spans="1:13">
      <c r="A575" t="s">
        <v>28</v>
      </c>
      <c r="B575">
        <f ca="1">IF(OR(changes[[#This Row],[Type]]="Checklist",changes[[#This Row],[Type]]="checklist-flat"),1+IF(changes[[#This Row],[Type of change]] = "Edit",COUNTIFS($I$4:changes[[#This Row],[Name]],changes[[#This Row],[Name]], $E$4:changes[[#This Row],[Type of change]], "Edit")),B574)</f>
        <v>1</v>
      </c>
      <c r="C575" s="20">
        <v>44609</v>
      </c>
      <c r="D575" s="14" t="s">
        <v>2048</v>
      </c>
      <c r="E575" s="14" t="s">
        <v>2011</v>
      </c>
      <c r="F575" s="14" t="s">
        <v>9</v>
      </c>
      <c r="G575" s="14" t="s">
        <v>1626</v>
      </c>
      <c r="H575" s="14" t="s">
        <v>49</v>
      </c>
      <c r="I575" s="14" t="s">
        <v>1358</v>
      </c>
      <c r="K575" s="3"/>
      <c r="M575" s="3"/>
    </row>
    <row r="576" spans="1:13">
      <c r="A576" t="s">
        <v>28</v>
      </c>
      <c r="B576">
        <f ca="1">IF(OR(changes[[#This Row],[Type]]="Checklist",changes[[#This Row],[Type]]="checklist-flat"),1+IF(changes[[#This Row],[Type of change]] = "Edit",COUNTIFS($I$4:changes[[#This Row],[Name]],changes[[#This Row],[Name]], $E$4:changes[[#This Row],[Type of change]], "Edit")),B575)</f>
        <v>1</v>
      </c>
      <c r="C576" s="20">
        <v>44609</v>
      </c>
      <c r="D576" s="14" t="s">
        <v>2048</v>
      </c>
      <c r="E576" s="14" t="s">
        <v>2011</v>
      </c>
      <c r="F576" s="14" t="s">
        <v>9</v>
      </c>
      <c r="G576" s="14" t="s">
        <v>2062</v>
      </c>
      <c r="H576" s="14" t="s">
        <v>119</v>
      </c>
      <c r="I576" s="14" t="s">
        <v>2062</v>
      </c>
      <c r="K576" s="3"/>
      <c r="M576" s="3"/>
    </row>
    <row r="577" spans="1:13">
      <c r="A577" t="s">
        <v>28</v>
      </c>
      <c r="B577">
        <f ca="1">IF(OR(changes[[#This Row],[Type]]="Checklist",changes[[#This Row],[Type]]="checklist-flat"),1+IF(changes[[#This Row],[Type of change]] = "Edit",COUNTIFS($I$4:changes[[#This Row],[Name]],changes[[#This Row],[Name]], $E$4:changes[[#This Row],[Type of change]], "Edit")),B576)</f>
        <v>1</v>
      </c>
      <c r="C577" s="20">
        <v>44609</v>
      </c>
      <c r="D577" s="14" t="s">
        <v>2048</v>
      </c>
      <c r="E577" s="14" t="s">
        <v>2011</v>
      </c>
      <c r="F577" s="14" t="s">
        <v>9</v>
      </c>
      <c r="G577" s="14" t="s">
        <v>2062</v>
      </c>
      <c r="H577" s="14" t="s">
        <v>49</v>
      </c>
      <c r="I577" s="14" t="s">
        <v>1263</v>
      </c>
      <c r="K577" s="3"/>
      <c r="M577" s="3"/>
    </row>
    <row r="578" spans="1:13">
      <c r="A578" t="s">
        <v>28</v>
      </c>
      <c r="B578">
        <f ca="1">IF(OR(changes[[#This Row],[Type]]="Checklist",changes[[#This Row],[Type]]="checklist-flat"),1+IF(changes[[#This Row],[Type of change]] = "Edit",COUNTIFS($I$4:changes[[#This Row],[Name]],changes[[#This Row],[Name]], $E$4:changes[[#This Row],[Type of change]], "Edit")),B577)</f>
        <v>1</v>
      </c>
      <c r="C578" s="20">
        <v>44609</v>
      </c>
      <c r="D578" s="14" t="s">
        <v>2048</v>
      </c>
      <c r="E578" s="14" t="s">
        <v>2011</v>
      </c>
      <c r="F578" s="14" t="s">
        <v>9</v>
      </c>
      <c r="G578" s="14" t="s">
        <v>2062</v>
      </c>
      <c r="H578" s="14" t="s">
        <v>49</v>
      </c>
      <c r="I578" s="14" t="s">
        <v>1264</v>
      </c>
      <c r="K578" s="3"/>
      <c r="M578" s="3"/>
    </row>
    <row r="579" spans="1:13">
      <c r="A579" t="s">
        <v>28</v>
      </c>
      <c r="B579">
        <f ca="1">IF(OR(changes[[#This Row],[Type]]="Checklist",changes[[#This Row],[Type]]="checklist-flat"),1+IF(changes[[#This Row],[Type of change]] = "Edit",COUNTIFS($I$4:changes[[#This Row],[Name]],changes[[#This Row],[Name]], $E$4:changes[[#This Row],[Type of change]], "Edit")),B578)</f>
        <v>1</v>
      </c>
      <c r="C579" s="20">
        <v>44609</v>
      </c>
      <c r="D579" s="14" t="s">
        <v>2048</v>
      </c>
      <c r="E579" s="14" t="s">
        <v>2011</v>
      </c>
      <c r="F579" s="14" t="s">
        <v>9</v>
      </c>
      <c r="G579" s="14" t="s">
        <v>2062</v>
      </c>
      <c r="H579" s="14" t="s">
        <v>1119</v>
      </c>
      <c r="I579" s="14" t="s">
        <v>2046</v>
      </c>
      <c r="K579" s="3"/>
      <c r="M579" s="3"/>
    </row>
    <row r="580" spans="1:13">
      <c r="A580" t="s">
        <v>28</v>
      </c>
      <c r="B580">
        <f ca="1">IF(OR(changes[[#This Row],[Type]]="Checklist",changes[[#This Row],[Type]]="checklist-flat"),1+IF(changes[[#This Row],[Type of change]] = "Edit",COUNTIFS($I$4:changes[[#This Row],[Name]],changes[[#This Row],[Name]], $E$4:changes[[#This Row],[Type of change]], "Edit")),B579)</f>
        <v>1</v>
      </c>
      <c r="C580" s="20">
        <v>44609</v>
      </c>
      <c r="D580" s="14" t="s">
        <v>2048</v>
      </c>
      <c r="E580" s="14" t="s">
        <v>2011</v>
      </c>
      <c r="F580" s="14" t="s">
        <v>9</v>
      </c>
      <c r="G580" s="14" t="s">
        <v>2062</v>
      </c>
      <c r="H580" s="14" t="s">
        <v>49</v>
      </c>
      <c r="I580" s="14" t="s">
        <v>1360</v>
      </c>
      <c r="K580" s="3"/>
      <c r="M580" s="3"/>
    </row>
    <row r="581" spans="1:13">
      <c r="A581" t="s">
        <v>28</v>
      </c>
      <c r="B581">
        <f ca="1">IF(OR(changes[[#This Row],[Type]]="Checklist",changes[[#This Row],[Type]]="checklist-flat"),1+IF(changes[[#This Row],[Type of change]] = "Edit",COUNTIFS($I$4:changes[[#This Row],[Name]],changes[[#This Row],[Name]], $E$4:changes[[#This Row],[Type of change]], "Edit")),B580)</f>
        <v>1</v>
      </c>
      <c r="C581" s="20">
        <v>44609</v>
      </c>
      <c r="D581" s="14" t="s">
        <v>2048</v>
      </c>
      <c r="E581" s="14" t="s">
        <v>2011</v>
      </c>
      <c r="F581" s="14" t="s">
        <v>9</v>
      </c>
      <c r="G581" s="14" t="s">
        <v>1629</v>
      </c>
      <c r="H581" s="14" t="s">
        <v>119</v>
      </c>
      <c r="I581" s="14" t="s">
        <v>1629</v>
      </c>
      <c r="K581" s="3"/>
      <c r="M581" s="3"/>
    </row>
    <row r="582" spans="1:13">
      <c r="A582" t="s">
        <v>28</v>
      </c>
      <c r="B582">
        <f ca="1">IF(OR(changes[[#This Row],[Type]]="Checklist",changes[[#This Row],[Type]]="checklist-flat"),1+IF(changes[[#This Row],[Type of change]] = "Edit",COUNTIFS($I$4:changes[[#This Row],[Name]],changes[[#This Row],[Name]], $E$4:changes[[#This Row],[Type of change]], "Edit")),B581)</f>
        <v>1</v>
      </c>
      <c r="C582" s="20">
        <v>44609</v>
      </c>
      <c r="D582" s="14" t="s">
        <v>2048</v>
      </c>
      <c r="E582" s="14" t="s">
        <v>2011</v>
      </c>
      <c r="F582" s="14" t="s">
        <v>9</v>
      </c>
      <c r="G582" s="14" t="s">
        <v>1629</v>
      </c>
      <c r="H582" s="14" t="s">
        <v>49</v>
      </c>
      <c r="I582" s="14" t="s">
        <v>1263</v>
      </c>
      <c r="K582" s="3"/>
      <c r="M582" s="3"/>
    </row>
    <row r="583" spans="1:13">
      <c r="A583" t="s">
        <v>28</v>
      </c>
      <c r="B583">
        <f ca="1">IF(OR(changes[[#This Row],[Type]]="Checklist",changes[[#This Row],[Type]]="checklist-flat"),1+IF(changes[[#This Row],[Type of change]] = "Edit",COUNTIFS($I$4:changes[[#This Row],[Name]],changes[[#This Row],[Name]], $E$4:changes[[#This Row],[Type of change]], "Edit")),B582)</f>
        <v>1</v>
      </c>
      <c r="C583" s="20">
        <v>44609</v>
      </c>
      <c r="D583" s="14" t="s">
        <v>2048</v>
      </c>
      <c r="E583" s="14" t="s">
        <v>2011</v>
      </c>
      <c r="F583" s="14" t="s">
        <v>9</v>
      </c>
      <c r="G583" s="14" t="s">
        <v>1629</v>
      </c>
      <c r="H583" s="14" t="s">
        <v>49</v>
      </c>
      <c r="I583" s="14" t="s">
        <v>1264</v>
      </c>
      <c r="K583" s="3"/>
      <c r="M583" s="3"/>
    </row>
    <row r="584" spans="1:13">
      <c r="A584" t="s">
        <v>28</v>
      </c>
      <c r="B584">
        <f ca="1">IF(OR(changes[[#This Row],[Type]]="Checklist",changes[[#This Row],[Type]]="checklist-flat"),1+IF(changes[[#This Row],[Type of change]] = "Edit",COUNTIFS($I$4:changes[[#This Row],[Name]],changes[[#This Row],[Name]], $E$4:changes[[#This Row],[Type of change]], "Edit")),B583)</f>
        <v>1</v>
      </c>
      <c r="C584" s="20">
        <v>44609</v>
      </c>
      <c r="D584" s="14" t="s">
        <v>2048</v>
      </c>
      <c r="E584" s="14" t="s">
        <v>2011</v>
      </c>
      <c r="F584" s="14" t="s">
        <v>9</v>
      </c>
      <c r="G584" s="14" t="s">
        <v>1629</v>
      </c>
      <c r="H584" s="14" t="s">
        <v>1119</v>
      </c>
      <c r="I584" s="14" t="s">
        <v>2046</v>
      </c>
      <c r="K584" s="3"/>
      <c r="M584" s="3"/>
    </row>
    <row r="585" spans="1:13">
      <c r="A585" t="s">
        <v>28</v>
      </c>
      <c r="B585">
        <f ca="1">IF(OR(changes[[#This Row],[Type]]="Checklist",changes[[#This Row],[Type]]="checklist-flat"),1+IF(changes[[#This Row],[Type of change]] = "Edit",COUNTIFS($I$4:changes[[#This Row],[Name]],changes[[#This Row],[Name]], $E$4:changes[[#This Row],[Type of change]], "Edit")),B584)</f>
        <v>1</v>
      </c>
      <c r="C585" s="20">
        <v>44609</v>
      </c>
      <c r="D585" s="14" t="s">
        <v>2048</v>
      </c>
      <c r="E585" s="14" t="s">
        <v>2011</v>
      </c>
      <c r="F585" s="14" t="s">
        <v>9</v>
      </c>
      <c r="G585" s="14" t="s">
        <v>1629</v>
      </c>
      <c r="H585" s="14" t="s">
        <v>49</v>
      </c>
      <c r="I585" s="14" t="s">
        <v>1360</v>
      </c>
      <c r="K585" s="3"/>
      <c r="M585" s="3"/>
    </row>
    <row r="586" spans="1:13">
      <c r="A586" t="s">
        <v>28</v>
      </c>
      <c r="B586">
        <f ca="1">IF(OR(changes[[#This Row],[Type]]="Checklist",changes[[#This Row],[Type]]="checklist-flat"),1+IF(changes[[#This Row],[Type of change]] = "Edit",COUNTIFS($I$4:changes[[#This Row],[Name]],changes[[#This Row],[Name]], $E$4:changes[[#This Row],[Type of change]], "Edit")),B585)</f>
        <v>1</v>
      </c>
      <c r="C586" s="20">
        <v>44609</v>
      </c>
      <c r="D586" s="14" t="s">
        <v>2048</v>
      </c>
      <c r="E586" s="14" t="s">
        <v>2011</v>
      </c>
      <c r="F586" s="14" t="s">
        <v>9</v>
      </c>
      <c r="G586" s="14" t="s">
        <v>1631</v>
      </c>
      <c r="H586" s="14" t="s">
        <v>119</v>
      </c>
      <c r="I586" s="14" t="s">
        <v>1631</v>
      </c>
      <c r="K586" s="3"/>
      <c r="M586" s="3" t="s">
        <v>2056</v>
      </c>
    </row>
    <row r="587" spans="1:13">
      <c r="A587" t="s">
        <v>28</v>
      </c>
      <c r="B587">
        <f ca="1">IF(OR(changes[[#This Row],[Type]]="Checklist",changes[[#This Row],[Type]]="checklist-flat"),1+IF(changes[[#This Row],[Type of change]] = "Edit",COUNTIFS($I$4:changes[[#This Row],[Name]],changes[[#This Row],[Name]], $E$4:changes[[#This Row],[Type of change]], "Edit")),B586)</f>
        <v>1</v>
      </c>
      <c r="C587" s="20">
        <v>44609</v>
      </c>
      <c r="D587" s="14" t="s">
        <v>2048</v>
      </c>
      <c r="E587" s="14" t="s">
        <v>2011</v>
      </c>
      <c r="F587" s="14" t="s">
        <v>9</v>
      </c>
      <c r="G587" s="14" t="s">
        <v>1631</v>
      </c>
      <c r="H587" s="14" t="s">
        <v>49</v>
      </c>
      <c r="I587" s="14" t="s">
        <v>1263</v>
      </c>
      <c r="K587" s="3"/>
      <c r="M587" s="3"/>
    </row>
    <row r="588" spans="1:13">
      <c r="A588" t="s">
        <v>28</v>
      </c>
      <c r="B588">
        <f ca="1">IF(OR(changes[[#This Row],[Type]]="Checklist",changes[[#This Row],[Type]]="checklist-flat"),1+IF(changes[[#This Row],[Type of change]] = "Edit",COUNTIFS($I$4:changes[[#This Row],[Name]],changes[[#This Row],[Name]], $E$4:changes[[#This Row],[Type of change]], "Edit")),B587)</f>
        <v>1</v>
      </c>
      <c r="C588" s="20">
        <v>44609</v>
      </c>
      <c r="D588" s="14" t="s">
        <v>2048</v>
      </c>
      <c r="E588" s="14" t="s">
        <v>2011</v>
      </c>
      <c r="F588" s="14" t="s">
        <v>9</v>
      </c>
      <c r="G588" s="14" t="s">
        <v>1631</v>
      </c>
      <c r="H588" s="14" t="s">
        <v>49</v>
      </c>
      <c r="I588" s="14" t="s">
        <v>1264</v>
      </c>
      <c r="K588" s="3"/>
      <c r="M588" s="3"/>
    </row>
    <row r="589" spans="1:13">
      <c r="A589" t="s">
        <v>28</v>
      </c>
      <c r="B589">
        <f ca="1">IF(OR(changes[[#This Row],[Type]]="Checklist",changes[[#This Row],[Type]]="checklist-flat"),1+IF(changes[[#This Row],[Type of change]] = "Edit",COUNTIFS($I$4:changes[[#This Row],[Name]],changes[[#This Row],[Name]], $E$4:changes[[#This Row],[Type of change]], "Edit")),B588)</f>
        <v>1</v>
      </c>
      <c r="C589" s="20">
        <v>44609</v>
      </c>
      <c r="D589" s="14" t="s">
        <v>2048</v>
      </c>
      <c r="E589" s="14" t="s">
        <v>2011</v>
      </c>
      <c r="F589" s="14" t="s">
        <v>9</v>
      </c>
      <c r="G589" s="14" t="s">
        <v>1631</v>
      </c>
      <c r="H589" s="14" t="s">
        <v>1119</v>
      </c>
      <c r="I589" s="14" t="s">
        <v>2046</v>
      </c>
      <c r="K589" s="3"/>
      <c r="M589" s="3"/>
    </row>
    <row r="590" spans="1:13">
      <c r="A590" t="s">
        <v>28</v>
      </c>
      <c r="B590">
        <f ca="1">IF(OR(changes[[#This Row],[Type]]="Checklist",changes[[#This Row],[Type]]="checklist-flat"),1+IF(changes[[#This Row],[Type of change]] = "Edit",COUNTIFS($I$4:changes[[#This Row],[Name]],changes[[#This Row],[Name]], $E$4:changes[[#This Row],[Type of change]], "Edit")),B589)</f>
        <v>1</v>
      </c>
      <c r="C590" s="20">
        <v>44609</v>
      </c>
      <c r="D590" s="14" t="s">
        <v>2048</v>
      </c>
      <c r="E590" s="14" t="s">
        <v>2011</v>
      </c>
      <c r="F590" s="14" t="s">
        <v>9</v>
      </c>
      <c r="G590" s="14" t="s">
        <v>1631</v>
      </c>
      <c r="H590" s="14" t="s">
        <v>49</v>
      </c>
      <c r="I590" s="14" t="s">
        <v>1360</v>
      </c>
      <c r="K590" s="3"/>
      <c r="M590" s="3"/>
    </row>
    <row r="591" spans="1:13">
      <c r="A591" t="s">
        <v>28</v>
      </c>
      <c r="B591">
        <f ca="1">IF(OR(changes[[#This Row],[Type]]="Checklist",changes[[#This Row],[Type]]="checklist-flat"),1+IF(changes[[#This Row],[Type of change]] = "Edit",COUNTIFS($I$4:changes[[#This Row],[Name]],changes[[#This Row],[Name]], $E$4:changes[[#This Row],[Type of change]], "Edit")),B590)</f>
        <v>1</v>
      </c>
      <c r="C591" s="20">
        <v>44609</v>
      </c>
      <c r="D591" s="14" t="s">
        <v>2048</v>
      </c>
      <c r="E591" s="14" t="s">
        <v>2011</v>
      </c>
      <c r="F591" s="14" t="s">
        <v>9</v>
      </c>
      <c r="G591" s="14" t="s">
        <v>1633</v>
      </c>
      <c r="H591" s="14" t="s">
        <v>119</v>
      </c>
      <c r="I591" s="14" t="s">
        <v>1633</v>
      </c>
      <c r="K591" s="3"/>
      <c r="M591" s="3"/>
    </row>
    <row r="592" spans="1:13">
      <c r="A592" t="s">
        <v>28</v>
      </c>
      <c r="B592">
        <f ca="1">IF(OR(changes[[#This Row],[Type]]="Checklist",changes[[#This Row],[Type]]="checklist-flat"),1+IF(changes[[#This Row],[Type of change]] = "Edit",COUNTIFS($I$4:changes[[#This Row],[Name]],changes[[#This Row],[Name]], $E$4:changes[[#This Row],[Type of change]], "Edit")),B591)</f>
        <v>1</v>
      </c>
      <c r="C592" s="20">
        <v>44609</v>
      </c>
      <c r="D592" s="14" t="s">
        <v>2048</v>
      </c>
      <c r="E592" s="14" t="s">
        <v>2011</v>
      </c>
      <c r="F592" s="14" t="s">
        <v>9</v>
      </c>
      <c r="G592" s="14" t="s">
        <v>1633</v>
      </c>
      <c r="H592" s="14" t="s">
        <v>49</v>
      </c>
      <c r="I592" s="14" t="s">
        <v>1263</v>
      </c>
      <c r="K592" s="3"/>
      <c r="M592" s="3"/>
    </row>
    <row r="593" spans="1:13">
      <c r="A593" t="s">
        <v>28</v>
      </c>
      <c r="B593">
        <f ca="1">IF(OR(changes[[#This Row],[Type]]="Checklist",changes[[#This Row],[Type]]="checklist-flat"),1+IF(changes[[#This Row],[Type of change]] = "Edit",COUNTIFS($I$4:changes[[#This Row],[Name]],changes[[#This Row],[Name]], $E$4:changes[[#This Row],[Type of change]], "Edit")),B592)</f>
        <v>1</v>
      </c>
      <c r="C593" s="20">
        <v>44609</v>
      </c>
      <c r="D593" s="14" t="s">
        <v>2048</v>
      </c>
      <c r="E593" s="14" t="s">
        <v>2011</v>
      </c>
      <c r="F593" s="14" t="s">
        <v>9</v>
      </c>
      <c r="G593" s="14" t="s">
        <v>1633</v>
      </c>
      <c r="H593" s="14" t="s">
        <v>49</v>
      </c>
      <c r="I593" s="14" t="s">
        <v>1264</v>
      </c>
      <c r="K593" s="3"/>
      <c r="M593" s="3"/>
    </row>
    <row r="594" spans="1:13">
      <c r="A594" t="s">
        <v>28</v>
      </c>
      <c r="B594">
        <f ca="1">IF(OR(changes[[#This Row],[Type]]="Checklist",changes[[#This Row],[Type]]="checklist-flat"),1+IF(changes[[#This Row],[Type of change]] = "Edit",COUNTIFS($I$4:changes[[#This Row],[Name]],changes[[#This Row],[Name]], $E$4:changes[[#This Row],[Type of change]], "Edit")),B593)</f>
        <v>1</v>
      </c>
      <c r="C594" s="20">
        <v>44609</v>
      </c>
      <c r="D594" s="14" t="s">
        <v>2048</v>
      </c>
      <c r="E594" s="14" t="s">
        <v>2011</v>
      </c>
      <c r="F594" s="14" t="s">
        <v>9</v>
      </c>
      <c r="G594" s="14" t="s">
        <v>1633</v>
      </c>
      <c r="H594" s="14" t="s">
        <v>1119</v>
      </c>
      <c r="I594" s="14" t="s">
        <v>2046</v>
      </c>
      <c r="K594" s="3"/>
      <c r="M594" s="3"/>
    </row>
    <row r="595" spans="1:13">
      <c r="A595" t="s">
        <v>28</v>
      </c>
      <c r="B595">
        <f ca="1">IF(OR(changes[[#This Row],[Type]]="Checklist",changes[[#This Row],[Type]]="checklist-flat"),1+IF(changes[[#This Row],[Type of change]] = "Edit",COUNTIFS($I$4:changes[[#This Row],[Name]],changes[[#This Row],[Name]], $E$4:changes[[#This Row],[Type of change]], "Edit")),B594)</f>
        <v>1</v>
      </c>
      <c r="C595" s="20">
        <v>44609</v>
      </c>
      <c r="D595" s="14" t="s">
        <v>2048</v>
      </c>
      <c r="E595" s="14" t="s">
        <v>2011</v>
      </c>
      <c r="F595" s="14" t="s">
        <v>9</v>
      </c>
      <c r="G595" s="14" t="s">
        <v>1633</v>
      </c>
      <c r="H595" s="14" t="s">
        <v>49</v>
      </c>
      <c r="I595" s="14" t="s">
        <v>1360</v>
      </c>
      <c r="K595" s="3"/>
      <c r="M595" s="3"/>
    </row>
    <row r="596" spans="1:13">
      <c r="A596" t="s">
        <v>28</v>
      </c>
      <c r="B596">
        <f ca="1">IF(OR(changes[[#This Row],[Type]]="Checklist",changes[[#This Row],[Type]]="checklist-flat"),1+IF(changes[[#This Row],[Type of change]] = "Edit",COUNTIFS($I$4:changes[[#This Row],[Name]],changes[[#This Row],[Name]], $E$4:changes[[#This Row],[Type of change]], "Edit")),B595)</f>
        <v>1</v>
      </c>
      <c r="C596" s="20">
        <v>44609</v>
      </c>
      <c r="D596" s="14" t="s">
        <v>2048</v>
      </c>
      <c r="E596" s="14" t="s">
        <v>2011</v>
      </c>
      <c r="F596" s="14" t="s">
        <v>9</v>
      </c>
      <c r="G596" s="14" t="s">
        <v>2063</v>
      </c>
      <c r="H596" s="14" t="s">
        <v>119</v>
      </c>
      <c r="I596" s="14" t="s">
        <v>2063</v>
      </c>
      <c r="K596" s="3"/>
      <c r="M596" s="3" t="s">
        <v>2064</v>
      </c>
    </row>
    <row r="597" spans="1:13">
      <c r="A597" t="s">
        <v>28</v>
      </c>
      <c r="B597">
        <f ca="1">IF(OR(changes[[#This Row],[Type]]="Checklist",changes[[#This Row],[Type]]="checklist-flat"),1+IF(changes[[#This Row],[Type of change]] = "Edit",COUNTIFS($I$4:changes[[#This Row],[Name]],changes[[#This Row],[Name]], $E$4:changes[[#This Row],[Type of change]], "Edit")),B596)</f>
        <v>1</v>
      </c>
      <c r="C597" s="20">
        <v>44609</v>
      </c>
      <c r="D597" s="14" t="s">
        <v>2048</v>
      </c>
      <c r="E597" s="14" t="s">
        <v>2011</v>
      </c>
      <c r="F597" s="14" t="s">
        <v>9</v>
      </c>
      <c r="G597" s="14" t="s">
        <v>2063</v>
      </c>
      <c r="H597" s="14" t="s">
        <v>49</v>
      </c>
      <c r="I597" s="14" t="s">
        <v>1263</v>
      </c>
      <c r="K597" s="3"/>
      <c r="M597" s="3"/>
    </row>
    <row r="598" spans="1:13">
      <c r="A598" t="s">
        <v>28</v>
      </c>
      <c r="B598">
        <f ca="1">IF(OR(changes[[#This Row],[Type]]="Checklist",changes[[#This Row],[Type]]="checklist-flat"),1+IF(changes[[#This Row],[Type of change]] = "Edit",COUNTIFS($I$4:changes[[#This Row],[Name]],changes[[#This Row],[Name]], $E$4:changes[[#This Row],[Type of change]], "Edit")),B597)</f>
        <v>1</v>
      </c>
      <c r="C598" s="20">
        <v>44609</v>
      </c>
      <c r="D598" s="14" t="s">
        <v>2048</v>
      </c>
      <c r="E598" s="14" t="s">
        <v>2011</v>
      </c>
      <c r="F598" s="14" t="s">
        <v>9</v>
      </c>
      <c r="G598" s="14" t="s">
        <v>2063</v>
      </c>
      <c r="H598" s="14" t="s">
        <v>49</v>
      </c>
      <c r="I598" s="14" t="s">
        <v>1264</v>
      </c>
      <c r="K598" s="3"/>
      <c r="M598" s="3"/>
    </row>
    <row r="599" spans="1:13">
      <c r="A599" t="s">
        <v>28</v>
      </c>
      <c r="B599">
        <f ca="1">IF(OR(changes[[#This Row],[Type]]="Checklist",changes[[#This Row],[Type]]="checklist-flat"),1+IF(changes[[#This Row],[Type of change]] = "Edit",COUNTIFS($I$4:changes[[#This Row],[Name]],changes[[#This Row],[Name]], $E$4:changes[[#This Row],[Type of change]], "Edit")),B598)</f>
        <v>1</v>
      </c>
      <c r="C599" s="20">
        <v>44609</v>
      </c>
      <c r="D599" s="14" t="s">
        <v>2048</v>
      </c>
      <c r="E599" s="14" t="s">
        <v>2011</v>
      </c>
      <c r="F599" s="14" t="s">
        <v>9</v>
      </c>
      <c r="G599" s="14" t="s">
        <v>2063</v>
      </c>
      <c r="H599" s="14" t="s">
        <v>1119</v>
      </c>
      <c r="I599" s="14" t="s">
        <v>2046</v>
      </c>
      <c r="K599" s="3"/>
      <c r="M599" s="3"/>
    </row>
    <row r="600" spans="1:13">
      <c r="A600" t="s">
        <v>28</v>
      </c>
      <c r="B600">
        <f ca="1">IF(OR(changes[[#This Row],[Type]]="Checklist",changes[[#This Row],[Type]]="checklist-flat"),1+IF(changes[[#This Row],[Type of change]] = "Edit",COUNTIFS($I$4:changes[[#This Row],[Name]],changes[[#This Row],[Name]], $E$4:changes[[#This Row],[Type of change]], "Edit")),B599)</f>
        <v>1</v>
      </c>
      <c r="C600" s="20">
        <v>44609</v>
      </c>
      <c r="D600" s="14" t="s">
        <v>2048</v>
      </c>
      <c r="E600" s="14" t="s">
        <v>2011</v>
      </c>
      <c r="F600" s="14" t="s">
        <v>9</v>
      </c>
      <c r="G600" s="14" t="s">
        <v>2063</v>
      </c>
      <c r="H600" s="14" t="s">
        <v>49</v>
      </c>
      <c r="I600" s="14" t="s">
        <v>1360</v>
      </c>
      <c r="K600" s="3"/>
      <c r="M600" s="3"/>
    </row>
    <row r="601" spans="1:13">
      <c r="A601" t="s">
        <v>28</v>
      </c>
      <c r="B601">
        <f ca="1">IF(OR(changes[[#This Row],[Type]]="Checklist",changes[[#This Row],[Type]]="checklist-flat"),1+IF(changes[[#This Row],[Type of change]] = "Edit",COUNTIFS($I$4:changes[[#This Row],[Name]],changes[[#This Row],[Name]], $E$4:changes[[#This Row],[Type of change]], "Edit")),B600)</f>
        <v>1</v>
      </c>
      <c r="C601" s="20">
        <v>44609</v>
      </c>
      <c r="D601" s="14" t="s">
        <v>2048</v>
      </c>
      <c r="E601" s="14" t="s">
        <v>2011</v>
      </c>
      <c r="F601" s="14" t="s">
        <v>9</v>
      </c>
      <c r="G601" s="14" t="s">
        <v>2065</v>
      </c>
      <c r="H601" s="14" t="s">
        <v>119</v>
      </c>
      <c r="I601" s="14" t="s">
        <v>2065</v>
      </c>
      <c r="K601" s="3"/>
      <c r="M601" s="3" t="s">
        <v>2064</v>
      </c>
    </row>
    <row r="602" spans="1:13">
      <c r="A602" t="s">
        <v>28</v>
      </c>
      <c r="B602">
        <f ca="1">IF(OR(changes[[#This Row],[Type]]="Checklist",changes[[#This Row],[Type]]="checklist-flat"),1+IF(changes[[#This Row],[Type of change]] = "Edit",COUNTIFS($I$4:changes[[#This Row],[Name]],changes[[#This Row],[Name]], $E$4:changes[[#This Row],[Type of change]], "Edit")),B601)</f>
        <v>1</v>
      </c>
      <c r="C602" s="20">
        <v>44609</v>
      </c>
      <c r="D602" s="14" t="s">
        <v>2048</v>
      </c>
      <c r="E602" s="14" t="s">
        <v>2011</v>
      </c>
      <c r="F602" s="14" t="s">
        <v>9</v>
      </c>
      <c r="G602" s="14" t="s">
        <v>2065</v>
      </c>
      <c r="H602" s="14" t="s">
        <v>49</v>
      </c>
      <c r="I602" s="14" t="s">
        <v>1263</v>
      </c>
      <c r="K602" s="3"/>
      <c r="M602" s="3"/>
    </row>
    <row r="603" spans="1:13">
      <c r="A603" t="s">
        <v>28</v>
      </c>
      <c r="B603">
        <f ca="1">IF(OR(changes[[#This Row],[Type]]="Checklist",changes[[#This Row],[Type]]="checklist-flat"),1+IF(changes[[#This Row],[Type of change]] = "Edit",COUNTIFS($I$4:changes[[#This Row],[Name]],changes[[#This Row],[Name]], $E$4:changes[[#This Row],[Type of change]], "Edit")),B602)</f>
        <v>1</v>
      </c>
      <c r="C603" s="20">
        <v>44609</v>
      </c>
      <c r="D603" s="14" t="s">
        <v>2048</v>
      </c>
      <c r="E603" s="14" t="s">
        <v>2011</v>
      </c>
      <c r="F603" s="14" t="s">
        <v>9</v>
      </c>
      <c r="G603" s="14" t="s">
        <v>2065</v>
      </c>
      <c r="H603" s="14" t="s">
        <v>49</v>
      </c>
      <c r="I603" s="14" t="s">
        <v>1264</v>
      </c>
      <c r="K603" s="3"/>
      <c r="M603" s="3"/>
    </row>
    <row r="604" spans="1:13">
      <c r="A604" t="s">
        <v>28</v>
      </c>
      <c r="B604">
        <f ca="1">IF(OR(changes[[#This Row],[Type]]="Checklist",changes[[#This Row],[Type]]="checklist-flat"),1+IF(changes[[#This Row],[Type of change]] = "Edit",COUNTIFS($I$4:changes[[#This Row],[Name]],changes[[#This Row],[Name]], $E$4:changes[[#This Row],[Type of change]], "Edit")),B603)</f>
        <v>1</v>
      </c>
      <c r="C604" s="20">
        <v>44609</v>
      </c>
      <c r="D604" s="14" t="s">
        <v>2048</v>
      </c>
      <c r="E604" s="14" t="s">
        <v>2011</v>
      </c>
      <c r="F604" s="14" t="s">
        <v>9</v>
      </c>
      <c r="G604" s="14" t="s">
        <v>2065</v>
      </c>
      <c r="H604" s="14" t="s">
        <v>1119</v>
      </c>
      <c r="I604" s="14" t="s">
        <v>2046</v>
      </c>
      <c r="K604" s="3"/>
      <c r="M604" s="3"/>
    </row>
    <row r="605" spans="1:13">
      <c r="A605" t="s">
        <v>28</v>
      </c>
      <c r="B605">
        <f ca="1">IF(OR(changes[[#This Row],[Type]]="Checklist",changes[[#This Row],[Type]]="checklist-flat"),1+IF(changes[[#This Row],[Type of change]] = "Edit",COUNTIFS($I$4:changes[[#This Row],[Name]],changes[[#This Row],[Name]], $E$4:changes[[#This Row],[Type of change]], "Edit")),B604)</f>
        <v>1</v>
      </c>
      <c r="C605" s="20">
        <v>44609</v>
      </c>
      <c r="D605" s="14" t="s">
        <v>2048</v>
      </c>
      <c r="E605" s="14" t="s">
        <v>2011</v>
      </c>
      <c r="F605" s="14" t="s">
        <v>9</v>
      </c>
      <c r="G605" s="14" t="s">
        <v>2065</v>
      </c>
      <c r="H605" s="14" t="s">
        <v>49</v>
      </c>
      <c r="I605" s="14" t="s">
        <v>1373</v>
      </c>
      <c r="K605" s="3"/>
      <c r="M605" s="3"/>
    </row>
    <row r="606" spans="1:13">
      <c r="A606" t="s">
        <v>28</v>
      </c>
      <c r="B606">
        <f ca="1">IF(OR(changes[[#This Row],[Type]]="Checklist",changes[[#This Row],[Type]]="checklist-flat"),1+IF(changes[[#This Row],[Type of change]] = "Edit",COUNTIFS($I$4:changes[[#This Row],[Name]],changes[[#This Row],[Name]], $E$4:changes[[#This Row],[Type of change]], "Edit")),B605)</f>
        <v>1</v>
      </c>
      <c r="C606" s="20">
        <v>44610</v>
      </c>
      <c r="D606" s="14" t="s">
        <v>2025</v>
      </c>
      <c r="E606" s="14" t="s">
        <v>2011</v>
      </c>
      <c r="F606" s="14" t="s">
        <v>9</v>
      </c>
      <c r="G606" s="14" t="s">
        <v>2066</v>
      </c>
      <c r="H606" s="14" t="s">
        <v>119</v>
      </c>
      <c r="I606" s="14" t="s">
        <v>2066</v>
      </c>
      <c r="K606" s="3"/>
      <c r="M606" s="3" t="s">
        <v>2067</v>
      </c>
    </row>
    <row r="607" spans="1:13">
      <c r="A607" t="s">
        <v>28</v>
      </c>
      <c r="B607">
        <f ca="1">IF(OR(changes[[#This Row],[Type]]="Checklist",changes[[#This Row],[Type]]="checklist-flat"),1+IF(changes[[#This Row],[Type of change]] = "Edit",COUNTIFS($I$4:changes[[#This Row],[Name]],changes[[#This Row],[Name]], $E$4:changes[[#This Row],[Type of change]], "Edit")),B606)</f>
        <v>1</v>
      </c>
      <c r="C607" s="20">
        <v>44610</v>
      </c>
      <c r="D607" s="14" t="s">
        <v>2025</v>
      </c>
      <c r="E607" s="14" t="s">
        <v>2011</v>
      </c>
      <c r="F607" s="14" t="s">
        <v>9</v>
      </c>
      <c r="G607" s="14" t="s">
        <v>2066</v>
      </c>
      <c r="H607" s="14" t="s">
        <v>120</v>
      </c>
      <c r="I607" s="14" t="s">
        <v>853</v>
      </c>
      <c r="K607" s="3"/>
      <c r="M607" s="3"/>
    </row>
    <row r="608" spans="1:13">
      <c r="A608" t="s">
        <v>28</v>
      </c>
      <c r="B608">
        <f ca="1">IF(OR(changes[[#This Row],[Type]]="Checklist",changes[[#This Row],[Type]]="checklist-flat"),1+IF(changes[[#This Row],[Type of change]] = "Edit",COUNTIFS($I$4:changes[[#This Row],[Name]],changes[[#This Row],[Name]], $E$4:changes[[#This Row],[Type of change]], "Edit")),B607)</f>
        <v>1</v>
      </c>
      <c r="C608" s="20">
        <v>44610</v>
      </c>
      <c r="D608" s="14" t="s">
        <v>2025</v>
      </c>
      <c r="E608" s="14" t="s">
        <v>2011</v>
      </c>
      <c r="F608" s="14" t="s">
        <v>9</v>
      </c>
      <c r="G608" s="14" t="s">
        <v>2066</v>
      </c>
      <c r="H608" s="14" t="s">
        <v>49</v>
      </c>
      <c r="I608" s="14" t="s">
        <v>854</v>
      </c>
      <c r="K608" s="3"/>
      <c r="M608" s="3"/>
    </row>
    <row r="609" spans="1:13">
      <c r="A609" t="s">
        <v>28</v>
      </c>
      <c r="B609">
        <f ca="1">IF(OR(changes[[#This Row],[Type]]="Checklist",changes[[#This Row],[Type]]="checklist-flat"),1+IF(changes[[#This Row],[Type of change]] = "Edit",COUNTIFS($I$4:changes[[#This Row],[Name]],changes[[#This Row],[Name]], $E$4:changes[[#This Row],[Type of change]], "Edit")),B608)</f>
        <v>1</v>
      </c>
      <c r="C609" s="20">
        <v>44610</v>
      </c>
      <c r="D609" s="14" t="s">
        <v>2025</v>
      </c>
      <c r="E609" s="14" t="s">
        <v>2011</v>
      </c>
      <c r="F609" s="14" t="s">
        <v>9</v>
      </c>
      <c r="G609" s="14" t="s">
        <v>2066</v>
      </c>
      <c r="H609" s="14" t="s">
        <v>49</v>
      </c>
      <c r="I609" s="14" t="s">
        <v>855</v>
      </c>
      <c r="K609" s="3"/>
      <c r="M609" s="3"/>
    </row>
    <row r="610" spans="1:13">
      <c r="A610" t="s">
        <v>28</v>
      </c>
      <c r="B610">
        <f ca="1">IF(OR(changes[[#This Row],[Type]]="Checklist",changes[[#This Row],[Type]]="checklist-flat"),1+IF(changes[[#This Row],[Type of change]] = "Edit",COUNTIFS($I$4:changes[[#This Row],[Name]],changes[[#This Row],[Name]], $E$4:changes[[#This Row],[Type of change]], "Edit")),B609)</f>
        <v>1</v>
      </c>
      <c r="C610" s="20">
        <v>44610</v>
      </c>
      <c r="D610" s="14" t="s">
        <v>2025</v>
      </c>
      <c r="E610" s="14" t="s">
        <v>2011</v>
      </c>
      <c r="F610" s="14" t="s">
        <v>9</v>
      </c>
      <c r="G610" s="14" t="s">
        <v>2066</v>
      </c>
      <c r="H610" s="14" t="s">
        <v>831</v>
      </c>
      <c r="I610" s="14" t="s">
        <v>856</v>
      </c>
      <c r="K610" s="3"/>
      <c r="M610" s="3"/>
    </row>
    <row r="611" spans="1:13">
      <c r="A611" t="s">
        <v>28</v>
      </c>
      <c r="B611">
        <f ca="1">IF(OR(changes[[#This Row],[Type]]="Checklist",changes[[#This Row],[Type]]="checklist-flat"),1+IF(changes[[#This Row],[Type of change]] = "Edit",COUNTIFS($I$4:changes[[#This Row],[Name]],changes[[#This Row],[Name]], $E$4:changes[[#This Row],[Type of change]], "Edit")),B610)</f>
        <v>1</v>
      </c>
      <c r="C611" s="20">
        <v>44610</v>
      </c>
      <c r="D611" s="14" t="s">
        <v>2025</v>
      </c>
      <c r="E611" s="14" t="s">
        <v>2011</v>
      </c>
      <c r="F611" s="14" t="s">
        <v>9</v>
      </c>
      <c r="G611" s="14" t="s">
        <v>2066</v>
      </c>
      <c r="H611" s="14" t="s">
        <v>120</v>
      </c>
      <c r="I611" s="14" t="s">
        <v>2068</v>
      </c>
      <c r="K611" s="3"/>
      <c r="M611" s="3"/>
    </row>
    <row r="612" spans="1:13">
      <c r="A612" t="s">
        <v>28</v>
      </c>
      <c r="B612">
        <f ca="1">IF(OR(changes[[#This Row],[Type]]="Checklist",changes[[#This Row],[Type]]="checklist-flat"),1+IF(changes[[#This Row],[Type of change]] = "Edit",COUNTIFS($I$4:changes[[#This Row],[Name]],changes[[#This Row],[Name]], $E$4:changes[[#This Row],[Type of change]], "Edit")),B611)</f>
        <v>1</v>
      </c>
      <c r="C612" s="20">
        <v>44610</v>
      </c>
      <c r="D612" s="14" t="s">
        <v>2025</v>
      </c>
      <c r="E612" s="14" t="s">
        <v>2011</v>
      </c>
      <c r="F612" s="14" t="s">
        <v>9</v>
      </c>
      <c r="G612" s="14" t="s">
        <v>2066</v>
      </c>
      <c r="H612" s="14" t="s">
        <v>831</v>
      </c>
      <c r="I612" s="14" t="s">
        <v>857</v>
      </c>
      <c r="K612" s="3"/>
      <c r="M612" s="3"/>
    </row>
    <row r="613" spans="1:13">
      <c r="A613" t="s">
        <v>28</v>
      </c>
      <c r="B613">
        <f ca="1">IF(OR(changes[[#This Row],[Type]]="Checklist",changes[[#This Row],[Type]]="checklist-flat"),1+IF(changes[[#This Row],[Type of change]] = "Edit",COUNTIFS($I$4:changes[[#This Row],[Name]],changes[[#This Row],[Name]], $E$4:changes[[#This Row],[Type of change]], "Edit")),B612)</f>
        <v>1</v>
      </c>
      <c r="C613" s="20">
        <v>44610</v>
      </c>
      <c r="D613" s="14" t="s">
        <v>2025</v>
      </c>
      <c r="E613" s="14" t="s">
        <v>2011</v>
      </c>
      <c r="F613" s="14" t="s">
        <v>9</v>
      </c>
      <c r="G613" s="14" t="s">
        <v>2066</v>
      </c>
      <c r="H613" s="14" t="s">
        <v>831</v>
      </c>
      <c r="I613" s="14" t="s">
        <v>858</v>
      </c>
      <c r="K613" s="3"/>
      <c r="M613" s="3"/>
    </row>
    <row r="614" spans="1:13">
      <c r="A614" t="s">
        <v>28</v>
      </c>
      <c r="B614">
        <f ca="1">IF(OR(changes[[#This Row],[Type]]="Checklist",changes[[#This Row],[Type]]="checklist-flat"),1+IF(changes[[#This Row],[Type of change]] = "Edit",COUNTIFS($I$4:changes[[#This Row],[Name]],changes[[#This Row],[Name]], $E$4:changes[[#This Row],[Type of change]], "Edit")),B613)</f>
        <v>1</v>
      </c>
      <c r="C614" s="20">
        <v>44610</v>
      </c>
      <c r="D614" s="14" t="s">
        <v>2025</v>
      </c>
      <c r="E614" s="14" t="s">
        <v>2011</v>
      </c>
      <c r="F614" s="14" t="s">
        <v>9</v>
      </c>
      <c r="G614" s="14" t="s">
        <v>2066</v>
      </c>
      <c r="H614" s="14" t="s">
        <v>831</v>
      </c>
      <c r="I614" s="14" t="s">
        <v>859</v>
      </c>
      <c r="K614" s="3"/>
      <c r="M614" s="3"/>
    </row>
    <row r="615" spans="1:13">
      <c r="A615" t="s">
        <v>28</v>
      </c>
      <c r="B615">
        <f ca="1">IF(OR(changes[[#This Row],[Type]]="Checklist",changes[[#This Row],[Type]]="checklist-flat"),1+IF(changes[[#This Row],[Type of change]] = "Edit",COUNTIFS($I$4:changes[[#This Row],[Name]],changes[[#This Row],[Name]], $E$4:changes[[#This Row],[Type of change]], "Edit")),B614)</f>
        <v>1</v>
      </c>
      <c r="C615" s="20">
        <v>44610</v>
      </c>
      <c r="D615" s="14" t="s">
        <v>2025</v>
      </c>
      <c r="E615" s="14" t="s">
        <v>2011</v>
      </c>
      <c r="F615" s="14" t="s">
        <v>9</v>
      </c>
      <c r="G615" s="14" t="s">
        <v>2066</v>
      </c>
      <c r="H615" s="14" t="s">
        <v>831</v>
      </c>
      <c r="I615" s="14" t="s">
        <v>860</v>
      </c>
      <c r="K615" s="3"/>
      <c r="M615" s="3"/>
    </row>
    <row r="616" spans="1:13">
      <c r="A616" t="s">
        <v>28</v>
      </c>
      <c r="B616">
        <f ca="1">IF(OR(changes[[#This Row],[Type]]="Checklist",changes[[#This Row],[Type]]="checklist-flat"),1+IF(changes[[#This Row],[Type of change]] = "Edit",COUNTIFS($I$4:changes[[#This Row],[Name]],changes[[#This Row],[Name]], $E$4:changes[[#This Row],[Type of change]], "Edit")),B615)</f>
        <v>1</v>
      </c>
      <c r="C616" s="20">
        <v>44610</v>
      </c>
      <c r="D616" s="14" t="s">
        <v>2025</v>
      </c>
      <c r="E616" s="14" t="s">
        <v>2011</v>
      </c>
      <c r="F616" s="14" t="s">
        <v>9</v>
      </c>
      <c r="G616" s="14" t="s">
        <v>2066</v>
      </c>
      <c r="H616" s="14" t="s">
        <v>831</v>
      </c>
      <c r="I616" s="14" t="s">
        <v>2069</v>
      </c>
      <c r="K616" s="3"/>
      <c r="M616" s="3"/>
    </row>
    <row r="617" spans="1:13">
      <c r="A617" t="s">
        <v>28</v>
      </c>
      <c r="B617">
        <f ca="1">IF(OR(changes[[#This Row],[Type]]="Checklist",changes[[#This Row],[Type]]="checklist-flat"),1+IF(changes[[#This Row],[Type of change]] = "Edit",COUNTIFS($I$4:changes[[#This Row],[Name]],changes[[#This Row],[Name]], $E$4:changes[[#This Row],[Type of change]], "Edit")),B616)</f>
        <v>1</v>
      </c>
      <c r="C617" s="20">
        <v>44610</v>
      </c>
      <c r="D617" s="14" t="s">
        <v>2025</v>
      </c>
      <c r="E617" s="14" t="s">
        <v>2011</v>
      </c>
      <c r="F617" s="14" t="s">
        <v>9</v>
      </c>
      <c r="G617" s="14" t="s">
        <v>2066</v>
      </c>
      <c r="H617" s="14" t="s">
        <v>831</v>
      </c>
      <c r="I617" s="14" t="s">
        <v>2070</v>
      </c>
      <c r="K617" s="3"/>
      <c r="M617" s="3"/>
    </row>
    <row r="618" spans="1:13">
      <c r="A618" t="s">
        <v>28</v>
      </c>
      <c r="B618">
        <f ca="1">IF(OR(changes[[#This Row],[Type]]="Checklist",changes[[#This Row],[Type]]="checklist-flat"),1+IF(changes[[#This Row],[Type of change]] = "Edit",COUNTIFS($I$4:changes[[#This Row],[Name]],changes[[#This Row],[Name]], $E$4:changes[[#This Row],[Type of change]], "Edit")),B617)</f>
        <v>1</v>
      </c>
      <c r="C618" s="20">
        <v>44610</v>
      </c>
      <c r="D618" s="14" t="s">
        <v>2025</v>
      </c>
      <c r="E618" s="14" t="s">
        <v>2011</v>
      </c>
      <c r="F618" s="14" t="s">
        <v>9</v>
      </c>
      <c r="G618" s="14" t="s">
        <v>2066</v>
      </c>
      <c r="H618" s="14" t="s">
        <v>831</v>
      </c>
      <c r="I618" s="14" t="s">
        <v>877</v>
      </c>
      <c r="K618" s="3"/>
      <c r="M618" s="3"/>
    </row>
    <row r="619" spans="1:13">
      <c r="A619" t="s">
        <v>28</v>
      </c>
      <c r="B619">
        <f ca="1">IF(OR(changes[[#This Row],[Type]]="Checklist",changes[[#This Row],[Type]]="checklist-flat"),1+IF(changes[[#This Row],[Type of change]] = "Edit",COUNTIFS($I$4:changes[[#This Row],[Name]],changes[[#This Row],[Name]], $E$4:changes[[#This Row],[Type of change]], "Edit")),B618)</f>
        <v>1</v>
      </c>
      <c r="C619" s="20">
        <v>44610</v>
      </c>
      <c r="D619" s="14" t="s">
        <v>2025</v>
      </c>
      <c r="E619" s="14" t="s">
        <v>2011</v>
      </c>
      <c r="F619" s="14" t="s">
        <v>9</v>
      </c>
      <c r="G619" s="14" t="s">
        <v>2066</v>
      </c>
      <c r="H619" s="14" t="s">
        <v>831</v>
      </c>
      <c r="I619" s="14" t="s">
        <v>2071</v>
      </c>
      <c r="K619" s="3"/>
      <c r="M619" s="3"/>
    </row>
    <row r="620" spans="1:13">
      <c r="A620" t="s">
        <v>28</v>
      </c>
      <c r="B620">
        <f ca="1">IF(OR(changes[[#This Row],[Type]]="Checklist",changes[[#This Row],[Type]]="checklist-flat"),1+IF(changes[[#This Row],[Type of change]] = "Edit",COUNTIFS($I$4:changes[[#This Row],[Name]],changes[[#This Row],[Name]], $E$4:changes[[#This Row],[Type of change]], "Edit")),B619)</f>
        <v>1</v>
      </c>
      <c r="C620" s="20">
        <v>44610</v>
      </c>
      <c r="D620" s="14" t="s">
        <v>2025</v>
      </c>
      <c r="E620" s="14" t="s">
        <v>2011</v>
      </c>
      <c r="F620" s="14" t="s">
        <v>9</v>
      </c>
      <c r="G620" s="14" t="s">
        <v>2066</v>
      </c>
      <c r="H620" s="14" t="s">
        <v>831</v>
      </c>
      <c r="I620" s="14" t="s">
        <v>879</v>
      </c>
      <c r="K620" s="3"/>
      <c r="M620" s="3"/>
    </row>
    <row r="621" spans="1:13">
      <c r="A621" t="s">
        <v>28</v>
      </c>
      <c r="B621">
        <f ca="1">IF(OR(changes[[#This Row],[Type]]="Checklist",changes[[#This Row],[Type]]="checklist-flat"),1+IF(changes[[#This Row],[Type of change]] = "Edit",COUNTIFS($I$4:changes[[#This Row],[Name]],changes[[#This Row],[Name]], $E$4:changes[[#This Row],[Type of change]], "Edit")),B620)</f>
        <v>1</v>
      </c>
      <c r="C621" s="20">
        <v>44610</v>
      </c>
      <c r="D621" s="14" t="s">
        <v>2025</v>
      </c>
      <c r="E621" s="14" t="s">
        <v>2011</v>
      </c>
      <c r="F621" s="14" t="s">
        <v>9</v>
      </c>
      <c r="G621" s="14" t="s">
        <v>2066</v>
      </c>
      <c r="H621" s="14" t="s">
        <v>831</v>
      </c>
      <c r="I621" s="14" t="s">
        <v>2072</v>
      </c>
      <c r="K621" s="3"/>
      <c r="M621" s="3"/>
    </row>
    <row r="622" spans="1:13">
      <c r="A622" t="s">
        <v>28</v>
      </c>
      <c r="B622">
        <f ca="1">IF(OR(changes[[#This Row],[Type]]="Checklist",changes[[#This Row],[Type]]="checklist-flat"),1+IF(changes[[#This Row],[Type of change]] = "Edit",COUNTIFS($I$4:changes[[#This Row],[Name]],changes[[#This Row],[Name]], $E$4:changes[[#This Row],[Type of change]], "Edit")),B621)</f>
        <v>1</v>
      </c>
      <c r="C622" s="20">
        <v>44610</v>
      </c>
      <c r="D622" s="14" t="s">
        <v>2025</v>
      </c>
      <c r="E622" s="14" t="s">
        <v>2011</v>
      </c>
      <c r="F622" s="14" t="s">
        <v>9</v>
      </c>
      <c r="G622" s="14" t="s">
        <v>2066</v>
      </c>
      <c r="H622" s="14" t="s">
        <v>831</v>
      </c>
      <c r="I622" s="14" t="s">
        <v>881</v>
      </c>
      <c r="K622" s="3"/>
      <c r="M622" s="3"/>
    </row>
    <row r="623" spans="1:13">
      <c r="A623" t="s">
        <v>28</v>
      </c>
      <c r="B623">
        <f ca="1">IF(OR(changes[[#This Row],[Type]]="Checklist",changes[[#This Row],[Type]]="checklist-flat"),1+IF(changes[[#This Row],[Type of change]] = "Edit",COUNTIFS($I$4:changes[[#This Row],[Name]],changes[[#This Row],[Name]], $E$4:changes[[#This Row],[Type of change]], "Edit")),B622)</f>
        <v>1</v>
      </c>
      <c r="C623" s="20">
        <v>44610</v>
      </c>
      <c r="D623" s="14" t="s">
        <v>2025</v>
      </c>
      <c r="E623" s="14" t="s">
        <v>2011</v>
      </c>
      <c r="F623" s="14" t="s">
        <v>9</v>
      </c>
      <c r="G623" s="14" t="s">
        <v>2066</v>
      </c>
      <c r="H623" s="14" t="s">
        <v>831</v>
      </c>
      <c r="I623" s="14" t="s">
        <v>882</v>
      </c>
      <c r="K623" s="3"/>
      <c r="M623" s="3"/>
    </row>
    <row r="624" spans="1:13">
      <c r="A624" t="s">
        <v>28</v>
      </c>
      <c r="B624">
        <f ca="1">IF(OR(changes[[#This Row],[Type]]="Checklist",changes[[#This Row],[Type]]="checklist-flat"),1+IF(changes[[#This Row],[Type of change]] = "Edit",COUNTIFS($I$4:changes[[#This Row],[Name]],changes[[#This Row],[Name]], $E$4:changes[[#This Row],[Type of change]], "Edit")),B623)</f>
        <v>1</v>
      </c>
      <c r="C624" s="20">
        <v>44610</v>
      </c>
      <c r="D624" s="14" t="s">
        <v>2025</v>
      </c>
      <c r="E624" s="14" t="s">
        <v>2011</v>
      </c>
      <c r="F624" s="14" t="s">
        <v>9</v>
      </c>
      <c r="G624" s="14" t="s">
        <v>2066</v>
      </c>
      <c r="H624" s="14" t="s">
        <v>58</v>
      </c>
      <c r="I624" s="14" t="s">
        <v>883</v>
      </c>
      <c r="K624" s="3"/>
      <c r="M624" s="3"/>
    </row>
    <row r="625" spans="1:13">
      <c r="A625" t="s">
        <v>28</v>
      </c>
      <c r="B625">
        <f ca="1">IF(OR(changes[[#This Row],[Type]]="Checklist",changes[[#This Row],[Type]]="checklist-flat"),1+IF(changes[[#This Row],[Type of change]] = "Edit",COUNTIFS($I$4:changes[[#This Row],[Name]],changes[[#This Row],[Name]], $E$4:changes[[#This Row],[Type of change]], "Edit")),B624)</f>
        <v>1</v>
      </c>
      <c r="C625" s="20">
        <v>44613</v>
      </c>
      <c r="D625" s="14" t="s">
        <v>2025</v>
      </c>
      <c r="E625" s="14" t="s">
        <v>2011</v>
      </c>
      <c r="F625" s="14" t="s">
        <v>9</v>
      </c>
      <c r="G625" s="14" t="s">
        <v>899</v>
      </c>
      <c r="H625" s="14" t="s">
        <v>119</v>
      </c>
      <c r="I625" s="14" t="s">
        <v>899</v>
      </c>
      <c r="K625" s="3"/>
      <c r="M625" s="3"/>
    </row>
    <row r="626" spans="1:13">
      <c r="A626" t="s">
        <v>28</v>
      </c>
      <c r="B626">
        <f ca="1">IF(OR(changes[[#This Row],[Type]]="Checklist",changes[[#This Row],[Type]]="checklist-flat"),1+IF(changes[[#This Row],[Type of change]] = "Edit",COUNTIFS($I$4:changes[[#This Row],[Name]],changes[[#This Row],[Name]], $E$4:changes[[#This Row],[Type of change]], "Edit")),B625)</f>
        <v>1</v>
      </c>
      <c r="C626" s="20">
        <v>44613</v>
      </c>
      <c r="D626" s="14" t="s">
        <v>2025</v>
      </c>
      <c r="E626" s="14" t="s">
        <v>2011</v>
      </c>
      <c r="F626" s="14" t="s">
        <v>9</v>
      </c>
      <c r="G626" s="14" t="s">
        <v>899</v>
      </c>
      <c r="H626" s="14" t="s">
        <v>49</v>
      </c>
      <c r="I626" s="14" t="s">
        <v>900</v>
      </c>
      <c r="K626" s="3"/>
      <c r="M626" s="3"/>
    </row>
    <row r="627" spans="1:13">
      <c r="A627" t="s">
        <v>28</v>
      </c>
      <c r="B627">
        <f ca="1">IF(OR(changes[[#This Row],[Type]]="Checklist",changes[[#This Row],[Type]]="checklist-flat"),1+IF(changes[[#This Row],[Type of change]] = "Edit",COUNTIFS($I$4:changes[[#This Row],[Name]],changes[[#This Row],[Name]], $E$4:changes[[#This Row],[Type of change]], "Edit")),B626)</f>
        <v>1</v>
      </c>
      <c r="C627" s="20">
        <v>44613</v>
      </c>
      <c r="D627" s="14" t="s">
        <v>2025</v>
      </c>
      <c r="E627" s="14" t="s">
        <v>2011</v>
      </c>
      <c r="F627" s="14" t="s">
        <v>9</v>
      </c>
      <c r="G627" s="14" t="s">
        <v>899</v>
      </c>
      <c r="H627" s="14" t="s">
        <v>901</v>
      </c>
      <c r="I627" s="14" t="s">
        <v>902</v>
      </c>
      <c r="K627" s="3"/>
      <c r="M627" s="3"/>
    </row>
    <row r="628" spans="1:13">
      <c r="A628" t="s">
        <v>28</v>
      </c>
      <c r="B628">
        <f ca="1">IF(OR(changes[[#This Row],[Type]]="Checklist",changes[[#This Row],[Type]]="checklist-flat"),1+IF(changes[[#This Row],[Type of change]] = "Edit",COUNTIFS($I$4:changes[[#This Row],[Name]],changes[[#This Row],[Name]], $E$4:changes[[#This Row],[Type of change]], "Edit")),B627)</f>
        <v>1</v>
      </c>
      <c r="C628" s="20">
        <v>44613</v>
      </c>
      <c r="D628" s="14" t="s">
        <v>2025</v>
      </c>
      <c r="E628" s="14" t="s">
        <v>2011</v>
      </c>
      <c r="F628" s="14" t="s">
        <v>9</v>
      </c>
      <c r="G628" s="14" t="s">
        <v>899</v>
      </c>
      <c r="H628" s="14" t="s">
        <v>49</v>
      </c>
      <c r="I628" s="14" t="s">
        <v>903</v>
      </c>
      <c r="K628" s="3"/>
      <c r="M628" s="3"/>
    </row>
    <row r="629" spans="1:13">
      <c r="A629" t="s">
        <v>28</v>
      </c>
      <c r="B629">
        <f ca="1">IF(OR(changes[[#This Row],[Type]]="Checklist",changes[[#This Row],[Type]]="checklist-flat"),1+IF(changes[[#This Row],[Type of change]] = "Edit",COUNTIFS($I$4:changes[[#This Row],[Name]],changes[[#This Row],[Name]], $E$4:changes[[#This Row],[Type of change]], "Edit")),B628)</f>
        <v>1</v>
      </c>
      <c r="C629" s="20">
        <v>44613</v>
      </c>
      <c r="D629" s="14" t="s">
        <v>2025</v>
      </c>
      <c r="E629" s="14" t="s">
        <v>2011</v>
      </c>
      <c r="F629" s="14" t="s">
        <v>9</v>
      </c>
      <c r="G629" s="14" t="s">
        <v>899</v>
      </c>
      <c r="H629" s="14" t="s">
        <v>49</v>
      </c>
      <c r="I629" s="14" t="s">
        <v>904</v>
      </c>
      <c r="K629" s="3"/>
      <c r="M629" s="3"/>
    </row>
    <row r="630" spans="1:13">
      <c r="A630" t="s">
        <v>28</v>
      </c>
      <c r="B630">
        <f ca="1">IF(OR(changes[[#This Row],[Type]]="Checklist",changes[[#This Row],[Type]]="checklist-flat"),1+IF(changes[[#This Row],[Type of change]] = "Edit",COUNTIFS($I$4:changes[[#This Row],[Name]],changes[[#This Row],[Name]], $E$4:changes[[#This Row],[Type of change]], "Edit")),B629)</f>
        <v>1</v>
      </c>
      <c r="C630" s="20">
        <v>44613</v>
      </c>
      <c r="D630" s="14" t="s">
        <v>2025</v>
      </c>
      <c r="E630" s="14" t="s">
        <v>2011</v>
      </c>
      <c r="F630" s="14" t="s">
        <v>9</v>
      </c>
      <c r="G630" s="14" t="s">
        <v>899</v>
      </c>
      <c r="H630" s="14" t="s">
        <v>49</v>
      </c>
      <c r="I630" s="14" t="s">
        <v>905</v>
      </c>
      <c r="K630" s="3"/>
      <c r="M630" s="3"/>
    </row>
    <row r="631" spans="1:13">
      <c r="A631" t="s">
        <v>28</v>
      </c>
      <c r="B631">
        <f ca="1">IF(OR(changes[[#This Row],[Type]]="Checklist",changes[[#This Row],[Type]]="checklist-flat"),1+IF(changes[[#This Row],[Type of change]] = "Edit",COUNTIFS($I$4:changes[[#This Row],[Name]],changes[[#This Row],[Name]], $E$4:changes[[#This Row],[Type of change]], "Edit")),B630)</f>
        <v>1</v>
      </c>
      <c r="C631" s="20">
        <v>44613</v>
      </c>
      <c r="D631" s="14" t="s">
        <v>2025</v>
      </c>
      <c r="E631" s="14" t="s">
        <v>2011</v>
      </c>
      <c r="F631" s="14" t="s">
        <v>9</v>
      </c>
      <c r="G631" s="14" t="s">
        <v>899</v>
      </c>
      <c r="H631" s="14" t="s">
        <v>49</v>
      </c>
      <c r="I631" s="14" t="s">
        <v>906</v>
      </c>
      <c r="K631" s="3"/>
      <c r="M631" s="3"/>
    </row>
    <row r="632" spans="1:13">
      <c r="A632" t="s">
        <v>28</v>
      </c>
      <c r="B632">
        <f ca="1">IF(OR(changes[[#This Row],[Type]]="Checklist",changes[[#This Row],[Type]]="checklist-flat"),1+IF(changes[[#This Row],[Type of change]] = "Edit",COUNTIFS($I$4:changes[[#This Row],[Name]],changes[[#This Row],[Name]], $E$4:changes[[#This Row],[Type of change]], "Edit")),B631)</f>
        <v>1</v>
      </c>
      <c r="C632" s="20">
        <v>44613</v>
      </c>
      <c r="D632" s="14" t="s">
        <v>2025</v>
      </c>
      <c r="E632" s="14" t="s">
        <v>2011</v>
      </c>
      <c r="F632" s="14" t="s">
        <v>9</v>
      </c>
      <c r="G632" s="14" t="s">
        <v>899</v>
      </c>
      <c r="H632" s="14" t="s">
        <v>49</v>
      </c>
      <c r="I632" s="14" t="s">
        <v>907</v>
      </c>
      <c r="K632" s="3"/>
      <c r="M632" s="3"/>
    </row>
    <row r="633" spans="1:13">
      <c r="A633" t="s">
        <v>28</v>
      </c>
      <c r="B633">
        <f ca="1">IF(OR(changes[[#This Row],[Type]]="Checklist",changes[[#This Row],[Type]]="checklist-flat"),1+IF(changes[[#This Row],[Type of change]] = "Edit",COUNTIFS($I$4:changes[[#This Row],[Name]],changes[[#This Row],[Name]], $E$4:changes[[#This Row],[Type of change]], "Edit")),B632)</f>
        <v>1</v>
      </c>
      <c r="C633" s="20">
        <v>44613</v>
      </c>
      <c r="D633" s="14" t="s">
        <v>2025</v>
      </c>
      <c r="E633" s="14" t="s">
        <v>2011</v>
      </c>
      <c r="F633" s="14" t="s">
        <v>9</v>
      </c>
      <c r="G633" s="14" t="s">
        <v>899</v>
      </c>
      <c r="H633" s="14" t="s">
        <v>58</v>
      </c>
      <c r="I633" s="14" t="s">
        <v>908</v>
      </c>
      <c r="K633" s="3"/>
      <c r="M633" s="3"/>
    </row>
    <row r="634" spans="1:13">
      <c r="A634" t="s">
        <v>28</v>
      </c>
      <c r="B634">
        <f ca="1">IF(OR(changes[[#This Row],[Type]]="Checklist",changes[[#This Row],[Type]]="checklist-flat"),1+IF(changes[[#This Row],[Type of change]] = "Edit",COUNTIFS($I$4:changes[[#This Row],[Name]],changes[[#This Row],[Name]], $E$4:changes[[#This Row],[Type of change]], "Edit")),B633)</f>
        <v>1</v>
      </c>
      <c r="C634" s="20">
        <v>44613</v>
      </c>
      <c r="D634" s="14" t="s">
        <v>2025</v>
      </c>
      <c r="E634" s="14" t="s">
        <v>2011</v>
      </c>
      <c r="F634" s="14" t="s">
        <v>9</v>
      </c>
      <c r="G634" s="14" t="s">
        <v>2073</v>
      </c>
      <c r="H634" s="14" t="s">
        <v>119</v>
      </c>
      <c r="I634" s="14" t="s">
        <v>2073</v>
      </c>
      <c r="K634" s="3"/>
      <c r="M634" s="3"/>
    </row>
    <row r="635" spans="1:13">
      <c r="A635" t="s">
        <v>28</v>
      </c>
      <c r="B635">
        <f ca="1">IF(OR(changes[[#This Row],[Type]]="Checklist",changes[[#This Row],[Type]]="checklist-flat"),1+IF(changes[[#This Row],[Type of change]] = "Edit",COUNTIFS($I$4:changes[[#This Row],[Name]],changes[[#This Row],[Name]], $E$4:changes[[#This Row],[Type of change]], "Edit")),B634)</f>
        <v>1</v>
      </c>
      <c r="C635" s="20">
        <v>44613</v>
      </c>
      <c r="D635" s="14" t="s">
        <v>2025</v>
      </c>
      <c r="E635" s="14" t="s">
        <v>2011</v>
      </c>
      <c r="F635" s="14" t="s">
        <v>9</v>
      </c>
      <c r="G635" s="14" t="s">
        <v>2073</v>
      </c>
      <c r="H635" s="14" t="s">
        <v>49</v>
      </c>
      <c r="I635" s="14" t="s">
        <v>910</v>
      </c>
      <c r="K635" s="3"/>
      <c r="M635" s="3"/>
    </row>
    <row r="636" spans="1:13">
      <c r="A636" t="s">
        <v>28</v>
      </c>
      <c r="B636">
        <f ca="1">IF(OR(changes[[#This Row],[Type]]="Checklist",changes[[#This Row],[Type]]="checklist-flat"),1+IF(changes[[#This Row],[Type of change]] = "Edit",COUNTIFS($I$4:changes[[#This Row],[Name]],changes[[#This Row],[Name]], $E$4:changes[[#This Row],[Type of change]], "Edit")),B635)</f>
        <v>1</v>
      </c>
      <c r="C636" s="20">
        <v>44613</v>
      </c>
      <c r="D636" s="14" t="s">
        <v>2025</v>
      </c>
      <c r="E636" s="14" t="s">
        <v>2011</v>
      </c>
      <c r="F636" s="14" t="s">
        <v>9</v>
      </c>
      <c r="G636" s="14" t="s">
        <v>2073</v>
      </c>
      <c r="H636" s="14" t="s">
        <v>49</v>
      </c>
      <c r="I636" s="14" t="s">
        <v>911</v>
      </c>
      <c r="K636" s="3"/>
      <c r="M636" s="3"/>
    </row>
    <row r="637" spans="1:13">
      <c r="A637" t="s">
        <v>28</v>
      </c>
      <c r="B637">
        <f ca="1">IF(OR(changes[[#This Row],[Type]]="Checklist",changes[[#This Row],[Type]]="checklist-flat"),1+IF(changes[[#This Row],[Type of change]] = "Edit",COUNTIFS($I$4:changes[[#This Row],[Name]],changes[[#This Row],[Name]], $E$4:changes[[#This Row],[Type of change]], "Edit")),B636)</f>
        <v>1</v>
      </c>
      <c r="C637" s="20">
        <v>44613</v>
      </c>
      <c r="D637" s="14" t="s">
        <v>2025</v>
      </c>
      <c r="E637" s="14" t="s">
        <v>2011</v>
      </c>
      <c r="F637" s="14" t="s">
        <v>9</v>
      </c>
      <c r="G637" s="14" t="s">
        <v>2073</v>
      </c>
      <c r="H637" s="14" t="s">
        <v>58</v>
      </c>
      <c r="I637" s="14" t="s">
        <v>912</v>
      </c>
      <c r="K637" s="3"/>
      <c r="M637" s="3"/>
    </row>
    <row r="638" spans="1:13">
      <c r="A638" t="s">
        <v>11</v>
      </c>
      <c r="B638">
        <f ca="1">IF(OR(changes[[#This Row],[Type]]="Checklist",changes[[#This Row],[Type]]="checklist-flat"),1+IF(changes[[#This Row],[Type of change]] = "Edit",COUNTIFS($I$4:changes[[#This Row],[Name]],changes[[#This Row],[Name]], $E$4:changes[[#This Row],[Type of change]], "Edit")),B637)</f>
        <v>1</v>
      </c>
      <c r="C638" s="20">
        <v>44613</v>
      </c>
      <c r="D638" s="14" t="s">
        <v>2025</v>
      </c>
      <c r="E638" s="14" t="s">
        <v>2011</v>
      </c>
      <c r="F638" s="14" t="s">
        <v>9</v>
      </c>
      <c r="G638" s="14" t="s">
        <v>2074</v>
      </c>
      <c r="H638" s="14" t="s">
        <v>119</v>
      </c>
      <c r="I638" s="14" t="s">
        <v>2074</v>
      </c>
      <c r="K638" s="3"/>
      <c r="M638" s="3" t="s">
        <v>2075</v>
      </c>
    </row>
    <row r="639" spans="1:13">
      <c r="A639" t="s">
        <v>11</v>
      </c>
      <c r="B639">
        <f ca="1">IF(OR(changes[[#This Row],[Type]]="Checklist",changes[[#This Row],[Type]]="checklist-flat"),1+IF(changes[[#This Row],[Type of change]] = "Edit",COUNTIFS($I$4:changes[[#This Row],[Name]],changes[[#This Row],[Name]], $E$4:changes[[#This Row],[Type of change]], "Edit")),B638)</f>
        <v>1</v>
      </c>
      <c r="C639" s="20">
        <v>44613</v>
      </c>
      <c r="D639" s="14" t="s">
        <v>2025</v>
      </c>
      <c r="E639" s="14" t="s">
        <v>2011</v>
      </c>
      <c r="F639" s="14" t="s">
        <v>9</v>
      </c>
      <c r="G639" s="14" t="s">
        <v>2074</v>
      </c>
      <c r="H639" s="14" t="s">
        <v>49</v>
      </c>
      <c r="I639" s="14" t="s">
        <v>910</v>
      </c>
      <c r="K639" s="3"/>
      <c r="M639" s="3"/>
    </row>
    <row r="640" spans="1:13">
      <c r="A640" t="s">
        <v>11</v>
      </c>
      <c r="B640">
        <f ca="1">IF(OR(changes[[#This Row],[Type]]="Checklist",changes[[#This Row],[Type]]="checklist-flat"),1+IF(changes[[#This Row],[Type of change]] = "Edit",COUNTIFS($I$4:changes[[#This Row],[Name]],changes[[#This Row],[Name]], $E$4:changes[[#This Row],[Type of change]], "Edit")),B639)</f>
        <v>1</v>
      </c>
      <c r="C640" s="20">
        <v>44613</v>
      </c>
      <c r="D640" s="14" t="s">
        <v>2025</v>
      </c>
      <c r="E640" s="14" t="s">
        <v>2011</v>
      </c>
      <c r="F640" s="14" t="s">
        <v>9</v>
      </c>
      <c r="G640" s="14" t="s">
        <v>2074</v>
      </c>
      <c r="H640" s="14" t="s">
        <v>49</v>
      </c>
      <c r="I640" s="14" t="s">
        <v>2076</v>
      </c>
      <c r="K640" s="3"/>
      <c r="M640" s="3"/>
    </row>
    <row r="641" spans="1:13">
      <c r="A641" t="s">
        <v>11</v>
      </c>
      <c r="B641">
        <f ca="1">IF(OR(changes[[#This Row],[Type]]="Checklist",changes[[#This Row],[Type]]="checklist-flat"),1+IF(changes[[#This Row],[Type of change]] = "Edit",COUNTIFS($I$4:changes[[#This Row],[Name]],changes[[#This Row],[Name]], $E$4:changes[[#This Row],[Type of change]], "Edit")),B640)</f>
        <v>1</v>
      </c>
      <c r="C641" s="20">
        <v>44613</v>
      </c>
      <c r="D641" s="14" t="s">
        <v>2025</v>
      </c>
      <c r="E641" s="14" t="s">
        <v>2011</v>
      </c>
      <c r="F641" s="14" t="s">
        <v>9</v>
      </c>
      <c r="G641" s="14" t="s">
        <v>2074</v>
      </c>
      <c r="H641" s="14" t="s">
        <v>49</v>
      </c>
      <c r="I641" s="14" t="s">
        <v>2077</v>
      </c>
      <c r="K641" s="3"/>
      <c r="M641" s="3"/>
    </row>
    <row r="642" spans="1:13">
      <c r="A642" t="s">
        <v>11</v>
      </c>
      <c r="B642">
        <f ca="1">IF(OR(changes[[#This Row],[Type]]="Checklist",changes[[#This Row],[Type]]="checklist-flat"),1+IF(changes[[#This Row],[Type of change]] = "Edit",COUNTIFS($I$4:changes[[#This Row],[Name]],changes[[#This Row],[Name]], $E$4:changes[[#This Row],[Type of change]], "Edit")),B641)</f>
        <v>1</v>
      </c>
      <c r="C642" s="20">
        <v>44613</v>
      </c>
      <c r="D642" s="14" t="s">
        <v>2025</v>
      </c>
      <c r="E642" s="14" t="s">
        <v>2011</v>
      </c>
      <c r="F642" s="14" t="s">
        <v>9</v>
      </c>
      <c r="G642" s="14" t="s">
        <v>2074</v>
      </c>
      <c r="H642" s="14" t="s">
        <v>49</v>
      </c>
      <c r="I642" s="14" t="s">
        <v>2078</v>
      </c>
      <c r="K642" s="3"/>
      <c r="M642" s="3"/>
    </row>
    <row r="643" spans="1:13">
      <c r="A643" t="s">
        <v>11</v>
      </c>
      <c r="B643">
        <f ca="1">IF(OR(changes[[#This Row],[Type]]="Checklist",changes[[#This Row],[Type]]="checklist-flat"),1+IF(changes[[#This Row],[Type of change]] = "Edit",COUNTIFS($I$4:changes[[#This Row],[Name]],changes[[#This Row],[Name]], $E$4:changes[[#This Row],[Type of change]], "Edit")),B642)</f>
        <v>1</v>
      </c>
      <c r="C643" s="20">
        <v>44613</v>
      </c>
      <c r="D643" s="14" t="s">
        <v>2025</v>
      </c>
      <c r="E643" s="14" t="s">
        <v>2011</v>
      </c>
      <c r="F643" s="14" t="s">
        <v>9</v>
      </c>
      <c r="G643" s="14" t="s">
        <v>2074</v>
      </c>
      <c r="H643" s="14" t="s">
        <v>49</v>
      </c>
      <c r="I643" s="14" t="s">
        <v>2079</v>
      </c>
      <c r="K643" s="3"/>
      <c r="M643" s="3"/>
    </row>
    <row r="644" spans="1:13">
      <c r="A644" t="s">
        <v>11</v>
      </c>
      <c r="B644">
        <f ca="1">IF(OR(changes[[#This Row],[Type]]="Checklist",changes[[#This Row],[Type]]="checklist-flat"),1+IF(changes[[#This Row],[Type of change]] = "Edit",COUNTIFS($I$4:changes[[#This Row],[Name]],changes[[#This Row],[Name]], $E$4:changes[[#This Row],[Type of change]], "Edit")),B643)</f>
        <v>1</v>
      </c>
      <c r="C644" s="20">
        <v>44613</v>
      </c>
      <c r="D644" s="14" t="s">
        <v>2025</v>
      </c>
      <c r="E644" s="14" t="s">
        <v>2011</v>
      </c>
      <c r="F644" s="14" t="s">
        <v>9</v>
      </c>
      <c r="G644" s="14" t="s">
        <v>2074</v>
      </c>
      <c r="H644" s="14" t="s">
        <v>58</v>
      </c>
      <c r="I644" s="14" t="s">
        <v>912</v>
      </c>
      <c r="K644" s="3"/>
      <c r="M644" s="3"/>
    </row>
    <row r="645" spans="1:13">
      <c r="A645" t="s">
        <v>28</v>
      </c>
      <c r="B645">
        <f ca="1">IF(OR(changes[[#This Row],[Type]]="Checklist",changes[[#This Row],[Type]]="checklist-flat"),1+IF(changes[[#This Row],[Type of change]] = "Edit",COUNTIFS($I$4:changes[[#This Row],[Name]],changes[[#This Row],[Name]], $E$4:changes[[#This Row],[Type of change]], "Edit")),B644)</f>
        <v>1</v>
      </c>
      <c r="C645" s="20">
        <v>44613</v>
      </c>
      <c r="D645" s="14" t="s">
        <v>2025</v>
      </c>
      <c r="E645" s="14" t="s">
        <v>2011</v>
      </c>
      <c r="F645" s="14" t="s">
        <v>9</v>
      </c>
      <c r="G645" s="14" t="s">
        <v>2080</v>
      </c>
      <c r="H645" s="14" t="s">
        <v>119</v>
      </c>
      <c r="I645" s="14" t="s">
        <v>2080</v>
      </c>
      <c r="K645" s="3"/>
      <c r="M645" s="3"/>
    </row>
    <row r="646" spans="1:13">
      <c r="A646" t="s">
        <v>28</v>
      </c>
      <c r="B646">
        <f ca="1">IF(OR(changes[[#This Row],[Type]]="Checklist",changes[[#This Row],[Type]]="checklist-flat"),1+IF(changes[[#This Row],[Type of change]] = "Edit",COUNTIFS($I$4:changes[[#This Row],[Name]],changes[[#This Row],[Name]], $E$4:changes[[#This Row],[Type of change]], "Edit")),B645)</f>
        <v>1</v>
      </c>
      <c r="C646" s="20">
        <v>44613</v>
      </c>
      <c r="D646" s="14" t="s">
        <v>2025</v>
      </c>
      <c r="E646" s="14" t="s">
        <v>2011</v>
      </c>
      <c r="F646" s="14" t="s">
        <v>9</v>
      </c>
      <c r="G646" s="14" t="s">
        <v>2080</v>
      </c>
      <c r="H646" s="14" t="s">
        <v>49</v>
      </c>
      <c r="I646" s="14" t="s">
        <v>914</v>
      </c>
      <c r="K646" s="3"/>
      <c r="M646" s="3"/>
    </row>
    <row r="647" spans="1:13">
      <c r="A647" t="s">
        <v>28</v>
      </c>
      <c r="B647">
        <f ca="1">IF(OR(changes[[#This Row],[Type]]="Checklist",changes[[#This Row],[Type]]="checklist-flat"),1+IF(changes[[#This Row],[Type of change]] = "Edit",COUNTIFS($I$4:changes[[#This Row],[Name]],changes[[#This Row],[Name]], $E$4:changes[[#This Row],[Type of change]], "Edit")),B646)</f>
        <v>1</v>
      </c>
      <c r="C647" s="20">
        <v>44613</v>
      </c>
      <c r="D647" s="14" t="s">
        <v>2025</v>
      </c>
      <c r="E647" s="14" t="s">
        <v>2011</v>
      </c>
      <c r="F647" s="14" t="s">
        <v>9</v>
      </c>
      <c r="G647" s="14" t="s">
        <v>2080</v>
      </c>
      <c r="H647" s="14" t="s">
        <v>49</v>
      </c>
      <c r="I647" s="14" t="s">
        <v>915</v>
      </c>
      <c r="K647" s="3"/>
      <c r="M647" s="3"/>
    </row>
    <row r="648" spans="1:13" ht="15" customHeight="1">
      <c r="A648" t="s">
        <v>28</v>
      </c>
      <c r="B648">
        <f ca="1">IF(OR(changes[[#This Row],[Type]]="Checklist",changes[[#This Row],[Type]]="checklist-flat"),1+IF(changes[[#This Row],[Type of change]] = "Edit",COUNTIFS($I$4:changes[[#This Row],[Name]],changes[[#This Row],[Name]], $E$4:changes[[#This Row],[Type of change]], "Edit")),B647)</f>
        <v>1</v>
      </c>
      <c r="C648" s="20">
        <v>44613</v>
      </c>
      <c r="D648" s="14" t="s">
        <v>2025</v>
      </c>
      <c r="E648" s="14" t="s">
        <v>2011</v>
      </c>
      <c r="F648" s="14" t="s">
        <v>9</v>
      </c>
      <c r="G648" s="14" t="s">
        <v>2080</v>
      </c>
      <c r="H648" s="14" t="s">
        <v>58</v>
      </c>
      <c r="I648" s="14" t="s">
        <v>912</v>
      </c>
      <c r="K648" s="3"/>
      <c r="M648" s="3"/>
    </row>
    <row r="649" spans="1:13">
      <c r="A649" t="s">
        <v>28</v>
      </c>
      <c r="B649">
        <f ca="1">IF(OR(changes[[#This Row],[Type]]="Checklist",changes[[#This Row],[Type]]="checklist-flat"),1+IF(changes[[#This Row],[Type of change]] = "Edit",COUNTIFS($I$4:changes[[#This Row],[Name]],changes[[#This Row],[Name]], $E$4:changes[[#This Row],[Type of change]], "Edit")),B648)</f>
        <v>1</v>
      </c>
      <c r="C649" s="20">
        <v>44614</v>
      </c>
      <c r="D649" s="14" t="s">
        <v>2024</v>
      </c>
      <c r="E649" s="14" t="s">
        <v>2011</v>
      </c>
      <c r="F649" s="14" t="s">
        <v>1998</v>
      </c>
      <c r="G649" s="14" t="s">
        <v>1635</v>
      </c>
      <c r="H649" s="14" t="s">
        <v>119</v>
      </c>
      <c r="I649" s="14" t="s">
        <v>1635</v>
      </c>
      <c r="K649" s="3"/>
      <c r="M649" t="s">
        <v>2081</v>
      </c>
    </row>
    <row r="650" spans="1:13">
      <c r="A650" t="s">
        <v>28</v>
      </c>
      <c r="B650">
        <f ca="1">IF(OR(changes[[#This Row],[Type]]="Checklist",changes[[#This Row],[Type]]="checklist-flat"),1+IF(changes[[#This Row],[Type of change]] = "Edit",COUNTIFS($I$4:changes[[#This Row],[Name]],changes[[#This Row],[Name]], $E$4:changes[[#This Row],[Type of change]], "Edit")),B649)</f>
        <v>1</v>
      </c>
      <c r="C650" s="20">
        <v>44614</v>
      </c>
      <c r="D650" s="14" t="s">
        <v>2024</v>
      </c>
      <c r="E650" s="14" t="s">
        <v>2011</v>
      </c>
      <c r="F650" s="14" t="s">
        <v>1998</v>
      </c>
      <c r="G650" s="14" t="s">
        <v>1635</v>
      </c>
      <c r="H650" s="14" t="s">
        <v>831</v>
      </c>
      <c r="I650" s="14" t="s">
        <v>1636</v>
      </c>
      <c r="K650" s="3"/>
      <c r="M650" s="3"/>
    </row>
    <row r="651" spans="1:13">
      <c r="A651" t="s">
        <v>28</v>
      </c>
      <c r="B651">
        <f ca="1">IF(OR(changes[[#This Row],[Type]]="Checklist",changes[[#This Row],[Type]]="checklist-flat"),1+IF(changes[[#This Row],[Type of change]] = "Edit",COUNTIFS($I$4:changes[[#This Row],[Name]],changes[[#This Row],[Name]], $E$4:changes[[#This Row],[Type of change]], "Edit")),B650)</f>
        <v>1</v>
      </c>
      <c r="C651" s="20">
        <v>44614</v>
      </c>
      <c r="D651" s="14" t="s">
        <v>2024</v>
      </c>
      <c r="E651" s="14" t="s">
        <v>2011</v>
      </c>
      <c r="F651" s="14" t="s">
        <v>1998</v>
      </c>
      <c r="G651" s="14" t="s">
        <v>1635</v>
      </c>
      <c r="H651" s="14" t="s">
        <v>831</v>
      </c>
      <c r="I651" s="14" t="s">
        <v>1637</v>
      </c>
      <c r="K651" s="3"/>
      <c r="M651" s="3"/>
    </row>
    <row r="652" spans="1:13">
      <c r="A652" t="s">
        <v>28</v>
      </c>
      <c r="B652">
        <f ca="1">IF(OR(changes[[#This Row],[Type]]="Checklist",changes[[#This Row],[Type]]="checklist-flat"),1+IF(changes[[#This Row],[Type of change]] = "Edit",COUNTIFS($I$4:changes[[#This Row],[Name]],changes[[#This Row],[Name]], $E$4:changes[[#This Row],[Type of change]], "Edit")),B651)</f>
        <v>1</v>
      </c>
      <c r="C652" s="20">
        <v>44614</v>
      </c>
      <c r="D652" s="14" t="s">
        <v>2024</v>
      </c>
      <c r="E652" s="14" t="s">
        <v>2011</v>
      </c>
      <c r="F652" s="14" t="s">
        <v>1998</v>
      </c>
      <c r="G652" s="14" t="s">
        <v>1635</v>
      </c>
      <c r="H652" s="14" t="s">
        <v>831</v>
      </c>
      <c r="I652" s="14" t="s">
        <v>1638</v>
      </c>
      <c r="K652" s="3"/>
      <c r="M652" s="3"/>
    </row>
    <row r="653" spans="1:13">
      <c r="A653" t="s">
        <v>28</v>
      </c>
      <c r="B653">
        <f ca="1">IF(OR(changes[[#This Row],[Type]]="Checklist",changes[[#This Row],[Type]]="checklist-flat"),1+IF(changes[[#This Row],[Type of change]] = "Edit",COUNTIFS($I$4:changes[[#This Row],[Name]],changes[[#This Row],[Name]], $E$4:changes[[#This Row],[Type of change]], "Edit")),B652)</f>
        <v>1</v>
      </c>
      <c r="C653" s="20">
        <v>44614</v>
      </c>
      <c r="D653" s="14" t="s">
        <v>2024</v>
      </c>
      <c r="E653" s="14" t="s">
        <v>2011</v>
      </c>
      <c r="F653" s="14" t="s">
        <v>1998</v>
      </c>
      <c r="G653" s="14" t="s">
        <v>1635</v>
      </c>
      <c r="H653" s="14" t="s">
        <v>831</v>
      </c>
      <c r="I653" s="14" t="s">
        <v>1639</v>
      </c>
      <c r="K653" s="3"/>
      <c r="M653" s="3"/>
    </row>
    <row r="654" spans="1:13">
      <c r="A654" t="s">
        <v>28</v>
      </c>
      <c r="B654">
        <f ca="1">IF(OR(changes[[#This Row],[Type]]="Checklist",changes[[#This Row],[Type]]="checklist-flat"),1+IF(changes[[#This Row],[Type of change]] = "Edit",COUNTIFS($I$4:changes[[#This Row],[Name]],changes[[#This Row],[Name]], $E$4:changes[[#This Row],[Type of change]], "Edit")),B653)</f>
        <v>1</v>
      </c>
      <c r="C654" s="20">
        <v>44614</v>
      </c>
      <c r="D654" s="14" t="s">
        <v>2024</v>
      </c>
      <c r="E654" s="14" t="s">
        <v>2011</v>
      </c>
      <c r="F654" s="14" t="s">
        <v>1998</v>
      </c>
      <c r="G654" s="14" t="s">
        <v>1635</v>
      </c>
      <c r="H654" s="14" t="s">
        <v>831</v>
      </c>
      <c r="I654" s="14" t="s">
        <v>1640</v>
      </c>
      <c r="K654" s="3"/>
      <c r="M654" s="3"/>
    </row>
    <row r="655" spans="1:13">
      <c r="A655" t="s">
        <v>28</v>
      </c>
      <c r="B655">
        <f ca="1">IF(OR(changes[[#This Row],[Type]]="Checklist",changes[[#This Row],[Type]]="checklist-flat"),1+IF(changes[[#This Row],[Type of change]] = "Edit",COUNTIFS($I$4:changes[[#This Row],[Name]],changes[[#This Row],[Name]], $E$4:changes[[#This Row],[Type of change]], "Edit")),B654)</f>
        <v>1</v>
      </c>
      <c r="C655" s="20">
        <v>44614</v>
      </c>
      <c r="D655" s="14" t="s">
        <v>2082</v>
      </c>
      <c r="E655" s="14" t="s">
        <v>2011</v>
      </c>
      <c r="F655" s="14" t="s">
        <v>9</v>
      </c>
      <c r="G655" s="14" t="s">
        <v>2083</v>
      </c>
      <c r="H655" s="14" t="s">
        <v>119</v>
      </c>
      <c r="I655" s="14" t="s">
        <v>2083</v>
      </c>
      <c r="K655" s="3"/>
      <c r="M655" s="3"/>
    </row>
    <row r="656" spans="1:13">
      <c r="A656" t="s">
        <v>28</v>
      </c>
      <c r="B656">
        <f ca="1">IF(OR(changes[[#This Row],[Type]]="Checklist",changes[[#This Row],[Type]]="checklist-flat"),1+IF(changes[[#This Row],[Type of change]] = "Edit",COUNTIFS($I$4:changes[[#This Row],[Name]],changes[[#This Row],[Name]], $E$4:changes[[#This Row],[Type of change]], "Edit")),B655)</f>
        <v>1</v>
      </c>
      <c r="C656" s="20">
        <v>44614</v>
      </c>
      <c r="D656" s="14" t="s">
        <v>2082</v>
      </c>
      <c r="E656" s="14" t="s">
        <v>2011</v>
      </c>
      <c r="F656" s="14" t="s">
        <v>9</v>
      </c>
      <c r="G656" s="14" t="s">
        <v>2083</v>
      </c>
      <c r="H656" s="14" t="s">
        <v>120</v>
      </c>
      <c r="I656" s="14" t="s">
        <v>917</v>
      </c>
      <c r="K656" s="3"/>
      <c r="M656" s="3"/>
    </row>
    <row r="657" spans="1:13">
      <c r="A657" t="s">
        <v>28</v>
      </c>
      <c r="B657">
        <f ca="1">IF(OR(changes[[#This Row],[Type]]="Checklist",changes[[#This Row],[Type]]="checklist-flat"),1+IF(changes[[#This Row],[Type of change]] = "Edit",COUNTIFS($I$4:changes[[#This Row],[Name]],changes[[#This Row],[Name]], $E$4:changes[[#This Row],[Type of change]], "Edit")),B656)</f>
        <v>1</v>
      </c>
      <c r="C657" s="20">
        <v>44614</v>
      </c>
      <c r="D657" s="14" t="s">
        <v>2082</v>
      </c>
      <c r="E657" s="14" t="s">
        <v>2011</v>
      </c>
      <c r="F657" s="14" t="s">
        <v>9</v>
      </c>
      <c r="G657" s="14" t="s">
        <v>2083</v>
      </c>
      <c r="H657" s="14" t="s">
        <v>49</v>
      </c>
      <c r="I657" s="14" t="s">
        <v>918</v>
      </c>
      <c r="K657" s="3"/>
      <c r="M657" s="3"/>
    </row>
    <row r="658" spans="1:13">
      <c r="A658" t="s">
        <v>28</v>
      </c>
      <c r="B658">
        <f ca="1">IF(OR(changes[[#This Row],[Type]]="Checklist",changes[[#This Row],[Type]]="checklist-flat"),1+IF(changes[[#This Row],[Type of change]] = "Edit",COUNTIFS($I$4:changes[[#This Row],[Name]],changes[[#This Row],[Name]], $E$4:changes[[#This Row],[Type of change]], "Edit")),B657)</f>
        <v>1</v>
      </c>
      <c r="C658" s="20">
        <v>44614</v>
      </c>
      <c r="D658" s="14" t="s">
        <v>2082</v>
      </c>
      <c r="E658" s="14" t="s">
        <v>2011</v>
      </c>
      <c r="F658" s="14" t="s">
        <v>9</v>
      </c>
      <c r="G658" s="14" t="s">
        <v>2083</v>
      </c>
      <c r="H658" s="14" t="s">
        <v>49</v>
      </c>
      <c r="I658" s="14" t="s">
        <v>919</v>
      </c>
      <c r="K658" s="3"/>
      <c r="M658" s="3"/>
    </row>
    <row r="659" spans="1:13">
      <c r="A659" t="s">
        <v>28</v>
      </c>
      <c r="B659">
        <f ca="1">IF(OR(changes[[#This Row],[Type]]="Checklist",changes[[#This Row],[Type]]="checklist-flat"),1+IF(changes[[#This Row],[Type of change]] = "Edit",COUNTIFS($I$4:changes[[#This Row],[Name]],changes[[#This Row],[Name]], $E$4:changes[[#This Row],[Type of change]], "Edit")),B658)</f>
        <v>1</v>
      </c>
      <c r="C659" s="20">
        <v>44614</v>
      </c>
      <c r="D659" s="14" t="s">
        <v>2082</v>
      </c>
      <c r="E659" s="14" t="s">
        <v>2011</v>
      </c>
      <c r="F659" s="14" t="s">
        <v>9</v>
      </c>
      <c r="G659" s="14" t="s">
        <v>2083</v>
      </c>
      <c r="H659" s="14" t="s">
        <v>120</v>
      </c>
      <c r="I659" s="14" t="s">
        <v>920</v>
      </c>
      <c r="K659" s="3"/>
      <c r="M659" s="3"/>
    </row>
    <row r="660" spans="1:13">
      <c r="A660" t="s">
        <v>28</v>
      </c>
      <c r="B660">
        <f ca="1">IF(OR(changes[[#This Row],[Type]]="Checklist",changes[[#This Row],[Type]]="checklist-flat"),1+IF(changes[[#This Row],[Type of change]] = "Edit",COUNTIFS($I$4:changes[[#This Row],[Name]],changes[[#This Row],[Name]], $E$4:changes[[#This Row],[Type of change]], "Edit")),B659)</f>
        <v>1</v>
      </c>
      <c r="C660" s="20">
        <v>44614</v>
      </c>
      <c r="D660" s="14" t="s">
        <v>2082</v>
      </c>
      <c r="E660" s="14" t="s">
        <v>2011</v>
      </c>
      <c r="F660" s="14" t="s">
        <v>9</v>
      </c>
      <c r="G660" s="14" t="s">
        <v>2083</v>
      </c>
      <c r="H660" s="14" t="s">
        <v>49</v>
      </c>
      <c r="I660" s="14" t="s">
        <v>921</v>
      </c>
      <c r="K660" s="3"/>
      <c r="M660" s="3"/>
    </row>
    <row r="661" spans="1:13">
      <c r="A661" t="s">
        <v>28</v>
      </c>
      <c r="B661">
        <f ca="1">IF(OR(changes[[#This Row],[Type]]="Checklist",changes[[#This Row],[Type]]="checklist-flat"),1+IF(changes[[#This Row],[Type of change]] = "Edit",COUNTIFS($I$4:changes[[#This Row],[Name]],changes[[#This Row],[Name]], $E$4:changes[[#This Row],[Type of change]], "Edit")),B660)</f>
        <v>1</v>
      </c>
      <c r="C661" s="20">
        <v>44614</v>
      </c>
      <c r="D661" s="14" t="s">
        <v>2082</v>
      </c>
      <c r="E661" s="14" t="s">
        <v>2011</v>
      </c>
      <c r="F661" s="14" t="s">
        <v>9</v>
      </c>
      <c r="G661" s="14" t="s">
        <v>2083</v>
      </c>
      <c r="H661" s="14" t="s">
        <v>49</v>
      </c>
      <c r="I661" s="14" t="s">
        <v>918</v>
      </c>
      <c r="K661" s="3"/>
      <c r="M661" s="3"/>
    </row>
    <row r="662" spans="1:13">
      <c r="A662" t="s">
        <v>28</v>
      </c>
      <c r="B662">
        <f ca="1">IF(OR(changes[[#This Row],[Type]]="Checklist",changes[[#This Row],[Type]]="checklist-flat"),1+IF(changes[[#This Row],[Type of change]] = "Edit",COUNTIFS($I$4:changes[[#This Row],[Name]],changes[[#This Row],[Name]], $E$4:changes[[#This Row],[Type of change]], "Edit")),B661)</f>
        <v>1</v>
      </c>
      <c r="C662" s="20">
        <v>44614</v>
      </c>
      <c r="D662" s="14" t="s">
        <v>2082</v>
      </c>
      <c r="E662" s="14" t="s">
        <v>2011</v>
      </c>
      <c r="F662" s="14" t="s">
        <v>9</v>
      </c>
      <c r="G662" s="14" t="s">
        <v>2083</v>
      </c>
      <c r="H662" s="14" t="s">
        <v>49</v>
      </c>
      <c r="I662" s="14" t="s">
        <v>922</v>
      </c>
      <c r="K662" s="3"/>
      <c r="M662" s="3"/>
    </row>
    <row r="663" spans="1:13">
      <c r="A663" t="s">
        <v>28</v>
      </c>
      <c r="B663">
        <f ca="1">IF(OR(changes[[#This Row],[Type]]="Checklist",changes[[#This Row],[Type]]="checklist-flat"),1+IF(changes[[#This Row],[Type of change]] = "Edit",COUNTIFS($I$4:changes[[#This Row],[Name]],changes[[#This Row],[Name]], $E$4:changes[[#This Row],[Type of change]], "Edit")),B662)</f>
        <v>1</v>
      </c>
      <c r="C663" s="20">
        <v>44614</v>
      </c>
      <c r="D663" s="14" t="s">
        <v>2082</v>
      </c>
      <c r="E663" s="14" t="s">
        <v>2011</v>
      </c>
      <c r="F663" s="14" t="s">
        <v>9</v>
      </c>
      <c r="G663" s="14" t="s">
        <v>2083</v>
      </c>
      <c r="H663" s="14" t="s">
        <v>49</v>
      </c>
      <c r="I663" s="14" t="s">
        <v>923</v>
      </c>
      <c r="K663" s="3"/>
      <c r="M663" s="3"/>
    </row>
    <row r="664" spans="1:13">
      <c r="A664" t="s">
        <v>28</v>
      </c>
      <c r="B664">
        <f ca="1">IF(OR(changes[[#This Row],[Type]]="Checklist",changes[[#This Row],[Type]]="checklist-flat"),1+IF(changes[[#This Row],[Type of change]] = "Edit",COUNTIFS($I$4:changes[[#This Row],[Name]],changes[[#This Row],[Name]], $E$4:changes[[#This Row],[Type of change]], "Edit")),B663)</f>
        <v>1</v>
      </c>
      <c r="C664" s="20">
        <v>44614</v>
      </c>
      <c r="D664" s="14" t="s">
        <v>2082</v>
      </c>
      <c r="E664" s="14" t="s">
        <v>2011</v>
      </c>
      <c r="F664" s="14" t="s">
        <v>9</v>
      </c>
      <c r="G664" s="14" t="s">
        <v>2083</v>
      </c>
      <c r="H664" s="14" t="s">
        <v>49</v>
      </c>
      <c r="I664" s="14" t="s">
        <v>924</v>
      </c>
      <c r="K664" s="3"/>
      <c r="M664" s="3"/>
    </row>
    <row r="665" spans="1:13">
      <c r="A665" t="s">
        <v>28</v>
      </c>
      <c r="B665">
        <f ca="1">IF(OR(changes[[#This Row],[Type]]="Checklist",changes[[#This Row],[Type]]="checklist-flat"),1+IF(changes[[#This Row],[Type of change]] = "Edit",COUNTIFS($I$4:changes[[#This Row],[Name]],changes[[#This Row],[Name]], $E$4:changes[[#This Row],[Type of change]], "Edit")),B664)</f>
        <v>1</v>
      </c>
      <c r="C665" s="20">
        <v>44614</v>
      </c>
      <c r="D665" s="14" t="s">
        <v>2082</v>
      </c>
      <c r="E665" s="14" t="s">
        <v>2011</v>
      </c>
      <c r="F665" s="14" t="s">
        <v>9</v>
      </c>
      <c r="G665" s="14" t="s">
        <v>2083</v>
      </c>
      <c r="H665" s="14" t="s">
        <v>49</v>
      </c>
      <c r="I665" s="14" t="s">
        <v>925</v>
      </c>
      <c r="K665" s="3"/>
      <c r="M665" s="3"/>
    </row>
    <row r="666" spans="1:13">
      <c r="A666" t="s">
        <v>28</v>
      </c>
      <c r="B666">
        <f ca="1">IF(OR(changes[[#This Row],[Type]]="Checklist",changes[[#This Row],[Type]]="checklist-flat"),1+IF(changes[[#This Row],[Type of change]] = "Edit",COUNTIFS($I$4:changes[[#This Row],[Name]],changes[[#This Row],[Name]], $E$4:changes[[#This Row],[Type of change]], "Edit")),B665)</f>
        <v>1</v>
      </c>
      <c r="C666" s="20">
        <v>44614</v>
      </c>
      <c r="D666" s="14" t="s">
        <v>2082</v>
      </c>
      <c r="E666" s="14" t="s">
        <v>2011</v>
      </c>
      <c r="F666" s="14" t="s">
        <v>9</v>
      </c>
      <c r="G666" s="14" t="s">
        <v>2083</v>
      </c>
      <c r="H666" s="14" t="s">
        <v>49</v>
      </c>
      <c r="I666" s="14" t="s">
        <v>926</v>
      </c>
      <c r="K666" s="3"/>
      <c r="M666" s="3"/>
    </row>
    <row r="667" spans="1:13">
      <c r="A667" t="s">
        <v>28</v>
      </c>
      <c r="B667">
        <f ca="1">IF(OR(changes[[#This Row],[Type]]="Checklist",changes[[#This Row],[Type]]="checklist-flat"),1+IF(changes[[#This Row],[Type of change]] = "Edit",COUNTIFS($I$4:changes[[#This Row],[Name]],changes[[#This Row],[Name]], $E$4:changes[[#This Row],[Type of change]], "Edit")),B666)</f>
        <v>1</v>
      </c>
      <c r="C667" s="20">
        <v>44614</v>
      </c>
      <c r="D667" s="14" t="s">
        <v>2082</v>
      </c>
      <c r="E667" s="14" t="s">
        <v>2011</v>
      </c>
      <c r="F667" s="14" t="s">
        <v>9</v>
      </c>
      <c r="G667" s="14" t="s">
        <v>2083</v>
      </c>
      <c r="H667" s="14" t="s">
        <v>49</v>
      </c>
      <c r="I667" s="14" t="s">
        <v>927</v>
      </c>
      <c r="K667" s="3"/>
      <c r="M667" s="3"/>
    </row>
    <row r="668" spans="1:13">
      <c r="A668" t="s">
        <v>28</v>
      </c>
      <c r="B668">
        <f ca="1">IF(OR(changes[[#This Row],[Type]]="Checklist",changes[[#This Row],[Type]]="checklist-flat"),1+IF(changes[[#This Row],[Type of change]] = "Edit",COUNTIFS($I$4:changes[[#This Row],[Name]],changes[[#This Row],[Name]], $E$4:changes[[#This Row],[Type of change]], "Edit")),B667)</f>
        <v>1</v>
      </c>
      <c r="C668" s="20">
        <v>44614</v>
      </c>
      <c r="D668" s="14" t="s">
        <v>2082</v>
      </c>
      <c r="E668" s="14" t="s">
        <v>2011</v>
      </c>
      <c r="F668" s="14" t="s">
        <v>9</v>
      </c>
      <c r="G668" s="14" t="s">
        <v>2083</v>
      </c>
      <c r="H668" s="14" t="s">
        <v>120</v>
      </c>
      <c r="I668" s="14" t="s">
        <v>928</v>
      </c>
      <c r="K668" s="3"/>
      <c r="M668" s="3"/>
    </row>
    <row r="669" spans="1:13">
      <c r="A669" t="s">
        <v>28</v>
      </c>
      <c r="B669">
        <f ca="1">IF(OR(changes[[#This Row],[Type]]="Checklist",changes[[#This Row],[Type]]="checklist-flat"),1+IF(changes[[#This Row],[Type of change]] = "Edit",COUNTIFS($I$4:changes[[#This Row],[Name]],changes[[#This Row],[Name]], $E$4:changes[[#This Row],[Type of change]], "Edit")),B668)</f>
        <v>1</v>
      </c>
      <c r="C669" s="20">
        <v>44614</v>
      </c>
      <c r="D669" s="14" t="s">
        <v>2082</v>
      </c>
      <c r="E669" s="14" t="s">
        <v>2011</v>
      </c>
      <c r="F669" s="14" t="s">
        <v>9</v>
      </c>
      <c r="G669" s="14" t="s">
        <v>2083</v>
      </c>
      <c r="H669" s="14" t="s">
        <v>49</v>
      </c>
      <c r="I669" s="14" t="s">
        <v>929</v>
      </c>
      <c r="K669" s="3"/>
      <c r="M669" s="3"/>
    </row>
    <row r="670" spans="1:13">
      <c r="A670" t="s">
        <v>28</v>
      </c>
      <c r="B670">
        <f ca="1">IF(OR(changes[[#This Row],[Type]]="Checklist",changes[[#This Row],[Type]]="checklist-flat"),1+IF(changes[[#This Row],[Type of change]] = "Edit",COUNTIFS($I$4:changes[[#This Row],[Name]],changes[[#This Row],[Name]], $E$4:changes[[#This Row],[Type of change]], "Edit")),B669)</f>
        <v>1</v>
      </c>
      <c r="C670" s="20">
        <v>44614</v>
      </c>
      <c r="D670" s="14" t="s">
        <v>2082</v>
      </c>
      <c r="E670" s="14" t="s">
        <v>2011</v>
      </c>
      <c r="F670" s="14" t="s">
        <v>9</v>
      </c>
      <c r="G670" s="14" t="s">
        <v>2083</v>
      </c>
      <c r="H670" s="14" t="s">
        <v>49</v>
      </c>
      <c r="I670" s="14" t="s">
        <v>930</v>
      </c>
      <c r="K670" s="3"/>
      <c r="M670" s="3"/>
    </row>
    <row r="671" spans="1:13">
      <c r="A671" t="s">
        <v>28</v>
      </c>
      <c r="B671">
        <f ca="1">IF(OR(changes[[#This Row],[Type]]="Checklist",changes[[#This Row],[Type]]="checklist-flat"),1+IF(changes[[#This Row],[Type of change]] = "Edit",COUNTIFS($I$4:changes[[#This Row],[Name]],changes[[#This Row],[Name]], $E$4:changes[[#This Row],[Type of change]], "Edit")),B670)</f>
        <v>1</v>
      </c>
      <c r="C671" s="20">
        <v>44614</v>
      </c>
      <c r="D671" s="14" t="s">
        <v>2082</v>
      </c>
      <c r="E671" s="14" t="s">
        <v>2011</v>
      </c>
      <c r="F671" s="14" t="s">
        <v>9</v>
      </c>
      <c r="G671" s="14" t="s">
        <v>2083</v>
      </c>
      <c r="H671" s="14" t="s">
        <v>120</v>
      </c>
      <c r="I671" s="14" t="s">
        <v>931</v>
      </c>
      <c r="K671" s="3"/>
      <c r="M671" s="3"/>
    </row>
    <row r="672" spans="1:13">
      <c r="A672" t="s">
        <v>28</v>
      </c>
      <c r="B672">
        <f ca="1">IF(OR(changes[[#This Row],[Type]]="Checklist",changes[[#This Row],[Type]]="checklist-flat"),1+IF(changes[[#This Row],[Type of change]] = "Edit",COUNTIFS($I$4:changes[[#This Row],[Name]],changes[[#This Row],[Name]], $E$4:changes[[#This Row],[Type of change]], "Edit")),B671)</f>
        <v>1</v>
      </c>
      <c r="C672" s="20">
        <v>44614</v>
      </c>
      <c r="D672" s="14" t="s">
        <v>2082</v>
      </c>
      <c r="E672" s="14" t="s">
        <v>2011</v>
      </c>
      <c r="F672" s="14" t="s">
        <v>9</v>
      </c>
      <c r="G672" s="14" t="s">
        <v>2083</v>
      </c>
      <c r="H672" s="14" t="s">
        <v>49</v>
      </c>
      <c r="I672" s="14" t="s">
        <v>932</v>
      </c>
      <c r="K672" s="3"/>
      <c r="M672" s="3"/>
    </row>
    <row r="673" spans="1:13">
      <c r="A673" t="s">
        <v>11</v>
      </c>
      <c r="B673">
        <f ca="1">IF(OR(changes[[#This Row],[Type]]="Checklist",changes[[#This Row],[Type]]="checklist-flat"),1+IF(changes[[#This Row],[Type of change]] = "Edit",COUNTIFS($I$4:changes[[#This Row],[Name]],changes[[#This Row],[Name]], $E$4:changes[[#This Row],[Type of change]], "Edit")),B672)</f>
        <v>1</v>
      </c>
      <c r="C673" s="20">
        <v>44615</v>
      </c>
      <c r="D673" s="2" t="s">
        <v>2024</v>
      </c>
      <c r="E673" t="s">
        <v>2011</v>
      </c>
      <c r="F673" s="14" t="s">
        <v>9</v>
      </c>
      <c r="G673" t="s">
        <v>2084</v>
      </c>
      <c r="H673" t="s">
        <v>119</v>
      </c>
      <c r="I673" t="s">
        <v>2085</v>
      </c>
      <c r="K673" s="3"/>
      <c r="M673" t="s">
        <v>2086</v>
      </c>
    </row>
    <row r="674" spans="1:13">
      <c r="A674" t="s">
        <v>11</v>
      </c>
      <c r="B674">
        <f ca="1">IF(OR(changes[[#This Row],[Type]]="Checklist",changes[[#This Row],[Type]]="checklist-flat"),1+IF(changes[[#This Row],[Type of change]] = "Edit",COUNTIFS($I$4:changes[[#This Row],[Name]],changes[[#This Row],[Name]], $E$4:changes[[#This Row],[Type of change]], "Edit")),B673)</f>
        <v>1</v>
      </c>
      <c r="C674" s="20">
        <v>44615</v>
      </c>
      <c r="D674" s="2" t="s">
        <v>2024</v>
      </c>
      <c r="E674" t="s">
        <v>2011</v>
      </c>
      <c r="F674" s="14" t="s">
        <v>9</v>
      </c>
      <c r="G674" t="s">
        <v>2084</v>
      </c>
      <c r="H674" t="s">
        <v>120</v>
      </c>
      <c r="I674" t="s">
        <v>2087</v>
      </c>
      <c r="K674" s="3"/>
    </row>
    <row r="675" spans="1:13">
      <c r="A675" t="s">
        <v>11</v>
      </c>
      <c r="B675">
        <f ca="1">IF(OR(changes[[#This Row],[Type]]="Checklist",changes[[#This Row],[Type]]="checklist-flat"),1+IF(changes[[#This Row],[Type of change]] = "Edit",COUNTIFS($I$4:changes[[#This Row],[Name]],changes[[#This Row],[Name]], $E$4:changes[[#This Row],[Type of change]], "Edit")),B674)</f>
        <v>1</v>
      </c>
      <c r="C675" s="20">
        <v>44615</v>
      </c>
      <c r="D675" s="2" t="s">
        <v>2024</v>
      </c>
      <c r="E675" t="s">
        <v>2011</v>
      </c>
      <c r="F675" s="14" t="s">
        <v>9</v>
      </c>
      <c r="G675" t="s">
        <v>2084</v>
      </c>
      <c r="H675" t="s">
        <v>49</v>
      </c>
      <c r="I675" t="s">
        <v>1987</v>
      </c>
      <c r="K675" s="3"/>
    </row>
    <row r="676" spans="1:13">
      <c r="A676" t="s">
        <v>11</v>
      </c>
      <c r="B676">
        <f ca="1">IF(OR(changes[[#This Row],[Type]]="Checklist",changes[[#This Row],[Type]]="checklist-flat"),1+IF(changes[[#This Row],[Type of change]] = "Edit",COUNTIFS($I$4:changes[[#This Row],[Name]],changes[[#This Row],[Name]], $E$4:changes[[#This Row],[Type of change]], "Edit")),B675)</f>
        <v>1</v>
      </c>
      <c r="C676" s="20">
        <v>44615</v>
      </c>
      <c r="D676" s="2" t="s">
        <v>2024</v>
      </c>
      <c r="E676" t="s">
        <v>2011</v>
      </c>
      <c r="F676" s="14" t="s">
        <v>9</v>
      </c>
      <c r="G676" t="s">
        <v>2084</v>
      </c>
      <c r="H676" t="s">
        <v>49</v>
      </c>
      <c r="I676" t="s">
        <v>2088</v>
      </c>
      <c r="K676" s="3"/>
    </row>
    <row r="677" spans="1:13">
      <c r="A677" t="s">
        <v>11</v>
      </c>
      <c r="B677">
        <f ca="1">IF(OR(changes[[#This Row],[Type]]="Checklist",changes[[#This Row],[Type]]="checklist-flat"),1+IF(changes[[#This Row],[Type of change]] = "Edit",COUNTIFS($I$4:changes[[#This Row],[Name]],changes[[#This Row],[Name]], $E$4:changes[[#This Row],[Type of change]], "Edit")),B676)</f>
        <v>1</v>
      </c>
      <c r="C677" s="20">
        <v>44615</v>
      </c>
      <c r="D677" s="2" t="s">
        <v>2024</v>
      </c>
      <c r="E677" t="s">
        <v>2011</v>
      </c>
      <c r="F677" s="14" t="s">
        <v>9</v>
      </c>
      <c r="G677" t="s">
        <v>2084</v>
      </c>
      <c r="H677" t="s">
        <v>1119</v>
      </c>
      <c r="I677" t="s">
        <v>306</v>
      </c>
      <c r="K677" s="3"/>
    </row>
    <row r="678" spans="1:13">
      <c r="A678" t="s">
        <v>11</v>
      </c>
      <c r="B678">
        <f ca="1">IF(OR(changes[[#This Row],[Type]]="Checklist",changes[[#This Row],[Type]]="checklist-flat"),1+IF(changes[[#This Row],[Type of change]] = "Edit",COUNTIFS($I$4:changes[[#This Row],[Name]],changes[[#This Row],[Name]], $E$4:changes[[#This Row],[Type of change]], "Edit")),B677)</f>
        <v>1</v>
      </c>
      <c r="C678" s="20">
        <v>44615</v>
      </c>
      <c r="D678" s="2" t="s">
        <v>2024</v>
      </c>
      <c r="E678" t="s">
        <v>2011</v>
      </c>
      <c r="F678" s="14" t="s">
        <v>9</v>
      </c>
      <c r="G678" t="s">
        <v>2084</v>
      </c>
      <c r="H678" t="s">
        <v>120</v>
      </c>
      <c r="I678" t="s">
        <v>2089</v>
      </c>
      <c r="K678" s="3"/>
    </row>
    <row r="679" spans="1:13">
      <c r="A679" t="s">
        <v>11</v>
      </c>
      <c r="B679">
        <f ca="1">IF(OR(changes[[#This Row],[Type]]="Checklist",changes[[#This Row],[Type]]="checklist-flat"),1+IF(changes[[#This Row],[Type of change]] = "Edit",COUNTIFS($I$4:changes[[#This Row],[Name]],changes[[#This Row],[Name]], $E$4:changes[[#This Row],[Type of change]], "Edit")),B678)</f>
        <v>1</v>
      </c>
      <c r="C679" s="20">
        <v>44615</v>
      </c>
      <c r="D679" s="2" t="s">
        <v>2024</v>
      </c>
      <c r="E679" t="s">
        <v>2011</v>
      </c>
      <c r="F679" s="14" t="s">
        <v>9</v>
      </c>
      <c r="G679" t="s">
        <v>2084</v>
      </c>
      <c r="H679" t="s">
        <v>49</v>
      </c>
      <c r="I679" t="s">
        <v>973</v>
      </c>
      <c r="K679" s="3"/>
    </row>
    <row r="680" spans="1:13">
      <c r="A680" t="s">
        <v>11</v>
      </c>
      <c r="B680">
        <f ca="1">IF(OR(changes[[#This Row],[Type]]="Checklist",changes[[#This Row],[Type]]="checklist-flat"),1+IF(changes[[#This Row],[Type of change]] = "Edit",COUNTIFS($I$4:changes[[#This Row],[Name]],changes[[#This Row],[Name]], $E$4:changes[[#This Row],[Type of change]], "Edit")),B679)</f>
        <v>1</v>
      </c>
      <c r="C680" s="20">
        <v>44615</v>
      </c>
      <c r="D680" s="2" t="s">
        <v>2024</v>
      </c>
      <c r="E680" t="s">
        <v>2011</v>
      </c>
      <c r="F680" s="14" t="s">
        <v>9</v>
      </c>
      <c r="G680" t="s">
        <v>2084</v>
      </c>
      <c r="H680" t="s">
        <v>49</v>
      </c>
      <c r="I680" t="s">
        <v>974</v>
      </c>
      <c r="K680" s="3"/>
    </row>
    <row r="681" spans="1:13">
      <c r="A681" t="s">
        <v>11</v>
      </c>
      <c r="B681">
        <f ca="1">IF(OR(changes[[#This Row],[Type]]="Checklist",changes[[#This Row],[Type]]="checklist-flat"),1+IF(changes[[#This Row],[Type of change]] = "Edit",COUNTIFS($I$4:changes[[#This Row],[Name]],changes[[#This Row],[Name]], $E$4:changes[[#This Row],[Type of change]], "Edit")),B680)</f>
        <v>1</v>
      </c>
      <c r="C681" s="20">
        <v>44615</v>
      </c>
      <c r="D681" s="2" t="s">
        <v>2024</v>
      </c>
      <c r="E681" t="s">
        <v>2011</v>
      </c>
      <c r="F681" s="14" t="s">
        <v>9</v>
      </c>
      <c r="G681" t="s">
        <v>2084</v>
      </c>
      <c r="H681" t="s">
        <v>49</v>
      </c>
      <c r="I681" t="s">
        <v>977</v>
      </c>
      <c r="K681" s="3"/>
    </row>
    <row r="682" spans="1:13">
      <c r="A682" t="s">
        <v>11</v>
      </c>
      <c r="B682">
        <f ca="1">IF(OR(changes[[#This Row],[Type]]="Checklist",changes[[#This Row],[Type]]="checklist-flat"),1+IF(changes[[#This Row],[Type of change]] = "Edit",COUNTIFS($I$4:changes[[#This Row],[Name]],changes[[#This Row],[Name]], $E$4:changes[[#This Row],[Type of change]], "Edit")),B681)</f>
        <v>1</v>
      </c>
      <c r="C682" s="20">
        <v>44615</v>
      </c>
      <c r="D682" s="2" t="s">
        <v>2024</v>
      </c>
      <c r="E682" t="s">
        <v>2011</v>
      </c>
      <c r="F682" s="14" t="s">
        <v>9</v>
      </c>
      <c r="G682" t="s">
        <v>2084</v>
      </c>
      <c r="H682" t="s">
        <v>49</v>
      </c>
      <c r="I682" t="s">
        <v>2090</v>
      </c>
      <c r="K682" s="3"/>
    </row>
    <row r="683" spans="1:13">
      <c r="A683" t="s">
        <v>11</v>
      </c>
      <c r="B683">
        <f ca="1">IF(OR(changes[[#This Row],[Type]]="Checklist",changes[[#This Row],[Type]]="checklist-flat"),1+IF(changes[[#This Row],[Type of change]] = "Edit",COUNTIFS($I$4:changes[[#This Row],[Name]],changes[[#This Row],[Name]], $E$4:changes[[#This Row],[Type of change]], "Edit")),B682)</f>
        <v>1</v>
      </c>
      <c r="C683" s="20">
        <v>44615</v>
      </c>
      <c r="D683" s="2" t="s">
        <v>2024</v>
      </c>
      <c r="E683" t="s">
        <v>2011</v>
      </c>
      <c r="F683" s="14" t="s">
        <v>9</v>
      </c>
      <c r="G683" t="s">
        <v>2084</v>
      </c>
      <c r="H683" t="s">
        <v>49</v>
      </c>
      <c r="I683" t="s">
        <v>978</v>
      </c>
      <c r="K683" s="3"/>
    </row>
    <row r="684" spans="1:13">
      <c r="A684" t="s">
        <v>11</v>
      </c>
      <c r="B684">
        <f ca="1">IF(OR(changes[[#This Row],[Type]]="Checklist",changes[[#This Row],[Type]]="checklist-flat"),1+IF(changes[[#This Row],[Type of change]] = "Edit",COUNTIFS($I$4:changes[[#This Row],[Name]],changes[[#This Row],[Name]], $E$4:changes[[#This Row],[Type of change]], "Edit")),B683)</f>
        <v>1</v>
      </c>
      <c r="C684" s="20">
        <v>44615</v>
      </c>
      <c r="D684" s="2" t="s">
        <v>2024</v>
      </c>
      <c r="E684" t="s">
        <v>2011</v>
      </c>
      <c r="F684" s="14" t="s">
        <v>9</v>
      </c>
      <c r="G684" t="s">
        <v>2084</v>
      </c>
      <c r="H684" t="s">
        <v>49</v>
      </c>
      <c r="I684" t="s">
        <v>979</v>
      </c>
      <c r="K684" s="3"/>
    </row>
    <row r="685" spans="1:13">
      <c r="A685" t="s">
        <v>11</v>
      </c>
      <c r="B685">
        <f ca="1">IF(OR(changes[[#This Row],[Type]]="Checklist",changes[[#This Row],[Type]]="checklist-flat"),1+IF(changes[[#This Row],[Type of change]] = "Edit",COUNTIFS($I$4:changes[[#This Row],[Name]],changes[[#This Row],[Name]], $E$4:changes[[#This Row],[Type of change]], "Edit")),B684)</f>
        <v>1</v>
      </c>
      <c r="C685" s="20">
        <v>44615</v>
      </c>
      <c r="D685" s="2" t="s">
        <v>2024</v>
      </c>
      <c r="E685" t="s">
        <v>2011</v>
      </c>
      <c r="F685" s="14" t="s">
        <v>9</v>
      </c>
      <c r="G685" t="s">
        <v>2084</v>
      </c>
      <c r="H685" t="s">
        <v>120</v>
      </c>
      <c r="I685" t="s">
        <v>2091</v>
      </c>
      <c r="K685" s="3"/>
    </row>
    <row r="686" spans="1:13">
      <c r="A686" t="s">
        <v>11</v>
      </c>
      <c r="B686">
        <f ca="1">IF(OR(changes[[#This Row],[Type]]="Checklist",changes[[#This Row],[Type]]="checklist-flat"),1+IF(changes[[#This Row],[Type of change]] = "Edit",COUNTIFS($I$4:changes[[#This Row],[Name]],changes[[#This Row],[Name]], $E$4:changes[[#This Row],[Type of change]], "Edit")),B685)</f>
        <v>1</v>
      </c>
      <c r="C686" s="20">
        <v>44615</v>
      </c>
      <c r="D686" s="2" t="s">
        <v>2024</v>
      </c>
      <c r="E686" t="s">
        <v>2011</v>
      </c>
      <c r="F686" s="14" t="s">
        <v>9</v>
      </c>
      <c r="G686" t="s">
        <v>2084</v>
      </c>
      <c r="H686" t="s">
        <v>49</v>
      </c>
      <c r="I686" t="s">
        <v>2092</v>
      </c>
      <c r="K686" s="3"/>
    </row>
    <row r="687" spans="1:13">
      <c r="A687" t="s">
        <v>11</v>
      </c>
      <c r="B687">
        <f ca="1">IF(OR(changes[[#This Row],[Type]]="Checklist",changes[[#This Row],[Type]]="checklist-flat"),1+IF(changes[[#This Row],[Type of change]] = "Edit",COUNTIFS($I$4:changes[[#This Row],[Name]],changes[[#This Row],[Name]], $E$4:changes[[#This Row],[Type of change]], "Edit")),B686)</f>
        <v>1</v>
      </c>
      <c r="C687" s="20">
        <v>44615</v>
      </c>
      <c r="D687" s="2" t="s">
        <v>2024</v>
      </c>
      <c r="E687" t="s">
        <v>2011</v>
      </c>
      <c r="F687" s="14" t="s">
        <v>9</v>
      </c>
      <c r="G687" t="s">
        <v>2084</v>
      </c>
      <c r="H687" t="s">
        <v>49</v>
      </c>
      <c r="I687" t="s">
        <v>2093</v>
      </c>
      <c r="K687" s="3"/>
    </row>
    <row r="688" spans="1:13">
      <c r="A688" t="s">
        <v>11</v>
      </c>
      <c r="B688">
        <f ca="1">IF(OR(changes[[#This Row],[Type]]="Checklist",changes[[#This Row],[Type]]="checklist-flat"),1+IF(changes[[#This Row],[Type of change]] = "Edit",COUNTIFS($I$4:changes[[#This Row],[Name]],changes[[#This Row],[Name]], $E$4:changes[[#This Row],[Type of change]], "Edit")),B687)</f>
        <v>1</v>
      </c>
      <c r="C688" s="20">
        <v>44615</v>
      </c>
      <c r="D688" s="2" t="s">
        <v>2024</v>
      </c>
      <c r="E688" t="s">
        <v>2011</v>
      </c>
      <c r="F688" s="14" t="s">
        <v>9</v>
      </c>
      <c r="G688" t="s">
        <v>2084</v>
      </c>
      <c r="H688" t="s">
        <v>119</v>
      </c>
      <c r="I688" t="s">
        <v>2084</v>
      </c>
      <c r="K688" s="3"/>
      <c r="M688" t="s">
        <v>2086</v>
      </c>
    </row>
    <row r="689" spans="1:13">
      <c r="A689" t="s">
        <v>11</v>
      </c>
      <c r="B689">
        <f ca="1">IF(OR(changes[[#This Row],[Type]]="Checklist",changes[[#This Row],[Type]]="checklist-flat"),1+IF(changes[[#This Row],[Type of change]] = "Edit",COUNTIFS($I$4:changes[[#This Row],[Name]],changes[[#This Row],[Name]], $E$4:changes[[#This Row],[Type of change]], "Edit")),B688)</f>
        <v>1</v>
      </c>
      <c r="C689" s="20">
        <v>44615</v>
      </c>
      <c r="D689" s="2" t="s">
        <v>2024</v>
      </c>
      <c r="E689" t="s">
        <v>2011</v>
      </c>
      <c r="F689" s="14" t="s">
        <v>9</v>
      </c>
      <c r="G689" t="s">
        <v>2084</v>
      </c>
      <c r="H689" t="s">
        <v>49</v>
      </c>
      <c r="I689" t="s">
        <v>859</v>
      </c>
      <c r="K689" s="3"/>
    </row>
    <row r="690" spans="1:13">
      <c r="A690" t="s">
        <v>11</v>
      </c>
      <c r="B690">
        <f ca="1">IF(OR(changes[[#This Row],[Type]]="Checklist",changes[[#This Row],[Type]]="checklist-flat"),1+IF(changes[[#This Row],[Type of change]] = "Edit",COUNTIFS($I$4:changes[[#This Row],[Name]],changes[[#This Row],[Name]], $E$4:changes[[#This Row],[Type of change]], "Edit")),B689)</f>
        <v>1</v>
      </c>
      <c r="C690" s="20">
        <v>44615</v>
      </c>
      <c r="D690" s="2" t="s">
        <v>2024</v>
      </c>
      <c r="E690" t="s">
        <v>2011</v>
      </c>
      <c r="F690" s="14" t="s">
        <v>9</v>
      </c>
      <c r="G690" t="s">
        <v>2084</v>
      </c>
      <c r="H690" t="s">
        <v>49</v>
      </c>
      <c r="I690" t="s">
        <v>2094</v>
      </c>
      <c r="K690" s="3"/>
    </row>
    <row r="691" spans="1:13">
      <c r="A691" t="s">
        <v>11</v>
      </c>
      <c r="B691">
        <f ca="1">IF(OR(changes[[#This Row],[Type]]="Checklist",changes[[#This Row],[Type]]="checklist-flat"),1+IF(changes[[#This Row],[Type of change]] = "Edit",COUNTIFS($I$4:changes[[#This Row],[Name]],changes[[#This Row],[Name]], $E$4:changes[[#This Row],[Type of change]], "Edit")),B690)</f>
        <v>1</v>
      </c>
      <c r="C691" s="20">
        <v>44615</v>
      </c>
      <c r="D691" s="2" t="s">
        <v>2024</v>
      </c>
      <c r="E691" t="s">
        <v>2011</v>
      </c>
      <c r="F691" s="14" t="s">
        <v>9</v>
      </c>
      <c r="G691" t="s">
        <v>2095</v>
      </c>
      <c r="H691" t="s">
        <v>43</v>
      </c>
      <c r="I691" t="s">
        <v>2095</v>
      </c>
      <c r="K691" s="3"/>
      <c r="M691" t="s">
        <v>2086</v>
      </c>
    </row>
    <row r="692" spans="1:13">
      <c r="A692" t="s">
        <v>11</v>
      </c>
      <c r="B692">
        <f ca="1">IF(OR(changes[[#This Row],[Type]]="Checklist",changes[[#This Row],[Type]]="checklist-flat"),1+IF(changes[[#This Row],[Type of change]] = "Edit",COUNTIFS($I$4:changes[[#This Row],[Name]],changes[[#This Row],[Name]], $E$4:changes[[#This Row],[Type of change]], "Edit")),B691)</f>
        <v>1</v>
      </c>
      <c r="C692" s="20">
        <v>44615</v>
      </c>
      <c r="D692" s="2" t="s">
        <v>2024</v>
      </c>
      <c r="E692" t="s">
        <v>2011</v>
      </c>
      <c r="F692" s="14" t="s">
        <v>9</v>
      </c>
      <c r="G692" t="s">
        <v>2095</v>
      </c>
      <c r="H692" t="s">
        <v>120</v>
      </c>
      <c r="I692" t="s">
        <v>690</v>
      </c>
      <c r="K692" s="3"/>
      <c r="M692" s="3"/>
    </row>
    <row r="693" spans="1:13">
      <c r="A693" t="s">
        <v>11</v>
      </c>
      <c r="B693">
        <f ca="1">IF(OR(changes[[#This Row],[Type]]="Checklist",changes[[#This Row],[Type]]="checklist-flat"),1+IF(changes[[#This Row],[Type of change]] = "Edit",COUNTIFS($I$4:changes[[#This Row],[Name]],changes[[#This Row],[Name]], $E$4:changes[[#This Row],[Type of change]], "Edit")),B692)</f>
        <v>1</v>
      </c>
      <c r="C693" s="20">
        <v>44615</v>
      </c>
      <c r="D693" s="2" t="s">
        <v>2024</v>
      </c>
      <c r="E693" t="s">
        <v>2011</v>
      </c>
      <c r="F693" s="14" t="s">
        <v>9</v>
      </c>
      <c r="G693" t="s">
        <v>2095</v>
      </c>
      <c r="H693" t="s">
        <v>49</v>
      </c>
      <c r="I693" t="s">
        <v>1987</v>
      </c>
      <c r="K693" s="3"/>
      <c r="M693" s="3"/>
    </row>
    <row r="694" spans="1:13">
      <c r="A694" t="s">
        <v>11</v>
      </c>
      <c r="B694">
        <f ca="1">IF(OR(changes[[#This Row],[Type]]="Checklist",changes[[#This Row],[Type]]="checklist-flat"),1+IF(changes[[#This Row],[Type of change]] = "Edit",COUNTIFS($I$4:changes[[#This Row],[Name]],changes[[#This Row],[Name]], $E$4:changes[[#This Row],[Type of change]], "Edit")),B693)</f>
        <v>1</v>
      </c>
      <c r="C694" s="20">
        <v>44615</v>
      </c>
      <c r="D694" s="2" t="s">
        <v>2024</v>
      </c>
      <c r="E694" t="s">
        <v>2011</v>
      </c>
      <c r="F694" s="14" t="s">
        <v>9</v>
      </c>
      <c r="G694" t="s">
        <v>2095</v>
      </c>
      <c r="H694" t="s">
        <v>49</v>
      </c>
      <c r="I694" t="s">
        <v>2088</v>
      </c>
      <c r="K694" s="3"/>
      <c r="M694" s="3"/>
    </row>
    <row r="695" spans="1:13">
      <c r="A695" t="s">
        <v>11</v>
      </c>
      <c r="B695">
        <f ca="1">IF(OR(changes[[#This Row],[Type]]="Checklist",changes[[#This Row],[Type]]="checklist-flat"),1+IF(changes[[#This Row],[Type of change]] = "Edit",COUNTIFS($I$4:changes[[#This Row],[Name]],changes[[#This Row],[Name]], $E$4:changes[[#This Row],[Type of change]], "Edit")),B694)</f>
        <v>1</v>
      </c>
      <c r="C695" s="20">
        <v>44615</v>
      </c>
      <c r="D695" s="2" t="s">
        <v>2024</v>
      </c>
      <c r="E695" t="s">
        <v>2011</v>
      </c>
      <c r="F695" s="14" t="s">
        <v>9</v>
      </c>
      <c r="G695" t="s">
        <v>2095</v>
      </c>
      <c r="H695" t="s">
        <v>1119</v>
      </c>
      <c r="I695" t="s">
        <v>306</v>
      </c>
      <c r="K695" s="3"/>
      <c r="M695" s="3"/>
    </row>
    <row r="696" spans="1:13">
      <c r="A696" t="s">
        <v>11</v>
      </c>
      <c r="B696">
        <f ca="1">IF(OR(changes[[#This Row],[Type]]="Checklist",changes[[#This Row],[Type]]="checklist-flat"),1+IF(changes[[#This Row],[Type of change]] = "Edit",COUNTIFS($I$4:changes[[#This Row],[Name]],changes[[#This Row],[Name]], $E$4:changes[[#This Row],[Type of change]], "Edit")),B695)</f>
        <v>1</v>
      </c>
      <c r="C696" s="20">
        <v>44615</v>
      </c>
      <c r="D696" s="2" t="s">
        <v>2024</v>
      </c>
      <c r="E696" t="s">
        <v>2011</v>
      </c>
      <c r="F696" s="14" t="s">
        <v>9</v>
      </c>
      <c r="G696" t="s">
        <v>2095</v>
      </c>
      <c r="H696" t="s">
        <v>49</v>
      </c>
      <c r="I696" t="s">
        <v>966</v>
      </c>
      <c r="K696" s="3"/>
      <c r="M696" s="3"/>
    </row>
    <row r="697" spans="1:13">
      <c r="A697" t="s">
        <v>11</v>
      </c>
      <c r="B697">
        <f ca="1">IF(OR(changes[[#This Row],[Type]]="Checklist",changes[[#This Row],[Type]]="checklist-flat"),1+IF(changes[[#This Row],[Type of change]] = "Edit",COUNTIFS($I$4:changes[[#This Row],[Name]],changes[[#This Row],[Name]], $E$4:changes[[#This Row],[Type of change]], "Edit")),B696)</f>
        <v>1</v>
      </c>
      <c r="C697" s="20">
        <v>44615</v>
      </c>
      <c r="D697" s="2" t="s">
        <v>2024</v>
      </c>
      <c r="E697" t="s">
        <v>2011</v>
      </c>
      <c r="F697" s="14" t="s">
        <v>9</v>
      </c>
      <c r="G697" t="s">
        <v>2095</v>
      </c>
      <c r="H697" t="s">
        <v>49</v>
      </c>
      <c r="I697" t="s">
        <v>2096</v>
      </c>
      <c r="K697" s="3"/>
      <c r="M697" s="3"/>
    </row>
    <row r="698" spans="1:13">
      <c r="A698" t="s">
        <v>11</v>
      </c>
      <c r="B698">
        <f ca="1">IF(OR(changes[[#This Row],[Type]]="Checklist",changes[[#This Row],[Type]]="checklist-flat"),1+IF(changes[[#This Row],[Type of change]] = "Edit",COUNTIFS($I$4:changes[[#This Row],[Name]],changes[[#This Row],[Name]], $E$4:changes[[#This Row],[Type of change]], "Edit")),B697)</f>
        <v>1</v>
      </c>
      <c r="C698" s="20">
        <v>44615</v>
      </c>
      <c r="D698" s="2" t="s">
        <v>2024</v>
      </c>
      <c r="E698" t="s">
        <v>2011</v>
      </c>
      <c r="F698" s="14" t="s">
        <v>9</v>
      </c>
      <c r="G698" t="s">
        <v>2095</v>
      </c>
      <c r="H698" t="s">
        <v>49</v>
      </c>
      <c r="I698" t="s">
        <v>968</v>
      </c>
      <c r="K698" s="3"/>
      <c r="M698" s="3"/>
    </row>
    <row r="699" spans="1:13">
      <c r="A699" t="s">
        <v>11</v>
      </c>
      <c r="B699">
        <f ca="1">IF(OR(changes[[#This Row],[Type]]="Checklist",changes[[#This Row],[Type]]="checklist-flat"),1+IF(changes[[#This Row],[Type of change]] = "Edit",COUNTIFS($I$4:changes[[#This Row],[Name]],changes[[#This Row],[Name]], $E$4:changes[[#This Row],[Type of change]], "Edit")),B698)</f>
        <v>1</v>
      </c>
      <c r="C699" s="20">
        <v>44615</v>
      </c>
      <c r="D699" s="2" t="s">
        <v>2024</v>
      </c>
      <c r="E699" t="s">
        <v>2011</v>
      </c>
      <c r="F699" s="14" t="s">
        <v>9</v>
      </c>
      <c r="G699" t="s">
        <v>2095</v>
      </c>
      <c r="H699" t="s">
        <v>49</v>
      </c>
      <c r="I699" t="s">
        <v>2097</v>
      </c>
      <c r="K699" s="3"/>
      <c r="M699" s="3"/>
    </row>
    <row r="700" spans="1:13">
      <c r="A700" t="s">
        <v>11</v>
      </c>
      <c r="B700">
        <f ca="1">IF(OR(changes[[#This Row],[Type]]="Checklist",changes[[#This Row],[Type]]="checklist-flat"),1+IF(changes[[#This Row],[Type of change]] = "Edit",COUNTIFS($I$4:changes[[#This Row],[Name]],changes[[#This Row],[Name]], $E$4:changes[[#This Row],[Type of change]], "Edit")),B699)</f>
        <v>1</v>
      </c>
      <c r="C700" s="20">
        <v>44615</v>
      </c>
      <c r="D700" s="2" t="s">
        <v>2024</v>
      </c>
      <c r="E700" t="s">
        <v>2011</v>
      </c>
      <c r="F700" s="14" t="s">
        <v>9</v>
      </c>
      <c r="G700" t="s">
        <v>2095</v>
      </c>
      <c r="H700" t="s">
        <v>49</v>
      </c>
      <c r="I700" t="s">
        <v>2098</v>
      </c>
      <c r="K700" s="3"/>
      <c r="M700" s="3"/>
    </row>
    <row r="701" spans="1:13">
      <c r="A701" t="s">
        <v>11</v>
      </c>
      <c r="B701">
        <f ca="1">IF(OR(changes[[#This Row],[Type]]="Checklist",changes[[#This Row],[Type]]="checklist-flat"),1+IF(changes[[#This Row],[Type of change]] = "Edit",COUNTIFS($I$4:changes[[#This Row],[Name]],changes[[#This Row],[Name]], $E$4:changes[[#This Row],[Type of change]], "Edit")),B700)</f>
        <v>1</v>
      </c>
      <c r="C701" s="20">
        <v>44615</v>
      </c>
      <c r="D701" s="2" t="s">
        <v>2024</v>
      </c>
      <c r="E701" t="s">
        <v>2011</v>
      </c>
      <c r="F701" s="14" t="s">
        <v>9</v>
      </c>
      <c r="G701" t="s">
        <v>2095</v>
      </c>
      <c r="H701" t="s">
        <v>49</v>
      </c>
      <c r="I701" t="s">
        <v>971</v>
      </c>
      <c r="K701" s="3"/>
      <c r="M701" s="3"/>
    </row>
    <row r="702" spans="1:13">
      <c r="A702" t="s">
        <v>11</v>
      </c>
      <c r="B702">
        <f ca="1">IF(OR(changes[[#This Row],[Type]]="Checklist",changes[[#This Row],[Type]]="checklist-flat"),1+IF(changes[[#This Row],[Type of change]] = "Edit",COUNTIFS($I$4:changes[[#This Row],[Name]],changes[[#This Row],[Name]], $E$4:changes[[#This Row],[Type of change]], "Edit")),B701)</f>
        <v>1</v>
      </c>
      <c r="C702" s="20">
        <v>44615</v>
      </c>
      <c r="D702" s="2" t="s">
        <v>2024</v>
      </c>
      <c r="E702" t="s">
        <v>2011</v>
      </c>
      <c r="F702" s="14" t="s">
        <v>9</v>
      </c>
      <c r="G702" t="s">
        <v>2095</v>
      </c>
      <c r="H702" t="s">
        <v>49</v>
      </c>
      <c r="I702" t="s">
        <v>972</v>
      </c>
      <c r="K702" s="3"/>
      <c r="M702" s="3"/>
    </row>
    <row r="703" spans="1:13">
      <c r="A703" t="s">
        <v>11</v>
      </c>
      <c r="B703">
        <f ca="1">IF(OR(changes[[#This Row],[Type]]="Checklist",changes[[#This Row],[Type]]="checklist-flat"),1+IF(changes[[#This Row],[Type of change]] = "Edit",COUNTIFS($I$4:changes[[#This Row],[Name]],changes[[#This Row],[Name]], $E$4:changes[[#This Row],[Type of change]], "Edit")),B702)</f>
        <v>1</v>
      </c>
      <c r="C703" s="20">
        <v>44615</v>
      </c>
      <c r="D703" s="2" t="s">
        <v>2024</v>
      </c>
      <c r="E703" t="s">
        <v>2011</v>
      </c>
      <c r="F703" s="14" t="s">
        <v>9</v>
      </c>
      <c r="G703" t="s">
        <v>2095</v>
      </c>
      <c r="H703" t="s">
        <v>49</v>
      </c>
      <c r="I703" t="s">
        <v>973</v>
      </c>
      <c r="K703" s="3"/>
      <c r="M703" s="3"/>
    </row>
    <row r="704" spans="1:13">
      <c r="A704" t="s">
        <v>11</v>
      </c>
      <c r="B704">
        <f ca="1">IF(OR(changes[[#This Row],[Type]]="Checklist",changes[[#This Row],[Type]]="checklist-flat"),1+IF(changes[[#This Row],[Type of change]] = "Edit",COUNTIFS($I$4:changes[[#This Row],[Name]],changes[[#This Row],[Name]], $E$4:changes[[#This Row],[Type of change]], "Edit")),B703)</f>
        <v>1</v>
      </c>
      <c r="C704" s="20">
        <v>44615</v>
      </c>
      <c r="D704" s="2" t="s">
        <v>2024</v>
      </c>
      <c r="E704" t="s">
        <v>2011</v>
      </c>
      <c r="F704" s="14" t="s">
        <v>9</v>
      </c>
      <c r="G704" t="s">
        <v>2095</v>
      </c>
      <c r="H704" t="s">
        <v>49</v>
      </c>
      <c r="I704" t="s">
        <v>974</v>
      </c>
      <c r="K704" s="3"/>
      <c r="M704" s="3"/>
    </row>
    <row r="705" spans="1:13">
      <c r="A705" t="s">
        <v>11</v>
      </c>
      <c r="B705">
        <f ca="1">IF(OR(changes[[#This Row],[Type]]="Checklist",changes[[#This Row],[Type]]="checklist-flat"),1+IF(changes[[#This Row],[Type of change]] = "Edit",COUNTIFS($I$4:changes[[#This Row],[Name]],changes[[#This Row],[Name]], $E$4:changes[[#This Row],[Type of change]], "Edit")),B704)</f>
        <v>1</v>
      </c>
      <c r="C705" s="20">
        <v>44615</v>
      </c>
      <c r="D705" s="2" t="s">
        <v>2024</v>
      </c>
      <c r="E705" t="s">
        <v>2011</v>
      </c>
      <c r="F705" s="14" t="s">
        <v>9</v>
      </c>
      <c r="G705" t="s">
        <v>2095</v>
      </c>
      <c r="H705" t="s">
        <v>49</v>
      </c>
      <c r="I705" t="s">
        <v>2099</v>
      </c>
      <c r="K705" s="3"/>
      <c r="M705" s="3"/>
    </row>
    <row r="706" spans="1:13">
      <c r="A706" t="s">
        <v>11</v>
      </c>
      <c r="B706">
        <f ca="1">IF(OR(changes[[#This Row],[Type]]="Checklist",changes[[#This Row],[Type]]="checklist-flat"),1+IF(changes[[#This Row],[Type of change]] = "Edit",COUNTIFS($I$4:changes[[#This Row],[Name]],changes[[#This Row],[Name]], $E$4:changes[[#This Row],[Type of change]], "Edit")),B705)</f>
        <v>1</v>
      </c>
      <c r="C706" s="20">
        <v>44615</v>
      </c>
      <c r="D706" s="2" t="s">
        <v>2024</v>
      </c>
      <c r="E706" t="s">
        <v>2011</v>
      </c>
      <c r="F706" s="14" t="s">
        <v>9</v>
      </c>
      <c r="G706" t="s">
        <v>2095</v>
      </c>
      <c r="H706" t="s">
        <v>49</v>
      </c>
      <c r="I706" t="s">
        <v>976</v>
      </c>
      <c r="K706" s="3"/>
      <c r="M706" s="3"/>
    </row>
    <row r="707" spans="1:13">
      <c r="A707" t="s">
        <v>11</v>
      </c>
      <c r="B707">
        <f ca="1">IF(OR(changes[[#This Row],[Type]]="Checklist",changes[[#This Row],[Type]]="checklist-flat"),1+IF(changes[[#This Row],[Type of change]] = "Edit",COUNTIFS($I$4:changes[[#This Row],[Name]],changes[[#This Row],[Name]], $E$4:changes[[#This Row],[Type of change]], "Edit")),B706)</f>
        <v>1</v>
      </c>
      <c r="C707" s="20">
        <v>44615</v>
      </c>
      <c r="D707" s="2" t="s">
        <v>2024</v>
      </c>
      <c r="E707" t="s">
        <v>2011</v>
      </c>
      <c r="F707" s="14" t="s">
        <v>9</v>
      </c>
      <c r="G707" t="s">
        <v>2095</v>
      </c>
      <c r="H707" t="s">
        <v>49</v>
      </c>
      <c r="I707" t="s">
        <v>977</v>
      </c>
      <c r="K707" s="3"/>
      <c r="M707" s="3"/>
    </row>
    <row r="708" spans="1:13">
      <c r="A708" t="s">
        <v>11</v>
      </c>
      <c r="B708">
        <f ca="1">IF(OR(changes[[#This Row],[Type]]="Checklist",changes[[#This Row],[Type]]="checklist-flat"),1+IF(changes[[#This Row],[Type of change]] = "Edit",COUNTIFS($I$4:changes[[#This Row],[Name]],changes[[#This Row],[Name]], $E$4:changes[[#This Row],[Type of change]], "Edit")),B707)</f>
        <v>1</v>
      </c>
      <c r="C708" s="20">
        <v>44615</v>
      </c>
      <c r="D708" s="2" t="s">
        <v>2024</v>
      </c>
      <c r="E708" t="s">
        <v>2011</v>
      </c>
      <c r="F708" s="14" t="s">
        <v>9</v>
      </c>
      <c r="G708" t="s">
        <v>2095</v>
      </c>
      <c r="H708" t="s">
        <v>49</v>
      </c>
      <c r="I708" t="s">
        <v>2090</v>
      </c>
      <c r="K708" s="3"/>
      <c r="M708" s="3"/>
    </row>
    <row r="709" spans="1:13">
      <c r="A709" t="s">
        <v>11</v>
      </c>
      <c r="B709">
        <f ca="1">IF(OR(changes[[#This Row],[Type]]="Checklist",changes[[#This Row],[Type]]="checklist-flat"),1+IF(changes[[#This Row],[Type of change]] = "Edit",COUNTIFS($I$4:changes[[#This Row],[Name]],changes[[#This Row],[Name]], $E$4:changes[[#This Row],[Type of change]], "Edit")),B708)</f>
        <v>1</v>
      </c>
      <c r="C709" s="20">
        <v>44615</v>
      </c>
      <c r="D709" s="2" t="s">
        <v>2024</v>
      </c>
      <c r="E709" t="s">
        <v>2011</v>
      </c>
      <c r="F709" s="14" t="s">
        <v>9</v>
      </c>
      <c r="G709" t="s">
        <v>2095</v>
      </c>
      <c r="H709" t="s">
        <v>49</v>
      </c>
      <c r="I709" t="s">
        <v>978</v>
      </c>
      <c r="K709" s="3"/>
      <c r="M709" s="3"/>
    </row>
    <row r="710" spans="1:13">
      <c r="A710" t="s">
        <v>11</v>
      </c>
      <c r="B710">
        <f ca="1">IF(OR(changes[[#This Row],[Type]]="Checklist",changes[[#This Row],[Type]]="checklist-flat"),1+IF(changes[[#This Row],[Type of change]] = "Edit",COUNTIFS($I$4:changes[[#This Row],[Name]],changes[[#This Row],[Name]], $E$4:changes[[#This Row],[Type of change]], "Edit")),B709)</f>
        <v>1</v>
      </c>
      <c r="C710" s="20">
        <v>44615</v>
      </c>
      <c r="D710" s="2" t="s">
        <v>2024</v>
      </c>
      <c r="E710" t="s">
        <v>2011</v>
      </c>
      <c r="F710" s="14" t="s">
        <v>9</v>
      </c>
      <c r="G710" t="s">
        <v>2095</v>
      </c>
      <c r="H710" t="s">
        <v>49</v>
      </c>
      <c r="I710" t="s">
        <v>979</v>
      </c>
      <c r="K710" s="3"/>
      <c r="M710" s="3"/>
    </row>
    <row r="711" spans="1:13">
      <c r="A711" t="s">
        <v>11</v>
      </c>
      <c r="B711">
        <f ca="1">IF(OR(changes[[#This Row],[Type]]="Checklist",changes[[#This Row],[Type]]="checklist-flat"),1+IF(changes[[#This Row],[Type of change]] = "Edit",COUNTIFS($I$4:changes[[#This Row],[Name]],changes[[#This Row],[Name]], $E$4:changes[[#This Row],[Type of change]], "Edit")),B710)</f>
        <v>1</v>
      </c>
      <c r="C711" s="20">
        <v>44615</v>
      </c>
      <c r="D711" s="2" t="s">
        <v>2024</v>
      </c>
      <c r="E711" t="s">
        <v>2011</v>
      </c>
      <c r="F711" s="14" t="s">
        <v>9</v>
      </c>
      <c r="G711" t="s">
        <v>2095</v>
      </c>
      <c r="H711" t="s">
        <v>49</v>
      </c>
      <c r="I711" t="s">
        <v>980</v>
      </c>
      <c r="K711" s="3"/>
      <c r="M711" s="3"/>
    </row>
    <row r="712" spans="1:13">
      <c r="A712" t="s">
        <v>11</v>
      </c>
      <c r="B712">
        <f ca="1">IF(OR(changes[[#This Row],[Type]]="Checklist",changes[[#This Row],[Type]]="checklist-flat"),1+IF(changes[[#This Row],[Type of change]] = "Edit",COUNTIFS($I$4:changes[[#This Row],[Name]],changes[[#This Row],[Name]], $E$4:changes[[#This Row],[Type of change]], "Edit")),B711)</f>
        <v>1</v>
      </c>
      <c r="C712" s="20">
        <v>44615</v>
      </c>
      <c r="D712" s="2" t="s">
        <v>2024</v>
      </c>
      <c r="E712" t="s">
        <v>2011</v>
      </c>
      <c r="F712" s="14" t="s">
        <v>9</v>
      </c>
      <c r="G712" t="s">
        <v>2095</v>
      </c>
      <c r="H712" t="s">
        <v>49</v>
      </c>
      <c r="I712" t="s">
        <v>2100</v>
      </c>
      <c r="K712" s="3"/>
      <c r="M712" s="3"/>
    </row>
    <row r="713" spans="1:13">
      <c r="A713" t="s">
        <v>11</v>
      </c>
      <c r="B713">
        <f ca="1">IF(OR(changes[[#This Row],[Type]]="Checklist",changes[[#This Row],[Type]]="checklist-flat"),1+IF(changes[[#This Row],[Type of change]] = "Edit",COUNTIFS($I$4:changes[[#This Row],[Name]],changes[[#This Row],[Name]], $E$4:changes[[#This Row],[Type of change]], "Edit")),B712)</f>
        <v>1</v>
      </c>
      <c r="C713" s="20">
        <v>44615</v>
      </c>
      <c r="D713" s="2" t="s">
        <v>2024</v>
      </c>
      <c r="E713" t="s">
        <v>2011</v>
      </c>
      <c r="F713" s="14" t="s">
        <v>9</v>
      </c>
      <c r="G713" t="s">
        <v>2095</v>
      </c>
      <c r="H713" t="s">
        <v>49</v>
      </c>
      <c r="I713" t="s">
        <v>2092</v>
      </c>
      <c r="K713" s="3"/>
      <c r="M713" s="3"/>
    </row>
    <row r="714" spans="1:13">
      <c r="A714" t="s">
        <v>11</v>
      </c>
      <c r="B714">
        <f ca="1">IF(OR(changes[[#This Row],[Type]]="Checklist",changes[[#This Row],[Type]]="checklist-flat"),1+IF(changes[[#This Row],[Type of change]] = "Edit",COUNTIFS($I$4:changes[[#This Row],[Name]],changes[[#This Row],[Name]], $E$4:changes[[#This Row],[Type of change]], "Edit")),B713)</f>
        <v>1</v>
      </c>
      <c r="C714" s="20">
        <v>44615</v>
      </c>
      <c r="D714" s="2" t="s">
        <v>2024</v>
      </c>
      <c r="E714" t="s">
        <v>2011</v>
      </c>
      <c r="F714" s="14" t="s">
        <v>9</v>
      </c>
      <c r="G714" t="s">
        <v>2095</v>
      </c>
      <c r="H714" t="s">
        <v>49</v>
      </c>
      <c r="I714" t="s">
        <v>2093</v>
      </c>
      <c r="K714" s="3"/>
      <c r="M714" s="3"/>
    </row>
    <row r="715" spans="1:13">
      <c r="A715" t="s">
        <v>11</v>
      </c>
      <c r="B715">
        <f ca="1">IF(OR(changes[[#This Row],[Type]]="Checklist",changes[[#This Row],[Type]]="checklist-flat"),1+IF(changes[[#This Row],[Type of change]] = "Edit",COUNTIFS($I$4:changes[[#This Row],[Name]],changes[[#This Row],[Name]], $E$4:changes[[#This Row],[Type of change]], "Edit")),B714)</f>
        <v>1</v>
      </c>
      <c r="C715" s="20">
        <v>44615</v>
      </c>
      <c r="D715" s="2" t="s">
        <v>2024</v>
      </c>
      <c r="E715" t="s">
        <v>2011</v>
      </c>
      <c r="F715" s="14" t="s">
        <v>9</v>
      </c>
      <c r="G715" t="s">
        <v>2095</v>
      </c>
      <c r="H715" t="s">
        <v>120</v>
      </c>
      <c r="I715" t="s">
        <v>697</v>
      </c>
      <c r="K715" s="3"/>
      <c r="M715" s="3"/>
    </row>
    <row r="716" spans="1:13">
      <c r="A716" t="s">
        <v>11</v>
      </c>
      <c r="B716">
        <f ca="1">IF(OR(changes[[#This Row],[Type]]="Checklist",changes[[#This Row],[Type]]="checklist-flat"),1+IF(changes[[#This Row],[Type of change]] = "Edit",COUNTIFS($I$4:changes[[#This Row],[Name]],changes[[#This Row],[Name]], $E$4:changes[[#This Row],[Type of change]], "Edit")),B715)</f>
        <v>1</v>
      </c>
      <c r="C716" s="20">
        <v>44615</v>
      </c>
      <c r="D716" s="2" t="s">
        <v>2024</v>
      </c>
      <c r="E716" t="s">
        <v>2011</v>
      </c>
      <c r="F716" s="14" t="s">
        <v>9</v>
      </c>
      <c r="G716" t="s">
        <v>2095</v>
      </c>
      <c r="H716" t="s">
        <v>49</v>
      </c>
      <c r="I716" t="s">
        <v>2101</v>
      </c>
      <c r="K716" s="3"/>
      <c r="M716" s="3"/>
    </row>
    <row r="717" spans="1:13">
      <c r="A717" t="s">
        <v>11</v>
      </c>
      <c r="B717">
        <f ca="1">IF(OR(changes[[#This Row],[Type]]="Checklist",changes[[#This Row],[Type]]="checklist-flat"),1+IF(changes[[#This Row],[Type of change]] = "Edit",COUNTIFS($I$4:changes[[#This Row],[Name]],changes[[#This Row],[Name]], $E$4:changes[[#This Row],[Type of change]], "Edit")),B716)</f>
        <v>1</v>
      </c>
      <c r="C717" s="20">
        <v>44615</v>
      </c>
      <c r="D717" s="2" t="s">
        <v>2024</v>
      </c>
      <c r="E717" t="s">
        <v>2011</v>
      </c>
      <c r="F717" s="14" t="s">
        <v>9</v>
      </c>
      <c r="G717" t="s">
        <v>2095</v>
      </c>
      <c r="H717" t="s">
        <v>49</v>
      </c>
      <c r="I717" t="s">
        <v>2102</v>
      </c>
      <c r="K717" s="3"/>
      <c r="M717" s="3"/>
    </row>
    <row r="718" spans="1:13">
      <c r="A718" t="s">
        <v>11</v>
      </c>
      <c r="B718">
        <f ca="1">IF(OR(changes[[#This Row],[Type]]="Checklist",changes[[#This Row],[Type]]="checklist-flat"),1+IF(changes[[#This Row],[Type of change]] = "Edit",COUNTIFS($I$4:changes[[#This Row],[Name]],changes[[#This Row],[Name]], $E$4:changes[[#This Row],[Type of change]], "Edit")),B717)</f>
        <v>1</v>
      </c>
      <c r="C718" s="20">
        <v>44615</v>
      </c>
      <c r="D718" s="2" t="s">
        <v>2024</v>
      </c>
      <c r="E718" t="s">
        <v>2011</v>
      </c>
      <c r="F718" s="14" t="s">
        <v>9</v>
      </c>
      <c r="G718" t="s">
        <v>2095</v>
      </c>
      <c r="H718" t="s">
        <v>49</v>
      </c>
      <c r="I718" t="s">
        <v>859</v>
      </c>
      <c r="K718" s="3"/>
      <c r="M718" s="3"/>
    </row>
    <row r="719" spans="1:13">
      <c r="A719" t="s">
        <v>11</v>
      </c>
      <c r="B719">
        <f ca="1">IF(OR(changes[[#This Row],[Type]]="Checklist",changes[[#This Row],[Type]]="checklist-flat"),1+IF(changes[[#This Row],[Type of change]] = "Edit",COUNTIFS($I$4:changes[[#This Row],[Name]],changes[[#This Row],[Name]], $E$4:changes[[#This Row],[Type of change]], "Edit")),B718)</f>
        <v>1</v>
      </c>
      <c r="C719" s="20">
        <v>44615</v>
      </c>
      <c r="D719" s="2" t="s">
        <v>2024</v>
      </c>
      <c r="E719" t="s">
        <v>2011</v>
      </c>
      <c r="F719" s="14" t="s">
        <v>9</v>
      </c>
      <c r="G719" t="s">
        <v>2095</v>
      </c>
      <c r="H719" t="s">
        <v>49</v>
      </c>
      <c r="I719" t="s">
        <v>2103</v>
      </c>
      <c r="K719" s="3"/>
      <c r="M719" s="3"/>
    </row>
    <row r="720" spans="1:13">
      <c r="A720" t="s">
        <v>11</v>
      </c>
      <c r="B720">
        <f ca="1">IF(OR(changes[[#This Row],[Type]]="Checklist",changes[[#This Row],[Type]]="checklist-flat"),1+IF(changes[[#This Row],[Type of change]] = "Edit",COUNTIFS($I$4:changes[[#This Row],[Name]],changes[[#This Row],[Name]], $E$4:changes[[#This Row],[Type of change]], "Edit")),B719)</f>
        <v>1</v>
      </c>
      <c r="C720" s="20">
        <v>44615</v>
      </c>
      <c r="D720" s="2" t="s">
        <v>2024</v>
      </c>
      <c r="E720" t="s">
        <v>2011</v>
      </c>
      <c r="F720" s="14" t="s">
        <v>9</v>
      </c>
      <c r="G720" t="s">
        <v>2095</v>
      </c>
      <c r="H720" t="s">
        <v>49</v>
      </c>
      <c r="I720" t="s">
        <v>2104</v>
      </c>
      <c r="K720" s="3"/>
      <c r="M720" s="3"/>
    </row>
    <row r="721" spans="1:13">
      <c r="A721" t="s">
        <v>11</v>
      </c>
      <c r="B721">
        <f ca="1">IF(OR(changes[[#This Row],[Type]]="Checklist",changes[[#This Row],[Type]]="checklist-flat"),1+IF(changes[[#This Row],[Type of change]] = "Edit",COUNTIFS($I$4:changes[[#This Row],[Name]],changes[[#This Row],[Name]], $E$4:changes[[#This Row],[Type of change]], "Edit")),B720)</f>
        <v>1</v>
      </c>
      <c r="C721" s="20">
        <v>44615</v>
      </c>
      <c r="D721" s="2" t="s">
        <v>2024</v>
      </c>
      <c r="E721" t="s">
        <v>2011</v>
      </c>
      <c r="F721" s="14" t="s">
        <v>9</v>
      </c>
      <c r="G721" t="s">
        <v>2095</v>
      </c>
      <c r="H721" t="s">
        <v>49</v>
      </c>
      <c r="I721" t="s">
        <v>2105</v>
      </c>
      <c r="K721" s="3"/>
      <c r="M721" s="3"/>
    </row>
    <row r="722" spans="1:13">
      <c r="A722" t="s">
        <v>11</v>
      </c>
      <c r="B722">
        <f ca="1">IF(OR(changes[[#This Row],[Type]]="Checklist",changes[[#This Row],[Type]]="checklist-flat"),1+IF(changes[[#This Row],[Type of change]] = "Edit",COUNTIFS($I$4:changes[[#This Row],[Name]],changes[[#This Row],[Name]], $E$4:changes[[#This Row],[Type of change]], "Edit")),B721)</f>
        <v>1</v>
      </c>
      <c r="C722" s="20">
        <v>44615</v>
      </c>
      <c r="D722" s="2" t="s">
        <v>2024</v>
      </c>
      <c r="E722" t="s">
        <v>2011</v>
      </c>
      <c r="F722" s="14" t="s">
        <v>9</v>
      </c>
      <c r="G722" t="s">
        <v>2095</v>
      </c>
      <c r="H722" t="s">
        <v>49</v>
      </c>
      <c r="I722" t="s">
        <v>2106</v>
      </c>
      <c r="K722" s="3"/>
      <c r="M722" s="3"/>
    </row>
    <row r="723" spans="1:13">
      <c r="A723" t="s">
        <v>11</v>
      </c>
      <c r="B723">
        <f ca="1">IF(OR(changes[[#This Row],[Type]]="Checklist",changes[[#This Row],[Type]]="checklist-flat"),1+IF(changes[[#This Row],[Type of change]] = "Edit",COUNTIFS($I$4:changes[[#This Row],[Name]],changes[[#This Row],[Name]], $E$4:changes[[#This Row],[Type of change]], "Edit")),B722)</f>
        <v>1</v>
      </c>
      <c r="C723" s="20">
        <v>44615</v>
      </c>
      <c r="D723" s="2" t="s">
        <v>2024</v>
      </c>
      <c r="E723" t="s">
        <v>2011</v>
      </c>
      <c r="F723" s="14" t="s">
        <v>9</v>
      </c>
      <c r="G723" t="s">
        <v>2095</v>
      </c>
      <c r="H723" t="s">
        <v>49</v>
      </c>
      <c r="I723" t="s">
        <v>2107</v>
      </c>
      <c r="K723" s="3"/>
      <c r="M723" s="3"/>
    </row>
    <row r="724" spans="1:13">
      <c r="A724" t="s">
        <v>11</v>
      </c>
      <c r="B724">
        <f ca="1">IF(OR(changes[[#This Row],[Type]]="Checklist",changes[[#This Row],[Type]]="checklist-flat"),1+IF(changes[[#This Row],[Type of change]] = "Edit",COUNTIFS($I$4:changes[[#This Row],[Name]],changes[[#This Row],[Name]], $E$4:changes[[#This Row],[Type of change]], "Edit")),B723)</f>
        <v>1</v>
      </c>
      <c r="C724" s="20">
        <v>44615</v>
      </c>
      <c r="D724" s="2" t="s">
        <v>2024</v>
      </c>
      <c r="E724" t="s">
        <v>2011</v>
      </c>
      <c r="F724" s="14" t="s">
        <v>9</v>
      </c>
      <c r="G724" t="s">
        <v>2095</v>
      </c>
      <c r="H724" t="s">
        <v>49</v>
      </c>
      <c r="I724" t="s">
        <v>2108</v>
      </c>
      <c r="K724" s="3"/>
      <c r="M724" s="3"/>
    </row>
    <row r="725" spans="1:13">
      <c r="A725" t="s">
        <v>11</v>
      </c>
      <c r="B725">
        <f ca="1">IF(OR(changes[[#This Row],[Type]]="Checklist",changes[[#This Row],[Type]]="checklist-flat"),1+IF(changes[[#This Row],[Type of change]] = "Edit",COUNTIFS($I$4:changes[[#This Row],[Name]],changes[[#This Row],[Name]], $E$4:changes[[#This Row],[Type of change]], "Edit")),B724)</f>
        <v>1</v>
      </c>
      <c r="C725" s="20">
        <v>44615</v>
      </c>
      <c r="D725" s="2" t="s">
        <v>2024</v>
      </c>
      <c r="E725" t="s">
        <v>2011</v>
      </c>
      <c r="F725" s="14" t="s">
        <v>9</v>
      </c>
      <c r="G725" t="s">
        <v>2095</v>
      </c>
      <c r="H725" t="s">
        <v>49</v>
      </c>
      <c r="I725" t="s">
        <v>2109</v>
      </c>
      <c r="K725" s="3"/>
      <c r="M725" s="3"/>
    </row>
    <row r="726" spans="1:13">
      <c r="A726" t="s">
        <v>11</v>
      </c>
      <c r="B726">
        <f ca="1">IF(OR(changes[[#This Row],[Type]]="Checklist",changes[[#This Row],[Type]]="checklist-flat"),1+IF(changes[[#This Row],[Type of change]] = "Edit",COUNTIFS($I$4:changes[[#This Row],[Name]],changes[[#This Row],[Name]], $E$4:changes[[#This Row],[Type of change]], "Edit")),B725)</f>
        <v>1</v>
      </c>
      <c r="C726" s="20">
        <v>44615</v>
      </c>
      <c r="D726" s="2" t="s">
        <v>2024</v>
      </c>
      <c r="E726" t="s">
        <v>2011</v>
      </c>
      <c r="F726" s="14" t="s">
        <v>9</v>
      </c>
      <c r="G726" t="s">
        <v>2095</v>
      </c>
      <c r="H726" t="s">
        <v>49</v>
      </c>
      <c r="I726" t="s">
        <v>2110</v>
      </c>
      <c r="K726" s="3"/>
      <c r="M726" s="3"/>
    </row>
    <row r="727" spans="1:13">
      <c r="A727" t="s">
        <v>11</v>
      </c>
      <c r="B727">
        <f ca="1">IF(OR(changes[[#This Row],[Type]]="Checklist",changes[[#This Row],[Type]]="checklist-flat"),1+IF(changes[[#This Row],[Type of change]] = "Edit",COUNTIFS($I$4:changes[[#This Row],[Name]],changes[[#This Row],[Name]], $E$4:changes[[#This Row],[Type of change]], "Edit")),B726)</f>
        <v>1</v>
      </c>
      <c r="C727" s="20">
        <v>44615</v>
      </c>
      <c r="D727" s="2" t="s">
        <v>2024</v>
      </c>
      <c r="E727" t="s">
        <v>2011</v>
      </c>
      <c r="F727" s="14" t="s">
        <v>9</v>
      </c>
      <c r="G727" t="s">
        <v>2095</v>
      </c>
      <c r="H727" t="s">
        <v>49</v>
      </c>
      <c r="I727" t="s">
        <v>2092</v>
      </c>
      <c r="K727" s="3"/>
      <c r="M727" s="3"/>
    </row>
    <row r="728" spans="1:13">
      <c r="A728" t="s">
        <v>11</v>
      </c>
      <c r="B728">
        <f ca="1">IF(OR(changes[[#This Row],[Type]]="Checklist",changes[[#This Row],[Type]]="checklist-flat"),1+IF(changes[[#This Row],[Type of change]] = "Edit",COUNTIFS($I$4:changes[[#This Row],[Name]],changes[[#This Row],[Name]], $E$4:changes[[#This Row],[Type of change]], "Edit")),B727)</f>
        <v>1</v>
      </c>
      <c r="C728" s="20">
        <v>44615</v>
      </c>
      <c r="D728" s="2" t="s">
        <v>2024</v>
      </c>
      <c r="E728" t="s">
        <v>2011</v>
      </c>
      <c r="F728" s="14" t="s">
        <v>9</v>
      </c>
      <c r="G728" t="s">
        <v>2095</v>
      </c>
      <c r="H728" t="s">
        <v>49</v>
      </c>
      <c r="I728" t="s">
        <v>2093</v>
      </c>
      <c r="K728" s="3"/>
      <c r="M728" s="3"/>
    </row>
    <row r="729" spans="1:13">
      <c r="A729" t="s">
        <v>11</v>
      </c>
      <c r="B729">
        <f ca="1">IF(OR(changes[[#This Row],[Type]]="Checklist",changes[[#This Row],[Type]]="checklist-flat"),1+IF(changes[[#This Row],[Type of change]] = "Edit",COUNTIFS($I$4:changes[[#This Row],[Name]],changes[[#This Row],[Name]], $E$4:changes[[#This Row],[Type of change]], "Edit")),B728)</f>
        <v>1</v>
      </c>
      <c r="C729" s="20">
        <v>44621</v>
      </c>
      <c r="D729" s="2" t="s">
        <v>2025</v>
      </c>
      <c r="E729" t="s">
        <v>2011</v>
      </c>
      <c r="F729" s="14" t="s">
        <v>9</v>
      </c>
      <c r="G729" t="s">
        <v>1163</v>
      </c>
      <c r="H729" t="s">
        <v>119</v>
      </c>
      <c r="I729" t="s">
        <v>2111</v>
      </c>
      <c r="K729" s="3"/>
      <c r="M729" s="3" t="s">
        <v>2112</v>
      </c>
    </row>
    <row r="730" spans="1:13">
      <c r="A730" t="s">
        <v>11</v>
      </c>
      <c r="B730">
        <f ca="1">IF(OR(changes[[#This Row],[Type]]="Checklist",changes[[#This Row],[Type]]="checklist-flat"),1+IF(changes[[#This Row],[Type of change]] = "Edit",COUNTIFS($I$4:changes[[#This Row],[Name]],changes[[#This Row],[Name]], $E$4:changes[[#This Row],[Type of change]], "Edit")),B729)</f>
        <v>1</v>
      </c>
      <c r="C730" s="20">
        <v>44621</v>
      </c>
      <c r="D730" s="2" t="s">
        <v>2025</v>
      </c>
      <c r="E730" t="s">
        <v>2011</v>
      </c>
      <c r="F730" s="14" t="s">
        <v>9</v>
      </c>
      <c r="G730" t="s">
        <v>1163</v>
      </c>
      <c r="H730" t="s">
        <v>49</v>
      </c>
      <c r="I730" t="s">
        <v>1164</v>
      </c>
      <c r="K730" s="3"/>
      <c r="M730" s="3"/>
    </row>
    <row r="731" spans="1:13">
      <c r="A731" t="s">
        <v>11</v>
      </c>
      <c r="B731">
        <f ca="1">IF(OR(changes[[#This Row],[Type]]="Checklist",changes[[#This Row],[Type]]="checklist-flat"),1+IF(changes[[#This Row],[Type of change]] = "Edit",COUNTIFS($I$4:changes[[#This Row],[Name]],changes[[#This Row],[Name]], $E$4:changes[[#This Row],[Type of change]], "Edit")),B730)</f>
        <v>1</v>
      </c>
      <c r="C731" s="20">
        <v>44621</v>
      </c>
      <c r="D731" s="2" t="s">
        <v>2025</v>
      </c>
      <c r="E731" t="s">
        <v>2011</v>
      </c>
      <c r="F731" s="14" t="s">
        <v>9</v>
      </c>
      <c r="G731" t="s">
        <v>1163</v>
      </c>
      <c r="H731" t="s">
        <v>49</v>
      </c>
      <c r="I731" t="s">
        <v>1165</v>
      </c>
      <c r="K731" s="3"/>
      <c r="M731" s="3"/>
    </row>
    <row r="732" spans="1:13">
      <c r="A732" t="s">
        <v>11</v>
      </c>
      <c r="B732">
        <f ca="1">IF(OR(changes[[#This Row],[Type]]="Checklist",changes[[#This Row],[Type]]="checklist-flat"),1+IF(changes[[#This Row],[Type of change]] = "Edit",COUNTIFS($I$4:changes[[#This Row],[Name]],changes[[#This Row],[Name]], $E$4:changes[[#This Row],[Type of change]], "Edit")),B731)</f>
        <v>1</v>
      </c>
      <c r="C732" s="20">
        <v>44621</v>
      </c>
      <c r="D732" s="2" t="s">
        <v>2025</v>
      </c>
      <c r="E732" t="s">
        <v>2011</v>
      </c>
      <c r="F732" s="14" t="s">
        <v>9</v>
      </c>
      <c r="G732" t="s">
        <v>1163</v>
      </c>
      <c r="H732" t="s">
        <v>49</v>
      </c>
      <c r="I732" t="s">
        <v>1166</v>
      </c>
      <c r="K732" s="3"/>
      <c r="M732" s="3"/>
    </row>
    <row r="733" spans="1:13">
      <c r="A733" t="s">
        <v>11</v>
      </c>
      <c r="B733">
        <f ca="1">IF(OR(changes[[#This Row],[Type]]="Checklist",changes[[#This Row],[Type]]="checklist-flat"),1+IF(changes[[#This Row],[Type of change]] = "Edit",COUNTIFS($I$4:changes[[#This Row],[Name]],changes[[#This Row],[Name]], $E$4:changes[[#This Row],[Type of change]], "Edit")),B732)</f>
        <v>1</v>
      </c>
      <c r="C733" s="20">
        <v>44621</v>
      </c>
      <c r="D733" s="2" t="s">
        <v>2025</v>
      </c>
      <c r="E733" t="s">
        <v>2011</v>
      </c>
      <c r="F733" s="14" t="s">
        <v>9</v>
      </c>
      <c r="G733" t="s">
        <v>1163</v>
      </c>
      <c r="H733" t="s">
        <v>49</v>
      </c>
      <c r="I733" t="s">
        <v>1167</v>
      </c>
      <c r="K733" s="3"/>
      <c r="M733" s="3"/>
    </row>
    <row r="734" spans="1:13">
      <c r="A734" t="s">
        <v>11</v>
      </c>
      <c r="B734">
        <f ca="1">IF(OR(changes[[#This Row],[Type]]="Checklist",changes[[#This Row],[Type]]="checklist-flat"),1+IF(changes[[#This Row],[Type of change]] = "Edit",COUNTIFS($I$4:changes[[#This Row],[Name]],changes[[#This Row],[Name]], $E$4:changes[[#This Row],[Type of change]], "Edit")),B733)</f>
        <v>1</v>
      </c>
      <c r="C734" s="20">
        <v>44621</v>
      </c>
      <c r="D734" s="2" t="s">
        <v>2025</v>
      </c>
      <c r="E734" t="s">
        <v>2011</v>
      </c>
      <c r="F734" s="14" t="s">
        <v>9</v>
      </c>
      <c r="G734" t="s">
        <v>1163</v>
      </c>
      <c r="H734" t="s">
        <v>58</v>
      </c>
      <c r="I734" t="s">
        <v>883</v>
      </c>
      <c r="K734" s="3"/>
      <c r="M734" s="3"/>
    </row>
    <row r="735" spans="1:13">
      <c r="A735" t="s">
        <v>11</v>
      </c>
      <c r="B735">
        <f ca="1">IF(OR(changes[[#This Row],[Type]]="Checklist",changes[[#This Row],[Type]]="checklist-flat"),1+IF(changes[[#This Row],[Type of change]] = "Edit",COUNTIFS($I$4:changes[[#This Row],[Name]],changes[[#This Row],[Name]], $E$4:changes[[#This Row],[Type of change]], "Edit")),B734)</f>
        <v>1</v>
      </c>
      <c r="C735" s="20">
        <v>44621</v>
      </c>
      <c r="D735" s="2" t="s">
        <v>2025</v>
      </c>
      <c r="E735" t="s">
        <v>2011</v>
      </c>
      <c r="F735" s="14" t="s">
        <v>9</v>
      </c>
      <c r="G735" t="s">
        <v>1168</v>
      </c>
      <c r="H735" t="s">
        <v>119</v>
      </c>
      <c r="I735" t="s">
        <v>1168</v>
      </c>
      <c r="K735" s="3"/>
      <c r="M735" s="3" t="s">
        <v>2112</v>
      </c>
    </row>
    <row r="736" spans="1:13">
      <c r="A736" t="s">
        <v>11</v>
      </c>
      <c r="B736">
        <f ca="1">IF(OR(changes[[#This Row],[Type]]="Checklist",changes[[#This Row],[Type]]="checklist-flat"),1+IF(changes[[#This Row],[Type of change]] = "Edit",COUNTIFS($I$4:changes[[#This Row],[Name]],changes[[#This Row],[Name]], $E$4:changes[[#This Row],[Type of change]], "Edit")),B735)</f>
        <v>1</v>
      </c>
      <c r="C736" s="20">
        <v>44621</v>
      </c>
      <c r="D736" s="2" t="s">
        <v>2025</v>
      </c>
      <c r="E736" t="s">
        <v>2011</v>
      </c>
      <c r="F736" s="14" t="s">
        <v>9</v>
      </c>
      <c r="G736" t="s">
        <v>1168</v>
      </c>
      <c r="H736" t="s">
        <v>49</v>
      </c>
      <c r="I736" t="s">
        <v>1169</v>
      </c>
      <c r="K736" s="3"/>
      <c r="M736" s="3"/>
    </row>
    <row r="737" spans="1:13">
      <c r="A737" t="s">
        <v>11</v>
      </c>
      <c r="B737">
        <f ca="1">IF(OR(changes[[#This Row],[Type]]="Checklist",changes[[#This Row],[Type]]="checklist-flat"),1+IF(changes[[#This Row],[Type of change]] = "Edit",COUNTIFS($I$4:changes[[#This Row],[Name]],changes[[#This Row],[Name]], $E$4:changes[[#This Row],[Type of change]], "Edit")),B736)</f>
        <v>1</v>
      </c>
      <c r="C737" s="20">
        <v>44621</v>
      </c>
      <c r="D737" s="2" t="s">
        <v>2025</v>
      </c>
      <c r="E737" t="s">
        <v>2011</v>
      </c>
      <c r="F737" s="14" t="s">
        <v>9</v>
      </c>
      <c r="G737" t="s">
        <v>1168</v>
      </c>
      <c r="H737" t="s">
        <v>49</v>
      </c>
      <c r="I737" t="s">
        <v>1170</v>
      </c>
      <c r="K737" s="3"/>
      <c r="M737" s="3"/>
    </row>
    <row r="738" spans="1:13">
      <c r="A738" t="s">
        <v>11</v>
      </c>
      <c r="B738">
        <f ca="1">IF(OR(changes[[#This Row],[Type]]="Checklist",changes[[#This Row],[Type]]="checklist-flat"),1+IF(changes[[#This Row],[Type of change]] = "Edit",COUNTIFS($I$4:changes[[#This Row],[Name]],changes[[#This Row],[Name]], $E$4:changes[[#This Row],[Type of change]], "Edit")),B737)</f>
        <v>1</v>
      </c>
      <c r="C738" s="20">
        <v>44621</v>
      </c>
      <c r="D738" s="2" t="s">
        <v>2025</v>
      </c>
      <c r="E738" t="s">
        <v>2011</v>
      </c>
      <c r="F738" s="14" t="s">
        <v>9</v>
      </c>
      <c r="G738" t="s">
        <v>1168</v>
      </c>
      <c r="H738" t="s">
        <v>49</v>
      </c>
      <c r="I738" t="s">
        <v>1171</v>
      </c>
      <c r="K738" s="3"/>
      <c r="M738" s="3"/>
    </row>
    <row r="739" spans="1:13">
      <c r="A739" t="s">
        <v>11</v>
      </c>
      <c r="B739">
        <f ca="1">IF(OR(changes[[#This Row],[Type]]="Checklist",changes[[#This Row],[Type]]="checklist-flat"),1+IF(changes[[#This Row],[Type of change]] = "Edit",COUNTIFS($I$4:changes[[#This Row],[Name]],changes[[#This Row],[Name]], $E$4:changes[[#This Row],[Type of change]], "Edit")),B738)</f>
        <v>1</v>
      </c>
      <c r="C739" s="20">
        <v>44621</v>
      </c>
      <c r="D739" s="2" t="s">
        <v>2025</v>
      </c>
      <c r="E739" t="s">
        <v>2011</v>
      </c>
      <c r="F739" s="14" t="s">
        <v>9</v>
      </c>
      <c r="G739" t="s">
        <v>1168</v>
      </c>
      <c r="H739" t="s">
        <v>49</v>
      </c>
      <c r="I739" t="s">
        <v>1167</v>
      </c>
      <c r="K739" s="3"/>
      <c r="M739" s="3"/>
    </row>
    <row r="740" spans="1:13">
      <c r="A740" t="s">
        <v>11</v>
      </c>
      <c r="B740">
        <f ca="1">IF(OR(changes[[#This Row],[Type]]="Checklist",changes[[#This Row],[Type]]="checklist-flat"),1+IF(changes[[#This Row],[Type of change]] = "Edit",COUNTIFS($I$4:changes[[#This Row],[Name]],changes[[#This Row],[Name]], $E$4:changes[[#This Row],[Type of change]], "Edit")),B739)</f>
        <v>1</v>
      </c>
      <c r="C740" s="20">
        <v>44621</v>
      </c>
      <c r="D740" s="2" t="s">
        <v>2025</v>
      </c>
      <c r="E740" t="s">
        <v>2011</v>
      </c>
      <c r="F740" s="14" t="s">
        <v>9</v>
      </c>
      <c r="G740" t="s">
        <v>1168</v>
      </c>
      <c r="H740" t="s">
        <v>49</v>
      </c>
      <c r="I740" t="s">
        <v>1172</v>
      </c>
      <c r="K740" s="3"/>
      <c r="M740" s="3"/>
    </row>
    <row r="741" spans="1:13">
      <c r="A741" t="s">
        <v>11</v>
      </c>
      <c r="B741">
        <f ca="1">IF(OR(changes[[#This Row],[Type]]="Checklist",changes[[#This Row],[Type]]="checklist-flat"),1+IF(changes[[#This Row],[Type of change]] = "Edit",COUNTIFS($I$4:changes[[#This Row],[Name]],changes[[#This Row],[Name]], $E$4:changes[[#This Row],[Type of change]], "Edit")),B740)</f>
        <v>1</v>
      </c>
      <c r="C741" s="20">
        <v>44621</v>
      </c>
      <c r="D741" s="2" t="s">
        <v>2025</v>
      </c>
      <c r="E741" t="s">
        <v>2011</v>
      </c>
      <c r="F741" s="14" t="s">
        <v>9</v>
      </c>
      <c r="G741" t="s">
        <v>1168</v>
      </c>
      <c r="H741" t="s">
        <v>58</v>
      </c>
      <c r="I741" t="s">
        <v>883</v>
      </c>
      <c r="K741" s="3"/>
      <c r="M741" s="3"/>
    </row>
    <row r="742" spans="1:13">
      <c r="A742" t="s">
        <v>28</v>
      </c>
      <c r="B742">
        <f ca="1">IF(OR(changes[[#This Row],[Type]]="Checklist",changes[[#This Row],[Type]]="checklist-flat"),1+IF(changes[[#This Row],[Type of change]] = "Edit",COUNTIFS($I$4:changes[[#This Row],[Name]],changes[[#This Row],[Name]], $E$4:changes[[#This Row],[Type of change]], "Edit")),B741)</f>
        <v>1</v>
      </c>
      <c r="C742" s="20">
        <v>44621</v>
      </c>
      <c r="D742" s="2" t="s">
        <v>2025</v>
      </c>
      <c r="E742" t="s">
        <v>2011</v>
      </c>
      <c r="F742" s="14" t="s">
        <v>9</v>
      </c>
      <c r="G742" t="s">
        <v>2113</v>
      </c>
      <c r="H742" t="s">
        <v>119</v>
      </c>
      <c r="I742" t="s">
        <v>933</v>
      </c>
      <c r="K742" s="3"/>
      <c r="M742" s="3" t="s">
        <v>2114</v>
      </c>
    </row>
    <row r="743" spans="1:13">
      <c r="A743" t="s">
        <v>28</v>
      </c>
      <c r="B743">
        <f ca="1">IF(OR(changes[[#This Row],[Type]]="Checklist",changes[[#This Row],[Type]]="checklist-flat"),1+IF(changes[[#This Row],[Type of change]] = "Edit",COUNTIFS($I$4:changes[[#This Row],[Name]],changes[[#This Row],[Name]], $E$4:changes[[#This Row],[Type of change]], "Edit")),B742)</f>
        <v>1</v>
      </c>
      <c r="C743" s="20">
        <v>44621</v>
      </c>
      <c r="D743" s="2" t="s">
        <v>2025</v>
      </c>
      <c r="E743" t="s">
        <v>2011</v>
      </c>
      <c r="F743" s="14" t="s">
        <v>9</v>
      </c>
      <c r="G743" t="s">
        <v>2113</v>
      </c>
      <c r="H743" t="s">
        <v>49</v>
      </c>
      <c r="I743" t="s">
        <v>934</v>
      </c>
      <c r="K743" s="3"/>
      <c r="M743" s="3"/>
    </row>
    <row r="744" spans="1:13">
      <c r="A744" t="s">
        <v>28</v>
      </c>
      <c r="B744">
        <f ca="1">IF(OR(changes[[#This Row],[Type]]="Checklist",changes[[#This Row],[Type]]="checklist-flat"),1+IF(changes[[#This Row],[Type of change]] = "Edit",COUNTIFS($I$4:changes[[#This Row],[Name]],changes[[#This Row],[Name]], $E$4:changes[[#This Row],[Type of change]], "Edit")),B743)</f>
        <v>1</v>
      </c>
      <c r="C744" s="20">
        <v>44621</v>
      </c>
      <c r="D744" s="2" t="s">
        <v>2025</v>
      </c>
      <c r="E744" t="s">
        <v>2011</v>
      </c>
      <c r="F744" s="14" t="s">
        <v>9</v>
      </c>
      <c r="G744" t="s">
        <v>2113</v>
      </c>
      <c r="H744" t="s">
        <v>49</v>
      </c>
      <c r="I744" t="s">
        <v>935</v>
      </c>
      <c r="K744" s="3"/>
      <c r="M744" s="3"/>
    </row>
    <row r="745" spans="1:13">
      <c r="A745" t="s">
        <v>28</v>
      </c>
      <c r="B745">
        <f ca="1">IF(OR(changes[[#This Row],[Type]]="Checklist",changes[[#This Row],[Type]]="checklist-flat"),1+IF(changes[[#This Row],[Type of change]] = "Edit",COUNTIFS($I$4:changes[[#This Row],[Name]],changes[[#This Row],[Name]], $E$4:changes[[#This Row],[Type of change]], "Edit")),B744)</f>
        <v>1</v>
      </c>
      <c r="C745" s="20">
        <v>44621</v>
      </c>
      <c r="D745" s="2" t="s">
        <v>2025</v>
      </c>
      <c r="E745" t="s">
        <v>2011</v>
      </c>
      <c r="F745" s="14" t="s">
        <v>9</v>
      </c>
      <c r="G745" t="s">
        <v>2113</v>
      </c>
      <c r="H745" t="s">
        <v>49</v>
      </c>
      <c r="I745" t="s">
        <v>936</v>
      </c>
      <c r="K745" s="3"/>
      <c r="M745" s="3"/>
    </row>
    <row r="746" spans="1:13">
      <c r="A746" t="s">
        <v>28</v>
      </c>
      <c r="B746">
        <f ca="1">IF(OR(changes[[#This Row],[Type]]="Checklist",changes[[#This Row],[Type]]="checklist-flat"),1+IF(changes[[#This Row],[Type of change]] = "Edit",COUNTIFS($I$4:changes[[#This Row],[Name]],changes[[#This Row],[Name]], $E$4:changes[[#This Row],[Type of change]], "Edit")),B745)</f>
        <v>1</v>
      </c>
      <c r="C746" s="20">
        <v>44621</v>
      </c>
      <c r="D746" s="2" t="s">
        <v>2025</v>
      </c>
      <c r="E746" t="s">
        <v>2011</v>
      </c>
      <c r="F746" s="14" t="s">
        <v>9</v>
      </c>
      <c r="G746" t="s">
        <v>2113</v>
      </c>
      <c r="H746" t="s">
        <v>49</v>
      </c>
      <c r="I746" t="s">
        <v>937</v>
      </c>
      <c r="K746" s="3"/>
      <c r="M746" s="3"/>
    </row>
    <row r="747" spans="1:13">
      <c r="A747" t="s">
        <v>28</v>
      </c>
      <c r="B747">
        <f ca="1">IF(OR(changes[[#This Row],[Type]]="Checklist",changes[[#This Row],[Type]]="checklist-flat"),1+IF(changes[[#This Row],[Type of change]] = "Edit",COUNTIFS($I$4:changes[[#This Row],[Name]],changes[[#This Row],[Name]], $E$4:changes[[#This Row],[Type of change]], "Edit")),B746)</f>
        <v>1</v>
      </c>
      <c r="C747" s="20">
        <v>44621</v>
      </c>
      <c r="D747" s="2" t="s">
        <v>2025</v>
      </c>
      <c r="E747" t="s">
        <v>2011</v>
      </c>
      <c r="F747" s="14" t="s">
        <v>9</v>
      </c>
      <c r="G747" t="s">
        <v>2113</v>
      </c>
      <c r="H747" t="s">
        <v>49</v>
      </c>
      <c r="I747" t="s">
        <v>938</v>
      </c>
      <c r="K747" s="3"/>
      <c r="M747" s="3"/>
    </row>
    <row r="748" spans="1:13">
      <c r="A748" t="s">
        <v>28</v>
      </c>
      <c r="B748">
        <f ca="1">IF(OR(changes[[#This Row],[Type]]="Checklist",changes[[#This Row],[Type]]="checklist-flat"),1+IF(changes[[#This Row],[Type of change]] = "Edit",COUNTIFS($I$4:changes[[#This Row],[Name]],changes[[#This Row],[Name]], $E$4:changes[[#This Row],[Type of change]], "Edit")),B747)</f>
        <v>1</v>
      </c>
      <c r="C748" s="20">
        <v>44621</v>
      </c>
      <c r="D748" s="2" t="s">
        <v>2025</v>
      </c>
      <c r="E748" t="s">
        <v>2011</v>
      </c>
      <c r="F748" s="14" t="s">
        <v>9</v>
      </c>
      <c r="G748" t="s">
        <v>2113</v>
      </c>
      <c r="H748" t="s">
        <v>58</v>
      </c>
      <c r="I748" t="s">
        <v>908</v>
      </c>
      <c r="K748" s="3"/>
      <c r="M748" s="3"/>
    </row>
    <row r="749" spans="1:13">
      <c r="A749" t="s">
        <v>28</v>
      </c>
      <c r="B749">
        <f ca="1">IF(OR(changes[[#This Row],[Type]]="Checklist",changes[[#This Row],[Type]]="checklist-flat"),1+IF(changes[[#This Row],[Type of change]] = "Edit",COUNTIFS($I$4:changes[[#This Row],[Name]],changes[[#This Row],[Name]], $E$4:changes[[#This Row],[Type of change]], "Edit")),B748)</f>
        <v>1</v>
      </c>
      <c r="C749" s="20">
        <v>44621</v>
      </c>
      <c r="D749" s="2" t="s">
        <v>2025</v>
      </c>
      <c r="E749" t="s">
        <v>2011</v>
      </c>
      <c r="F749" s="14" t="s">
        <v>9</v>
      </c>
      <c r="G749" t="s">
        <v>939</v>
      </c>
      <c r="H749" t="s">
        <v>119</v>
      </c>
      <c r="I749" t="s">
        <v>939</v>
      </c>
      <c r="K749" s="3"/>
      <c r="M749" s="3" t="s">
        <v>2114</v>
      </c>
    </row>
    <row r="750" spans="1:13">
      <c r="A750" t="s">
        <v>28</v>
      </c>
      <c r="B750">
        <f ca="1">IF(OR(changes[[#This Row],[Type]]="Checklist",changes[[#This Row],[Type]]="checklist-flat"),1+IF(changes[[#This Row],[Type of change]] = "Edit",COUNTIFS($I$4:changes[[#This Row],[Name]],changes[[#This Row],[Name]], $E$4:changes[[#This Row],[Type of change]], "Edit")),B749)</f>
        <v>1</v>
      </c>
      <c r="C750" s="20">
        <v>44621</v>
      </c>
      <c r="D750" s="2" t="s">
        <v>2025</v>
      </c>
      <c r="E750" t="s">
        <v>2011</v>
      </c>
      <c r="F750" s="14" t="s">
        <v>9</v>
      </c>
      <c r="G750" t="s">
        <v>939</v>
      </c>
      <c r="H750" t="s">
        <v>49</v>
      </c>
      <c r="I750" t="s">
        <v>940</v>
      </c>
      <c r="K750" s="3"/>
      <c r="M750" s="3"/>
    </row>
    <row r="751" spans="1:13">
      <c r="A751" t="s">
        <v>28</v>
      </c>
      <c r="B751">
        <f ca="1">IF(OR(changes[[#This Row],[Type]]="Checklist",changes[[#This Row],[Type]]="checklist-flat"),1+IF(changes[[#This Row],[Type of change]] = "Edit",COUNTIFS($I$4:changes[[#This Row],[Name]],changes[[#This Row],[Name]], $E$4:changes[[#This Row],[Type of change]], "Edit")),B750)</f>
        <v>1</v>
      </c>
      <c r="C751" s="20">
        <v>44621</v>
      </c>
      <c r="D751" s="2" t="s">
        <v>2025</v>
      </c>
      <c r="E751" t="s">
        <v>2011</v>
      </c>
      <c r="F751" s="14" t="s">
        <v>9</v>
      </c>
      <c r="G751" t="s">
        <v>939</v>
      </c>
      <c r="H751" t="s">
        <v>124</v>
      </c>
      <c r="I751" t="s">
        <v>941</v>
      </c>
      <c r="K751" s="3"/>
      <c r="M751" s="3"/>
    </row>
    <row r="752" spans="1:13">
      <c r="A752" t="s">
        <v>28</v>
      </c>
      <c r="B752">
        <f ca="1">IF(OR(changes[[#This Row],[Type]]="Checklist",changes[[#This Row],[Type]]="checklist-flat"),1+IF(changes[[#This Row],[Type of change]] = "Edit",COUNTIFS($I$4:changes[[#This Row],[Name]],changes[[#This Row],[Name]], $E$4:changes[[#This Row],[Type of change]], "Edit")),B751)</f>
        <v>1</v>
      </c>
      <c r="C752" s="20">
        <v>44621</v>
      </c>
      <c r="D752" s="2" t="s">
        <v>2025</v>
      </c>
      <c r="E752" t="s">
        <v>2011</v>
      </c>
      <c r="F752" s="14" t="s">
        <v>9</v>
      </c>
      <c r="G752" t="s">
        <v>939</v>
      </c>
      <c r="H752" t="s">
        <v>49</v>
      </c>
      <c r="I752" t="s">
        <v>942</v>
      </c>
      <c r="K752" s="3"/>
      <c r="M752" s="3"/>
    </row>
    <row r="753" spans="1:13">
      <c r="A753" t="s">
        <v>28</v>
      </c>
      <c r="B753">
        <f ca="1">IF(OR(changes[[#This Row],[Type]]="Checklist",changes[[#This Row],[Type]]="checklist-flat"),1+IF(changes[[#This Row],[Type of change]] = "Edit",COUNTIFS($I$4:changes[[#This Row],[Name]],changes[[#This Row],[Name]], $E$4:changes[[#This Row],[Type of change]], "Edit")),B752)</f>
        <v>1</v>
      </c>
      <c r="C753" s="20">
        <v>44621</v>
      </c>
      <c r="D753" s="2" t="s">
        <v>2025</v>
      </c>
      <c r="E753" t="s">
        <v>2011</v>
      </c>
      <c r="F753" s="14" t="s">
        <v>9</v>
      </c>
      <c r="G753" t="s">
        <v>939</v>
      </c>
      <c r="H753" t="s">
        <v>49</v>
      </c>
      <c r="I753" t="s">
        <v>943</v>
      </c>
      <c r="K753" s="3"/>
      <c r="M753" s="3"/>
    </row>
    <row r="754" spans="1:13">
      <c r="A754" t="s">
        <v>28</v>
      </c>
      <c r="B754">
        <f ca="1">IF(OR(changes[[#This Row],[Type]]="Checklist",changes[[#This Row],[Type]]="checklist-flat"),1+IF(changes[[#This Row],[Type of change]] = "Edit",COUNTIFS($I$4:changes[[#This Row],[Name]],changes[[#This Row],[Name]], $E$4:changes[[#This Row],[Type of change]], "Edit")),B753)</f>
        <v>1</v>
      </c>
      <c r="C754" s="20">
        <v>44621</v>
      </c>
      <c r="D754" s="2" t="s">
        <v>2025</v>
      </c>
      <c r="E754" t="s">
        <v>2011</v>
      </c>
      <c r="F754" s="14" t="s">
        <v>9</v>
      </c>
      <c r="G754" t="s">
        <v>939</v>
      </c>
      <c r="H754" t="s">
        <v>49</v>
      </c>
      <c r="I754" t="s">
        <v>944</v>
      </c>
      <c r="K754" s="3"/>
      <c r="M754" s="3"/>
    </row>
    <row r="755" spans="1:13">
      <c r="A755" t="s">
        <v>28</v>
      </c>
      <c r="B755">
        <f ca="1">IF(OR(changes[[#This Row],[Type]]="Checklist",changes[[#This Row],[Type]]="checklist-flat"),1+IF(changes[[#This Row],[Type of change]] = "Edit",COUNTIFS($I$4:changes[[#This Row],[Name]],changes[[#This Row],[Name]], $E$4:changes[[#This Row],[Type of change]], "Edit")),B754)</f>
        <v>1</v>
      </c>
      <c r="C755" s="20">
        <v>44621</v>
      </c>
      <c r="D755" s="2" t="s">
        <v>2025</v>
      </c>
      <c r="E755" t="s">
        <v>2011</v>
      </c>
      <c r="F755" s="14" t="s">
        <v>9</v>
      </c>
      <c r="G755" t="s">
        <v>939</v>
      </c>
      <c r="H755" t="s">
        <v>49</v>
      </c>
      <c r="I755" t="s">
        <v>945</v>
      </c>
      <c r="K755" s="3"/>
      <c r="M755" s="3"/>
    </row>
    <row r="756" spans="1:13">
      <c r="A756" t="s">
        <v>28</v>
      </c>
      <c r="B756">
        <f ca="1">IF(OR(changes[[#This Row],[Type]]="Checklist",changes[[#This Row],[Type]]="checklist-flat"),1+IF(changes[[#This Row],[Type of change]] = "Edit",COUNTIFS($I$4:changes[[#This Row],[Name]],changes[[#This Row],[Name]], $E$4:changes[[#This Row],[Type of change]], "Edit")),B755)</f>
        <v>1</v>
      </c>
      <c r="C756" s="20">
        <v>44621</v>
      </c>
      <c r="D756" s="2" t="s">
        <v>2025</v>
      </c>
      <c r="E756" t="s">
        <v>2011</v>
      </c>
      <c r="F756" s="14" t="s">
        <v>9</v>
      </c>
      <c r="G756" t="s">
        <v>939</v>
      </c>
      <c r="H756" t="s">
        <v>49</v>
      </c>
      <c r="I756" t="s">
        <v>946</v>
      </c>
      <c r="K756" s="3"/>
      <c r="M756" s="3"/>
    </row>
    <row r="757" spans="1:13">
      <c r="A757" t="s">
        <v>28</v>
      </c>
      <c r="B757">
        <f ca="1">IF(OR(changes[[#This Row],[Type]]="Checklist",changes[[#This Row],[Type]]="checklist-flat"),1+IF(changes[[#This Row],[Type of change]] = "Edit",COUNTIFS($I$4:changes[[#This Row],[Name]],changes[[#This Row],[Name]], $E$4:changes[[#This Row],[Type of change]], "Edit")),B756)</f>
        <v>1</v>
      </c>
      <c r="C757" s="20">
        <v>44621</v>
      </c>
      <c r="D757" s="2" t="s">
        <v>2025</v>
      </c>
      <c r="E757" t="s">
        <v>2011</v>
      </c>
      <c r="F757" s="14" t="s">
        <v>9</v>
      </c>
      <c r="G757" t="s">
        <v>939</v>
      </c>
      <c r="H757" t="s">
        <v>901</v>
      </c>
      <c r="I757" t="s">
        <v>947</v>
      </c>
      <c r="K757" s="3"/>
      <c r="M757" s="3"/>
    </row>
    <row r="758" spans="1:13">
      <c r="A758" t="s">
        <v>28</v>
      </c>
      <c r="B758">
        <f ca="1">IF(OR(changes[[#This Row],[Type]]="Checklist",changes[[#This Row],[Type]]="checklist-flat"),1+IF(changes[[#This Row],[Type of change]] = "Edit",COUNTIFS($I$4:changes[[#This Row],[Name]],changes[[#This Row],[Name]], $E$4:changes[[#This Row],[Type of change]], "Edit")),B757)</f>
        <v>1</v>
      </c>
      <c r="C758" s="20">
        <v>44621</v>
      </c>
      <c r="D758" s="2" t="s">
        <v>2025</v>
      </c>
      <c r="E758" t="s">
        <v>2011</v>
      </c>
      <c r="F758" s="14" t="s">
        <v>9</v>
      </c>
      <c r="G758" t="s">
        <v>939</v>
      </c>
      <c r="H758" t="s">
        <v>49</v>
      </c>
      <c r="I758" t="s">
        <v>948</v>
      </c>
      <c r="K758" s="3"/>
      <c r="M758" s="3"/>
    </row>
    <row r="759" spans="1:13">
      <c r="A759" t="s">
        <v>28</v>
      </c>
      <c r="B759">
        <f ca="1">IF(OR(changes[[#This Row],[Type]]="Checklist",changes[[#This Row],[Type]]="checklist-flat"),1+IF(changes[[#This Row],[Type of change]] = "Edit",COUNTIFS($I$4:changes[[#This Row],[Name]],changes[[#This Row],[Name]], $E$4:changes[[#This Row],[Type of change]], "Edit")),B758)</f>
        <v>1</v>
      </c>
      <c r="C759" s="20">
        <v>44621</v>
      </c>
      <c r="D759" s="2" t="s">
        <v>2025</v>
      </c>
      <c r="E759" t="s">
        <v>2011</v>
      </c>
      <c r="F759" s="14" t="s">
        <v>9</v>
      </c>
      <c r="G759" t="s">
        <v>939</v>
      </c>
      <c r="H759" t="s">
        <v>58</v>
      </c>
      <c r="I759" t="s">
        <v>908</v>
      </c>
      <c r="K759" s="3"/>
      <c r="M759" s="3"/>
    </row>
    <row r="760" spans="1:13">
      <c r="A760" t="s">
        <v>11</v>
      </c>
      <c r="B760">
        <f ca="1">IF(OR(changes[[#This Row],[Type]]="Checklist",changes[[#This Row],[Type]]="checklist-flat"),1+IF(changes[[#This Row],[Type of change]] = "Edit",COUNTIFS($I$4:changes[[#This Row],[Name]],changes[[#This Row],[Name]], $E$4:changes[[#This Row],[Type of change]], "Edit")),B759)</f>
        <v>1</v>
      </c>
      <c r="C760" s="20">
        <v>44621</v>
      </c>
      <c r="D760" s="2" t="s">
        <v>2025</v>
      </c>
      <c r="E760" t="s">
        <v>2011</v>
      </c>
      <c r="F760" s="14" t="s">
        <v>9</v>
      </c>
      <c r="G760" t="s">
        <v>2115</v>
      </c>
      <c r="H760" t="s">
        <v>119</v>
      </c>
      <c r="I760" t="s">
        <v>2115</v>
      </c>
      <c r="K760" s="3"/>
      <c r="M760" s="3"/>
    </row>
    <row r="761" spans="1:13">
      <c r="A761" t="s">
        <v>11</v>
      </c>
      <c r="B761">
        <f ca="1">IF(OR(changes[[#This Row],[Type]]="Checklist",changes[[#This Row],[Type]]="checklist-flat"),1+IF(changes[[#This Row],[Type of change]] = "Edit",COUNTIFS($I$4:changes[[#This Row],[Name]],changes[[#This Row],[Name]], $E$4:changes[[#This Row],[Type of change]], "Edit")),B760)</f>
        <v>1</v>
      </c>
      <c r="C761" s="20">
        <v>44621</v>
      </c>
      <c r="D761" s="2" t="s">
        <v>2025</v>
      </c>
      <c r="E761" t="s">
        <v>2011</v>
      </c>
      <c r="F761" s="14" t="s">
        <v>9</v>
      </c>
      <c r="G761" t="s">
        <v>2115</v>
      </c>
      <c r="H761" t="s">
        <v>120</v>
      </c>
      <c r="I761" t="s">
        <v>2116</v>
      </c>
      <c r="K761" s="3"/>
      <c r="M761" s="3"/>
    </row>
    <row r="762" spans="1:13">
      <c r="A762" t="s">
        <v>11</v>
      </c>
      <c r="B762">
        <f ca="1">IF(OR(changes[[#This Row],[Type]]="Checklist",changes[[#This Row],[Type]]="checklist-flat"),1+IF(changes[[#This Row],[Type of change]] = "Edit",COUNTIFS($I$4:changes[[#This Row],[Name]],changes[[#This Row],[Name]], $E$4:changes[[#This Row],[Type of change]], "Edit")),B761)</f>
        <v>1</v>
      </c>
      <c r="C762" s="20">
        <v>44621</v>
      </c>
      <c r="D762" s="2" t="s">
        <v>2025</v>
      </c>
      <c r="E762" t="s">
        <v>2011</v>
      </c>
      <c r="F762" s="14" t="s">
        <v>9</v>
      </c>
      <c r="G762" t="s">
        <v>2115</v>
      </c>
      <c r="H762" t="s">
        <v>49</v>
      </c>
      <c r="I762" t="s">
        <v>2117</v>
      </c>
      <c r="K762" s="3"/>
      <c r="M762" s="3"/>
    </row>
    <row r="763" spans="1:13">
      <c r="A763" t="s">
        <v>11</v>
      </c>
      <c r="B763">
        <f ca="1">IF(OR(changes[[#This Row],[Type]]="Checklist",changes[[#This Row],[Type]]="checklist-flat"),1+IF(changes[[#This Row],[Type of change]] = "Edit",COUNTIFS($I$4:changes[[#This Row],[Name]],changes[[#This Row],[Name]], $E$4:changes[[#This Row],[Type of change]], "Edit")),B762)</f>
        <v>1</v>
      </c>
      <c r="C763" s="20">
        <v>44621</v>
      </c>
      <c r="D763" s="2" t="s">
        <v>2025</v>
      </c>
      <c r="E763" t="s">
        <v>2011</v>
      </c>
      <c r="F763" s="14" t="s">
        <v>9</v>
      </c>
      <c r="G763" t="s">
        <v>2115</v>
      </c>
      <c r="H763" t="s">
        <v>49</v>
      </c>
      <c r="I763" t="s">
        <v>2118</v>
      </c>
      <c r="K763" s="3"/>
      <c r="M763" s="3"/>
    </row>
    <row r="764" spans="1:13">
      <c r="A764" t="s">
        <v>11</v>
      </c>
      <c r="B764">
        <f ca="1">IF(OR(changes[[#This Row],[Type]]="Checklist",changes[[#This Row],[Type]]="checklist-flat"),1+IF(changes[[#This Row],[Type of change]] = "Edit",COUNTIFS($I$4:changes[[#This Row],[Name]],changes[[#This Row],[Name]], $E$4:changes[[#This Row],[Type of change]], "Edit")),B763)</f>
        <v>1</v>
      </c>
      <c r="C764" s="20">
        <v>44621</v>
      </c>
      <c r="D764" s="2" t="s">
        <v>2025</v>
      </c>
      <c r="E764" t="s">
        <v>2011</v>
      </c>
      <c r="F764" s="14" t="s">
        <v>9</v>
      </c>
      <c r="G764" t="s">
        <v>2115</v>
      </c>
      <c r="H764" t="s">
        <v>49</v>
      </c>
      <c r="I764" t="s">
        <v>2119</v>
      </c>
      <c r="K764" s="3"/>
      <c r="M764" s="3"/>
    </row>
    <row r="765" spans="1:13">
      <c r="A765" t="s">
        <v>11</v>
      </c>
      <c r="B765">
        <f ca="1">IF(OR(changes[[#This Row],[Type]]="Checklist",changes[[#This Row],[Type]]="checklist-flat"),1+IF(changes[[#This Row],[Type of change]] = "Edit",COUNTIFS($I$4:changes[[#This Row],[Name]],changes[[#This Row],[Name]], $E$4:changes[[#This Row],[Type of change]], "Edit")),B764)</f>
        <v>1</v>
      </c>
      <c r="C765" s="20">
        <v>44621</v>
      </c>
      <c r="D765" s="2" t="s">
        <v>2025</v>
      </c>
      <c r="E765" t="s">
        <v>2011</v>
      </c>
      <c r="F765" s="14" t="s">
        <v>9</v>
      </c>
      <c r="G765" t="s">
        <v>2115</v>
      </c>
      <c r="H765" t="s">
        <v>49</v>
      </c>
      <c r="I765" t="s">
        <v>2120</v>
      </c>
      <c r="K765" s="3"/>
      <c r="M765" s="3"/>
    </row>
    <row r="766" spans="1:13">
      <c r="A766" t="s">
        <v>11</v>
      </c>
      <c r="B766">
        <f ca="1">IF(OR(changes[[#This Row],[Type]]="Checklist",changes[[#This Row],[Type]]="checklist-flat"),1+IF(changes[[#This Row],[Type of change]] = "Edit",COUNTIFS($I$4:changes[[#This Row],[Name]],changes[[#This Row],[Name]], $E$4:changes[[#This Row],[Type of change]], "Edit")),B765)</f>
        <v>1</v>
      </c>
      <c r="C766" s="20">
        <v>44621</v>
      </c>
      <c r="D766" s="2" t="s">
        <v>2025</v>
      </c>
      <c r="E766" t="s">
        <v>2011</v>
      </c>
      <c r="F766" s="14" t="s">
        <v>9</v>
      </c>
      <c r="G766" t="s">
        <v>2115</v>
      </c>
      <c r="H766" t="s">
        <v>58</v>
      </c>
      <c r="I766" t="s">
        <v>908</v>
      </c>
      <c r="K766" s="3"/>
      <c r="M766" s="3"/>
    </row>
    <row r="767" spans="1:13">
      <c r="A767" t="s">
        <v>11</v>
      </c>
      <c r="B767">
        <f ca="1">IF(OR(changes[[#This Row],[Type]]="Checklist",changes[[#This Row],[Type]]="checklist-flat"),1+IF(changes[[#This Row],[Type of change]] = "Edit",COUNTIFS($I$4:changes[[#This Row],[Name]],changes[[#This Row],[Name]], $E$4:changes[[#This Row],[Type of change]], "Edit")),B766)</f>
        <v>1</v>
      </c>
      <c r="C767" s="20">
        <v>44621</v>
      </c>
      <c r="D767" s="2" t="s">
        <v>2025</v>
      </c>
      <c r="E767" t="s">
        <v>2011</v>
      </c>
      <c r="F767" s="14" t="s">
        <v>9</v>
      </c>
      <c r="G767" t="s">
        <v>2115</v>
      </c>
      <c r="H767" t="s">
        <v>120</v>
      </c>
      <c r="I767" t="s">
        <v>2121</v>
      </c>
      <c r="K767" s="3"/>
      <c r="M767" s="3"/>
    </row>
    <row r="768" spans="1:13">
      <c r="A768" t="s">
        <v>11</v>
      </c>
      <c r="B768">
        <f ca="1">IF(OR(changes[[#This Row],[Type]]="Checklist",changes[[#This Row],[Type]]="checklist-flat"),1+IF(changes[[#This Row],[Type of change]] = "Edit",COUNTIFS($I$4:changes[[#This Row],[Name]],changes[[#This Row],[Name]], $E$4:changes[[#This Row],[Type of change]], "Edit")),B767)</f>
        <v>1</v>
      </c>
      <c r="C768" s="20">
        <v>44621</v>
      </c>
      <c r="D768" s="2" t="s">
        <v>2025</v>
      </c>
      <c r="E768" t="s">
        <v>2011</v>
      </c>
      <c r="F768" s="14" t="s">
        <v>9</v>
      </c>
      <c r="G768" t="s">
        <v>2115</v>
      </c>
      <c r="H768" t="s">
        <v>49</v>
      </c>
      <c r="I768" t="s">
        <v>2122</v>
      </c>
      <c r="K768" s="3"/>
      <c r="M768" s="3"/>
    </row>
    <row r="769" spans="1:13">
      <c r="A769" t="s">
        <v>11</v>
      </c>
      <c r="B769">
        <f ca="1">IF(OR(changes[[#This Row],[Type]]="Checklist",changes[[#This Row],[Type]]="checklist-flat"),1+IF(changes[[#This Row],[Type of change]] = "Edit",COUNTIFS($I$4:changes[[#This Row],[Name]],changes[[#This Row],[Name]], $E$4:changes[[#This Row],[Type of change]], "Edit")),B768)</f>
        <v>1</v>
      </c>
      <c r="C769" s="20">
        <v>44621</v>
      </c>
      <c r="D769" s="2" t="s">
        <v>2025</v>
      </c>
      <c r="E769" t="s">
        <v>2011</v>
      </c>
      <c r="F769" s="14" t="s">
        <v>9</v>
      </c>
      <c r="G769" t="s">
        <v>2115</v>
      </c>
      <c r="H769" t="s">
        <v>49</v>
      </c>
      <c r="I769" t="s">
        <v>2123</v>
      </c>
      <c r="K769" s="3"/>
      <c r="M769" s="3"/>
    </row>
    <row r="770" spans="1:13">
      <c r="A770" t="s">
        <v>11</v>
      </c>
      <c r="B770">
        <f ca="1">IF(OR(changes[[#This Row],[Type]]="Checklist",changes[[#This Row],[Type]]="checklist-flat"),1+IF(changes[[#This Row],[Type of change]] = "Edit",COUNTIFS($I$4:changes[[#This Row],[Name]],changes[[#This Row],[Name]], $E$4:changes[[#This Row],[Type of change]], "Edit")),B769)</f>
        <v>1</v>
      </c>
      <c r="C770" s="20">
        <v>44621</v>
      </c>
      <c r="D770" s="2" t="s">
        <v>2025</v>
      </c>
      <c r="E770" t="s">
        <v>2011</v>
      </c>
      <c r="F770" s="14" t="s">
        <v>9</v>
      </c>
      <c r="G770" t="s">
        <v>2115</v>
      </c>
      <c r="H770" t="s">
        <v>49</v>
      </c>
      <c r="I770" t="s">
        <v>2124</v>
      </c>
      <c r="K770" s="3"/>
      <c r="M770" s="3"/>
    </row>
    <row r="771" spans="1:13">
      <c r="A771" t="s">
        <v>11</v>
      </c>
      <c r="B771">
        <f ca="1">IF(OR(changes[[#This Row],[Type]]="Checklist",changes[[#This Row],[Type]]="checklist-flat"),1+IF(changes[[#This Row],[Type of change]] = "Edit",COUNTIFS($I$4:changes[[#This Row],[Name]],changes[[#This Row],[Name]], $E$4:changes[[#This Row],[Type of change]], "Edit")),B770)</f>
        <v>1</v>
      </c>
      <c r="C771" s="20">
        <v>44621</v>
      </c>
      <c r="D771" s="2" t="s">
        <v>2025</v>
      </c>
      <c r="E771" t="s">
        <v>2011</v>
      </c>
      <c r="F771" s="14" t="s">
        <v>9</v>
      </c>
      <c r="G771" t="s">
        <v>2115</v>
      </c>
      <c r="H771" t="s">
        <v>58</v>
      </c>
      <c r="I771" t="s">
        <v>908</v>
      </c>
      <c r="K771" s="3"/>
      <c r="M771" s="3"/>
    </row>
    <row r="772" spans="1:13">
      <c r="A772" t="s">
        <v>11</v>
      </c>
      <c r="B772">
        <f ca="1">IF(OR(changes[[#This Row],[Type]]="Checklist",changes[[#This Row],[Type]]="checklist-flat"),1+IF(changes[[#This Row],[Type of change]] = "Edit",COUNTIFS($I$4:changes[[#This Row],[Name]],changes[[#This Row],[Name]], $E$4:changes[[#This Row],[Type of change]], "Edit")),B771)</f>
        <v>1</v>
      </c>
      <c r="C772" s="20">
        <v>44621</v>
      </c>
      <c r="D772" s="2" t="s">
        <v>2025</v>
      </c>
      <c r="E772" t="s">
        <v>2011</v>
      </c>
      <c r="F772" s="14" t="s">
        <v>9</v>
      </c>
      <c r="G772" t="s">
        <v>2115</v>
      </c>
      <c r="H772" t="s">
        <v>120</v>
      </c>
      <c r="I772" t="s">
        <v>2125</v>
      </c>
      <c r="K772" s="3"/>
      <c r="M772" s="3"/>
    </row>
    <row r="773" spans="1:13">
      <c r="A773" t="s">
        <v>11</v>
      </c>
      <c r="B773">
        <f ca="1">IF(OR(changes[[#This Row],[Type]]="Checklist",changes[[#This Row],[Type]]="checklist-flat"),1+IF(changes[[#This Row],[Type of change]] = "Edit",COUNTIFS($I$4:changes[[#This Row],[Name]],changes[[#This Row],[Name]], $E$4:changes[[#This Row],[Type of change]], "Edit")),B772)</f>
        <v>1</v>
      </c>
      <c r="C773" s="20">
        <v>44621</v>
      </c>
      <c r="D773" s="2" t="s">
        <v>2025</v>
      </c>
      <c r="E773" t="s">
        <v>2011</v>
      </c>
      <c r="F773" s="14" t="s">
        <v>9</v>
      </c>
      <c r="G773" t="s">
        <v>2115</v>
      </c>
      <c r="H773" t="s">
        <v>49</v>
      </c>
      <c r="I773" t="s">
        <v>2126</v>
      </c>
      <c r="K773" s="3"/>
      <c r="M773" s="3"/>
    </row>
    <row r="774" spans="1:13">
      <c r="A774" t="s">
        <v>11</v>
      </c>
      <c r="B774">
        <f ca="1">IF(OR(changes[[#This Row],[Type]]="Checklist",changes[[#This Row],[Type]]="checklist-flat"),1+IF(changes[[#This Row],[Type of change]] = "Edit",COUNTIFS($I$4:changes[[#This Row],[Name]],changes[[#This Row],[Name]], $E$4:changes[[#This Row],[Type of change]], "Edit")),B773)</f>
        <v>1</v>
      </c>
      <c r="C774" s="20">
        <v>44621</v>
      </c>
      <c r="D774" s="2" t="s">
        <v>2025</v>
      </c>
      <c r="E774" t="s">
        <v>2011</v>
      </c>
      <c r="F774" s="14" t="s">
        <v>9</v>
      </c>
      <c r="G774" t="s">
        <v>2115</v>
      </c>
      <c r="H774" t="s">
        <v>49</v>
      </c>
      <c r="I774" t="s">
        <v>2127</v>
      </c>
      <c r="K774" s="3"/>
      <c r="M774" s="3"/>
    </row>
    <row r="775" spans="1:13">
      <c r="A775" t="s">
        <v>11</v>
      </c>
      <c r="B775">
        <f ca="1">IF(OR(changes[[#This Row],[Type]]="Checklist",changes[[#This Row],[Type]]="checklist-flat"),1+IF(changes[[#This Row],[Type of change]] = "Edit",COUNTIFS($I$4:changes[[#This Row],[Name]],changes[[#This Row],[Name]], $E$4:changes[[#This Row],[Type of change]], "Edit")),B774)</f>
        <v>1</v>
      </c>
      <c r="C775" s="20">
        <v>44621</v>
      </c>
      <c r="D775" s="2" t="s">
        <v>2025</v>
      </c>
      <c r="E775" t="s">
        <v>2011</v>
      </c>
      <c r="F775" s="14" t="s">
        <v>9</v>
      </c>
      <c r="G775" t="s">
        <v>2115</v>
      </c>
      <c r="H775" t="s">
        <v>49</v>
      </c>
      <c r="I775" t="s">
        <v>2128</v>
      </c>
      <c r="K775" s="3"/>
      <c r="M775" s="3"/>
    </row>
    <row r="776" spans="1:13">
      <c r="A776" t="s">
        <v>11</v>
      </c>
      <c r="B776">
        <f ca="1">IF(OR(changes[[#This Row],[Type]]="Checklist",changes[[#This Row],[Type]]="checklist-flat"),1+IF(changes[[#This Row],[Type of change]] = "Edit",COUNTIFS($I$4:changes[[#This Row],[Name]],changes[[#This Row],[Name]], $E$4:changes[[#This Row],[Type of change]], "Edit")),B775)</f>
        <v>1</v>
      </c>
      <c r="C776" s="20">
        <v>44621</v>
      </c>
      <c r="D776" s="2" t="s">
        <v>2025</v>
      </c>
      <c r="E776" t="s">
        <v>2011</v>
      </c>
      <c r="F776" s="14" t="s">
        <v>9</v>
      </c>
      <c r="G776" t="s">
        <v>2115</v>
      </c>
      <c r="H776" t="s">
        <v>49</v>
      </c>
      <c r="I776" t="s">
        <v>2129</v>
      </c>
      <c r="K776" s="3"/>
      <c r="M776" s="3"/>
    </row>
    <row r="777" spans="1:13">
      <c r="A777" t="s">
        <v>11</v>
      </c>
      <c r="B777">
        <f ca="1">IF(OR(changes[[#This Row],[Type]]="Checklist",changes[[#This Row],[Type]]="checklist-flat"),1+IF(changes[[#This Row],[Type of change]] = "Edit",COUNTIFS($I$4:changes[[#This Row],[Name]],changes[[#This Row],[Name]], $E$4:changes[[#This Row],[Type of change]], "Edit")),B776)</f>
        <v>1</v>
      </c>
      <c r="C777" s="20">
        <v>44621</v>
      </c>
      <c r="D777" s="2" t="s">
        <v>2025</v>
      </c>
      <c r="E777" t="s">
        <v>2011</v>
      </c>
      <c r="F777" s="14" t="s">
        <v>9</v>
      </c>
      <c r="G777" t="s">
        <v>2115</v>
      </c>
      <c r="H777" t="s">
        <v>58</v>
      </c>
      <c r="I777" t="s">
        <v>908</v>
      </c>
      <c r="K777" s="3"/>
      <c r="M777" s="3"/>
    </row>
    <row r="778" spans="1:13">
      <c r="A778" t="s">
        <v>28</v>
      </c>
      <c r="B778">
        <f ca="1">IF(OR(changes[[#This Row],[Type]]="Checklist",changes[[#This Row],[Type]]="checklist-flat"),1+IF(changes[[#This Row],[Type of change]] = "Edit",COUNTIFS($I$4:changes[[#This Row],[Name]],changes[[#This Row],[Name]], $E$4:changes[[#This Row],[Type of change]], "Edit")),B777)</f>
        <v>1</v>
      </c>
      <c r="C778" s="20">
        <v>44635</v>
      </c>
      <c r="D778" s="2" t="s">
        <v>2025</v>
      </c>
      <c r="E778" t="s">
        <v>2011</v>
      </c>
      <c r="F778" s="14" t="s">
        <v>9</v>
      </c>
      <c r="G778" s="47" t="s">
        <v>949</v>
      </c>
      <c r="H778" s="47" t="s">
        <v>119</v>
      </c>
      <c r="I778" s="47" t="s">
        <v>949</v>
      </c>
      <c r="K778" s="3"/>
      <c r="M778" s="3"/>
    </row>
    <row r="779" spans="1:13">
      <c r="A779" t="s">
        <v>28</v>
      </c>
      <c r="B779">
        <f ca="1">IF(OR(changes[[#This Row],[Type]]="Checklist",changes[[#This Row],[Type]]="checklist-flat"),1+IF(changes[[#This Row],[Type of change]] = "Edit",COUNTIFS($I$4:changes[[#This Row],[Name]],changes[[#This Row],[Name]], $E$4:changes[[#This Row],[Type of change]], "Edit")),B778)</f>
        <v>1</v>
      </c>
      <c r="C779" s="20">
        <v>44635</v>
      </c>
      <c r="D779" s="2" t="s">
        <v>2025</v>
      </c>
      <c r="E779" t="s">
        <v>2011</v>
      </c>
      <c r="F779" s="14" t="s">
        <v>9</v>
      </c>
      <c r="G779" s="47" t="s">
        <v>949</v>
      </c>
      <c r="H779" s="53" t="s">
        <v>120</v>
      </c>
      <c r="I779" s="53" t="s">
        <v>950</v>
      </c>
      <c r="K779" s="3"/>
      <c r="M779" s="3"/>
    </row>
    <row r="780" spans="1:13">
      <c r="A780" t="s">
        <v>28</v>
      </c>
      <c r="B780">
        <f ca="1">IF(OR(changes[[#This Row],[Type]]="Checklist",changes[[#This Row],[Type]]="checklist-flat"),1+IF(changes[[#This Row],[Type of change]] = "Edit",COUNTIFS($I$4:changes[[#This Row],[Name]],changes[[#This Row],[Name]], $E$4:changes[[#This Row],[Type of change]], "Edit")),B779)</f>
        <v>1</v>
      </c>
      <c r="C780" s="20">
        <v>44635</v>
      </c>
      <c r="D780" s="2" t="s">
        <v>2025</v>
      </c>
      <c r="E780" t="s">
        <v>2011</v>
      </c>
      <c r="F780" s="14" t="s">
        <v>9</v>
      </c>
      <c r="G780" s="47" t="s">
        <v>949</v>
      </c>
      <c r="H780" s="53" t="s">
        <v>49</v>
      </c>
      <c r="I780" s="53" t="s">
        <v>951</v>
      </c>
      <c r="K780" s="3"/>
      <c r="M780" s="3"/>
    </row>
    <row r="781" spans="1:13">
      <c r="A781" t="s">
        <v>28</v>
      </c>
      <c r="B781">
        <f ca="1">IF(OR(changes[[#This Row],[Type]]="Checklist",changes[[#This Row],[Type]]="checklist-flat"),1+IF(changes[[#This Row],[Type of change]] = "Edit",COUNTIFS($I$4:changes[[#This Row],[Name]],changes[[#This Row],[Name]], $E$4:changes[[#This Row],[Type of change]], "Edit")),B780)</f>
        <v>1</v>
      </c>
      <c r="C781" s="20">
        <v>44635</v>
      </c>
      <c r="D781" s="2" t="s">
        <v>2025</v>
      </c>
      <c r="E781" t="s">
        <v>2011</v>
      </c>
      <c r="F781" s="14" t="s">
        <v>9</v>
      </c>
      <c r="G781" s="47" t="s">
        <v>949</v>
      </c>
      <c r="H781" s="54" t="s">
        <v>124</v>
      </c>
      <c r="I781" s="53" t="s">
        <v>941</v>
      </c>
      <c r="K781" s="3"/>
      <c r="M781" s="3"/>
    </row>
    <row r="782" spans="1:13">
      <c r="A782" t="s">
        <v>28</v>
      </c>
      <c r="B782">
        <f ca="1">IF(OR(changes[[#This Row],[Type]]="Checklist",changes[[#This Row],[Type]]="checklist-flat"),1+IF(changes[[#This Row],[Type of change]] = "Edit",COUNTIFS($I$4:changes[[#This Row],[Name]],changes[[#This Row],[Name]], $E$4:changes[[#This Row],[Type of change]], "Edit")),B781)</f>
        <v>1</v>
      </c>
      <c r="C782" s="20">
        <v>44635</v>
      </c>
      <c r="D782" s="2" t="s">
        <v>2025</v>
      </c>
      <c r="E782" t="s">
        <v>2011</v>
      </c>
      <c r="F782" s="14" t="s">
        <v>9</v>
      </c>
      <c r="G782" s="47" t="s">
        <v>949</v>
      </c>
      <c r="H782" s="53" t="s">
        <v>49</v>
      </c>
      <c r="I782" s="53" t="s">
        <v>952</v>
      </c>
      <c r="K782" s="3"/>
      <c r="M782" s="3"/>
    </row>
    <row r="783" spans="1:13">
      <c r="A783" t="s">
        <v>28</v>
      </c>
      <c r="B783">
        <f ca="1">IF(OR(changes[[#This Row],[Type]]="Checklist",changes[[#This Row],[Type]]="checklist-flat"),1+IF(changes[[#This Row],[Type of change]] = "Edit",COUNTIFS($I$4:changes[[#This Row],[Name]],changes[[#This Row],[Name]], $E$4:changes[[#This Row],[Type of change]], "Edit")),B782)</f>
        <v>1</v>
      </c>
      <c r="C783" s="20">
        <v>44635</v>
      </c>
      <c r="D783" s="2" t="s">
        <v>2025</v>
      </c>
      <c r="E783" t="s">
        <v>2011</v>
      </c>
      <c r="F783" s="14" t="s">
        <v>9</v>
      </c>
      <c r="G783" s="47" t="s">
        <v>949</v>
      </c>
      <c r="H783" s="53" t="s">
        <v>120</v>
      </c>
      <c r="I783" s="53" t="s">
        <v>953</v>
      </c>
      <c r="K783" s="3"/>
      <c r="M783" s="3"/>
    </row>
    <row r="784" spans="1:13">
      <c r="A784" t="s">
        <v>28</v>
      </c>
      <c r="B784">
        <f ca="1">IF(OR(changes[[#This Row],[Type]]="Checklist",changes[[#This Row],[Type]]="checklist-flat"),1+IF(changes[[#This Row],[Type of change]] = "Edit",COUNTIFS($I$4:changes[[#This Row],[Name]],changes[[#This Row],[Name]], $E$4:changes[[#This Row],[Type of change]], "Edit")),B783)</f>
        <v>1</v>
      </c>
      <c r="C784" s="20">
        <v>44635</v>
      </c>
      <c r="D784" s="2" t="s">
        <v>2025</v>
      </c>
      <c r="E784" t="s">
        <v>2011</v>
      </c>
      <c r="F784" s="14" t="s">
        <v>9</v>
      </c>
      <c r="G784" s="47" t="s">
        <v>949</v>
      </c>
      <c r="H784" s="53" t="s">
        <v>49</v>
      </c>
      <c r="I784" s="53" t="s">
        <v>954</v>
      </c>
      <c r="K784" s="3"/>
      <c r="M784" s="3"/>
    </row>
    <row r="785" spans="1:13">
      <c r="A785" t="s">
        <v>28</v>
      </c>
      <c r="B785">
        <f ca="1">IF(OR(changes[[#This Row],[Type]]="Checklist",changes[[#This Row],[Type]]="checklist-flat"),1+IF(changes[[#This Row],[Type of change]] = "Edit",COUNTIFS($I$4:changes[[#This Row],[Name]],changes[[#This Row],[Name]], $E$4:changes[[#This Row],[Type of change]], "Edit")),B784)</f>
        <v>1</v>
      </c>
      <c r="C785" s="20">
        <v>44635</v>
      </c>
      <c r="D785" s="2" t="s">
        <v>2025</v>
      </c>
      <c r="E785" t="s">
        <v>2011</v>
      </c>
      <c r="F785" s="14" t="s">
        <v>9</v>
      </c>
      <c r="G785" s="47" t="s">
        <v>949</v>
      </c>
      <c r="H785" s="53" t="s">
        <v>49</v>
      </c>
      <c r="I785" s="53" t="s">
        <v>955</v>
      </c>
      <c r="K785" s="3"/>
      <c r="M785" s="3"/>
    </row>
    <row r="786" spans="1:13">
      <c r="A786" t="s">
        <v>28</v>
      </c>
      <c r="B786">
        <f ca="1">IF(OR(changes[[#This Row],[Type]]="Checklist",changes[[#This Row],[Type]]="checklist-flat"),1+IF(changes[[#This Row],[Type of change]] = "Edit",COUNTIFS($I$4:changes[[#This Row],[Name]],changes[[#This Row],[Name]], $E$4:changes[[#This Row],[Type of change]], "Edit")),B785)</f>
        <v>1</v>
      </c>
      <c r="C786" s="20">
        <v>44635</v>
      </c>
      <c r="D786" s="2" t="s">
        <v>2025</v>
      </c>
      <c r="E786" t="s">
        <v>2011</v>
      </c>
      <c r="F786" s="14" t="s">
        <v>9</v>
      </c>
      <c r="G786" s="47" t="s">
        <v>949</v>
      </c>
      <c r="H786" s="53" t="s">
        <v>49</v>
      </c>
      <c r="I786" s="53" t="s">
        <v>956</v>
      </c>
      <c r="K786" s="3"/>
      <c r="M786" s="3"/>
    </row>
    <row r="787" spans="1:13">
      <c r="A787" t="s">
        <v>28</v>
      </c>
      <c r="B787">
        <f ca="1">IF(OR(changes[[#This Row],[Type]]="Checklist",changes[[#This Row],[Type]]="checklist-flat"),1+IF(changes[[#This Row],[Type of change]] = "Edit",COUNTIFS($I$4:changes[[#This Row],[Name]],changes[[#This Row],[Name]], $E$4:changes[[#This Row],[Type of change]], "Edit")),B786)</f>
        <v>1</v>
      </c>
      <c r="C787" s="20">
        <v>44635</v>
      </c>
      <c r="D787" s="2" t="s">
        <v>2025</v>
      </c>
      <c r="E787" t="s">
        <v>2011</v>
      </c>
      <c r="F787" s="14" t="s">
        <v>9</v>
      </c>
      <c r="G787" s="47" t="s">
        <v>949</v>
      </c>
      <c r="H787" s="53" t="s">
        <v>49</v>
      </c>
      <c r="I787" s="53" t="s">
        <v>957</v>
      </c>
      <c r="K787" s="3"/>
      <c r="M787" s="3"/>
    </row>
    <row r="788" spans="1:13">
      <c r="A788" t="s">
        <v>28</v>
      </c>
      <c r="B788">
        <f ca="1">IF(OR(changes[[#This Row],[Type]]="Checklist",changes[[#This Row],[Type]]="checklist-flat"),1+IF(changes[[#This Row],[Type of change]] = "Edit",COUNTIFS($I$4:changes[[#This Row],[Name]],changes[[#This Row],[Name]], $E$4:changes[[#This Row],[Type of change]], "Edit")),B787)</f>
        <v>1</v>
      </c>
      <c r="C788" s="20">
        <v>44635</v>
      </c>
      <c r="D788" s="2" t="s">
        <v>2025</v>
      </c>
      <c r="E788" t="s">
        <v>2011</v>
      </c>
      <c r="F788" s="14" t="s">
        <v>9</v>
      </c>
      <c r="G788" s="47" t="s">
        <v>949</v>
      </c>
      <c r="H788" s="53" t="s">
        <v>49</v>
      </c>
      <c r="I788" s="53" t="s">
        <v>958</v>
      </c>
      <c r="K788" s="3"/>
      <c r="M788" s="3"/>
    </row>
    <row r="789" spans="1:13">
      <c r="A789" t="s">
        <v>28</v>
      </c>
      <c r="B789">
        <f ca="1">IF(OR(changes[[#This Row],[Type]]="Checklist",changes[[#This Row],[Type]]="checklist-flat"),1+IF(changes[[#This Row],[Type of change]] = "Edit",COUNTIFS($I$4:changes[[#This Row],[Name]],changes[[#This Row],[Name]], $E$4:changes[[#This Row],[Type of change]], "Edit")),B788)</f>
        <v>1</v>
      </c>
      <c r="C789" s="20">
        <v>44635</v>
      </c>
      <c r="D789" s="2" t="s">
        <v>2025</v>
      </c>
      <c r="E789" t="s">
        <v>2011</v>
      </c>
      <c r="F789" s="14" t="s">
        <v>9</v>
      </c>
      <c r="G789" s="47" t="s">
        <v>949</v>
      </c>
      <c r="H789" s="53" t="s">
        <v>49</v>
      </c>
      <c r="I789" s="53" t="s">
        <v>959</v>
      </c>
      <c r="K789" s="3"/>
      <c r="M789" s="3"/>
    </row>
    <row r="790" spans="1:13">
      <c r="A790" t="s">
        <v>28</v>
      </c>
      <c r="B790">
        <f ca="1">IF(OR(changes[[#This Row],[Type]]="Checklist",changes[[#This Row],[Type]]="checklist-flat"),1+IF(changes[[#This Row],[Type of change]] = "Edit",COUNTIFS($I$4:changes[[#This Row],[Name]],changes[[#This Row],[Name]], $E$4:changes[[#This Row],[Type of change]], "Edit")),B789)</f>
        <v>1</v>
      </c>
      <c r="C790" s="20">
        <v>44635</v>
      </c>
      <c r="D790" s="2" t="s">
        <v>2025</v>
      </c>
      <c r="E790" t="s">
        <v>2011</v>
      </c>
      <c r="F790" s="14" t="s">
        <v>9</v>
      </c>
      <c r="G790" s="47" t="s">
        <v>949</v>
      </c>
      <c r="H790" s="53" t="s">
        <v>960</v>
      </c>
      <c r="I790" s="53" t="s">
        <v>961</v>
      </c>
      <c r="K790" s="3"/>
      <c r="M790" s="3"/>
    </row>
    <row r="791" spans="1:13">
      <c r="A791" t="s">
        <v>28</v>
      </c>
      <c r="B791">
        <f ca="1">IF(OR(changes[[#This Row],[Type]]="Checklist",changes[[#This Row],[Type]]="checklist-flat"),1+IF(changes[[#This Row],[Type of change]] = "Edit",COUNTIFS($I$4:changes[[#This Row],[Name]],changes[[#This Row],[Name]], $E$4:changes[[#This Row],[Type of change]], "Edit")),B790)</f>
        <v>1</v>
      </c>
      <c r="C791" s="20">
        <v>44635</v>
      </c>
      <c r="D791" s="2" t="s">
        <v>2025</v>
      </c>
      <c r="E791" t="s">
        <v>2011</v>
      </c>
      <c r="F791" s="14" t="s">
        <v>9</v>
      </c>
      <c r="G791" s="47" t="s">
        <v>949</v>
      </c>
      <c r="H791" s="53" t="s">
        <v>49</v>
      </c>
      <c r="I791" s="53" t="s">
        <v>962</v>
      </c>
      <c r="K791" s="3"/>
      <c r="M791" s="3"/>
    </row>
    <row r="792" spans="1:13">
      <c r="A792" t="s">
        <v>28</v>
      </c>
      <c r="B792">
        <f ca="1">IF(OR(changes[[#This Row],[Type]]="Checklist",changes[[#This Row],[Type]]="checklist-flat"),1+IF(changes[[#This Row],[Type of change]] = "Edit",COUNTIFS($I$4:changes[[#This Row],[Name]],changes[[#This Row],[Name]], $E$4:changes[[#This Row],[Type of change]], "Edit")),B791)</f>
        <v>1</v>
      </c>
      <c r="C792" s="20">
        <v>44635</v>
      </c>
      <c r="D792" s="2" t="s">
        <v>2025</v>
      </c>
      <c r="E792" t="s">
        <v>2011</v>
      </c>
      <c r="F792" s="14" t="s">
        <v>9</v>
      </c>
      <c r="G792" s="47" t="s">
        <v>949</v>
      </c>
      <c r="H792" s="53" t="s">
        <v>49</v>
      </c>
      <c r="I792" s="53" t="s">
        <v>963</v>
      </c>
      <c r="K792" s="3"/>
      <c r="M792" s="3"/>
    </row>
    <row r="793" spans="1:13">
      <c r="A793" t="s">
        <v>28</v>
      </c>
      <c r="B793">
        <f ca="1">IF(OR(changes[[#This Row],[Type]]="Checklist",changes[[#This Row],[Type]]="checklist-flat"),1+IF(changes[[#This Row],[Type of change]] = "Edit",COUNTIFS($I$4:changes[[#This Row],[Name]],changes[[#This Row],[Name]], $E$4:changes[[#This Row],[Type of change]], "Edit")),B792)</f>
        <v>1</v>
      </c>
      <c r="C793" s="20">
        <v>44635</v>
      </c>
      <c r="D793" s="2" t="s">
        <v>2025</v>
      </c>
      <c r="E793" t="s">
        <v>2011</v>
      </c>
      <c r="F793" s="14" t="s">
        <v>9</v>
      </c>
      <c r="G793" s="47" t="s">
        <v>949</v>
      </c>
      <c r="H793" s="53" t="s">
        <v>49</v>
      </c>
      <c r="I793" s="53" t="s">
        <v>964</v>
      </c>
      <c r="K793" s="3"/>
      <c r="M793" s="3"/>
    </row>
    <row r="794" spans="1:13">
      <c r="A794" t="s">
        <v>28</v>
      </c>
      <c r="B794">
        <f ca="1">IF(OR(changes[[#This Row],[Type]]="Checklist",changes[[#This Row],[Type]]="checklist-flat"),1+IF(changes[[#This Row],[Type of change]] = "Edit",COUNTIFS($I$4:changes[[#This Row],[Name]],changes[[#This Row],[Name]], $E$4:changes[[#This Row],[Type of change]], "Edit")),B793)</f>
        <v>1</v>
      </c>
      <c r="C794" s="20">
        <v>44635</v>
      </c>
      <c r="D794" s="2" t="s">
        <v>2025</v>
      </c>
      <c r="E794" t="s">
        <v>2011</v>
      </c>
      <c r="F794" s="14" t="s">
        <v>9</v>
      </c>
      <c r="G794" s="47" t="s">
        <v>949</v>
      </c>
      <c r="H794" s="53" t="s">
        <v>58</v>
      </c>
      <c r="I794" s="53" t="s">
        <v>908</v>
      </c>
      <c r="K794" s="3"/>
      <c r="M794" s="3"/>
    </row>
    <row r="795" spans="1:13">
      <c r="A795" t="s">
        <v>28</v>
      </c>
      <c r="B795">
        <f ca="1">IF(OR(changes[[#This Row],[Type]]="Checklist",changes[[#This Row],[Type]]="checklist-flat"),1+IF(changes[[#This Row],[Type of change]] = "Edit",COUNTIFS($I$4:changes[[#This Row],[Name]],changes[[#This Row],[Name]], $E$4:changes[[#This Row],[Type of change]], "Edit")),B794)</f>
        <v>1</v>
      </c>
      <c r="C795" s="20">
        <v>44635</v>
      </c>
      <c r="D795" s="2" t="s">
        <v>2025</v>
      </c>
      <c r="E795" t="s">
        <v>2011</v>
      </c>
      <c r="F795" s="14" t="s">
        <v>9</v>
      </c>
      <c r="G795" s="47" t="s">
        <v>2130</v>
      </c>
      <c r="H795" s="47" t="s">
        <v>119</v>
      </c>
      <c r="I795" s="47" t="s">
        <v>2130</v>
      </c>
      <c r="K795" s="3"/>
      <c r="M795" s="3"/>
    </row>
    <row r="796" spans="1:13">
      <c r="A796" t="s">
        <v>28</v>
      </c>
      <c r="B796">
        <f ca="1">IF(OR(changes[[#This Row],[Type]]="Checklist",changes[[#This Row],[Type]]="checklist-flat"),1+IF(changes[[#This Row],[Type of change]] = "Edit",COUNTIFS($I$4:changes[[#This Row],[Name]],changes[[#This Row],[Name]], $E$4:changes[[#This Row],[Type of change]], "Edit")),B795)</f>
        <v>1</v>
      </c>
      <c r="C796" s="20">
        <v>44635</v>
      </c>
      <c r="D796" s="2" t="s">
        <v>2025</v>
      </c>
      <c r="E796" t="s">
        <v>2011</v>
      </c>
      <c r="F796" s="14" t="s">
        <v>9</v>
      </c>
      <c r="G796" s="47" t="s">
        <v>2130</v>
      </c>
      <c r="H796" s="47" t="s">
        <v>120</v>
      </c>
      <c r="I796" s="47" t="s">
        <v>853</v>
      </c>
      <c r="K796" s="3"/>
      <c r="M796" s="3"/>
    </row>
    <row r="797" spans="1:13">
      <c r="A797" t="s">
        <v>28</v>
      </c>
      <c r="B797">
        <f ca="1">IF(OR(changes[[#This Row],[Type]]="Checklist",changes[[#This Row],[Type]]="checklist-flat"),1+IF(changes[[#This Row],[Type of change]] = "Edit",COUNTIFS($I$4:changes[[#This Row],[Name]],changes[[#This Row],[Name]], $E$4:changes[[#This Row],[Type of change]], "Edit")),B796)</f>
        <v>1</v>
      </c>
      <c r="C797" s="20">
        <v>44635</v>
      </c>
      <c r="D797" s="2" t="s">
        <v>2025</v>
      </c>
      <c r="E797" t="s">
        <v>2011</v>
      </c>
      <c r="F797" s="14" t="s">
        <v>9</v>
      </c>
      <c r="G797" s="47" t="s">
        <v>2130</v>
      </c>
      <c r="H797" s="47" t="s">
        <v>49</v>
      </c>
      <c r="I797" s="47" t="s">
        <v>854</v>
      </c>
      <c r="K797" s="3"/>
      <c r="M797" s="3"/>
    </row>
    <row r="798" spans="1:13">
      <c r="A798" t="s">
        <v>28</v>
      </c>
      <c r="B798">
        <f ca="1">IF(OR(changes[[#This Row],[Type]]="Checklist",changes[[#This Row],[Type]]="checklist-flat"),1+IF(changes[[#This Row],[Type of change]] = "Edit",COUNTIFS($I$4:changes[[#This Row],[Name]],changes[[#This Row],[Name]], $E$4:changes[[#This Row],[Type of change]], "Edit")),B797)</f>
        <v>1</v>
      </c>
      <c r="C798" s="20">
        <v>44635</v>
      </c>
      <c r="D798" s="2" t="s">
        <v>2025</v>
      </c>
      <c r="E798" t="s">
        <v>2011</v>
      </c>
      <c r="F798" s="14" t="s">
        <v>9</v>
      </c>
      <c r="G798" s="47" t="s">
        <v>2130</v>
      </c>
      <c r="H798" s="47" t="s">
        <v>49</v>
      </c>
      <c r="I798" s="47" t="s">
        <v>855</v>
      </c>
      <c r="K798" s="3"/>
      <c r="M798" s="3"/>
    </row>
    <row r="799" spans="1:13">
      <c r="A799" t="s">
        <v>28</v>
      </c>
      <c r="B799">
        <f ca="1">IF(OR(changes[[#This Row],[Type]]="Checklist",changes[[#This Row],[Type]]="checklist-flat"),1+IF(changes[[#This Row],[Type of change]] = "Edit",COUNTIFS($I$4:changes[[#This Row],[Name]],changes[[#This Row],[Name]], $E$4:changes[[#This Row],[Type of change]], "Edit")),B798)</f>
        <v>1</v>
      </c>
      <c r="C799" s="20">
        <v>44635</v>
      </c>
      <c r="D799" s="2" t="s">
        <v>2025</v>
      </c>
      <c r="E799" t="s">
        <v>2011</v>
      </c>
      <c r="F799" s="14" t="s">
        <v>9</v>
      </c>
      <c r="G799" s="47" t="s">
        <v>2130</v>
      </c>
      <c r="H799" s="47" t="s">
        <v>831</v>
      </c>
      <c r="I799" s="47" t="s">
        <v>856</v>
      </c>
      <c r="K799" s="3"/>
      <c r="M799" s="3"/>
    </row>
    <row r="800" spans="1:13">
      <c r="A800" t="s">
        <v>28</v>
      </c>
      <c r="B800">
        <f ca="1">IF(OR(changes[[#This Row],[Type]]="Checklist",changes[[#This Row],[Type]]="checklist-flat"),1+IF(changes[[#This Row],[Type of change]] = "Edit",COUNTIFS($I$4:changes[[#This Row],[Name]],changes[[#This Row],[Name]], $E$4:changes[[#This Row],[Type of change]], "Edit")),B799)</f>
        <v>1</v>
      </c>
      <c r="C800" s="20">
        <v>44635</v>
      </c>
      <c r="D800" s="2" t="s">
        <v>2025</v>
      </c>
      <c r="E800" t="s">
        <v>2011</v>
      </c>
      <c r="F800" s="14" t="s">
        <v>9</v>
      </c>
      <c r="G800" s="47" t="s">
        <v>2130</v>
      </c>
      <c r="H800" s="47" t="s">
        <v>58</v>
      </c>
      <c r="I800" s="47" t="s">
        <v>883</v>
      </c>
      <c r="K800" s="3"/>
      <c r="M800" s="3"/>
    </row>
    <row r="801" spans="1:13">
      <c r="A801" t="s">
        <v>28</v>
      </c>
      <c r="B801">
        <f ca="1">IF(OR(changes[[#This Row],[Type]]="Checklist",changes[[#This Row],[Type]]="checklist-flat"),1+IF(changes[[#This Row],[Type of change]] = "Edit",COUNTIFS($I$4:changes[[#This Row],[Name]],changes[[#This Row],[Name]], $E$4:changes[[#This Row],[Type of change]], "Edit")),B800)</f>
        <v>1</v>
      </c>
      <c r="C801" s="20">
        <v>44635</v>
      </c>
      <c r="D801" s="2" t="s">
        <v>2025</v>
      </c>
      <c r="E801" t="s">
        <v>2011</v>
      </c>
      <c r="F801" s="14" t="s">
        <v>9</v>
      </c>
      <c r="G801" s="47" t="s">
        <v>2130</v>
      </c>
      <c r="H801" s="47" t="s">
        <v>120</v>
      </c>
      <c r="I801" s="47" t="s">
        <v>2131</v>
      </c>
      <c r="K801" s="3"/>
      <c r="M801" s="3"/>
    </row>
    <row r="802" spans="1:13">
      <c r="A802" t="s">
        <v>28</v>
      </c>
      <c r="B802">
        <f ca="1">IF(OR(changes[[#This Row],[Type]]="Checklist",changes[[#This Row],[Type]]="checklist-flat"),1+IF(changes[[#This Row],[Type of change]] = "Edit",COUNTIFS($I$4:changes[[#This Row],[Name]],changes[[#This Row],[Name]], $E$4:changes[[#This Row],[Type of change]], "Edit")),B801)</f>
        <v>1</v>
      </c>
      <c r="C802" s="20">
        <v>44635</v>
      </c>
      <c r="D802" s="2" t="s">
        <v>2025</v>
      </c>
      <c r="E802" t="s">
        <v>2011</v>
      </c>
      <c r="F802" s="14" t="s">
        <v>9</v>
      </c>
      <c r="G802" s="47" t="s">
        <v>2130</v>
      </c>
      <c r="H802" s="47" t="s">
        <v>831</v>
      </c>
      <c r="I802" s="47" t="s">
        <v>2132</v>
      </c>
      <c r="K802" s="3"/>
      <c r="M802" s="3"/>
    </row>
    <row r="803" spans="1:13">
      <c r="A803" t="s">
        <v>28</v>
      </c>
      <c r="B803">
        <f ca="1">IF(OR(changes[[#This Row],[Type]]="Checklist",changes[[#This Row],[Type]]="checklist-flat"),1+IF(changes[[#This Row],[Type of change]] = "Edit",COUNTIFS($I$4:changes[[#This Row],[Name]],changes[[#This Row],[Name]], $E$4:changes[[#This Row],[Type of change]], "Edit")),B802)</f>
        <v>1</v>
      </c>
      <c r="C803" s="20">
        <v>44635</v>
      </c>
      <c r="D803" s="2" t="s">
        <v>2025</v>
      </c>
      <c r="E803" t="s">
        <v>2011</v>
      </c>
      <c r="F803" s="14" t="s">
        <v>9</v>
      </c>
      <c r="G803" s="47" t="s">
        <v>2130</v>
      </c>
      <c r="H803" s="47" t="s">
        <v>831</v>
      </c>
      <c r="I803" s="47" t="s">
        <v>2133</v>
      </c>
      <c r="K803" s="3"/>
      <c r="M803" s="3"/>
    </row>
    <row r="804" spans="1:13">
      <c r="A804" t="s">
        <v>28</v>
      </c>
      <c r="B804">
        <f ca="1">IF(OR(changes[[#This Row],[Type]]="Checklist",changes[[#This Row],[Type]]="checklist-flat"),1+IF(changes[[#This Row],[Type of change]] = "Edit",COUNTIFS($I$4:changes[[#This Row],[Name]],changes[[#This Row],[Name]], $E$4:changes[[#This Row],[Type of change]], "Edit")),B803)</f>
        <v>1</v>
      </c>
      <c r="C804" s="20">
        <v>44635</v>
      </c>
      <c r="D804" s="2" t="s">
        <v>2025</v>
      </c>
      <c r="E804" t="s">
        <v>2011</v>
      </c>
      <c r="F804" s="14" t="s">
        <v>9</v>
      </c>
      <c r="G804" s="47" t="s">
        <v>2130</v>
      </c>
      <c r="H804" s="47" t="s">
        <v>831</v>
      </c>
      <c r="I804" s="47" t="s">
        <v>2134</v>
      </c>
      <c r="K804" s="3"/>
      <c r="M804" s="3"/>
    </row>
    <row r="805" spans="1:13">
      <c r="A805" t="s">
        <v>28</v>
      </c>
      <c r="B805">
        <f ca="1">IF(OR(changes[[#This Row],[Type]]="Checklist",changes[[#This Row],[Type]]="checklist-flat"),1+IF(changes[[#This Row],[Type of change]] = "Edit",COUNTIFS($I$4:changes[[#This Row],[Name]],changes[[#This Row],[Name]], $E$4:changes[[#This Row],[Type of change]], "Edit")),B804)</f>
        <v>1</v>
      </c>
      <c r="C805" s="20">
        <v>44635</v>
      </c>
      <c r="D805" s="2" t="s">
        <v>2025</v>
      </c>
      <c r="E805" t="s">
        <v>2011</v>
      </c>
      <c r="F805" s="14" t="s">
        <v>9</v>
      </c>
      <c r="G805" s="47" t="s">
        <v>2130</v>
      </c>
      <c r="H805" s="47" t="s">
        <v>831</v>
      </c>
      <c r="I805" s="47" t="s">
        <v>2135</v>
      </c>
      <c r="K805" s="3"/>
      <c r="M805" s="3"/>
    </row>
    <row r="806" spans="1:13">
      <c r="A806" t="s">
        <v>28</v>
      </c>
      <c r="B806">
        <f ca="1">IF(OR(changes[[#This Row],[Type]]="Checklist",changes[[#This Row],[Type]]="checklist-flat"),1+IF(changes[[#This Row],[Type of change]] = "Edit",COUNTIFS($I$4:changes[[#This Row],[Name]],changes[[#This Row],[Name]], $E$4:changes[[#This Row],[Type of change]], "Edit")),B805)</f>
        <v>1</v>
      </c>
      <c r="C806" s="20">
        <v>44635</v>
      </c>
      <c r="D806" s="2" t="s">
        <v>2025</v>
      </c>
      <c r="E806" t="s">
        <v>2011</v>
      </c>
      <c r="F806" s="14" t="s">
        <v>9</v>
      </c>
      <c r="G806" s="47" t="s">
        <v>2130</v>
      </c>
      <c r="H806" s="47" t="s">
        <v>831</v>
      </c>
      <c r="I806" s="47" t="s">
        <v>2136</v>
      </c>
      <c r="K806" s="3"/>
      <c r="M806" s="3"/>
    </row>
    <row r="807" spans="1:13">
      <c r="A807" t="s">
        <v>28</v>
      </c>
      <c r="B807">
        <f ca="1">IF(OR(changes[[#This Row],[Type]]="Checklist",changes[[#This Row],[Type]]="checklist-flat"),1+IF(changes[[#This Row],[Type of change]] = "Edit",COUNTIFS($I$4:changes[[#This Row],[Name]],changes[[#This Row],[Name]], $E$4:changes[[#This Row],[Type of change]], "Edit")),B806)</f>
        <v>1</v>
      </c>
      <c r="C807" s="20">
        <v>44635</v>
      </c>
      <c r="D807" s="2" t="s">
        <v>2025</v>
      </c>
      <c r="E807" t="s">
        <v>2011</v>
      </c>
      <c r="F807" s="14" t="s">
        <v>9</v>
      </c>
      <c r="G807" s="47" t="s">
        <v>2130</v>
      </c>
      <c r="H807" s="47" t="s">
        <v>831</v>
      </c>
      <c r="I807" s="47" t="s">
        <v>2137</v>
      </c>
      <c r="K807" s="3"/>
      <c r="M807" s="3"/>
    </row>
    <row r="808" spans="1:13">
      <c r="A808" t="s">
        <v>28</v>
      </c>
      <c r="B808">
        <f ca="1">IF(OR(changes[[#This Row],[Type]]="Checklist",changes[[#This Row],[Type]]="checklist-flat"),1+IF(changes[[#This Row],[Type of change]] = "Edit",COUNTIFS($I$4:changes[[#This Row],[Name]],changes[[#This Row],[Name]], $E$4:changes[[#This Row],[Type of change]], "Edit")),B807)</f>
        <v>1</v>
      </c>
      <c r="C808" s="20">
        <v>44635</v>
      </c>
      <c r="D808" s="2" t="s">
        <v>2025</v>
      </c>
      <c r="E808" t="s">
        <v>2011</v>
      </c>
      <c r="F808" s="14" t="s">
        <v>9</v>
      </c>
      <c r="G808" s="47" t="s">
        <v>2130</v>
      </c>
      <c r="H808" s="47" t="s">
        <v>831</v>
      </c>
      <c r="I808" s="47" t="s">
        <v>2138</v>
      </c>
      <c r="K808" s="3"/>
      <c r="M808" s="3"/>
    </row>
    <row r="809" spans="1:13">
      <c r="A809" t="s">
        <v>28</v>
      </c>
      <c r="B809">
        <f ca="1">IF(OR(changes[[#This Row],[Type]]="Checklist",changes[[#This Row],[Type]]="checklist-flat"),1+IF(changes[[#This Row],[Type of change]] = "Edit",COUNTIFS($I$4:changes[[#This Row],[Name]],changes[[#This Row],[Name]], $E$4:changes[[#This Row],[Type of change]], "Edit")),B808)</f>
        <v>1</v>
      </c>
      <c r="C809" s="20">
        <v>44635</v>
      </c>
      <c r="D809" s="2" t="s">
        <v>2025</v>
      </c>
      <c r="E809" t="s">
        <v>2011</v>
      </c>
      <c r="F809" s="14" t="s">
        <v>9</v>
      </c>
      <c r="G809" s="47" t="s">
        <v>2130</v>
      </c>
      <c r="H809" s="47" t="s">
        <v>831</v>
      </c>
      <c r="I809" s="47" t="s">
        <v>2139</v>
      </c>
      <c r="K809" s="3"/>
      <c r="M809" s="3"/>
    </row>
    <row r="810" spans="1:13">
      <c r="A810" t="s">
        <v>28</v>
      </c>
      <c r="B810">
        <f ca="1">IF(OR(changes[[#This Row],[Type]]="Checklist",changes[[#This Row],[Type]]="checklist-flat"),1+IF(changes[[#This Row],[Type of change]] = "Edit",COUNTIFS($I$4:changes[[#This Row],[Name]],changes[[#This Row],[Name]], $E$4:changes[[#This Row],[Type of change]], "Edit")),B809)</f>
        <v>1</v>
      </c>
      <c r="C810" s="20">
        <v>44635</v>
      </c>
      <c r="D810" s="2" t="s">
        <v>2025</v>
      </c>
      <c r="E810" t="s">
        <v>2011</v>
      </c>
      <c r="F810" s="14" t="s">
        <v>9</v>
      </c>
      <c r="G810" s="47" t="s">
        <v>2130</v>
      </c>
      <c r="H810" s="47" t="s">
        <v>831</v>
      </c>
      <c r="I810" s="47" t="s">
        <v>2140</v>
      </c>
      <c r="K810" s="3"/>
      <c r="M810" s="3"/>
    </row>
    <row r="811" spans="1:13">
      <c r="A811" t="s">
        <v>28</v>
      </c>
      <c r="B811">
        <f ca="1">IF(OR(changes[[#This Row],[Type]]="Checklist",changes[[#This Row],[Type]]="checklist-flat"),1+IF(changes[[#This Row],[Type of change]] = "Edit",COUNTIFS($I$4:changes[[#This Row],[Name]],changes[[#This Row],[Name]], $E$4:changes[[#This Row],[Type of change]], "Edit")),B810)</f>
        <v>1</v>
      </c>
      <c r="C811" s="20">
        <v>44635</v>
      </c>
      <c r="D811" s="2" t="s">
        <v>2025</v>
      </c>
      <c r="E811" t="s">
        <v>2011</v>
      </c>
      <c r="F811" s="14" t="s">
        <v>9</v>
      </c>
      <c r="G811" s="47" t="s">
        <v>2130</v>
      </c>
      <c r="H811" s="47" t="s">
        <v>831</v>
      </c>
      <c r="I811" s="47" t="s">
        <v>2141</v>
      </c>
      <c r="K811" s="3"/>
      <c r="M811" s="3"/>
    </row>
    <row r="812" spans="1:13">
      <c r="A812" t="s">
        <v>28</v>
      </c>
      <c r="B812">
        <f ca="1">IF(OR(changes[[#This Row],[Type]]="Checklist",changes[[#This Row],[Type]]="checklist-flat"),1+IF(changes[[#This Row],[Type of change]] = "Edit",COUNTIFS($I$4:changes[[#This Row],[Name]],changes[[#This Row],[Name]], $E$4:changes[[#This Row],[Type of change]], "Edit")),B811)</f>
        <v>1</v>
      </c>
      <c r="C812" s="20">
        <v>44635</v>
      </c>
      <c r="D812" s="2" t="s">
        <v>2025</v>
      </c>
      <c r="E812" t="s">
        <v>2011</v>
      </c>
      <c r="F812" s="14" t="s">
        <v>9</v>
      </c>
      <c r="G812" s="47" t="s">
        <v>2130</v>
      </c>
      <c r="H812" s="47" t="s">
        <v>831</v>
      </c>
      <c r="I812" s="47" t="s">
        <v>2142</v>
      </c>
      <c r="K812" s="3"/>
      <c r="M812" s="3"/>
    </row>
    <row r="813" spans="1:13">
      <c r="A813" t="s">
        <v>28</v>
      </c>
      <c r="B813">
        <f ca="1">IF(OR(changes[[#This Row],[Type]]="Checklist",changes[[#This Row],[Type]]="checklist-flat"),1+IF(changes[[#This Row],[Type of change]] = "Edit",COUNTIFS($I$4:changes[[#This Row],[Name]],changes[[#This Row],[Name]], $E$4:changes[[#This Row],[Type of change]], "Edit")),B812)</f>
        <v>1</v>
      </c>
      <c r="C813" s="20">
        <v>44635</v>
      </c>
      <c r="D813" s="2" t="s">
        <v>2025</v>
      </c>
      <c r="E813" t="s">
        <v>2011</v>
      </c>
      <c r="F813" s="14" t="s">
        <v>9</v>
      </c>
      <c r="G813" s="47" t="s">
        <v>2130</v>
      </c>
      <c r="H813" s="47" t="s">
        <v>831</v>
      </c>
      <c r="I813" s="47" t="s">
        <v>2143</v>
      </c>
      <c r="K813" s="3"/>
      <c r="M813" s="3"/>
    </row>
    <row r="814" spans="1:13">
      <c r="A814" t="s">
        <v>28</v>
      </c>
      <c r="B814">
        <f ca="1">IF(OR(changes[[#This Row],[Type]]="Checklist",changes[[#This Row],[Type]]="checklist-flat"),1+IF(changes[[#This Row],[Type of change]] = "Edit",COUNTIFS($I$4:changes[[#This Row],[Name]],changes[[#This Row],[Name]], $E$4:changes[[#This Row],[Type of change]], "Edit")),B813)</f>
        <v>1</v>
      </c>
      <c r="C814" s="20">
        <v>44635</v>
      </c>
      <c r="D814" s="2" t="s">
        <v>2025</v>
      </c>
      <c r="E814" t="s">
        <v>2011</v>
      </c>
      <c r="F814" s="14" t="s">
        <v>9</v>
      </c>
      <c r="G814" s="47" t="s">
        <v>2130</v>
      </c>
      <c r="H814" s="47" t="s">
        <v>831</v>
      </c>
      <c r="I814" s="47" t="s">
        <v>2144</v>
      </c>
      <c r="K814" s="3"/>
      <c r="M814" s="3"/>
    </row>
    <row r="815" spans="1:13">
      <c r="A815" t="s">
        <v>28</v>
      </c>
      <c r="B815">
        <f ca="1">IF(OR(changes[[#This Row],[Type]]="Checklist",changes[[#This Row],[Type]]="checklist-flat"),1+IF(changes[[#This Row],[Type of change]] = "Edit",COUNTIFS($I$4:changes[[#This Row],[Name]],changes[[#This Row],[Name]], $E$4:changes[[#This Row],[Type of change]], "Edit")),B814)</f>
        <v>1</v>
      </c>
      <c r="C815" s="20">
        <v>44635</v>
      </c>
      <c r="D815" s="2" t="s">
        <v>2025</v>
      </c>
      <c r="E815" t="s">
        <v>2011</v>
      </c>
      <c r="F815" s="14" t="s">
        <v>9</v>
      </c>
      <c r="G815" s="47" t="s">
        <v>2130</v>
      </c>
      <c r="H815" s="47" t="s">
        <v>831</v>
      </c>
      <c r="I815" s="47" t="s">
        <v>881</v>
      </c>
      <c r="K815" s="3"/>
      <c r="M815" s="3"/>
    </row>
    <row r="816" spans="1:13">
      <c r="A816" t="s">
        <v>28</v>
      </c>
      <c r="B816">
        <f ca="1">IF(OR(changes[[#This Row],[Type]]="Checklist",changes[[#This Row],[Type]]="checklist-flat"),1+IF(changes[[#This Row],[Type of change]] = "Edit",COUNTIFS($I$4:changes[[#This Row],[Name]],changes[[#This Row],[Name]], $E$4:changes[[#This Row],[Type of change]], "Edit")),B815)</f>
        <v>1</v>
      </c>
      <c r="C816" s="20">
        <v>44635</v>
      </c>
      <c r="D816" s="2" t="s">
        <v>2025</v>
      </c>
      <c r="E816" t="s">
        <v>2011</v>
      </c>
      <c r="F816" s="14" t="s">
        <v>9</v>
      </c>
      <c r="G816" s="47" t="s">
        <v>2130</v>
      </c>
      <c r="H816" s="47" t="s">
        <v>831</v>
      </c>
      <c r="I816" s="47" t="s">
        <v>882</v>
      </c>
      <c r="K816" s="3"/>
      <c r="M816" s="3"/>
    </row>
    <row r="817" spans="1:13">
      <c r="A817" t="s">
        <v>28</v>
      </c>
      <c r="B817">
        <f ca="1">IF(OR(changes[[#This Row],[Type]]="Checklist",changes[[#This Row],[Type]]="checklist-flat"),1+IF(changes[[#This Row],[Type of change]] = "Edit",COUNTIFS($I$4:changes[[#This Row],[Name]],changes[[#This Row],[Name]], $E$4:changes[[#This Row],[Type of change]], "Edit")),B816)</f>
        <v>1</v>
      </c>
      <c r="C817" s="20">
        <v>44635</v>
      </c>
      <c r="D817" s="2" t="s">
        <v>2025</v>
      </c>
      <c r="E817" t="s">
        <v>2011</v>
      </c>
      <c r="F817" s="14" t="s">
        <v>9</v>
      </c>
      <c r="G817" s="47" t="s">
        <v>2130</v>
      </c>
      <c r="H817" s="47" t="s">
        <v>58</v>
      </c>
      <c r="I817" s="47" t="s">
        <v>883</v>
      </c>
      <c r="K817" s="3"/>
      <c r="M817" s="3"/>
    </row>
    <row r="818" spans="1:13">
      <c r="A818" t="s">
        <v>28</v>
      </c>
      <c r="B818">
        <f ca="1">IF(OR(changes[[#This Row],[Type]]="Checklist",changes[[#This Row],[Type]]="checklist-flat"),1+IF(changes[[#This Row],[Type of change]] = "Edit",COUNTIFS($I$4:changes[[#This Row],[Name]],changes[[#This Row],[Name]], $E$4:changes[[#This Row],[Type of change]], "Edit")),B817)</f>
        <v>1</v>
      </c>
      <c r="C818" s="20">
        <v>44635</v>
      </c>
      <c r="D818" s="2" t="s">
        <v>2025</v>
      </c>
      <c r="E818" t="s">
        <v>2011</v>
      </c>
      <c r="F818" s="14" t="s">
        <v>9</v>
      </c>
      <c r="G818" s="47" t="s">
        <v>852</v>
      </c>
      <c r="H818" s="47" t="s">
        <v>119</v>
      </c>
      <c r="I818" s="47" t="s">
        <v>852</v>
      </c>
      <c r="K818" s="3"/>
      <c r="M818" s="3"/>
    </row>
    <row r="819" spans="1:13">
      <c r="A819" t="s">
        <v>28</v>
      </c>
      <c r="B819">
        <f ca="1">IF(OR(changes[[#This Row],[Type]]="Checklist",changes[[#This Row],[Type]]="checklist-flat"),1+IF(changes[[#This Row],[Type of change]] = "Edit",COUNTIFS($I$4:changes[[#This Row],[Name]],changes[[#This Row],[Name]], $E$4:changes[[#This Row],[Type of change]], "Edit")),B818)</f>
        <v>1</v>
      </c>
      <c r="C819" s="20">
        <v>44635</v>
      </c>
      <c r="D819" s="2" t="s">
        <v>2025</v>
      </c>
      <c r="E819" t="s">
        <v>2011</v>
      </c>
      <c r="F819" s="14" t="s">
        <v>9</v>
      </c>
      <c r="G819" s="47" t="s">
        <v>852</v>
      </c>
      <c r="H819" s="47" t="s">
        <v>120</v>
      </c>
      <c r="I819" s="47" t="s">
        <v>853</v>
      </c>
      <c r="K819" s="3"/>
      <c r="M819" s="3"/>
    </row>
    <row r="820" spans="1:13">
      <c r="A820" t="s">
        <v>28</v>
      </c>
      <c r="B820">
        <f ca="1">IF(OR(changes[[#This Row],[Type]]="Checklist",changes[[#This Row],[Type]]="checklist-flat"),1+IF(changes[[#This Row],[Type of change]] = "Edit",COUNTIFS($I$4:changes[[#This Row],[Name]],changes[[#This Row],[Name]], $E$4:changes[[#This Row],[Type of change]], "Edit")),B819)</f>
        <v>1</v>
      </c>
      <c r="C820" s="20">
        <v>44635</v>
      </c>
      <c r="D820" s="2" t="s">
        <v>2025</v>
      </c>
      <c r="E820" t="s">
        <v>2011</v>
      </c>
      <c r="F820" s="14" t="s">
        <v>9</v>
      </c>
      <c r="G820" s="47" t="s">
        <v>852</v>
      </c>
      <c r="H820" s="47" t="s">
        <v>49</v>
      </c>
      <c r="I820" s="47" t="s">
        <v>854</v>
      </c>
      <c r="K820" s="3"/>
      <c r="M820" s="3"/>
    </row>
    <row r="821" spans="1:13">
      <c r="A821" t="s">
        <v>28</v>
      </c>
      <c r="B821">
        <f ca="1">IF(OR(changes[[#This Row],[Type]]="Checklist",changes[[#This Row],[Type]]="checklist-flat"),1+IF(changes[[#This Row],[Type of change]] = "Edit",COUNTIFS($I$4:changes[[#This Row],[Name]],changes[[#This Row],[Name]], $E$4:changes[[#This Row],[Type of change]], "Edit")),B820)</f>
        <v>1</v>
      </c>
      <c r="C821" s="20">
        <v>44635</v>
      </c>
      <c r="D821" s="2" t="s">
        <v>2025</v>
      </c>
      <c r="E821" t="s">
        <v>2011</v>
      </c>
      <c r="F821" s="14" t="s">
        <v>9</v>
      </c>
      <c r="G821" s="47" t="s">
        <v>852</v>
      </c>
      <c r="H821" s="47" t="s">
        <v>49</v>
      </c>
      <c r="I821" s="47" t="s">
        <v>855</v>
      </c>
      <c r="K821" s="3"/>
      <c r="M821" s="3"/>
    </row>
    <row r="822" spans="1:13">
      <c r="A822" t="s">
        <v>28</v>
      </c>
      <c r="B822">
        <f ca="1">IF(OR(changes[[#This Row],[Type]]="Checklist",changes[[#This Row],[Type]]="checklist-flat"),1+IF(changes[[#This Row],[Type of change]] = "Edit",COUNTIFS($I$4:changes[[#This Row],[Name]],changes[[#This Row],[Name]], $E$4:changes[[#This Row],[Type of change]], "Edit")),B821)</f>
        <v>1</v>
      </c>
      <c r="C822" s="20">
        <v>44635</v>
      </c>
      <c r="D822" s="2" t="s">
        <v>2025</v>
      </c>
      <c r="E822" t="s">
        <v>2011</v>
      </c>
      <c r="F822" s="14" t="s">
        <v>9</v>
      </c>
      <c r="G822" s="47" t="s">
        <v>852</v>
      </c>
      <c r="H822" s="47" t="s">
        <v>831</v>
      </c>
      <c r="I822" s="47" t="s">
        <v>856</v>
      </c>
      <c r="K822" s="3"/>
      <c r="M822" s="3"/>
    </row>
    <row r="823" spans="1:13">
      <c r="A823" t="s">
        <v>28</v>
      </c>
      <c r="B823">
        <f ca="1">IF(OR(changes[[#This Row],[Type]]="Checklist",changes[[#This Row],[Type]]="checklist-flat"),1+IF(changes[[#This Row],[Type of change]] = "Edit",COUNTIFS($I$4:changes[[#This Row],[Name]],changes[[#This Row],[Name]], $E$4:changes[[#This Row],[Type of change]], "Edit")),B822)</f>
        <v>1</v>
      </c>
      <c r="C823" s="20">
        <v>44635</v>
      </c>
      <c r="D823" s="2" t="s">
        <v>2025</v>
      </c>
      <c r="E823" t="s">
        <v>2011</v>
      </c>
      <c r="F823" s="14" t="s">
        <v>9</v>
      </c>
      <c r="G823" s="47" t="s">
        <v>852</v>
      </c>
      <c r="H823" s="47" t="s">
        <v>120</v>
      </c>
      <c r="I823" s="47" t="s">
        <v>2068</v>
      </c>
      <c r="K823" s="3"/>
      <c r="M823" s="3"/>
    </row>
    <row r="824" spans="1:13">
      <c r="A824" t="s">
        <v>28</v>
      </c>
      <c r="B824">
        <f ca="1">IF(OR(changes[[#This Row],[Type]]="Checklist",changes[[#This Row],[Type]]="checklist-flat"),1+IF(changes[[#This Row],[Type of change]] = "Edit",COUNTIFS($I$4:changes[[#This Row],[Name]],changes[[#This Row],[Name]], $E$4:changes[[#This Row],[Type of change]], "Edit")),B823)</f>
        <v>1</v>
      </c>
      <c r="C824" s="20">
        <v>44635</v>
      </c>
      <c r="D824" s="2" t="s">
        <v>2025</v>
      </c>
      <c r="E824" t="s">
        <v>2011</v>
      </c>
      <c r="F824" s="14" t="s">
        <v>9</v>
      </c>
      <c r="G824" s="47" t="s">
        <v>852</v>
      </c>
      <c r="H824" s="47" t="s">
        <v>831</v>
      </c>
      <c r="I824" s="47" t="s">
        <v>857</v>
      </c>
      <c r="K824" s="3"/>
      <c r="M824" s="3"/>
    </row>
    <row r="825" spans="1:13">
      <c r="A825" t="s">
        <v>28</v>
      </c>
      <c r="B825">
        <f ca="1">IF(OR(changes[[#This Row],[Type]]="Checklist",changes[[#This Row],[Type]]="checklist-flat"),1+IF(changes[[#This Row],[Type of change]] = "Edit",COUNTIFS($I$4:changes[[#This Row],[Name]],changes[[#This Row],[Name]], $E$4:changes[[#This Row],[Type of change]], "Edit")),B824)</f>
        <v>1</v>
      </c>
      <c r="C825" s="20">
        <v>44635</v>
      </c>
      <c r="D825" s="2" t="s">
        <v>2025</v>
      </c>
      <c r="E825" t="s">
        <v>2011</v>
      </c>
      <c r="F825" s="14" t="s">
        <v>9</v>
      </c>
      <c r="G825" s="47" t="s">
        <v>852</v>
      </c>
      <c r="H825" s="47" t="s">
        <v>831</v>
      </c>
      <c r="I825" s="47" t="s">
        <v>858</v>
      </c>
      <c r="K825" s="3"/>
      <c r="M825" s="3"/>
    </row>
    <row r="826" spans="1:13">
      <c r="A826" t="s">
        <v>28</v>
      </c>
      <c r="B826">
        <f ca="1">IF(OR(changes[[#This Row],[Type]]="Checklist",changes[[#This Row],[Type]]="checklist-flat"),1+IF(changes[[#This Row],[Type of change]] = "Edit",COUNTIFS($I$4:changes[[#This Row],[Name]],changes[[#This Row],[Name]], $E$4:changes[[#This Row],[Type of change]], "Edit")),B825)</f>
        <v>1</v>
      </c>
      <c r="C826" s="20">
        <v>44635</v>
      </c>
      <c r="D826" s="2" t="s">
        <v>2025</v>
      </c>
      <c r="E826" t="s">
        <v>2011</v>
      </c>
      <c r="F826" s="14" t="s">
        <v>9</v>
      </c>
      <c r="G826" s="47" t="s">
        <v>852</v>
      </c>
      <c r="H826" s="47" t="s">
        <v>831</v>
      </c>
      <c r="I826" s="47" t="s">
        <v>859</v>
      </c>
      <c r="K826" s="3"/>
      <c r="M826" s="3"/>
    </row>
    <row r="827" spans="1:13">
      <c r="A827" t="s">
        <v>28</v>
      </c>
      <c r="B827">
        <f ca="1">IF(OR(changes[[#This Row],[Type]]="Checklist",changes[[#This Row],[Type]]="checklist-flat"),1+IF(changes[[#This Row],[Type of change]] = "Edit",COUNTIFS($I$4:changes[[#This Row],[Name]],changes[[#This Row],[Name]], $E$4:changes[[#This Row],[Type of change]], "Edit")),B826)</f>
        <v>1</v>
      </c>
      <c r="C827" s="20">
        <v>44635</v>
      </c>
      <c r="D827" s="2" t="s">
        <v>2025</v>
      </c>
      <c r="E827" t="s">
        <v>2011</v>
      </c>
      <c r="F827" s="14" t="s">
        <v>9</v>
      </c>
      <c r="G827" s="47" t="s">
        <v>852</v>
      </c>
      <c r="H827" s="47" t="s">
        <v>831</v>
      </c>
      <c r="I827" s="47" t="s">
        <v>860</v>
      </c>
      <c r="K827" s="3"/>
      <c r="M827" s="3"/>
    </row>
    <row r="828" spans="1:13">
      <c r="A828" t="s">
        <v>28</v>
      </c>
      <c r="B828">
        <f ca="1">IF(OR(changes[[#This Row],[Type]]="Checklist",changes[[#This Row],[Type]]="checklist-flat"),1+IF(changes[[#This Row],[Type of change]] = "Edit",COUNTIFS($I$4:changes[[#This Row],[Name]],changes[[#This Row],[Name]], $E$4:changes[[#This Row],[Type of change]], "Edit")),B827)</f>
        <v>1</v>
      </c>
      <c r="C828" s="20">
        <v>44635</v>
      </c>
      <c r="D828" s="2" t="s">
        <v>2025</v>
      </c>
      <c r="E828" t="s">
        <v>2011</v>
      </c>
      <c r="F828" s="14" t="s">
        <v>9</v>
      </c>
      <c r="G828" s="47" t="s">
        <v>852</v>
      </c>
      <c r="H828" s="47" t="s">
        <v>831</v>
      </c>
      <c r="I828" s="47" t="s">
        <v>2069</v>
      </c>
      <c r="K828" s="3"/>
      <c r="M828" s="3"/>
    </row>
    <row r="829" spans="1:13">
      <c r="A829" t="s">
        <v>28</v>
      </c>
      <c r="B829">
        <f ca="1">IF(OR(changes[[#This Row],[Type]]="Checklist",changes[[#This Row],[Type]]="checklist-flat"),1+IF(changes[[#This Row],[Type of change]] = "Edit",COUNTIFS($I$4:changes[[#This Row],[Name]],changes[[#This Row],[Name]], $E$4:changes[[#This Row],[Type of change]], "Edit")),B828)</f>
        <v>1</v>
      </c>
      <c r="C829" s="20">
        <v>44635</v>
      </c>
      <c r="D829" s="2" t="s">
        <v>2025</v>
      </c>
      <c r="E829" t="s">
        <v>2011</v>
      </c>
      <c r="F829" s="14" t="s">
        <v>9</v>
      </c>
      <c r="G829" s="47" t="s">
        <v>852</v>
      </c>
      <c r="H829" s="47" t="s">
        <v>831</v>
      </c>
      <c r="I829" s="47" t="s">
        <v>2070</v>
      </c>
      <c r="K829" s="3"/>
      <c r="M829" s="3"/>
    </row>
    <row r="830" spans="1:13">
      <c r="A830" t="s">
        <v>28</v>
      </c>
      <c r="B830">
        <f ca="1">IF(OR(changes[[#This Row],[Type]]="Checklist",changes[[#This Row],[Type]]="checklist-flat"),1+IF(changes[[#This Row],[Type of change]] = "Edit",COUNTIFS($I$4:changes[[#This Row],[Name]],changes[[#This Row],[Name]], $E$4:changes[[#This Row],[Type of change]], "Edit")),B829)</f>
        <v>1</v>
      </c>
      <c r="C830" s="20">
        <v>44635</v>
      </c>
      <c r="D830" s="2" t="s">
        <v>2025</v>
      </c>
      <c r="E830" t="s">
        <v>2011</v>
      </c>
      <c r="F830" s="14" t="s">
        <v>9</v>
      </c>
      <c r="G830" s="47" t="s">
        <v>852</v>
      </c>
      <c r="H830" s="47" t="s">
        <v>831</v>
      </c>
      <c r="I830" s="47" t="s">
        <v>877</v>
      </c>
      <c r="K830" s="3"/>
      <c r="M830" s="3"/>
    </row>
    <row r="831" spans="1:13">
      <c r="A831" t="s">
        <v>28</v>
      </c>
      <c r="B831">
        <f ca="1">IF(OR(changes[[#This Row],[Type]]="Checklist",changes[[#This Row],[Type]]="checklist-flat"),1+IF(changes[[#This Row],[Type of change]] = "Edit",COUNTIFS($I$4:changes[[#This Row],[Name]],changes[[#This Row],[Name]], $E$4:changes[[#This Row],[Type of change]], "Edit")),B830)</f>
        <v>1</v>
      </c>
      <c r="C831" s="20">
        <v>44635</v>
      </c>
      <c r="D831" s="2" t="s">
        <v>2025</v>
      </c>
      <c r="E831" t="s">
        <v>2011</v>
      </c>
      <c r="F831" s="14" t="s">
        <v>9</v>
      </c>
      <c r="G831" s="47" t="s">
        <v>852</v>
      </c>
      <c r="H831" s="47" t="s">
        <v>831</v>
      </c>
      <c r="I831" s="47" t="s">
        <v>2071</v>
      </c>
      <c r="K831" s="3"/>
      <c r="M831" s="3"/>
    </row>
    <row r="832" spans="1:13">
      <c r="A832" t="s">
        <v>28</v>
      </c>
      <c r="B832">
        <f ca="1">IF(OR(changes[[#This Row],[Type]]="Checklist",changes[[#This Row],[Type]]="checklist-flat"),1+IF(changes[[#This Row],[Type of change]] = "Edit",COUNTIFS($I$4:changes[[#This Row],[Name]],changes[[#This Row],[Name]], $E$4:changes[[#This Row],[Type of change]], "Edit")),B831)</f>
        <v>1</v>
      </c>
      <c r="C832" s="20">
        <v>44635</v>
      </c>
      <c r="D832" s="2" t="s">
        <v>2025</v>
      </c>
      <c r="E832" t="s">
        <v>2011</v>
      </c>
      <c r="F832" s="14" t="s">
        <v>9</v>
      </c>
      <c r="G832" s="47" t="s">
        <v>852</v>
      </c>
      <c r="H832" s="47" t="s">
        <v>831</v>
      </c>
      <c r="I832" s="47" t="s">
        <v>879</v>
      </c>
      <c r="K832" s="3"/>
      <c r="M832" s="3"/>
    </row>
    <row r="833" spans="1:13">
      <c r="A833" t="s">
        <v>28</v>
      </c>
      <c r="B833">
        <f ca="1">IF(OR(changes[[#This Row],[Type]]="Checklist",changes[[#This Row],[Type]]="checklist-flat"),1+IF(changes[[#This Row],[Type of change]] = "Edit",COUNTIFS($I$4:changes[[#This Row],[Name]],changes[[#This Row],[Name]], $E$4:changes[[#This Row],[Type of change]], "Edit")),B832)</f>
        <v>1</v>
      </c>
      <c r="C833" s="20">
        <v>44635</v>
      </c>
      <c r="D833" s="2" t="s">
        <v>2025</v>
      </c>
      <c r="E833" t="s">
        <v>2011</v>
      </c>
      <c r="F833" s="14" t="s">
        <v>9</v>
      </c>
      <c r="G833" s="47" t="s">
        <v>852</v>
      </c>
      <c r="H833" s="47" t="s">
        <v>831</v>
      </c>
      <c r="I833" s="47" t="s">
        <v>2072</v>
      </c>
      <c r="K833" s="3"/>
      <c r="M833" s="3"/>
    </row>
    <row r="834" spans="1:13">
      <c r="A834" t="s">
        <v>28</v>
      </c>
      <c r="B834">
        <f ca="1">IF(OR(changes[[#This Row],[Type]]="Checklist",changes[[#This Row],[Type]]="checklist-flat"),1+IF(changes[[#This Row],[Type of change]] = "Edit",COUNTIFS($I$4:changes[[#This Row],[Name]],changes[[#This Row],[Name]], $E$4:changes[[#This Row],[Type of change]], "Edit")),B833)</f>
        <v>1</v>
      </c>
      <c r="C834" s="20">
        <v>44635</v>
      </c>
      <c r="D834" s="2" t="s">
        <v>2025</v>
      </c>
      <c r="E834" t="s">
        <v>2011</v>
      </c>
      <c r="F834" s="14" t="s">
        <v>9</v>
      </c>
      <c r="G834" s="47" t="s">
        <v>852</v>
      </c>
      <c r="H834" s="47" t="s">
        <v>831</v>
      </c>
      <c r="I834" s="47" t="s">
        <v>881</v>
      </c>
      <c r="K834" s="3"/>
      <c r="M834" s="3"/>
    </row>
    <row r="835" spans="1:13">
      <c r="A835" t="s">
        <v>28</v>
      </c>
      <c r="B835">
        <f ca="1">IF(OR(changes[[#This Row],[Type]]="Checklist",changes[[#This Row],[Type]]="checklist-flat"),1+IF(changes[[#This Row],[Type of change]] = "Edit",COUNTIFS($I$4:changes[[#This Row],[Name]],changes[[#This Row],[Name]], $E$4:changes[[#This Row],[Type of change]], "Edit")),B834)</f>
        <v>1</v>
      </c>
      <c r="C835" s="20">
        <v>44635</v>
      </c>
      <c r="D835" s="2" t="s">
        <v>2025</v>
      </c>
      <c r="E835" t="s">
        <v>2011</v>
      </c>
      <c r="F835" s="14" t="s">
        <v>9</v>
      </c>
      <c r="G835" s="47" t="s">
        <v>852</v>
      </c>
      <c r="H835" s="47" t="s">
        <v>831</v>
      </c>
      <c r="I835" s="47" t="s">
        <v>882</v>
      </c>
      <c r="K835" s="3"/>
      <c r="M835" s="3"/>
    </row>
    <row r="836" spans="1:13">
      <c r="A836" t="s">
        <v>28</v>
      </c>
      <c r="B836">
        <f ca="1">IF(OR(changes[[#This Row],[Type]]="Checklist",changes[[#This Row],[Type]]="checklist-flat"),1+IF(changes[[#This Row],[Type of change]] = "Edit",COUNTIFS($I$4:changes[[#This Row],[Name]],changes[[#This Row],[Name]], $E$4:changes[[#This Row],[Type of change]], "Edit")),B835)</f>
        <v>1</v>
      </c>
      <c r="C836" s="20">
        <v>44635</v>
      </c>
      <c r="D836" s="2" t="s">
        <v>2025</v>
      </c>
      <c r="E836" t="s">
        <v>2011</v>
      </c>
      <c r="F836" s="14" t="s">
        <v>9</v>
      </c>
      <c r="G836" s="47" t="s">
        <v>852</v>
      </c>
      <c r="H836" s="47" t="s">
        <v>58</v>
      </c>
      <c r="I836" s="47" t="s">
        <v>883</v>
      </c>
      <c r="K836" s="3"/>
      <c r="M836" s="3"/>
    </row>
    <row r="837" spans="1:13">
      <c r="A837" t="s">
        <v>11</v>
      </c>
      <c r="B837">
        <f ca="1">IF(OR(changes[[#This Row],[Type]]="Checklist",changes[[#This Row],[Type]]="checklist-flat"),1+IF(changes[[#This Row],[Type of change]] = "Edit",COUNTIFS($I$4:changes[[#This Row],[Name]],changes[[#This Row],[Name]], $E$4:changes[[#This Row],[Type of change]], "Edit")),B836)</f>
        <v>1</v>
      </c>
      <c r="C837" s="20">
        <v>44636</v>
      </c>
      <c r="D837" s="2" t="s">
        <v>2024</v>
      </c>
      <c r="E837" t="s">
        <v>2011</v>
      </c>
      <c r="F837" s="14" t="s">
        <v>9</v>
      </c>
      <c r="G837" s="14" t="s">
        <v>2145</v>
      </c>
      <c r="H837" t="s">
        <v>43</v>
      </c>
      <c r="I837" t="s">
        <v>2145</v>
      </c>
      <c r="K837" s="3"/>
      <c r="M837" s="3" t="s">
        <v>2146</v>
      </c>
    </row>
    <row r="838" spans="1:13">
      <c r="A838" t="s">
        <v>11</v>
      </c>
      <c r="B838">
        <f ca="1">IF(OR(changes[[#This Row],[Type]]="Checklist",changes[[#This Row],[Type]]="checklist-flat"),1+IF(changes[[#This Row],[Type of change]] = "Edit",COUNTIFS($I$4:changes[[#This Row],[Name]],changes[[#This Row],[Name]], $E$4:changes[[#This Row],[Type of change]], "Edit")),B837)</f>
        <v>1</v>
      </c>
      <c r="C838" s="20">
        <v>44636</v>
      </c>
      <c r="D838" s="2" t="s">
        <v>2024</v>
      </c>
      <c r="E838" t="s">
        <v>2011</v>
      </c>
      <c r="F838" s="14" t="s">
        <v>9</v>
      </c>
      <c r="G838" s="14" t="s">
        <v>2145</v>
      </c>
      <c r="H838" t="s">
        <v>49</v>
      </c>
      <c r="I838" t="s">
        <v>2147</v>
      </c>
      <c r="K838" s="3"/>
      <c r="M838" t="s">
        <v>2148</v>
      </c>
    </row>
    <row r="839" spans="1:13">
      <c r="A839" t="s">
        <v>11</v>
      </c>
      <c r="B839">
        <f ca="1">IF(OR(changes[[#This Row],[Type]]="Checklist",changes[[#This Row],[Type]]="checklist-flat"),1+IF(changes[[#This Row],[Type of change]] = "Edit",COUNTIFS($I$4:changes[[#This Row],[Name]],changes[[#This Row],[Name]], $E$4:changes[[#This Row],[Type of change]], "Edit")),B838)</f>
        <v>1</v>
      </c>
      <c r="C839" s="20">
        <v>44636</v>
      </c>
      <c r="D839" s="2" t="s">
        <v>2024</v>
      </c>
      <c r="E839" t="s">
        <v>2011</v>
      </c>
      <c r="F839" s="14" t="s">
        <v>9</v>
      </c>
      <c r="G839" s="14" t="s">
        <v>2145</v>
      </c>
      <c r="H839" t="s">
        <v>49</v>
      </c>
      <c r="I839" t="s">
        <v>2149</v>
      </c>
      <c r="K839" s="3"/>
      <c r="M839" t="s">
        <v>2150</v>
      </c>
    </row>
    <row r="840" spans="1:13">
      <c r="A840" t="s">
        <v>11</v>
      </c>
      <c r="B840">
        <f ca="1">IF(OR(changes[[#This Row],[Type]]="Checklist",changes[[#This Row],[Type]]="checklist-flat"),1+IF(changes[[#This Row],[Type of change]] = "Edit",COUNTIFS($I$4:changes[[#This Row],[Name]],changes[[#This Row],[Name]], $E$4:changes[[#This Row],[Type of change]], "Edit")),B839)</f>
        <v>1</v>
      </c>
      <c r="C840" s="20">
        <v>44636</v>
      </c>
      <c r="D840" s="2" t="s">
        <v>2024</v>
      </c>
      <c r="E840" t="s">
        <v>2011</v>
      </c>
      <c r="F840" s="14" t="s">
        <v>9</v>
      </c>
      <c r="G840" s="14" t="s">
        <v>2145</v>
      </c>
      <c r="H840" t="s">
        <v>49</v>
      </c>
      <c r="I840" t="s">
        <v>2151</v>
      </c>
      <c r="K840" s="3"/>
      <c r="M840" t="s">
        <v>2150</v>
      </c>
    </row>
    <row r="841" spans="1:13">
      <c r="A841" t="s">
        <v>11</v>
      </c>
      <c r="B841">
        <f ca="1">IF(OR(changes[[#This Row],[Type]]="Checklist",changes[[#This Row],[Type]]="checklist-flat"),1+IF(changes[[#This Row],[Type of change]] = "Edit",COUNTIFS($I$4:changes[[#This Row],[Name]],changes[[#This Row],[Name]], $E$4:changes[[#This Row],[Type of change]], "Edit")),B840)</f>
        <v>1</v>
      </c>
      <c r="C841" s="20">
        <v>44636</v>
      </c>
      <c r="D841" s="2" t="s">
        <v>2025</v>
      </c>
      <c r="E841" t="s">
        <v>2011</v>
      </c>
      <c r="F841" s="14" t="s">
        <v>9</v>
      </c>
      <c r="G841" t="s">
        <v>2152</v>
      </c>
      <c r="H841" t="s">
        <v>119</v>
      </c>
      <c r="I841" t="s">
        <v>2152</v>
      </c>
      <c r="K841" s="3"/>
      <c r="M841" s="3" t="s">
        <v>2153</v>
      </c>
    </row>
    <row r="842" spans="1:13">
      <c r="A842" t="s">
        <v>11</v>
      </c>
      <c r="B842">
        <f ca="1">IF(OR(changes[[#This Row],[Type]]="Checklist",changes[[#This Row],[Type]]="checklist-flat"),1+IF(changes[[#This Row],[Type of change]] = "Edit",COUNTIFS($I$4:changes[[#This Row],[Name]],changes[[#This Row],[Name]], $E$4:changes[[#This Row],[Type of change]], "Edit")),B841)</f>
        <v>1</v>
      </c>
      <c r="C842" s="20">
        <v>44636</v>
      </c>
      <c r="D842" s="2" t="s">
        <v>2025</v>
      </c>
      <c r="E842" t="s">
        <v>2011</v>
      </c>
      <c r="F842" s="14" t="s">
        <v>9</v>
      </c>
      <c r="G842" t="s">
        <v>2152</v>
      </c>
      <c r="H842" t="s">
        <v>120</v>
      </c>
      <c r="I842" t="s">
        <v>2154</v>
      </c>
      <c r="K842" s="3"/>
      <c r="M842" s="3"/>
    </row>
    <row r="843" spans="1:13">
      <c r="A843" t="s">
        <v>11</v>
      </c>
      <c r="B843">
        <f ca="1">IF(OR(changes[[#This Row],[Type]]="Checklist",changes[[#This Row],[Type]]="checklist-flat"),1+IF(changes[[#This Row],[Type of change]] = "Edit",COUNTIFS($I$4:changes[[#This Row],[Name]],changes[[#This Row],[Name]], $E$4:changes[[#This Row],[Type of change]], "Edit")),B842)</f>
        <v>1</v>
      </c>
      <c r="C843" s="20">
        <v>44636</v>
      </c>
      <c r="D843" s="2" t="s">
        <v>2025</v>
      </c>
      <c r="E843" t="s">
        <v>2011</v>
      </c>
      <c r="F843" s="14" t="s">
        <v>9</v>
      </c>
      <c r="G843" t="s">
        <v>2152</v>
      </c>
      <c r="H843" t="s">
        <v>2155</v>
      </c>
      <c r="I843" t="s">
        <v>2156</v>
      </c>
      <c r="K843" s="3"/>
      <c r="M843" s="3"/>
    </row>
    <row r="844" spans="1:13">
      <c r="A844" t="s">
        <v>11</v>
      </c>
      <c r="B844">
        <f ca="1">IF(OR(changes[[#This Row],[Type]]="Checklist",changes[[#This Row],[Type]]="checklist-flat"),1+IF(changes[[#This Row],[Type of change]] = "Edit",COUNTIFS($I$4:changes[[#This Row],[Name]],changes[[#This Row],[Name]], $E$4:changes[[#This Row],[Type of change]], "Edit")),B843)</f>
        <v>1</v>
      </c>
      <c r="C844" s="20">
        <v>44636</v>
      </c>
      <c r="D844" s="2" t="s">
        <v>2025</v>
      </c>
      <c r="E844" t="s">
        <v>2011</v>
      </c>
      <c r="F844" s="14" t="s">
        <v>9</v>
      </c>
      <c r="G844" t="s">
        <v>2152</v>
      </c>
      <c r="H844" t="s">
        <v>2155</v>
      </c>
      <c r="I844" t="s">
        <v>2157</v>
      </c>
      <c r="K844" s="3"/>
      <c r="M844" s="3"/>
    </row>
    <row r="845" spans="1:13">
      <c r="A845" t="s">
        <v>11</v>
      </c>
      <c r="B845">
        <f ca="1">IF(OR(changes[[#This Row],[Type]]="Checklist",changes[[#This Row],[Type]]="checklist-flat"),1+IF(changes[[#This Row],[Type of change]] = "Edit",COUNTIFS($I$4:changes[[#This Row],[Name]],changes[[#This Row],[Name]], $E$4:changes[[#This Row],[Type of change]], "Edit")),B844)</f>
        <v>1</v>
      </c>
      <c r="C845" s="20">
        <v>44636</v>
      </c>
      <c r="D845" s="2" t="s">
        <v>2025</v>
      </c>
      <c r="E845" t="s">
        <v>2011</v>
      </c>
      <c r="F845" s="14" t="s">
        <v>9</v>
      </c>
      <c r="G845" t="s">
        <v>2152</v>
      </c>
      <c r="H845" t="s">
        <v>2155</v>
      </c>
      <c r="I845" t="s">
        <v>2158</v>
      </c>
      <c r="K845" s="3"/>
      <c r="M845" s="3"/>
    </row>
    <row r="846" spans="1:13">
      <c r="A846" t="s">
        <v>11</v>
      </c>
      <c r="B846">
        <f ca="1">IF(OR(changes[[#This Row],[Type]]="Checklist",changes[[#This Row],[Type]]="checklist-flat"),1+IF(changes[[#This Row],[Type of change]] = "Edit",COUNTIFS($I$4:changes[[#This Row],[Name]],changes[[#This Row],[Name]], $E$4:changes[[#This Row],[Type of change]], "Edit")),B845)</f>
        <v>1</v>
      </c>
      <c r="C846" s="20">
        <v>44636</v>
      </c>
      <c r="D846" s="2" t="s">
        <v>2025</v>
      </c>
      <c r="E846" t="s">
        <v>2011</v>
      </c>
      <c r="F846" s="14" t="s">
        <v>9</v>
      </c>
      <c r="G846" t="s">
        <v>2152</v>
      </c>
      <c r="H846" s="55" t="s">
        <v>2155</v>
      </c>
      <c r="I846" t="s">
        <v>2159</v>
      </c>
      <c r="K846" s="3"/>
      <c r="M846" s="3"/>
    </row>
    <row r="847" spans="1:13">
      <c r="A847" t="s">
        <v>11</v>
      </c>
      <c r="B847">
        <f ca="1">IF(OR(changes[[#This Row],[Type]]="Checklist",changes[[#This Row],[Type]]="checklist-flat"),1+IF(changes[[#This Row],[Type of change]] = "Edit",COUNTIFS($I$4:changes[[#This Row],[Name]],changes[[#This Row],[Name]], $E$4:changes[[#This Row],[Type of change]], "Edit")),B846)</f>
        <v>1</v>
      </c>
      <c r="C847" s="20">
        <v>44636</v>
      </c>
      <c r="D847" s="2" t="s">
        <v>2025</v>
      </c>
      <c r="E847" t="s">
        <v>2011</v>
      </c>
      <c r="F847" s="14" t="s">
        <v>9</v>
      </c>
      <c r="G847" t="s">
        <v>2152</v>
      </c>
      <c r="H847" s="55" t="s">
        <v>58</v>
      </c>
      <c r="I847" t="s">
        <v>209</v>
      </c>
      <c r="K847" s="3"/>
      <c r="M847" s="3"/>
    </row>
    <row r="848" spans="1:13">
      <c r="A848" t="s">
        <v>11</v>
      </c>
      <c r="B848">
        <f ca="1">IF(OR(changes[[#This Row],[Type]]="Checklist",changes[[#This Row],[Type]]="checklist-flat"),1+IF(changes[[#This Row],[Type of change]] = "Edit",COUNTIFS($I$4:changes[[#This Row],[Name]],changes[[#This Row],[Name]], $E$4:changes[[#This Row],[Type of change]], "Edit")),B847)</f>
        <v>1</v>
      </c>
      <c r="C848" s="20">
        <v>44636</v>
      </c>
      <c r="D848" s="2" t="s">
        <v>2025</v>
      </c>
      <c r="E848" t="s">
        <v>2011</v>
      </c>
      <c r="F848" s="14" t="s">
        <v>9</v>
      </c>
      <c r="G848" t="s">
        <v>2152</v>
      </c>
      <c r="H848" t="s">
        <v>120</v>
      </c>
      <c r="I848" t="s">
        <v>2160</v>
      </c>
      <c r="K848" s="3"/>
      <c r="M848" s="3"/>
    </row>
    <row r="849" spans="1:13">
      <c r="A849" t="s">
        <v>11</v>
      </c>
      <c r="B849">
        <f ca="1">IF(OR(changes[[#This Row],[Type]]="Checklist",changes[[#This Row],[Type]]="checklist-flat"),1+IF(changes[[#This Row],[Type of change]] = "Edit",COUNTIFS($I$4:changes[[#This Row],[Name]],changes[[#This Row],[Name]], $E$4:changes[[#This Row],[Type of change]], "Edit")),B848)</f>
        <v>1</v>
      </c>
      <c r="C849" s="20">
        <v>44636</v>
      </c>
      <c r="D849" s="2" t="s">
        <v>2025</v>
      </c>
      <c r="E849" t="s">
        <v>2011</v>
      </c>
      <c r="F849" s="14" t="s">
        <v>9</v>
      </c>
      <c r="G849" t="s">
        <v>2152</v>
      </c>
      <c r="H849" t="s">
        <v>2155</v>
      </c>
      <c r="I849" t="s">
        <v>2161</v>
      </c>
      <c r="K849" s="3"/>
      <c r="M849" s="3"/>
    </row>
    <row r="850" spans="1:13">
      <c r="A850" t="s">
        <v>11</v>
      </c>
      <c r="B850">
        <f ca="1">IF(OR(changes[[#This Row],[Type]]="Checklist",changes[[#This Row],[Type]]="checklist-flat"),1+IF(changes[[#This Row],[Type of change]] = "Edit",COUNTIFS($I$4:changes[[#This Row],[Name]],changes[[#This Row],[Name]], $E$4:changes[[#This Row],[Type of change]], "Edit")),B849)</f>
        <v>1</v>
      </c>
      <c r="C850" s="20">
        <v>44636</v>
      </c>
      <c r="D850" s="2" t="s">
        <v>2025</v>
      </c>
      <c r="E850" t="s">
        <v>2011</v>
      </c>
      <c r="F850" s="14" t="s">
        <v>9</v>
      </c>
      <c r="G850" t="s">
        <v>2152</v>
      </c>
      <c r="H850" t="s">
        <v>2155</v>
      </c>
      <c r="I850" t="s">
        <v>2162</v>
      </c>
      <c r="K850" s="3"/>
      <c r="M850" s="3"/>
    </row>
    <row r="851" spans="1:13">
      <c r="A851" t="s">
        <v>11</v>
      </c>
      <c r="B851">
        <f ca="1">IF(OR(changes[[#This Row],[Type]]="Checklist",changes[[#This Row],[Type]]="checklist-flat"),1+IF(changes[[#This Row],[Type of change]] = "Edit",COUNTIFS($I$4:changes[[#This Row],[Name]],changes[[#This Row],[Name]], $E$4:changes[[#This Row],[Type of change]], "Edit")),B850)</f>
        <v>1</v>
      </c>
      <c r="C851" s="20">
        <v>44636</v>
      </c>
      <c r="D851" s="2" t="s">
        <v>2025</v>
      </c>
      <c r="E851" t="s">
        <v>2011</v>
      </c>
      <c r="F851" s="14" t="s">
        <v>9</v>
      </c>
      <c r="G851" t="s">
        <v>2152</v>
      </c>
      <c r="H851" t="s">
        <v>2155</v>
      </c>
      <c r="I851" t="s">
        <v>2163</v>
      </c>
      <c r="K851" s="3"/>
      <c r="M851" s="3"/>
    </row>
    <row r="852" spans="1:13">
      <c r="A852" t="s">
        <v>11</v>
      </c>
      <c r="B852">
        <f ca="1">IF(OR(changes[[#This Row],[Type]]="Checklist",changes[[#This Row],[Type]]="checklist-flat"),1+IF(changes[[#This Row],[Type of change]] = "Edit",COUNTIFS($I$4:changes[[#This Row],[Name]],changes[[#This Row],[Name]], $E$4:changes[[#This Row],[Type of change]], "Edit")),B851)</f>
        <v>1</v>
      </c>
      <c r="C852" s="20">
        <v>44636</v>
      </c>
      <c r="D852" s="2" t="s">
        <v>2025</v>
      </c>
      <c r="E852" t="s">
        <v>2011</v>
      </c>
      <c r="F852" s="14" t="s">
        <v>9</v>
      </c>
      <c r="G852" t="s">
        <v>2152</v>
      </c>
      <c r="H852" t="s">
        <v>2155</v>
      </c>
      <c r="I852" t="s">
        <v>2164</v>
      </c>
      <c r="K852" s="3"/>
      <c r="M852" s="3"/>
    </row>
    <row r="853" spans="1:13">
      <c r="A853" t="s">
        <v>11</v>
      </c>
      <c r="B853">
        <f ca="1">IF(OR(changes[[#This Row],[Type]]="Checklist",changes[[#This Row],[Type]]="checklist-flat"),1+IF(changes[[#This Row],[Type of change]] = "Edit",COUNTIFS($I$4:changes[[#This Row],[Name]],changes[[#This Row],[Name]], $E$4:changes[[#This Row],[Type of change]], "Edit")),B852)</f>
        <v>1</v>
      </c>
      <c r="C853" s="20">
        <v>44636</v>
      </c>
      <c r="D853" s="2" t="s">
        <v>2025</v>
      </c>
      <c r="E853" t="s">
        <v>2011</v>
      </c>
      <c r="F853" s="14" t="s">
        <v>9</v>
      </c>
      <c r="G853" t="s">
        <v>2152</v>
      </c>
      <c r="H853" t="s">
        <v>58</v>
      </c>
      <c r="I853" t="s">
        <v>209</v>
      </c>
      <c r="K853" s="3"/>
      <c r="M853" s="3"/>
    </row>
    <row r="854" spans="1:13">
      <c r="A854" t="s">
        <v>28</v>
      </c>
      <c r="B854">
        <f ca="1">IF(OR(changes[[#This Row],[Type]]="Checklist",changes[[#This Row],[Type]]="checklist-flat"),1+IF(changes[[#This Row],[Type of change]] = "Edit",COUNTIFS($I$4:changes[[#This Row],[Name]],changes[[#This Row],[Name]], $E$4:changes[[#This Row],[Type of change]], "Edit")),B853)</f>
        <v>1</v>
      </c>
      <c r="C854" s="20">
        <v>44636</v>
      </c>
      <c r="D854" s="2" t="s">
        <v>2165</v>
      </c>
      <c r="E854" t="s">
        <v>2011</v>
      </c>
      <c r="F854" s="14" t="s">
        <v>1998</v>
      </c>
      <c r="G854" s="14" t="s">
        <v>1641</v>
      </c>
      <c r="H854" t="s">
        <v>119</v>
      </c>
      <c r="I854" t="s">
        <v>1641</v>
      </c>
      <c r="K854" s="3"/>
      <c r="M854" s="3"/>
    </row>
    <row r="855" spans="1:13">
      <c r="A855" t="s">
        <v>28</v>
      </c>
      <c r="B855">
        <f ca="1">IF(OR(changes[[#This Row],[Type]]="Checklist",changes[[#This Row],[Type]]="checklist-flat"),1+IF(changes[[#This Row],[Type of change]] = "Edit",COUNTIFS($I$4:changes[[#This Row],[Name]],changes[[#This Row],[Name]], $E$4:changes[[#This Row],[Type of change]], "Edit")),B854)</f>
        <v>1</v>
      </c>
      <c r="C855" s="20">
        <v>44636</v>
      </c>
      <c r="D855" s="2" t="s">
        <v>2165</v>
      </c>
      <c r="E855" t="s">
        <v>2011</v>
      </c>
      <c r="F855" s="14" t="s">
        <v>1998</v>
      </c>
      <c r="G855" s="14" t="s">
        <v>1641</v>
      </c>
      <c r="H855" t="s">
        <v>49</v>
      </c>
      <c r="I855" t="s">
        <v>1642</v>
      </c>
      <c r="K855" s="3"/>
      <c r="M855" s="3"/>
    </row>
    <row r="856" spans="1:13">
      <c r="A856" t="s">
        <v>28</v>
      </c>
      <c r="B856">
        <f ca="1">IF(OR(changes[[#This Row],[Type]]="Checklist",changes[[#This Row],[Type]]="checklist-flat"),1+IF(changes[[#This Row],[Type of change]] = "Edit",COUNTIFS($I$4:changes[[#This Row],[Name]],changes[[#This Row],[Name]], $E$4:changes[[#This Row],[Type of change]], "Edit")),B855)</f>
        <v>1</v>
      </c>
      <c r="C856" s="20">
        <v>44636</v>
      </c>
      <c r="D856" s="2" t="s">
        <v>2165</v>
      </c>
      <c r="E856" t="s">
        <v>2011</v>
      </c>
      <c r="F856" s="14" t="s">
        <v>1998</v>
      </c>
      <c r="G856" s="14" t="s">
        <v>1641</v>
      </c>
      <c r="H856" t="s">
        <v>49</v>
      </c>
      <c r="I856" t="s">
        <v>1511</v>
      </c>
      <c r="K856" s="3"/>
      <c r="M856" s="3"/>
    </row>
    <row r="857" spans="1:13">
      <c r="A857" t="s">
        <v>28</v>
      </c>
      <c r="B857">
        <f ca="1">IF(OR(changes[[#This Row],[Type]]="Checklist",changes[[#This Row],[Type]]="checklist-flat"),1+IF(changes[[#This Row],[Type of change]] = "Edit",COUNTIFS($I$4:changes[[#This Row],[Name]],changes[[#This Row],[Name]], $E$4:changes[[#This Row],[Type of change]], "Edit")),B856)</f>
        <v>1</v>
      </c>
      <c r="C857" s="20">
        <v>44636</v>
      </c>
      <c r="D857" s="2" t="s">
        <v>2165</v>
      </c>
      <c r="E857" t="s">
        <v>2011</v>
      </c>
      <c r="F857" s="14" t="s">
        <v>1998</v>
      </c>
      <c r="G857" s="14" t="s">
        <v>1641</v>
      </c>
      <c r="H857" t="s">
        <v>49</v>
      </c>
      <c r="I857" t="s">
        <v>1486</v>
      </c>
      <c r="K857" s="3"/>
      <c r="M857" s="3"/>
    </row>
    <row r="858" spans="1:13">
      <c r="A858" t="s">
        <v>28</v>
      </c>
      <c r="B858">
        <f ca="1">IF(OR(changes[[#This Row],[Type]]="Checklist",changes[[#This Row],[Type]]="checklist-flat"),1+IF(changes[[#This Row],[Type of change]] = "Edit",COUNTIFS($I$4:changes[[#This Row],[Name]],changes[[#This Row],[Name]], $E$4:changes[[#This Row],[Type of change]], "Edit")),B857)</f>
        <v>1</v>
      </c>
      <c r="C858" s="20">
        <v>44636</v>
      </c>
      <c r="D858" s="2" t="s">
        <v>2165</v>
      </c>
      <c r="E858" t="s">
        <v>2011</v>
      </c>
      <c r="F858" s="14" t="s">
        <v>1998</v>
      </c>
      <c r="G858" s="14" t="s">
        <v>1641</v>
      </c>
      <c r="H858" t="s">
        <v>49</v>
      </c>
      <c r="I858" t="s">
        <v>1643</v>
      </c>
      <c r="K858" s="3"/>
      <c r="M858" s="3"/>
    </row>
    <row r="859" spans="1:13">
      <c r="A859" t="s">
        <v>28</v>
      </c>
      <c r="B859">
        <f ca="1">IF(OR(changes[[#This Row],[Type]]="Checklist",changes[[#This Row],[Type]]="checklist-flat"),1+IF(changes[[#This Row],[Type of change]] = "Edit",COUNTIFS($I$4:changes[[#This Row],[Name]],changes[[#This Row],[Name]], $E$4:changes[[#This Row],[Type of change]], "Edit")),B858)</f>
        <v>1</v>
      </c>
      <c r="C859" s="20">
        <v>44636</v>
      </c>
      <c r="D859" s="2" t="s">
        <v>2165</v>
      </c>
      <c r="E859" t="s">
        <v>2011</v>
      </c>
      <c r="F859" s="14" t="s">
        <v>1998</v>
      </c>
      <c r="G859" s="14" t="s">
        <v>1641</v>
      </c>
      <c r="H859" t="s">
        <v>49</v>
      </c>
      <c r="I859" t="s">
        <v>1644</v>
      </c>
      <c r="K859" s="3"/>
      <c r="M859" s="3"/>
    </row>
    <row r="860" spans="1:13">
      <c r="A860" t="s">
        <v>28</v>
      </c>
      <c r="B860">
        <f ca="1">IF(OR(changes[[#This Row],[Type]]="Checklist",changes[[#This Row],[Type]]="checklist-flat"),1+IF(changes[[#This Row],[Type of change]] = "Edit",COUNTIFS($I$4:changes[[#This Row],[Name]],changes[[#This Row],[Name]], $E$4:changes[[#This Row],[Type of change]], "Edit")),B859)</f>
        <v>1</v>
      </c>
      <c r="C860" s="20">
        <v>44636</v>
      </c>
      <c r="D860" s="2" t="s">
        <v>2165</v>
      </c>
      <c r="E860" t="s">
        <v>2011</v>
      </c>
      <c r="F860" s="14" t="s">
        <v>1998</v>
      </c>
      <c r="G860" s="14" t="s">
        <v>1641</v>
      </c>
      <c r="H860" t="s">
        <v>49</v>
      </c>
      <c r="I860" t="s">
        <v>1645</v>
      </c>
      <c r="K860" s="3"/>
      <c r="M860" s="3"/>
    </row>
    <row r="861" spans="1:13">
      <c r="A861" t="s">
        <v>28</v>
      </c>
      <c r="B861">
        <f ca="1">IF(OR(changes[[#This Row],[Type]]="Checklist",changes[[#This Row],[Type]]="checklist-flat"),1+IF(changes[[#This Row],[Type of change]] = "Edit",COUNTIFS($I$4:changes[[#This Row],[Name]],changes[[#This Row],[Name]], $E$4:changes[[#This Row],[Type of change]], "Edit")),B860)</f>
        <v>1</v>
      </c>
      <c r="C861" s="20">
        <v>44636</v>
      </c>
      <c r="D861" s="2" t="s">
        <v>2165</v>
      </c>
      <c r="E861" t="s">
        <v>2011</v>
      </c>
      <c r="F861" s="14" t="s">
        <v>1998</v>
      </c>
      <c r="G861" s="14" t="s">
        <v>1641</v>
      </c>
      <c r="H861" t="s">
        <v>49</v>
      </c>
      <c r="I861" t="s">
        <v>1646</v>
      </c>
      <c r="K861" s="3"/>
      <c r="M861" s="3"/>
    </row>
    <row r="862" spans="1:13">
      <c r="A862" t="s">
        <v>28</v>
      </c>
      <c r="B862">
        <f ca="1">IF(OR(changes[[#This Row],[Type]]="Checklist",changes[[#This Row],[Type]]="checklist-flat"),1+IF(changes[[#This Row],[Type of change]] = "Edit",COUNTIFS($I$4:changes[[#This Row],[Name]],changes[[#This Row],[Name]], $E$4:changes[[#This Row],[Type of change]], "Edit")),B861)</f>
        <v>1</v>
      </c>
      <c r="C862" s="20">
        <v>44636</v>
      </c>
      <c r="D862" s="2" t="s">
        <v>2165</v>
      </c>
      <c r="E862" t="s">
        <v>2011</v>
      </c>
      <c r="F862" s="14" t="s">
        <v>1998</v>
      </c>
      <c r="G862" s="14" t="s">
        <v>1641</v>
      </c>
      <c r="H862" t="s">
        <v>49</v>
      </c>
      <c r="I862" t="s">
        <v>1647</v>
      </c>
      <c r="K862" s="3"/>
      <c r="M862" s="3"/>
    </row>
    <row r="863" spans="1:13">
      <c r="A863" t="s">
        <v>28</v>
      </c>
      <c r="B863">
        <f ca="1">IF(OR(changes[[#This Row],[Type]]="Checklist",changes[[#This Row],[Type]]="checklist-flat"),1+IF(changes[[#This Row],[Type of change]] = "Edit",COUNTIFS($I$4:changes[[#This Row],[Name]],changes[[#This Row],[Name]], $E$4:changes[[#This Row],[Type of change]], "Edit")),B862)</f>
        <v>1</v>
      </c>
      <c r="C863" s="20">
        <v>44636</v>
      </c>
      <c r="D863" s="2" t="s">
        <v>2009</v>
      </c>
      <c r="E863" t="s">
        <v>19</v>
      </c>
      <c r="F863" s="14" t="s">
        <v>1998</v>
      </c>
      <c r="G863" s="14" t="s">
        <v>2166</v>
      </c>
      <c r="H863" t="s">
        <v>119</v>
      </c>
      <c r="I863" t="s">
        <v>2166</v>
      </c>
      <c r="K863" s="3"/>
      <c r="M863" t="s">
        <v>2167</v>
      </c>
    </row>
    <row r="864" spans="1:13">
      <c r="A864" t="s">
        <v>28</v>
      </c>
      <c r="B864">
        <f ca="1">IF(OR(changes[[#This Row],[Type]]="Checklist",changes[[#This Row],[Type]]="checklist-flat"),1+IF(changes[[#This Row],[Type of change]] = "Edit",COUNTIFS($I$4:changes[[#This Row],[Name]],changes[[#This Row],[Name]], $E$4:changes[[#This Row],[Type of change]], "Edit")),B863)</f>
        <v>1</v>
      </c>
      <c r="C864" s="20">
        <v>44636</v>
      </c>
      <c r="D864" s="2" t="s">
        <v>2009</v>
      </c>
      <c r="E864" t="s">
        <v>19</v>
      </c>
      <c r="F864" s="14" t="s">
        <v>1998</v>
      </c>
      <c r="G864" s="14" t="s">
        <v>2166</v>
      </c>
      <c r="H864" t="s">
        <v>49</v>
      </c>
      <c r="I864" t="s">
        <v>2168</v>
      </c>
      <c r="K864" s="3"/>
      <c r="M864" t="s">
        <v>2167</v>
      </c>
    </row>
    <row r="865" spans="1:13">
      <c r="A865" t="s">
        <v>28</v>
      </c>
      <c r="B865">
        <f ca="1">IF(OR(changes[[#This Row],[Type]]="Checklist",changes[[#This Row],[Type]]="checklist-flat"),1+IF(changes[[#This Row],[Type of change]] = "Edit",COUNTIFS($I$4:changes[[#This Row],[Name]],changes[[#This Row],[Name]], $E$4:changes[[#This Row],[Type of change]], "Edit")),B864)</f>
        <v>1</v>
      </c>
      <c r="C865" s="20">
        <v>44636</v>
      </c>
      <c r="D865" s="2" t="s">
        <v>2009</v>
      </c>
      <c r="E865" t="s">
        <v>19</v>
      </c>
      <c r="F865" s="14" t="s">
        <v>1998</v>
      </c>
      <c r="G865" s="14" t="s">
        <v>2166</v>
      </c>
      <c r="H865" t="s">
        <v>131</v>
      </c>
      <c r="I865" t="s">
        <v>2169</v>
      </c>
      <c r="K865" s="3"/>
      <c r="M865" t="s">
        <v>2167</v>
      </c>
    </row>
    <row r="866" spans="1:13">
      <c r="A866" t="s">
        <v>28</v>
      </c>
      <c r="B866">
        <f ca="1">IF(OR(changes[[#This Row],[Type]]="Checklist",changes[[#This Row],[Type]]="checklist-flat"),1+IF(changes[[#This Row],[Type of change]] = "Edit",COUNTIFS($I$4:changes[[#This Row],[Name]],changes[[#This Row],[Name]], $E$4:changes[[#This Row],[Type of change]], "Edit")),B865)</f>
        <v>1</v>
      </c>
      <c r="C866" s="20">
        <v>44636</v>
      </c>
      <c r="D866" s="2" t="s">
        <v>2009</v>
      </c>
      <c r="E866" t="s">
        <v>19</v>
      </c>
      <c r="F866" s="14" t="s">
        <v>1998</v>
      </c>
      <c r="G866" s="14" t="s">
        <v>2166</v>
      </c>
      <c r="H866" t="s">
        <v>131</v>
      </c>
      <c r="I866" t="s">
        <v>2170</v>
      </c>
      <c r="K866" s="3"/>
      <c r="M866" t="s">
        <v>2167</v>
      </c>
    </row>
    <row r="867" spans="1:13">
      <c r="A867" t="s">
        <v>28</v>
      </c>
      <c r="B867">
        <f ca="1">IF(OR(changes[[#This Row],[Type]]="Checklist",changes[[#This Row],[Type]]="checklist-flat"),1+IF(changes[[#This Row],[Type of change]] = "Edit",COUNTIFS($I$4:changes[[#This Row],[Name]],changes[[#This Row],[Name]], $E$4:changes[[#This Row],[Type of change]], "Edit")),B866)</f>
        <v>1</v>
      </c>
      <c r="C867" s="20">
        <v>44636</v>
      </c>
      <c r="D867" s="2" t="s">
        <v>2009</v>
      </c>
      <c r="E867" t="s">
        <v>19</v>
      </c>
      <c r="F867" s="14" t="s">
        <v>1998</v>
      </c>
      <c r="G867" s="14" t="s">
        <v>2166</v>
      </c>
      <c r="H867" t="s">
        <v>131</v>
      </c>
      <c r="I867" t="s">
        <v>2171</v>
      </c>
      <c r="K867" s="3"/>
      <c r="M867" t="s">
        <v>2167</v>
      </c>
    </row>
    <row r="868" spans="1:13">
      <c r="A868" t="s">
        <v>28</v>
      </c>
      <c r="B868">
        <f ca="1">IF(OR(changes[[#This Row],[Type]]="Checklist",changes[[#This Row],[Type]]="checklist-flat"),1+IF(changes[[#This Row],[Type of change]] = "Edit",COUNTIFS($I$4:changes[[#This Row],[Name]],changes[[#This Row],[Name]], $E$4:changes[[#This Row],[Type of change]], "Edit")),B867)</f>
        <v>1</v>
      </c>
      <c r="C868" s="20">
        <v>44636</v>
      </c>
      <c r="D868" s="2" t="s">
        <v>2009</v>
      </c>
      <c r="E868" t="s">
        <v>19</v>
      </c>
      <c r="F868" s="14" t="s">
        <v>1998</v>
      </c>
      <c r="G868" s="14" t="s">
        <v>2166</v>
      </c>
      <c r="H868" t="s">
        <v>131</v>
      </c>
      <c r="I868" t="s">
        <v>2172</v>
      </c>
      <c r="K868" s="56"/>
      <c r="M868" t="s">
        <v>2167</v>
      </c>
    </row>
    <row r="869" spans="1:13">
      <c r="A869" t="s">
        <v>28</v>
      </c>
      <c r="B869">
        <f ca="1">IF(OR(changes[[#This Row],[Type]]="Checklist",changes[[#This Row],[Type]]="checklist-flat"),1+IF(changes[[#This Row],[Type of change]] = "Edit",COUNTIFS($I$4:changes[[#This Row],[Name]],changes[[#This Row],[Name]], $E$4:changes[[#This Row],[Type of change]], "Edit")),B868)</f>
        <v>1</v>
      </c>
      <c r="C869" s="20">
        <v>44636</v>
      </c>
      <c r="D869" s="2" t="s">
        <v>2009</v>
      </c>
      <c r="E869" t="s">
        <v>19</v>
      </c>
      <c r="F869" s="14" t="s">
        <v>1998</v>
      </c>
      <c r="G869" s="14" t="s">
        <v>2166</v>
      </c>
      <c r="H869" t="s">
        <v>131</v>
      </c>
      <c r="I869" t="s">
        <v>2173</v>
      </c>
      <c r="K869" s="3"/>
      <c r="M869" t="s">
        <v>2167</v>
      </c>
    </row>
    <row r="870" spans="1:13">
      <c r="A870" t="s">
        <v>28</v>
      </c>
      <c r="B870">
        <f ca="1">IF(OR(changes[[#This Row],[Type]]="Checklist",changes[[#This Row],[Type]]="checklist-flat"),1+IF(changes[[#This Row],[Type of change]] = "Edit",COUNTIFS($I$4:changes[[#This Row],[Name]],changes[[#This Row],[Name]], $E$4:changes[[#This Row],[Type of change]], "Edit")),B869)</f>
        <v>1</v>
      </c>
      <c r="C870" s="20">
        <v>44636</v>
      </c>
      <c r="D870" s="2" t="s">
        <v>2009</v>
      </c>
      <c r="E870" t="s">
        <v>19</v>
      </c>
      <c r="F870" s="14" t="s">
        <v>1998</v>
      </c>
      <c r="G870" s="14" t="s">
        <v>2166</v>
      </c>
      <c r="H870" t="s">
        <v>131</v>
      </c>
      <c r="I870" t="s">
        <v>2174</v>
      </c>
      <c r="K870" s="3"/>
      <c r="M870" t="s">
        <v>2167</v>
      </c>
    </row>
    <row r="871" spans="1:13">
      <c r="A871" t="s">
        <v>28</v>
      </c>
      <c r="B871">
        <f ca="1">IF(OR(changes[[#This Row],[Type]]="Checklist",changes[[#This Row],[Type]]="checklist-flat"),1+IF(changes[[#This Row],[Type of change]] = "Edit",COUNTIFS($I$4:changes[[#This Row],[Name]],changes[[#This Row],[Name]], $E$4:changes[[#This Row],[Type of change]], "Edit")),B870)</f>
        <v>1</v>
      </c>
      <c r="C871" s="20">
        <v>44636</v>
      </c>
      <c r="D871" s="2" t="s">
        <v>2009</v>
      </c>
      <c r="E871" t="s">
        <v>19</v>
      </c>
      <c r="F871" s="14" t="s">
        <v>1998</v>
      </c>
      <c r="G871" s="14" t="s">
        <v>2166</v>
      </c>
      <c r="H871" t="s">
        <v>131</v>
      </c>
      <c r="I871" t="s">
        <v>2175</v>
      </c>
      <c r="K871" s="3"/>
      <c r="M871" t="s">
        <v>2167</v>
      </c>
    </row>
    <row r="872" spans="1:13">
      <c r="A872" t="s">
        <v>28</v>
      </c>
      <c r="B872">
        <f ca="1">IF(OR(changes[[#This Row],[Type]]="Checklist",changes[[#This Row],[Type]]="checklist-flat"),1+IF(changes[[#This Row],[Type of change]] = "Edit",COUNTIFS($I$4:changes[[#This Row],[Name]],changes[[#This Row],[Name]], $E$4:changes[[#This Row],[Type of change]], "Edit")),B871)</f>
        <v>1</v>
      </c>
      <c r="C872" s="20">
        <v>44636</v>
      </c>
      <c r="D872" s="2" t="s">
        <v>2009</v>
      </c>
      <c r="E872" t="s">
        <v>19</v>
      </c>
      <c r="F872" s="14" t="s">
        <v>1998</v>
      </c>
      <c r="G872" s="14" t="s">
        <v>2166</v>
      </c>
      <c r="H872" t="s">
        <v>131</v>
      </c>
      <c r="I872" t="s">
        <v>2176</v>
      </c>
      <c r="K872" s="3"/>
      <c r="M872" t="s">
        <v>2167</v>
      </c>
    </row>
    <row r="873" spans="1:13">
      <c r="A873" t="s">
        <v>28</v>
      </c>
      <c r="B873">
        <f ca="1">IF(OR(changes[[#This Row],[Type]]="Checklist",changes[[#This Row],[Type]]="checklist-flat"),1+IF(changes[[#This Row],[Type of change]] = "Edit",COUNTIFS($I$4:changes[[#This Row],[Name]],changes[[#This Row],[Name]], $E$4:changes[[#This Row],[Type of change]], "Edit")),B872)</f>
        <v>1</v>
      </c>
      <c r="C873" s="20">
        <v>44636</v>
      </c>
      <c r="D873" s="2" t="s">
        <v>2009</v>
      </c>
      <c r="E873" t="s">
        <v>19</v>
      </c>
      <c r="F873" s="14" t="s">
        <v>1998</v>
      </c>
      <c r="G873" s="14" t="s">
        <v>2166</v>
      </c>
      <c r="H873" t="s">
        <v>131</v>
      </c>
      <c r="I873" t="s">
        <v>2177</v>
      </c>
      <c r="K873" s="3"/>
      <c r="M873" t="s">
        <v>2167</v>
      </c>
    </row>
    <row r="874" spans="1:13">
      <c r="A874" t="s">
        <v>28</v>
      </c>
      <c r="B874">
        <f ca="1">IF(OR(changes[[#This Row],[Type]]="Checklist",changes[[#This Row],[Type]]="checklist-flat"),1+IF(changes[[#This Row],[Type of change]] = "Edit",COUNTIFS($I$4:changes[[#This Row],[Name]],changes[[#This Row],[Name]], $E$4:changes[[#This Row],[Type of change]], "Edit")),B873)</f>
        <v>1</v>
      </c>
      <c r="C874" s="20">
        <v>44636</v>
      </c>
      <c r="D874" s="2" t="s">
        <v>2009</v>
      </c>
      <c r="E874" t="s">
        <v>19</v>
      </c>
      <c r="F874" s="14" t="s">
        <v>1998</v>
      </c>
      <c r="G874" s="14" t="s">
        <v>2166</v>
      </c>
      <c r="H874" t="s">
        <v>131</v>
      </c>
      <c r="I874" t="s">
        <v>2178</v>
      </c>
      <c r="K874" s="3"/>
      <c r="M874" t="s">
        <v>2167</v>
      </c>
    </row>
    <row r="875" spans="1:13">
      <c r="A875" t="s">
        <v>28</v>
      </c>
      <c r="B875">
        <f ca="1">IF(OR(changes[[#This Row],[Type]]="Checklist",changes[[#This Row],[Type]]="checklist-flat"),1+IF(changes[[#This Row],[Type of change]] = "Edit",COUNTIFS($I$4:changes[[#This Row],[Name]],changes[[#This Row],[Name]], $E$4:changes[[#This Row],[Type of change]], "Edit")),B874)</f>
        <v>1</v>
      </c>
      <c r="C875" s="20">
        <v>44636</v>
      </c>
      <c r="D875" s="2" t="s">
        <v>2009</v>
      </c>
      <c r="E875" t="s">
        <v>19</v>
      </c>
      <c r="F875" s="14" t="s">
        <v>1998</v>
      </c>
      <c r="G875" s="14" t="s">
        <v>2166</v>
      </c>
      <c r="H875" t="s">
        <v>131</v>
      </c>
      <c r="I875" t="s">
        <v>2179</v>
      </c>
      <c r="K875" s="3"/>
      <c r="M875" t="s">
        <v>2167</v>
      </c>
    </row>
    <row r="876" spans="1:13">
      <c r="A876" t="s">
        <v>28</v>
      </c>
      <c r="B876">
        <f ca="1">IF(OR(changes[[#This Row],[Type]]="Checklist",changes[[#This Row],[Type]]="checklist-flat"),1+IF(changes[[#This Row],[Type of change]] = "Edit",COUNTIFS($I$4:changes[[#This Row],[Name]],changes[[#This Row],[Name]], $E$4:changes[[#This Row],[Type of change]], "Edit")),B875)</f>
        <v>1</v>
      </c>
      <c r="C876" s="20">
        <v>44636</v>
      </c>
      <c r="D876" s="2" t="s">
        <v>2009</v>
      </c>
      <c r="E876" t="s">
        <v>19</v>
      </c>
      <c r="F876" s="14" t="s">
        <v>1998</v>
      </c>
      <c r="G876" s="14" t="s">
        <v>2166</v>
      </c>
      <c r="H876" t="s">
        <v>131</v>
      </c>
      <c r="I876" t="s">
        <v>2180</v>
      </c>
      <c r="K876" s="3"/>
      <c r="M876" t="s">
        <v>2167</v>
      </c>
    </row>
    <row r="877" spans="1:13">
      <c r="A877" t="s">
        <v>28</v>
      </c>
      <c r="B877">
        <f ca="1">IF(OR(changes[[#This Row],[Type]]="Checklist",changes[[#This Row],[Type]]="checklist-flat"),1+IF(changes[[#This Row],[Type of change]] = "Edit",COUNTIFS($I$4:changes[[#This Row],[Name]],changes[[#This Row],[Name]], $E$4:changes[[#This Row],[Type of change]], "Edit")),B876)</f>
        <v>1</v>
      </c>
      <c r="C877" s="20">
        <v>44636</v>
      </c>
      <c r="D877" s="2" t="s">
        <v>2009</v>
      </c>
      <c r="E877" t="s">
        <v>19</v>
      </c>
      <c r="F877" s="14" t="s">
        <v>1998</v>
      </c>
      <c r="G877" s="14" t="s">
        <v>2166</v>
      </c>
      <c r="H877" t="s">
        <v>131</v>
      </c>
      <c r="I877" t="s">
        <v>2181</v>
      </c>
      <c r="K877" s="3"/>
      <c r="M877" t="s">
        <v>2167</v>
      </c>
    </row>
    <row r="878" spans="1:13">
      <c r="A878" t="s">
        <v>28</v>
      </c>
      <c r="B878">
        <f ca="1">IF(OR(changes[[#This Row],[Type]]="Checklist",changes[[#This Row],[Type]]="checklist-flat"),1+IF(changes[[#This Row],[Type of change]] = "Edit",COUNTIFS($I$4:changes[[#This Row],[Name]],changes[[#This Row],[Name]], $E$4:changes[[#This Row],[Type of change]], "Edit")),B877)</f>
        <v>1</v>
      </c>
      <c r="C878" s="20">
        <v>44636</v>
      </c>
      <c r="D878" s="2" t="s">
        <v>2009</v>
      </c>
      <c r="E878" t="s">
        <v>19</v>
      </c>
      <c r="F878" s="14" t="s">
        <v>1998</v>
      </c>
      <c r="G878" s="14" t="s">
        <v>2166</v>
      </c>
      <c r="H878" t="s">
        <v>131</v>
      </c>
      <c r="I878" t="s">
        <v>2182</v>
      </c>
      <c r="K878" s="3"/>
      <c r="M878" t="s">
        <v>2167</v>
      </c>
    </row>
    <row r="879" spans="1:13">
      <c r="A879" t="s">
        <v>28</v>
      </c>
      <c r="B879">
        <f ca="1">IF(OR(changes[[#This Row],[Type]]="Checklist",changes[[#This Row],[Type]]="checklist-flat"),1+IF(changes[[#This Row],[Type of change]] = "Edit",COUNTIFS($I$4:changes[[#This Row],[Name]],changes[[#This Row],[Name]], $E$4:changes[[#This Row],[Type of change]], "Edit")),B878)</f>
        <v>1</v>
      </c>
      <c r="C879" s="20">
        <v>44636</v>
      </c>
      <c r="D879" s="2" t="s">
        <v>2009</v>
      </c>
      <c r="E879" t="s">
        <v>19</v>
      </c>
      <c r="F879" s="14" t="s">
        <v>1998</v>
      </c>
      <c r="G879" s="14" t="s">
        <v>2166</v>
      </c>
      <c r="H879" t="s">
        <v>131</v>
      </c>
      <c r="I879" t="s">
        <v>2183</v>
      </c>
      <c r="K879" s="3"/>
      <c r="M879" t="s">
        <v>2167</v>
      </c>
    </row>
    <row r="880" spans="1:13">
      <c r="A880" t="s">
        <v>28</v>
      </c>
      <c r="B880">
        <f ca="1">IF(OR(changes[[#This Row],[Type]]="Checklist",changes[[#This Row],[Type]]="checklist-flat"),1+IF(changes[[#This Row],[Type of change]] = "Edit",COUNTIFS($I$4:changes[[#This Row],[Name]],changes[[#This Row],[Name]], $E$4:changes[[#This Row],[Type of change]], "Edit")),B879)</f>
        <v>1</v>
      </c>
      <c r="C880" s="20">
        <v>44636</v>
      </c>
      <c r="D880" s="2" t="s">
        <v>2009</v>
      </c>
      <c r="E880" t="s">
        <v>19</v>
      </c>
      <c r="F880" s="14" t="s">
        <v>1998</v>
      </c>
      <c r="G880" s="14" t="s">
        <v>2166</v>
      </c>
      <c r="H880" t="s">
        <v>131</v>
      </c>
      <c r="I880" t="s">
        <v>2184</v>
      </c>
      <c r="K880" s="3"/>
      <c r="M880" t="s">
        <v>2167</v>
      </c>
    </row>
    <row r="881" spans="1:13">
      <c r="A881" t="s">
        <v>28</v>
      </c>
      <c r="B881">
        <f ca="1">IF(OR(changes[[#This Row],[Type]]="Checklist",changes[[#This Row],[Type]]="checklist-flat"),1+IF(changes[[#This Row],[Type of change]] = "Edit",COUNTIFS($I$4:changes[[#This Row],[Name]],changes[[#This Row],[Name]], $E$4:changes[[#This Row],[Type of change]], "Edit")),B880)</f>
        <v>1</v>
      </c>
      <c r="C881" s="20">
        <v>44636</v>
      </c>
      <c r="D881" s="2" t="s">
        <v>2009</v>
      </c>
      <c r="E881" t="s">
        <v>19</v>
      </c>
      <c r="F881" s="14" t="s">
        <v>1998</v>
      </c>
      <c r="G881" s="14" t="s">
        <v>2166</v>
      </c>
      <c r="H881" t="s">
        <v>1119</v>
      </c>
      <c r="I881" t="s">
        <v>306</v>
      </c>
      <c r="K881" s="3"/>
      <c r="M881" t="s">
        <v>2167</v>
      </c>
    </row>
    <row r="882" spans="1:13" ht="14.25" customHeight="1">
      <c r="A882" t="s">
        <v>28</v>
      </c>
      <c r="B882">
        <f ca="1">IF(OR(changes[[#This Row],[Type]]="Checklist",changes[[#This Row],[Type]]="checklist-flat"),1+IF(changes[[#This Row],[Type of change]] = "Edit",COUNTIFS($I$4:changes[[#This Row],[Name]],changes[[#This Row],[Name]], $E$4:changes[[#This Row],[Type of change]], "Edit")),B881)</f>
        <v>1</v>
      </c>
      <c r="C882" s="20">
        <v>44636</v>
      </c>
      <c r="D882" s="2" t="s">
        <v>2009</v>
      </c>
      <c r="E882" t="s">
        <v>19</v>
      </c>
      <c r="F882" s="14" t="s">
        <v>1998</v>
      </c>
      <c r="G882" s="14" t="s">
        <v>2185</v>
      </c>
      <c r="H882" t="s">
        <v>119</v>
      </c>
      <c r="I882" t="s">
        <v>2185</v>
      </c>
      <c r="K882" s="3"/>
      <c r="M882" t="s">
        <v>2167</v>
      </c>
    </row>
    <row r="883" spans="1:13">
      <c r="A883" t="s">
        <v>28</v>
      </c>
      <c r="B883">
        <f ca="1">IF(OR(changes[[#This Row],[Type]]="Checklist",changes[[#This Row],[Type]]="checklist-flat"),1+IF(changes[[#This Row],[Type of change]] = "Edit",COUNTIFS($I$4:changes[[#This Row],[Name]],changes[[#This Row],[Name]], $E$4:changes[[#This Row],[Type of change]], "Edit")),B882)</f>
        <v>1</v>
      </c>
      <c r="C883" s="20">
        <v>44636</v>
      </c>
      <c r="D883" s="2" t="s">
        <v>2009</v>
      </c>
      <c r="E883" t="s">
        <v>19</v>
      </c>
      <c r="F883" s="14" t="s">
        <v>1998</v>
      </c>
      <c r="G883" s="14" t="s">
        <v>2185</v>
      </c>
      <c r="H883" t="s">
        <v>49</v>
      </c>
      <c r="I883" t="s">
        <v>2186</v>
      </c>
      <c r="K883" s="3"/>
      <c r="M883" t="s">
        <v>2167</v>
      </c>
    </row>
    <row r="884" spans="1:13">
      <c r="A884" t="s">
        <v>28</v>
      </c>
      <c r="B884">
        <f ca="1">IF(OR(changes[[#This Row],[Type]]="Checklist",changes[[#This Row],[Type]]="checklist-flat"),1+IF(changes[[#This Row],[Type of change]] = "Edit",COUNTIFS($I$4:changes[[#This Row],[Name]],changes[[#This Row],[Name]], $E$4:changes[[#This Row],[Type of change]], "Edit")),B883)</f>
        <v>1</v>
      </c>
      <c r="C884" s="20">
        <v>44636</v>
      </c>
      <c r="D884" s="2" t="s">
        <v>2009</v>
      </c>
      <c r="E884" t="s">
        <v>19</v>
      </c>
      <c r="F884" s="14" t="s">
        <v>1998</v>
      </c>
      <c r="G884" s="14" t="s">
        <v>2185</v>
      </c>
      <c r="H884" t="s">
        <v>58</v>
      </c>
      <c r="I884" t="s">
        <v>2187</v>
      </c>
      <c r="K884" s="3"/>
      <c r="M884" t="s">
        <v>2167</v>
      </c>
    </row>
    <row r="885" spans="1:13">
      <c r="A885" t="s">
        <v>28</v>
      </c>
      <c r="B885">
        <f ca="1">IF(OR(changes[[#This Row],[Type]]="Checklist",changes[[#This Row],[Type]]="checklist-flat"),1+IF(changes[[#This Row],[Type of change]] = "Edit",COUNTIFS($I$4:changes[[#This Row],[Name]],changes[[#This Row],[Name]], $E$4:changes[[#This Row],[Type of change]], "Edit")),B884)</f>
        <v>1</v>
      </c>
      <c r="C885" s="20">
        <v>44636</v>
      </c>
      <c r="D885" s="2" t="s">
        <v>2009</v>
      </c>
      <c r="E885" t="s">
        <v>19</v>
      </c>
      <c r="F885" s="14" t="s">
        <v>1998</v>
      </c>
      <c r="G885" s="14" t="s">
        <v>2188</v>
      </c>
      <c r="H885" t="s">
        <v>119</v>
      </c>
      <c r="I885" t="s">
        <v>2188</v>
      </c>
      <c r="K885" s="3"/>
      <c r="M885" t="s">
        <v>2167</v>
      </c>
    </row>
    <row r="886" spans="1:13">
      <c r="A886" t="s">
        <v>28</v>
      </c>
      <c r="B886">
        <f ca="1">IF(OR(changes[[#This Row],[Type]]="Checklist",changes[[#This Row],[Type]]="checklist-flat"),1+IF(changes[[#This Row],[Type of change]] = "Edit",COUNTIFS($I$4:changes[[#This Row],[Name]],changes[[#This Row],[Name]], $E$4:changes[[#This Row],[Type of change]], "Edit")),B885)</f>
        <v>1</v>
      </c>
      <c r="C886" s="20">
        <v>44636</v>
      </c>
      <c r="D886" s="2" t="s">
        <v>2009</v>
      </c>
      <c r="E886" t="s">
        <v>19</v>
      </c>
      <c r="F886" s="14" t="s">
        <v>1998</v>
      </c>
      <c r="G886" s="14" t="s">
        <v>2188</v>
      </c>
      <c r="H886" t="s">
        <v>49</v>
      </c>
      <c r="I886" t="s">
        <v>2189</v>
      </c>
      <c r="K886" s="3"/>
      <c r="M886" t="s">
        <v>2167</v>
      </c>
    </row>
    <row r="887" spans="1:13">
      <c r="A887" t="s">
        <v>28</v>
      </c>
      <c r="B887">
        <f ca="1">IF(OR(changes[[#This Row],[Type]]="Checklist",changes[[#This Row],[Type]]="checklist-flat"),1+IF(changes[[#This Row],[Type of change]] = "Edit",COUNTIFS($I$4:changes[[#This Row],[Name]],changes[[#This Row],[Name]], $E$4:changes[[#This Row],[Type of change]], "Edit")),B886)</f>
        <v>1</v>
      </c>
      <c r="C887" s="20">
        <v>44636</v>
      </c>
      <c r="D887" s="2" t="s">
        <v>2009</v>
      </c>
      <c r="E887" t="s">
        <v>19</v>
      </c>
      <c r="F887" s="14" t="s">
        <v>1998</v>
      </c>
      <c r="G887" s="14" t="s">
        <v>2188</v>
      </c>
      <c r="H887" t="s">
        <v>131</v>
      </c>
      <c r="I887" t="s">
        <v>2190</v>
      </c>
      <c r="K887" s="3"/>
      <c r="M887" t="s">
        <v>2167</v>
      </c>
    </row>
    <row r="888" spans="1:13">
      <c r="A888" t="s">
        <v>28</v>
      </c>
      <c r="B888">
        <f ca="1">IF(OR(changes[[#This Row],[Type]]="Checklist",changes[[#This Row],[Type]]="checklist-flat"),1+IF(changes[[#This Row],[Type of change]] = "Edit",COUNTIFS($I$4:changes[[#This Row],[Name]],changes[[#This Row],[Name]], $E$4:changes[[#This Row],[Type of change]], "Edit")),B887)</f>
        <v>1</v>
      </c>
      <c r="C888" s="20">
        <v>44636</v>
      </c>
      <c r="D888" s="2" t="s">
        <v>2009</v>
      </c>
      <c r="E888" t="s">
        <v>19</v>
      </c>
      <c r="F888" s="14" t="s">
        <v>1998</v>
      </c>
      <c r="G888" s="14" t="s">
        <v>2188</v>
      </c>
      <c r="H888" t="s">
        <v>131</v>
      </c>
      <c r="I888" t="s">
        <v>2191</v>
      </c>
      <c r="K888" s="3"/>
      <c r="M888" t="s">
        <v>2167</v>
      </c>
    </row>
    <row r="889" spans="1:13">
      <c r="A889" t="s">
        <v>28</v>
      </c>
      <c r="B889">
        <f ca="1">IF(OR(changes[[#This Row],[Type]]="Checklist",changes[[#This Row],[Type]]="checklist-flat"),1+IF(changes[[#This Row],[Type of change]] = "Edit",COUNTIFS($I$4:changes[[#This Row],[Name]],changes[[#This Row],[Name]], $E$4:changes[[#This Row],[Type of change]], "Edit")),B888)</f>
        <v>1</v>
      </c>
      <c r="C889" s="20">
        <v>44636</v>
      </c>
      <c r="D889" s="2" t="s">
        <v>2009</v>
      </c>
      <c r="E889" t="s">
        <v>19</v>
      </c>
      <c r="F889" s="14" t="s">
        <v>1998</v>
      </c>
      <c r="G889" s="14" t="s">
        <v>2188</v>
      </c>
      <c r="H889" t="s">
        <v>131</v>
      </c>
      <c r="I889" t="s">
        <v>2192</v>
      </c>
      <c r="K889" s="3"/>
      <c r="M889" t="s">
        <v>2167</v>
      </c>
    </row>
    <row r="890" spans="1:13">
      <c r="A890" t="s">
        <v>28</v>
      </c>
      <c r="B890">
        <f ca="1">IF(OR(changes[[#This Row],[Type]]="Checklist",changes[[#This Row],[Type]]="checklist-flat"),1+IF(changes[[#This Row],[Type of change]] = "Edit",COUNTIFS($I$4:changes[[#This Row],[Name]],changes[[#This Row],[Name]], $E$4:changes[[#This Row],[Type of change]], "Edit")),B889)</f>
        <v>1</v>
      </c>
      <c r="C890" s="20">
        <v>44636</v>
      </c>
      <c r="D890" s="2" t="s">
        <v>2009</v>
      </c>
      <c r="E890" t="s">
        <v>19</v>
      </c>
      <c r="F890" s="14" t="s">
        <v>1998</v>
      </c>
      <c r="G890" s="14" t="s">
        <v>2188</v>
      </c>
      <c r="H890" t="s">
        <v>58</v>
      </c>
      <c r="I890" t="s">
        <v>2193</v>
      </c>
      <c r="K890" s="3"/>
      <c r="M890" t="s">
        <v>2167</v>
      </c>
    </row>
    <row r="891" spans="1:13">
      <c r="A891" t="s">
        <v>28</v>
      </c>
      <c r="B891">
        <f ca="1">IF(OR(changes[[#This Row],[Type]]="Checklist",changes[[#This Row],[Type]]="checklist-flat"),1+IF(changes[[#This Row],[Type of change]] = "Edit",COUNTIFS($I$4:changes[[#This Row],[Name]],changes[[#This Row],[Name]], $E$4:changes[[#This Row],[Type of change]], "Edit")),B890)</f>
        <v>1</v>
      </c>
      <c r="C891" s="20">
        <v>44636</v>
      </c>
      <c r="D891" s="2" t="s">
        <v>2009</v>
      </c>
      <c r="E891" t="s">
        <v>19</v>
      </c>
      <c r="F891" s="14" t="s">
        <v>1998</v>
      </c>
      <c r="G891" s="14" t="s">
        <v>2194</v>
      </c>
      <c r="H891" t="s">
        <v>119</v>
      </c>
      <c r="I891" t="s">
        <v>2194</v>
      </c>
      <c r="K891" s="3"/>
      <c r="M891" t="s">
        <v>2167</v>
      </c>
    </row>
    <row r="892" spans="1:13">
      <c r="A892" t="s">
        <v>28</v>
      </c>
      <c r="B892">
        <f ca="1">IF(OR(changes[[#This Row],[Type]]="Checklist",changes[[#This Row],[Type]]="checklist-flat"),1+IF(changes[[#This Row],[Type of change]] = "Edit",COUNTIFS($I$4:changes[[#This Row],[Name]],changes[[#This Row],[Name]], $E$4:changes[[#This Row],[Type of change]], "Edit")),B891)</f>
        <v>1</v>
      </c>
      <c r="C892" s="20">
        <v>44636</v>
      </c>
      <c r="D892" s="2" t="s">
        <v>2009</v>
      </c>
      <c r="E892" t="s">
        <v>19</v>
      </c>
      <c r="F892" s="14" t="s">
        <v>1998</v>
      </c>
      <c r="G892" s="14" t="s">
        <v>2194</v>
      </c>
      <c r="H892" t="s">
        <v>49</v>
      </c>
      <c r="I892" t="s">
        <v>2195</v>
      </c>
      <c r="K892" s="3"/>
      <c r="M892" t="s">
        <v>2167</v>
      </c>
    </row>
    <row r="893" spans="1:13">
      <c r="A893" t="s">
        <v>28</v>
      </c>
      <c r="B893">
        <f ca="1">IF(OR(changes[[#This Row],[Type]]="Checklist",changes[[#This Row],[Type]]="checklist-flat"),1+IF(changes[[#This Row],[Type of change]] = "Edit",COUNTIFS($I$4:changes[[#This Row],[Name]],changes[[#This Row],[Name]], $E$4:changes[[#This Row],[Type of change]], "Edit")),B892)</f>
        <v>1</v>
      </c>
      <c r="C893" s="20">
        <v>44636</v>
      </c>
      <c r="D893" s="2" t="s">
        <v>2009</v>
      </c>
      <c r="E893" t="s">
        <v>19</v>
      </c>
      <c r="F893" s="14" t="s">
        <v>1998</v>
      </c>
      <c r="G893" s="14" t="s">
        <v>2194</v>
      </c>
      <c r="H893" t="s">
        <v>131</v>
      </c>
      <c r="I893" t="s">
        <v>2196</v>
      </c>
      <c r="K893" s="3"/>
      <c r="M893" t="s">
        <v>2167</v>
      </c>
    </row>
    <row r="894" spans="1:13">
      <c r="A894" t="s">
        <v>28</v>
      </c>
      <c r="B894">
        <f ca="1">IF(OR(changes[[#This Row],[Type]]="Checklist",changes[[#This Row],[Type]]="checklist-flat"),1+IF(changes[[#This Row],[Type of change]] = "Edit",COUNTIFS($I$4:changes[[#This Row],[Name]],changes[[#This Row],[Name]], $E$4:changes[[#This Row],[Type of change]], "Edit")),B893)</f>
        <v>1</v>
      </c>
      <c r="C894" s="20">
        <v>44636</v>
      </c>
      <c r="D894" s="2" t="s">
        <v>2009</v>
      </c>
      <c r="E894" t="s">
        <v>19</v>
      </c>
      <c r="F894" s="14" t="s">
        <v>1998</v>
      </c>
      <c r="G894" s="14" t="s">
        <v>2194</v>
      </c>
      <c r="H894" t="s">
        <v>131</v>
      </c>
      <c r="I894" t="s">
        <v>2197</v>
      </c>
      <c r="K894" s="3"/>
      <c r="M894" t="s">
        <v>2167</v>
      </c>
    </row>
    <row r="895" spans="1:13">
      <c r="A895" t="s">
        <v>28</v>
      </c>
      <c r="B895">
        <f ca="1">IF(OR(changes[[#This Row],[Type]]="Checklist",changes[[#This Row],[Type]]="checklist-flat"),1+IF(changes[[#This Row],[Type of change]] = "Edit",COUNTIFS($I$4:changes[[#This Row],[Name]],changes[[#This Row],[Name]], $E$4:changes[[#This Row],[Type of change]], "Edit")),B894)</f>
        <v>1</v>
      </c>
      <c r="C895" s="20">
        <v>44636</v>
      </c>
      <c r="D895" s="2" t="s">
        <v>2009</v>
      </c>
      <c r="E895" t="s">
        <v>19</v>
      </c>
      <c r="F895" s="14" t="s">
        <v>1998</v>
      </c>
      <c r="G895" s="14" t="s">
        <v>2194</v>
      </c>
      <c r="H895" t="s">
        <v>131</v>
      </c>
      <c r="I895" t="s">
        <v>2198</v>
      </c>
      <c r="K895" s="3"/>
      <c r="M895" t="s">
        <v>2167</v>
      </c>
    </row>
    <row r="896" spans="1:13">
      <c r="A896" t="s">
        <v>28</v>
      </c>
      <c r="B896">
        <f ca="1">IF(OR(changes[[#This Row],[Type]]="Checklist",changes[[#This Row],[Type]]="checklist-flat"),1+IF(changes[[#This Row],[Type of change]] = "Edit",COUNTIFS($I$4:changes[[#This Row],[Name]],changes[[#This Row],[Name]], $E$4:changes[[#This Row],[Type of change]], "Edit")),B895)</f>
        <v>1</v>
      </c>
      <c r="C896" s="20">
        <v>44636</v>
      </c>
      <c r="D896" s="2" t="s">
        <v>2009</v>
      </c>
      <c r="E896" t="s">
        <v>19</v>
      </c>
      <c r="F896" s="14" t="s">
        <v>1998</v>
      </c>
      <c r="G896" s="14" t="s">
        <v>2194</v>
      </c>
      <c r="H896" t="s">
        <v>131</v>
      </c>
      <c r="I896" t="s">
        <v>2199</v>
      </c>
      <c r="K896" s="3"/>
      <c r="M896" t="s">
        <v>2167</v>
      </c>
    </row>
    <row r="897" spans="1:13">
      <c r="A897" t="s">
        <v>28</v>
      </c>
      <c r="B897">
        <f ca="1">IF(OR(changes[[#This Row],[Type]]="Checklist",changes[[#This Row],[Type]]="checklist-flat"),1+IF(changes[[#This Row],[Type of change]] = "Edit",COUNTIFS($I$4:changes[[#This Row],[Name]],changes[[#This Row],[Name]], $E$4:changes[[#This Row],[Type of change]], "Edit")),B896)</f>
        <v>1</v>
      </c>
      <c r="C897" s="20">
        <v>44636</v>
      </c>
      <c r="D897" s="2" t="s">
        <v>2009</v>
      </c>
      <c r="E897" t="s">
        <v>19</v>
      </c>
      <c r="F897" s="14" t="s">
        <v>1998</v>
      </c>
      <c r="G897" s="14" t="s">
        <v>2194</v>
      </c>
      <c r="H897" t="s">
        <v>131</v>
      </c>
      <c r="I897" t="s">
        <v>2200</v>
      </c>
      <c r="K897" s="3"/>
      <c r="M897" t="s">
        <v>2167</v>
      </c>
    </row>
    <row r="898" spans="1:13">
      <c r="A898" t="s">
        <v>28</v>
      </c>
      <c r="B898">
        <f ca="1">IF(OR(changes[[#This Row],[Type]]="Checklist",changes[[#This Row],[Type]]="checklist-flat"),1+IF(changes[[#This Row],[Type of change]] = "Edit",COUNTIFS($I$4:changes[[#This Row],[Name]],changes[[#This Row],[Name]], $E$4:changes[[#This Row],[Type of change]], "Edit")),B897)</f>
        <v>1</v>
      </c>
      <c r="C898" s="20">
        <v>44636</v>
      </c>
      <c r="D898" s="2" t="s">
        <v>2009</v>
      </c>
      <c r="E898" t="s">
        <v>19</v>
      </c>
      <c r="F898" s="14" t="s">
        <v>1998</v>
      </c>
      <c r="G898" s="14" t="s">
        <v>2194</v>
      </c>
      <c r="H898" t="s">
        <v>131</v>
      </c>
      <c r="I898" t="s">
        <v>2201</v>
      </c>
      <c r="K898" s="3"/>
      <c r="M898" t="s">
        <v>2167</v>
      </c>
    </row>
    <row r="899" spans="1:13">
      <c r="A899" t="s">
        <v>28</v>
      </c>
      <c r="B899">
        <f ca="1">IF(OR(changes[[#This Row],[Type]]="Checklist",changes[[#This Row],[Type]]="checklist-flat"),1+IF(changes[[#This Row],[Type of change]] = "Edit",COUNTIFS($I$4:changes[[#This Row],[Name]],changes[[#This Row],[Name]], $E$4:changes[[#This Row],[Type of change]], "Edit")),B898)</f>
        <v>1</v>
      </c>
      <c r="C899" s="20">
        <v>44636</v>
      </c>
      <c r="D899" s="2" t="s">
        <v>2009</v>
      </c>
      <c r="E899" t="s">
        <v>19</v>
      </c>
      <c r="F899" s="14" t="s">
        <v>1998</v>
      </c>
      <c r="G899" s="14" t="s">
        <v>2194</v>
      </c>
      <c r="H899" t="s">
        <v>131</v>
      </c>
      <c r="I899" t="s">
        <v>2040</v>
      </c>
      <c r="K899" s="3"/>
      <c r="M899" t="s">
        <v>2167</v>
      </c>
    </row>
    <row r="900" spans="1:13">
      <c r="A900" t="s">
        <v>28</v>
      </c>
      <c r="B900">
        <f ca="1">IF(OR(changes[[#This Row],[Type]]="Checklist",changes[[#This Row],[Type]]="checklist-flat"),1+IF(changes[[#This Row],[Type of change]] = "Edit",COUNTIFS($I$4:changes[[#This Row],[Name]],changes[[#This Row],[Name]], $E$4:changes[[#This Row],[Type of change]], "Edit")),B899)</f>
        <v>1</v>
      </c>
      <c r="C900" s="20">
        <v>44636</v>
      </c>
      <c r="D900" s="2" t="s">
        <v>2009</v>
      </c>
      <c r="E900" t="s">
        <v>19</v>
      </c>
      <c r="F900" s="14" t="s">
        <v>1998</v>
      </c>
      <c r="G900" s="14" t="s">
        <v>2194</v>
      </c>
      <c r="H900" t="s">
        <v>1739</v>
      </c>
      <c r="I900" t="s">
        <v>1399</v>
      </c>
      <c r="K900" s="3"/>
      <c r="M900" t="s">
        <v>2167</v>
      </c>
    </row>
    <row r="901" spans="1:13">
      <c r="A901" t="s">
        <v>28</v>
      </c>
      <c r="B901">
        <f ca="1">IF(OR(changes[[#This Row],[Type]]="Checklist",changes[[#This Row],[Type]]="checklist-flat"),1+IF(changes[[#This Row],[Type of change]] = "Edit",COUNTIFS($I$4:changes[[#This Row],[Name]],changes[[#This Row],[Name]], $E$4:changes[[#This Row],[Type of change]], "Edit")),B900)</f>
        <v>1</v>
      </c>
      <c r="C901" s="20">
        <v>44636</v>
      </c>
      <c r="D901" s="2" t="s">
        <v>2009</v>
      </c>
      <c r="E901" t="s">
        <v>19</v>
      </c>
      <c r="F901" s="14" t="s">
        <v>1998</v>
      </c>
      <c r="G901" s="14" t="s">
        <v>2194</v>
      </c>
      <c r="H901" t="s">
        <v>1739</v>
      </c>
      <c r="I901" t="s">
        <v>2042</v>
      </c>
      <c r="K901" s="3"/>
      <c r="M901" t="s">
        <v>2167</v>
      </c>
    </row>
    <row r="902" spans="1:13">
      <c r="A902" t="s">
        <v>28</v>
      </c>
      <c r="B902">
        <f ca="1">IF(OR(changes[[#This Row],[Type]]="Checklist",changes[[#This Row],[Type]]="checklist-flat"),1+IF(changes[[#This Row],[Type of change]] = "Edit",COUNTIFS($I$4:changes[[#This Row],[Name]],changes[[#This Row],[Name]], $E$4:changes[[#This Row],[Type of change]], "Edit")),B901)</f>
        <v>1</v>
      </c>
      <c r="C902" s="20">
        <v>44636</v>
      </c>
      <c r="D902" s="2" t="s">
        <v>2009</v>
      </c>
      <c r="E902" t="s">
        <v>19</v>
      </c>
      <c r="F902" s="14" t="s">
        <v>1998</v>
      </c>
      <c r="G902" s="14" t="s">
        <v>2194</v>
      </c>
      <c r="H902" t="s">
        <v>1739</v>
      </c>
      <c r="I902" t="s">
        <v>2202</v>
      </c>
      <c r="K902" s="3"/>
      <c r="M902" t="s">
        <v>2167</v>
      </c>
    </row>
    <row r="903" spans="1:13">
      <c r="A903" t="s">
        <v>28</v>
      </c>
      <c r="B903">
        <f ca="1">IF(OR(changes[[#This Row],[Type]]="Checklist",changes[[#This Row],[Type]]="checklist-flat"),1+IF(changes[[#This Row],[Type of change]] = "Edit",COUNTIFS($I$4:changes[[#This Row],[Name]],changes[[#This Row],[Name]], $E$4:changes[[#This Row],[Type of change]], "Edit")),B902)</f>
        <v>1</v>
      </c>
      <c r="C903" s="20">
        <v>44636</v>
      </c>
      <c r="D903" s="2" t="s">
        <v>2009</v>
      </c>
      <c r="E903" t="s">
        <v>19</v>
      </c>
      <c r="F903" s="14" t="s">
        <v>1998</v>
      </c>
      <c r="G903" s="14" t="s">
        <v>2194</v>
      </c>
      <c r="H903" t="s">
        <v>1739</v>
      </c>
      <c r="I903" t="s">
        <v>2203</v>
      </c>
      <c r="K903" s="3"/>
      <c r="M903" t="s">
        <v>2167</v>
      </c>
    </row>
    <row r="904" spans="1:13">
      <c r="A904" t="s">
        <v>28</v>
      </c>
      <c r="B904">
        <f ca="1">IF(OR(changes[[#This Row],[Type]]="Checklist",changes[[#This Row],[Type]]="checklist-flat"),1+IF(changes[[#This Row],[Type of change]] = "Edit",COUNTIFS($I$4:changes[[#This Row],[Name]],changes[[#This Row],[Name]], $E$4:changes[[#This Row],[Type of change]], "Edit")),B903)</f>
        <v>1</v>
      </c>
      <c r="C904" s="20">
        <v>44636</v>
      </c>
      <c r="D904" s="2" t="s">
        <v>2009</v>
      </c>
      <c r="E904" t="s">
        <v>19</v>
      </c>
      <c r="F904" s="14" t="s">
        <v>1998</v>
      </c>
      <c r="G904" s="14" t="s">
        <v>2194</v>
      </c>
      <c r="H904" t="s">
        <v>131</v>
      </c>
      <c r="I904" t="s">
        <v>2204</v>
      </c>
      <c r="K904" s="3"/>
      <c r="M904" t="s">
        <v>2167</v>
      </c>
    </row>
    <row r="905" spans="1:13">
      <c r="A905" t="s">
        <v>28</v>
      </c>
      <c r="B905">
        <f ca="1">IF(OR(changes[[#This Row],[Type]]="Checklist",changes[[#This Row],[Type]]="checklist-flat"),1+IF(changes[[#This Row],[Type of change]] = "Edit",COUNTIFS($I$4:changes[[#This Row],[Name]],changes[[#This Row],[Name]], $E$4:changes[[#This Row],[Type of change]], "Edit")),B904)</f>
        <v>1</v>
      </c>
      <c r="C905" s="20">
        <v>44636</v>
      </c>
      <c r="D905" s="2" t="s">
        <v>2009</v>
      </c>
      <c r="E905" t="s">
        <v>19</v>
      </c>
      <c r="F905" s="14" t="s">
        <v>1998</v>
      </c>
      <c r="G905" s="14" t="s">
        <v>2194</v>
      </c>
      <c r="H905" t="s">
        <v>131</v>
      </c>
      <c r="I905" t="s">
        <v>2205</v>
      </c>
      <c r="K905" s="3"/>
      <c r="M905" t="s">
        <v>2167</v>
      </c>
    </row>
    <row r="906" spans="1:13">
      <c r="A906" t="s">
        <v>28</v>
      </c>
      <c r="B906">
        <f ca="1">IF(OR(changes[[#This Row],[Type]]="Checklist",changes[[#This Row],[Type]]="checklist-flat"),1+IF(changes[[#This Row],[Type of change]] = "Edit",COUNTIFS($I$4:changes[[#This Row],[Name]],changes[[#This Row],[Name]], $E$4:changes[[#This Row],[Type of change]], "Edit")),B905)</f>
        <v>1</v>
      </c>
      <c r="C906" s="20">
        <v>44636</v>
      </c>
      <c r="D906" s="2" t="s">
        <v>2009</v>
      </c>
      <c r="E906" t="s">
        <v>19</v>
      </c>
      <c r="F906" s="14" t="s">
        <v>1998</v>
      </c>
      <c r="G906" s="14" t="s">
        <v>2194</v>
      </c>
      <c r="H906" t="s">
        <v>58</v>
      </c>
      <c r="I906" t="s">
        <v>2193</v>
      </c>
      <c r="K906" s="3"/>
      <c r="M906" t="s">
        <v>2167</v>
      </c>
    </row>
    <row r="907" spans="1:13">
      <c r="A907" t="s">
        <v>28</v>
      </c>
      <c r="B907">
        <f ca="1">IF(OR(changes[[#This Row],[Type]]="Checklist",changes[[#This Row],[Type]]="checklist-flat"),1+IF(changes[[#This Row],[Type of change]] = "Edit",COUNTIFS($I$4:changes[[#This Row],[Name]],changes[[#This Row],[Name]], $E$4:changes[[#This Row],[Type of change]], "Edit")),B906)</f>
        <v>1</v>
      </c>
      <c r="C907" s="20">
        <v>44636</v>
      </c>
      <c r="D907" s="2" t="s">
        <v>2009</v>
      </c>
      <c r="E907" t="s">
        <v>19</v>
      </c>
      <c r="F907" s="14" t="s">
        <v>1998</v>
      </c>
      <c r="G907" s="14" t="s">
        <v>2206</v>
      </c>
      <c r="H907" t="s">
        <v>119</v>
      </c>
      <c r="I907" t="s">
        <v>2206</v>
      </c>
      <c r="K907" s="3"/>
      <c r="M907" t="s">
        <v>2167</v>
      </c>
    </row>
    <row r="908" spans="1:13">
      <c r="A908" t="s">
        <v>28</v>
      </c>
      <c r="B908">
        <f ca="1">IF(OR(changes[[#This Row],[Type]]="Checklist",changes[[#This Row],[Type]]="checklist-flat"),1+IF(changes[[#This Row],[Type of change]] = "Edit",COUNTIFS($I$4:changes[[#This Row],[Name]],changes[[#This Row],[Name]], $E$4:changes[[#This Row],[Type of change]], "Edit")),B907)</f>
        <v>1</v>
      </c>
      <c r="C908" s="20">
        <v>44636</v>
      </c>
      <c r="D908" s="2" t="s">
        <v>2009</v>
      </c>
      <c r="E908" t="s">
        <v>19</v>
      </c>
      <c r="F908" s="14" t="s">
        <v>1998</v>
      </c>
      <c r="G908" s="14" t="s">
        <v>2206</v>
      </c>
      <c r="H908" t="s">
        <v>861</v>
      </c>
      <c r="I908" t="s">
        <v>2207</v>
      </c>
      <c r="K908" s="3"/>
      <c r="M908" t="s">
        <v>2167</v>
      </c>
    </row>
    <row r="909" spans="1:13">
      <c r="A909" t="s">
        <v>28</v>
      </c>
      <c r="B909">
        <f ca="1">IF(OR(changes[[#This Row],[Type]]="Checklist",changes[[#This Row],[Type]]="checklist-flat"),1+IF(changes[[#This Row],[Type of change]] = "Edit",COUNTIFS($I$4:changes[[#This Row],[Name]],changes[[#This Row],[Name]], $E$4:changes[[#This Row],[Type of change]], "Edit")),B908)</f>
        <v>1</v>
      </c>
      <c r="C909" s="20">
        <v>44636</v>
      </c>
      <c r="D909" s="2" t="s">
        <v>2009</v>
      </c>
      <c r="E909" t="s">
        <v>19</v>
      </c>
      <c r="F909" s="14" t="s">
        <v>1998</v>
      </c>
      <c r="G909" s="14" t="s">
        <v>2206</v>
      </c>
      <c r="H909" t="s">
        <v>49</v>
      </c>
      <c r="I909" t="s">
        <v>2208</v>
      </c>
      <c r="K909" s="3"/>
      <c r="M909" t="s">
        <v>2167</v>
      </c>
    </row>
    <row r="910" spans="1:13">
      <c r="A910" t="s">
        <v>28</v>
      </c>
      <c r="B910">
        <f ca="1">IF(OR(changes[[#This Row],[Type]]="Checklist",changes[[#This Row],[Type]]="checklist-flat"),1+IF(changes[[#This Row],[Type of change]] = "Edit",COUNTIFS($I$4:changes[[#This Row],[Name]],changes[[#This Row],[Name]], $E$4:changes[[#This Row],[Type of change]], "Edit")),B909)</f>
        <v>1</v>
      </c>
      <c r="C910" s="20">
        <v>44636</v>
      </c>
      <c r="D910" s="2" t="s">
        <v>2009</v>
      </c>
      <c r="E910" t="s">
        <v>19</v>
      </c>
      <c r="F910" s="14" t="s">
        <v>1998</v>
      </c>
      <c r="G910" s="14" t="s">
        <v>2206</v>
      </c>
      <c r="H910" t="s">
        <v>131</v>
      </c>
      <c r="I910" t="s">
        <v>2209</v>
      </c>
      <c r="K910" s="3"/>
      <c r="M910" t="s">
        <v>2167</v>
      </c>
    </row>
    <row r="911" spans="1:13">
      <c r="A911" t="s">
        <v>28</v>
      </c>
      <c r="B911">
        <f ca="1">IF(OR(changes[[#This Row],[Type]]="Checklist",changes[[#This Row],[Type]]="checklist-flat"),1+IF(changes[[#This Row],[Type of change]] = "Edit",COUNTIFS($I$4:changes[[#This Row],[Name]],changes[[#This Row],[Name]], $E$4:changes[[#This Row],[Type of change]], "Edit")),B910)</f>
        <v>1</v>
      </c>
      <c r="C911" s="20">
        <v>44636</v>
      </c>
      <c r="D911" s="2" t="s">
        <v>2009</v>
      </c>
      <c r="E911" t="s">
        <v>19</v>
      </c>
      <c r="F911" s="14" t="s">
        <v>1998</v>
      </c>
      <c r="G911" s="14" t="s">
        <v>2206</v>
      </c>
      <c r="H911" t="s">
        <v>131</v>
      </c>
      <c r="I911" t="s">
        <v>2210</v>
      </c>
      <c r="K911" s="3"/>
      <c r="M911" t="s">
        <v>2167</v>
      </c>
    </row>
    <row r="912" spans="1:13">
      <c r="A912" t="s">
        <v>28</v>
      </c>
      <c r="B912">
        <f ca="1">IF(OR(changes[[#This Row],[Type]]="Checklist",changes[[#This Row],[Type]]="checklist-flat"),1+IF(changes[[#This Row],[Type of change]] = "Edit",COUNTIFS($I$4:changes[[#This Row],[Name]],changes[[#This Row],[Name]], $E$4:changes[[#This Row],[Type of change]], "Edit")),B911)</f>
        <v>1</v>
      </c>
      <c r="C912" s="20">
        <v>44636</v>
      </c>
      <c r="D912" s="2" t="s">
        <v>2009</v>
      </c>
      <c r="E912" t="s">
        <v>19</v>
      </c>
      <c r="F912" s="14" t="s">
        <v>1998</v>
      </c>
      <c r="G912" s="14" t="s">
        <v>2206</v>
      </c>
      <c r="H912" t="s">
        <v>131</v>
      </c>
      <c r="I912" t="s">
        <v>2211</v>
      </c>
      <c r="K912" s="3"/>
      <c r="M912" t="s">
        <v>2167</v>
      </c>
    </row>
    <row r="913" spans="1:13">
      <c r="A913" t="s">
        <v>28</v>
      </c>
      <c r="B913">
        <f ca="1">IF(OR(changes[[#This Row],[Type]]="Checklist",changes[[#This Row],[Type]]="checklist-flat"),1+IF(changes[[#This Row],[Type of change]] = "Edit",COUNTIFS($I$4:changes[[#This Row],[Name]],changes[[#This Row],[Name]], $E$4:changes[[#This Row],[Type of change]], "Edit")),B912)</f>
        <v>1</v>
      </c>
      <c r="C913" s="20">
        <v>44636</v>
      </c>
      <c r="D913" s="2" t="s">
        <v>2009</v>
      </c>
      <c r="E913" t="s">
        <v>19</v>
      </c>
      <c r="F913" s="14" t="s">
        <v>1998</v>
      </c>
      <c r="G913" s="14" t="s">
        <v>2206</v>
      </c>
      <c r="H913" t="s">
        <v>131</v>
      </c>
      <c r="I913" t="s">
        <v>2212</v>
      </c>
      <c r="K913" s="3"/>
      <c r="M913" t="s">
        <v>2167</v>
      </c>
    </row>
    <row r="914" spans="1:13">
      <c r="A914" t="s">
        <v>28</v>
      </c>
      <c r="B914">
        <f ca="1">IF(OR(changes[[#This Row],[Type]]="Checklist",changes[[#This Row],[Type]]="checklist-flat"),1+IF(changes[[#This Row],[Type of change]] = "Edit",COUNTIFS($I$4:changes[[#This Row],[Name]],changes[[#This Row],[Name]], $E$4:changes[[#This Row],[Type of change]], "Edit")),B913)</f>
        <v>1</v>
      </c>
      <c r="C914" s="20">
        <v>44636</v>
      </c>
      <c r="D914" s="2" t="s">
        <v>2009</v>
      </c>
      <c r="E914" t="s">
        <v>19</v>
      </c>
      <c r="F914" s="14" t="s">
        <v>1998</v>
      </c>
      <c r="G914" s="14" t="s">
        <v>2206</v>
      </c>
      <c r="H914" t="s">
        <v>131</v>
      </c>
      <c r="I914" t="s">
        <v>2213</v>
      </c>
      <c r="K914" s="3"/>
      <c r="M914" t="s">
        <v>2167</v>
      </c>
    </row>
    <row r="915" spans="1:13">
      <c r="A915" t="s">
        <v>28</v>
      </c>
      <c r="B915">
        <f ca="1">IF(OR(changes[[#This Row],[Type]]="Checklist",changes[[#This Row],[Type]]="checklist-flat"),1+IF(changes[[#This Row],[Type of change]] = "Edit",COUNTIFS($I$4:changes[[#This Row],[Name]],changes[[#This Row],[Name]], $E$4:changes[[#This Row],[Type of change]], "Edit")),B914)</f>
        <v>1</v>
      </c>
      <c r="C915" s="20">
        <v>44636</v>
      </c>
      <c r="D915" s="2" t="s">
        <v>2009</v>
      </c>
      <c r="E915" t="s">
        <v>19</v>
      </c>
      <c r="F915" s="14" t="s">
        <v>1998</v>
      </c>
      <c r="G915" s="14" t="s">
        <v>2206</v>
      </c>
      <c r="H915" t="s">
        <v>131</v>
      </c>
      <c r="I915" t="s">
        <v>2214</v>
      </c>
      <c r="K915" s="3"/>
      <c r="M915" t="s">
        <v>2167</v>
      </c>
    </row>
    <row r="916" spans="1:13">
      <c r="A916" t="s">
        <v>28</v>
      </c>
      <c r="B916">
        <f ca="1">IF(OR(changes[[#This Row],[Type]]="Checklist",changes[[#This Row],[Type]]="checklist-flat"),1+IF(changes[[#This Row],[Type of change]] = "Edit",COUNTIFS($I$4:changes[[#This Row],[Name]],changes[[#This Row],[Name]], $E$4:changes[[#This Row],[Type of change]], "Edit")),B915)</f>
        <v>1</v>
      </c>
      <c r="C916" s="20">
        <v>44636</v>
      </c>
      <c r="D916" s="2" t="s">
        <v>2009</v>
      </c>
      <c r="E916" t="s">
        <v>19</v>
      </c>
      <c r="F916" s="14" t="s">
        <v>1998</v>
      </c>
      <c r="G916" s="14" t="s">
        <v>2206</v>
      </c>
      <c r="H916" t="s">
        <v>131</v>
      </c>
      <c r="I916" t="s">
        <v>2215</v>
      </c>
      <c r="K916" s="3"/>
      <c r="M916" t="s">
        <v>2167</v>
      </c>
    </row>
    <row r="917" spans="1:13">
      <c r="A917" t="s">
        <v>28</v>
      </c>
      <c r="B917">
        <f ca="1">IF(OR(changes[[#This Row],[Type]]="Checklist",changes[[#This Row],[Type]]="checklist-flat"),1+IF(changes[[#This Row],[Type of change]] = "Edit",COUNTIFS($I$4:changes[[#This Row],[Name]],changes[[#This Row],[Name]], $E$4:changes[[#This Row],[Type of change]], "Edit")),B916)</f>
        <v>1</v>
      </c>
      <c r="C917" s="20">
        <v>44636</v>
      </c>
      <c r="D917" s="2" t="s">
        <v>2009</v>
      </c>
      <c r="E917" t="s">
        <v>19</v>
      </c>
      <c r="F917" s="14" t="s">
        <v>1998</v>
      </c>
      <c r="G917" s="14" t="s">
        <v>2206</v>
      </c>
      <c r="H917" t="s">
        <v>131</v>
      </c>
      <c r="I917" t="s">
        <v>2040</v>
      </c>
      <c r="K917" s="3"/>
      <c r="M917" t="s">
        <v>2167</v>
      </c>
    </row>
    <row r="918" spans="1:13">
      <c r="A918" t="s">
        <v>28</v>
      </c>
      <c r="B918">
        <f ca="1">IF(OR(changes[[#This Row],[Type]]="Checklist",changes[[#This Row],[Type]]="checklist-flat"),1+IF(changes[[#This Row],[Type of change]] = "Edit",COUNTIFS($I$4:changes[[#This Row],[Name]],changes[[#This Row],[Name]], $E$4:changes[[#This Row],[Type of change]], "Edit")),B917)</f>
        <v>1</v>
      </c>
      <c r="C918" s="20">
        <v>44636</v>
      </c>
      <c r="D918" s="2" t="s">
        <v>2009</v>
      </c>
      <c r="E918" t="s">
        <v>19</v>
      </c>
      <c r="F918" s="14" t="s">
        <v>1998</v>
      </c>
      <c r="G918" s="14" t="s">
        <v>2206</v>
      </c>
      <c r="H918" t="s">
        <v>1739</v>
      </c>
      <c r="I918" t="s">
        <v>1399</v>
      </c>
      <c r="K918" s="3"/>
      <c r="M918" t="s">
        <v>2167</v>
      </c>
    </row>
    <row r="919" spans="1:13">
      <c r="A919" t="s">
        <v>28</v>
      </c>
      <c r="B919">
        <f ca="1">IF(OR(changes[[#This Row],[Type]]="Checklist",changes[[#This Row],[Type]]="checklist-flat"),1+IF(changes[[#This Row],[Type of change]] = "Edit",COUNTIFS($I$4:changes[[#This Row],[Name]],changes[[#This Row],[Name]], $E$4:changes[[#This Row],[Type of change]], "Edit")),B918)</f>
        <v>1</v>
      </c>
      <c r="C919" s="20">
        <v>44636</v>
      </c>
      <c r="D919" s="2" t="s">
        <v>2009</v>
      </c>
      <c r="E919" t="s">
        <v>19</v>
      </c>
      <c r="F919" s="14" t="s">
        <v>1998</v>
      </c>
      <c r="G919" s="14" t="s">
        <v>2206</v>
      </c>
      <c r="H919" t="s">
        <v>1739</v>
      </c>
      <c r="I919" t="s">
        <v>2042</v>
      </c>
      <c r="K919" s="3"/>
      <c r="M919" t="s">
        <v>2167</v>
      </c>
    </row>
    <row r="920" spans="1:13">
      <c r="A920" t="s">
        <v>28</v>
      </c>
      <c r="B920">
        <f ca="1">IF(OR(changes[[#This Row],[Type]]="Checklist",changes[[#This Row],[Type]]="checklist-flat"),1+IF(changes[[#This Row],[Type of change]] = "Edit",COUNTIFS($I$4:changes[[#This Row],[Name]],changes[[#This Row],[Name]], $E$4:changes[[#This Row],[Type of change]], "Edit")),B919)</f>
        <v>1</v>
      </c>
      <c r="C920" s="20">
        <v>44636</v>
      </c>
      <c r="D920" s="2" t="s">
        <v>2009</v>
      </c>
      <c r="E920" t="s">
        <v>19</v>
      </c>
      <c r="F920" s="14" t="s">
        <v>1998</v>
      </c>
      <c r="G920" s="14" t="s">
        <v>2206</v>
      </c>
      <c r="H920" t="s">
        <v>1739</v>
      </c>
      <c r="I920" t="s">
        <v>2202</v>
      </c>
      <c r="K920" s="3"/>
      <c r="M920" t="s">
        <v>2167</v>
      </c>
    </row>
    <row r="921" spans="1:13">
      <c r="A921" t="s">
        <v>28</v>
      </c>
      <c r="B921">
        <f ca="1">IF(OR(changes[[#This Row],[Type]]="Checklist",changes[[#This Row],[Type]]="checklist-flat"),1+IF(changes[[#This Row],[Type of change]] = "Edit",COUNTIFS($I$4:changes[[#This Row],[Name]],changes[[#This Row],[Name]], $E$4:changes[[#This Row],[Type of change]], "Edit")),B920)</f>
        <v>1</v>
      </c>
      <c r="C921" s="20">
        <v>44636</v>
      </c>
      <c r="D921" s="2" t="s">
        <v>2009</v>
      </c>
      <c r="E921" t="s">
        <v>19</v>
      </c>
      <c r="F921" s="14" t="s">
        <v>1998</v>
      </c>
      <c r="G921" s="14" t="s">
        <v>2206</v>
      </c>
      <c r="H921" t="s">
        <v>1739</v>
      </c>
      <c r="I921" t="s">
        <v>2203</v>
      </c>
      <c r="K921" s="3"/>
      <c r="M921" t="s">
        <v>2167</v>
      </c>
    </row>
    <row r="922" spans="1:13">
      <c r="A922" t="s">
        <v>28</v>
      </c>
      <c r="B922">
        <f ca="1">IF(OR(changes[[#This Row],[Type]]="Checklist",changes[[#This Row],[Type]]="checklist-flat"),1+IF(changes[[#This Row],[Type of change]] = "Edit",COUNTIFS($I$4:changes[[#This Row],[Name]],changes[[#This Row],[Name]], $E$4:changes[[#This Row],[Type of change]], "Edit")),B921)</f>
        <v>1</v>
      </c>
      <c r="C922" s="20">
        <v>44636</v>
      </c>
      <c r="D922" s="2" t="s">
        <v>2009</v>
      </c>
      <c r="E922" t="s">
        <v>19</v>
      </c>
      <c r="F922" s="14" t="s">
        <v>1998</v>
      </c>
      <c r="G922" s="14" t="s">
        <v>2206</v>
      </c>
      <c r="H922" t="s">
        <v>131</v>
      </c>
      <c r="I922" t="s">
        <v>2216</v>
      </c>
      <c r="K922" s="3"/>
      <c r="M922" t="s">
        <v>2167</v>
      </c>
    </row>
    <row r="923" spans="1:13">
      <c r="A923" t="s">
        <v>28</v>
      </c>
      <c r="B923">
        <f ca="1">IF(OR(changes[[#This Row],[Type]]="Checklist",changes[[#This Row],[Type]]="checklist-flat"),1+IF(changes[[#This Row],[Type of change]] = "Edit",COUNTIFS($I$4:changes[[#This Row],[Name]],changes[[#This Row],[Name]], $E$4:changes[[#This Row],[Type of change]], "Edit")),B922)</f>
        <v>1</v>
      </c>
      <c r="C923" s="20">
        <v>44636</v>
      </c>
      <c r="D923" s="2" t="s">
        <v>2009</v>
      </c>
      <c r="E923" t="s">
        <v>19</v>
      </c>
      <c r="F923" s="14" t="s">
        <v>1998</v>
      </c>
      <c r="G923" s="14" t="s">
        <v>2206</v>
      </c>
      <c r="H923" t="s">
        <v>131</v>
      </c>
      <c r="I923" t="s">
        <v>2205</v>
      </c>
      <c r="K923" s="3"/>
      <c r="M923" t="s">
        <v>2167</v>
      </c>
    </row>
    <row r="924" spans="1:13">
      <c r="A924" t="s">
        <v>28</v>
      </c>
      <c r="B924">
        <f ca="1">IF(OR(changes[[#This Row],[Type]]="Checklist",changes[[#This Row],[Type]]="checklist-flat"),1+IF(changes[[#This Row],[Type of change]] = "Edit",COUNTIFS($I$4:changes[[#This Row],[Name]],changes[[#This Row],[Name]], $E$4:changes[[#This Row],[Type of change]], "Edit")),B923)</f>
        <v>1</v>
      </c>
      <c r="C924" s="20">
        <v>44636</v>
      </c>
      <c r="D924" s="2" t="s">
        <v>2009</v>
      </c>
      <c r="E924" t="s">
        <v>19</v>
      </c>
      <c r="F924" s="14" t="s">
        <v>1998</v>
      </c>
      <c r="G924" s="14" t="s">
        <v>2206</v>
      </c>
      <c r="H924" t="s">
        <v>58</v>
      </c>
      <c r="I924" t="s">
        <v>2193</v>
      </c>
      <c r="K924" s="3"/>
      <c r="M924" t="s">
        <v>2167</v>
      </c>
    </row>
    <row r="925" spans="1:13">
      <c r="A925" t="s">
        <v>28</v>
      </c>
      <c r="B925">
        <f ca="1">IF(OR(changes[[#This Row],[Type]]="Checklist",changes[[#This Row],[Type]]="checklist-flat"),1+IF(changes[[#This Row],[Type of change]] = "Edit",COUNTIFS($I$4:changes[[#This Row],[Name]],changes[[#This Row],[Name]], $E$4:changes[[#This Row],[Type of change]], "Edit")),B924)</f>
        <v>1</v>
      </c>
      <c r="C925" s="20">
        <v>44636</v>
      </c>
      <c r="D925" s="2" t="s">
        <v>2009</v>
      </c>
      <c r="E925" t="s">
        <v>19</v>
      </c>
      <c r="F925" s="14" t="s">
        <v>1998</v>
      </c>
      <c r="G925" s="14" t="s">
        <v>2206</v>
      </c>
      <c r="H925" t="s">
        <v>861</v>
      </c>
      <c r="I925" t="s">
        <v>2217</v>
      </c>
      <c r="K925" s="3"/>
      <c r="M925" t="s">
        <v>2167</v>
      </c>
    </row>
    <row r="926" spans="1:13">
      <c r="A926" t="s">
        <v>28</v>
      </c>
      <c r="B926">
        <f ca="1">IF(OR(changes[[#This Row],[Type]]="Checklist",changes[[#This Row],[Type]]="checklist-flat"),1+IF(changes[[#This Row],[Type of change]] = "Edit",COUNTIFS($I$4:changes[[#This Row],[Name]],changes[[#This Row],[Name]], $E$4:changes[[#This Row],[Type of change]], "Edit")),B925)</f>
        <v>1</v>
      </c>
      <c r="C926" s="20">
        <v>44636</v>
      </c>
      <c r="D926" s="2" t="s">
        <v>2009</v>
      </c>
      <c r="E926" t="s">
        <v>19</v>
      </c>
      <c r="F926" s="14" t="s">
        <v>1998</v>
      </c>
      <c r="G926" s="14" t="s">
        <v>2206</v>
      </c>
      <c r="H926" t="s">
        <v>49</v>
      </c>
      <c r="I926" t="s">
        <v>2208</v>
      </c>
      <c r="K926" s="3"/>
      <c r="M926" t="s">
        <v>2167</v>
      </c>
    </row>
    <row r="927" spans="1:13">
      <c r="A927" t="s">
        <v>28</v>
      </c>
      <c r="B927">
        <f ca="1">IF(OR(changes[[#This Row],[Type]]="Checklist",changes[[#This Row],[Type]]="checklist-flat"),1+IF(changes[[#This Row],[Type of change]] = "Edit",COUNTIFS($I$4:changes[[#This Row],[Name]],changes[[#This Row],[Name]], $E$4:changes[[#This Row],[Type of change]], "Edit")),B926)</f>
        <v>1</v>
      </c>
      <c r="C927" s="20">
        <v>44636</v>
      </c>
      <c r="D927" s="2" t="s">
        <v>2009</v>
      </c>
      <c r="E927" t="s">
        <v>19</v>
      </c>
      <c r="F927" s="14" t="s">
        <v>1998</v>
      </c>
      <c r="G927" s="14" t="s">
        <v>2206</v>
      </c>
      <c r="H927" t="s">
        <v>131</v>
      </c>
      <c r="I927" t="s">
        <v>2209</v>
      </c>
      <c r="K927" s="3"/>
      <c r="M927" t="s">
        <v>2167</v>
      </c>
    </row>
    <row r="928" spans="1:13">
      <c r="A928" t="s">
        <v>28</v>
      </c>
      <c r="B928">
        <f ca="1">IF(OR(changes[[#This Row],[Type]]="Checklist",changes[[#This Row],[Type]]="checklist-flat"),1+IF(changes[[#This Row],[Type of change]] = "Edit",COUNTIFS($I$4:changes[[#This Row],[Name]],changes[[#This Row],[Name]], $E$4:changes[[#This Row],[Type of change]], "Edit")),B927)</f>
        <v>1</v>
      </c>
      <c r="C928" s="20">
        <v>44636</v>
      </c>
      <c r="D928" s="2" t="s">
        <v>2009</v>
      </c>
      <c r="E928" t="s">
        <v>19</v>
      </c>
      <c r="F928" s="14" t="s">
        <v>1998</v>
      </c>
      <c r="G928" s="14" t="s">
        <v>2206</v>
      </c>
      <c r="H928" t="s">
        <v>131</v>
      </c>
      <c r="I928" t="s">
        <v>2210</v>
      </c>
      <c r="K928" s="3"/>
      <c r="M928" t="s">
        <v>2167</v>
      </c>
    </row>
    <row r="929" spans="1:13">
      <c r="A929" t="s">
        <v>28</v>
      </c>
      <c r="B929">
        <f ca="1">IF(OR(changes[[#This Row],[Type]]="Checklist",changes[[#This Row],[Type]]="checklist-flat"),1+IF(changes[[#This Row],[Type of change]] = "Edit",COUNTIFS($I$4:changes[[#This Row],[Name]],changes[[#This Row],[Name]], $E$4:changes[[#This Row],[Type of change]], "Edit")),B928)</f>
        <v>1</v>
      </c>
      <c r="C929" s="20">
        <v>44636</v>
      </c>
      <c r="D929" s="2" t="s">
        <v>2009</v>
      </c>
      <c r="E929" t="s">
        <v>19</v>
      </c>
      <c r="F929" s="14" t="s">
        <v>1998</v>
      </c>
      <c r="G929" s="14" t="s">
        <v>2206</v>
      </c>
      <c r="H929" t="s">
        <v>131</v>
      </c>
      <c r="I929" t="s">
        <v>2211</v>
      </c>
      <c r="K929" s="3"/>
      <c r="M929" t="s">
        <v>2167</v>
      </c>
    </row>
    <row r="930" spans="1:13">
      <c r="A930" t="s">
        <v>28</v>
      </c>
      <c r="B930">
        <f ca="1">IF(OR(changes[[#This Row],[Type]]="Checklist",changes[[#This Row],[Type]]="checklist-flat"),1+IF(changes[[#This Row],[Type of change]] = "Edit",COUNTIFS($I$4:changes[[#This Row],[Name]],changes[[#This Row],[Name]], $E$4:changes[[#This Row],[Type of change]], "Edit")),B929)</f>
        <v>1</v>
      </c>
      <c r="C930" s="20">
        <v>44636</v>
      </c>
      <c r="D930" s="2" t="s">
        <v>2009</v>
      </c>
      <c r="E930" t="s">
        <v>19</v>
      </c>
      <c r="F930" s="14" t="s">
        <v>1998</v>
      </c>
      <c r="G930" s="14" t="s">
        <v>2206</v>
      </c>
      <c r="H930" t="s">
        <v>131</v>
      </c>
      <c r="I930" t="s">
        <v>2212</v>
      </c>
      <c r="K930" s="3"/>
      <c r="M930" t="s">
        <v>2167</v>
      </c>
    </row>
    <row r="931" spans="1:13">
      <c r="A931" t="s">
        <v>28</v>
      </c>
      <c r="B931">
        <f ca="1">IF(OR(changes[[#This Row],[Type]]="Checklist",changes[[#This Row],[Type]]="checklist-flat"),1+IF(changes[[#This Row],[Type of change]] = "Edit",COUNTIFS($I$4:changes[[#This Row],[Name]],changes[[#This Row],[Name]], $E$4:changes[[#This Row],[Type of change]], "Edit")),B930)</f>
        <v>1</v>
      </c>
      <c r="C931" s="20">
        <v>44636</v>
      </c>
      <c r="D931" s="2" t="s">
        <v>2009</v>
      </c>
      <c r="E931" t="s">
        <v>19</v>
      </c>
      <c r="F931" s="14" t="s">
        <v>1998</v>
      </c>
      <c r="G931" s="14" t="s">
        <v>2206</v>
      </c>
      <c r="H931" t="s">
        <v>131</v>
      </c>
      <c r="I931" t="s">
        <v>2213</v>
      </c>
      <c r="K931" s="3"/>
      <c r="M931" t="s">
        <v>2167</v>
      </c>
    </row>
    <row r="932" spans="1:13">
      <c r="A932" t="s">
        <v>28</v>
      </c>
      <c r="B932">
        <f ca="1">IF(OR(changes[[#This Row],[Type]]="Checklist",changes[[#This Row],[Type]]="checklist-flat"),1+IF(changes[[#This Row],[Type of change]] = "Edit",COUNTIFS($I$4:changes[[#This Row],[Name]],changes[[#This Row],[Name]], $E$4:changes[[#This Row],[Type of change]], "Edit")),B931)</f>
        <v>1</v>
      </c>
      <c r="C932" s="20">
        <v>44636</v>
      </c>
      <c r="D932" s="2" t="s">
        <v>2009</v>
      </c>
      <c r="E932" t="s">
        <v>19</v>
      </c>
      <c r="F932" s="14" t="s">
        <v>1998</v>
      </c>
      <c r="G932" s="14" t="s">
        <v>2206</v>
      </c>
      <c r="H932" t="s">
        <v>131</v>
      </c>
      <c r="I932" t="s">
        <v>2214</v>
      </c>
      <c r="K932" s="3"/>
      <c r="M932" t="s">
        <v>2167</v>
      </c>
    </row>
    <row r="933" spans="1:13">
      <c r="A933" t="s">
        <v>28</v>
      </c>
      <c r="B933">
        <f ca="1">IF(OR(changes[[#This Row],[Type]]="Checklist",changes[[#This Row],[Type]]="checklist-flat"),1+IF(changes[[#This Row],[Type of change]] = "Edit",COUNTIFS($I$4:changes[[#This Row],[Name]],changes[[#This Row],[Name]], $E$4:changes[[#This Row],[Type of change]], "Edit")),B932)</f>
        <v>1</v>
      </c>
      <c r="C933" s="20">
        <v>44636</v>
      </c>
      <c r="D933" s="2" t="s">
        <v>2009</v>
      </c>
      <c r="E933" t="s">
        <v>19</v>
      </c>
      <c r="F933" s="14" t="s">
        <v>1998</v>
      </c>
      <c r="G933" s="14" t="s">
        <v>2206</v>
      </c>
      <c r="H933" t="s">
        <v>131</v>
      </c>
      <c r="I933" t="s">
        <v>2215</v>
      </c>
      <c r="K933" s="3"/>
      <c r="M933" t="s">
        <v>2167</v>
      </c>
    </row>
    <row r="934" spans="1:13">
      <c r="A934" t="s">
        <v>28</v>
      </c>
      <c r="B934">
        <f ca="1">IF(OR(changes[[#This Row],[Type]]="Checklist",changes[[#This Row],[Type]]="checklist-flat"),1+IF(changes[[#This Row],[Type of change]] = "Edit",COUNTIFS($I$4:changes[[#This Row],[Name]],changes[[#This Row],[Name]], $E$4:changes[[#This Row],[Type of change]], "Edit")),B933)</f>
        <v>1</v>
      </c>
      <c r="C934" s="20">
        <v>44636</v>
      </c>
      <c r="D934" s="2" t="s">
        <v>2009</v>
      </c>
      <c r="E934" t="s">
        <v>19</v>
      </c>
      <c r="F934" s="14" t="s">
        <v>1998</v>
      </c>
      <c r="G934" s="14" t="s">
        <v>2206</v>
      </c>
      <c r="H934" t="s">
        <v>131</v>
      </c>
      <c r="I934" t="s">
        <v>2040</v>
      </c>
      <c r="K934" s="3"/>
      <c r="M934" t="s">
        <v>2167</v>
      </c>
    </row>
    <row r="935" spans="1:13">
      <c r="A935" t="s">
        <v>28</v>
      </c>
      <c r="B935">
        <f ca="1">IF(OR(changes[[#This Row],[Type]]="Checklist",changes[[#This Row],[Type]]="checklist-flat"),1+IF(changes[[#This Row],[Type of change]] = "Edit",COUNTIFS($I$4:changes[[#This Row],[Name]],changes[[#This Row],[Name]], $E$4:changes[[#This Row],[Type of change]], "Edit")),B934)</f>
        <v>1</v>
      </c>
      <c r="C935" s="20">
        <v>44636</v>
      </c>
      <c r="D935" s="2" t="s">
        <v>2009</v>
      </c>
      <c r="E935" t="s">
        <v>19</v>
      </c>
      <c r="F935" s="14" t="s">
        <v>1998</v>
      </c>
      <c r="G935" s="14" t="s">
        <v>2206</v>
      </c>
      <c r="H935" t="s">
        <v>1739</v>
      </c>
      <c r="I935" t="s">
        <v>1399</v>
      </c>
      <c r="K935" s="3"/>
      <c r="M935" t="s">
        <v>2167</v>
      </c>
    </row>
    <row r="936" spans="1:13">
      <c r="A936" t="s">
        <v>28</v>
      </c>
      <c r="B936">
        <f ca="1">IF(OR(changes[[#This Row],[Type]]="Checklist",changes[[#This Row],[Type]]="checklist-flat"),1+IF(changes[[#This Row],[Type of change]] = "Edit",COUNTIFS($I$4:changes[[#This Row],[Name]],changes[[#This Row],[Name]], $E$4:changes[[#This Row],[Type of change]], "Edit")),B935)</f>
        <v>1</v>
      </c>
      <c r="C936" s="20">
        <v>44636</v>
      </c>
      <c r="D936" s="2" t="s">
        <v>2009</v>
      </c>
      <c r="E936" t="s">
        <v>19</v>
      </c>
      <c r="F936" s="14" t="s">
        <v>1998</v>
      </c>
      <c r="G936" s="14" t="s">
        <v>2206</v>
      </c>
      <c r="H936" t="s">
        <v>1739</v>
      </c>
      <c r="I936" t="s">
        <v>2042</v>
      </c>
      <c r="K936" s="3"/>
      <c r="M936" t="s">
        <v>2167</v>
      </c>
    </row>
    <row r="937" spans="1:13">
      <c r="A937" t="s">
        <v>28</v>
      </c>
      <c r="B937">
        <f ca="1">IF(OR(changes[[#This Row],[Type]]="Checklist",changes[[#This Row],[Type]]="checklist-flat"),1+IF(changes[[#This Row],[Type of change]] = "Edit",COUNTIFS($I$4:changes[[#This Row],[Name]],changes[[#This Row],[Name]], $E$4:changes[[#This Row],[Type of change]], "Edit")),B936)</f>
        <v>1</v>
      </c>
      <c r="C937" s="20">
        <v>44636</v>
      </c>
      <c r="D937" s="2" t="s">
        <v>2009</v>
      </c>
      <c r="E937" t="s">
        <v>19</v>
      </c>
      <c r="F937" s="14" t="s">
        <v>1998</v>
      </c>
      <c r="G937" s="14" t="s">
        <v>2206</v>
      </c>
      <c r="H937" t="s">
        <v>1739</v>
      </c>
      <c r="I937" t="s">
        <v>2202</v>
      </c>
      <c r="K937" s="3"/>
      <c r="M937" t="s">
        <v>2167</v>
      </c>
    </row>
    <row r="938" spans="1:13">
      <c r="A938" t="s">
        <v>28</v>
      </c>
      <c r="B938">
        <f ca="1">IF(OR(changes[[#This Row],[Type]]="Checklist",changes[[#This Row],[Type]]="checklist-flat"),1+IF(changes[[#This Row],[Type of change]] = "Edit",COUNTIFS($I$4:changes[[#This Row],[Name]],changes[[#This Row],[Name]], $E$4:changes[[#This Row],[Type of change]], "Edit")),B937)</f>
        <v>1</v>
      </c>
      <c r="C938" s="20">
        <v>44636</v>
      </c>
      <c r="D938" s="2" t="s">
        <v>2009</v>
      </c>
      <c r="E938" t="s">
        <v>19</v>
      </c>
      <c r="F938" s="14" t="s">
        <v>1998</v>
      </c>
      <c r="G938" s="14" t="s">
        <v>2206</v>
      </c>
      <c r="H938" t="s">
        <v>1739</v>
      </c>
      <c r="I938" t="s">
        <v>2203</v>
      </c>
      <c r="K938" s="3"/>
      <c r="M938" t="s">
        <v>2167</v>
      </c>
    </row>
    <row r="939" spans="1:13">
      <c r="A939" t="s">
        <v>28</v>
      </c>
      <c r="B939">
        <f ca="1">IF(OR(changes[[#This Row],[Type]]="Checklist",changes[[#This Row],[Type]]="checklist-flat"),1+IF(changes[[#This Row],[Type of change]] = "Edit",COUNTIFS($I$4:changes[[#This Row],[Name]],changes[[#This Row],[Name]], $E$4:changes[[#This Row],[Type of change]], "Edit")),B938)</f>
        <v>1</v>
      </c>
      <c r="C939" s="20">
        <v>44636</v>
      </c>
      <c r="D939" s="2" t="s">
        <v>2009</v>
      </c>
      <c r="E939" t="s">
        <v>19</v>
      </c>
      <c r="F939" s="14" t="s">
        <v>1998</v>
      </c>
      <c r="G939" s="14" t="s">
        <v>2206</v>
      </c>
      <c r="H939" t="s">
        <v>131</v>
      </c>
      <c r="I939" t="s">
        <v>2216</v>
      </c>
      <c r="K939" s="3"/>
      <c r="M939" t="s">
        <v>2167</v>
      </c>
    </row>
    <row r="940" spans="1:13">
      <c r="A940" t="s">
        <v>28</v>
      </c>
      <c r="B940">
        <f ca="1">IF(OR(changes[[#This Row],[Type]]="Checklist",changes[[#This Row],[Type]]="checklist-flat"),1+IF(changes[[#This Row],[Type of change]] = "Edit",COUNTIFS($I$4:changes[[#This Row],[Name]],changes[[#This Row],[Name]], $E$4:changes[[#This Row],[Type of change]], "Edit")),B939)</f>
        <v>1</v>
      </c>
      <c r="C940" s="20">
        <v>44636</v>
      </c>
      <c r="D940" s="2" t="s">
        <v>2009</v>
      </c>
      <c r="E940" t="s">
        <v>19</v>
      </c>
      <c r="F940" s="14" t="s">
        <v>1998</v>
      </c>
      <c r="G940" s="14" t="s">
        <v>2206</v>
      </c>
      <c r="H940" t="s">
        <v>131</v>
      </c>
      <c r="I940" t="s">
        <v>2205</v>
      </c>
      <c r="K940" s="3"/>
      <c r="M940" t="s">
        <v>2167</v>
      </c>
    </row>
    <row r="941" spans="1:13">
      <c r="A941" t="s">
        <v>28</v>
      </c>
      <c r="B941">
        <f ca="1">IF(OR(changes[[#This Row],[Type]]="Checklist",changes[[#This Row],[Type]]="checklist-flat"),1+IF(changes[[#This Row],[Type of change]] = "Edit",COUNTIFS($I$4:changes[[#This Row],[Name]],changes[[#This Row],[Name]], $E$4:changes[[#This Row],[Type of change]], "Edit")),B940)</f>
        <v>1</v>
      </c>
      <c r="C941" s="20">
        <v>44636</v>
      </c>
      <c r="D941" s="2" t="s">
        <v>2009</v>
      </c>
      <c r="E941" t="s">
        <v>19</v>
      </c>
      <c r="F941" s="14" t="s">
        <v>1998</v>
      </c>
      <c r="G941" s="14" t="s">
        <v>2206</v>
      </c>
      <c r="H941" t="s">
        <v>58</v>
      </c>
      <c r="I941" t="s">
        <v>2193</v>
      </c>
      <c r="K941" s="3"/>
      <c r="M941" t="s">
        <v>2167</v>
      </c>
    </row>
    <row r="942" spans="1:13">
      <c r="A942" t="s">
        <v>28</v>
      </c>
      <c r="B942">
        <f ca="1">IF(OR(changes[[#This Row],[Type]]="Checklist",changes[[#This Row],[Type]]="checklist-flat"),1+IF(changes[[#This Row],[Type of change]] = "Edit",COUNTIFS($I$4:changes[[#This Row],[Name]],changes[[#This Row],[Name]], $E$4:changes[[#This Row],[Type of change]], "Edit")),B941)</f>
        <v>1</v>
      </c>
      <c r="C942" s="20">
        <v>44636</v>
      </c>
      <c r="D942" s="2" t="s">
        <v>2009</v>
      </c>
      <c r="E942" t="s">
        <v>19</v>
      </c>
      <c r="F942" s="14" t="s">
        <v>1998</v>
      </c>
      <c r="G942" s="14" t="s">
        <v>2206</v>
      </c>
      <c r="H942" t="s">
        <v>861</v>
      </c>
      <c r="I942" t="s">
        <v>2218</v>
      </c>
      <c r="K942" s="3"/>
      <c r="M942" t="s">
        <v>2167</v>
      </c>
    </row>
    <row r="943" spans="1:13">
      <c r="A943" t="s">
        <v>28</v>
      </c>
      <c r="B943">
        <f ca="1">IF(OR(changes[[#This Row],[Type]]="Checklist",changes[[#This Row],[Type]]="checklist-flat"),1+IF(changes[[#This Row],[Type of change]] = "Edit",COUNTIFS($I$4:changes[[#This Row],[Name]],changes[[#This Row],[Name]], $E$4:changes[[#This Row],[Type of change]], "Edit")),B942)</f>
        <v>1</v>
      </c>
      <c r="C943" s="20">
        <v>44636</v>
      </c>
      <c r="D943" s="2" t="s">
        <v>2009</v>
      </c>
      <c r="E943" t="s">
        <v>19</v>
      </c>
      <c r="F943" s="14" t="s">
        <v>1998</v>
      </c>
      <c r="G943" s="14" t="s">
        <v>2206</v>
      </c>
      <c r="H943" t="s">
        <v>49</v>
      </c>
      <c r="I943" t="s">
        <v>2208</v>
      </c>
      <c r="K943" s="3"/>
      <c r="M943" t="s">
        <v>2167</v>
      </c>
    </row>
    <row r="944" spans="1:13">
      <c r="A944" t="s">
        <v>28</v>
      </c>
      <c r="B944">
        <f ca="1">IF(OR(changes[[#This Row],[Type]]="Checklist",changes[[#This Row],[Type]]="checklist-flat"),1+IF(changes[[#This Row],[Type of change]] = "Edit",COUNTIFS($I$4:changes[[#This Row],[Name]],changes[[#This Row],[Name]], $E$4:changes[[#This Row],[Type of change]], "Edit")),B943)</f>
        <v>1</v>
      </c>
      <c r="C944" s="20">
        <v>44636</v>
      </c>
      <c r="D944" s="2" t="s">
        <v>2009</v>
      </c>
      <c r="E944" t="s">
        <v>19</v>
      </c>
      <c r="F944" s="14" t="s">
        <v>1998</v>
      </c>
      <c r="G944" s="14" t="s">
        <v>2206</v>
      </c>
      <c r="H944" t="s">
        <v>131</v>
      </c>
      <c r="I944" t="s">
        <v>2209</v>
      </c>
      <c r="K944" s="3"/>
      <c r="M944" t="s">
        <v>2167</v>
      </c>
    </row>
    <row r="945" spans="1:13">
      <c r="A945" t="s">
        <v>28</v>
      </c>
      <c r="B945">
        <f ca="1">IF(OR(changes[[#This Row],[Type]]="Checklist",changes[[#This Row],[Type]]="checklist-flat"),1+IF(changes[[#This Row],[Type of change]] = "Edit",COUNTIFS($I$4:changes[[#This Row],[Name]],changes[[#This Row],[Name]], $E$4:changes[[#This Row],[Type of change]], "Edit")),B944)</f>
        <v>1</v>
      </c>
      <c r="C945" s="20">
        <v>44636</v>
      </c>
      <c r="D945" s="2" t="s">
        <v>2009</v>
      </c>
      <c r="E945" t="s">
        <v>19</v>
      </c>
      <c r="F945" s="14" t="s">
        <v>1998</v>
      </c>
      <c r="G945" s="14" t="s">
        <v>2206</v>
      </c>
      <c r="H945" t="s">
        <v>131</v>
      </c>
      <c r="I945" t="s">
        <v>2210</v>
      </c>
      <c r="K945" s="3"/>
      <c r="M945" t="s">
        <v>2167</v>
      </c>
    </row>
    <row r="946" spans="1:13">
      <c r="A946" t="s">
        <v>28</v>
      </c>
      <c r="B946">
        <f ca="1">IF(OR(changes[[#This Row],[Type]]="Checklist",changes[[#This Row],[Type]]="checklist-flat"),1+IF(changes[[#This Row],[Type of change]] = "Edit",COUNTIFS($I$4:changes[[#This Row],[Name]],changes[[#This Row],[Name]], $E$4:changes[[#This Row],[Type of change]], "Edit")),B945)</f>
        <v>1</v>
      </c>
      <c r="C946" s="20">
        <v>44636</v>
      </c>
      <c r="D946" s="2" t="s">
        <v>2009</v>
      </c>
      <c r="E946" t="s">
        <v>19</v>
      </c>
      <c r="F946" s="14" t="s">
        <v>1998</v>
      </c>
      <c r="G946" s="14" t="s">
        <v>2206</v>
      </c>
      <c r="H946" t="s">
        <v>131</v>
      </c>
      <c r="I946" t="s">
        <v>2211</v>
      </c>
      <c r="K946" s="3"/>
      <c r="M946" t="s">
        <v>2167</v>
      </c>
    </row>
    <row r="947" spans="1:13">
      <c r="A947" t="s">
        <v>28</v>
      </c>
      <c r="B947">
        <f ca="1">IF(OR(changes[[#This Row],[Type]]="Checklist",changes[[#This Row],[Type]]="checklist-flat"),1+IF(changes[[#This Row],[Type of change]] = "Edit",COUNTIFS($I$4:changes[[#This Row],[Name]],changes[[#This Row],[Name]], $E$4:changes[[#This Row],[Type of change]], "Edit")),B946)</f>
        <v>1</v>
      </c>
      <c r="C947" s="20">
        <v>44636</v>
      </c>
      <c r="D947" s="2" t="s">
        <v>2009</v>
      </c>
      <c r="E947" t="s">
        <v>19</v>
      </c>
      <c r="F947" s="14" t="s">
        <v>1998</v>
      </c>
      <c r="G947" s="14" t="s">
        <v>2206</v>
      </c>
      <c r="H947" t="s">
        <v>131</v>
      </c>
      <c r="I947" t="s">
        <v>2212</v>
      </c>
      <c r="K947" s="3"/>
      <c r="M947" t="s">
        <v>2167</v>
      </c>
    </row>
    <row r="948" spans="1:13">
      <c r="A948" t="s">
        <v>28</v>
      </c>
      <c r="B948">
        <f ca="1">IF(OR(changes[[#This Row],[Type]]="Checklist",changes[[#This Row],[Type]]="checklist-flat"),1+IF(changes[[#This Row],[Type of change]] = "Edit",COUNTIFS($I$4:changes[[#This Row],[Name]],changes[[#This Row],[Name]], $E$4:changes[[#This Row],[Type of change]], "Edit")),B947)</f>
        <v>1</v>
      </c>
      <c r="C948" s="20">
        <v>44636</v>
      </c>
      <c r="D948" s="2" t="s">
        <v>2009</v>
      </c>
      <c r="E948" t="s">
        <v>19</v>
      </c>
      <c r="F948" s="14" t="s">
        <v>1998</v>
      </c>
      <c r="G948" s="14" t="s">
        <v>2206</v>
      </c>
      <c r="H948" t="s">
        <v>131</v>
      </c>
      <c r="I948" t="s">
        <v>2213</v>
      </c>
      <c r="K948" s="3"/>
      <c r="M948" t="s">
        <v>2167</v>
      </c>
    </row>
    <row r="949" spans="1:13">
      <c r="A949" t="s">
        <v>28</v>
      </c>
      <c r="B949">
        <f ca="1">IF(OR(changes[[#This Row],[Type]]="Checklist",changes[[#This Row],[Type]]="checklist-flat"),1+IF(changes[[#This Row],[Type of change]] = "Edit",COUNTIFS($I$4:changes[[#This Row],[Name]],changes[[#This Row],[Name]], $E$4:changes[[#This Row],[Type of change]], "Edit")),B948)</f>
        <v>1</v>
      </c>
      <c r="C949" s="20">
        <v>44636</v>
      </c>
      <c r="D949" s="2" t="s">
        <v>2009</v>
      </c>
      <c r="E949" t="s">
        <v>19</v>
      </c>
      <c r="F949" s="14" t="s">
        <v>1998</v>
      </c>
      <c r="G949" s="14" t="s">
        <v>2206</v>
      </c>
      <c r="H949" t="s">
        <v>131</v>
      </c>
      <c r="I949" t="s">
        <v>2214</v>
      </c>
      <c r="K949" s="3"/>
      <c r="M949" t="s">
        <v>2167</v>
      </c>
    </row>
    <row r="950" spans="1:13">
      <c r="A950" t="s">
        <v>28</v>
      </c>
      <c r="B950">
        <f ca="1">IF(OR(changes[[#This Row],[Type]]="Checklist",changes[[#This Row],[Type]]="checklist-flat"),1+IF(changes[[#This Row],[Type of change]] = "Edit",COUNTIFS($I$4:changes[[#This Row],[Name]],changes[[#This Row],[Name]], $E$4:changes[[#This Row],[Type of change]], "Edit")),B949)</f>
        <v>1</v>
      </c>
      <c r="C950" s="20">
        <v>44636</v>
      </c>
      <c r="D950" s="2" t="s">
        <v>2009</v>
      </c>
      <c r="E950" t="s">
        <v>19</v>
      </c>
      <c r="F950" s="14" t="s">
        <v>1998</v>
      </c>
      <c r="G950" s="14" t="s">
        <v>2206</v>
      </c>
      <c r="H950" t="s">
        <v>131</v>
      </c>
      <c r="I950" t="s">
        <v>2215</v>
      </c>
      <c r="K950" s="3"/>
      <c r="M950" t="s">
        <v>2167</v>
      </c>
    </row>
    <row r="951" spans="1:13">
      <c r="A951" t="s">
        <v>28</v>
      </c>
      <c r="B951">
        <f ca="1">IF(OR(changes[[#This Row],[Type]]="Checklist",changes[[#This Row],[Type]]="checklist-flat"),1+IF(changes[[#This Row],[Type of change]] = "Edit",COUNTIFS($I$4:changes[[#This Row],[Name]],changes[[#This Row],[Name]], $E$4:changes[[#This Row],[Type of change]], "Edit")),B950)</f>
        <v>1</v>
      </c>
      <c r="C951" s="20">
        <v>44636</v>
      </c>
      <c r="D951" s="2" t="s">
        <v>2009</v>
      </c>
      <c r="E951" t="s">
        <v>19</v>
      </c>
      <c r="F951" s="14" t="s">
        <v>1998</v>
      </c>
      <c r="G951" s="14" t="s">
        <v>2206</v>
      </c>
      <c r="H951" t="s">
        <v>131</v>
      </c>
      <c r="I951" t="s">
        <v>2040</v>
      </c>
      <c r="K951" s="3"/>
      <c r="M951" t="s">
        <v>2167</v>
      </c>
    </row>
    <row r="952" spans="1:13">
      <c r="A952" t="s">
        <v>28</v>
      </c>
      <c r="B952">
        <f ca="1">IF(OR(changes[[#This Row],[Type]]="Checklist",changes[[#This Row],[Type]]="checklist-flat"),1+IF(changes[[#This Row],[Type of change]] = "Edit",COUNTIFS($I$4:changes[[#This Row],[Name]],changes[[#This Row],[Name]], $E$4:changes[[#This Row],[Type of change]], "Edit")),B951)</f>
        <v>1</v>
      </c>
      <c r="C952" s="20">
        <v>44636</v>
      </c>
      <c r="D952" s="2" t="s">
        <v>2009</v>
      </c>
      <c r="E952" t="s">
        <v>19</v>
      </c>
      <c r="F952" s="14" t="s">
        <v>1998</v>
      </c>
      <c r="G952" s="14" t="s">
        <v>2206</v>
      </c>
      <c r="H952" t="s">
        <v>1739</v>
      </c>
      <c r="I952" t="s">
        <v>1399</v>
      </c>
      <c r="K952" s="3"/>
      <c r="M952" t="s">
        <v>2167</v>
      </c>
    </row>
    <row r="953" spans="1:13">
      <c r="A953" t="s">
        <v>28</v>
      </c>
      <c r="B953">
        <f ca="1">IF(OR(changes[[#This Row],[Type]]="Checklist",changes[[#This Row],[Type]]="checklist-flat"),1+IF(changes[[#This Row],[Type of change]] = "Edit",COUNTIFS($I$4:changes[[#This Row],[Name]],changes[[#This Row],[Name]], $E$4:changes[[#This Row],[Type of change]], "Edit")),B952)</f>
        <v>1</v>
      </c>
      <c r="C953" s="20">
        <v>44636</v>
      </c>
      <c r="D953" s="2" t="s">
        <v>2009</v>
      </c>
      <c r="E953" t="s">
        <v>19</v>
      </c>
      <c r="F953" s="14" t="s">
        <v>1998</v>
      </c>
      <c r="G953" s="14" t="s">
        <v>2206</v>
      </c>
      <c r="H953" t="s">
        <v>1739</v>
      </c>
      <c r="I953" t="s">
        <v>2042</v>
      </c>
      <c r="K953" s="3"/>
      <c r="M953" t="s">
        <v>2167</v>
      </c>
    </row>
    <row r="954" spans="1:13">
      <c r="A954" t="s">
        <v>28</v>
      </c>
      <c r="B954">
        <f ca="1">IF(OR(changes[[#This Row],[Type]]="Checklist",changes[[#This Row],[Type]]="checklist-flat"),1+IF(changes[[#This Row],[Type of change]] = "Edit",COUNTIFS($I$4:changes[[#This Row],[Name]],changes[[#This Row],[Name]], $E$4:changes[[#This Row],[Type of change]], "Edit")),B953)</f>
        <v>1</v>
      </c>
      <c r="C954" s="20">
        <v>44636</v>
      </c>
      <c r="D954" s="2" t="s">
        <v>2009</v>
      </c>
      <c r="E954" t="s">
        <v>19</v>
      </c>
      <c r="F954" s="14" t="s">
        <v>1998</v>
      </c>
      <c r="G954" s="14" t="s">
        <v>2206</v>
      </c>
      <c r="H954" t="s">
        <v>1739</v>
      </c>
      <c r="I954" t="s">
        <v>2202</v>
      </c>
      <c r="K954" s="3"/>
      <c r="M954" t="s">
        <v>2167</v>
      </c>
    </row>
    <row r="955" spans="1:13">
      <c r="A955" t="s">
        <v>28</v>
      </c>
      <c r="B955">
        <f ca="1">IF(OR(changes[[#This Row],[Type]]="Checklist",changes[[#This Row],[Type]]="checklist-flat"),1+IF(changes[[#This Row],[Type of change]] = "Edit",COUNTIFS($I$4:changes[[#This Row],[Name]],changes[[#This Row],[Name]], $E$4:changes[[#This Row],[Type of change]], "Edit")),B954)</f>
        <v>1</v>
      </c>
      <c r="C955" s="20">
        <v>44636</v>
      </c>
      <c r="D955" s="2" t="s">
        <v>2009</v>
      </c>
      <c r="E955" t="s">
        <v>19</v>
      </c>
      <c r="F955" s="14" t="s">
        <v>1998</v>
      </c>
      <c r="G955" s="14" t="s">
        <v>2206</v>
      </c>
      <c r="H955" t="s">
        <v>1739</v>
      </c>
      <c r="I955" t="s">
        <v>2203</v>
      </c>
      <c r="K955" s="3"/>
      <c r="M955" t="s">
        <v>2167</v>
      </c>
    </row>
    <row r="956" spans="1:13">
      <c r="A956" t="s">
        <v>28</v>
      </c>
      <c r="B956">
        <f ca="1">IF(OR(changes[[#This Row],[Type]]="Checklist",changes[[#This Row],[Type]]="checklist-flat"),1+IF(changes[[#This Row],[Type of change]] = "Edit",COUNTIFS($I$4:changes[[#This Row],[Name]],changes[[#This Row],[Name]], $E$4:changes[[#This Row],[Type of change]], "Edit")),B955)</f>
        <v>1</v>
      </c>
      <c r="C956" s="20">
        <v>44636</v>
      </c>
      <c r="D956" s="2" t="s">
        <v>2009</v>
      </c>
      <c r="E956" t="s">
        <v>19</v>
      </c>
      <c r="F956" s="14" t="s">
        <v>1998</v>
      </c>
      <c r="G956" s="14" t="s">
        <v>2206</v>
      </c>
      <c r="H956" t="s">
        <v>131</v>
      </c>
      <c r="I956" t="s">
        <v>2216</v>
      </c>
      <c r="K956" s="3"/>
      <c r="M956" t="s">
        <v>2167</v>
      </c>
    </row>
    <row r="957" spans="1:13">
      <c r="A957" t="s">
        <v>28</v>
      </c>
      <c r="B957">
        <f ca="1">IF(OR(changes[[#This Row],[Type]]="Checklist",changes[[#This Row],[Type]]="checklist-flat"),1+IF(changes[[#This Row],[Type of change]] = "Edit",COUNTIFS($I$4:changes[[#This Row],[Name]],changes[[#This Row],[Name]], $E$4:changes[[#This Row],[Type of change]], "Edit")),B956)</f>
        <v>1</v>
      </c>
      <c r="C957" s="20">
        <v>44636</v>
      </c>
      <c r="D957" s="2" t="s">
        <v>2009</v>
      </c>
      <c r="E957" t="s">
        <v>19</v>
      </c>
      <c r="F957" s="14" t="s">
        <v>1998</v>
      </c>
      <c r="G957" s="14" t="s">
        <v>2206</v>
      </c>
      <c r="H957" t="s">
        <v>131</v>
      </c>
      <c r="I957" t="s">
        <v>2205</v>
      </c>
      <c r="K957" s="3"/>
      <c r="M957" t="s">
        <v>2167</v>
      </c>
    </row>
    <row r="958" spans="1:13">
      <c r="A958" t="s">
        <v>28</v>
      </c>
      <c r="B958">
        <f ca="1">IF(OR(changes[[#This Row],[Type]]="Checklist",changes[[#This Row],[Type]]="checklist-flat"),1+IF(changes[[#This Row],[Type of change]] = "Edit",COUNTIFS($I$4:changes[[#This Row],[Name]],changes[[#This Row],[Name]], $E$4:changes[[#This Row],[Type of change]], "Edit")),B957)</f>
        <v>1</v>
      </c>
      <c r="C958" s="20">
        <v>44636</v>
      </c>
      <c r="D958" s="2" t="s">
        <v>2009</v>
      </c>
      <c r="E958" t="s">
        <v>19</v>
      </c>
      <c r="F958" s="14" t="s">
        <v>1998</v>
      </c>
      <c r="G958" s="14" t="s">
        <v>2206</v>
      </c>
      <c r="H958" t="s">
        <v>58</v>
      </c>
      <c r="I958" t="s">
        <v>2193</v>
      </c>
      <c r="K958" s="3"/>
      <c r="M958" t="s">
        <v>2167</v>
      </c>
    </row>
    <row r="959" spans="1:13">
      <c r="A959" t="s">
        <v>28</v>
      </c>
      <c r="B959">
        <f ca="1">IF(OR(changes[[#This Row],[Type]]="Checklist",changes[[#This Row],[Type]]="checklist-flat"),1+IF(changes[[#This Row],[Type of change]] = "Edit",COUNTIFS($I$4:changes[[#This Row],[Name]],changes[[#This Row],[Name]], $E$4:changes[[#This Row],[Type of change]], "Edit")),B958)</f>
        <v>1</v>
      </c>
      <c r="C959" s="20">
        <v>44636</v>
      </c>
      <c r="D959" s="2" t="s">
        <v>2009</v>
      </c>
      <c r="E959" t="s">
        <v>19</v>
      </c>
      <c r="F959" s="14" t="s">
        <v>1998</v>
      </c>
      <c r="G959" s="14" t="s">
        <v>2219</v>
      </c>
      <c r="H959" t="s">
        <v>119</v>
      </c>
      <c r="I959" t="s">
        <v>2219</v>
      </c>
      <c r="K959" s="3"/>
      <c r="M959" t="s">
        <v>2167</v>
      </c>
    </row>
    <row r="960" spans="1:13">
      <c r="A960" t="s">
        <v>28</v>
      </c>
      <c r="B960">
        <f ca="1">IF(OR(changes[[#This Row],[Type]]="Checklist",changes[[#This Row],[Type]]="checklist-flat"),1+IF(changes[[#This Row],[Type of change]] = "Edit",COUNTIFS($I$4:changes[[#This Row],[Name]],changes[[#This Row],[Name]], $E$4:changes[[#This Row],[Type of change]], "Edit")),B959)</f>
        <v>1</v>
      </c>
      <c r="C960" s="20">
        <v>44636</v>
      </c>
      <c r="D960" s="2" t="s">
        <v>2009</v>
      </c>
      <c r="E960" t="s">
        <v>19</v>
      </c>
      <c r="F960" s="14" t="s">
        <v>1998</v>
      </c>
      <c r="G960" s="14" t="s">
        <v>2219</v>
      </c>
      <c r="H960" t="s">
        <v>831</v>
      </c>
      <c r="I960" t="s">
        <v>2220</v>
      </c>
      <c r="K960" s="3"/>
      <c r="M960" t="s">
        <v>2167</v>
      </c>
    </row>
    <row r="961" spans="1:13">
      <c r="A961" t="s">
        <v>28</v>
      </c>
      <c r="B961">
        <f ca="1">IF(OR(changes[[#This Row],[Type]]="Checklist",changes[[#This Row],[Type]]="checklist-flat"),1+IF(changes[[#This Row],[Type of change]] = "Edit",COUNTIFS($I$4:changes[[#This Row],[Name]],changes[[#This Row],[Name]], $E$4:changes[[#This Row],[Type of change]], "Edit")),B960)</f>
        <v>1</v>
      </c>
      <c r="C961" s="20">
        <v>44636</v>
      </c>
      <c r="D961" s="2" t="s">
        <v>2009</v>
      </c>
      <c r="E961" t="s">
        <v>19</v>
      </c>
      <c r="F961" s="14" t="s">
        <v>1998</v>
      </c>
      <c r="G961" s="14" t="s">
        <v>2219</v>
      </c>
      <c r="H961" t="s">
        <v>131</v>
      </c>
      <c r="I961" t="s">
        <v>2040</v>
      </c>
      <c r="K961" s="3"/>
      <c r="M961" t="s">
        <v>2167</v>
      </c>
    </row>
    <row r="962" spans="1:13">
      <c r="A962" t="s">
        <v>28</v>
      </c>
      <c r="B962">
        <f ca="1">IF(OR(changes[[#This Row],[Type]]="Checklist",changes[[#This Row],[Type]]="checklist-flat"),1+IF(changes[[#This Row],[Type of change]] = "Edit",COUNTIFS($I$4:changes[[#This Row],[Name]],changes[[#This Row],[Name]], $E$4:changes[[#This Row],[Type of change]], "Edit")),B961)</f>
        <v>1</v>
      </c>
      <c r="C962" s="20">
        <v>44636</v>
      </c>
      <c r="D962" s="2" t="s">
        <v>2009</v>
      </c>
      <c r="E962" t="s">
        <v>19</v>
      </c>
      <c r="F962" s="14" t="s">
        <v>1998</v>
      </c>
      <c r="G962" s="14" t="s">
        <v>2219</v>
      </c>
      <c r="H962" t="s">
        <v>1739</v>
      </c>
      <c r="I962" t="s">
        <v>1399</v>
      </c>
      <c r="K962" s="3"/>
      <c r="M962" t="s">
        <v>2167</v>
      </c>
    </row>
    <row r="963" spans="1:13">
      <c r="A963" t="s">
        <v>28</v>
      </c>
      <c r="B963">
        <f ca="1">IF(OR(changes[[#This Row],[Type]]="Checklist",changes[[#This Row],[Type]]="checklist-flat"),1+IF(changes[[#This Row],[Type of change]] = "Edit",COUNTIFS($I$4:changes[[#This Row],[Name]],changes[[#This Row],[Name]], $E$4:changes[[#This Row],[Type of change]], "Edit")),B962)</f>
        <v>1</v>
      </c>
      <c r="C963" s="20">
        <v>44636</v>
      </c>
      <c r="D963" s="2" t="s">
        <v>2009</v>
      </c>
      <c r="E963" t="s">
        <v>19</v>
      </c>
      <c r="F963" s="14" t="s">
        <v>1998</v>
      </c>
      <c r="G963" s="14" t="s">
        <v>2219</v>
      </c>
      <c r="H963" t="s">
        <v>1739</v>
      </c>
      <c r="I963" t="s">
        <v>2042</v>
      </c>
      <c r="K963" s="3"/>
      <c r="M963" t="s">
        <v>2167</v>
      </c>
    </row>
    <row r="964" spans="1:13">
      <c r="A964" t="s">
        <v>28</v>
      </c>
      <c r="B964">
        <f ca="1">IF(OR(changes[[#This Row],[Type]]="Checklist",changes[[#This Row],[Type]]="checklist-flat"),1+IF(changes[[#This Row],[Type of change]] = "Edit",COUNTIFS($I$4:changes[[#This Row],[Name]],changes[[#This Row],[Name]], $E$4:changes[[#This Row],[Type of change]], "Edit")),B963)</f>
        <v>1</v>
      </c>
      <c r="C964" s="20">
        <v>44636</v>
      </c>
      <c r="D964" s="2" t="s">
        <v>2009</v>
      </c>
      <c r="E964" t="s">
        <v>19</v>
      </c>
      <c r="F964" s="14" t="s">
        <v>1998</v>
      </c>
      <c r="G964" s="14" t="s">
        <v>2219</v>
      </c>
      <c r="H964" t="s">
        <v>1739</v>
      </c>
      <c r="I964" t="s">
        <v>2202</v>
      </c>
      <c r="K964" s="3"/>
      <c r="M964" t="s">
        <v>2167</v>
      </c>
    </row>
    <row r="965" spans="1:13">
      <c r="A965" t="s">
        <v>28</v>
      </c>
      <c r="B965">
        <f ca="1">IF(OR(changes[[#This Row],[Type]]="Checklist",changes[[#This Row],[Type]]="checklist-flat"),1+IF(changes[[#This Row],[Type of change]] = "Edit",COUNTIFS($I$4:changes[[#This Row],[Name]],changes[[#This Row],[Name]], $E$4:changes[[#This Row],[Type of change]], "Edit")),B964)</f>
        <v>1</v>
      </c>
      <c r="C965" s="20">
        <v>44636</v>
      </c>
      <c r="D965" s="2" t="s">
        <v>2009</v>
      </c>
      <c r="E965" t="s">
        <v>19</v>
      </c>
      <c r="F965" s="14" t="s">
        <v>1998</v>
      </c>
      <c r="G965" s="14" t="s">
        <v>2219</v>
      </c>
      <c r="H965" t="s">
        <v>1739</v>
      </c>
      <c r="I965" t="s">
        <v>2203</v>
      </c>
      <c r="K965" s="3"/>
      <c r="M965" t="s">
        <v>2167</v>
      </c>
    </row>
    <row r="966" spans="1:13">
      <c r="A966" t="s">
        <v>28</v>
      </c>
      <c r="B966">
        <f ca="1">IF(OR(changes[[#This Row],[Type]]="Checklist",changes[[#This Row],[Type]]="checklist-flat"),1+IF(changes[[#This Row],[Type of change]] = "Edit",COUNTIFS($I$4:changes[[#This Row],[Name]],changes[[#This Row],[Name]], $E$4:changes[[#This Row],[Type of change]], "Edit")),B965)</f>
        <v>1</v>
      </c>
      <c r="C966" s="20">
        <v>44636</v>
      </c>
      <c r="D966" s="2" t="s">
        <v>2009</v>
      </c>
      <c r="E966" t="s">
        <v>19</v>
      </c>
      <c r="F966" s="14" t="s">
        <v>1998</v>
      </c>
      <c r="G966" s="14" t="s">
        <v>2219</v>
      </c>
      <c r="H966" t="s">
        <v>131</v>
      </c>
      <c r="I966" t="s">
        <v>2216</v>
      </c>
      <c r="K966" s="3"/>
      <c r="M966" t="s">
        <v>2167</v>
      </c>
    </row>
    <row r="967" spans="1:13">
      <c r="A967" t="s">
        <v>28</v>
      </c>
      <c r="B967">
        <f ca="1">IF(OR(changes[[#This Row],[Type]]="Checklist",changes[[#This Row],[Type]]="checklist-flat"),1+IF(changes[[#This Row],[Type of change]] = "Edit",COUNTIFS($I$4:changes[[#This Row],[Name]],changes[[#This Row],[Name]], $E$4:changes[[#This Row],[Type of change]], "Edit")),B966)</f>
        <v>1</v>
      </c>
      <c r="C967" s="20">
        <v>44636</v>
      </c>
      <c r="D967" s="2" t="s">
        <v>2009</v>
      </c>
      <c r="E967" t="s">
        <v>19</v>
      </c>
      <c r="F967" s="14" t="s">
        <v>1998</v>
      </c>
      <c r="G967" s="14" t="s">
        <v>2219</v>
      </c>
      <c r="H967" t="s">
        <v>131</v>
      </c>
      <c r="I967" t="s">
        <v>2205</v>
      </c>
      <c r="K967" s="3"/>
      <c r="M967" t="s">
        <v>2167</v>
      </c>
    </row>
    <row r="968" spans="1:13">
      <c r="A968" t="s">
        <v>28</v>
      </c>
      <c r="B968">
        <f ca="1">IF(OR(changes[[#This Row],[Type]]="Checklist",changes[[#This Row],[Type]]="checklist-flat"),1+IF(changes[[#This Row],[Type of change]] = "Edit",COUNTIFS($I$4:changes[[#This Row],[Name]],changes[[#This Row],[Name]], $E$4:changes[[#This Row],[Type of change]], "Edit")),B967)</f>
        <v>1</v>
      </c>
      <c r="C968" s="20">
        <v>44636</v>
      </c>
      <c r="D968" s="2" t="s">
        <v>2009</v>
      </c>
      <c r="E968" t="s">
        <v>19</v>
      </c>
      <c r="F968" s="14" t="s">
        <v>1998</v>
      </c>
      <c r="G968" s="14" t="s">
        <v>2219</v>
      </c>
      <c r="H968" t="s">
        <v>58</v>
      </c>
      <c r="I968" t="s">
        <v>2193</v>
      </c>
      <c r="K968" s="3"/>
      <c r="M968" t="s">
        <v>2167</v>
      </c>
    </row>
    <row r="969" spans="1:13">
      <c r="A969" t="s">
        <v>28</v>
      </c>
      <c r="B969">
        <f ca="1">IF(OR(changes[[#This Row],[Type]]="Checklist",changes[[#This Row],[Type]]="checklist-flat"),1+IF(changes[[#This Row],[Type of change]] = "Edit",COUNTIFS($I$4:changes[[#This Row],[Name]],changes[[#This Row],[Name]], $E$4:changes[[#This Row],[Type of change]], "Edit")),B968)</f>
        <v>1</v>
      </c>
      <c r="C969" s="20">
        <v>44636</v>
      </c>
      <c r="D969" s="2" t="s">
        <v>2009</v>
      </c>
      <c r="E969" t="s">
        <v>19</v>
      </c>
      <c r="F969" s="14" t="s">
        <v>1998</v>
      </c>
      <c r="G969" s="14" t="s">
        <v>2221</v>
      </c>
      <c r="H969" t="s">
        <v>119</v>
      </c>
      <c r="I969" t="s">
        <v>2221</v>
      </c>
      <c r="K969" s="3"/>
      <c r="M969" t="s">
        <v>2167</v>
      </c>
    </row>
    <row r="970" spans="1:13">
      <c r="A970" t="s">
        <v>28</v>
      </c>
      <c r="B970">
        <f ca="1">IF(OR(changes[[#This Row],[Type]]="Checklist",changes[[#This Row],[Type]]="checklist-flat"),1+IF(changes[[#This Row],[Type of change]] = "Edit",COUNTIFS($I$4:changes[[#This Row],[Name]],changes[[#This Row],[Name]], $E$4:changes[[#This Row],[Type of change]], "Edit")),B969)</f>
        <v>1</v>
      </c>
      <c r="C970" s="20">
        <v>44636</v>
      </c>
      <c r="D970" s="2" t="s">
        <v>2009</v>
      </c>
      <c r="E970" t="s">
        <v>19</v>
      </c>
      <c r="F970" s="14" t="s">
        <v>1998</v>
      </c>
      <c r="G970" s="14" t="s">
        <v>2221</v>
      </c>
      <c r="H970" t="s">
        <v>49</v>
      </c>
      <c r="I970" t="s">
        <v>2222</v>
      </c>
      <c r="K970" s="3"/>
      <c r="M970" t="s">
        <v>2167</v>
      </c>
    </row>
    <row r="971" spans="1:13">
      <c r="A971" t="s">
        <v>28</v>
      </c>
      <c r="B971">
        <f ca="1">IF(OR(changes[[#This Row],[Type]]="Checklist",changes[[#This Row],[Type]]="checklist-flat"),1+IF(changes[[#This Row],[Type of change]] = "Edit",COUNTIFS($I$4:changes[[#This Row],[Name]],changes[[#This Row],[Name]], $E$4:changes[[#This Row],[Type of change]], "Edit")),B970)</f>
        <v>1</v>
      </c>
      <c r="C971" s="20">
        <v>44636</v>
      </c>
      <c r="D971" s="2" t="s">
        <v>2009</v>
      </c>
      <c r="E971" t="s">
        <v>19</v>
      </c>
      <c r="F971" s="14" t="s">
        <v>1998</v>
      </c>
      <c r="G971" s="14" t="s">
        <v>2221</v>
      </c>
      <c r="H971" t="s">
        <v>131</v>
      </c>
      <c r="I971" t="s">
        <v>2223</v>
      </c>
      <c r="K971" s="3"/>
      <c r="M971" t="s">
        <v>2167</v>
      </c>
    </row>
    <row r="972" spans="1:13">
      <c r="A972" t="s">
        <v>28</v>
      </c>
      <c r="B972">
        <f ca="1">IF(OR(changes[[#This Row],[Type]]="Checklist",changes[[#This Row],[Type]]="checklist-flat"),1+IF(changes[[#This Row],[Type of change]] = "Edit",COUNTIFS($I$4:changes[[#This Row],[Name]],changes[[#This Row],[Name]], $E$4:changes[[#This Row],[Type of change]], "Edit")),B971)</f>
        <v>1</v>
      </c>
      <c r="C972" s="20">
        <v>44636</v>
      </c>
      <c r="D972" s="2" t="s">
        <v>2009</v>
      </c>
      <c r="E972" t="s">
        <v>19</v>
      </c>
      <c r="F972" s="14" t="s">
        <v>1998</v>
      </c>
      <c r="G972" s="14" t="s">
        <v>2221</v>
      </c>
      <c r="H972" t="s">
        <v>131</v>
      </c>
      <c r="I972" t="s">
        <v>2224</v>
      </c>
      <c r="K972" s="3"/>
      <c r="M972" t="s">
        <v>2167</v>
      </c>
    </row>
    <row r="973" spans="1:13">
      <c r="A973" t="s">
        <v>28</v>
      </c>
      <c r="B973">
        <f ca="1">IF(OR(changes[[#This Row],[Type]]="Checklist",changes[[#This Row],[Type]]="checklist-flat"),1+IF(changes[[#This Row],[Type of change]] = "Edit",COUNTIFS($I$4:changes[[#This Row],[Name]],changes[[#This Row],[Name]], $E$4:changes[[#This Row],[Type of change]], "Edit")),B972)</f>
        <v>1</v>
      </c>
      <c r="C973" s="20">
        <v>44636</v>
      </c>
      <c r="D973" s="2" t="s">
        <v>2009</v>
      </c>
      <c r="E973" t="s">
        <v>19</v>
      </c>
      <c r="F973" s="14" t="s">
        <v>1998</v>
      </c>
      <c r="G973" s="14" t="s">
        <v>2221</v>
      </c>
      <c r="H973" t="s">
        <v>131</v>
      </c>
      <c r="I973" t="s">
        <v>2225</v>
      </c>
      <c r="K973" s="3"/>
      <c r="M973" t="s">
        <v>2167</v>
      </c>
    </row>
    <row r="974" spans="1:13">
      <c r="A974" t="s">
        <v>28</v>
      </c>
      <c r="B974">
        <f ca="1">IF(OR(changes[[#This Row],[Type]]="Checklist",changes[[#This Row],[Type]]="checklist-flat"),1+IF(changes[[#This Row],[Type of change]] = "Edit",COUNTIFS($I$4:changes[[#This Row],[Name]],changes[[#This Row],[Name]], $E$4:changes[[#This Row],[Type of change]], "Edit")),B973)</f>
        <v>1</v>
      </c>
      <c r="C974" s="20">
        <v>44636</v>
      </c>
      <c r="D974" s="2" t="s">
        <v>2009</v>
      </c>
      <c r="E974" t="s">
        <v>19</v>
      </c>
      <c r="F974" s="14" t="s">
        <v>1998</v>
      </c>
      <c r="G974" s="14" t="s">
        <v>2221</v>
      </c>
      <c r="H974" t="s">
        <v>131</v>
      </c>
      <c r="I974" t="s">
        <v>2226</v>
      </c>
      <c r="K974" s="3"/>
      <c r="M974" t="s">
        <v>2167</v>
      </c>
    </row>
    <row r="975" spans="1:13">
      <c r="A975" t="s">
        <v>28</v>
      </c>
      <c r="B975">
        <f ca="1">IF(OR(changes[[#This Row],[Type]]="Checklist",changes[[#This Row],[Type]]="checklist-flat"),1+IF(changes[[#This Row],[Type of change]] = "Edit",COUNTIFS($I$4:changes[[#This Row],[Name]],changes[[#This Row],[Name]], $E$4:changes[[#This Row],[Type of change]], "Edit")),B974)</f>
        <v>1</v>
      </c>
      <c r="C975" s="20">
        <v>44636</v>
      </c>
      <c r="D975" s="2" t="s">
        <v>2009</v>
      </c>
      <c r="E975" t="s">
        <v>19</v>
      </c>
      <c r="F975" s="14" t="s">
        <v>1998</v>
      </c>
      <c r="G975" s="14" t="s">
        <v>2221</v>
      </c>
      <c r="H975" t="s">
        <v>131</v>
      </c>
      <c r="I975" t="s">
        <v>2227</v>
      </c>
      <c r="K975" s="3"/>
      <c r="M975" t="s">
        <v>2167</v>
      </c>
    </row>
    <row r="976" spans="1:13">
      <c r="A976" t="s">
        <v>28</v>
      </c>
      <c r="B976">
        <f ca="1">IF(OR(changes[[#This Row],[Type]]="Checklist",changes[[#This Row],[Type]]="checklist-flat"),1+IF(changes[[#This Row],[Type of change]] = "Edit",COUNTIFS($I$4:changes[[#This Row],[Name]],changes[[#This Row],[Name]], $E$4:changes[[#This Row],[Type of change]], "Edit")),B975)</f>
        <v>1</v>
      </c>
      <c r="C976" s="20">
        <v>44636</v>
      </c>
      <c r="D976" s="2" t="s">
        <v>2009</v>
      </c>
      <c r="E976" t="s">
        <v>19</v>
      </c>
      <c r="F976" s="14" t="s">
        <v>1998</v>
      </c>
      <c r="G976" s="14" t="s">
        <v>2221</v>
      </c>
      <c r="H976" t="s">
        <v>131</v>
      </c>
      <c r="I976" t="s">
        <v>2228</v>
      </c>
      <c r="K976" s="3"/>
      <c r="M976" t="s">
        <v>2167</v>
      </c>
    </row>
    <row r="977" spans="1:13">
      <c r="A977" t="s">
        <v>28</v>
      </c>
      <c r="B977">
        <f ca="1">IF(OR(changes[[#This Row],[Type]]="Checklist",changes[[#This Row],[Type]]="checklist-flat"),1+IF(changes[[#This Row],[Type of change]] = "Edit",COUNTIFS($I$4:changes[[#This Row],[Name]],changes[[#This Row],[Name]], $E$4:changes[[#This Row],[Type of change]], "Edit")),B976)</f>
        <v>1</v>
      </c>
      <c r="C977" s="20">
        <v>44636</v>
      </c>
      <c r="D977" s="2" t="s">
        <v>2009</v>
      </c>
      <c r="E977" t="s">
        <v>19</v>
      </c>
      <c r="F977" s="14" t="s">
        <v>1998</v>
      </c>
      <c r="G977" s="14" t="s">
        <v>2221</v>
      </c>
      <c r="H977" t="s">
        <v>131</v>
      </c>
      <c r="I977" t="s">
        <v>2229</v>
      </c>
      <c r="K977" s="3"/>
      <c r="M977" t="s">
        <v>2167</v>
      </c>
    </row>
    <row r="978" spans="1:13">
      <c r="A978" t="s">
        <v>28</v>
      </c>
      <c r="B978">
        <f ca="1">IF(OR(changes[[#This Row],[Type]]="Checklist",changes[[#This Row],[Type]]="checklist-flat"),1+IF(changes[[#This Row],[Type of change]] = "Edit",COUNTIFS($I$4:changes[[#This Row],[Name]],changes[[#This Row],[Name]], $E$4:changes[[#This Row],[Type of change]], "Edit")),B977)</f>
        <v>1</v>
      </c>
      <c r="C978" s="20">
        <v>44636</v>
      </c>
      <c r="D978" s="2" t="s">
        <v>2009</v>
      </c>
      <c r="E978" t="s">
        <v>19</v>
      </c>
      <c r="F978" s="14" t="s">
        <v>1998</v>
      </c>
      <c r="G978" s="14" t="s">
        <v>2221</v>
      </c>
      <c r="H978" t="s">
        <v>131</v>
      </c>
      <c r="I978" t="s">
        <v>2230</v>
      </c>
      <c r="K978" s="3"/>
      <c r="M978" t="s">
        <v>2167</v>
      </c>
    </row>
    <row r="979" spans="1:13">
      <c r="A979" t="s">
        <v>28</v>
      </c>
      <c r="B979">
        <f ca="1">IF(OR(changes[[#This Row],[Type]]="Checklist",changes[[#This Row],[Type]]="checklist-flat"),1+IF(changes[[#This Row],[Type of change]] = "Edit",COUNTIFS($I$4:changes[[#This Row],[Name]],changes[[#This Row],[Name]], $E$4:changes[[#This Row],[Type of change]], "Edit")),B978)</f>
        <v>1</v>
      </c>
      <c r="C979" s="20">
        <v>44636</v>
      </c>
      <c r="D979" s="2" t="s">
        <v>2009</v>
      </c>
      <c r="E979" t="s">
        <v>19</v>
      </c>
      <c r="F979" s="14" t="s">
        <v>1998</v>
      </c>
      <c r="G979" s="14" t="s">
        <v>2221</v>
      </c>
      <c r="H979" t="s">
        <v>131</v>
      </c>
      <c r="I979" t="s">
        <v>2231</v>
      </c>
      <c r="K979" s="3"/>
      <c r="M979" t="s">
        <v>2167</v>
      </c>
    </row>
    <row r="980" spans="1:13">
      <c r="A980" t="s">
        <v>28</v>
      </c>
      <c r="B980">
        <f ca="1">IF(OR(changes[[#This Row],[Type]]="Checklist",changes[[#This Row],[Type]]="checklist-flat"),1+IF(changes[[#This Row],[Type of change]] = "Edit",COUNTIFS($I$4:changes[[#This Row],[Name]],changes[[#This Row],[Name]], $E$4:changes[[#This Row],[Type of change]], "Edit")),B979)</f>
        <v>1</v>
      </c>
      <c r="C980" s="20">
        <v>44636</v>
      </c>
      <c r="D980" s="2" t="s">
        <v>2009</v>
      </c>
      <c r="E980" t="s">
        <v>19</v>
      </c>
      <c r="F980" s="14" t="s">
        <v>1998</v>
      </c>
      <c r="G980" s="14" t="s">
        <v>2221</v>
      </c>
      <c r="H980" t="s">
        <v>131</v>
      </c>
      <c r="I980" t="s">
        <v>2232</v>
      </c>
      <c r="K980" s="3"/>
      <c r="M980" t="s">
        <v>2167</v>
      </c>
    </row>
    <row r="981" spans="1:13">
      <c r="A981" t="s">
        <v>28</v>
      </c>
      <c r="B981">
        <f ca="1">IF(OR(changes[[#This Row],[Type]]="Checklist",changes[[#This Row],[Type]]="checklist-flat"),1+IF(changes[[#This Row],[Type of change]] = "Edit",COUNTIFS($I$4:changes[[#This Row],[Name]],changes[[#This Row],[Name]], $E$4:changes[[#This Row],[Type of change]], "Edit")),B980)</f>
        <v>1</v>
      </c>
      <c r="C981" s="20">
        <v>44636</v>
      </c>
      <c r="D981" s="2" t="s">
        <v>2009</v>
      </c>
      <c r="E981" t="s">
        <v>19</v>
      </c>
      <c r="F981" s="14" t="s">
        <v>1998</v>
      </c>
      <c r="G981" s="14" t="s">
        <v>2221</v>
      </c>
      <c r="H981" t="s">
        <v>131</v>
      </c>
      <c r="I981" t="s">
        <v>2233</v>
      </c>
      <c r="K981" s="3"/>
      <c r="M981" t="s">
        <v>2167</v>
      </c>
    </row>
    <row r="982" spans="1:13">
      <c r="A982" t="s">
        <v>28</v>
      </c>
      <c r="B982">
        <f ca="1">IF(OR(changes[[#This Row],[Type]]="Checklist",changes[[#This Row],[Type]]="checklist-flat"),1+IF(changes[[#This Row],[Type of change]] = "Edit",COUNTIFS($I$4:changes[[#This Row],[Name]],changes[[#This Row],[Name]], $E$4:changes[[#This Row],[Type of change]], "Edit")),B981)</f>
        <v>1</v>
      </c>
      <c r="C982" s="20">
        <v>44636</v>
      </c>
      <c r="D982" s="2" t="s">
        <v>2009</v>
      </c>
      <c r="E982" t="s">
        <v>19</v>
      </c>
      <c r="F982" s="14" t="s">
        <v>1998</v>
      </c>
      <c r="G982" s="14" t="s">
        <v>2221</v>
      </c>
      <c r="H982" t="s">
        <v>131</v>
      </c>
      <c r="I982" t="s">
        <v>2234</v>
      </c>
      <c r="K982" s="3"/>
      <c r="M982" t="s">
        <v>2167</v>
      </c>
    </row>
    <row r="983" spans="1:13">
      <c r="A983" t="s">
        <v>28</v>
      </c>
      <c r="B983">
        <f ca="1">IF(OR(changes[[#This Row],[Type]]="Checklist",changes[[#This Row],[Type]]="checklist-flat"),1+IF(changes[[#This Row],[Type of change]] = "Edit",COUNTIFS($I$4:changes[[#This Row],[Name]],changes[[#This Row],[Name]], $E$4:changes[[#This Row],[Type of change]], "Edit")),B982)</f>
        <v>1</v>
      </c>
      <c r="C983" s="20">
        <v>44636</v>
      </c>
      <c r="D983" s="2" t="s">
        <v>2009</v>
      </c>
      <c r="E983" t="s">
        <v>19</v>
      </c>
      <c r="F983" s="14" t="s">
        <v>1998</v>
      </c>
      <c r="G983" s="14" t="s">
        <v>2221</v>
      </c>
      <c r="H983" t="s">
        <v>131</v>
      </c>
      <c r="I983" t="s">
        <v>2235</v>
      </c>
      <c r="K983" s="3"/>
      <c r="M983" t="s">
        <v>2167</v>
      </c>
    </row>
    <row r="984" spans="1:13">
      <c r="A984" t="s">
        <v>28</v>
      </c>
      <c r="B984">
        <f ca="1">IF(OR(changes[[#This Row],[Type]]="Checklist",changes[[#This Row],[Type]]="checklist-flat"),1+IF(changes[[#This Row],[Type of change]] = "Edit",COUNTIFS($I$4:changes[[#This Row],[Name]],changes[[#This Row],[Name]], $E$4:changes[[#This Row],[Type of change]], "Edit")),B983)</f>
        <v>1</v>
      </c>
      <c r="C984" s="20">
        <v>44636</v>
      </c>
      <c r="D984" s="2" t="s">
        <v>2009</v>
      </c>
      <c r="E984" t="s">
        <v>19</v>
      </c>
      <c r="F984" s="14" t="s">
        <v>1998</v>
      </c>
      <c r="G984" s="14" t="s">
        <v>2221</v>
      </c>
      <c r="H984" t="s">
        <v>131</v>
      </c>
      <c r="I984" t="s">
        <v>2236</v>
      </c>
      <c r="K984" s="3"/>
      <c r="M984" t="s">
        <v>2167</v>
      </c>
    </row>
    <row r="985" spans="1:13">
      <c r="A985" t="s">
        <v>28</v>
      </c>
      <c r="B985">
        <f ca="1">IF(OR(changes[[#This Row],[Type]]="Checklist",changes[[#This Row],[Type]]="checklist-flat"),1+IF(changes[[#This Row],[Type of change]] = "Edit",COUNTIFS($I$4:changes[[#This Row],[Name]],changes[[#This Row],[Name]], $E$4:changes[[#This Row],[Type of change]], "Edit")),B984)</f>
        <v>1</v>
      </c>
      <c r="C985" s="20">
        <v>44636</v>
      </c>
      <c r="D985" s="2" t="s">
        <v>2009</v>
      </c>
      <c r="E985" t="s">
        <v>19</v>
      </c>
      <c r="F985" s="14" t="s">
        <v>1998</v>
      </c>
      <c r="G985" s="14" t="s">
        <v>2221</v>
      </c>
      <c r="H985" t="s">
        <v>131</v>
      </c>
      <c r="I985" t="s">
        <v>2237</v>
      </c>
      <c r="K985" s="3"/>
      <c r="M985" t="s">
        <v>2167</v>
      </c>
    </row>
    <row r="986" spans="1:13">
      <c r="A986" t="s">
        <v>28</v>
      </c>
      <c r="B986">
        <f ca="1">IF(OR(changes[[#This Row],[Type]]="Checklist",changes[[#This Row],[Type]]="checklist-flat"),1+IF(changes[[#This Row],[Type of change]] = "Edit",COUNTIFS($I$4:changes[[#This Row],[Name]],changes[[#This Row],[Name]], $E$4:changes[[#This Row],[Type of change]], "Edit")),B985)</f>
        <v>1</v>
      </c>
      <c r="C986" s="20">
        <v>44636</v>
      </c>
      <c r="D986" s="2" t="s">
        <v>2009</v>
      </c>
      <c r="E986" t="s">
        <v>19</v>
      </c>
      <c r="F986" s="14" t="s">
        <v>1998</v>
      </c>
      <c r="G986" s="14" t="s">
        <v>2221</v>
      </c>
      <c r="H986" t="s">
        <v>131</v>
      </c>
      <c r="I986" t="s">
        <v>2238</v>
      </c>
      <c r="K986" s="3"/>
      <c r="M986" t="s">
        <v>2167</v>
      </c>
    </row>
    <row r="987" spans="1:13">
      <c r="A987" t="s">
        <v>28</v>
      </c>
      <c r="B987">
        <f ca="1">IF(OR(changes[[#This Row],[Type]]="Checklist",changes[[#This Row],[Type]]="checklist-flat"),1+IF(changes[[#This Row],[Type of change]] = "Edit",COUNTIFS($I$4:changes[[#This Row],[Name]],changes[[#This Row],[Name]], $E$4:changes[[#This Row],[Type of change]], "Edit")),B986)</f>
        <v>1</v>
      </c>
      <c r="C987" s="20">
        <v>44636</v>
      </c>
      <c r="D987" s="2" t="s">
        <v>2009</v>
      </c>
      <c r="E987" t="s">
        <v>19</v>
      </c>
      <c r="F987" s="14" t="s">
        <v>1998</v>
      </c>
      <c r="G987" s="14" t="s">
        <v>2221</v>
      </c>
      <c r="H987" t="s">
        <v>131</v>
      </c>
      <c r="I987" t="s">
        <v>2239</v>
      </c>
      <c r="K987" s="3"/>
      <c r="M987" t="s">
        <v>2167</v>
      </c>
    </row>
    <row r="988" spans="1:13">
      <c r="A988" t="s">
        <v>28</v>
      </c>
      <c r="B988">
        <f ca="1">IF(OR(changes[[#This Row],[Type]]="Checklist",changes[[#This Row],[Type]]="checklist-flat"),1+IF(changes[[#This Row],[Type of change]] = "Edit",COUNTIFS($I$4:changes[[#This Row],[Name]],changes[[#This Row],[Name]], $E$4:changes[[#This Row],[Type of change]], "Edit")),B987)</f>
        <v>1</v>
      </c>
      <c r="C988" s="20">
        <v>44636</v>
      </c>
      <c r="D988" s="2" t="s">
        <v>2009</v>
      </c>
      <c r="E988" t="s">
        <v>19</v>
      </c>
      <c r="F988" s="14" t="s">
        <v>1998</v>
      </c>
      <c r="G988" s="14" t="s">
        <v>2221</v>
      </c>
      <c r="H988" t="s">
        <v>131</v>
      </c>
      <c r="I988" t="s">
        <v>2240</v>
      </c>
      <c r="K988" s="3"/>
      <c r="M988" t="s">
        <v>2167</v>
      </c>
    </row>
    <row r="989" spans="1:13">
      <c r="A989" t="s">
        <v>28</v>
      </c>
      <c r="B989">
        <f ca="1">IF(OR(changes[[#This Row],[Type]]="Checklist",changes[[#This Row],[Type]]="checklist-flat"),1+IF(changes[[#This Row],[Type of change]] = "Edit",COUNTIFS($I$4:changes[[#This Row],[Name]],changes[[#This Row],[Name]], $E$4:changes[[#This Row],[Type of change]], "Edit")),B988)</f>
        <v>1</v>
      </c>
      <c r="C989" s="20">
        <v>44636</v>
      </c>
      <c r="D989" s="2" t="s">
        <v>2009</v>
      </c>
      <c r="E989" t="s">
        <v>19</v>
      </c>
      <c r="F989" s="14" t="s">
        <v>1998</v>
      </c>
      <c r="G989" s="14" t="s">
        <v>2221</v>
      </c>
      <c r="H989" t="s">
        <v>131</v>
      </c>
      <c r="I989" t="s">
        <v>2241</v>
      </c>
      <c r="K989" s="3"/>
      <c r="M989" t="s">
        <v>2167</v>
      </c>
    </row>
    <row r="990" spans="1:13">
      <c r="A990" t="s">
        <v>28</v>
      </c>
      <c r="B990">
        <f ca="1">IF(OR(changes[[#This Row],[Type]]="Checklist",changes[[#This Row],[Type]]="checklist-flat"),1+IF(changes[[#This Row],[Type of change]] = "Edit",COUNTIFS($I$4:changes[[#This Row],[Name]],changes[[#This Row],[Name]], $E$4:changes[[#This Row],[Type of change]], "Edit")),B989)</f>
        <v>1</v>
      </c>
      <c r="C990" s="20">
        <v>44636</v>
      </c>
      <c r="D990" s="2" t="s">
        <v>2009</v>
      </c>
      <c r="E990" t="s">
        <v>19</v>
      </c>
      <c r="F990" s="14" t="s">
        <v>1998</v>
      </c>
      <c r="G990" s="14" t="s">
        <v>2221</v>
      </c>
      <c r="H990" t="s">
        <v>131</v>
      </c>
      <c r="I990" t="s">
        <v>2242</v>
      </c>
      <c r="K990" s="3"/>
      <c r="M990" t="s">
        <v>2167</v>
      </c>
    </row>
    <row r="991" spans="1:13">
      <c r="A991" t="s">
        <v>28</v>
      </c>
      <c r="B991">
        <f ca="1">IF(OR(changes[[#This Row],[Type]]="Checklist",changes[[#This Row],[Type]]="checklist-flat"),1+IF(changes[[#This Row],[Type of change]] = "Edit",COUNTIFS($I$4:changes[[#This Row],[Name]],changes[[#This Row],[Name]], $E$4:changes[[#This Row],[Type of change]], "Edit")),B990)</f>
        <v>1</v>
      </c>
      <c r="C991" s="20">
        <v>44636</v>
      </c>
      <c r="D991" s="2" t="s">
        <v>2009</v>
      </c>
      <c r="E991" t="s">
        <v>19</v>
      </c>
      <c r="F991" s="14" t="s">
        <v>1998</v>
      </c>
      <c r="G991" s="14" t="s">
        <v>2221</v>
      </c>
      <c r="H991" t="s">
        <v>131</v>
      </c>
      <c r="I991" t="s">
        <v>2243</v>
      </c>
      <c r="K991" s="3"/>
      <c r="M991" t="s">
        <v>2167</v>
      </c>
    </row>
    <row r="992" spans="1:13">
      <c r="A992" t="s">
        <v>28</v>
      </c>
      <c r="B992">
        <f ca="1">IF(OR(changes[[#This Row],[Type]]="Checklist",changes[[#This Row],[Type]]="checklist-flat"),1+IF(changes[[#This Row],[Type of change]] = "Edit",COUNTIFS($I$4:changes[[#This Row],[Name]],changes[[#This Row],[Name]], $E$4:changes[[#This Row],[Type of change]], "Edit")),B991)</f>
        <v>1</v>
      </c>
      <c r="C992" s="20">
        <v>44636</v>
      </c>
      <c r="D992" s="2" t="s">
        <v>2009</v>
      </c>
      <c r="E992" t="s">
        <v>19</v>
      </c>
      <c r="F992" s="14" t="s">
        <v>1998</v>
      </c>
      <c r="G992" s="14" t="s">
        <v>2221</v>
      </c>
      <c r="H992" t="s">
        <v>131</v>
      </c>
      <c r="I992" t="s">
        <v>2040</v>
      </c>
      <c r="K992" s="3"/>
      <c r="M992" t="s">
        <v>2167</v>
      </c>
    </row>
    <row r="993" spans="1:13">
      <c r="A993" t="s">
        <v>28</v>
      </c>
      <c r="B993">
        <f ca="1">IF(OR(changes[[#This Row],[Type]]="Checklist",changes[[#This Row],[Type]]="checklist-flat"),1+IF(changes[[#This Row],[Type of change]] = "Edit",COUNTIFS($I$4:changes[[#This Row],[Name]],changes[[#This Row],[Name]], $E$4:changes[[#This Row],[Type of change]], "Edit")),B992)</f>
        <v>1</v>
      </c>
      <c r="C993" s="20">
        <v>44636</v>
      </c>
      <c r="D993" s="2" t="s">
        <v>2009</v>
      </c>
      <c r="E993" t="s">
        <v>19</v>
      </c>
      <c r="F993" s="14" t="s">
        <v>1998</v>
      </c>
      <c r="G993" s="14" t="s">
        <v>2221</v>
      </c>
      <c r="H993" t="s">
        <v>1739</v>
      </c>
      <c r="I993" t="s">
        <v>1399</v>
      </c>
      <c r="K993" s="3"/>
      <c r="M993" t="s">
        <v>2167</v>
      </c>
    </row>
    <row r="994" spans="1:13">
      <c r="A994" t="s">
        <v>28</v>
      </c>
      <c r="B994">
        <f ca="1">IF(OR(changes[[#This Row],[Type]]="Checklist",changes[[#This Row],[Type]]="checklist-flat"),1+IF(changes[[#This Row],[Type of change]] = "Edit",COUNTIFS($I$4:changes[[#This Row],[Name]],changes[[#This Row],[Name]], $E$4:changes[[#This Row],[Type of change]], "Edit")),B993)</f>
        <v>1</v>
      </c>
      <c r="C994" s="20">
        <v>44636</v>
      </c>
      <c r="D994" s="2" t="s">
        <v>2009</v>
      </c>
      <c r="E994" t="s">
        <v>19</v>
      </c>
      <c r="F994" s="14" t="s">
        <v>1998</v>
      </c>
      <c r="G994" s="14" t="s">
        <v>2221</v>
      </c>
      <c r="H994" t="s">
        <v>1739</v>
      </c>
      <c r="I994" t="s">
        <v>2042</v>
      </c>
      <c r="K994" s="3"/>
      <c r="M994" t="s">
        <v>2167</v>
      </c>
    </row>
    <row r="995" spans="1:13">
      <c r="A995" t="s">
        <v>28</v>
      </c>
      <c r="B995">
        <f ca="1">IF(OR(changes[[#This Row],[Type]]="Checklist",changes[[#This Row],[Type]]="checklist-flat"),1+IF(changes[[#This Row],[Type of change]] = "Edit",COUNTIFS($I$4:changes[[#This Row],[Name]],changes[[#This Row],[Name]], $E$4:changes[[#This Row],[Type of change]], "Edit")),B994)</f>
        <v>1</v>
      </c>
      <c r="C995" s="20">
        <v>44636</v>
      </c>
      <c r="D995" s="2" t="s">
        <v>2009</v>
      </c>
      <c r="E995" t="s">
        <v>19</v>
      </c>
      <c r="F995" s="14" t="s">
        <v>1998</v>
      </c>
      <c r="G995" s="14" t="s">
        <v>2221</v>
      </c>
      <c r="H995" t="s">
        <v>1739</v>
      </c>
      <c r="I995" t="s">
        <v>2202</v>
      </c>
      <c r="K995" s="3"/>
      <c r="M995" t="s">
        <v>2167</v>
      </c>
    </row>
    <row r="996" spans="1:13">
      <c r="A996" t="s">
        <v>28</v>
      </c>
      <c r="B996">
        <f ca="1">IF(OR(changes[[#This Row],[Type]]="Checklist",changes[[#This Row],[Type]]="checklist-flat"),1+IF(changes[[#This Row],[Type of change]] = "Edit",COUNTIFS($I$4:changes[[#This Row],[Name]],changes[[#This Row],[Name]], $E$4:changes[[#This Row],[Type of change]], "Edit")),B995)</f>
        <v>1</v>
      </c>
      <c r="C996" s="20">
        <v>44636</v>
      </c>
      <c r="D996" s="2" t="s">
        <v>2009</v>
      </c>
      <c r="E996" t="s">
        <v>19</v>
      </c>
      <c r="F996" s="14" t="s">
        <v>1998</v>
      </c>
      <c r="G996" s="14" t="s">
        <v>2221</v>
      </c>
      <c r="H996" t="s">
        <v>1739</v>
      </c>
      <c r="I996" t="s">
        <v>2203</v>
      </c>
      <c r="K996" s="3"/>
      <c r="M996" t="s">
        <v>2167</v>
      </c>
    </row>
    <row r="997" spans="1:13">
      <c r="A997" t="s">
        <v>28</v>
      </c>
      <c r="B997">
        <f ca="1">IF(OR(changes[[#This Row],[Type]]="Checklist",changes[[#This Row],[Type]]="checklist-flat"),1+IF(changes[[#This Row],[Type of change]] = "Edit",COUNTIFS($I$4:changes[[#This Row],[Name]],changes[[#This Row],[Name]], $E$4:changes[[#This Row],[Type of change]], "Edit")),B996)</f>
        <v>1</v>
      </c>
      <c r="C997" s="20">
        <v>44636</v>
      </c>
      <c r="D997" s="2" t="s">
        <v>2009</v>
      </c>
      <c r="E997" t="s">
        <v>19</v>
      </c>
      <c r="F997" s="14" t="s">
        <v>1998</v>
      </c>
      <c r="G997" s="14" t="s">
        <v>2221</v>
      </c>
      <c r="H997" t="s">
        <v>131</v>
      </c>
      <c r="I997" t="s">
        <v>2216</v>
      </c>
      <c r="K997" s="3"/>
      <c r="M997" t="s">
        <v>2167</v>
      </c>
    </row>
    <row r="998" spans="1:13">
      <c r="A998" t="s">
        <v>28</v>
      </c>
      <c r="B998">
        <f ca="1">IF(OR(changes[[#This Row],[Type]]="Checklist",changes[[#This Row],[Type]]="checklist-flat"),1+IF(changes[[#This Row],[Type of change]] = "Edit",COUNTIFS($I$4:changes[[#This Row],[Name]],changes[[#This Row],[Name]], $E$4:changes[[#This Row],[Type of change]], "Edit")),B997)</f>
        <v>1</v>
      </c>
      <c r="C998" s="20">
        <v>44636</v>
      </c>
      <c r="D998" s="2" t="s">
        <v>2009</v>
      </c>
      <c r="E998" t="s">
        <v>19</v>
      </c>
      <c r="F998" s="14" t="s">
        <v>1998</v>
      </c>
      <c r="G998" s="14" t="s">
        <v>2221</v>
      </c>
      <c r="H998" t="s">
        <v>58</v>
      </c>
      <c r="I998" t="s">
        <v>2193</v>
      </c>
      <c r="K998" s="3"/>
      <c r="M998" t="s">
        <v>2167</v>
      </c>
    </row>
    <row r="999" spans="1:13">
      <c r="A999" t="s">
        <v>28</v>
      </c>
      <c r="B999">
        <f ca="1">IF(OR(changes[[#This Row],[Type]]="Checklist",changes[[#This Row],[Type]]="checklist-flat"),1+IF(changes[[#This Row],[Type of change]] = "Edit",COUNTIFS($I$4:changes[[#This Row],[Name]],changes[[#This Row],[Name]], $E$4:changes[[#This Row],[Type of change]], "Edit")),B998)</f>
        <v>1</v>
      </c>
      <c r="C999" s="20">
        <v>44636</v>
      </c>
      <c r="D999" s="2" t="s">
        <v>2009</v>
      </c>
      <c r="E999" t="s">
        <v>19</v>
      </c>
      <c r="F999" s="14" t="s">
        <v>1998</v>
      </c>
      <c r="G999" s="14" t="s">
        <v>2244</v>
      </c>
      <c r="H999" t="s">
        <v>119</v>
      </c>
      <c r="I999" t="s">
        <v>2244</v>
      </c>
      <c r="K999" s="3"/>
      <c r="M999" t="s">
        <v>2167</v>
      </c>
    </row>
    <row r="1000" spans="1:13">
      <c r="A1000" t="s">
        <v>28</v>
      </c>
      <c r="B1000">
        <f ca="1">IF(OR(changes[[#This Row],[Type]]="Checklist",changes[[#This Row],[Type]]="checklist-flat"),1+IF(changes[[#This Row],[Type of change]] = "Edit",COUNTIFS($I$4:changes[[#This Row],[Name]],changes[[#This Row],[Name]], $E$4:changes[[#This Row],[Type of change]], "Edit")),B999)</f>
        <v>1</v>
      </c>
      <c r="C1000" s="20">
        <v>44636</v>
      </c>
      <c r="D1000" s="2" t="s">
        <v>2009</v>
      </c>
      <c r="E1000" t="s">
        <v>19</v>
      </c>
      <c r="F1000" s="14" t="s">
        <v>1998</v>
      </c>
      <c r="G1000" s="14" t="s">
        <v>2244</v>
      </c>
      <c r="H1000" t="s">
        <v>49</v>
      </c>
      <c r="I1000" t="s">
        <v>2245</v>
      </c>
      <c r="K1000" s="3"/>
      <c r="M1000" t="s">
        <v>2167</v>
      </c>
    </row>
    <row r="1001" spans="1:13">
      <c r="A1001" t="s">
        <v>28</v>
      </c>
      <c r="B1001">
        <f ca="1">IF(OR(changes[[#This Row],[Type]]="Checklist",changes[[#This Row],[Type]]="checklist-flat"),1+IF(changes[[#This Row],[Type of change]] = "Edit",COUNTIFS($I$4:changes[[#This Row],[Name]],changes[[#This Row],[Name]], $E$4:changes[[#This Row],[Type of change]], "Edit")),B1000)</f>
        <v>1</v>
      </c>
      <c r="C1001" s="20">
        <v>44636</v>
      </c>
      <c r="D1001" s="2" t="s">
        <v>2009</v>
      </c>
      <c r="E1001" t="s">
        <v>19</v>
      </c>
      <c r="F1001" s="14" t="s">
        <v>1998</v>
      </c>
      <c r="G1001" s="14" t="s">
        <v>2244</v>
      </c>
      <c r="H1001" t="s">
        <v>131</v>
      </c>
      <c r="I1001" t="s">
        <v>2246</v>
      </c>
      <c r="K1001" s="3"/>
      <c r="M1001" t="s">
        <v>2167</v>
      </c>
    </row>
    <row r="1002" spans="1:13">
      <c r="A1002" t="s">
        <v>28</v>
      </c>
      <c r="B1002">
        <f ca="1">IF(OR(changes[[#This Row],[Type]]="Checklist",changes[[#This Row],[Type]]="checklist-flat"),1+IF(changes[[#This Row],[Type of change]] = "Edit",COUNTIFS($I$4:changes[[#This Row],[Name]],changes[[#This Row],[Name]], $E$4:changes[[#This Row],[Type of change]], "Edit")),B1001)</f>
        <v>1</v>
      </c>
      <c r="C1002" s="20">
        <v>44636</v>
      </c>
      <c r="D1002" s="2" t="s">
        <v>2009</v>
      </c>
      <c r="E1002" t="s">
        <v>19</v>
      </c>
      <c r="F1002" s="14" t="s">
        <v>1998</v>
      </c>
      <c r="G1002" s="14" t="s">
        <v>2244</v>
      </c>
      <c r="H1002" t="s">
        <v>131</v>
      </c>
      <c r="I1002" t="s">
        <v>2247</v>
      </c>
      <c r="K1002" s="3"/>
      <c r="M1002" t="s">
        <v>2167</v>
      </c>
    </row>
    <row r="1003" spans="1:13">
      <c r="A1003" t="s">
        <v>28</v>
      </c>
      <c r="B1003">
        <f ca="1">IF(OR(changes[[#This Row],[Type]]="Checklist",changes[[#This Row],[Type]]="checklist-flat"),1+IF(changes[[#This Row],[Type of change]] = "Edit",COUNTIFS($I$4:changes[[#This Row],[Name]],changes[[#This Row],[Name]], $E$4:changes[[#This Row],[Type of change]], "Edit")),B1002)</f>
        <v>1</v>
      </c>
      <c r="C1003" s="20">
        <v>44636</v>
      </c>
      <c r="D1003" s="2" t="s">
        <v>2009</v>
      </c>
      <c r="E1003" t="s">
        <v>19</v>
      </c>
      <c r="F1003" s="14" t="s">
        <v>1998</v>
      </c>
      <c r="G1003" s="14" t="s">
        <v>2244</v>
      </c>
      <c r="H1003" t="s">
        <v>131</v>
      </c>
      <c r="I1003" t="s">
        <v>2248</v>
      </c>
      <c r="K1003" s="3"/>
      <c r="M1003" t="s">
        <v>2167</v>
      </c>
    </row>
    <row r="1004" spans="1:13">
      <c r="A1004" t="s">
        <v>28</v>
      </c>
      <c r="B1004">
        <f ca="1">IF(OR(changes[[#This Row],[Type]]="Checklist",changes[[#This Row],[Type]]="checklist-flat"),1+IF(changes[[#This Row],[Type of change]] = "Edit",COUNTIFS($I$4:changes[[#This Row],[Name]],changes[[#This Row],[Name]], $E$4:changes[[#This Row],[Type of change]], "Edit")),B1003)</f>
        <v>1</v>
      </c>
      <c r="C1004" s="20">
        <v>44636</v>
      </c>
      <c r="D1004" s="2" t="s">
        <v>2009</v>
      </c>
      <c r="E1004" t="s">
        <v>19</v>
      </c>
      <c r="F1004" s="14" t="s">
        <v>1998</v>
      </c>
      <c r="G1004" s="14" t="s">
        <v>2244</v>
      </c>
      <c r="H1004" t="s">
        <v>131</v>
      </c>
      <c r="I1004" t="s">
        <v>2249</v>
      </c>
      <c r="K1004" s="3"/>
      <c r="M1004" t="s">
        <v>2167</v>
      </c>
    </row>
    <row r="1005" spans="1:13">
      <c r="A1005" t="s">
        <v>28</v>
      </c>
      <c r="B1005">
        <f ca="1">IF(OR(changes[[#This Row],[Type]]="Checklist",changes[[#This Row],[Type]]="checklist-flat"),1+IF(changes[[#This Row],[Type of change]] = "Edit",COUNTIFS($I$4:changes[[#This Row],[Name]],changes[[#This Row],[Name]], $E$4:changes[[#This Row],[Type of change]], "Edit")),B1004)</f>
        <v>1</v>
      </c>
      <c r="C1005" s="20">
        <v>44636</v>
      </c>
      <c r="D1005" s="2" t="s">
        <v>2009</v>
      </c>
      <c r="E1005" t="s">
        <v>19</v>
      </c>
      <c r="F1005" s="14" t="s">
        <v>1998</v>
      </c>
      <c r="G1005" s="14" t="s">
        <v>2244</v>
      </c>
      <c r="H1005" t="s">
        <v>131</v>
      </c>
      <c r="I1005" t="s">
        <v>2225</v>
      </c>
      <c r="K1005" s="3"/>
      <c r="M1005" t="s">
        <v>2167</v>
      </c>
    </row>
    <row r="1006" spans="1:13">
      <c r="A1006" t="s">
        <v>28</v>
      </c>
      <c r="B1006">
        <f ca="1">IF(OR(changes[[#This Row],[Type]]="Checklist",changes[[#This Row],[Type]]="checklist-flat"),1+IF(changes[[#This Row],[Type of change]] = "Edit",COUNTIFS($I$4:changes[[#This Row],[Name]],changes[[#This Row],[Name]], $E$4:changes[[#This Row],[Type of change]], "Edit")),B1005)</f>
        <v>1</v>
      </c>
      <c r="C1006" s="20">
        <v>44636</v>
      </c>
      <c r="D1006" s="2" t="s">
        <v>2009</v>
      </c>
      <c r="E1006" t="s">
        <v>19</v>
      </c>
      <c r="F1006" s="14" t="s">
        <v>1998</v>
      </c>
      <c r="G1006" s="14" t="s">
        <v>2244</v>
      </c>
      <c r="H1006" t="s">
        <v>131</v>
      </c>
      <c r="I1006" t="s">
        <v>2230</v>
      </c>
      <c r="K1006" s="3"/>
      <c r="M1006" t="s">
        <v>2167</v>
      </c>
    </row>
    <row r="1007" spans="1:13">
      <c r="A1007" t="s">
        <v>28</v>
      </c>
      <c r="B1007">
        <f ca="1">IF(OR(changes[[#This Row],[Type]]="Checklist",changes[[#This Row],[Type]]="checklist-flat"),1+IF(changes[[#This Row],[Type of change]] = "Edit",COUNTIFS($I$4:changes[[#This Row],[Name]],changes[[#This Row],[Name]], $E$4:changes[[#This Row],[Type of change]], "Edit")),B1006)</f>
        <v>1</v>
      </c>
      <c r="C1007" s="20">
        <v>44636</v>
      </c>
      <c r="D1007" s="2" t="s">
        <v>2009</v>
      </c>
      <c r="E1007" t="s">
        <v>19</v>
      </c>
      <c r="F1007" s="14" t="s">
        <v>1998</v>
      </c>
      <c r="G1007" s="14" t="s">
        <v>2244</v>
      </c>
      <c r="H1007" t="s">
        <v>131</v>
      </c>
      <c r="I1007" t="s">
        <v>2231</v>
      </c>
      <c r="K1007" s="3"/>
      <c r="M1007" t="s">
        <v>2167</v>
      </c>
    </row>
    <row r="1008" spans="1:13">
      <c r="A1008" t="s">
        <v>28</v>
      </c>
      <c r="B1008">
        <f ca="1">IF(OR(changes[[#This Row],[Type]]="Checklist",changes[[#This Row],[Type]]="checklist-flat"),1+IF(changes[[#This Row],[Type of change]] = "Edit",COUNTIFS($I$4:changes[[#This Row],[Name]],changes[[#This Row],[Name]], $E$4:changes[[#This Row],[Type of change]], "Edit")),B1007)</f>
        <v>1</v>
      </c>
      <c r="C1008" s="20">
        <v>44636</v>
      </c>
      <c r="D1008" s="2" t="s">
        <v>2009</v>
      </c>
      <c r="E1008" t="s">
        <v>19</v>
      </c>
      <c r="F1008" s="14" t="s">
        <v>1998</v>
      </c>
      <c r="G1008" s="14" t="s">
        <v>2244</v>
      </c>
      <c r="H1008" t="s">
        <v>131</v>
      </c>
      <c r="I1008" t="s">
        <v>2232</v>
      </c>
      <c r="K1008" s="3"/>
      <c r="M1008" t="s">
        <v>2167</v>
      </c>
    </row>
    <row r="1009" spans="1:13">
      <c r="A1009" t="s">
        <v>28</v>
      </c>
      <c r="B1009">
        <f ca="1">IF(OR(changes[[#This Row],[Type]]="Checklist",changes[[#This Row],[Type]]="checklist-flat"),1+IF(changes[[#This Row],[Type of change]] = "Edit",COUNTIFS($I$4:changes[[#This Row],[Name]],changes[[#This Row],[Name]], $E$4:changes[[#This Row],[Type of change]], "Edit")),B1008)</f>
        <v>1</v>
      </c>
      <c r="C1009" s="20">
        <v>44636</v>
      </c>
      <c r="D1009" s="2" t="s">
        <v>2009</v>
      </c>
      <c r="E1009" t="s">
        <v>19</v>
      </c>
      <c r="F1009" s="14" t="s">
        <v>1998</v>
      </c>
      <c r="G1009" s="14" t="s">
        <v>2244</v>
      </c>
      <c r="H1009" t="s">
        <v>131</v>
      </c>
      <c r="I1009" t="s">
        <v>2233</v>
      </c>
      <c r="K1009" s="3"/>
      <c r="M1009" t="s">
        <v>2167</v>
      </c>
    </row>
    <row r="1010" spans="1:13">
      <c r="A1010" t="s">
        <v>28</v>
      </c>
      <c r="B1010">
        <f ca="1">IF(OR(changes[[#This Row],[Type]]="Checklist",changes[[#This Row],[Type]]="checklist-flat"),1+IF(changes[[#This Row],[Type of change]] = "Edit",COUNTIFS($I$4:changes[[#This Row],[Name]],changes[[#This Row],[Name]], $E$4:changes[[#This Row],[Type of change]], "Edit")),B1009)</f>
        <v>1</v>
      </c>
      <c r="C1010" s="20">
        <v>44636</v>
      </c>
      <c r="D1010" s="2" t="s">
        <v>2009</v>
      </c>
      <c r="E1010" t="s">
        <v>19</v>
      </c>
      <c r="F1010" s="14" t="s">
        <v>1998</v>
      </c>
      <c r="G1010" s="14" t="s">
        <v>2244</v>
      </c>
      <c r="H1010" t="s">
        <v>131</v>
      </c>
      <c r="I1010" t="s">
        <v>2234</v>
      </c>
      <c r="K1010" s="3"/>
      <c r="M1010" t="s">
        <v>2167</v>
      </c>
    </row>
    <row r="1011" spans="1:13">
      <c r="A1011" t="s">
        <v>28</v>
      </c>
      <c r="B1011">
        <f ca="1">IF(OR(changes[[#This Row],[Type]]="Checklist",changes[[#This Row],[Type]]="checklist-flat"),1+IF(changes[[#This Row],[Type of change]] = "Edit",COUNTIFS($I$4:changes[[#This Row],[Name]],changes[[#This Row],[Name]], $E$4:changes[[#This Row],[Type of change]], "Edit")),B1010)</f>
        <v>1</v>
      </c>
      <c r="C1011" s="20">
        <v>44636</v>
      </c>
      <c r="D1011" s="2" t="s">
        <v>2009</v>
      </c>
      <c r="E1011" t="s">
        <v>19</v>
      </c>
      <c r="F1011" s="14" t="s">
        <v>1998</v>
      </c>
      <c r="G1011" s="14" t="s">
        <v>2244</v>
      </c>
      <c r="H1011" t="s">
        <v>131</v>
      </c>
      <c r="I1011" t="s">
        <v>2235</v>
      </c>
      <c r="K1011" s="3"/>
      <c r="M1011" t="s">
        <v>2167</v>
      </c>
    </row>
    <row r="1012" spans="1:13">
      <c r="A1012" t="s">
        <v>28</v>
      </c>
      <c r="B1012">
        <f ca="1">IF(OR(changes[[#This Row],[Type]]="Checklist",changes[[#This Row],[Type]]="checklist-flat"),1+IF(changes[[#This Row],[Type of change]] = "Edit",COUNTIFS($I$4:changes[[#This Row],[Name]],changes[[#This Row],[Name]], $E$4:changes[[#This Row],[Type of change]], "Edit")),B1011)</f>
        <v>1</v>
      </c>
      <c r="C1012" s="20">
        <v>44636</v>
      </c>
      <c r="D1012" s="2" t="s">
        <v>2009</v>
      </c>
      <c r="E1012" t="s">
        <v>19</v>
      </c>
      <c r="F1012" s="14" t="s">
        <v>1998</v>
      </c>
      <c r="G1012" s="14" t="s">
        <v>2244</v>
      </c>
      <c r="H1012" t="s">
        <v>131</v>
      </c>
      <c r="I1012" t="s">
        <v>2236</v>
      </c>
      <c r="K1012" s="3"/>
      <c r="M1012" t="s">
        <v>2167</v>
      </c>
    </row>
    <row r="1013" spans="1:13">
      <c r="A1013" t="s">
        <v>28</v>
      </c>
      <c r="B1013">
        <f ca="1">IF(OR(changes[[#This Row],[Type]]="Checklist",changes[[#This Row],[Type]]="checklist-flat"),1+IF(changes[[#This Row],[Type of change]] = "Edit",COUNTIFS($I$4:changes[[#This Row],[Name]],changes[[#This Row],[Name]], $E$4:changes[[#This Row],[Type of change]], "Edit")),B1012)</f>
        <v>1</v>
      </c>
      <c r="C1013" s="20">
        <v>44636</v>
      </c>
      <c r="D1013" s="2" t="s">
        <v>2009</v>
      </c>
      <c r="E1013" t="s">
        <v>19</v>
      </c>
      <c r="F1013" s="14" t="s">
        <v>1998</v>
      </c>
      <c r="G1013" s="14" t="s">
        <v>2244</v>
      </c>
      <c r="H1013" t="s">
        <v>131</v>
      </c>
      <c r="I1013" t="s">
        <v>2250</v>
      </c>
      <c r="K1013" s="3"/>
      <c r="M1013" t="s">
        <v>2167</v>
      </c>
    </row>
    <row r="1014" spans="1:13">
      <c r="A1014" t="s">
        <v>28</v>
      </c>
      <c r="B1014">
        <f ca="1">IF(OR(changes[[#This Row],[Type]]="Checklist",changes[[#This Row],[Type]]="checklist-flat"),1+IF(changes[[#This Row],[Type of change]] = "Edit",COUNTIFS($I$4:changes[[#This Row],[Name]],changes[[#This Row],[Name]], $E$4:changes[[#This Row],[Type of change]], "Edit")),B1013)</f>
        <v>1</v>
      </c>
      <c r="C1014" s="20">
        <v>44636</v>
      </c>
      <c r="D1014" s="2" t="s">
        <v>2009</v>
      </c>
      <c r="E1014" t="s">
        <v>19</v>
      </c>
      <c r="F1014" s="14" t="s">
        <v>1998</v>
      </c>
      <c r="G1014" s="14" t="s">
        <v>2244</v>
      </c>
      <c r="H1014" t="s">
        <v>131</v>
      </c>
      <c r="I1014" t="s">
        <v>2241</v>
      </c>
      <c r="K1014" s="3"/>
      <c r="M1014" t="s">
        <v>2167</v>
      </c>
    </row>
    <row r="1015" spans="1:13">
      <c r="A1015" t="s">
        <v>28</v>
      </c>
      <c r="B1015">
        <f ca="1">IF(OR(changes[[#This Row],[Type]]="Checklist",changes[[#This Row],[Type]]="checklist-flat"),1+IF(changes[[#This Row],[Type of change]] = "Edit",COUNTIFS($I$4:changes[[#This Row],[Name]],changes[[#This Row],[Name]], $E$4:changes[[#This Row],[Type of change]], "Edit")),B1014)</f>
        <v>1</v>
      </c>
      <c r="C1015" s="20">
        <v>44636</v>
      </c>
      <c r="D1015" s="2" t="s">
        <v>2009</v>
      </c>
      <c r="E1015" t="s">
        <v>19</v>
      </c>
      <c r="F1015" s="14" t="s">
        <v>1998</v>
      </c>
      <c r="G1015" s="14" t="s">
        <v>2244</v>
      </c>
      <c r="H1015" t="s">
        <v>131</v>
      </c>
      <c r="I1015" t="s">
        <v>2242</v>
      </c>
      <c r="K1015" s="3"/>
      <c r="M1015" t="s">
        <v>2167</v>
      </c>
    </row>
    <row r="1016" spans="1:13">
      <c r="A1016" t="s">
        <v>28</v>
      </c>
      <c r="B1016">
        <f ca="1">IF(OR(changes[[#This Row],[Type]]="Checklist",changes[[#This Row],[Type]]="checklist-flat"),1+IF(changes[[#This Row],[Type of change]] = "Edit",COUNTIFS($I$4:changes[[#This Row],[Name]],changes[[#This Row],[Name]], $E$4:changes[[#This Row],[Type of change]], "Edit")),B1015)</f>
        <v>1</v>
      </c>
      <c r="C1016" s="20">
        <v>44636</v>
      </c>
      <c r="D1016" s="2" t="s">
        <v>2009</v>
      </c>
      <c r="E1016" t="s">
        <v>19</v>
      </c>
      <c r="F1016" s="14" t="s">
        <v>1998</v>
      </c>
      <c r="G1016" s="14" t="s">
        <v>2244</v>
      </c>
      <c r="H1016" t="s">
        <v>131</v>
      </c>
      <c r="I1016" t="s">
        <v>2243</v>
      </c>
      <c r="K1016" s="3"/>
      <c r="M1016" t="s">
        <v>2167</v>
      </c>
    </row>
    <row r="1017" spans="1:13">
      <c r="A1017" t="s">
        <v>28</v>
      </c>
      <c r="B1017">
        <f ca="1">IF(OR(changes[[#This Row],[Type]]="Checklist",changes[[#This Row],[Type]]="checklist-flat"),1+IF(changes[[#This Row],[Type of change]] = "Edit",COUNTIFS($I$4:changes[[#This Row],[Name]],changes[[#This Row],[Name]], $E$4:changes[[#This Row],[Type of change]], "Edit")),B1016)</f>
        <v>1</v>
      </c>
      <c r="C1017" s="20">
        <v>44636</v>
      </c>
      <c r="D1017" s="2" t="s">
        <v>2009</v>
      </c>
      <c r="E1017" t="s">
        <v>19</v>
      </c>
      <c r="F1017" s="14" t="s">
        <v>1998</v>
      </c>
      <c r="G1017" s="14" t="s">
        <v>2244</v>
      </c>
      <c r="H1017" t="s">
        <v>131</v>
      </c>
      <c r="I1017" t="s">
        <v>2040</v>
      </c>
      <c r="K1017" s="3"/>
      <c r="M1017" t="s">
        <v>2167</v>
      </c>
    </row>
    <row r="1018" spans="1:13">
      <c r="A1018" t="s">
        <v>28</v>
      </c>
      <c r="B1018">
        <f ca="1">IF(OR(changes[[#This Row],[Type]]="Checklist",changes[[#This Row],[Type]]="checklist-flat"),1+IF(changes[[#This Row],[Type of change]] = "Edit",COUNTIFS($I$4:changes[[#This Row],[Name]],changes[[#This Row],[Name]], $E$4:changes[[#This Row],[Type of change]], "Edit")),B1017)</f>
        <v>1</v>
      </c>
      <c r="C1018" s="20">
        <v>44636</v>
      </c>
      <c r="D1018" s="2" t="s">
        <v>2009</v>
      </c>
      <c r="E1018" t="s">
        <v>19</v>
      </c>
      <c r="F1018" s="14" t="s">
        <v>1998</v>
      </c>
      <c r="G1018" s="14" t="s">
        <v>2244</v>
      </c>
      <c r="H1018" t="s">
        <v>1739</v>
      </c>
      <c r="I1018" t="s">
        <v>1399</v>
      </c>
      <c r="K1018" s="3"/>
      <c r="M1018" t="s">
        <v>2167</v>
      </c>
    </row>
    <row r="1019" spans="1:13">
      <c r="A1019" t="s">
        <v>28</v>
      </c>
      <c r="B1019">
        <f ca="1">IF(OR(changes[[#This Row],[Type]]="Checklist",changes[[#This Row],[Type]]="checklist-flat"),1+IF(changes[[#This Row],[Type of change]] = "Edit",COUNTIFS($I$4:changes[[#This Row],[Name]],changes[[#This Row],[Name]], $E$4:changes[[#This Row],[Type of change]], "Edit")),B1018)</f>
        <v>1</v>
      </c>
      <c r="C1019" s="20">
        <v>44636</v>
      </c>
      <c r="D1019" s="2" t="s">
        <v>2009</v>
      </c>
      <c r="E1019" t="s">
        <v>19</v>
      </c>
      <c r="F1019" s="14" t="s">
        <v>1998</v>
      </c>
      <c r="G1019" s="14" t="s">
        <v>2244</v>
      </c>
      <c r="H1019" t="s">
        <v>1739</v>
      </c>
      <c r="I1019" t="s">
        <v>2042</v>
      </c>
      <c r="K1019" s="3"/>
      <c r="M1019" t="s">
        <v>2167</v>
      </c>
    </row>
    <row r="1020" spans="1:13">
      <c r="A1020" t="s">
        <v>28</v>
      </c>
      <c r="B1020">
        <f ca="1">IF(OR(changes[[#This Row],[Type]]="Checklist",changes[[#This Row],[Type]]="checklist-flat"),1+IF(changes[[#This Row],[Type of change]] = "Edit",COUNTIFS($I$4:changes[[#This Row],[Name]],changes[[#This Row],[Name]], $E$4:changes[[#This Row],[Type of change]], "Edit")),B1019)</f>
        <v>1</v>
      </c>
      <c r="C1020" s="20">
        <v>44636</v>
      </c>
      <c r="D1020" s="2" t="s">
        <v>2009</v>
      </c>
      <c r="E1020" t="s">
        <v>19</v>
      </c>
      <c r="F1020" s="14" t="s">
        <v>1998</v>
      </c>
      <c r="G1020" s="14" t="s">
        <v>2244</v>
      </c>
      <c r="H1020" t="s">
        <v>1739</v>
      </c>
      <c r="I1020" t="s">
        <v>2202</v>
      </c>
      <c r="K1020" s="3"/>
      <c r="M1020" t="s">
        <v>2167</v>
      </c>
    </row>
    <row r="1021" spans="1:13">
      <c r="A1021" t="s">
        <v>28</v>
      </c>
      <c r="B1021">
        <f ca="1">IF(OR(changes[[#This Row],[Type]]="Checklist",changes[[#This Row],[Type]]="checklist-flat"),1+IF(changes[[#This Row],[Type of change]] = "Edit",COUNTIFS($I$4:changes[[#This Row],[Name]],changes[[#This Row],[Name]], $E$4:changes[[#This Row],[Type of change]], "Edit")),B1020)</f>
        <v>1</v>
      </c>
      <c r="C1021" s="20">
        <v>44636</v>
      </c>
      <c r="D1021" s="2" t="s">
        <v>2009</v>
      </c>
      <c r="E1021" t="s">
        <v>19</v>
      </c>
      <c r="F1021" s="14" t="s">
        <v>1998</v>
      </c>
      <c r="G1021" s="14" t="s">
        <v>2244</v>
      </c>
      <c r="H1021" t="s">
        <v>1739</v>
      </c>
      <c r="I1021" t="s">
        <v>2203</v>
      </c>
      <c r="K1021" s="3"/>
      <c r="M1021" t="s">
        <v>2167</v>
      </c>
    </row>
    <row r="1022" spans="1:13">
      <c r="A1022" t="s">
        <v>28</v>
      </c>
      <c r="B1022">
        <f ca="1">IF(OR(changes[[#This Row],[Type]]="Checklist",changes[[#This Row],[Type]]="checklist-flat"),1+IF(changes[[#This Row],[Type of change]] = "Edit",COUNTIFS($I$4:changes[[#This Row],[Name]],changes[[#This Row],[Name]], $E$4:changes[[#This Row],[Type of change]], "Edit")),B1021)</f>
        <v>1</v>
      </c>
      <c r="C1022" s="20">
        <v>44636</v>
      </c>
      <c r="D1022" s="2" t="s">
        <v>2009</v>
      </c>
      <c r="E1022" t="s">
        <v>19</v>
      </c>
      <c r="F1022" s="14" t="s">
        <v>1998</v>
      </c>
      <c r="G1022" s="14" t="s">
        <v>2244</v>
      </c>
      <c r="H1022" t="s">
        <v>131</v>
      </c>
      <c r="I1022" t="s">
        <v>2216</v>
      </c>
      <c r="K1022" s="3"/>
      <c r="M1022" t="s">
        <v>2167</v>
      </c>
    </row>
    <row r="1023" spans="1:13">
      <c r="A1023" t="s">
        <v>28</v>
      </c>
      <c r="B1023">
        <f ca="1">IF(OR(changes[[#This Row],[Type]]="Checklist",changes[[#This Row],[Type]]="checklist-flat"),1+IF(changes[[#This Row],[Type of change]] = "Edit",COUNTIFS($I$4:changes[[#This Row],[Name]],changes[[#This Row],[Name]], $E$4:changes[[#This Row],[Type of change]], "Edit")),B1022)</f>
        <v>1</v>
      </c>
      <c r="C1023" s="20">
        <v>44636</v>
      </c>
      <c r="D1023" s="2" t="s">
        <v>2009</v>
      </c>
      <c r="E1023" t="s">
        <v>19</v>
      </c>
      <c r="F1023" s="14" t="s">
        <v>1998</v>
      </c>
      <c r="G1023" s="14" t="s">
        <v>2244</v>
      </c>
      <c r="H1023" t="s">
        <v>58</v>
      </c>
      <c r="I1023" t="s">
        <v>2193</v>
      </c>
      <c r="K1023" s="3"/>
      <c r="M1023" t="s">
        <v>2167</v>
      </c>
    </row>
    <row r="1024" spans="1:13">
      <c r="A1024" t="s">
        <v>28</v>
      </c>
      <c r="B1024">
        <f ca="1">IF(OR(changes[[#This Row],[Type]]="Checklist",changes[[#This Row],[Type]]="checklist-flat"),1+IF(changes[[#This Row],[Type of change]] = "Edit",COUNTIFS($I$4:changes[[#This Row],[Name]],changes[[#This Row],[Name]], $E$4:changes[[#This Row],[Type of change]], "Edit")),B1023)</f>
        <v>1</v>
      </c>
      <c r="C1024" s="20">
        <v>44636</v>
      </c>
      <c r="D1024" s="2" t="s">
        <v>2009</v>
      </c>
      <c r="E1024" t="s">
        <v>19</v>
      </c>
      <c r="F1024" s="14" t="s">
        <v>1998</v>
      </c>
      <c r="G1024" s="14" t="s">
        <v>2251</v>
      </c>
      <c r="H1024" t="s">
        <v>119</v>
      </c>
      <c r="I1024" t="s">
        <v>2251</v>
      </c>
      <c r="K1024" s="3"/>
      <c r="M1024" t="s">
        <v>2167</v>
      </c>
    </row>
    <row r="1025" spans="1:13">
      <c r="A1025" t="s">
        <v>28</v>
      </c>
      <c r="B1025">
        <f ca="1">IF(OR(changes[[#This Row],[Type]]="Checklist",changes[[#This Row],[Type]]="checklist-flat"),1+IF(changes[[#This Row],[Type of change]] = "Edit",COUNTIFS($I$4:changes[[#This Row],[Name]],changes[[#This Row],[Name]], $E$4:changes[[#This Row],[Type of change]], "Edit")),B1024)</f>
        <v>1</v>
      </c>
      <c r="C1025" s="20">
        <v>44636</v>
      </c>
      <c r="D1025" s="2" t="s">
        <v>2009</v>
      </c>
      <c r="E1025" t="s">
        <v>19</v>
      </c>
      <c r="F1025" s="14" t="s">
        <v>1998</v>
      </c>
      <c r="G1025" s="14" t="s">
        <v>2251</v>
      </c>
      <c r="H1025" t="s">
        <v>49</v>
      </c>
      <c r="I1025" t="s">
        <v>2222</v>
      </c>
      <c r="K1025" s="3"/>
      <c r="M1025" t="s">
        <v>2167</v>
      </c>
    </row>
    <row r="1026" spans="1:13">
      <c r="A1026" t="s">
        <v>28</v>
      </c>
      <c r="B1026">
        <f ca="1">IF(OR(changes[[#This Row],[Type]]="Checklist",changes[[#This Row],[Type]]="checklist-flat"),1+IF(changes[[#This Row],[Type of change]] = "Edit",COUNTIFS($I$4:changes[[#This Row],[Name]],changes[[#This Row],[Name]], $E$4:changes[[#This Row],[Type of change]], "Edit")),B1025)</f>
        <v>1</v>
      </c>
      <c r="C1026" s="20">
        <v>44636</v>
      </c>
      <c r="D1026" s="2" t="s">
        <v>2009</v>
      </c>
      <c r="E1026" t="s">
        <v>19</v>
      </c>
      <c r="F1026" s="14" t="s">
        <v>1998</v>
      </c>
      <c r="G1026" s="14" t="s">
        <v>2251</v>
      </c>
      <c r="H1026" t="s">
        <v>131</v>
      </c>
      <c r="I1026" t="s">
        <v>2223</v>
      </c>
      <c r="K1026" s="3"/>
      <c r="M1026" t="s">
        <v>2167</v>
      </c>
    </row>
    <row r="1027" spans="1:13">
      <c r="A1027" t="s">
        <v>28</v>
      </c>
      <c r="B1027">
        <f ca="1">IF(OR(changes[[#This Row],[Type]]="Checklist",changes[[#This Row],[Type]]="checklist-flat"),1+IF(changes[[#This Row],[Type of change]] = "Edit",COUNTIFS($I$4:changes[[#This Row],[Name]],changes[[#This Row],[Name]], $E$4:changes[[#This Row],[Type of change]], "Edit")),B1026)</f>
        <v>1</v>
      </c>
      <c r="C1027" s="20">
        <v>44636</v>
      </c>
      <c r="D1027" s="2" t="s">
        <v>2009</v>
      </c>
      <c r="E1027" t="s">
        <v>19</v>
      </c>
      <c r="F1027" s="14" t="s">
        <v>1998</v>
      </c>
      <c r="G1027" s="14" t="s">
        <v>2251</v>
      </c>
      <c r="H1027" t="s">
        <v>131</v>
      </c>
      <c r="I1027" t="s">
        <v>2224</v>
      </c>
      <c r="K1027" s="3"/>
      <c r="M1027" t="s">
        <v>2167</v>
      </c>
    </row>
    <row r="1028" spans="1:13">
      <c r="A1028" t="s">
        <v>28</v>
      </c>
      <c r="B1028">
        <f ca="1">IF(OR(changes[[#This Row],[Type]]="Checklist",changes[[#This Row],[Type]]="checklist-flat"),1+IF(changes[[#This Row],[Type of change]] = "Edit",COUNTIFS($I$4:changes[[#This Row],[Name]],changes[[#This Row],[Name]], $E$4:changes[[#This Row],[Type of change]], "Edit")),B1027)</f>
        <v>1</v>
      </c>
      <c r="C1028" s="20">
        <v>44636</v>
      </c>
      <c r="D1028" s="2" t="s">
        <v>2009</v>
      </c>
      <c r="E1028" t="s">
        <v>19</v>
      </c>
      <c r="F1028" s="14" t="s">
        <v>1998</v>
      </c>
      <c r="G1028" s="14" t="s">
        <v>2251</v>
      </c>
      <c r="H1028" t="s">
        <v>131</v>
      </c>
      <c r="I1028" t="s">
        <v>2225</v>
      </c>
      <c r="K1028" s="3"/>
      <c r="M1028" t="s">
        <v>2167</v>
      </c>
    </row>
    <row r="1029" spans="1:13">
      <c r="A1029" t="s">
        <v>28</v>
      </c>
      <c r="B1029">
        <f ca="1">IF(OR(changes[[#This Row],[Type]]="Checklist",changes[[#This Row],[Type]]="checklist-flat"),1+IF(changes[[#This Row],[Type of change]] = "Edit",COUNTIFS($I$4:changes[[#This Row],[Name]],changes[[#This Row],[Name]], $E$4:changes[[#This Row],[Type of change]], "Edit")),B1028)</f>
        <v>1</v>
      </c>
      <c r="C1029" s="20">
        <v>44636</v>
      </c>
      <c r="D1029" s="2" t="s">
        <v>2009</v>
      </c>
      <c r="E1029" t="s">
        <v>19</v>
      </c>
      <c r="F1029" s="14" t="s">
        <v>1998</v>
      </c>
      <c r="G1029" s="14" t="s">
        <v>2251</v>
      </c>
      <c r="H1029" t="s">
        <v>131</v>
      </c>
      <c r="I1029" t="s">
        <v>2226</v>
      </c>
      <c r="K1029" s="3"/>
      <c r="M1029" t="s">
        <v>2167</v>
      </c>
    </row>
    <row r="1030" spans="1:13">
      <c r="A1030" t="s">
        <v>28</v>
      </c>
      <c r="B1030">
        <f ca="1">IF(OR(changes[[#This Row],[Type]]="Checklist",changes[[#This Row],[Type]]="checklist-flat"),1+IF(changes[[#This Row],[Type of change]] = "Edit",COUNTIFS($I$4:changes[[#This Row],[Name]],changes[[#This Row],[Name]], $E$4:changes[[#This Row],[Type of change]], "Edit")),B1029)</f>
        <v>1</v>
      </c>
      <c r="C1030" s="20">
        <v>44636</v>
      </c>
      <c r="D1030" s="2" t="s">
        <v>2009</v>
      </c>
      <c r="E1030" t="s">
        <v>19</v>
      </c>
      <c r="F1030" s="14" t="s">
        <v>1998</v>
      </c>
      <c r="G1030" s="14" t="s">
        <v>2251</v>
      </c>
      <c r="H1030" t="s">
        <v>131</v>
      </c>
      <c r="I1030" t="s">
        <v>2227</v>
      </c>
      <c r="K1030" s="3"/>
      <c r="M1030" t="s">
        <v>2167</v>
      </c>
    </row>
    <row r="1031" spans="1:13">
      <c r="A1031" t="s">
        <v>28</v>
      </c>
      <c r="B1031">
        <f ca="1">IF(OR(changes[[#This Row],[Type]]="Checklist",changes[[#This Row],[Type]]="checklist-flat"),1+IF(changes[[#This Row],[Type of change]] = "Edit",COUNTIFS($I$4:changes[[#This Row],[Name]],changes[[#This Row],[Name]], $E$4:changes[[#This Row],[Type of change]], "Edit")),B1030)</f>
        <v>1</v>
      </c>
      <c r="C1031" s="20">
        <v>44636</v>
      </c>
      <c r="D1031" s="2" t="s">
        <v>2009</v>
      </c>
      <c r="E1031" t="s">
        <v>19</v>
      </c>
      <c r="F1031" s="14" t="s">
        <v>1998</v>
      </c>
      <c r="G1031" s="14" t="s">
        <v>2251</v>
      </c>
      <c r="H1031" t="s">
        <v>131</v>
      </c>
      <c r="I1031" t="s">
        <v>2228</v>
      </c>
      <c r="K1031" s="3"/>
      <c r="M1031" t="s">
        <v>2167</v>
      </c>
    </row>
    <row r="1032" spans="1:13">
      <c r="A1032" t="s">
        <v>28</v>
      </c>
      <c r="B1032">
        <f ca="1">IF(OR(changes[[#This Row],[Type]]="Checklist",changes[[#This Row],[Type]]="checklist-flat"),1+IF(changes[[#This Row],[Type of change]] = "Edit",COUNTIFS($I$4:changes[[#This Row],[Name]],changes[[#This Row],[Name]], $E$4:changes[[#This Row],[Type of change]], "Edit")),B1031)</f>
        <v>1</v>
      </c>
      <c r="C1032" s="20">
        <v>44636</v>
      </c>
      <c r="D1032" s="2" t="s">
        <v>2009</v>
      </c>
      <c r="E1032" t="s">
        <v>19</v>
      </c>
      <c r="F1032" s="14" t="s">
        <v>1998</v>
      </c>
      <c r="G1032" s="14" t="s">
        <v>2251</v>
      </c>
      <c r="H1032" t="s">
        <v>131</v>
      </c>
      <c r="I1032" t="s">
        <v>2229</v>
      </c>
      <c r="K1032" s="3"/>
      <c r="M1032" t="s">
        <v>2167</v>
      </c>
    </row>
    <row r="1033" spans="1:13">
      <c r="A1033" t="s">
        <v>28</v>
      </c>
      <c r="B1033">
        <f ca="1">IF(OR(changes[[#This Row],[Type]]="Checklist",changes[[#This Row],[Type]]="checklist-flat"),1+IF(changes[[#This Row],[Type of change]] = "Edit",COUNTIFS($I$4:changes[[#This Row],[Name]],changes[[#This Row],[Name]], $E$4:changes[[#This Row],[Type of change]], "Edit")),B1032)</f>
        <v>1</v>
      </c>
      <c r="C1033" s="20">
        <v>44636</v>
      </c>
      <c r="D1033" s="2" t="s">
        <v>2009</v>
      </c>
      <c r="E1033" t="s">
        <v>19</v>
      </c>
      <c r="F1033" s="14" t="s">
        <v>1998</v>
      </c>
      <c r="G1033" s="14" t="s">
        <v>2251</v>
      </c>
      <c r="H1033" t="s">
        <v>131</v>
      </c>
      <c r="I1033" t="s">
        <v>2230</v>
      </c>
      <c r="K1033" s="3"/>
      <c r="M1033" t="s">
        <v>2167</v>
      </c>
    </row>
    <row r="1034" spans="1:13">
      <c r="A1034" t="s">
        <v>28</v>
      </c>
      <c r="B1034">
        <f ca="1">IF(OR(changes[[#This Row],[Type]]="Checklist",changes[[#This Row],[Type]]="checklist-flat"),1+IF(changes[[#This Row],[Type of change]] = "Edit",COUNTIFS($I$4:changes[[#This Row],[Name]],changes[[#This Row],[Name]], $E$4:changes[[#This Row],[Type of change]], "Edit")),B1033)</f>
        <v>1</v>
      </c>
      <c r="C1034" s="20">
        <v>44636</v>
      </c>
      <c r="D1034" s="2" t="s">
        <v>2009</v>
      </c>
      <c r="E1034" t="s">
        <v>19</v>
      </c>
      <c r="F1034" s="14" t="s">
        <v>1998</v>
      </c>
      <c r="G1034" s="14" t="s">
        <v>2251</v>
      </c>
      <c r="H1034" t="s">
        <v>131</v>
      </c>
      <c r="I1034" t="s">
        <v>2231</v>
      </c>
      <c r="K1034" s="3"/>
      <c r="M1034" t="s">
        <v>2167</v>
      </c>
    </row>
    <row r="1035" spans="1:13">
      <c r="A1035" t="s">
        <v>28</v>
      </c>
      <c r="B1035">
        <f ca="1">IF(OR(changes[[#This Row],[Type]]="Checklist",changes[[#This Row],[Type]]="checklist-flat"),1+IF(changes[[#This Row],[Type of change]] = "Edit",COUNTIFS($I$4:changes[[#This Row],[Name]],changes[[#This Row],[Name]], $E$4:changes[[#This Row],[Type of change]], "Edit")),B1034)</f>
        <v>1</v>
      </c>
      <c r="C1035" s="20">
        <v>44636</v>
      </c>
      <c r="D1035" s="2" t="s">
        <v>2009</v>
      </c>
      <c r="E1035" t="s">
        <v>19</v>
      </c>
      <c r="F1035" s="14" t="s">
        <v>1998</v>
      </c>
      <c r="G1035" s="14" t="s">
        <v>2251</v>
      </c>
      <c r="H1035" t="s">
        <v>131</v>
      </c>
      <c r="I1035" t="s">
        <v>2232</v>
      </c>
      <c r="K1035" s="3"/>
      <c r="M1035" t="s">
        <v>2167</v>
      </c>
    </row>
    <row r="1036" spans="1:13">
      <c r="A1036" t="s">
        <v>28</v>
      </c>
      <c r="B1036">
        <f ca="1">IF(OR(changes[[#This Row],[Type]]="Checklist",changes[[#This Row],[Type]]="checklist-flat"),1+IF(changes[[#This Row],[Type of change]] = "Edit",COUNTIFS($I$4:changes[[#This Row],[Name]],changes[[#This Row],[Name]], $E$4:changes[[#This Row],[Type of change]], "Edit")),B1035)</f>
        <v>1</v>
      </c>
      <c r="C1036" s="20">
        <v>44636</v>
      </c>
      <c r="D1036" s="2" t="s">
        <v>2009</v>
      </c>
      <c r="E1036" t="s">
        <v>19</v>
      </c>
      <c r="F1036" s="14" t="s">
        <v>1998</v>
      </c>
      <c r="G1036" s="14" t="s">
        <v>2251</v>
      </c>
      <c r="H1036" t="s">
        <v>131</v>
      </c>
      <c r="I1036" t="s">
        <v>2233</v>
      </c>
      <c r="K1036" s="3"/>
      <c r="M1036" t="s">
        <v>2167</v>
      </c>
    </row>
    <row r="1037" spans="1:13">
      <c r="A1037" t="s">
        <v>28</v>
      </c>
      <c r="B1037">
        <f ca="1">IF(OR(changes[[#This Row],[Type]]="Checklist",changes[[#This Row],[Type]]="checklist-flat"),1+IF(changes[[#This Row],[Type of change]] = "Edit",COUNTIFS($I$4:changes[[#This Row],[Name]],changes[[#This Row],[Name]], $E$4:changes[[#This Row],[Type of change]], "Edit")),B1036)</f>
        <v>1</v>
      </c>
      <c r="C1037" s="20">
        <v>44636</v>
      </c>
      <c r="D1037" s="2" t="s">
        <v>2009</v>
      </c>
      <c r="E1037" t="s">
        <v>19</v>
      </c>
      <c r="F1037" s="14" t="s">
        <v>1998</v>
      </c>
      <c r="G1037" s="14" t="s">
        <v>2251</v>
      </c>
      <c r="H1037" t="s">
        <v>131</v>
      </c>
      <c r="I1037" t="s">
        <v>2234</v>
      </c>
      <c r="K1037" s="3"/>
      <c r="M1037" t="s">
        <v>2167</v>
      </c>
    </row>
    <row r="1038" spans="1:13">
      <c r="A1038" t="s">
        <v>28</v>
      </c>
      <c r="B1038">
        <f ca="1">IF(OR(changes[[#This Row],[Type]]="Checklist",changes[[#This Row],[Type]]="checklist-flat"),1+IF(changes[[#This Row],[Type of change]] = "Edit",COUNTIFS($I$4:changes[[#This Row],[Name]],changes[[#This Row],[Name]], $E$4:changes[[#This Row],[Type of change]], "Edit")),B1037)</f>
        <v>1</v>
      </c>
      <c r="C1038" s="20">
        <v>44636</v>
      </c>
      <c r="D1038" s="2" t="s">
        <v>2009</v>
      </c>
      <c r="E1038" t="s">
        <v>19</v>
      </c>
      <c r="F1038" s="14" t="s">
        <v>1998</v>
      </c>
      <c r="G1038" s="14" t="s">
        <v>2251</v>
      </c>
      <c r="H1038" t="s">
        <v>131</v>
      </c>
      <c r="I1038" t="s">
        <v>2235</v>
      </c>
      <c r="K1038" s="3"/>
      <c r="M1038" t="s">
        <v>2167</v>
      </c>
    </row>
    <row r="1039" spans="1:13">
      <c r="A1039" t="s">
        <v>28</v>
      </c>
      <c r="B1039">
        <f ca="1">IF(OR(changes[[#This Row],[Type]]="Checklist",changes[[#This Row],[Type]]="checklist-flat"),1+IF(changes[[#This Row],[Type of change]] = "Edit",COUNTIFS($I$4:changes[[#This Row],[Name]],changes[[#This Row],[Name]], $E$4:changes[[#This Row],[Type of change]], "Edit")),B1038)</f>
        <v>1</v>
      </c>
      <c r="C1039" s="20">
        <v>44636</v>
      </c>
      <c r="D1039" s="2" t="s">
        <v>2009</v>
      </c>
      <c r="E1039" t="s">
        <v>19</v>
      </c>
      <c r="F1039" s="14" t="s">
        <v>1998</v>
      </c>
      <c r="G1039" s="14" t="s">
        <v>2251</v>
      </c>
      <c r="H1039" t="s">
        <v>131</v>
      </c>
      <c r="I1039" t="s">
        <v>2236</v>
      </c>
      <c r="K1039" s="3"/>
      <c r="M1039" t="s">
        <v>2167</v>
      </c>
    </row>
    <row r="1040" spans="1:13">
      <c r="A1040" t="s">
        <v>28</v>
      </c>
      <c r="B1040">
        <f ca="1">IF(OR(changes[[#This Row],[Type]]="Checklist",changes[[#This Row],[Type]]="checklist-flat"),1+IF(changes[[#This Row],[Type of change]] = "Edit",COUNTIFS($I$4:changes[[#This Row],[Name]],changes[[#This Row],[Name]], $E$4:changes[[#This Row],[Type of change]], "Edit")),B1039)</f>
        <v>1</v>
      </c>
      <c r="C1040" s="20">
        <v>44636</v>
      </c>
      <c r="D1040" s="2" t="s">
        <v>2009</v>
      </c>
      <c r="E1040" t="s">
        <v>19</v>
      </c>
      <c r="F1040" s="14" t="s">
        <v>1998</v>
      </c>
      <c r="G1040" s="14" t="s">
        <v>2251</v>
      </c>
      <c r="H1040" t="s">
        <v>131</v>
      </c>
      <c r="I1040" t="s">
        <v>2237</v>
      </c>
      <c r="K1040" s="3"/>
      <c r="M1040" t="s">
        <v>2167</v>
      </c>
    </row>
    <row r="1041" spans="1:13">
      <c r="A1041" t="s">
        <v>28</v>
      </c>
      <c r="B1041">
        <f ca="1">IF(OR(changes[[#This Row],[Type]]="Checklist",changes[[#This Row],[Type]]="checklist-flat"),1+IF(changes[[#This Row],[Type of change]] = "Edit",COUNTIFS($I$4:changes[[#This Row],[Name]],changes[[#This Row],[Name]], $E$4:changes[[#This Row],[Type of change]], "Edit")),B1040)</f>
        <v>1</v>
      </c>
      <c r="C1041" s="20">
        <v>44636</v>
      </c>
      <c r="D1041" s="2" t="s">
        <v>2009</v>
      </c>
      <c r="E1041" t="s">
        <v>19</v>
      </c>
      <c r="F1041" s="14" t="s">
        <v>1998</v>
      </c>
      <c r="G1041" s="14" t="s">
        <v>2251</v>
      </c>
      <c r="H1041" t="s">
        <v>131</v>
      </c>
      <c r="I1041" t="s">
        <v>2238</v>
      </c>
      <c r="K1041" s="3"/>
      <c r="M1041" t="s">
        <v>2167</v>
      </c>
    </row>
    <row r="1042" spans="1:13">
      <c r="A1042" t="s">
        <v>28</v>
      </c>
      <c r="B1042">
        <f ca="1">IF(OR(changes[[#This Row],[Type]]="Checklist",changes[[#This Row],[Type]]="checklist-flat"),1+IF(changes[[#This Row],[Type of change]] = "Edit",COUNTIFS($I$4:changes[[#This Row],[Name]],changes[[#This Row],[Name]], $E$4:changes[[#This Row],[Type of change]], "Edit")),B1041)</f>
        <v>1</v>
      </c>
      <c r="C1042" s="20">
        <v>44636</v>
      </c>
      <c r="D1042" s="2" t="s">
        <v>2009</v>
      </c>
      <c r="E1042" t="s">
        <v>19</v>
      </c>
      <c r="F1042" s="14" t="s">
        <v>1998</v>
      </c>
      <c r="G1042" s="14" t="s">
        <v>2251</v>
      </c>
      <c r="H1042" t="s">
        <v>131</v>
      </c>
      <c r="I1042" t="s">
        <v>2239</v>
      </c>
      <c r="K1042" s="3"/>
      <c r="M1042" t="s">
        <v>2167</v>
      </c>
    </row>
    <row r="1043" spans="1:13">
      <c r="A1043" t="s">
        <v>28</v>
      </c>
      <c r="B1043">
        <f ca="1">IF(OR(changes[[#This Row],[Type]]="Checklist",changes[[#This Row],[Type]]="checklist-flat"),1+IF(changes[[#This Row],[Type of change]] = "Edit",COUNTIFS($I$4:changes[[#This Row],[Name]],changes[[#This Row],[Name]], $E$4:changes[[#This Row],[Type of change]], "Edit")),B1042)</f>
        <v>1</v>
      </c>
      <c r="C1043" s="20">
        <v>44636</v>
      </c>
      <c r="D1043" s="2" t="s">
        <v>2009</v>
      </c>
      <c r="E1043" t="s">
        <v>19</v>
      </c>
      <c r="F1043" s="14" t="s">
        <v>1998</v>
      </c>
      <c r="G1043" s="14" t="s">
        <v>2251</v>
      </c>
      <c r="H1043" t="s">
        <v>131</v>
      </c>
      <c r="I1043" t="s">
        <v>2240</v>
      </c>
      <c r="K1043" s="3"/>
      <c r="M1043" t="s">
        <v>2167</v>
      </c>
    </row>
    <row r="1044" spans="1:13">
      <c r="A1044" t="s">
        <v>28</v>
      </c>
      <c r="B1044">
        <f ca="1">IF(OR(changes[[#This Row],[Type]]="Checklist",changes[[#This Row],[Type]]="checklist-flat"),1+IF(changes[[#This Row],[Type of change]] = "Edit",COUNTIFS($I$4:changes[[#This Row],[Name]],changes[[#This Row],[Name]], $E$4:changes[[#This Row],[Type of change]], "Edit")),B1043)</f>
        <v>1</v>
      </c>
      <c r="C1044" s="20">
        <v>44636</v>
      </c>
      <c r="D1044" s="2" t="s">
        <v>2009</v>
      </c>
      <c r="E1044" t="s">
        <v>19</v>
      </c>
      <c r="F1044" s="14" t="s">
        <v>1998</v>
      </c>
      <c r="G1044" s="14" t="s">
        <v>2251</v>
      </c>
      <c r="H1044" t="s">
        <v>131</v>
      </c>
      <c r="I1044" t="s">
        <v>2241</v>
      </c>
      <c r="K1044" s="3"/>
      <c r="M1044" t="s">
        <v>2167</v>
      </c>
    </row>
    <row r="1045" spans="1:13">
      <c r="A1045" t="s">
        <v>28</v>
      </c>
      <c r="B1045">
        <f ca="1">IF(OR(changes[[#This Row],[Type]]="Checklist",changes[[#This Row],[Type]]="checklist-flat"),1+IF(changes[[#This Row],[Type of change]] = "Edit",COUNTIFS($I$4:changes[[#This Row],[Name]],changes[[#This Row],[Name]], $E$4:changes[[#This Row],[Type of change]], "Edit")),B1044)</f>
        <v>1</v>
      </c>
      <c r="C1045" s="20">
        <v>44636</v>
      </c>
      <c r="D1045" s="2" t="s">
        <v>2009</v>
      </c>
      <c r="E1045" t="s">
        <v>19</v>
      </c>
      <c r="F1045" s="14" t="s">
        <v>1998</v>
      </c>
      <c r="G1045" s="14" t="s">
        <v>2251</v>
      </c>
      <c r="H1045" t="s">
        <v>131</v>
      </c>
      <c r="I1045" t="s">
        <v>2242</v>
      </c>
      <c r="K1045" s="3"/>
      <c r="M1045" t="s">
        <v>2167</v>
      </c>
    </row>
    <row r="1046" spans="1:13">
      <c r="A1046" t="s">
        <v>28</v>
      </c>
      <c r="B1046">
        <f ca="1">IF(OR(changes[[#This Row],[Type]]="Checklist",changes[[#This Row],[Type]]="checklist-flat"),1+IF(changes[[#This Row],[Type of change]] = "Edit",COUNTIFS($I$4:changes[[#This Row],[Name]],changes[[#This Row],[Name]], $E$4:changes[[#This Row],[Type of change]], "Edit")),B1045)</f>
        <v>1</v>
      </c>
      <c r="C1046" s="20">
        <v>44636</v>
      </c>
      <c r="D1046" s="2" t="s">
        <v>2009</v>
      </c>
      <c r="E1046" t="s">
        <v>19</v>
      </c>
      <c r="F1046" s="14" t="s">
        <v>1998</v>
      </c>
      <c r="G1046" s="14" t="s">
        <v>2251</v>
      </c>
      <c r="H1046" t="s">
        <v>131</v>
      </c>
      <c r="I1046" t="s">
        <v>2243</v>
      </c>
      <c r="K1046" s="3"/>
      <c r="M1046" t="s">
        <v>2167</v>
      </c>
    </row>
    <row r="1047" spans="1:13">
      <c r="A1047" t="s">
        <v>28</v>
      </c>
      <c r="B1047">
        <f ca="1">IF(OR(changes[[#This Row],[Type]]="Checklist",changes[[#This Row],[Type]]="checklist-flat"),1+IF(changes[[#This Row],[Type of change]] = "Edit",COUNTIFS($I$4:changes[[#This Row],[Name]],changes[[#This Row],[Name]], $E$4:changes[[#This Row],[Type of change]], "Edit")),B1046)</f>
        <v>1</v>
      </c>
      <c r="C1047" s="20">
        <v>44636</v>
      </c>
      <c r="D1047" s="2" t="s">
        <v>2009</v>
      </c>
      <c r="E1047" t="s">
        <v>19</v>
      </c>
      <c r="F1047" s="14" t="s">
        <v>1998</v>
      </c>
      <c r="G1047" s="14" t="s">
        <v>2251</v>
      </c>
      <c r="H1047" t="s">
        <v>131</v>
      </c>
      <c r="I1047" t="s">
        <v>2040</v>
      </c>
      <c r="K1047" s="3"/>
      <c r="M1047" t="s">
        <v>2167</v>
      </c>
    </row>
    <row r="1048" spans="1:13">
      <c r="A1048" t="s">
        <v>28</v>
      </c>
      <c r="B1048">
        <f ca="1">IF(OR(changes[[#This Row],[Type]]="Checklist",changes[[#This Row],[Type]]="checklist-flat"),1+IF(changes[[#This Row],[Type of change]] = "Edit",COUNTIFS($I$4:changes[[#This Row],[Name]],changes[[#This Row],[Name]], $E$4:changes[[#This Row],[Type of change]], "Edit")),B1047)</f>
        <v>1</v>
      </c>
      <c r="C1048" s="20">
        <v>44636</v>
      </c>
      <c r="D1048" s="2" t="s">
        <v>2009</v>
      </c>
      <c r="E1048" t="s">
        <v>19</v>
      </c>
      <c r="F1048" s="14" t="s">
        <v>1998</v>
      </c>
      <c r="G1048" s="14" t="s">
        <v>2251</v>
      </c>
      <c r="H1048" t="s">
        <v>1739</v>
      </c>
      <c r="I1048" t="s">
        <v>1399</v>
      </c>
      <c r="K1048" s="3"/>
      <c r="M1048" t="s">
        <v>2167</v>
      </c>
    </row>
    <row r="1049" spans="1:13">
      <c r="A1049" t="s">
        <v>28</v>
      </c>
      <c r="B1049">
        <f ca="1">IF(OR(changes[[#This Row],[Type]]="Checklist",changes[[#This Row],[Type]]="checklist-flat"),1+IF(changes[[#This Row],[Type of change]] = "Edit",COUNTIFS($I$4:changes[[#This Row],[Name]],changes[[#This Row],[Name]], $E$4:changes[[#This Row],[Type of change]], "Edit")),B1048)</f>
        <v>1</v>
      </c>
      <c r="C1049" s="20">
        <v>44636</v>
      </c>
      <c r="D1049" s="2" t="s">
        <v>2009</v>
      </c>
      <c r="E1049" t="s">
        <v>19</v>
      </c>
      <c r="F1049" s="14" t="s">
        <v>1998</v>
      </c>
      <c r="G1049" s="14" t="s">
        <v>2251</v>
      </c>
      <c r="H1049" t="s">
        <v>1739</v>
      </c>
      <c r="I1049" t="s">
        <v>2042</v>
      </c>
      <c r="K1049" s="3"/>
      <c r="M1049" t="s">
        <v>2167</v>
      </c>
    </row>
    <row r="1050" spans="1:13">
      <c r="A1050" t="s">
        <v>28</v>
      </c>
      <c r="B1050">
        <f ca="1">IF(OR(changes[[#This Row],[Type]]="Checklist",changes[[#This Row],[Type]]="checklist-flat"),1+IF(changes[[#This Row],[Type of change]] = "Edit",COUNTIFS($I$4:changes[[#This Row],[Name]],changes[[#This Row],[Name]], $E$4:changes[[#This Row],[Type of change]], "Edit")),B1049)</f>
        <v>1</v>
      </c>
      <c r="C1050" s="20">
        <v>44636</v>
      </c>
      <c r="D1050" s="2" t="s">
        <v>2009</v>
      </c>
      <c r="E1050" t="s">
        <v>19</v>
      </c>
      <c r="F1050" s="14" t="s">
        <v>1998</v>
      </c>
      <c r="G1050" s="14" t="s">
        <v>2251</v>
      </c>
      <c r="H1050" t="s">
        <v>1739</v>
      </c>
      <c r="I1050" t="s">
        <v>2202</v>
      </c>
      <c r="K1050" s="3"/>
      <c r="M1050" t="s">
        <v>2167</v>
      </c>
    </row>
    <row r="1051" spans="1:13">
      <c r="A1051" t="s">
        <v>28</v>
      </c>
      <c r="B1051">
        <f ca="1">IF(OR(changes[[#This Row],[Type]]="Checklist",changes[[#This Row],[Type]]="checklist-flat"),1+IF(changes[[#This Row],[Type of change]] = "Edit",COUNTIFS($I$4:changes[[#This Row],[Name]],changes[[#This Row],[Name]], $E$4:changes[[#This Row],[Type of change]], "Edit")),B1050)</f>
        <v>1</v>
      </c>
      <c r="C1051" s="20">
        <v>44636</v>
      </c>
      <c r="D1051" s="2" t="s">
        <v>2009</v>
      </c>
      <c r="E1051" t="s">
        <v>19</v>
      </c>
      <c r="F1051" s="14" t="s">
        <v>1998</v>
      </c>
      <c r="G1051" s="14" t="s">
        <v>2251</v>
      </c>
      <c r="H1051" t="s">
        <v>1739</v>
      </c>
      <c r="I1051" t="s">
        <v>2203</v>
      </c>
      <c r="K1051" s="3"/>
      <c r="M1051" t="s">
        <v>2167</v>
      </c>
    </row>
    <row r="1052" spans="1:13">
      <c r="A1052" t="s">
        <v>28</v>
      </c>
      <c r="B1052">
        <f ca="1">IF(OR(changes[[#This Row],[Type]]="Checklist",changes[[#This Row],[Type]]="checklist-flat"),1+IF(changes[[#This Row],[Type of change]] = "Edit",COUNTIFS($I$4:changes[[#This Row],[Name]],changes[[#This Row],[Name]], $E$4:changes[[#This Row],[Type of change]], "Edit")),B1051)</f>
        <v>1</v>
      </c>
      <c r="C1052" s="20">
        <v>44636</v>
      </c>
      <c r="D1052" s="2" t="s">
        <v>2009</v>
      </c>
      <c r="E1052" t="s">
        <v>19</v>
      </c>
      <c r="F1052" s="14" t="s">
        <v>1998</v>
      </c>
      <c r="G1052" s="14" t="s">
        <v>2251</v>
      </c>
      <c r="H1052" t="s">
        <v>131</v>
      </c>
      <c r="I1052" t="s">
        <v>2216</v>
      </c>
      <c r="K1052" s="3"/>
      <c r="M1052" t="s">
        <v>2167</v>
      </c>
    </row>
    <row r="1053" spans="1:13">
      <c r="A1053" t="s">
        <v>28</v>
      </c>
      <c r="B1053">
        <f ca="1">IF(OR(changes[[#This Row],[Type]]="Checklist",changes[[#This Row],[Type]]="checklist-flat"),1+IF(changes[[#This Row],[Type of change]] = "Edit",COUNTIFS($I$4:changes[[#This Row],[Name]],changes[[#This Row],[Name]], $E$4:changes[[#This Row],[Type of change]], "Edit")),B1052)</f>
        <v>1</v>
      </c>
      <c r="C1053" s="20">
        <v>44636</v>
      </c>
      <c r="D1053" s="2" t="s">
        <v>2009</v>
      </c>
      <c r="E1053" t="s">
        <v>19</v>
      </c>
      <c r="F1053" s="14" t="s">
        <v>1998</v>
      </c>
      <c r="G1053" s="14" t="s">
        <v>2251</v>
      </c>
      <c r="H1053" t="s">
        <v>58</v>
      </c>
      <c r="I1053" t="s">
        <v>2193</v>
      </c>
      <c r="K1053" s="3"/>
      <c r="M1053" t="s">
        <v>2167</v>
      </c>
    </row>
    <row r="1054" spans="1:13">
      <c r="A1054" t="s">
        <v>28</v>
      </c>
      <c r="B1054">
        <f ca="1">IF(OR(changes[[#This Row],[Type]]="Checklist",changes[[#This Row],[Type]]="checklist-flat"),1+IF(changes[[#This Row],[Type of change]] = "Edit",COUNTIFS($I$4:changes[[#This Row],[Name]],changes[[#This Row],[Name]], $E$4:changes[[#This Row],[Type of change]], "Edit")),B1053)</f>
        <v>1</v>
      </c>
      <c r="C1054" s="20">
        <v>44636</v>
      </c>
      <c r="D1054" s="2" t="s">
        <v>2009</v>
      </c>
      <c r="E1054" t="s">
        <v>19</v>
      </c>
      <c r="F1054" s="14" t="s">
        <v>1998</v>
      </c>
      <c r="G1054" s="14" t="s">
        <v>2252</v>
      </c>
      <c r="H1054" t="s">
        <v>119</v>
      </c>
      <c r="I1054" t="s">
        <v>2252</v>
      </c>
      <c r="K1054" s="3"/>
      <c r="M1054" t="s">
        <v>2167</v>
      </c>
    </row>
    <row r="1055" spans="1:13">
      <c r="A1055" t="s">
        <v>28</v>
      </c>
      <c r="B1055">
        <f ca="1">IF(OR(changes[[#This Row],[Type]]="Checklist",changes[[#This Row],[Type]]="checklist-flat"),1+IF(changes[[#This Row],[Type of change]] = "Edit",COUNTIFS($I$4:changes[[#This Row],[Name]],changes[[#This Row],[Name]], $E$4:changes[[#This Row],[Type of change]], "Edit")),B1054)</f>
        <v>1</v>
      </c>
      <c r="C1055" s="20">
        <v>44636</v>
      </c>
      <c r="D1055" s="2" t="s">
        <v>2009</v>
      </c>
      <c r="E1055" t="s">
        <v>19</v>
      </c>
      <c r="F1055" s="14" t="s">
        <v>1998</v>
      </c>
      <c r="G1055" s="14" t="s">
        <v>2252</v>
      </c>
      <c r="H1055" t="s">
        <v>49</v>
      </c>
      <c r="I1055" t="s">
        <v>2253</v>
      </c>
      <c r="K1055" s="3"/>
      <c r="M1055" t="s">
        <v>2167</v>
      </c>
    </row>
    <row r="1056" spans="1:13">
      <c r="A1056" t="s">
        <v>28</v>
      </c>
      <c r="B1056">
        <f ca="1">IF(OR(changes[[#This Row],[Type]]="Checklist",changes[[#This Row],[Type]]="checklist-flat"),1+IF(changes[[#This Row],[Type of change]] = "Edit",COUNTIFS($I$4:changes[[#This Row],[Name]],changes[[#This Row],[Name]], $E$4:changes[[#This Row],[Type of change]], "Edit")),B1055)</f>
        <v>1</v>
      </c>
      <c r="C1056" s="20">
        <v>44636</v>
      </c>
      <c r="D1056" s="2" t="s">
        <v>2009</v>
      </c>
      <c r="E1056" t="s">
        <v>19</v>
      </c>
      <c r="F1056" s="14" t="s">
        <v>1998</v>
      </c>
      <c r="G1056" s="14" t="s">
        <v>2252</v>
      </c>
      <c r="H1056" t="s">
        <v>58</v>
      </c>
      <c r="I1056" t="s">
        <v>2193</v>
      </c>
      <c r="K1056" s="3"/>
      <c r="M1056" t="s">
        <v>2167</v>
      </c>
    </row>
    <row r="1057" spans="1:13">
      <c r="A1057" t="s">
        <v>28</v>
      </c>
      <c r="B1057">
        <f ca="1">IF(OR(changes[[#This Row],[Type]]="Checklist",changes[[#This Row],[Type]]="checklist-flat"),1+IF(changes[[#This Row],[Type of change]] = "Edit",COUNTIFS($I$4:changes[[#This Row],[Name]],changes[[#This Row],[Name]], $E$4:changes[[#This Row],[Type of change]], "Edit")),B1056)</f>
        <v>1</v>
      </c>
      <c r="C1057" s="20">
        <v>44636</v>
      </c>
      <c r="D1057" s="2" t="s">
        <v>2009</v>
      </c>
      <c r="E1057" t="s">
        <v>19</v>
      </c>
      <c r="F1057" s="14" t="s">
        <v>1998</v>
      </c>
      <c r="G1057" s="14" t="s">
        <v>2254</v>
      </c>
      <c r="H1057" t="s">
        <v>43</v>
      </c>
      <c r="I1057" t="s">
        <v>2254</v>
      </c>
      <c r="K1057" s="3"/>
      <c r="M1057" t="s">
        <v>2167</v>
      </c>
    </row>
    <row r="1058" spans="1:13">
      <c r="A1058" t="s">
        <v>28</v>
      </c>
      <c r="B1058">
        <f ca="1">IF(OR(changes[[#This Row],[Type]]="Checklist",changes[[#This Row],[Type]]="checklist-flat"),1+IF(changes[[#This Row],[Type of change]] = "Edit",COUNTIFS($I$4:changes[[#This Row],[Name]],changes[[#This Row],[Name]], $E$4:changes[[#This Row],[Type of change]], "Edit")),B1057)</f>
        <v>1</v>
      </c>
      <c r="C1058" s="20">
        <v>44636</v>
      </c>
      <c r="D1058" s="2" t="s">
        <v>2009</v>
      </c>
      <c r="E1058" t="s">
        <v>19</v>
      </c>
      <c r="F1058" s="14" t="s">
        <v>1998</v>
      </c>
      <c r="G1058" s="14" t="s">
        <v>2254</v>
      </c>
      <c r="H1058" t="s">
        <v>831</v>
      </c>
      <c r="I1058" t="s">
        <v>2255</v>
      </c>
      <c r="K1058" s="3"/>
      <c r="M1058" t="s">
        <v>2167</v>
      </c>
    </row>
    <row r="1059" spans="1:13">
      <c r="A1059" t="s">
        <v>28</v>
      </c>
      <c r="B1059">
        <f ca="1">IF(OR(changes[[#This Row],[Type]]="Checklist",changes[[#This Row],[Type]]="checklist-flat"),1+IF(changes[[#This Row],[Type of change]] = "Edit",COUNTIFS($I$4:changes[[#This Row],[Name]],changes[[#This Row],[Name]], $E$4:changes[[#This Row],[Type of change]], "Edit")),B1058)</f>
        <v>1</v>
      </c>
      <c r="C1059" s="20">
        <v>44636</v>
      </c>
      <c r="D1059" s="2" t="s">
        <v>2009</v>
      </c>
      <c r="E1059" t="s">
        <v>19</v>
      </c>
      <c r="F1059" s="14" t="s">
        <v>1998</v>
      </c>
      <c r="G1059" s="14" t="s">
        <v>2254</v>
      </c>
      <c r="H1059" t="s">
        <v>2031</v>
      </c>
      <c r="I1059" t="s">
        <v>2256</v>
      </c>
      <c r="K1059" s="3"/>
      <c r="M1059" t="s">
        <v>2167</v>
      </c>
    </row>
    <row r="1060" spans="1:13">
      <c r="A1060" t="s">
        <v>28</v>
      </c>
      <c r="B1060">
        <f ca="1">IF(OR(changes[[#This Row],[Type]]="Checklist",changes[[#This Row],[Type]]="checklist-flat"),1+IF(changes[[#This Row],[Type of change]] = "Edit",COUNTIFS($I$4:changes[[#This Row],[Name]],changes[[#This Row],[Name]], $E$4:changes[[#This Row],[Type of change]], "Edit")),B1059)</f>
        <v>1</v>
      </c>
      <c r="C1060" s="20">
        <v>44636</v>
      </c>
      <c r="D1060" s="2" t="s">
        <v>2009</v>
      </c>
      <c r="E1060" t="s">
        <v>19</v>
      </c>
      <c r="F1060" s="14" t="s">
        <v>1998</v>
      </c>
      <c r="G1060" s="14" t="s">
        <v>2254</v>
      </c>
      <c r="H1060" t="s">
        <v>2031</v>
      </c>
      <c r="I1060" t="s">
        <v>2257</v>
      </c>
      <c r="K1060" s="3"/>
      <c r="M1060" t="s">
        <v>2167</v>
      </c>
    </row>
    <row r="1061" spans="1:13">
      <c r="A1061" t="s">
        <v>28</v>
      </c>
      <c r="B1061">
        <f ca="1">IF(OR(changes[[#This Row],[Type]]="Checklist",changes[[#This Row],[Type]]="checklist-flat"),1+IF(changes[[#This Row],[Type of change]] = "Edit",COUNTIFS($I$4:changes[[#This Row],[Name]],changes[[#This Row],[Name]], $E$4:changes[[#This Row],[Type of change]], "Edit")),B1060)</f>
        <v>1</v>
      </c>
      <c r="C1061" s="20">
        <v>44636</v>
      </c>
      <c r="D1061" s="2" t="s">
        <v>2009</v>
      </c>
      <c r="E1061" t="s">
        <v>19</v>
      </c>
      <c r="F1061" s="14" t="s">
        <v>1998</v>
      </c>
      <c r="G1061" s="14" t="s">
        <v>2254</v>
      </c>
      <c r="H1061" t="s">
        <v>2041</v>
      </c>
      <c r="I1061" t="s">
        <v>2258</v>
      </c>
      <c r="K1061" s="3"/>
      <c r="M1061" t="s">
        <v>2167</v>
      </c>
    </row>
    <row r="1062" spans="1:13">
      <c r="A1062" t="s">
        <v>28</v>
      </c>
      <c r="B1062">
        <f ca="1">IF(OR(changes[[#This Row],[Type]]="Checklist",changes[[#This Row],[Type]]="checklist-flat"),1+IF(changes[[#This Row],[Type of change]] = "Edit",COUNTIFS($I$4:changes[[#This Row],[Name]],changes[[#This Row],[Name]], $E$4:changes[[#This Row],[Type of change]], "Edit")),B1061)</f>
        <v>1</v>
      </c>
      <c r="C1062" s="20">
        <v>44636</v>
      </c>
      <c r="D1062" s="2" t="s">
        <v>2009</v>
      </c>
      <c r="E1062" t="s">
        <v>19</v>
      </c>
      <c r="F1062" s="14" t="s">
        <v>1998</v>
      </c>
      <c r="G1062" s="14" t="s">
        <v>2254</v>
      </c>
      <c r="H1062" t="s">
        <v>2031</v>
      </c>
      <c r="I1062" t="s">
        <v>2259</v>
      </c>
      <c r="K1062" s="3"/>
      <c r="M1062" t="s">
        <v>2167</v>
      </c>
    </row>
    <row r="1063" spans="1:13">
      <c r="A1063" t="s">
        <v>28</v>
      </c>
      <c r="B1063">
        <f ca="1">IF(OR(changes[[#This Row],[Type]]="Checklist",changes[[#This Row],[Type]]="checklist-flat"),1+IF(changes[[#This Row],[Type of change]] = "Edit",COUNTIFS($I$4:changes[[#This Row],[Name]],changes[[#This Row],[Name]], $E$4:changes[[#This Row],[Type of change]], "Edit")),B1062)</f>
        <v>1</v>
      </c>
      <c r="C1063" s="20">
        <v>44636</v>
      </c>
      <c r="D1063" s="2" t="s">
        <v>2009</v>
      </c>
      <c r="E1063" t="s">
        <v>19</v>
      </c>
      <c r="F1063" s="14" t="s">
        <v>1998</v>
      </c>
      <c r="G1063" s="14" t="s">
        <v>2254</v>
      </c>
      <c r="H1063" t="s">
        <v>2031</v>
      </c>
      <c r="I1063" t="s">
        <v>2260</v>
      </c>
      <c r="K1063" s="3"/>
      <c r="M1063" t="s">
        <v>2167</v>
      </c>
    </row>
    <row r="1064" spans="1:13">
      <c r="A1064" t="s">
        <v>28</v>
      </c>
      <c r="B1064">
        <f ca="1">IF(OR(changes[[#This Row],[Type]]="Checklist",changes[[#This Row],[Type]]="checklist-flat"),1+IF(changes[[#This Row],[Type of change]] = "Edit",COUNTIFS($I$4:changes[[#This Row],[Name]],changes[[#This Row],[Name]], $E$4:changes[[#This Row],[Type of change]], "Edit")),B1063)</f>
        <v>1</v>
      </c>
      <c r="C1064" s="20">
        <v>44636</v>
      </c>
      <c r="D1064" s="2" t="s">
        <v>2009</v>
      </c>
      <c r="E1064" t="s">
        <v>19</v>
      </c>
      <c r="F1064" s="14" t="s">
        <v>1998</v>
      </c>
      <c r="G1064" s="14" t="s">
        <v>2254</v>
      </c>
      <c r="H1064" t="s">
        <v>2031</v>
      </c>
      <c r="I1064" t="s">
        <v>2261</v>
      </c>
      <c r="K1064" s="3"/>
      <c r="M1064" t="s">
        <v>2167</v>
      </c>
    </row>
    <row r="1065" spans="1:13">
      <c r="A1065" t="s">
        <v>28</v>
      </c>
      <c r="B1065">
        <f ca="1">IF(OR(changes[[#This Row],[Type]]="Checklist",changes[[#This Row],[Type]]="checklist-flat"),1+IF(changes[[#This Row],[Type of change]] = "Edit",COUNTIFS($I$4:changes[[#This Row],[Name]],changes[[#This Row],[Name]], $E$4:changes[[#This Row],[Type of change]], "Edit")),B1064)</f>
        <v>1</v>
      </c>
      <c r="C1065" s="20">
        <v>44636</v>
      </c>
      <c r="D1065" s="2" t="s">
        <v>2009</v>
      </c>
      <c r="E1065" t="s">
        <v>19</v>
      </c>
      <c r="F1065" s="14" t="s">
        <v>1998</v>
      </c>
      <c r="G1065" s="14" t="s">
        <v>2254</v>
      </c>
      <c r="H1065" t="s">
        <v>2031</v>
      </c>
      <c r="I1065" t="s">
        <v>2262</v>
      </c>
      <c r="K1065" s="3"/>
      <c r="M1065" t="s">
        <v>2167</v>
      </c>
    </row>
    <row r="1066" spans="1:13">
      <c r="A1066" t="s">
        <v>28</v>
      </c>
      <c r="B1066">
        <f ca="1">IF(OR(changes[[#This Row],[Type]]="Checklist",changes[[#This Row],[Type]]="checklist-flat"),1+IF(changes[[#This Row],[Type of change]] = "Edit",COUNTIFS($I$4:changes[[#This Row],[Name]],changes[[#This Row],[Name]], $E$4:changes[[#This Row],[Type of change]], "Edit")),B1065)</f>
        <v>1</v>
      </c>
      <c r="C1066" s="20">
        <v>44636</v>
      </c>
      <c r="D1066" s="2" t="s">
        <v>2009</v>
      </c>
      <c r="E1066" t="s">
        <v>19</v>
      </c>
      <c r="F1066" s="14" t="s">
        <v>1998</v>
      </c>
      <c r="G1066" s="14" t="s">
        <v>2254</v>
      </c>
      <c r="H1066" t="s">
        <v>2031</v>
      </c>
      <c r="I1066" t="s">
        <v>2263</v>
      </c>
      <c r="K1066" s="3"/>
      <c r="M1066" t="s">
        <v>2167</v>
      </c>
    </row>
    <row r="1067" spans="1:13">
      <c r="A1067" t="s">
        <v>28</v>
      </c>
      <c r="B1067">
        <f ca="1">IF(OR(changes[[#This Row],[Type]]="Checklist",changes[[#This Row],[Type]]="checklist-flat"),1+IF(changes[[#This Row],[Type of change]] = "Edit",COUNTIFS($I$4:changes[[#This Row],[Name]],changes[[#This Row],[Name]], $E$4:changes[[#This Row],[Type of change]], "Edit")),B1066)</f>
        <v>1</v>
      </c>
      <c r="C1067" s="20">
        <v>44636</v>
      </c>
      <c r="D1067" s="2" t="s">
        <v>2009</v>
      </c>
      <c r="E1067" t="s">
        <v>19</v>
      </c>
      <c r="F1067" s="14" t="s">
        <v>1998</v>
      </c>
      <c r="G1067" s="14" t="s">
        <v>2254</v>
      </c>
      <c r="H1067" t="s">
        <v>2031</v>
      </c>
      <c r="I1067" t="s">
        <v>2264</v>
      </c>
      <c r="K1067" s="3"/>
      <c r="M1067" t="s">
        <v>2167</v>
      </c>
    </row>
    <row r="1068" spans="1:13">
      <c r="A1068" t="s">
        <v>28</v>
      </c>
      <c r="B1068">
        <f ca="1">IF(OR(changes[[#This Row],[Type]]="Checklist",changes[[#This Row],[Type]]="checklist-flat"),1+IF(changes[[#This Row],[Type of change]] = "Edit",COUNTIFS($I$4:changes[[#This Row],[Name]],changes[[#This Row],[Name]], $E$4:changes[[#This Row],[Type of change]], "Edit")),B1067)</f>
        <v>1</v>
      </c>
      <c r="C1068" s="20">
        <v>44636</v>
      </c>
      <c r="D1068" s="2" t="s">
        <v>2009</v>
      </c>
      <c r="E1068" t="s">
        <v>19</v>
      </c>
      <c r="F1068" s="14" t="s">
        <v>1998</v>
      </c>
      <c r="G1068" s="14" t="s">
        <v>2254</v>
      </c>
      <c r="H1068" t="s">
        <v>2031</v>
      </c>
      <c r="I1068" t="s">
        <v>2265</v>
      </c>
      <c r="K1068" s="3"/>
      <c r="M1068" t="s">
        <v>2167</v>
      </c>
    </row>
    <row r="1069" spans="1:13">
      <c r="A1069" t="s">
        <v>28</v>
      </c>
      <c r="B1069">
        <f ca="1">IF(OR(changes[[#This Row],[Type]]="Checklist",changes[[#This Row],[Type]]="checklist-flat"),1+IF(changes[[#This Row],[Type of change]] = "Edit",COUNTIFS($I$4:changes[[#This Row],[Name]],changes[[#This Row],[Name]], $E$4:changes[[#This Row],[Type of change]], "Edit")),B1068)</f>
        <v>1</v>
      </c>
      <c r="C1069" s="20">
        <v>44636</v>
      </c>
      <c r="D1069" s="2" t="s">
        <v>2009</v>
      </c>
      <c r="E1069" t="s">
        <v>19</v>
      </c>
      <c r="F1069" s="14" t="s">
        <v>1998</v>
      </c>
      <c r="G1069" s="14" t="s">
        <v>2254</v>
      </c>
      <c r="H1069" t="s">
        <v>2031</v>
      </c>
      <c r="I1069" t="s">
        <v>2266</v>
      </c>
      <c r="K1069" s="3"/>
      <c r="M1069" t="s">
        <v>2167</v>
      </c>
    </row>
    <row r="1070" spans="1:13">
      <c r="A1070" t="s">
        <v>28</v>
      </c>
      <c r="B1070">
        <f ca="1">IF(OR(changes[[#This Row],[Type]]="Checklist",changes[[#This Row],[Type]]="checklist-flat"),1+IF(changes[[#This Row],[Type of change]] = "Edit",COUNTIFS($I$4:changes[[#This Row],[Name]],changes[[#This Row],[Name]], $E$4:changes[[#This Row],[Type of change]], "Edit")),B1069)</f>
        <v>1</v>
      </c>
      <c r="C1070" s="20">
        <v>44636</v>
      </c>
      <c r="D1070" s="2" t="s">
        <v>2009</v>
      </c>
      <c r="E1070" t="s">
        <v>19</v>
      </c>
      <c r="F1070" s="14" t="s">
        <v>1998</v>
      </c>
      <c r="G1070" s="14" t="s">
        <v>2254</v>
      </c>
      <c r="H1070" t="s">
        <v>2031</v>
      </c>
      <c r="I1070" t="s">
        <v>2267</v>
      </c>
      <c r="K1070" s="3"/>
      <c r="M1070" t="s">
        <v>2167</v>
      </c>
    </row>
    <row r="1071" spans="1:13">
      <c r="A1071" t="s">
        <v>28</v>
      </c>
      <c r="B1071">
        <f ca="1">IF(OR(changes[[#This Row],[Type]]="Checklist",changes[[#This Row],[Type]]="checklist-flat"),1+IF(changes[[#This Row],[Type of change]] = "Edit",COUNTIFS($I$4:changes[[#This Row],[Name]],changes[[#This Row],[Name]], $E$4:changes[[#This Row],[Type of change]], "Edit")),B1070)</f>
        <v>1</v>
      </c>
      <c r="C1071" s="20">
        <v>44636</v>
      </c>
      <c r="D1071" s="2" t="s">
        <v>2009</v>
      </c>
      <c r="E1071" t="s">
        <v>19</v>
      </c>
      <c r="F1071" s="14" t="s">
        <v>1998</v>
      </c>
      <c r="G1071" s="14" t="s">
        <v>2254</v>
      </c>
      <c r="H1071" t="s">
        <v>2031</v>
      </c>
      <c r="I1071" t="s">
        <v>2268</v>
      </c>
      <c r="K1071" s="3"/>
      <c r="M1071" t="s">
        <v>2167</v>
      </c>
    </row>
    <row r="1072" spans="1:13">
      <c r="A1072" t="s">
        <v>28</v>
      </c>
      <c r="B1072">
        <f ca="1">IF(OR(changes[[#This Row],[Type]]="Checklist",changes[[#This Row],[Type]]="checklist-flat"),1+IF(changes[[#This Row],[Type of change]] = "Edit",COUNTIFS($I$4:changes[[#This Row],[Name]],changes[[#This Row],[Name]], $E$4:changes[[#This Row],[Type of change]], "Edit")),B1071)</f>
        <v>1</v>
      </c>
      <c r="C1072" s="20">
        <v>44636</v>
      </c>
      <c r="D1072" s="2" t="s">
        <v>2009</v>
      </c>
      <c r="E1072" t="s">
        <v>19</v>
      </c>
      <c r="F1072" s="14" t="s">
        <v>1998</v>
      </c>
      <c r="G1072" s="14" t="s">
        <v>2254</v>
      </c>
      <c r="H1072" t="s">
        <v>2031</v>
      </c>
      <c r="I1072" t="s">
        <v>2269</v>
      </c>
      <c r="K1072" s="3"/>
      <c r="M1072" t="s">
        <v>2167</v>
      </c>
    </row>
    <row r="1073" spans="1:13">
      <c r="A1073" t="s">
        <v>28</v>
      </c>
      <c r="B1073">
        <f ca="1">IF(OR(changes[[#This Row],[Type]]="Checklist",changes[[#This Row],[Type]]="checklist-flat"),1+IF(changes[[#This Row],[Type of change]] = "Edit",COUNTIFS($I$4:changes[[#This Row],[Name]],changes[[#This Row],[Name]], $E$4:changes[[#This Row],[Type of change]], "Edit")),B1072)</f>
        <v>1</v>
      </c>
      <c r="C1073" s="20">
        <v>44636</v>
      </c>
      <c r="D1073" s="2" t="s">
        <v>2009</v>
      </c>
      <c r="E1073" t="s">
        <v>19</v>
      </c>
      <c r="F1073" s="14" t="s">
        <v>1998</v>
      </c>
      <c r="G1073" s="14" t="s">
        <v>2254</v>
      </c>
      <c r="H1073" t="s">
        <v>2031</v>
      </c>
      <c r="I1073" t="s">
        <v>2270</v>
      </c>
      <c r="K1073" s="3"/>
      <c r="M1073" t="s">
        <v>2167</v>
      </c>
    </row>
    <row r="1074" spans="1:13">
      <c r="A1074" t="s">
        <v>28</v>
      </c>
      <c r="B1074">
        <f ca="1">IF(OR(changes[[#This Row],[Type]]="Checklist",changes[[#This Row],[Type]]="checklist-flat"),1+IF(changes[[#This Row],[Type of change]] = "Edit",COUNTIFS($I$4:changes[[#This Row],[Name]],changes[[#This Row],[Name]], $E$4:changes[[#This Row],[Type of change]], "Edit")),B1073)</f>
        <v>1</v>
      </c>
      <c r="C1074" s="20">
        <v>44636</v>
      </c>
      <c r="D1074" s="2" t="s">
        <v>2009</v>
      </c>
      <c r="E1074" t="s">
        <v>19</v>
      </c>
      <c r="F1074" s="14" t="s">
        <v>1998</v>
      </c>
      <c r="G1074" s="14" t="s">
        <v>2254</v>
      </c>
      <c r="H1074" t="s">
        <v>2031</v>
      </c>
      <c r="I1074" t="s">
        <v>2271</v>
      </c>
      <c r="K1074" s="3"/>
      <c r="M1074" t="s">
        <v>2167</v>
      </c>
    </row>
    <row r="1075" spans="1:13">
      <c r="A1075" t="s">
        <v>28</v>
      </c>
      <c r="B1075">
        <f ca="1">IF(OR(changes[[#This Row],[Type]]="Checklist",changes[[#This Row],[Type]]="checklist-flat"),1+IF(changes[[#This Row],[Type of change]] = "Edit",COUNTIFS($I$4:changes[[#This Row],[Name]],changes[[#This Row],[Name]], $E$4:changes[[#This Row],[Type of change]], "Edit")),B1074)</f>
        <v>1</v>
      </c>
      <c r="C1075" s="20">
        <v>44636</v>
      </c>
      <c r="D1075" s="2" t="s">
        <v>2009</v>
      </c>
      <c r="E1075" t="s">
        <v>19</v>
      </c>
      <c r="F1075" s="14" t="s">
        <v>1998</v>
      </c>
      <c r="G1075" s="14" t="s">
        <v>2254</v>
      </c>
      <c r="H1075" t="s">
        <v>2031</v>
      </c>
      <c r="I1075" t="s">
        <v>2040</v>
      </c>
      <c r="K1075" s="3"/>
      <c r="M1075" t="s">
        <v>2167</v>
      </c>
    </row>
    <row r="1076" spans="1:13">
      <c r="A1076" t="s">
        <v>28</v>
      </c>
      <c r="B1076">
        <f ca="1">IF(OR(changes[[#This Row],[Type]]="Checklist",changes[[#This Row],[Type]]="checklist-flat"),1+IF(changes[[#This Row],[Type of change]] = "Edit",COUNTIFS($I$4:changes[[#This Row],[Name]],changes[[#This Row],[Name]], $E$4:changes[[#This Row],[Type of change]], "Edit")),B1075)</f>
        <v>1</v>
      </c>
      <c r="C1076" s="20">
        <v>44636</v>
      </c>
      <c r="D1076" s="2" t="s">
        <v>2009</v>
      </c>
      <c r="E1076" t="s">
        <v>19</v>
      </c>
      <c r="F1076" s="14" t="s">
        <v>1998</v>
      </c>
      <c r="G1076" s="14" t="s">
        <v>2254</v>
      </c>
      <c r="H1076" t="s">
        <v>2041</v>
      </c>
      <c r="I1076" t="s">
        <v>2272</v>
      </c>
      <c r="K1076" s="3"/>
      <c r="M1076" t="s">
        <v>2167</v>
      </c>
    </row>
    <row r="1077" spans="1:13">
      <c r="A1077" t="s">
        <v>28</v>
      </c>
      <c r="B1077">
        <f ca="1">IF(OR(changes[[#This Row],[Type]]="Checklist",changes[[#This Row],[Type]]="checklist-flat"),1+IF(changes[[#This Row],[Type of change]] = "Edit",COUNTIFS($I$4:changes[[#This Row],[Name]],changes[[#This Row],[Name]], $E$4:changes[[#This Row],[Type of change]], "Edit")),B1076)</f>
        <v>1</v>
      </c>
      <c r="C1077" s="20">
        <v>44636</v>
      </c>
      <c r="D1077" s="2" t="s">
        <v>2009</v>
      </c>
      <c r="E1077" t="s">
        <v>19</v>
      </c>
      <c r="F1077" s="14" t="s">
        <v>1998</v>
      </c>
      <c r="G1077" s="14" t="s">
        <v>2254</v>
      </c>
      <c r="H1077" t="s">
        <v>2041</v>
      </c>
      <c r="I1077" t="s">
        <v>2273</v>
      </c>
      <c r="K1077" s="3"/>
      <c r="M1077" t="s">
        <v>2167</v>
      </c>
    </row>
    <row r="1078" spans="1:13">
      <c r="A1078" t="s">
        <v>28</v>
      </c>
      <c r="B1078">
        <f ca="1">IF(OR(changes[[#This Row],[Type]]="Checklist",changes[[#This Row],[Type]]="checklist-flat"),1+IF(changes[[#This Row],[Type of change]] = "Edit",COUNTIFS($I$4:changes[[#This Row],[Name]],changes[[#This Row],[Name]], $E$4:changes[[#This Row],[Type of change]], "Edit")),B1077)</f>
        <v>1</v>
      </c>
      <c r="C1078" s="20">
        <v>44636</v>
      </c>
      <c r="D1078" s="2" t="s">
        <v>2009</v>
      </c>
      <c r="E1078" t="s">
        <v>19</v>
      </c>
      <c r="F1078" s="14" t="s">
        <v>1998</v>
      </c>
      <c r="G1078" s="14" t="s">
        <v>2254</v>
      </c>
      <c r="H1078" t="s">
        <v>2041</v>
      </c>
      <c r="I1078" t="s">
        <v>2202</v>
      </c>
      <c r="K1078" s="3"/>
      <c r="M1078" t="s">
        <v>2167</v>
      </c>
    </row>
    <row r="1079" spans="1:13">
      <c r="A1079" t="s">
        <v>28</v>
      </c>
      <c r="B1079">
        <f ca="1">IF(OR(changes[[#This Row],[Type]]="Checklist",changes[[#This Row],[Type]]="checklist-flat"),1+IF(changes[[#This Row],[Type of change]] = "Edit",COUNTIFS($I$4:changes[[#This Row],[Name]],changes[[#This Row],[Name]], $E$4:changes[[#This Row],[Type of change]], "Edit")),B1078)</f>
        <v>1</v>
      </c>
      <c r="C1079" s="20">
        <v>44636</v>
      </c>
      <c r="D1079" s="2" t="s">
        <v>2009</v>
      </c>
      <c r="E1079" t="s">
        <v>19</v>
      </c>
      <c r="F1079" s="14" t="s">
        <v>1998</v>
      </c>
      <c r="G1079" s="14" t="s">
        <v>2254</v>
      </c>
      <c r="H1079" t="s">
        <v>2041</v>
      </c>
      <c r="I1079" t="s">
        <v>2274</v>
      </c>
      <c r="K1079" s="3"/>
      <c r="M1079" t="s">
        <v>2167</v>
      </c>
    </row>
    <row r="1080" spans="1:13">
      <c r="A1080" t="s">
        <v>28</v>
      </c>
      <c r="B1080">
        <f ca="1">IF(OR(changes[[#This Row],[Type]]="Checklist",changes[[#This Row],[Type]]="checklist-flat"),1+IF(changes[[#This Row],[Type of change]] = "Edit",COUNTIFS($I$4:changes[[#This Row],[Name]],changes[[#This Row],[Name]], $E$4:changes[[#This Row],[Type of change]], "Edit")),B1079)</f>
        <v>1</v>
      </c>
      <c r="C1080" s="20">
        <v>44636</v>
      </c>
      <c r="D1080" s="2" t="s">
        <v>2009</v>
      </c>
      <c r="E1080" t="s">
        <v>19</v>
      </c>
      <c r="F1080" s="14" t="s">
        <v>1998</v>
      </c>
      <c r="G1080" s="14" t="s">
        <v>2254</v>
      </c>
      <c r="H1080" t="s">
        <v>2031</v>
      </c>
      <c r="I1080" t="s">
        <v>2275</v>
      </c>
      <c r="K1080" s="3"/>
      <c r="M1080" t="s">
        <v>2167</v>
      </c>
    </row>
    <row r="1081" spans="1:13">
      <c r="A1081" t="s">
        <v>28</v>
      </c>
      <c r="B1081">
        <f ca="1">IF(OR(changes[[#This Row],[Type]]="Checklist",changes[[#This Row],[Type]]="checklist-flat"),1+IF(changes[[#This Row],[Type of change]] = "Edit",COUNTIFS($I$4:changes[[#This Row],[Name]],changes[[#This Row],[Name]], $E$4:changes[[#This Row],[Type of change]], "Edit")),B1080)</f>
        <v>1</v>
      </c>
      <c r="C1081" s="20">
        <v>44636</v>
      </c>
      <c r="D1081" s="2" t="s">
        <v>2009</v>
      </c>
      <c r="E1081" t="s">
        <v>19</v>
      </c>
      <c r="F1081" s="14" t="s">
        <v>1998</v>
      </c>
      <c r="G1081" s="14" t="s">
        <v>2254</v>
      </c>
      <c r="H1081" t="s">
        <v>58</v>
      </c>
      <c r="I1081" t="s">
        <v>1068</v>
      </c>
      <c r="K1081" s="3"/>
      <c r="M1081" t="s">
        <v>2167</v>
      </c>
    </row>
    <row r="1082" spans="1:13">
      <c r="A1082" t="s">
        <v>28</v>
      </c>
      <c r="B1082">
        <f ca="1">IF(OR(changes[[#This Row],[Type]]="Checklist",changes[[#This Row],[Type]]="checklist-flat"),1+IF(changes[[#This Row],[Type of change]] = "Edit",COUNTIFS($I$4:changes[[#This Row],[Name]],changes[[#This Row],[Name]], $E$4:changes[[#This Row],[Type of change]], "Edit")),B1081)</f>
        <v>1</v>
      </c>
      <c r="C1082" s="20">
        <v>44636</v>
      </c>
      <c r="D1082" s="2" t="s">
        <v>2009</v>
      </c>
      <c r="E1082" t="s">
        <v>19</v>
      </c>
      <c r="F1082" s="14" t="s">
        <v>1998</v>
      </c>
      <c r="G1082" s="14" t="s">
        <v>2276</v>
      </c>
      <c r="H1082" t="s">
        <v>43</v>
      </c>
      <c r="I1082" t="s">
        <v>2276</v>
      </c>
      <c r="K1082" s="3"/>
      <c r="M1082" t="s">
        <v>2167</v>
      </c>
    </row>
    <row r="1083" spans="1:13">
      <c r="A1083" t="s">
        <v>28</v>
      </c>
      <c r="B1083">
        <f ca="1">IF(OR(changes[[#This Row],[Type]]="Checklist",changes[[#This Row],[Type]]="checklist-flat"),1+IF(changes[[#This Row],[Type of change]] = "Edit",COUNTIFS($I$4:changes[[#This Row],[Name]],changes[[#This Row],[Name]], $E$4:changes[[#This Row],[Type of change]], "Edit")),B1082)</f>
        <v>1</v>
      </c>
      <c r="C1083" s="20">
        <v>44636</v>
      </c>
      <c r="D1083" s="2" t="s">
        <v>2009</v>
      </c>
      <c r="E1083" t="s">
        <v>19</v>
      </c>
      <c r="F1083" s="14" t="s">
        <v>1998</v>
      </c>
      <c r="G1083" s="14" t="s">
        <v>2276</v>
      </c>
      <c r="H1083" t="s">
        <v>831</v>
      </c>
      <c r="I1083" t="s">
        <v>2277</v>
      </c>
      <c r="K1083" s="3"/>
      <c r="M1083" t="s">
        <v>2167</v>
      </c>
    </row>
    <row r="1084" spans="1:13">
      <c r="A1084" t="s">
        <v>28</v>
      </c>
      <c r="B1084">
        <f ca="1">IF(OR(changes[[#This Row],[Type]]="Checklist",changes[[#This Row],[Type]]="checklist-flat"),1+IF(changes[[#This Row],[Type of change]] = "Edit",COUNTIFS($I$4:changes[[#This Row],[Name]],changes[[#This Row],[Name]], $E$4:changes[[#This Row],[Type of change]], "Edit")),B1083)</f>
        <v>1</v>
      </c>
      <c r="C1084" s="20">
        <v>44636</v>
      </c>
      <c r="D1084" s="2" t="s">
        <v>2009</v>
      </c>
      <c r="E1084" t="s">
        <v>19</v>
      </c>
      <c r="F1084" s="14" t="s">
        <v>1998</v>
      </c>
      <c r="G1084" s="14" t="s">
        <v>2276</v>
      </c>
      <c r="H1084" t="s">
        <v>2031</v>
      </c>
      <c r="I1084" t="s">
        <v>2278</v>
      </c>
      <c r="K1084" s="3"/>
      <c r="M1084" t="s">
        <v>2167</v>
      </c>
    </row>
    <row r="1085" spans="1:13">
      <c r="A1085" t="s">
        <v>28</v>
      </c>
      <c r="B1085">
        <f ca="1">IF(OR(changes[[#This Row],[Type]]="Checklist",changes[[#This Row],[Type]]="checklist-flat"),1+IF(changes[[#This Row],[Type of change]] = "Edit",COUNTIFS($I$4:changes[[#This Row],[Name]],changes[[#This Row],[Name]], $E$4:changes[[#This Row],[Type of change]], "Edit")),B1084)</f>
        <v>1</v>
      </c>
      <c r="C1085" s="20">
        <v>44636</v>
      </c>
      <c r="D1085" s="2" t="s">
        <v>2009</v>
      </c>
      <c r="E1085" t="s">
        <v>19</v>
      </c>
      <c r="F1085" s="14" t="s">
        <v>1998</v>
      </c>
      <c r="G1085" s="14" t="s">
        <v>2276</v>
      </c>
      <c r="H1085" t="s">
        <v>2031</v>
      </c>
      <c r="I1085" t="s">
        <v>2279</v>
      </c>
      <c r="K1085" s="3"/>
      <c r="M1085" t="s">
        <v>2167</v>
      </c>
    </row>
    <row r="1086" spans="1:13">
      <c r="A1086" t="s">
        <v>28</v>
      </c>
      <c r="B1086">
        <f ca="1">IF(OR(changes[[#This Row],[Type]]="Checklist",changes[[#This Row],[Type]]="checklist-flat"),1+IF(changes[[#This Row],[Type of change]] = "Edit",COUNTIFS($I$4:changes[[#This Row],[Name]],changes[[#This Row],[Name]], $E$4:changes[[#This Row],[Type of change]], "Edit")),B1085)</f>
        <v>1</v>
      </c>
      <c r="C1086" s="20">
        <v>44636</v>
      </c>
      <c r="D1086" s="2" t="s">
        <v>2009</v>
      </c>
      <c r="E1086" t="s">
        <v>19</v>
      </c>
      <c r="F1086" s="14" t="s">
        <v>1998</v>
      </c>
      <c r="G1086" s="14" t="s">
        <v>2276</v>
      </c>
      <c r="H1086" t="s">
        <v>2031</v>
      </c>
      <c r="I1086" t="s">
        <v>2280</v>
      </c>
      <c r="K1086" s="3"/>
      <c r="M1086" t="s">
        <v>2167</v>
      </c>
    </row>
    <row r="1087" spans="1:13">
      <c r="A1087" t="s">
        <v>28</v>
      </c>
      <c r="B1087">
        <f ca="1">IF(OR(changes[[#This Row],[Type]]="Checklist",changes[[#This Row],[Type]]="checklist-flat"),1+IF(changes[[#This Row],[Type of change]] = "Edit",COUNTIFS($I$4:changes[[#This Row],[Name]],changes[[#This Row],[Name]], $E$4:changes[[#This Row],[Type of change]], "Edit")),B1086)</f>
        <v>1</v>
      </c>
      <c r="C1087" s="20">
        <v>44636</v>
      </c>
      <c r="D1087" s="2" t="s">
        <v>2009</v>
      </c>
      <c r="E1087" t="s">
        <v>19</v>
      </c>
      <c r="F1087" s="14" t="s">
        <v>1998</v>
      </c>
      <c r="G1087" s="14" t="s">
        <v>2276</v>
      </c>
      <c r="H1087" t="s">
        <v>2031</v>
      </c>
      <c r="I1087" t="s">
        <v>2281</v>
      </c>
      <c r="K1087" s="3"/>
      <c r="M1087" t="s">
        <v>2167</v>
      </c>
    </row>
    <row r="1088" spans="1:13">
      <c r="A1088" t="s">
        <v>28</v>
      </c>
      <c r="B1088">
        <f ca="1">IF(OR(changes[[#This Row],[Type]]="Checklist",changes[[#This Row],[Type]]="checklist-flat"),1+IF(changes[[#This Row],[Type of change]] = "Edit",COUNTIFS($I$4:changes[[#This Row],[Name]],changes[[#This Row],[Name]], $E$4:changes[[#This Row],[Type of change]], "Edit")),B1087)</f>
        <v>1</v>
      </c>
      <c r="C1088" s="20">
        <v>44636</v>
      </c>
      <c r="D1088" s="2" t="s">
        <v>2009</v>
      </c>
      <c r="E1088" t="s">
        <v>19</v>
      </c>
      <c r="F1088" s="14" t="s">
        <v>1998</v>
      </c>
      <c r="G1088" s="14" t="s">
        <v>2276</v>
      </c>
      <c r="H1088" t="s">
        <v>2031</v>
      </c>
      <c r="I1088" t="s">
        <v>2040</v>
      </c>
      <c r="K1088" s="3"/>
      <c r="M1088" t="s">
        <v>2167</v>
      </c>
    </row>
    <row r="1089" spans="1:13">
      <c r="A1089" t="s">
        <v>28</v>
      </c>
      <c r="B1089">
        <f ca="1">IF(OR(changes[[#This Row],[Type]]="Checklist",changes[[#This Row],[Type]]="checklist-flat"),1+IF(changes[[#This Row],[Type of change]] = "Edit",COUNTIFS($I$4:changes[[#This Row],[Name]],changes[[#This Row],[Name]], $E$4:changes[[#This Row],[Type of change]], "Edit")),B1088)</f>
        <v>1</v>
      </c>
      <c r="C1089" s="20">
        <v>44636</v>
      </c>
      <c r="D1089" s="2" t="s">
        <v>2009</v>
      </c>
      <c r="E1089" t="s">
        <v>19</v>
      </c>
      <c r="F1089" s="14" t="s">
        <v>1998</v>
      </c>
      <c r="G1089" s="14" t="s">
        <v>2276</v>
      </c>
      <c r="H1089" t="s">
        <v>2041</v>
      </c>
      <c r="I1089" t="s">
        <v>2272</v>
      </c>
      <c r="K1089" s="3"/>
      <c r="M1089" t="s">
        <v>2167</v>
      </c>
    </row>
    <row r="1090" spans="1:13">
      <c r="A1090" t="s">
        <v>28</v>
      </c>
      <c r="B1090">
        <f ca="1">IF(OR(changes[[#This Row],[Type]]="Checklist",changes[[#This Row],[Type]]="checklist-flat"),1+IF(changes[[#This Row],[Type of change]] = "Edit",COUNTIFS($I$4:changes[[#This Row],[Name]],changes[[#This Row],[Name]], $E$4:changes[[#This Row],[Type of change]], "Edit")),B1089)</f>
        <v>1</v>
      </c>
      <c r="C1090" s="20">
        <v>44636</v>
      </c>
      <c r="D1090" s="2" t="s">
        <v>2009</v>
      </c>
      <c r="E1090" t="s">
        <v>19</v>
      </c>
      <c r="F1090" s="14" t="s">
        <v>1998</v>
      </c>
      <c r="G1090" s="14" t="s">
        <v>2276</v>
      </c>
      <c r="H1090" t="s">
        <v>2041</v>
      </c>
      <c r="I1090" t="s">
        <v>2273</v>
      </c>
      <c r="K1090" s="3"/>
      <c r="M1090" t="s">
        <v>2167</v>
      </c>
    </row>
    <row r="1091" spans="1:13">
      <c r="A1091" t="s">
        <v>28</v>
      </c>
      <c r="B1091">
        <f ca="1">IF(OR(changes[[#This Row],[Type]]="Checklist",changes[[#This Row],[Type]]="checklist-flat"),1+IF(changes[[#This Row],[Type of change]] = "Edit",COUNTIFS($I$4:changes[[#This Row],[Name]],changes[[#This Row],[Name]], $E$4:changes[[#This Row],[Type of change]], "Edit")),B1090)</f>
        <v>1</v>
      </c>
      <c r="C1091" s="20">
        <v>44636</v>
      </c>
      <c r="D1091" s="2" t="s">
        <v>2009</v>
      </c>
      <c r="E1091" t="s">
        <v>19</v>
      </c>
      <c r="F1091" s="14" t="s">
        <v>1998</v>
      </c>
      <c r="G1091" s="14" t="s">
        <v>2276</v>
      </c>
      <c r="H1091" t="s">
        <v>2041</v>
      </c>
      <c r="I1091" t="s">
        <v>2202</v>
      </c>
      <c r="K1091" s="3"/>
      <c r="M1091" t="s">
        <v>2167</v>
      </c>
    </row>
    <row r="1092" spans="1:13">
      <c r="A1092" t="s">
        <v>28</v>
      </c>
      <c r="B1092">
        <f ca="1">IF(OR(changes[[#This Row],[Type]]="Checklist",changes[[#This Row],[Type]]="checklist-flat"),1+IF(changes[[#This Row],[Type of change]] = "Edit",COUNTIFS($I$4:changes[[#This Row],[Name]],changes[[#This Row],[Name]], $E$4:changes[[#This Row],[Type of change]], "Edit")),B1091)</f>
        <v>1</v>
      </c>
      <c r="C1092" s="20">
        <v>44636</v>
      </c>
      <c r="D1092" s="2" t="s">
        <v>2009</v>
      </c>
      <c r="E1092" t="s">
        <v>19</v>
      </c>
      <c r="F1092" s="14" t="s">
        <v>1998</v>
      </c>
      <c r="G1092" s="14" t="s">
        <v>2276</v>
      </c>
      <c r="H1092" t="s">
        <v>2041</v>
      </c>
      <c r="I1092" t="s">
        <v>2274</v>
      </c>
      <c r="K1092" s="3"/>
      <c r="M1092" t="s">
        <v>2167</v>
      </c>
    </row>
    <row r="1093" spans="1:13">
      <c r="A1093" t="s">
        <v>28</v>
      </c>
      <c r="B1093">
        <f ca="1">IF(OR(changes[[#This Row],[Type]]="Checklist",changes[[#This Row],[Type]]="checklist-flat"),1+IF(changes[[#This Row],[Type of change]] = "Edit",COUNTIFS($I$4:changes[[#This Row],[Name]],changes[[#This Row],[Name]], $E$4:changes[[#This Row],[Type of change]], "Edit")),B1092)</f>
        <v>1</v>
      </c>
      <c r="C1093" s="20">
        <v>44636</v>
      </c>
      <c r="D1093" s="2" t="s">
        <v>2009</v>
      </c>
      <c r="E1093" t="s">
        <v>19</v>
      </c>
      <c r="F1093" s="14" t="s">
        <v>1998</v>
      </c>
      <c r="G1093" s="14" t="s">
        <v>2276</v>
      </c>
      <c r="H1093" t="s">
        <v>2031</v>
      </c>
      <c r="I1093" t="s">
        <v>2216</v>
      </c>
      <c r="K1093" s="3"/>
      <c r="M1093" t="s">
        <v>2167</v>
      </c>
    </row>
    <row r="1094" spans="1:13">
      <c r="A1094" t="s">
        <v>28</v>
      </c>
      <c r="B1094">
        <f ca="1">IF(OR(changes[[#This Row],[Type]]="Checklist",changes[[#This Row],[Type]]="checklist-flat"),1+IF(changes[[#This Row],[Type of change]] = "Edit",COUNTIFS($I$4:changes[[#This Row],[Name]],changes[[#This Row],[Name]], $E$4:changes[[#This Row],[Type of change]], "Edit")),B1093)</f>
        <v>1</v>
      </c>
      <c r="C1094" s="20">
        <v>44636</v>
      </c>
      <c r="D1094" s="2" t="s">
        <v>2009</v>
      </c>
      <c r="E1094" t="s">
        <v>19</v>
      </c>
      <c r="F1094" s="14" t="s">
        <v>1998</v>
      </c>
      <c r="G1094" s="14" t="s">
        <v>2276</v>
      </c>
      <c r="H1094" t="s">
        <v>2031</v>
      </c>
      <c r="I1094" t="s">
        <v>2275</v>
      </c>
      <c r="K1094" s="3"/>
      <c r="M1094" t="s">
        <v>2167</v>
      </c>
    </row>
    <row r="1095" spans="1:13">
      <c r="A1095" t="s">
        <v>28</v>
      </c>
      <c r="B1095">
        <f ca="1">IF(OR(changes[[#This Row],[Type]]="Checklist",changes[[#This Row],[Type]]="checklist-flat"),1+IF(changes[[#This Row],[Type of change]] = "Edit",COUNTIFS($I$4:changes[[#This Row],[Name]],changes[[#This Row],[Name]], $E$4:changes[[#This Row],[Type of change]], "Edit")),B1094)</f>
        <v>1</v>
      </c>
      <c r="C1095" s="20">
        <v>44636</v>
      </c>
      <c r="D1095" s="2" t="s">
        <v>2009</v>
      </c>
      <c r="E1095" t="s">
        <v>19</v>
      </c>
      <c r="F1095" s="14" t="s">
        <v>1998</v>
      </c>
      <c r="G1095" s="14" t="s">
        <v>2276</v>
      </c>
      <c r="H1095" t="s">
        <v>58</v>
      </c>
      <c r="I1095" t="s">
        <v>1068</v>
      </c>
      <c r="K1095" s="3"/>
      <c r="M1095" t="s">
        <v>2167</v>
      </c>
    </row>
    <row r="1096" spans="1:13">
      <c r="A1096" t="s">
        <v>28</v>
      </c>
      <c r="B1096">
        <f ca="1">IF(OR(changes[[#This Row],[Type]]="Checklist",changes[[#This Row],[Type]]="checklist-flat"),1+IF(changes[[#This Row],[Type of change]] = "Edit",COUNTIFS($I$4:changes[[#This Row],[Name]],changes[[#This Row],[Name]], $E$4:changes[[#This Row],[Type of change]], "Edit")),B1095)</f>
        <v>1</v>
      </c>
      <c r="C1096" s="20">
        <v>44636</v>
      </c>
      <c r="D1096" s="2" t="s">
        <v>2009</v>
      </c>
      <c r="E1096" t="s">
        <v>19</v>
      </c>
      <c r="F1096" s="14" t="s">
        <v>1998</v>
      </c>
      <c r="G1096" s="14" t="s">
        <v>2282</v>
      </c>
      <c r="H1096" t="s">
        <v>43</v>
      </c>
      <c r="I1096" t="s">
        <v>2282</v>
      </c>
      <c r="K1096" s="3"/>
      <c r="M1096" t="s">
        <v>2167</v>
      </c>
    </row>
    <row r="1097" spans="1:13">
      <c r="A1097" t="s">
        <v>28</v>
      </c>
      <c r="B1097">
        <f ca="1">IF(OR(changes[[#This Row],[Type]]="Checklist",changes[[#This Row],[Type]]="checklist-flat"),1+IF(changes[[#This Row],[Type of change]] = "Edit",COUNTIFS($I$4:changes[[#This Row],[Name]],changes[[#This Row],[Name]], $E$4:changes[[#This Row],[Type of change]], "Edit")),B1096)</f>
        <v>1</v>
      </c>
      <c r="C1097" s="20">
        <v>44636</v>
      </c>
      <c r="D1097" s="2" t="s">
        <v>2009</v>
      </c>
      <c r="E1097" t="s">
        <v>19</v>
      </c>
      <c r="F1097" s="14" t="s">
        <v>1998</v>
      </c>
      <c r="G1097" s="14" t="s">
        <v>2282</v>
      </c>
      <c r="H1097" t="s">
        <v>831</v>
      </c>
      <c r="I1097" t="s">
        <v>2255</v>
      </c>
      <c r="K1097" s="3"/>
      <c r="M1097" t="s">
        <v>2167</v>
      </c>
    </row>
    <row r="1098" spans="1:13">
      <c r="A1098" t="s">
        <v>28</v>
      </c>
      <c r="B1098">
        <f ca="1">IF(OR(changes[[#This Row],[Type]]="Checklist",changes[[#This Row],[Type]]="checklist-flat"),1+IF(changes[[#This Row],[Type of change]] = "Edit",COUNTIFS($I$4:changes[[#This Row],[Name]],changes[[#This Row],[Name]], $E$4:changes[[#This Row],[Type of change]], "Edit")),B1097)</f>
        <v>1</v>
      </c>
      <c r="C1098" s="20">
        <v>44636</v>
      </c>
      <c r="D1098" s="2" t="s">
        <v>2009</v>
      </c>
      <c r="E1098" t="s">
        <v>19</v>
      </c>
      <c r="F1098" s="14" t="s">
        <v>1998</v>
      </c>
      <c r="G1098" s="14" t="s">
        <v>2282</v>
      </c>
      <c r="H1098" t="s">
        <v>2031</v>
      </c>
      <c r="I1098" t="s">
        <v>2283</v>
      </c>
      <c r="K1098" s="3"/>
      <c r="M1098" t="s">
        <v>2167</v>
      </c>
    </row>
    <row r="1099" spans="1:13">
      <c r="A1099" t="s">
        <v>28</v>
      </c>
      <c r="B1099">
        <f ca="1">IF(OR(changes[[#This Row],[Type]]="Checklist",changes[[#This Row],[Type]]="checklist-flat"),1+IF(changes[[#This Row],[Type of change]] = "Edit",COUNTIFS($I$4:changes[[#This Row],[Name]],changes[[#This Row],[Name]], $E$4:changes[[#This Row],[Type of change]], "Edit")),B1098)</f>
        <v>1</v>
      </c>
      <c r="C1099" s="20">
        <v>44636</v>
      </c>
      <c r="D1099" s="2" t="s">
        <v>2009</v>
      </c>
      <c r="E1099" t="s">
        <v>19</v>
      </c>
      <c r="F1099" s="14" t="s">
        <v>1998</v>
      </c>
      <c r="G1099" s="14" t="s">
        <v>2282</v>
      </c>
      <c r="H1099" t="s">
        <v>2031</v>
      </c>
      <c r="I1099" t="s">
        <v>2284</v>
      </c>
      <c r="K1099" s="3"/>
      <c r="M1099" t="s">
        <v>2167</v>
      </c>
    </row>
    <row r="1100" spans="1:13">
      <c r="A1100" t="s">
        <v>28</v>
      </c>
      <c r="B1100">
        <f ca="1">IF(OR(changes[[#This Row],[Type]]="Checklist",changes[[#This Row],[Type]]="checklist-flat"),1+IF(changes[[#This Row],[Type of change]] = "Edit",COUNTIFS($I$4:changes[[#This Row],[Name]],changes[[#This Row],[Name]], $E$4:changes[[#This Row],[Type of change]], "Edit")),B1099)</f>
        <v>1</v>
      </c>
      <c r="C1100" s="20">
        <v>44636</v>
      </c>
      <c r="D1100" s="2" t="s">
        <v>2009</v>
      </c>
      <c r="E1100" t="s">
        <v>19</v>
      </c>
      <c r="F1100" s="14" t="s">
        <v>1998</v>
      </c>
      <c r="G1100" s="14" t="s">
        <v>2282</v>
      </c>
      <c r="H1100" t="s">
        <v>131</v>
      </c>
      <c r="I1100" t="s">
        <v>2285</v>
      </c>
      <c r="K1100" s="3"/>
      <c r="M1100" t="s">
        <v>2167</v>
      </c>
    </row>
    <row r="1101" spans="1:13">
      <c r="A1101" t="s">
        <v>28</v>
      </c>
      <c r="B1101">
        <f ca="1">IF(OR(changes[[#This Row],[Type]]="Checklist",changes[[#This Row],[Type]]="checklist-flat"),1+IF(changes[[#This Row],[Type of change]] = "Edit",COUNTIFS($I$4:changes[[#This Row],[Name]],changes[[#This Row],[Name]], $E$4:changes[[#This Row],[Type of change]], "Edit")),B1100)</f>
        <v>1</v>
      </c>
      <c r="C1101" s="20">
        <v>44636</v>
      </c>
      <c r="D1101" s="2" t="s">
        <v>2009</v>
      </c>
      <c r="E1101" t="s">
        <v>19</v>
      </c>
      <c r="F1101" s="14" t="s">
        <v>1998</v>
      </c>
      <c r="G1101" s="14" t="s">
        <v>2282</v>
      </c>
      <c r="H1101" t="s">
        <v>131</v>
      </c>
      <c r="I1101" t="s">
        <v>2286</v>
      </c>
      <c r="K1101" s="3"/>
      <c r="M1101" t="s">
        <v>2167</v>
      </c>
    </row>
    <row r="1102" spans="1:13">
      <c r="A1102" t="s">
        <v>28</v>
      </c>
      <c r="B1102">
        <f ca="1">IF(OR(changes[[#This Row],[Type]]="Checklist",changes[[#This Row],[Type]]="checklist-flat"),1+IF(changes[[#This Row],[Type of change]] = "Edit",COUNTIFS($I$4:changes[[#This Row],[Name]],changes[[#This Row],[Name]], $E$4:changes[[#This Row],[Type of change]], "Edit")),B1101)</f>
        <v>1</v>
      </c>
      <c r="C1102" s="20">
        <v>44636</v>
      </c>
      <c r="D1102" s="2" t="s">
        <v>2009</v>
      </c>
      <c r="E1102" t="s">
        <v>19</v>
      </c>
      <c r="F1102" s="14" t="s">
        <v>1998</v>
      </c>
      <c r="G1102" s="14" t="s">
        <v>2282</v>
      </c>
      <c r="H1102" t="s">
        <v>131</v>
      </c>
      <c r="I1102" t="s">
        <v>2287</v>
      </c>
      <c r="K1102" s="3"/>
      <c r="M1102" t="s">
        <v>2167</v>
      </c>
    </row>
    <row r="1103" spans="1:13">
      <c r="A1103" t="s">
        <v>28</v>
      </c>
      <c r="B1103">
        <f ca="1">IF(OR(changes[[#This Row],[Type]]="Checklist",changes[[#This Row],[Type]]="checklist-flat"),1+IF(changes[[#This Row],[Type of change]] = "Edit",COUNTIFS($I$4:changes[[#This Row],[Name]],changes[[#This Row],[Name]], $E$4:changes[[#This Row],[Type of change]], "Edit")),B1102)</f>
        <v>1</v>
      </c>
      <c r="C1103" s="20">
        <v>44636</v>
      </c>
      <c r="D1103" s="2" t="s">
        <v>2009</v>
      </c>
      <c r="E1103" t="s">
        <v>19</v>
      </c>
      <c r="F1103" s="14" t="s">
        <v>1998</v>
      </c>
      <c r="G1103" s="14" t="s">
        <v>2282</v>
      </c>
      <c r="H1103" t="s">
        <v>131</v>
      </c>
      <c r="I1103" t="s">
        <v>2288</v>
      </c>
      <c r="K1103" s="3"/>
      <c r="M1103" t="s">
        <v>2167</v>
      </c>
    </row>
    <row r="1104" spans="1:13">
      <c r="A1104" t="s">
        <v>28</v>
      </c>
      <c r="B1104">
        <f ca="1">IF(OR(changes[[#This Row],[Type]]="Checklist",changes[[#This Row],[Type]]="checklist-flat"),1+IF(changes[[#This Row],[Type of change]] = "Edit",COUNTIFS($I$4:changes[[#This Row],[Name]],changes[[#This Row],[Name]], $E$4:changes[[#This Row],[Type of change]], "Edit")),B1103)</f>
        <v>1</v>
      </c>
      <c r="C1104" s="20">
        <v>44636</v>
      </c>
      <c r="D1104" s="2" t="s">
        <v>2009</v>
      </c>
      <c r="E1104" t="s">
        <v>19</v>
      </c>
      <c r="F1104" s="14" t="s">
        <v>1998</v>
      </c>
      <c r="G1104" s="14" t="s">
        <v>2282</v>
      </c>
      <c r="H1104" t="s">
        <v>2031</v>
      </c>
      <c r="I1104" t="s">
        <v>2289</v>
      </c>
      <c r="K1104" s="3"/>
      <c r="M1104" t="s">
        <v>2167</v>
      </c>
    </row>
    <row r="1105" spans="1:13">
      <c r="A1105" t="s">
        <v>28</v>
      </c>
      <c r="B1105">
        <f ca="1">IF(OR(changes[[#This Row],[Type]]="Checklist",changes[[#This Row],[Type]]="checklist-flat"),1+IF(changes[[#This Row],[Type of change]] = "Edit",COUNTIFS($I$4:changes[[#This Row],[Name]],changes[[#This Row],[Name]], $E$4:changes[[#This Row],[Type of change]], "Edit")),B1104)</f>
        <v>1</v>
      </c>
      <c r="C1105" s="20">
        <v>44636</v>
      </c>
      <c r="D1105" s="2" t="s">
        <v>2009</v>
      </c>
      <c r="E1105" t="s">
        <v>19</v>
      </c>
      <c r="F1105" s="14" t="s">
        <v>1998</v>
      </c>
      <c r="G1105" s="14" t="s">
        <v>2282</v>
      </c>
      <c r="H1105" t="s">
        <v>2031</v>
      </c>
      <c r="I1105" t="s">
        <v>2290</v>
      </c>
      <c r="K1105" s="3"/>
      <c r="M1105" t="s">
        <v>2167</v>
      </c>
    </row>
    <row r="1106" spans="1:13">
      <c r="A1106" t="s">
        <v>28</v>
      </c>
      <c r="B1106">
        <f ca="1">IF(OR(changes[[#This Row],[Type]]="Checklist",changes[[#This Row],[Type]]="checklist-flat"),1+IF(changes[[#This Row],[Type of change]] = "Edit",COUNTIFS($I$4:changes[[#This Row],[Name]],changes[[#This Row],[Name]], $E$4:changes[[#This Row],[Type of change]], "Edit")),B1105)</f>
        <v>1</v>
      </c>
      <c r="C1106" s="20">
        <v>44636</v>
      </c>
      <c r="D1106" s="2" t="s">
        <v>2009</v>
      </c>
      <c r="E1106" t="s">
        <v>19</v>
      </c>
      <c r="F1106" s="14" t="s">
        <v>1998</v>
      </c>
      <c r="G1106" s="14" t="s">
        <v>2282</v>
      </c>
      <c r="H1106" t="s">
        <v>2031</v>
      </c>
      <c r="I1106" t="s">
        <v>2291</v>
      </c>
      <c r="K1106" s="3"/>
      <c r="M1106" t="s">
        <v>2167</v>
      </c>
    </row>
    <row r="1107" spans="1:13">
      <c r="A1107" t="s">
        <v>28</v>
      </c>
      <c r="B1107">
        <f ca="1">IF(OR(changes[[#This Row],[Type]]="Checklist",changes[[#This Row],[Type]]="checklist-flat"),1+IF(changes[[#This Row],[Type of change]] = "Edit",COUNTIFS($I$4:changes[[#This Row],[Name]],changes[[#This Row],[Name]], $E$4:changes[[#This Row],[Type of change]], "Edit")),B1106)</f>
        <v>1</v>
      </c>
      <c r="C1107" s="20">
        <v>44636</v>
      </c>
      <c r="D1107" s="2" t="s">
        <v>2009</v>
      </c>
      <c r="E1107" t="s">
        <v>19</v>
      </c>
      <c r="F1107" s="14" t="s">
        <v>1998</v>
      </c>
      <c r="G1107" s="14" t="s">
        <v>2282</v>
      </c>
      <c r="H1107" t="s">
        <v>2031</v>
      </c>
      <c r="I1107" t="s">
        <v>2292</v>
      </c>
      <c r="K1107" s="3"/>
      <c r="M1107" t="s">
        <v>2167</v>
      </c>
    </row>
    <row r="1108" spans="1:13">
      <c r="A1108" t="s">
        <v>28</v>
      </c>
      <c r="B1108">
        <f ca="1">IF(OR(changes[[#This Row],[Type]]="Checklist",changes[[#This Row],[Type]]="checklist-flat"),1+IF(changes[[#This Row],[Type of change]] = "Edit",COUNTIFS($I$4:changes[[#This Row],[Name]],changes[[#This Row],[Name]], $E$4:changes[[#This Row],[Type of change]], "Edit")),B1107)</f>
        <v>1</v>
      </c>
      <c r="C1108" s="20">
        <v>44636</v>
      </c>
      <c r="D1108" s="2" t="s">
        <v>2009</v>
      </c>
      <c r="E1108" t="s">
        <v>19</v>
      </c>
      <c r="F1108" s="14" t="s">
        <v>1998</v>
      </c>
      <c r="G1108" s="14" t="s">
        <v>2282</v>
      </c>
      <c r="H1108" t="s">
        <v>2031</v>
      </c>
      <c r="I1108" t="s">
        <v>2264</v>
      </c>
      <c r="K1108" s="3"/>
      <c r="M1108" t="s">
        <v>2167</v>
      </c>
    </row>
    <row r="1109" spans="1:13">
      <c r="A1109" t="s">
        <v>28</v>
      </c>
      <c r="B1109">
        <f ca="1">IF(OR(changes[[#This Row],[Type]]="Checklist",changes[[#This Row],[Type]]="checklist-flat"),1+IF(changes[[#This Row],[Type of change]] = "Edit",COUNTIFS($I$4:changes[[#This Row],[Name]],changes[[#This Row],[Name]], $E$4:changes[[#This Row],[Type of change]], "Edit")),B1108)</f>
        <v>1</v>
      </c>
      <c r="C1109" s="20">
        <v>44636</v>
      </c>
      <c r="D1109" s="2" t="s">
        <v>2009</v>
      </c>
      <c r="E1109" t="s">
        <v>19</v>
      </c>
      <c r="F1109" s="14" t="s">
        <v>1998</v>
      </c>
      <c r="G1109" s="14" t="s">
        <v>2282</v>
      </c>
      <c r="H1109" t="s">
        <v>2031</v>
      </c>
      <c r="I1109" t="s">
        <v>2040</v>
      </c>
      <c r="K1109" s="3"/>
      <c r="M1109" t="s">
        <v>2167</v>
      </c>
    </row>
    <row r="1110" spans="1:13">
      <c r="A1110" t="s">
        <v>28</v>
      </c>
      <c r="B1110">
        <f ca="1">IF(OR(changes[[#This Row],[Type]]="Checklist",changes[[#This Row],[Type]]="checklist-flat"),1+IF(changes[[#This Row],[Type of change]] = "Edit",COUNTIFS($I$4:changes[[#This Row],[Name]],changes[[#This Row],[Name]], $E$4:changes[[#This Row],[Type of change]], "Edit")),B1109)</f>
        <v>1</v>
      </c>
      <c r="C1110" s="20">
        <v>44636</v>
      </c>
      <c r="D1110" s="2" t="s">
        <v>2009</v>
      </c>
      <c r="E1110" t="s">
        <v>19</v>
      </c>
      <c r="F1110" s="14" t="s">
        <v>1998</v>
      </c>
      <c r="G1110" s="14" t="s">
        <v>2282</v>
      </c>
      <c r="H1110" t="s">
        <v>2041</v>
      </c>
      <c r="I1110" t="s">
        <v>2272</v>
      </c>
      <c r="K1110" s="3"/>
      <c r="M1110" t="s">
        <v>2167</v>
      </c>
    </row>
    <row r="1111" spans="1:13">
      <c r="A1111" t="s">
        <v>28</v>
      </c>
      <c r="B1111">
        <f ca="1">IF(OR(changes[[#This Row],[Type]]="Checklist",changes[[#This Row],[Type]]="checklist-flat"),1+IF(changes[[#This Row],[Type of change]] = "Edit",COUNTIFS($I$4:changes[[#This Row],[Name]],changes[[#This Row],[Name]], $E$4:changes[[#This Row],[Type of change]], "Edit")),B1110)</f>
        <v>1</v>
      </c>
      <c r="C1111" s="20">
        <v>44636</v>
      </c>
      <c r="D1111" s="2" t="s">
        <v>2009</v>
      </c>
      <c r="E1111" t="s">
        <v>19</v>
      </c>
      <c r="F1111" s="14" t="s">
        <v>1998</v>
      </c>
      <c r="G1111" s="14" t="s">
        <v>2282</v>
      </c>
      <c r="H1111" t="s">
        <v>2041</v>
      </c>
      <c r="I1111" t="s">
        <v>2273</v>
      </c>
      <c r="K1111" s="3"/>
      <c r="M1111" t="s">
        <v>2167</v>
      </c>
    </row>
    <row r="1112" spans="1:13">
      <c r="A1112" t="s">
        <v>28</v>
      </c>
      <c r="B1112">
        <f ca="1">IF(OR(changes[[#This Row],[Type]]="Checklist",changes[[#This Row],[Type]]="checklist-flat"),1+IF(changes[[#This Row],[Type of change]] = "Edit",COUNTIFS($I$4:changes[[#This Row],[Name]],changes[[#This Row],[Name]], $E$4:changes[[#This Row],[Type of change]], "Edit")),B1111)</f>
        <v>1</v>
      </c>
      <c r="C1112" s="20">
        <v>44636</v>
      </c>
      <c r="D1112" s="2" t="s">
        <v>2009</v>
      </c>
      <c r="E1112" t="s">
        <v>19</v>
      </c>
      <c r="F1112" s="14" t="s">
        <v>1998</v>
      </c>
      <c r="G1112" s="14" t="s">
        <v>2282</v>
      </c>
      <c r="H1112" t="s">
        <v>2041</v>
      </c>
      <c r="I1112" t="s">
        <v>2202</v>
      </c>
      <c r="K1112" s="3"/>
      <c r="M1112" t="s">
        <v>2167</v>
      </c>
    </row>
    <row r="1113" spans="1:13">
      <c r="A1113" t="s">
        <v>28</v>
      </c>
      <c r="B1113">
        <f ca="1">IF(OR(changes[[#This Row],[Type]]="Checklist",changes[[#This Row],[Type]]="checklist-flat"),1+IF(changes[[#This Row],[Type of change]] = "Edit",COUNTIFS($I$4:changes[[#This Row],[Name]],changes[[#This Row],[Name]], $E$4:changes[[#This Row],[Type of change]], "Edit")),B1112)</f>
        <v>1</v>
      </c>
      <c r="C1113" s="20">
        <v>44636</v>
      </c>
      <c r="D1113" s="2" t="s">
        <v>2009</v>
      </c>
      <c r="E1113" t="s">
        <v>19</v>
      </c>
      <c r="F1113" s="14" t="s">
        <v>1998</v>
      </c>
      <c r="G1113" s="14" t="s">
        <v>2282</v>
      </c>
      <c r="H1113" t="s">
        <v>2041</v>
      </c>
      <c r="I1113" t="s">
        <v>2274</v>
      </c>
      <c r="K1113" s="3"/>
      <c r="M1113" t="s">
        <v>2167</v>
      </c>
    </row>
    <row r="1114" spans="1:13">
      <c r="A1114" t="s">
        <v>28</v>
      </c>
      <c r="B1114">
        <f ca="1">IF(OR(changes[[#This Row],[Type]]="Checklist",changes[[#This Row],[Type]]="checklist-flat"),1+IF(changes[[#This Row],[Type of change]] = "Edit",COUNTIFS($I$4:changes[[#This Row],[Name]],changes[[#This Row],[Name]], $E$4:changes[[#This Row],[Type of change]], "Edit")),B1113)</f>
        <v>1</v>
      </c>
      <c r="C1114" s="20">
        <v>44636</v>
      </c>
      <c r="D1114" s="2" t="s">
        <v>2009</v>
      </c>
      <c r="E1114" t="s">
        <v>19</v>
      </c>
      <c r="F1114" s="14" t="s">
        <v>1998</v>
      </c>
      <c r="G1114" s="14" t="s">
        <v>2282</v>
      </c>
      <c r="H1114" t="s">
        <v>2031</v>
      </c>
      <c r="I1114" t="s">
        <v>2275</v>
      </c>
      <c r="K1114" s="3"/>
      <c r="M1114" t="s">
        <v>2167</v>
      </c>
    </row>
    <row r="1115" spans="1:13">
      <c r="A1115" t="s">
        <v>28</v>
      </c>
      <c r="B1115">
        <f ca="1">IF(OR(changes[[#This Row],[Type]]="Checklist",changes[[#This Row],[Type]]="checklist-flat"),1+IF(changes[[#This Row],[Type of change]] = "Edit",COUNTIFS($I$4:changes[[#This Row],[Name]],changes[[#This Row],[Name]], $E$4:changes[[#This Row],[Type of change]], "Edit")),B1114)</f>
        <v>1</v>
      </c>
      <c r="C1115" s="20">
        <v>44636</v>
      </c>
      <c r="D1115" s="2" t="s">
        <v>2009</v>
      </c>
      <c r="E1115" t="s">
        <v>19</v>
      </c>
      <c r="F1115" s="14" t="s">
        <v>1998</v>
      </c>
      <c r="G1115" s="14" t="s">
        <v>2282</v>
      </c>
      <c r="H1115" t="s">
        <v>58</v>
      </c>
      <c r="I1115" t="s">
        <v>1068</v>
      </c>
      <c r="K1115" s="3"/>
      <c r="M1115" t="s">
        <v>2167</v>
      </c>
    </row>
    <row r="1116" spans="1:13">
      <c r="A1116" t="s">
        <v>28</v>
      </c>
      <c r="B1116">
        <f ca="1">IF(OR(changes[[#This Row],[Type]]="Checklist",changes[[#This Row],[Type]]="checklist-flat"),1+IF(changes[[#This Row],[Type of change]] = "Edit",COUNTIFS($I$4:changes[[#This Row],[Name]],changes[[#This Row],[Name]], $E$4:changes[[#This Row],[Type of change]], "Edit")),B1115)</f>
        <v>1</v>
      </c>
      <c r="C1116" s="20">
        <v>44636</v>
      </c>
      <c r="D1116" s="2" t="s">
        <v>2009</v>
      </c>
      <c r="E1116" t="s">
        <v>19</v>
      </c>
      <c r="F1116" s="14" t="s">
        <v>1998</v>
      </c>
      <c r="G1116" s="14" t="s">
        <v>2293</v>
      </c>
      <c r="H1116" t="s">
        <v>119</v>
      </c>
      <c r="I1116" t="s">
        <v>2293</v>
      </c>
      <c r="K1116" s="3"/>
      <c r="M1116" t="s">
        <v>2167</v>
      </c>
    </row>
    <row r="1117" spans="1:13">
      <c r="A1117" t="s">
        <v>28</v>
      </c>
      <c r="B1117">
        <f ca="1">IF(OR(changes[[#This Row],[Type]]="Checklist",changes[[#This Row],[Type]]="checklist-flat"),1+IF(changes[[#This Row],[Type of change]] = "Edit",COUNTIFS($I$4:changes[[#This Row],[Name]],changes[[#This Row],[Name]], $E$4:changes[[#This Row],[Type of change]], "Edit")),B1116)</f>
        <v>1</v>
      </c>
      <c r="C1117" s="20">
        <v>44636</v>
      </c>
      <c r="D1117" s="2" t="s">
        <v>2009</v>
      </c>
      <c r="E1117" t="s">
        <v>19</v>
      </c>
      <c r="F1117" s="14" t="s">
        <v>1998</v>
      </c>
      <c r="G1117" s="14" t="s">
        <v>2293</v>
      </c>
      <c r="H1117" t="s">
        <v>49</v>
      </c>
      <c r="I1117" t="s">
        <v>2294</v>
      </c>
      <c r="K1117" s="3"/>
      <c r="M1117" t="s">
        <v>2167</v>
      </c>
    </row>
    <row r="1118" spans="1:13">
      <c r="A1118" t="s">
        <v>28</v>
      </c>
      <c r="B1118">
        <f ca="1">IF(OR(changes[[#This Row],[Type]]="Checklist",changes[[#This Row],[Type]]="checklist-flat"),1+IF(changes[[#This Row],[Type of change]] = "Edit",COUNTIFS($I$4:changes[[#This Row],[Name]],changes[[#This Row],[Name]], $E$4:changes[[#This Row],[Type of change]], "Edit")),B1117)</f>
        <v>1</v>
      </c>
      <c r="C1118" s="20">
        <v>44636</v>
      </c>
      <c r="D1118" s="2" t="s">
        <v>2009</v>
      </c>
      <c r="E1118" t="s">
        <v>19</v>
      </c>
      <c r="F1118" s="14" t="s">
        <v>1998</v>
      </c>
      <c r="G1118" s="14" t="s">
        <v>2293</v>
      </c>
      <c r="H1118" t="s">
        <v>131</v>
      </c>
      <c r="I1118" t="s">
        <v>2231</v>
      </c>
      <c r="K1118" s="3"/>
      <c r="M1118" t="s">
        <v>2167</v>
      </c>
    </row>
    <row r="1119" spans="1:13">
      <c r="A1119" t="s">
        <v>28</v>
      </c>
      <c r="B1119">
        <f ca="1">IF(OR(changes[[#This Row],[Type]]="Checklist",changes[[#This Row],[Type]]="checklist-flat"),1+IF(changes[[#This Row],[Type of change]] = "Edit",COUNTIFS($I$4:changes[[#This Row],[Name]],changes[[#This Row],[Name]], $E$4:changes[[#This Row],[Type of change]], "Edit")),B1118)</f>
        <v>1</v>
      </c>
      <c r="C1119" s="20">
        <v>44636</v>
      </c>
      <c r="D1119" s="2" t="s">
        <v>2009</v>
      </c>
      <c r="E1119" t="s">
        <v>19</v>
      </c>
      <c r="F1119" s="14" t="s">
        <v>1998</v>
      </c>
      <c r="G1119" s="14" t="s">
        <v>2293</v>
      </c>
      <c r="H1119" t="s">
        <v>131</v>
      </c>
      <c r="I1119" t="s">
        <v>2232</v>
      </c>
      <c r="K1119" s="3"/>
      <c r="M1119" t="s">
        <v>2167</v>
      </c>
    </row>
    <row r="1120" spans="1:13">
      <c r="A1120" t="s">
        <v>28</v>
      </c>
      <c r="B1120">
        <f ca="1">IF(OR(changes[[#This Row],[Type]]="Checklist",changes[[#This Row],[Type]]="checklist-flat"),1+IF(changes[[#This Row],[Type of change]] = "Edit",COUNTIFS($I$4:changes[[#This Row],[Name]],changes[[#This Row],[Name]], $E$4:changes[[#This Row],[Type of change]], "Edit")),B1119)</f>
        <v>1</v>
      </c>
      <c r="C1120" s="20">
        <v>44636</v>
      </c>
      <c r="D1120" s="2" t="s">
        <v>2009</v>
      </c>
      <c r="E1120" t="s">
        <v>19</v>
      </c>
      <c r="F1120" s="14" t="s">
        <v>1998</v>
      </c>
      <c r="G1120" s="14" t="s">
        <v>2293</v>
      </c>
      <c r="H1120" t="s">
        <v>131</v>
      </c>
      <c r="I1120" t="s">
        <v>2233</v>
      </c>
      <c r="K1120" s="3"/>
      <c r="M1120" t="s">
        <v>2167</v>
      </c>
    </row>
    <row r="1121" spans="1:13">
      <c r="A1121" t="s">
        <v>28</v>
      </c>
      <c r="B1121">
        <f ca="1">IF(OR(changes[[#This Row],[Type]]="Checklist",changes[[#This Row],[Type]]="checklist-flat"),1+IF(changes[[#This Row],[Type of change]] = "Edit",COUNTIFS($I$4:changes[[#This Row],[Name]],changes[[#This Row],[Name]], $E$4:changes[[#This Row],[Type of change]], "Edit")),B1120)</f>
        <v>1</v>
      </c>
      <c r="C1121" s="20">
        <v>44636</v>
      </c>
      <c r="D1121" s="2" t="s">
        <v>2009</v>
      </c>
      <c r="E1121" t="s">
        <v>19</v>
      </c>
      <c r="F1121" s="14" t="s">
        <v>1998</v>
      </c>
      <c r="G1121" s="14" t="s">
        <v>2293</v>
      </c>
      <c r="H1121" t="s">
        <v>131</v>
      </c>
      <c r="I1121" t="s">
        <v>2295</v>
      </c>
      <c r="K1121" s="3"/>
      <c r="M1121" t="s">
        <v>2167</v>
      </c>
    </row>
    <row r="1122" spans="1:13">
      <c r="A1122" t="s">
        <v>28</v>
      </c>
      <c r="B1122">
        <f ca="1">IF(OR(changes[[#This Row],[Type]]="Checklist",changes[[#This Row],[Type]]="checklist-flat"),1+IF(changes[[#This Row],[Type of change]] = "Edit",COUNTIFS($I$4:changes[[#This Row],[Name]],changes[[#This Row],[Name]], $E$4:changes[[#This Row],[Type of change]], "Edit")),B1121)</f>
        <v>1</v>
      </c>
      <c r="C1122" s="20">
        <v>44636</v>
      </c>
      <c r="D1122" s="2" t="s">
        <v>2009</v>
      </c>
      <c r="E1122" t="s">
        <v>19</v>
      </c>
      <c r="F1122" s="14" t="s">
        <v>1998</v>
      </c>
      <c r="G1122" s="14" t="s">
        <v>2293</v>
      </c>
      <c r="H1122" t="s">
        <v>131</v>
      </c>
      <c r="I1122" t="s">
        <v>2236</v>
      </c>
      <c r="K1122" s="3"/>
      <c r="M1122" t="s">
        <v>2167</v>
      </c>
    </row>
    <row r="1123" spans="1:13">
      <c r="A1123" t="s">
        <v>28</v>
      </c>
      <c r="B1123">
        <f ca="1">IF(OR(changes[[#This Row],[Type]]="Checklist",changes[[#This Row],[Type]]="checklist-flat"),1+IF(changes[[#This Row],[Type of change]] = "Edit",COUNTIFS($I$4:changes[[#This Row],[Name]],changes[[#This Row],[Name]], $E$4:changes[[#This Row],[Type of change]], "Edit")),B1122)</f>
        <v>1</v>
      </c>
      <c r="C1123" s="20">
        <v>44636</v>
      </c>
      <c r="D1123" s="2" t="s">
        <v>2009</v>
      </c>
      <c r="E1123" t="s">
        <v>19</v>
      </c>
      <c r="F1123" s="14" t="s">
        <v>1998</v>
      </c>
      <c r="G1123" s="14" t="s">
        <v>2293</v>
      </c>
      <c r="H1123" t="s">
        <v>131</v>
      </c>
      <c r="I1123" t="s">
        <v>2296</v>
      </c>
      <c r="K1123" s="3"/>
      <c r="M1123" t="s">
        <v>2167</v>
      </c>
    </row>
    <row r="1124" spans="1:13">
      <c r="A1124" t="s">
        <v>28</v>
      </c>
      <c r="B1124">
        <f ca="1">IF(OR(changes[[#This Row],[Type]]="Checklist",changes[[#This Row],[Type]]="checklist-flat"),1+IF(changes[[#This Row],[Type of change]] = "Edit",COUNTIFS($I$4:changes[[#This Row],[Name]],changes[[#This Row],[Name]], $E$4:changes[[#This Row],[Type of change]], "Edit")),B1123)</f>
        <v>1</v>
      </c>
      <c r="C1124" s="20">
        <v>44636</v>
      </c>
      <c r="D1124" s="2" t="s">
        <v>2009</v>
      </c>
      <c r="E1124" t="s">
        <v>19</v>
      </c>
      <c r="F1124" s="14" t="s">
        <v>1998</v>
      </c>
      <c r="G1124" s="14" t="s">
        <v>2293</v>
      </c>
      <c r="H1124" t="s">
        <v>131</v>
      </c>
      <c r="I1124" t="s">
        <v>2242</v>
      </c>
      <c r="K1124" s="3"/>
      <c r="M1124" t="s">
        <v>2167</v>
      </c>
    </row>
    <row r="1125" spans="1:13">
      <c r="A1125" t="s">
        <v>28</v>
      </c>
      <c r="B1125">
        <f ca="1">IF(OR(changes[[#This Row],[Type]]="Checklist",changes[[#This Row],[Type]]="checklist-flat"),1+IF(changes[[#This Row],[Type of change]] = "Edit",COUNTIFS($I$4:changes[[#This Row],[Name]],changes[[#This Row],[Name]], $E$4:changes[[#This Row],[Type of change]], "Edit")),B1124)</f>
        <v>1</v>
      </c>
      <c r="C1125" s="20">
        <v>44636</v>
      </c>
      <c r="D1125" s="2" t="s">
        <v>2009</v>
      </c>
      <c r="E1125" t="s">
        <v>19</v>
      </c>
      <c r="F1125" s="14" t="s">
        <v>1998</v>
      </c>
      <c r="G1125" s="14" t="s">
        <v>2293</v>
      </c>
      <c r="H1125" t="s">
        <v>131</v>
      </c>
      <c r="I1125" t="s">
        <v>2040</v>
      </c>
      <c r="K1125" s="3"/>
      <c r="M1125" t="s">
        <v>2167</v>
      </c>
    </row>
    <row r="1126" spans="1:13">
      <c r="A1126" t="s">
        <v>28</v>
      </c>
      <c r="B1126">
        <f ca="1">IF(OR(changes[[#This Row],[Type]]="Checklist",changes[[#This Row],[Type]]="checklist-flat"),1+IF(changes[[#This Row],[Type of change]] = "Edit",COUNTIFS($I$4:changes[[#This Row],[Name]],changes[[#This Row],[Name]], $E$4:changes[[#This Row],[Type of change]], "Edit")),B1125)</f>
        <v>1</v>
      </c>
      <c r="C1126" s="20">
        <v>44636</v>
      </c>
      <c r="D1126" s="2" t="s">
        <v>2009</v>
      </c>
      <c r="E1126" t="s">
        <v>19</v>
      </c>
      <c r="F1126" s="14" t="s">
        <v>1998</v>
      </c>
      <c r="G1126" s="14" t="s">
        <v>2293</v>
      </c>
      <c r="H1126" t="s">
        <v>1739</v>
      </c>
      <c r="I1126" t="s">
        <v>1399</v>
      </c>
      <c r="K1126" s="3"/>
      <c r="M1126" t="s">
        <v>2167</v>
      </c>
    </row>
    <row r="1127" spans="1:13">
      <c r="A1127" t="s">
        <v>28</v>
      </c>
      <c r="B1127">
        <f ca="1">IF(OR(changes[[#This Row],[Type]]="Checklist",changes[[#This Row],[Type]]="checklist-flat"),1+IF(changes[[#This Row],[Type of change]] = "Edit",COUNTIFS($I$4:changes[[#This Row],[Name]],changes[[#This Row],[Name]], $E$4:changes[[#This Row],[Type of change]], "Edit")),B1126)</f>
        <v>1</v>
      </c>
      <c r="C1127" s="20">
        <v>44636</v>
      </c>
      <c r="D1127" s="2" t="s">
        <v>2009</v>
      </c>
      <c r="E1127" t="s">
        <v>19</v>
      </c>
      <c r="F1127" s="14" t="s">
        <v>1998</v>
      </c>
      <c r="G1127" s="14" t="s">
        <v>2293</v>
      </c>
      <c r="H1127" t="s">
        <v>1739</v>
      </c>
      <c r="I1127" t="s">
        <v>2042</v>
      </c>
      <c r="K1127" s="3"/>
      <c r="M1127" t="s">
        <v>2167</v>
      </c>
    </row>
    <row r="1128" spans="1:13">
      <c r="A1128" t="s">
        <v>28</v>
      </c>
      <c r="B1128">
        <f ca="1">IF(OR(changes[[#This Row],[Type]]="Checklist",changes[[#This Row],[Type]]="checklist-flat"),1+IF(changes[[#This Row],[Type of change]] = "Edit",COUNTIFS($I$4:changes[[#This Row],[Name]],changes[[#This Row],[Name]], $E$4:changes[[#This Row],[Type of change]], "Edit")),B1127)</f>
        <v>1</v>
      </c>
      <c r="C1128" s="20">
        <v>44636</v>
      </c>
      <c r="D1128" s="2" t="s">
        <v>2009</v>
      </c>
      <c r="E1128" t="s">
        <v>19</v>
      </c>
      <c r="F1128" s="14" t="s">
        <v>1998</v>
      </c>
      <c r="G1128" s="14" t="s">
        <v>2293</v>
      </c>
      <c r="H1128" t="s">
        <v>1739</v>
      </c>
      <c r="I1128" t="s">
        <v>2202</v>
      </c>
      <c r="K1128" s="3"/>
      <c r="M1128" t="s">
        <v>2167</v>
      </c>
    </row>
    <row r="1129" spans="1:13">
      <c r="A1129" t="s">
        <v>28</v>
      </c>
      <c r="B1129">
        <f ca="1">IF(OR(changes[[#This Row],[Type]]="Checklist",changes[[#This Row],[Type]]="checklist-flat"),1+IF(changes[[#This Row],[Type of change]] = "Edit",COUNTIFS($I$4:changes[[#This Row],[Name]],changes[[#This Row],[Name]], $E$4:changes[[#This Row],[Type of change]], "Edit")),B1128)</f>
        <v>1</v>
      </c>
      <c r="C1129" s="20">
        <v>44636</v>
      </c>
      <c r="D1129" s="2" t="s">
        <v>2009</v>
      </c>
      <c r="E1129" t="s">
        <v>19</v>
      </c>
      <c r="F1129" s="14" t="s">
        <v>1998</v>
      </c>
      <c r="G1129" s="14" t="s">
        <v>2293</v>
      </c>
      <c r="H1129" t="s">
        <v>1739</v>
      </c>
      <c r="I1129" t="s">
        <v>2203</v>
      </c>
      <c r="K1129" s="3"/>
      <c r="M1129" t="s">
        <v>2167</v>
      </c>
    </row>
    <row r="1130" spans="1:13">
      <c r="A1130" t="s">
        <v>28</v>
      </c>
      <c r="B1130">
        <f ca="1">IF(OR(changes[[#This Row],[Type]]="Checklist",changes[[#This Row],[Type]]="checklist-flat"),1+IF(changes[[#This Row],[Type of change]] = "Edit",COUNTIFS($I$4:changes[[#This Row],[Name]],changes[[#This Row],[Name]], $E$4:changes[[#This Row],[Type of change]], "Edit")),B1129)</f>
        <v>1</v>
      </c>
      <c r="C1130" s="20">
        <v>44636</v>
      </c>
      <c r="D1130" s="2" t="s">
        <v>2009</v>
      </c>
      <c r="E1130" t="s">
        <v>19</v>
      </c>
      <c r="F1130" s="14" t="s">
        <v>1998</v>
      </c>
      <c r="G1130" s="14" t="s">
        <v>2293</v>
      </c>
      <c r="H1130" t="s">
        <v>58</v>
      </c>
      <c r="I1130" t="s">
        <v>2193</v>
      </c>
      <c r="K1130" s="3"/>
      <c r="M1130" t="s">
        <v>2167</v>
      </c>
    </row>
    <row r="1131" spans="1:13">
      <c r="A1131" t="s">
        <v>28</v>
      </c>
      <c r="B1131">
        <f ca="1">IF(OR(changes[[#This Row],[Type]]="Checklist",changes[[#This Row],[Type]]="checklist-flat"),1+IF(changes[[#This Row],[Type of change]] = "Edit",COUNTIFS($I$4:changes[[#This Row],[Name]],changes[[#This Row],[Name]], $E$4:changes[[#This Row],[Type of change]], "Edit")),B1130)</f>
        <v>1</v>
      </c>
      <c r="C1131" s="20">
        <v>44636</v>
      </c>
      <c r="D1131" s="2" t="s">
        <v>2009</v>
      </c>
      <c r="E1131" t="s">
        <v>19</v>
      </c>
      <c r="F1131" s="14" t="s">
        <v>1998</v>
      </c>
      <c r="G1131" s="14" t="s">
        <v>2297</v>
      </c>
      <c r="H1131" t="s">
        <v>43</v>
      </c>
      <c r="I1131" t="s">
        <v>2297</v>
      </c>
      <c r="K1131" s="3"/>
      <c r="M1131" t="s">
        <v>2167</v>
      </c>
    </row>
    <row r="1132" spans="1:13">
      <c r="A1132" t="s">
        <v>28</v>
      </c>
      <c r="B1132">
        <f ca="1">IF(OR(changes[[#This Row],[Type]]="Checklist",changes[[#This Row],[Type]]="checklist-flat"),1+IF(changes[[#This Row],[Type of change]] = "Edit",COUNTIFS($I$4:changes[[#This Row],[Name]],changes[[#This Row],[Name]], $E$4:changes[[#This Row],[Type of change]], "Edit")),B1131)</f>
        <v>1</v>
      </c>
      <c r="C1132" s="20">
        <v>44636</v>
      </c>
      <c r="D1132" s="2" t="s">
        <v>2009</v>
      </c>
      <c r="E1132" t="s">
        <v>19</v>
      </c>
      <c r="F1132" s="14" t="s">
        <v>1998</v>
      </c>
      <c r="G1132" s="14" t="s">
        <v>2297</v>
      </c>
      <c r="H1132" t="s">
        <v>831</v>
      </c>
      <c r="I1132" t="s">
        <v>2298</v>
      </c>
      <c r="K1132" s="3"/>
      <c r="M1132" t="s">
        <v>2167</v>
      </c>
    </row>
    <row r="1133" spans="1:13">
      <c r="A1133" t="s">
        <v>28</v>
      </c>
      <c r="B1133">
        <f ca="1">IF(OR(changes[[#This Row],[Type]]="Checklist",changes[[#This Row],[Type]]="checklist-flat"),1+IF(changes[[#This Row],[Type of change]] = "Edit",COUNTIFS($I$4:changes[[#This Row],[Name]],changes[[#This Row],[Name]], $E$4:changes[[#This Row],[Type of change]], "Edit")),B1132)</f>
        <v>1</v>
      </c>
      <c r="C1133" s="20">
        <v>44636</v>
      </c>
      <c r="D1133" s="2" t="s">
        <v>2009</v>
      </c>
      <c r="E1133" t="s">
        <v>19</v>
      </c>
      <c r="F1133" s="14" t="s">
        <v>1998</v>
      </c>
      <c r="G1133" s="14" t="s">
        <v>2297</v>
      </c>
      <c r="H1133" t="s">
        <v>2031</v>
      </c>
      <c r="I1133" t="s">
        <v>2299</v>
      </c>
      <c r="K1133" s="3"/>
      <c r="M1133" t="s">
        <v>2167</v>
      </c>
    </row>
    <row r="1134" spans="1:13">
      <c r="A1134" t="s">
        <v>28</v>
      </c>
      <c r="B1134">
        <f ca="1">IF(OR(changes[[#This Row],[Type]]="Checklist",changes[[#This Row],[Type]]="checklist-flat"),1+IF(changes[[#This Row],[Type of change]] = "Edit",COUNTIFS($I$4:changes[[#This Row],[Name]],changes[[#This Row],[Name]], $E$4:changes[[#This Row],[Type of change]], "Edit")),B1133)</f>
        <v>1</v>
      </c>
      <c r="C1134" s="20">
        <v>44636</v>
      </c>
      <c r="D1134" s="2" t="s">
        <v>2009</v>
      </c>
      <c r="E1134" t="s">
        <v>19</v>
      </c>
      <c r="F1134" s="14" t="s">
        <v>1998</v>
      </c>
      <c r="G1134" s="14" t="s">
        <v>2297</v>
      </c>
      <c r="H1134" t="s">
        <v>2031</v>
      </c>
      <c r="I1134" t="s">
        <v>2300</v>
      </c>
      <c r="K1134" s="3"/>
      <c r="M1134" t="s">
        <v>2167</v>
      </c>
    </row>
    <row r="1135" spans="1:13">
      <c r="A1135" t="s">
        <v>28</v>
      </c>
      <c r="B1135">
        <f ca="1">IF(OR(changes[[#This Row],[Type]]="Checklist",changes[[#This Row],[Type]]="checklist-flat"),1+IF(changes[[#This Row],[Type of change]] = "Edit",COUNTIFS($I$4:changes[[#This Row],[Name]],changes[[#This Row],[Name]], $E$4:changes[[#This Row],[Type of change]], "Edit")),B1134)</f>
        <v>1</v>
      </c>
      <c r="C1135" s="20">
        <v>44636</v>
      </c>
      <c r="D1135" s="2" t="s">
        <v>2009</v>
      </c>
      <c r="E1135" t="s">
        <v>19</v>
      </c>
      <c r="F1135" s="14" t="s">
        <v>1998</v>
      </c>
      <c r="G1135" s="14" t="s">
        <v>2297</v>
      </c>
      <c r="H1135" t="s">
        <v>2031</v>
      </c>
      <c r="I1135" t="s">
        <v>2301</v>
      </c>
      <c r="K1135" s="3"/>
      <c r="M1135" t="s">
        <v>2167</v>
      </c>
    </row>
    <row r="1136" spans="1:13">
      <c r="A1136" t="s">
        <v>28</v>
      </c>
      <c r="B1136">
        <f ca="1">IF(OR(changes[[#This Row],[Type]]="Checklist",changes[[#This Row],[Type]]="checklist-flat"),1+IF(changes[[#This Row],[Type of change]] = "Edit",COUNTIFS($I$4:changes[[#This Row],[Name]],changes[[#This Row],[Name]], $E$4:changes[[#This Row],[Type of change]], "Edit")),B1135)</f>
        <v>1</v>
      </c>
      <c r="C1136" s="20">
        <v>44636</v>
      </c>
      <c r="D1136" s="2" t="s">
        <v>2009</v>
      </c>
      <c r="E1136" t="s">
        <v>19</v>
      </c>
      <c r="F1136" s="14" t="s">
        <v>1998</v>
      </c>
      <c r="G1136" s="14" t="s">
        <v>2297</v>
      </c>
      <c r="H1136" t="s">
        <v>2031</v>
      </c>
      <c r="I1136" t="s">
        <v>2302</v>
      </c>
      <c r="K1136" s="3"/>
      <c r="M1136" t="s">
        <v>2167</v>
      </c>
    </row>
    <row r="1137" spans="1:13">
      <c r="A1137" t="s">
        <v>28</v>
      </c>
      <c r="B1137">
        <f ca="1">IF(OR(changes[[#This Row],[Type]]="Checklist",changes[[#This Row],[Type]]="checklist-flat"),1+IF(changes[[#This Row],[Type of change]] = "Edit",COUNTIFS($I$4:changes[[#This Row],[Name]],changes[[#This Row],[Name]], $E$4:changes[[#This Row],[Type of change]], "Edit")),B1136)</f>
        <v>1</v>
      </c>
      <c r="C1137" s="20">
        <v>44636</v>
      </c>
      <c r="D1137" s="2" t="s">
        <v>2009</v>
      </c>
      <c r="E1137" t="s">
        <v>19</v>
      </c>
      <c r="F1137" s="14" t="s">
        <v>1998</v>
      </c>
      <c r="G1137" s="14" t="s">
        <v>2297</v>
      </c>
      <c r="H1137" t="s">
        <v>2031</v>
      </c>
      <c r="I1137" t="s">
        <v>2303</v>
      </c>
      <c r="K1137" s="3"/>
      <c r="M1137" t="s">
        <v>2167</v>
      </c>
    </row>
    <row r="1138" spans="1:13">
      <c r="A1138" t="s">
        <v>28</v>
      </c>
      <c r="B1138">
        <f ca="1">IF(OR(changes[[#This Row],[Type]]="Checklist",changes[[#This Row],[Type]]="checklist-flat"),1+IF(changes[[#This Row],[Type of change]] = "Edit",COUNTIFS($I$4:changes[[#This Row],[Name]],changes[[#This Row],[Name]], $E$4:changes[[#This Row],[Type of change]], "Edit")),B1137)</f>
        <v>1</v>
      </c>
      <c r="C1138" s="20">
        <v>44636</v>
      </c>
      <c r="D1138" s="2" t="s">
        <v>2009</v>
      </c>
      <c r="E1138" t="s">
        <v>19</v>
      </c>
      <c r="F1138" s="14" t="s">
        <v>1998</v>
      </c>
      <c r="G1138" s="14" t="s">
        <v>2297</v>
      </c>
      <c r="H1138" t="s">
        <v>2031</v>
      </c>
      <c r="I1138" t="s">
        <v>2265</v>
      </c>
      <c r="K1138" s="3"/>
      <c r="M1138" t="s">
        <v>2167</v>
      </c>
    </row>
    <row r="1139" spans="1:13">
      <c r="A1139" t="s">
        <v>28</v>
      </c>
      <c r="B1139">
        <f ca="1">IF(OR(changes[[#This Row],[Type]]="Checklist",changes[[#This Row],[Type]]="checklist-flat"),1+IF(changes[[#This Row],[Type of change]] = "Edit",COUNTIFS($I$4:changes[[#This Row],[Name]],changes[[#This Row],[Name]], $E$4:changes[[#This Row],[Type of change]], "Edit")),B1138)</f>
        <v>1</v>
      </c>
      <c r="C1139" s="20">
        <v>44636</v>
      </c>
      <c r="D1139" s="2" t="s">
        <v>2009</v>
      </c>
      <c r="E1139" t="s">
        <v>19</v>
      </c>
      <c r="F1139" s="14" t="s">
        <v>1998</v>
      </c>
      <c r="G1139" s="14" t="s">
        <v>2297</v>
      </c>
      <c r="H1139" t="s">
        <v>2031</v>
      </c>
      <c r="I1139" t="s">
        <v>2266</v>
      </c>
      <c r="K1139" s="3"/>
      <c r="M1139" t="s">
        <v>2167</v>
      </c>
    </row>
    <row r="1140" spans="1:13">
      <c r="A1140" t="s">
        <v>28</v>
      </c>
      <c r="B1140">
        <f ca="1">IF(OR(changes[[#This Row],[Type]]="Checklist",changes[[#This Row],[Type]]="checklist-flat"),1+IF(changes[[#This Row],[Type of change]] = "Edit",COUNTIFS($I$4:changes[[#This Row],[Name]],changes[[#This Row],[Name]], $E$4:changes[[#This Row],[Type of change]], "Edit")),B1139)</f>
        <v>1</v>
      </c>
      <c r="C1140" s="20">
        <v>44636</v>
      </c>
      <c r="D1140" s="2" t="s">
        <v>2009</v>
      </c>
      <c r="E1140" t="s">
        <v>19</v>
      </c>
      <c r="F1140" s="14" t="s">
        <v>1998</v>
      </c>
      <c r="G1140" s="14" t="s">
        <v>2297</v>
      </c>
      <c r="H1140" t="s">
        <v>2031</v>
      </c>
      <c r="I1140" t="s">
        <v>2304</v>
      </c>
      <c r="K1140" s="3"/>
      <c r="M1140" t="s">
        <v>2167</v>
      </c>
    </row>
    <row r="1141" spans="1:13">
      <c r="A1141" t="s">
        <v>28</v>
      </c>
      <c r="B1141">
        <f ca="1">IF(OR(changes[[#This Row],[Type]]="Checklist",changes[[#This Row],[Type]]="checklist-flat"),1+IF(changes[[#This Row],[Type of change]] = "Edit",COUNTIFS($I$4:changes[[#This Row],[Name]],changes[[#This Row],[Name]], $E$4:changes[[#This Row],[Type of change]], "Edit")),B1140)</f>
        <v>1</v>
      </c>
      <c r="C1141" s="20">
        <v>44636</v>
      </c>
      <c r="D1141" s="2" t="s">
        <v>2009</v>
      </c>
      <c r="E1141" t="s">
        <v>19</v>
      </c>
      <c r="F1141" s="14" t="s">
        <v>1998</v>
      </c>
      <c r="G1141" s="14" t="s">
        <v>2297</v>
      </c>
      <c r="H1141" t="s">
        <v>2031</v>
      </c>
      <c r="I1141" t="s">
        <v>2305</v>
      </c>
      <c r="K1141" s="3"/>
      <c r="M1141" t="s">
        <v>2167</v>
      </c>
    </row>
    <row r="1142" spans="1:13">
      <c r="A1142" t="s">
        <v>28</v>
      </c>
      <c r="B1142">
        <f ca="1">IF(OR(changes[[#This Row],[Type]]="Checklist",changes[[#This Row],[Type]]="checklist-flat"),1+IF(changes[[#This Row],[Type of change]] = "Edit",COUNTIFS($I$4:changes[[#This Row],[Name]],changes[[#This Row],[Name]], $E$4:changes[[#This Row],[Type of change]], "Edit")),B1141)</f>
        <v>1</v>
      </c>
      <c r="C1142" s="20">
        <v>44636</v>
      </c>
      <c r="D1142" s="2" t="s">
        <v>2009</v>
      </c>
      <c r="E1142" t="s">
        <v>19</v>
      </c>
      <c r="F1142" s="14" t="s">
        <v>1998</v>
      </c>
      <c r="G1142" s="14" t="s">
        <v>2297</v>
      </c>
      <c r="H1142" t="s">
        <v>2031</v>
      </c>
      <c r="I1142" t="s">
        <v>2306</v>
      </c>
      <c r="K1142" s="3"/>
      <c r="M1142" t="s">
        <v>2167</v>
      </c>
    </row>
    <row r="1143" spans="1:13">
      <c r="A1143" t="s">
        <v>28</v>
      </c>
      <c r="B1143">
        <f ca="1">IF(OR(changes[[#This Row],[Type]]="Checklist",changes[[#This Row],[Type]]="checklist-flat"),1+IF(changes[[#This Row],[Type of change]] = "Edit",COUNTIFS($I$4:changes[[#This Row],[Name]],changes[[#This Row],[Name]], $E$4:changes[[#This Row],[Type of change]], "Edit")),B1142)</f>
        <v>1</v>
      </c>
      <c r="C1143" s="20">
        <v>44636</v>
      </c>
      <c r="D1143" s="2" t="s">
        <v>2009</v>
      </c>
      <c r="E1143" t="s">
        <v>19</v>
      </c>
      <c r="F1143" s="14" t="s">
        <v>1998</v>
      </c>
      <c r="G1143" s="14" t="s">
        <v>2297</v>
      </c>
      <c r="H1143" t="s">
        <v>2031</v>
      </c>
      <c r="I1143" t="s">
        <v>2040</v>
      </c>
      <c r="K1143" s="3"/>
      <c r="M1143" t="s">
        <v>2167</v>
      </c>
    </row>
    <row r="1144" spans="1:13">
      <c r="A1144" t="s">
        <v>28</v>
      </c>
      <c r="B1144">
        <f ca="1">IF(OR(changes[[#This Row],[Type]]="Checklist",changes[[#This Row],[Type]]="checklist-flat"),1+IF(changes[[#This Row],[Type of change]] = "Edit",COUNTIFS($I$4:changes[[#This Row],[Name]],changes[[#This Row],[Name]], $E$4:changes[[#This Row],[Type of change]], "Edit")),B1143)</f>
        <v>1</v>
      </c>
      <c r="C1144" s="20">
        <v>44636</v>
      </c>
      <c r="D1144" s="2" t="s">
        <v>2009</v>
      </c>
      <c r="E1144" t="s">
        <v>19</v>
      </c>
      <c r="F1144" s="14" t="s">
        <v>1998</v>
      </c>
      <c r="G1144" s="14" t="s">
        <v>2297</v>
      </c>
      <c r="H1144" t="s">
        <v>2041</v>
      </c>
      <c r="I1144" t="s">
        <v>2272</v>
      </c>
      <c r="K1144" s="3"/>
      <c r="M1144" t="s">
        <v>2167</v>
      </c>
    </row>
    <row r="1145" spans="1:13">
      <c r="A1145" t="s">
        <v>28</v>
      </c>
      <c r="B1145">
        <f ca="1">IF(OR(changes[[#This Row],[Type]]="Checklist",changes[[#This Row],[Type]]="checklist-flat"),1+IF(changes[[#This Row],[Type of change]] = "Edit",COUNTIFS($I$4:changes[[#This Row],[Name]],changes[[#This Row],[Name]], $E$4:changes[[#This Row],[Type of change]], "Edit")),B1144)</f>
        <v>1</v>
      </c>
      <c r="C1145" s="20">
        <v>44636</v>
      </c>
      <c r="D1145" s="2" t="s">
        <v>2009</v>
      </c>
      <c r="E1145" t="s">
        <v>19</v>
      </c>
      <c r="F1145" s="14" t="s">
        <v>1998</v>
      </c>
      <c r="G1145" s="14" t="s">
        <v>2297</v>
      </c>
      <c r="H1145" t="s">
        <v>2041</v>
      </c>
      <c r="I1145" t="s">
        <v>2273</v>
      </c>
      <c r="K1145" s="3"/>
      <c r="M1145" t="s">
        <v>2167</v>
      </c>
    </row>
    <row r="1146" spans="1:13">
      <c r="A1146" t="s">
        <v>28</v>
      </c>
      <c r="B1146">
        <f ca="1">IF(OR(changes[[#This Row],[Type]]="Checklist",changes[[#This Row],[Type]]="checklist-flat"),1+IF(changes[[#This Row],[Type of change]] = "Edit",COUNTIFS($I$4:changes[[#This Row],[Name]],changes[[#This Row],[Name]], $E$4:changes[[#This Row],[Type of change]], "Edit")),B1145)</f>
        <v>1</v>
      </c>
      <c r="C1146" s="20">
        <v>44636</v>
      </c>
      <c r="D1146" s="2" t="s">
        <v>2009</v>
      </c>
      <c r="E1146" t="s">
        <v>19</v>
      </c>
      <c r="F1146" s="14" t="s">
        <v>1998</v>
      </c>
      <c r="G1146" s="14" t="s">
        <v>2297</v>
      </c>
      <c r="H1146" t="s">
        <v>2041</v>
      </c>
      <c r="I1146" t="s">
        <v>2202</v>
      </c>
      <c r="K1146" s="3"/>
      <c r="M1146" t="s">
        <v>2167</v>
      </c>
    </row>
    <row r="1147" spans="1:13">
      <c r="A1147" t="s">
        <v>28</v>
      </c>
      <c r="B1147">
        <f ca="1">IF(OR(changes[[#This Row],[Type]]="Checklist",changes[[#This Row],[Type]]="checklist-flat"),1+IF(changes[[#This Row],[Type of change]] = "Edit",COUNTIFS($I$4:changes[[#This Row],[Name]],changes[[#This Row],[Name]], $E$4:changes[[#This Row],[Type of change]], "Edit")),B1146)</f>
        <v>1</v>
      </c>
      <c r="C1147" s="20">
        <v>44636</v>
      </c>
      <c r="D1147" s="2" t="s">
        <v>2009</v>
      </c>
      <c r="E1147" t="s">
        <v>19</v>
      </c>
      <c r="F1147" s="14" t="s">
        <v>1998</v>
      </c>
      <c r="G1147" s="14" t="s">
        <v>2297</v>
      </c>
      <c r="H1147" t="s">
        <v>2041</v>
      </c>
      <c r="I1147" t="s">
        <v>2274</v>
      </c>
      <c r="K1147" s="3"/>
      <c r="M1147" t="s">
        <v>2167</v>
      </c>
    </row>
    <row r="1148" spans="1:13">
      <c r="A1148" t="s">
        <v>28</v>
      </c>
      <c r="B1148">
        <f ca="1">IF(OR(changes[[#This Row],[Type]]="Checklist",changes[[#This Row],[Type]]="checklist-flat"),1+IF(changes[[#This Row],[Type of change]] = "Edit",COUNTIFS($I$4:changes[[#This Row],[Name]],changes[[#This Row],[Name]], $E$4:changes[[#This Row],[Type of change]], "Edit")),B1147)</f>
        <v>1</v>
      </c>
      <c r="C1148" s="20">
        <v>44636</v>
      </c>
      <c r="D1148" s="2" t="s">
        <v>2009</v>
      </c>
      <c r="E1148" t="s">
        <v>19</v>
      </c>
      <c r="F1148" s="14" t="s">
        <v>1998</v>
      </c>
      <c r="G1148" s="14" t="s">
        <v>2297</v>
      </c>
      <c r="H1148" t="s">
        <v>2031</v>
      </c>
      <c r="I1148" t="s">
        <v>2275</v>
      </c>
      <c r="K1148" s="3"/>
      <c r="M1148" t="s">
        <v>2167</v>
      </c>
    </row>
    <row r="1149" spans="1:13">
      <c r="A1149" t="s">
        <v>28</v>
      </c>
      <c r="B1149">
        <f ca="1">IF(OR(changes[[#This Row],[Type]]="Checklist",changes[[#This Row],[Type]]="checklist-flat"),1+IF(changes[[#This Row],[Type of change]] = "Edit",COUNTIFS($I$4:changes[[#This Row],[Name]],changes[[#This Row],[Name]], $E$4:changes[[#This Row],[Type of change]], "Edit")),B1148)</f>
        <v>1</v>
      </c>
      <c r="C1149" s="20">
        <v>44636</v>
      </c>
      <c r="D1149" s="2" t="s">
        <v>2009</v>
      </c>
      <c r="E1149" t="s">
        <v>19</v>
      </c>
      <c r="F1149" s="14" t="s">
        <v>1998</v>
      </c>
      <c r="G1149" s="14" t="s">
        <v>2297</v>
      </c>
      <c r="H1149" t="s">
        <v>58</v>
      </c>
      <c r="I1149" t="s">
        <v>1068</v>
      </c>
      <c r="K1149" s="3"/>
      <c r="M1149" t="s">
        <v>2167</v>
      </c>
    </row>
    <row r="1150" spans="1:13">
      <c r="A1150" t="s">
        <v>28</v>
      </c>
      <c r="B1150">
        <f ca="1">IF(OR(changes[[#This Row],[Type]]="Checklist",changes[[#This Row],[Type]]="checklist-flat"),1+IF(changes[[#This Row],[Type of change]] = "Edit",COUNTIFS($I$4:changes[[#This Row],[Name]],changes[[#This Row],[Name]], $E$4:changes[[#This Row],[Type of change]], "Edit")),B1149)</f>
        <v>1</v>
      </c>
      <c r="C1150" s="20">
        <v>44636</v>
      </c>
      <c r="D1150" s="2" t="s">
        <v>2009</v>
      </c>
      <c r="E1150" t="s">
        <v>19</v>
      </c>
      <c r="F1150" s="14" t="s">
        <v>1998</v>
      </c>
      <c r="G1150" s="14" t="s">
        <v>2307</v>
      </c>
      <c r="H1150" t="s">
        <v>43</v>
      </c>
      <c r="I1150" t="s">
        <v>2307</v>
      </c>
      <c r="K1150" s="3"/>
      <c r="M1150" t="s">
        <v>2167</v>
      </c>
    </row>
    <row r="1151" spans="1:13">
      <c r="A1151" t="s">
        <v>28</v>
      </c>
      <c r="B1151">
        <f ca="1">IF(OR(changes[[#This Row],[Type]]="Checklist",changes[[#This Row],[Type]]="checklist-flat"),1+IF(changes[[#This Row],[Type of change]] = "Edit",COUNTIFS($I$4:changes[[#This Row],[Name]],changes[[#This Row],[Name]], $E$4:changes[[#This Row],[Type of change]], "Edit")),B1150)</f>
        <v>1</v>
      </c>
      <c r="C1151" s="20">
        <v>44636</v>
      </c>
      <c r="D1151" s="2" t="s">
        <v>2009</v>
      </c>
      <c r="E1151" t="s">
        <v>19</v>
      </c>
      <c r="F1151" s="14" t="s">
        <v>1998</v>
      </c>
      <c r="G1151" s="14" t="s">
        <v>2307</v>
      </c>
      <c r="H1151" t="s">
        <v>49</v>
      </c>
      <c r="I1151" t="s">
        <v>2308</v>
      </c>
      <c r="K1151" s="3"/>
      <c r="M1151" t="s">
        <v>2167</v>
      </c>
    </row>
    <row r="1152" spans="1:13">
      <c r="A1152" t="s">
        <v>28</v>
      </c>
      <c r="B1152">
        <f ca="1">IF(OR(changes[[#This Row],[Type]]="Checklist",changes[[#This Row],[Type]]="checklist-flat"),1+IF(changes[[#This Row],[Type of change]] = "Edit",COUNTIFS($I$4:changes[[#This Row],[Name]],changes[[#This Row],[Name]], $E$4:changes[[#This Row],[Type of change]], "Edit")),B1151)</f>
        <v>1</v>
      </c>
      <c r="C1152" s="20">
        <v>44636</v>
      </c>
      <c r="D1152" s="2" t="s">
        <v>2009</v>
      </c>
      <c r="E1152" t="s">
        <v>19</v>
      </c>
      <c r="F1152" s="14" t="s">
        <v>1998</v>
      </c>
      <c r="G1152" s="14" t="s">
        <v>2307</v>
      </c>
      <c r="H1152" t="s">
        <v>131</v>
      </c>
      <c r="I1152" t="s">
        <v>2309</v>
      </c>
      <c r="K1152" s="3"/>
      <c r="M1152" t="s">
        <v>2167</v>
      </c>
    </row>
    <row r="1153" spans="1:13">
      <c r="A1153" t="s">
        <v>28</v>
      </c>
      <c r="B1153">
        <f ca="1">IF(OR(changes[[#This Row],[Type]]="Checklist",changes[[#This Row],[Type]]="checklist-flat"),1+IF(changes[[#This Row],[Type of change]] = "Edit",COUNTIFS($I$4:changes[[#This Row],[Name]],changes[[#This Row],[Name]], $E$4:changes[[#This Row],[Type of change]], "Edit")),B1152)</f>
        <v>1</v>
      </c>
      <c r="C1153" s="20">
        <v>44636</v>
      </c>
      <c r="D1153" s="2" t="s">
        <v>2009</v>
      </c>
      <c r="E1153" t="s">
        <v>19</v>
      </c>
      <c r="F1153" s="14" t="s">
        <v>1998</v>
      </c>
      <c r="G1153" s="14" t="s">
        <v>2307</v>
      </c>
      <c r="H1153" t="s">
        <v>131</v>
      </c>
      <c r="I1153" t="s">
        <v>2310</v>
      </c>
      <c r="K1153" s="3"/>
      <c r="M1153" t="s">
        <v>2167</v>
      </c>
    </row>
    <row r="1154" spans="1:13">
      <c r="A1154" t="s">
        <v>28</v>
      </c>
      <c r="B1154">
        <f ca="1">IF(OR(changes[[#This Row],[Type]]="Checklist",changes[[#This Row],[Type]]="checklist-flat"),1+IF(changes[[#This Row],[Type of change]] = "Edit",COUNTIFS($I$4:changes[[#This Row],[Name]],changes[[#This Row],[Name]], $E$4:changes[[#This Row],[Type of change]], "Edit")),B1153)</f>
        <v>1</v>
      </c>
      <c r="C1154" s="20">
        <v>44636</v>
      </c>
      <c r="D1154" s="2" t="s">
        <v>2009</v>
      </c>
      <c r="E1154" t="s">
        <v>19</v>
      </c>
      <c r="F1154" s="14" t="s">
        <v>1998</v>
      </c>
      <c r="G1154" s="14" t="s">
        <v>2307</v>
      </c>
      <c r="H1154" t="s">
        <v>58</v>
      </c>
      <c r="I1154" t="s">
        <v>1068</v>
      </c>
      <c r="K1154" s="3"/>
      <c r="M1154" t="s">
        <v>2167</v>
      </c>
    </row>
    <row r="1155" spans="1:13">
      <c r="A1155" t="s">
        <v>28</v>
      </c>
      <c r="B1155">
        <f ca="1">IF(OR(changes[[#This Row],[Type]]="Checklist",changes[[#This Row],[Type]]="checklist-flat"),1+IF(changes[[#This Row],[Type of change]] = "Edit",COUNTIFS($I$4:changes[[#This Row],[Name]],changes[[#This Row],[Name]], $E$4:changes[[#This Row],[Type of change]], "Edit")),B1154)</f>
        <v>1</v>
      </c>
      <c r="C1155" s="20">
        <v>44636</v>
      </c>
      <c r="D1155" s="2" t="s">
        <v>2009</v>
      </c>
      <c r="E1155" t="s">
        <v>19</v>
      </c>
      <c r="F1155" s="14" t="s">
        <v>1998</v>
      </c>
      <c r="G1155" s="14" t="s">
        <v>2311</v>
      </c>
      <c r="H1155" t="s">
        <v>43</v>
      </c>
      <c r="I1155" t="s">
        <v>2311</v>
      </c>
      <c r="K1155" s="3"/>
      <c r="M1155" t="s">
        <v>2167</v>
      </c>
    </row>
    <row r="1156" spans="1:13">
      <c r="A1156" t="s">
        <v>28</v>
      </c>
      <c r="B1156">
        <f ca="1">IF(OR(changes[[#This Row],[Type]]="Checklist",changes[[#This Row],[Type]]="checklist-flat"),1+IF(changes[[#This Row],[Type of change]] = "Edit",COUNTIFS($I$4:changes[[#This Row],[Name]],changes[[#This Row],[Name]], $E$4:changes[[#This Row],[Type of change]], "Edit")),B1155)</f>
        <v>1</v>
      </c>
      <c r="C1156" s="20">
        <v>44636</v>
      </c>
      <c r="D1156" s="2" t="s">
        <v>2009</v>
      </c>
      <c r="E1156" t="s">
        <v>19</v>
      </c>
      <c r="F1156" s="14" t="s">
        <v>1998</v>
      </c>
      <c r="G1156" s="14" t="s">
        <v>2311</v>
      </c>
      <c r="H1156" t="s">
        <v>49</v>
      </c>
      <c r="I1156" t="s">
        <v>2312</v>
      </c>
      <c r="K1156" s="3"/>
      <c r="M1156" t="s">
        <v>2167</v>
      </c>
    </row>
    <row r="1157" spans="1:13">
      <c r="A1157" t="s">
        <v>28</v>
      </c>
      <c r="B1157">
        <f ca="1">IF(OR(changes[[#This Row],[Type]]="Checklist",changes[[#This Row],[Type]]="checklist-flat"),1+IF(changes[[#This Row],[Type of change]] = "Edit",COUNTIFS($I$4:changes[[#This Row],[Name]],changes[[#This Row],[Name]], $E$4:changes[[#This Row],[Type of change]], "Edit")),B1156)</f>
        <v>1</v>
      </c>
      <c r="C1157" s="20">
        <v>44636</v>
      </c>
      <c r="D1157" s="2" t="s">
        <v>2009</v>
      </c>
      <c r="E1157" t="s">
        <v>19</v>
      </c>
      <c r="F1157" s="14" t="s">
        <v>1998</v>
      </c>
      <c r="G1157" s="14" t="s">
        <v>2311</v>
      </c>
      <c r="H1157" t="s">
        <v>131</v>
      </c>
      <c r="I1157" t="s">
        <v>2313</v>
      </c>
      <c r="K1157" s="3"/>
      <c r="M1157" t="s">
        <v>2167</v>
      </c>
    </row>
    <row r="1158" spans="1:13">
      <c r="A1158" t="s">
        <v>28</v>
      </c>
      <c r="B1158">
        <f ca="1">IF(OR(changes[[#This Row],[Type]]="Checklist",changes[[#This Row],[Type]]="checklist-flat"),1+IF(changes[[#This Row],[Type of change]] = "Edit",COUNTIFS($I$4:changes[[#This Row],[Name]],changes[[#This Row],[Name]], $E$4:changes[[#This Row],[Type of change]], "Edit")),B1157)</f>
        <v>1</v>
      </c>
      <c r="C1158" s="20">
        <v>44636</v>
      </c>
      <c r="D1158" s="2" t="s">
        <v>2009</v>
      </c>
      <c r="E1158" t="s">
        <v>19</v>
      </c>
      <c r="F1158" s="14" t="s">
        <v>1998</v>
      </c>
      <c r="G1158" s="14" t="s">
        <v>2311</v>
      </c>
      <c r="H1158" t="s">
        <v>131</v>
      </c>
      <c r="I1158" t="s">
        <v>2314</v>
      </c>
      <c r="K1158" s="3"/>
      <c r="M1158" t="s">
        <v>2167</v>
      </c>
    </row>
    <row r="1159" spans="1:13">
      <c r="A1159" t="s">
        <v>28</v>
      </c>
      <c r="B1159">
        <f ca="1">IF(OR(changes[[#This Row],[Type]]="Checklist",changes[[#This Row],[Type]]="checklist-flat"),1+IF(changes[[#This Row],[Type of change]] = "Edit",COUNTIFS($I$4:changes[[#This Row],[Name]],changes[[#This Row],[Name]], $E$4:changes[[#This Row],[Type of change]], "Edit")),B1158)</f>
        <v>1</v>
      </c>
      <c r="C1159" s="20">
        <v>44636</v>
      </c>
      <c r="D1159" s="2" t="s">
        <v>2009</v>
      </c>
      <c r="E1159" t="s">
        <v>19</v>
      </c>
      <c r="F1159" s="14" t="s">
        <v>1998</v>
      </c>
      <c r="G1159" s="14" t="s">
        <v>2311</v>
      </c>
      <c r="H1159" t="s">
        <v>131</v>
      </c>
      <c r="I1159" t="s">
        <v>2315</v>
      </c>
      <c r="K1159" s="3"/>
      <c r="M1159" t="s">
        <v>2167</v>
      </c>
    </row>
    <row r="1160" spans="1:13">
      <c r="A1160" t="s">
        <v>28</v>
      </c>
      <c r="B1160">
        <f ca="1">IF(OR(changes[[#This Row],[Type]]="Checklist",changes[[#This Row],[Type]]="checklist-flat"),1+IF(changes[[#This Row],[Type of change]] = "Edit",COUNTIFS($I$4:changes[[#This Row],[Name]],changes[[#This Row],[Name]], $E$4:changes[[#This Row],[Type of change]], "Edit")),B1159)</f>
        <v>1</v>
      </c>
      <c r="C1160" s="20">
        <v>44636</v>
      </c>
      <c r="D1160" s="2" t="s">
        <v>2009</v>
      </c>
      <c r="E1160" t="s">
        <v>19</v>
      </c>
      <c r="F1160" s="14" t="s">
        <v>1998</v>
      </c>
      <c r="G1160" s="14" t="s">
        <v>2311</v>
      </c>
      <c r="H1160" t="s">
        <v>131</v>
      </c>
      <c r="I1160" t="s">
        <v>2316</v>
      </c>
      <c r="K1160" s="3"/>
      <c r="M1160" t="s">
        <v>2167</v>
      </c>
    </row>
    <row r="1161" spans="1:13">
      <c r="A1161" t="s">
        <v>28</v>
      </c>
      <c r="B1161">
        <f ca="1">IF(OR(changes[[#This Row],[Type]]="Checklist",changes[[#This Row],[Type]]="checklist-flat"),1+IF(changes[[#This Row],[Type of change]] = "Edit",COUNTIFS($I$4:changes[[#This Row],[Name]],changes[[#This Row],[Name]], $E$4:changes[[#This Row],[Type of change]], "Edit")),B1160)</f>
        <v>1</v>
      </c>
      <c r="C1161" s="20">
        <v>44636</v>
      </c>
      <c r="D1161" s="2" t="s">
        <v>2009</v>
      </c>
      <c r="E1161" t="s">
        <v>19</v>
      </c>
      <c r="F1161" s="14" t="s">
        <v>1998</v>
      </c>
      <c r="G1161" s="14" t="s">
        <v>2311</v>
      </c>
      <c r="H1161" t="s">
        <v>1739</v>
      </c>
      <c r="I1161" t="s">
        <v>2317</v>
      </c>
      <c r="K1161" s="3"/>
      <c r="M1161" t="s">
        <v>2167</v>
      </c>
    </row>
    <row r="1162" spans="1:13">
      <c r="A1162" t="s">
        <v>28</v>
      </c>
      <c r="B1162">
        <f ca="1">IF(OR(changes[[#This Row],[Type]]="Checklist",changes[[#This Row],[Type]]="checklist-flat"),1+IF(changes[[#This Row],[Type of change]] = "Edit",COUNTIFS($I$4:changes[[#This Row],[Name]],changes[[#This Row],[Name]], $E$4:changes[[#This Row],[Type of change]], "Edit")),B1161)</f>
        <v>1</v>
      </c>
      <c r="C1162" s="20">
        <v>44636</v>
      </c>
      <c r="D1162" s="2" t="s">
        <v>2009</v>
      </c>
      <c r="E1162" t="s">
        <v>19</v>
      </c>
      <c r="F1162" s="14" t="s">
        <v>1998</v>
      </c>
      <c r="G1162" s="14" t="s">
        <v>2311</v>
      </c>
      <c r="H1162" t="s">
        <v>1739</v>
      </c>
      <c r="I1162" t="s">
        <v>2318</v>
      </c>
      <c r="K1162" s="3"/>
      <c r="M1162" t="s">
        <v>2167</v>
      </c>
    </row>
    <row r="1163" spans="1:13">
      <c r="A1163" t="s">
        <v>28</v>
      </c>
      <c r="B1163">
        <f ca="1">IF(OR(changes[[#This Row],[Type]]="Checklist",changes[[#This Row],[Type]]="checklist-flat"),1+IF(changes[[#This Row],[Type of change]] = "Edit",COUNTIFS($I$4:changes[[#This Row],[Name]],changes[[#This Row],[Name]], $E$4:changes[[#This Row],[Type of change]], "Edit")),B1162)</f>
        <v>1</v>
      </c>
      <c r="C1163" s="20">
        <v>44636</v>
      </c>
      <c r="D1163" s="2" t="s">
        <v>2009</v>
      </c>
      <c r="E1163" t="s">
        <v>19</v>
      </c>
      <c r="F1163" s="14" t="s">
        <v>1998</v>
      </c>
      <c r="G1163" s="14" t="s">
        <v>2311</v>
      </c>
      <c r="H1163" t="s">
        <v>131</v>
      </c>
      <c r="I1163" t="s">
        <v>2319</v>
      </c>
      <c r="K1163" s="3"/>
      <c r="M1163" t="s">
        <v>2167</v>
      </c>
    </row>
    <row r="1164" spans="1:13">
      <c r="A1164" t="s">
        <v>28</v>
      </c>
      <c r="B1164">
        <f ca="1">IF(OR(changes[[#This Row],[Type]]="Checklist",changes[[#This Row],[Type]]="checklist-flat"),1+IF(changes[[#This Row],[Type of change]] = "Edit",COUNTIFS($I$4:changes[[#This Row],[Name]],changes[[#This Row],[Name]], $E$4:changes[[#This Row],[Type of change]], "Edit")),B1163)</f>
        <v>1</v>
      </c>
      <c r="C1164" s="20">
        <v>44636</v>
      </c>
      <c r="D1164" s="2" t="s">
        <v>2009</v>
      </c>
      <c r="E1164" t="s">
        <v>19</v>
      </c>
      <c r="F1164" s="14" t="s">
        <v>1998</v>
      </c>
      <c r="G1164" s="14" t="s">
        <v>2311</v>
      </c>
      <c r="H1164" t="s">
        <v>131</v>
      </c>
      <c r="I1164" t="s">
        <v>2320</v>
      </c>
      <c r="K1164" s="3"/>
      <c r="M1164" t="s">
        <v>2167</v>
      </c>
    </row>
    <row r="1165" spans="1:13">
      <c r="A1165" t="s">
        <v>28</v>
      </c>
      <c r="B1165">
        <f ca="1">IF(OR(changes[[#This Row],[Type]]="Checklist",changes[[#This Row],[Type]]="checklist-flat"),1+IF(changes[[#This Row],[Type of change]] = "Edit",COUNTIFS($I$4:changes[[#This Row],[Name]],changes[[#This Row],[Name]], $E$4:changes[[#This Row],[Type of change]], "Edit")),B1164)</f>
        <v>1</v>
      </c>
      <c r="C1165" s="20">
        <v>44636</v>
      </c>
      <c r="D1165" s="2" t="s">
        <v>2009</v>
      </c>
      <c r="E1165" t="s">
        <v>19</v>
      </c>
      <c r="F1165" s="14" t="s">
        <v>1998</v>
      </c>
      <c r="G1165" s="14" t="s">
        <v>2311</v>
      </c>
      <c r="H1165" t="s">
        <v>131</v>
      </c>
      <c r="I1165" t="s">
        <v>2321</v>
      </c>
      <c r="K1165" s="3"/>
      <c r="M1165" t="s">
        <v>2167</v>
      </c>
    </row>
    <row r="1166" spans="1:13">
      <c r="A1166" t="s">
        <v>28</v>
      </c>
      <c r="B1166">
        <f ca="1">IF(OR(changes[[#This Row],[Type]]="Checklist",changes[[#This Row],[Type]]="checklist-flat"),1+IF(changes[[#This Row],[Type of change]] = "Edit",COUNTIFS($I$4:changes[[#This Row],[Name]],changes[[#This Row],[Name]], $E$4:changes[[#This Row],[Type of change]], "Edit")),B1165)</f>
        <v>1</v>
      </c>
      <c r="C1166" s="20">
        <v>44636</v>
      </c>
      <c r="D1166" s="2" t="s">
        <v>2009</v>
      </c>
      <c r="E1166" t="s">
        <v>19</v>
      </c>
      <c r="F1166" s="14" t="s">
        <v>1998</v>
      </c>
      <c r="G1166" s="14" t="s">
        <v>2311</v>
      </c>
      <c r="H1166" t="s">
        <v>131</v>
      </c>
      <c r="I1166" t="s">
        <v>2322</v>
      </c>
      <c r="K1166" s="3"/>
      <c r="M1166" t="s">
        <v>2167</v>
      </c>
    </row>
    <row r="1167" spans="1:13">
      <c r="A1167" t="s">
        <v>28</v>
      </c>
      <c r="B1167">
        <f ca="1">IF(OR(changes[[#This Row],[Type]]="Checklist",changes[[#This Row],[Type]]="checklist-flat"),1+IF(changes[[#This Row],[Type of change]] = "Edit",COUNTIFS($I$4:changes[[#This Row],[Name]],changes[[#This Row],[Name]], $E$4:changes[[#This Row],[Type of change]], "Edit")),B1166)</f>
        <v>1</v>
      </c>
      <c r="C1167" s="20">
        <v>44636</v>
      </c>
      <c r="D1167" s="2" t="s">
        <v>2009</v>
      </c>
      <c r="E1167" t="s">
        <v>19</v>
      </c>
      <c r="F1167" s="14" t="s">
        <v>1998</v>
      </c>
      <c r="G1167" s="14" t="s">
        <v>2311</v>
      </c>
      <c r="H1167" t="s">
        <v>58</v>
      </c>
      <c r="I1167" t="s">
        <v>1068</v>
      </c>
      <c r="K1167" s="3"/>
      <c r="M1167" t="s">
        <v>2167</v>
      </c>
    </row>
    <row r="1168" spans="1:13">
      <c r="A1168" t="s">
        <v>28</v>
      </c>
      <c r="B1168">
        <f ca="1">IF(OR(changes[[#This Row],[Type]]="Checklist",changes[[#This Row],[Type]]="checklist-flat"),1+IF(changes[[#This Row],[Type of change]] = "Edit",COUNTIFS($I$4:changes[[#This Row],[Name]],changes[[#This Row],[Name]], $E$4:changes[[#This Row],[Type of change]], "Edit")),B1167)</f>
        <v>1</v>
      </c>
      <c r="C1168" s="20">
        <v>44636</v>
      </c>
      <c r="D1168" s="2" t="s">
        <v>2009</v>
      </c>
      <c r="E1168" t="s">
        <v>19</v>
      </c>
      <c r="F1168" s="14" t="s">
        <v>1998</v>
      </c>
      <c r="G1168" s="14" t="s">
        <v>2323</v>
      </c>
      <c r="H1168" t="s">
        <v>43</v>
      </c>
      <c r="I1168" t="s">
        <v>2323</v>
      </c>
      <c r="K1168" s="3"/>
      <c r="M1168" t="s">
        <v>2167</v>
      </c>
    </row>
    <row r="1169" spans="1:13">
      <c r="A1169" t="s">
        <v>28</v>
      </c>
      <c r="B1169">
        <f ca="1">IF(OR(changes[[#This Row],[Type]]="Checklist",changes[[#This Row],[Type]]="checklist-flat"),1+IF(changes[[#This Row],[Type of change]] = "Edit",COUNTIFS($I$4:changes[[#This Row],[Name]],changes[[#This Row],[Name]], $E$4:changes[[#This Row],[Type of change]], "Edit")),B1168)</f>
        <v>1</v>
      </c>
      <c r="C1169" s="20">
        <v>44636</v>
      </c>
      <c r="D1169" s="2" t="s">
        <v>2009</v>
      </c>
      <c r="E1169" t="s">
        <v>19</v>
      </c>
      <c r="F1169" s="14" t="s">
        <v>1998</v>
      </c>
      <c r="G1169" s="14" t="s">
        <v>2323</v>
      </c>
      <c r="H1169" t="s">
        <v>49</v>
      </c>
      <c r="I1169" t="s">
        <v>2324</v>
      </c>
      <c r="K1169" s="3"/>
      <c r="M1169" t="s">
        <v>2167</v>
      </c>
    </row>
    <row r="1170" spans="1:13">
      <c r="A1170" t="s">
        <v>28</v>
      </c>
      <c r="B1170">
        <f ca="1">IF(OR(changes[[#This Row],[Type]]="Checklist",changes[[#This Row],[Type]]="checklist-flat"),1+IF(changes[[#This Row],[Type of change]] = "Edit",COUNTIFS($I$4:changes[[#This Row],[Name]],changes[[#This Row],[Name]], $E$4:changes[[#This Row],[Type of change]], "Edit")),B1169)</f>
        <v>1</v>
      </c>
      <c r="C1170" s="20">
        <v>44636</v>
      </c>
      <c r="D1170" s="2" t="s">
        <v>2009</v>
      </c>
      <c r="E1170" t="s">
        <v>19</v>
      </c>
      <c r="F1170" s="14" t="s">
        <v>1998</v>
      </c>
      <c r="G1170" s="14" t="s">
        <v>2323</v>
      </c>
      <c r="H1170" t="s">
        <v>131</v>
      </c>
      <c r="I1170" t="s">
        <v>2278</v>
      </c>
      <c r="K1170" s="3"/>
      <c r="M1170" t="s">
        <v>2167</v>
      </c>
    </row>
    <row r="1171" spans="1:13">
      <c r="A1171" t="s">
        <v>28</v>
      </c>
      <c r="B1171">
        <f ca="1">IF(OR(changes[[#This Row],[Type]]="Checklist",changes[[#This Row],[Type]]="checklist-flat"),1+IF(changes[[#This Row],[Type of change]] = "Edit",COUNTIFS($I$4:changes[[#This Row],[Name]],changes[[#This Row],[Name]], $E$4:changes[[#This Row],[Type of change]], "Edit")),B1170)</f>
        <v>1</v>
      </c>
      <c r="C1171" s="20">
        <v>44636</v>
      </c>
      <c r="D1171" s="2" t="s">
        <v>2009</v>
      </c>
      <c r="E1171" t="s">
        <v>19</v>
      </c>
      <c r="F1171" s="14" t="s">
        <v>1998</v>
      </c>
      <c r="G1171" s="14" t="s">
        <v>2323</v>
      </c>
      <c r="H1171" t="s">
        <v>131</v>
      </c>
      <c r="I1171" t="s">
        <v>2279</v>
      </c>
      <c r="K1171" s="3"/>
      <c r="M1171" t="s">
        <v>2167</v>
      </c>
    </row>
    <row r="1172" spans="1:13">
      <c r="A1172" t="s">
        <v>28</v>
      </c>
      <c r="B1172">
        <f ca="1">IF(OR(changes[[#This Row],[Type]]="Checklist",changes[[#This Row],[Type]]="checklist-flat"),1+IF(changes[[#This Row],[Type of change]] = "Edit",COUNTIFS($I$4:changes[[#This Row],[Name]],changes[[#This Row],[Name]], $E$4:changes[[#This Row],[Type of change]], "Edit")),B1171)</f>
        <v>1</v>
      </c>
      <c r="C1172" s="20">
        <v>44636</v>
      </c>
      <c r="D1172" s="2" t="s">
        <v>2009</v>
      </c>
      <c r="E1172" t="s">
        <v>19</v>
      </c>
      <c r="F1172" s="14" t="s">
        <v>1998</v>
      </c>
      <c r="G1172" s="14" t="s">
        <v>2323</v>
      </c>
      <c r="H1172" t="s">
        <v>131</v>
      </c>
      <c r="I1172" t="s">
        <v>2325</v>
      </c>
      <c r="K1172" s="3"/>
      <c r="M1172" t="s">
        <v>2167</v>
      </c>
    </row>
    <row r="1173" spans="1:13">
      <c r="A1173" t="s">
        <v>28</v>
      </c>
      <c r="B1173">
        <f ca="1">IF(OR(changes[[#This Row],[Type]]="Checklist",changes[[#This Row],[Type]]="checklist-flat"),1+IF(changes[[#This Row],[Type of change]] = "Edit",COUNTIFS($I$4:changes[[#This Row],[Name]],changes[[#This Row],[Name]], $E$4:changes[[#This Row],[Type of change]], "Edit")),B1172)</f>
        <v>1</v>
      </c>
      <c r="C1173" s="20">
        <v>44636</v>
      </c>
      <c r="D1173" s="2" t="s">
        <v>2009</v>
      </c>
      <c r="E1173" t="s">
        <v>19</v>
      </c>
      <c r="F1173" s="14" t="s">
        <v>1998</v>
      </c>
      <c r="G1173" s="14" t="s">
        <v>2323</v>
      </c>
      <c r="H1173" t="s">
        <v>131</v>
      </c>
      <c r="I1173" t="s">
        <v>2040</v>
      </c>
      <c r="K1173" s="3"/>
      <c r="M1173" t="s">
        <v>2167</v>
      </c>
    </row>
    <row r="1174" spans="1:13">
      <c r="A1174" t="s">
        <v>28</v>
      </c>
      <c r="B1174">
        <f ca="1">IF(OR(changes[[#This Row],[Type]]="Checklist",changes[[#This Row],[Type]]="checklist-flat"),1+IF(changes[[#This Row],[Type of change]] = "Edit",COUNTIFS($I$4:changes[[#This Row],[Name]],changes[[#This Row],[Name]], $E$4:changes[[#This Row],[Type of change]], "Edit")),B1173)</f>
        <v>1</v>
      </c>
      <c r="C1174" s="20">
        <v>44636</v>
      </c>
      <c r="D1174" s="2" t="s">
        <v>2009</v>
      </c>
      <c r="E1174" t="s">
        <v>19</v>
      </c>
      <c r="F1174" s="14" t="s">
        <v>1998</v>
      </c>
      <c r="G1174" s="14" t="s">
        <v>2323</v>
      </c>
      <c r="H1174" t="s">
        <v>1739</v>
      </c>
      <c r="I1174" t="s">
        <v>2272</v>
      </c>
      <c r="K1174" s="3"/>
      <c r="M1174" t="s">
        <v>2167</v>
      </c>
    </row>
    <row r="1175" spans="1:13">
      <c r="A1175" t="s">
        <v>28</v>
      </c>
      <c r="B1175">
        <f ca="1">IF(OR(changes[[#This Row],[Type]]="Checklist",changes[[#This Row],[Type]]="checklist-flat"),1+IF(changes[[#This Row],[Type of change]] = "Edit",COUNTIFS($I$4:changes[[#This Row],[Name]],changes[[#This Row],[Name]], $E$4:changes[[#This Row],[Type of change]], "Edit")),B1174)</f>
        <v>1</v>
      </c>
      <c r="C1175" s="20">
        <v>44636</v>
      </c>
      <c r="D1175" s="2" t="s">
        <v>2009</v>
      </c>
      <c r="E1175" t="s">
        <v>19</v>
      </c>
      <c r="F1175" s="14" t="s">
        <v>1998</v>
      </c>
      <c r="G1175" s="14" t="s">
        <v>2323</v>
      </c>
      <c r="H1175" t="s">
        <v>1739</v>
      </c>
      <c r="I1175" t="s">
        <v>2273</v>
      </c>
      <c r="K1175" s="3"/>
      <c r="M1175" t="s">
        <v>2167</v>
      </c>
    </row>
    <row r="1176" spans="1:13">
      <c r="A1176" t="s">
        <v>28</v>
      </c>
      <c r="B1176">
        <f ca="1">IF(OR(changes[[#This Row],[Type]]="Checklist",changes[[#This Row],[Type]]="checklist-flat"),1+IF(changes[[#This Row],[Type of change]] = "Edit",COUNTIFS($I$4:changes[[#This Row],[Name]],changes[[#This Row],[Name]], $E$4:changes[[#This Row],[Type of change]], "Edit")),B1175)</f>
        <v>1</v>
      </c>
      <c r="C1176" s="20">
        <v>44636</v>
      </c>
      <c r="D1176" s="2" t="s">
        <v>2009</v>
      </c>
      <c r="E1176" t="s">
        <v>19</v>
      </c>
      <c r="F1176" s="14" t="s">
        <v>1998</v>
      </c>
      <c r="G1176" s="14" t="s">
        <v>2323</v>
      </c>
      <c r="H1176" t="s">
        <v>1739</v>
      </c>
      <c r="I1176" t="s">
        <v>2202</v>
      </c>
      <c r="K1176" s="3"/>
      <c r="M1176" t="s">
        <v>2167</v>
      </c>
    </row>
    <row r="1177" spans="1:13">
      <c r="A1177" t="s">
        <v>28</v>
      </c>
      <c r="B1177">
        <f ca="1">IF(OR(changes[[#This Row],[Type]]="Checklist",changes[[#This Row],[Type]]="checklist-flat"),1+IF(changes[[#This Row],[Type of change]] = "Edit",COUNTIFS($I$4:changes[[#This Row],[Name]],changes[[#This Row],[Name]], $E$4:changes[[#This Row],[Type of change]], "Edit")),B1176)</f>
        <v>1</v>
      </c>
      <c r="C1177" s="20">
        <v>44636</v>
      </c>
      <c r="D1177" s="2" t="s">
        <v>2009</v>
      </c>
      <c r="E1177" t="s">
        <v>19</v>
      </c>
      <c r="F1177" s="14" t="s">
        <v>1998</v>
      </c>
      <c r="G1177" s="14" t="s">
        <v>2323</v>
      </c>
      <c r="H1177" t="s">
        <v>1739</v>
      </c>
      <c r="I1177" t="s">
        <v>2274</v>
      </c>
      <c r="K1177" s="3"/>
      <c r="M1177" t="s">
        <v>2167</v>
      </c>
    </row>
    <row r="1178" spans="1:13">
      <c r="A1178" t="s">
        <v>28</v>
      </c>
      <c r="B1178">
        <f ca="1">IF(OR(changes[[#This Row],[Type]]="Checklist",changes[[#This Row],[Type]]="checklist-flat"),1+IF(changes[[#This Row],[Type of change]] = "Edit",COUNTIFS($I$4:changes[[#This Row],[Name]],changes[[#This Row],[Name]], $E$4:changes[[#This Row],[Type of change]], "Edit")),B1177)</f>
        <v>1</v>
      </c>
      <c r="C1178" s="20">
        <v>44636</v>
      </c>
      <c r="D1178" s="2" t="s">
        <v>2009</v>
      </c>
      <c r="E1178" t="s">
        <v>19</v>
      </c>
      <c r="F1178" s="14" t="s">
        <v>1998</v>
      </c>
      <c r="G1178" s="14" t="s">
        <v>2323</v>
      </c>
      <c r="H1178" t="s">
        <v>131</v>
      </c>
      <c r="I1178" t="s">
        <v>2275</v>
      </c>
      <c r="K1178" s="3"/>
      <c r="M1178" t="s">
        <v>2167</v>
      </c>
    </row>
    <row r="1179" spans="1:13">
      <c r="A1179" t="s">
        <v>28</v>
      </c>
      <c r="B1179">
        <f ca="1">IF(OR(changes[[#This Row],[Type]]="Checklist",changes[[#This Row],[Type]]="checklist-flat"),1+IF(changes[[#This Row],[Type of change]] = "Edit",COUNTIFS($I$4:changes[[#This Row],[Name]],changes[[#This Row],[Name]], $E$4:changes[[#This Row],[Type of change]], "Edit")),B1178)</f>
        <v>1</v>
      </c>
      <c r="C1179" s="20">
        <v>44636</v>
      </c>
      <c r="D1179" s="2" t="s">
        <v>2009</v>
      </c>
      <c r="E1179" t="s">
        <v>19</v>
      </c>
      <c r="F1179" s="14" t="s">
        <v>1998</v>
      </c>
      <c r="G1179" s="14" t="s">
        <v>2323</v>
      </c>
      <c r="H1179" t="s">
        <v>58</v>
      </c>
      <c r="I1179" t="s">
        <v>1068</v>
      </c>
      <c r="K1179" s="3"/>
      <c r="M1179" t="s">
        <v>2167</v>
      </c>
    </row>
    <row r="1180" spans="1:13">
      <c r="A1180" t="s">
        <v>28</v>
      </c>
      <c r="B1180">
        <f ca="1">IF(OR(changes[[#This Row],[Type]]="Checklist",changes[[#This Row],[Type]]="checklist-flat"),1+IF(changes[[#This Row],[Type of change]] = "Edit",COUNTIFS($I$4:changes[[#This Row],[Name]],changes[[#This Row],[Name]], $E$4:changes[[#This Row],[Type of change]], "Edit")),B1179)</f>
        <v>1</v>
      </c>
      <c r="C1180" s="20">
        <v>44636</v>
      </c>
      <c r="D1180" s="2" t="s">
        <v>2009</v>
      </c>
      <c r="E1180" t="s">
        <v>19</v>
      </c>
      <c r="F1180" s="14" t="s">
        <v>1998</v>
      </c>
      <c r="G1180" s="14" t="s">
        <v>2029</v>
      </c>
      <c r="H1180" t="s">
        <v>43</v>
      </c>
      <c r="I1180" t="s">
        <v>2029</v>
      </c>
      <c r="K1180" s="3"/>
      <c r="M1180" t="s">
        <v>2167</v>
      </c>
    </row>
    <row r="1181" spans="1:13">
      <c r="A1181" t="s">
        <v>28</v>
      </c>
      <c r="B1181">
        <f ca="1">IF(OR(changes[[#This Row],[Type]]="Checklist",changes[[#This Row],[Type]]="checklist-flat"),1+IF(changes[[#This Row],[Type of change]] = "Edit",COUNTIFS($I$4:changes[[#This Row],[Name]],changes[[#This Row],[Name]], $E$4:changes[[#This Row],[Type of change]], "Edit")),B1180)</f>
        <v>1</v>
      </c>
      <c r="C1181" s="20">
        <v>44636</v>
      </c>
      <c r="D1181" s="2" t="s">
        <v>2009</v>
      </c>
      <c r="E1181" t="s">
        <v>19</v>
      </c>
      <c r="F1181" s="14" t="s">
        <v>1998</v>
      </c>
      <c r="G1181" s="14" t="s">
        <v>2029</v>
      </c>
      <c r="H1181" t="s">
        <v>49</v>
      </c>
      <c r="I1181" t="s">
        <v>2030</v>
      </c>
      <c r="K1181" s="3"/>
      <c r="M1181" t="s">
        <v>2167</v>
      </c>
    </row>
    <row r="1182" spans="1:13">
      <c r="A1182" t="s">
        <v>28</v>
      </c>
      <c r="B1182">
        <f ca="1">IF(OR(changes[[#This Row],[Type]]="Checklist",changes[[#This Row],[Type]]="checklist-flat"),1+IF(changes[[#This Row],[Type of change]] = "Edit",COUNTIFS($I$4:changes[[#This Row],[Name]],changes[[#This Row],[Name]], $E$4:changes[[#This Row],[Type of change]], "Edit")),B1181)</f>
        <v>1</v>
      </c>
      <c r="C1182" s="20">
        <v>44636</v>
      </c>
      <c r="D1182" s="2" t="s">
        <v>2009</v>
      </c>
      <c r="E1182" t="s">
        <v>19</v>
      </c>
      <c r="F1182" s="14" t="s">
        <v>1998</v>
      </c>
      <c r="G1182" s="14" t="s">
        <v>2029</v>
      </c>
      <c r="H1182" t="s">
        <v>2031</v>
      </c>
      <c r="I1182" t="s">
        <v>2032</v>
      </c>
      <c r="K1182" s="3"/>
      <c r="M1182" t="s">
        <v>2167</v>
      </c>
    </row>
    <row r="1183" spans="1:13">
      <c r="A1183" t="s">
        <v>28</v>
      </c>
      <c r="B1183">
        <f ca="1">IF(OR(changes[[#This Row],[Type]]="Checklist",changes[[#This Row],[Type]]="checklist-flat"),1+IF(changes[[#This Row],[Type of change]] = "Edit",COUNTIFS($I$4:changes[[#This Row],[Name]],changes[[#This Row],[Name]], $E$4:changes[[#This Row],[Type of change]], "Edit")),B1182)</f>
        <v>1</v>
      </c>
      <c r="C1183" s="20">
        <v>44636</v>
      </c>
      <c r="D1183" s="2" t="s">
        <v>2009</v>
      </c>
      <c r="E1183" t="s">
        <v>19</v>
      </c>
      <c r="F1183" s="14" t="s">
        <v>1998</v>
      </c>
      <c r="G1183" s="14" t="s">
        <v>2029</v>
      </c>
      <c r="H1183" t="s">
        <v>2031</v>
      </c>
      <c r="I1183" t="s">
        <v>2033</v>
      </c>
      <c r="K1183" s="3"/>
      <c r="M1183" t="s">
        <v>2167</v>
      </c>
    </row>
    <row r="1184" spans="1:13">
      <c r="A1184" t="s">
        <v>28</v>
      </c>
      <c r="B1184">
        <f ca="1">IF(OR(changes[[#This Row],[Type]]="Checklist",changes[[#This Row],[Type]]="checklist-flat"),1+IF(changes[[#This Row],[Type of change]] = "Edit",COUNTIFS($I$4:changes[[#This Row],[Name]],changes[[#This Row],[Name]], $E$4:changes[[#This Row],[Type of change]], "Edit")),B1183)</f>
        <v>1</v>
      </c>
      <c r="C1184" s="20">
        <v>44636</v>
      </c>
      <c r="D1184" s="2" t="s">
        <v>2009</v>
      </c>
      <c r="E1184" t="s">
        <v>19</v>
      </c>
      <c r="F1184" s="14" t="s">
        <v>1998</v>
      </c>
      <c r="G1184" s="14" t="s">
        <v>2029</v>
      </c>
      <c r="H1184" t="s">
        <v>2031</v>
      </c>
      <c r="I1184" t="s">
        <v>2034</v>
      </c>
      <c r="K1184" s="3"/>
      <c r="M1184" t="s">
        <v>2167</v>
      </c>
    </row>
    <row r="1185" spans="1:13">
      <c r="A1185" t="s">
        <v>28</v>
      </c>
      <c r="B1185">
        <f ca="1">IF(OR(changes[[#This Row],[Type]]="Checklist",changes[[#This Row],[Type]]="checklist-flat"),1+IF(changes[[#This Row],[Type of change]] = "Edit",COUNTIFS($I$4:changes[[#This Row],[Name]],changes[[#This Row],[Name]], $E$4:changes[[#This Row],[Type of change]], "Edit")),B1184)</f>
        <v>1</v>
      </c>
      <c r="C1185" s="20">
        <v>44636</v>
      </c>
      <c r="D1185" s="2" t="s">
        <v>2009</v>
      </c>
      <c r="E1185" t="s">
        <v>19</v>
      </c>
      <c r="F1185" s="14" t="s">
        <v>1998</v>
      </c>
      <c r="G1185" s="14" t="s">
        <v>2029</v>
      </c>
      <c r="H1185" t="s">
        <v>2031</v>
      </c>
      <c r="I1185" t="s">
        <v>2035</v>
      </c>
      <c r="K1185" s="3"/>
      <c r="M1185" t="s">
        <v>2167</v>
      </c>
    </row>
    <row r="1186" spans="1:13">
      <c r="A1186" t="s">
        <v>28</v>
      </c>
      <c r="B1186">
        <f ca="1">IF(OR(changes[[#This Row],[Type]]="Checklist",changes[[#This Row],[Type]]="checklist-flat"),1+IF(changes[[#This Row],[Type of change]] = "Edit",COUNTIFS($I$4:changes[[#This Row],[Name]],changes[[#This Row],[Name]], $E$4:changes[[#This Row],[Type of change]], "Edit")),B1185)</f>
        <v>1</v>
      </c>
      <c r="C1186" s="20">
        <v>44636</v>
      </c>
      <c r="D1186" s="2" t="s">
        <v>2009</v>
      </c>
      <c r="E1186" t="s">
        <v>19</v>
      </c>
      <c r="F1186" s="14" t="s">
        <v>1998</v>
      </c>
      <c r="G1186" s="14" t="s">
        <v>2029</v>
      </c>
      <c r="H1186" t="s">
        <v>2031</v>
      </c>
      <c r="I1186" t="s">
        <v>2036</v>
      </c>
      <c r="K1186" s="3"/>
      <c r="M1186" t="s">
        <v>2167</v>
      </c>
    </row>
    <row r="1187" spans="1:13">
      <c r="A1187" t="s">
        <v>28</v>
      </c>
      <c r="B1187">
        <f ca="1">IF(OR(changes[[#This Row],[Type]]="Checklist",changes[[#This Row],[Type]]="checklist-flat"),1+IF(changes[[#This Row],[Type of change]] = "Edit",COUNTIFS($I$4:changes[[#This Row],[Name]],changes[[#This Row],[Name]], $E$4:changes[[#This Row],[Type of change]], "Edit")),B1186)</f>
        <v>1</v>
      </c>
      <c r="C1187" s="20">
        <v>44636</v>
      </c>
      <c r="D1187" s="2" t="s">
        <v>2009</v>
      </c>
      <c r="E1187" t="s">
        <v>19</v>
      </c>
      <c r="F1187" s="14" t="s">
        <v>1998</v>
      </c>
      <c r="G1187" s="14" t="s">
        <v>2029</v>
      </c>
      <c r="H1187" t="s">
        <v>2031</v>
      </c>
      <c r="I1187" t="s">
        <v>2037</v>
      </c>
      <c r="K1187" s="3"/>
      <c r="M1187" t="s">
        <v>2167</v>
      </c>
    </row>
    <row r="1188" spans="1:13">
      <c r="A1188" t="s">
        <v>28</v>
      </c>
      <c r="B1188">
        <f ca="1">IF(OR(changes[[#This Row],[Type]]="Checklist",changes[[#This Row],[Type]]="checklist-flat"),1+IF(changes[[#This Row],[Type of change]] = "Edit",COUNTIFS($I$4:changes[[#This Row],[Name]],changes[[#This Row],[Name]], $E$4:changes[[#This Row],[Type of change]], "Edit")),B1187)</f>
        <v>1</v>
      </c>
      <c r="C1188" s="20">
        <v>44636</v>
      </c>
      <c r="D1188" s="2" t="s">
        <v>2009</v>
      </c>
      <c r="E1188" t="s">
        <v>19</v>
      </c>
      <c r="F1188" s="14" t="s">
        <v>1998</v>
      </c>
      <c r="G1188" s="14" t="s">
        <v>2029</v>
      </c>
      <c r="H1188" t="s">
        <v>2031</v>
      </c>
      <c r="I1188" t="s">
        <v>2038</v>
      </c>
      <c r="K1188" s="3"/>
      <c r="M1188" t="s">
        <v>2167</v>
      </c>
    </row>
    <row r="1189" spans="1:13">
      <c r="A1189" t="s">
        <v>28</v>
      </c>
      <c r="B1189">
        <f ca="1">IF(OR(changes[[#This Row],[Type]]="Checklist",changes[[#This Row],[Type]]="checklist-flat"),1+IF(changes[[#This Row],[Type of change]] = "Edit",COUNTIFS($I$4:changes[[#This Row],[Name]],changes[[#This Row],[Name]], $E$4:changes[[#This Row],[Type of change]], "Edit")),B1188)</f>
        <v>1</v>
      </c>
      <c r="C1189" s="20">
        <v>44636</v>
      </c>
      <c r="D1189" s="2" t="s">
        <v>2009</v>
      </c>
      <c r="E1189" t="s">
        <v>19</v>
      </c>
      <c r="F1189" s="14" t="s">
        <v>1998</v>
      </c>
      <c r="G1189" s="14" t="s">
        <v>2029</v>
      </c>
      <c r="H1189" t="s">
        <v>2031</v>
      </c>
      <c r="I1189" t="s">
        <v>2039</v>
      </c>
      <c r="K1189" s="3"/>
      <c r="M1189" t="s">
        <v>2167</v>
      </c>
    </row>
    <row r="1190" spans="1:13">
      <c r="A1190" t="s">
        <v>28</v>
      </c>
      <c r="B1190">
        <f ca="1">IF(OR(changes[[#This Row],[Type]]="Checklist",changes[[#This Row],[Type]]="checklist-flat"),1+IF(changes[[#This Row],[Type of change]] = "Edit",COUNTIFS($I$4:changes[[#This Row],[Name]],changes[[#This Row],[Name]], $E$4:changes[[#This Row],[Type of change]], "Edit")),B1189)</f>
        <v>1</v>
      </c>
      <c r="C1190" s="20">
        <v>44636</v>
      </c>
      <c r="D1190" s="2" t="s">
        <v>2009</v>
      </c>
      <c r="E1190" t="s">
        <v>19</v>
      </c>
      <c r="F1190" s="14" t="s">
        <v>1998</v>
      </c>
      <c r="G1190" s="14" t="s">
        <v>2029</v>
      </c>
      <c r="H1190" t="s">
        <v>2031</v>
      </c>
      <c r="I1190" t="s">
        <v>2040</v>
      </c>
      <c r="K1190" s="3"/>
      <c r="M1190" t="s">
        <v>2167</v>
      </c>
    </row>
    <row r="1191" spans="1:13">
      <c r="A1191" t="s">
        <v>28</v>
      </c>
      <c r="B1191">
        <f ca="1">IF(OR(changes[[#This Row],[Type]]="Checklist",changes[[#This Row],[Type]]="checklist-flat"),1+IF(changes[[#This Row],[Type of change]] = "Edit",COUNTIFS($I$4:changes[[#This Row],[Name]],changes[[#This Row],[Name]], $E$4:changes[[#This Row],[Type of change]], "Edit")),B1190)</f>
        <v>1</v>
      </c>
      <c r="C1191" s="20">
        <v>44636</v>
      </c>
      <c r="D1191" s="2" t="s">
        <v>2009</v>
      </c>
      <c r="E1191" t="s">
        <v>19</v>
      </c>
      <c r="F1191" s="14" t="s">
        <v>1998</v>
      </c>
      <c r="G1191" s="14" t="s">
        <v>2029</v>
      </c>
      <c r="H1191" t="s">
        <v>2041</v>
      </c>
      <c r="I1191" t="s">
        <v>1399</v>
      </c>
      <c r="K1191" s="3"/>
      <c r="M1191" t="s">
        <v>2167</v>
      </c>
    </row>
    <row r="1192" spans="1:13">
      <c r="A1192" t="s">
        <v>28</v>
      </c>
      <c r="B1192">
        <f ca="1">IF(OR(changes[[#This Row],[Type]]="Checklist",changes[[#This Row],[Type]]="checklist-flat"),1+IF(changes[[#This Row],[Type of change]] = "Edit",COUNTIFS($I$4:changes[[#This Row],[Name]],changes[[#This Row],[Name]], $E$4:changes[[#This Row],[Type of change]], "Edit")),B1191)</f>
        <v>1</v>
      </c>
      <c r="C1192" s="20">
        <v>44636</v>
      </c>
      <c r="D1192" s="2" t="s">
        <v>2009</v>
      </c>
      <c r="E1192" t="s">
        <v>19</v>
      </c>
      <c r="F1192" s="14" t="s">
        <v>1998</v>
      </c>
      <c r="G1192" s="14" t="s">
        <v>2029</v>
      </c>
      <c r="H1192" t="s">
        <v>2041</v>
      </c>
      <c r="I1192" t="s">
        <v>2042</v>
      </c>
      <c r="K1192" s="3"/>
      <c r="M1192" t="s">
        <v>2167</v>
      </c>
    </row>
    <row r="1193" spans="1:13">
      <c r="A1193" t="s">
        <v>28</v>
      </c>
      <c r="B1193">
        <f ca="1">IF(OR(changes[[#This Row],[Type]]="Checklist",changes[[#This Row],[Type]]="checklist-flat"),1+IF(changes[[#This Row],[Type of change]] = "Edit",COUNTIFS($I$4:changes[[#This Row],[Name]],changes[[#This Row],[Name]], $E$4:changes[[#This Row],[Type of change]], "Edit")),B1192)</f>
        <v>1</v>
      </c>
      <c r="C1193" s="20">
        <v>44636</v>
      </c>
      <c r="D1193" s="2" t="s">
        <v>2009</v>
      </c>
      <c r="E1193" t="s">
        <v>19</v>
      </c>
      <c r="F1193" s="14" t="s">
        <v>1998</v>
      </c>
      <c r="G1193" s="14" t="s">
        <v>2029</v>
      </c>
      <c r="H1193" t="s">
        <v>2041</v>
      </c>
      <c r="I1193" t="s">
        <v>2043</v>
      </c>
      <c r="K1193" s="3"/>
      <c r="M1193" t="s">
        <v>2167</v>
      </c>
    </row>
    <row r="1194" spans="1:13">
      <c r="A1194" t="s">
        <v>28</v>
      </c>
      <c r="B1194">
        <f ca="1">IF(OR(changes[[#This Row],[Type]]="Checklist",changes[[#This Row],[Type]]="checklist-flat"),1+IF(changes[[#This Row],[Type of change]] = "Edit",COUNTIFS($I$4:changes[[#This Row],[Name]],changes[[#This Row],[Name]], $E$4:changes[[#This Row],[Type of change]], "Edit")),B1193)</f>
        <v>1</v>
      </c>
      <c r="C1194" s="20">
        <v>44636</v>
      </c>
      <c r="D1194" s="2" t="s">
        <v>2009</v>
      </c>
      <c r="E1194" t="s">
        <v>19</v>
      </c>
      <c r="F1194" s="14" t="s">
        <v>1998</v>
      </c>
      <c r="G1194" s="14" t="s">
        <v>2029</v>
      </c>
      <c r="H1194" t="s">
        <v>2041</v>
      </c>
      <c r="I1194" t="s">
        <v>2044</v>
      </c>
      <c r="K1194" s="3"/>
      <c r="M1194" t="s">
        <v>2167</v>
      </c>
    </row>
    <row r="1195" spans="1:13">
      <c r="A1195" t="s">
        <v>28</v>
      </c>
      <c r="B1195">
        <f ca="1">IF(OR(changes[[#This Row],[Type]]="Checklist",changes[[#This Row],[Type]]="checklist-flat"),1+IF(changes[[#This Row],[Type of change]] = "Edit",COUNTIFS($I$4:changes[[#This Row],[Name]],changes[[#This Row],[Name]], $E$4:changes[[#This Row],[Type of change]], "Edit")),B1194)</f>
        <v>1</v>
      </c>
      <c r="C1195" s="20">
        <v>44636</v>
      </c>
      <c r="D1195" s="2" t="s">
        <v>2009</v>
      </c>
      <c r="E1195" t="s">
        <v>19</v>
      </c>
      <c r="F1195" s="14" t="s">
        <v>1998</v>
      </c>
      <c r="G1195" s="14" t="s">
        <v>2029</v>
      </c>
      <c r="H1195" t="s">
        <v>58</v>
      </c>
      <c r="I1195" t="s">
        <v>1068</v>
      </c>
      <c r="K1195" s="3"/>
      <c r="M1195" t="s">
        <v>2167</v>
      </c>
    </row>
    <row r="1196" spans="1:13">
      <c r="A1196" t="s">
        <v>28</v>
      </c>
      <c r="B1196">
        <f ca="1">IF(OR(changes[[#This Row],[Type]]="Checklist",changes[[#This Row],[Type]]="checklist-flat"),1+IF(changes[[#This Row],[Type of change]] = "Edit",COUNTIFS($I$4:changes[[#This Row],[Name]],changes[[#This Row],[Name]], $E$4:changes[[#This Row],[Type of change]], "Edit")),B1195)</f>
        <v>1</v>
      </c>
      <c r="C1196" s="20">
        <v>44636</v>
      </c>
      <c r="D1196" s="2" t="s">
        <v>2009</v>
      </c>
      <c r="E1196" t="s">
        <v>19</v>
      </c>
      <c r="F1196" s="14" t="s">
        <v>9</v>
      </c>
      <c r="G1196" s="14" t="s">
        <v>663</v>
      </c>
      <c r="H1196" t="s">
        <v>49</v>
      </c>
      <c r="I1196" t="s">
        <v>668</v>
      </c>
      <c r="K1196" s="3"/>
      <c r="M1196" t="s">
        <v>2167</v>
      </c>
    </row>
    <row r="1197" spans="1:13">
      <c r="A1197" t="s">
        <v>28</v>
      </c>
      <c r="B1197">
        <f ca="1">IF(OR(changes[[#This Row],[Type]]="Checklist",changes[[#This Row],[Type]]="checklist-flat"),1+IF(changes[[#This Row],[Type of change]] = "Edit",COUNTIFS($I$4:changes[[#This Row],[Name]],changes[[#This Row],[Name]], $E$4:changes[[#This Row],[Type of change]], "Edit")),B1196)</f>
        <v>1</v>
      </c>
      <c r="C1197" s="20">
        <v>44641</v>
      </c>
      <c r="D1197" s="2" t="s">
        <v>2015</v>
      </c>
      <c r="E1197" t="s">
        <v>27</v>
      </c>
      <c r="F1197" s="14" t="s">
        <v>9</v>
      </c>
      <c r="G1197" t="s">
        <v>983</v>
      </c>
      <c r="H1197" t="s">
        <v>43</v>
      </c>
      <c r="I1197" t="s">
        <v>983</v>
      </c>
      <c r="K1197" s="3"/>
      <c r="M1197" t="s">
        <v>2326</v>
      </c>
    </row>
    <row r="1198" spans="1:13">
      <c r="A1198" t="s">
        <v>28</v>
      </c>
      <c r="B1198">
        <f ca="1">IF(OR(changes[[#This Row],[Type]]="Checklist",changes[[#This Row],[Type]]="checklist-flat"),1+IF(changes[[#This Row],[Type of change]] = "Edit",COUNTIFS($I$4:changes[[#This Row],[Name]],changes[[#This Row],[Name]], $E$4:changes[[#This Row],[Type of change]], "Edit")),B1197)</f>
        <v>1</v>
      </c>
      <c r="C1198" s="20">
        <v>44641</v>
      </c>
      <c r="D1198" s="2" t="s">
        <v>2015</v>
      </c>
      <c r="E1198" t="s">
        <v>27</v>
      </c>
      <c r="F1198" s="14" t="s">
        <v>9</v>
      </c>
      <c r="G1198" t="s">
        <v>983</v>
      </c>
      <c r="H1198" t="s">
        <v>49</v>
      </c>
      <c r="I1198" t="s">
        <v>984</v>
      </c>
      <c r="K1198" s="3"/>
      <c r="M1198" t="s">
        <v>2326</v>
      </c>
    </row>
    <row r="1199" spans="1:13">
      <c r="A1199" t="s">
        <v>28</v>
      </c>
      <c r="B1199">
        <f ca="1">IF(OR(changes[[#This Row],[Type]]="Checklist",changes[[#This Row],[Type]]="checklist-flat"),1+IF(changes[[#This Row],[Type of change]] = "Edit",COUNTIFS($I$4:changes[[#This Row],[Name]],changes[[#This Row],[Name]], $E$4:changes[[#This Row],[Type of change]], "Edit")),B1198)</f>
        <v>1</v>
      </c>
      <c r="C1199" s="20">
        <v>44641</v>
      </c>
      <c r="D1199" s="2" t="s">
        <v>2015</v>
      </c>
      <c r="E1199" t="s">
        <v>27</v>
      </c>
      <c r="F1199" s="14" t="s">
        <v>9</v>
      </c>
      <c r="G1199" t="s">
        <v>983</v>
      </c>
      <c r="H1199" t="s">
        <v>49</v>
      </c>
      <c r="I1199" t="s">
        <v>985</v>
      </c>
      <c r="K1199" s="3"/>
      <c r="M1199" t="s">
        <v>2326</v>
      </c>
    </row>
    <row r="1200" spans="1:13">
      <c r="A1200" t="s">
        <v>28</v>
      </c>
      <c r="B1200">
        <f ca="1">IF(OR(changes[[#This Row],[Type]]="Checklist",changes[[#This Row],[Type]]="checklist-flat"),1+IF(changes[[#This Row],[Type of change]] = "Edit",COUNTIFS($I$4:changes[[#This Row],[Name]],changes[[#This Row],[Name]], $E$4:changes[[#This Row],[Type of change]], "Edit")),B1199)</f>
        <v>1</v>
      </c>
      <c r="C1200" s="20">
        <v>44641</v>
      </c>
      <c r="D1200" s="2" t="s">
        <v>2015</v>
      </c>
      <c r="E1200" t="s">
        <v>27</v>
      </c>
      <c r="F1200" s="14" t="s">
        <v>9</v>
      </c>
      <c r="G1200" t="s">
        <v>983</v>
      </c>
      <c r="H1200" t="s">
        <v>49</v>
      </c>
      <c r="I1200" t="s">
        <v>986</v>
      </c>
      <c r="K1200" s="3"/>
      <c r="M1200" t="s">
        <v>2326</v>
      </c>
    </row>
    <row r="1201" spans="1:13">
      <c r="A1201" t="s">
        <v>28</v>
      </c>
      <c r="B1201">
        <f ca="1">IF(OR(changes[[#This Row],[Type]]="Checklist",changes[[#This Row],[Type]]="checklist-flat"),1+IF(changes[[#This Row],[Type of change]] = "Edit",COUNTIFS($I$4:changes[[#This Row],[Name]],changes[[#This Row],[Name]], $E$4:changes[[#This Row],[Type of change]], "Edit")),B1200)</f>
        <v>1</v>
      </c>
      <c r="C1201" s="20">
        <v>44641</v>
      </c>
      <c r="D1201" s="2" t="s">
        <v>2015</v>
      </c>
      <c r="E1201" t="s">
        <v>27</v>
      </c>
      <c r="F1201" s="14" t="s">
        <v>9</v>
      </c>
      <c r="G1201" t="s">
        <v>983</v>
      </c>
      <c r="H1201" t="s">
        <v>49</v>
      </c>
      <c r="I1201" t="s">
        <v>987</v>
      </c>
      <c r="K1201" s="3"/>
      <c r="M1201" t="s">
        <v>2326</v>
      </c>
    </row>
    <row r="1202" spans="1:13">
      <c r="A1202" t="s">
        <v>28</v>
      </c>
      <c r="B1202">
        <f ca="1">IF(OR(changes[[#This Row],[Type]]="Checklist",changes[[#This Row],[Type]]="checklist-flat"),1+IF(changes[[#This Row],[Type of change]] = "Edit",COUNTIFS($I$4:changes[[#This Row],[Name]],changes[[#This Row],[Name]], $E$4:changes[[#This Row],[Type of change]], "Edit")),B1201)</f>
        <v>1</v>
      </c>
      <c r="C1202" s="20">
        <v>44641</v>
      </c>
      <c r="D1202" s="2" t="s">
        <v>2015</v>
      </c>
      <c r="E1202" t="s">
        <v>27</v>
      </c>
      <c r="F1202" s="14" t="s">
        <v>9</v>
      </c>
      <c r="G1202" t="s">
        <v>988</v>
      </c>
      <c r="H1202" t="s">
        <v>43</v>
      </c>
      <c r="I1202" t="s">
        <v>988</v>
      </c>
      <c r="K1202" s="3"/>
      <c r="M1202" t="s">
        <v>2326</v>
      </c>
    </row>
    <row r="1203" spans="1:13">
      <c r="A1203" t="s">
        <v>28</v>
      </c>
      <c r="B1203">
        <f ca="1">IF(OR(changes[[#This Row],[Type]]="Checklist",changes[[#This Row],[Type]]="checklist-flat"),1+IF(changes[[#This Row],[Type of change]] = "Edit",COUNTIFS($I$4:changes[[#This Row],[Name]],changes[[#This Row],[Name]], $E$4:changes[[#This Row],[Type of change]], "Edit")),B1202)</f>
        <v>1</v>
      </c>
      <c r="C1203" s="20">
        <v>44641</v>
      </c>
      <c r="D1203" s="2" t="s">
        <v>2015</v>
      </c>
      <c r="E1203" t="s">
        <v>27</v>
      </c>
      <c r="F1203" s="14" t="s">
        <v>9</v>
      </c>
      <c r="G1203" t="s">
        <v>988</v>
      </c>
      <c r="H1203" t="s">
        <v>49</v>
      </c>
      <c r="I1203" t="s">
        <v>715</v>
      </c>
      <c r="K1203" s="3"/>
      <c r="M1203" t="s">
        <v>2326</v>
      </c>
    </row>
    <row r="1204" spans="1:13">
      <c r="A1204" t="s">
        <v>28</v>
      </c>
      <c r="B1204">
        <f ca="1">IF(OR(changes[[#This Row],[Type]]="Checklist",changes[[#This Row],[Type]]="checklist-flat"),1+IF(changes[[#This Row],[Type of change]] = "Edit",COUNTIFS($I$4:changes[[#This Row],[Name]],changes[[#This Row],[Name]], $E$4:changes[[#This Row],[Type of change]], "Edit")),B1203)</f>
        <v>1</v>
      </c>
      <c r="C1204" s="20">
        <v>44641</v>
      </c>
      <c r="D1204" s="2" t="s">
        <v>2015</v>
      </c>
      <c r="E1204" t="s">
        <v>27</v>
      </c>
      <c r="F1204" s="14" t="s">
        <v>9</v>
      </c>
      <c r="G1204" t="s">
        <v>988</v>
      </c>
      <c r="H1204" t="s">
        <v>49</v>
      </c>
      <c r="I1204" t="s">
        <v>989</v>
      </c>
      <c r="K1204" s="3"/>
      <c r="M1204" t="s">
        <v>2326</v>
      </c>
    </row>
    <row r="1205" spans="1:13">
      <c r="A1205" t="s">
        <v>28</v>
      </c>
      <c r="B1205">
        <f ca="1">IF(OR(changes[[#This Row],[Type]]="Checklist",changes[[#This Row],[Type]]="checklist-flat"),1+IF(changes[[#This Row],[Type of change]] = "Edit",COUNTIFS($I$4:changes[[#This Row],[Name]],changes[[#This Row],[Name]], $E$4:changes[[#This Row],[Type of change]], "Edit")),B1204)</f>
        <v>1</v>
      </c>
      <c r="C1205" s="20">
        <v>44641</v>
      </c>
      <c r="D1205" s="2" t="s">
        <v>2015</v>
      </c>
      <c r="E1205" t="s">
        <v>27</v>
      </c>
      <c r="F1205" s="14" t="s">
        <v>9</v>
      </c>
      <c r="G1205" t="s">
        <v>988</v>
      </c>
      <c r="H1205" t="s">
        <v>49</v>
      </c>
      <c r="I1205" t="s">
        <v>990</v>
      </c>
      <c r="K1205" s="3"/>
      <c r="M1205" t="s">
        <v>2326</v>
      </c>
    </row>
    <row r="1206" spans="1:13">
      <c r="A1206" t="s">
        <v>28</v>
      </c>
      <c r="B1206">
        <f ca="1">IF(OR(changes[[#This Row],[Type]]="Checklist",changes[[#This Row],[Type]]="checklist-flat"),1+IF(changes[[#This Row],[Type of change]] = "Edit",COUNTIFS($I$4:changes[[#This Row],[Name]],changes[[#This Row],[Name]], $E$4:changes[[#This Row],[Type of change]], "Edit")),B1205)</f>
        <v>1</v>
      </c>
      <c r="C1206" s="20">
        <v>44641</v>
      </c>
      <c r="D1206" s="2" t="s">
        <v>2015</v>
      </c>
      <c r="E1206" t="s">
        <v>27</v>
      </c>
      <c r="F1206" s="14" t="s">
        <v>9</v>
      </c>
      <c r="G1206" t="s">
        <v>988</v>
      </c>
      <c r="H1206" t="s">
        <v>49</v>
      </c>
      <c r="I1206" t="s">
        <v>991</v>
      </c>
      <c r="K1206" s="3"/>
      <c r="M1206" t="s">
        <v>2326</v>
      </c>
    </row>
    <row r="1207" spans="1:13">
      <c r="A1207" t="s">
        <v>28</v>
      </c>
      <c r="B1207">
        <f ca="1">IF(OR(changes[[#This Row],[Type]]="Checklist",changes[[#This Row],[Type]]="checklist-flat"),1+IF(changes[[#This Row],[Type of change]] = "Edit",COUNTIFS($I$4:changes[[#This Row],[Name]],changes[[#This Row],[Name]], $E$4:changes[[#This Row],[Type of change]], "Edit")),B1206)</f>
        <v>1</v>
      </c>
      <c r="C1207" s="20">
        <v>44641</v>
      </c>
      <c r="D1207" s="2" t="s">
        <v>2015</v>
      </c>
      <c r="E1207" t="s">
        <v>27</v>
      </c>
      <c r="F1207" s="14" t="s">
        <v>9</v>
      </c>
      <c r="G1207" t="s">
        <v>988</v>
      </c>
      <c r="H1207" t="s">
        <v>49</v>
      </c>
      <c r="I1207" t="s">
        <v>992</v>
      </c>
      <c r="K1207" s="3"/>
      <c r="M1207" t="s">
        <v>2326</v>
      </c>
    </row>
    <row r="1208" spans="1:13">
      <c r="A1208" t="s">
        <v>28</v>
      </c>
      <c r="B1208">
        <f ca="1">IF(OR(changes[[#This Row],[Type]]="Checklist",changes[[#This Row],[Type]]="checklist-flat"),1+IF(changes[[#This Row],[Type of change]] = "Edit",COUNTIFS($I$4:changes[[#This Row],[Name]],changes[[#This Row],[Name]], $E$4:changes[[#This Row],[Type of change]], "Edit")),B1207)</f>
        <v>1</v>
      </c>
      <c r="C1208" s="20">
        <v>44641</v>
      </c>
      <c r="D1208" s="2" t="s">
        <v>2015</v>
      </c>
      <c r="E1208" t="s">
        <v>27</v>
      </c>
      <c r="F1208" s="14" t="s">
        <v>9</v>
      </c>
      <c r="G1208" t="s">
        <v>988</v>
      </c>
      <c r="H1208" t="s">
        <v>49</v>
      </c>
      <c r="I1208" t="s">
        <v>993</v>
      </c>
      <c r="K1208" s="3"/>
      <c r="M1208" t="s">
        <v>2326</v>
      </c>
    </row>
    <row r="1209" spans="1:13">
      <c r="A1209" t="s">
        <v>28</v>
      </c>
      <c r="B1209">
        <f ca="1">IF(OR(changes[[#This Row],[Type]]="Checklist",changes[[#This Row],[Type]]="checklist-flat"),1+IF(changes[[#This Row],[Type of change]] = "Edit",COUNTIFS($I$4:changes[[#This Row],[Name]],changes[[#This Row],[Name]], $E$4:changes[[#This Row],[Type of change]], "Edit")),B1208)</f>
        <v>1</v>
      </c>
      <c r="C1209" s="20">
        <v>44641</v>
      </c>
      <c r="D1209" s="2" t="s">
        <v>2015</v>
      </c>
      <c r="E1209" t="s">
        <v>27</v>
      </c>
      <c r="F1209" s="14" t="s">
        <v>9</v>
      </c>
      <c r="G1209" t="s">
        <v>988</v>
      </c>
      <c r="H1209" t="s">
        <v>49</v>
      </c>
      <c r="I1209" t="s">
        <v>994</v>
      </c>
      <c r="K1209" s="3"/>
      <c r="M1209" t="s">
        <v>2326</v>
      </c>
    </row>
    <row r="1210" spans="1:13">
      <c r="A1210" t="s">
        <v>28</v>
      </c>
      <c r="B1210">
        <f ca="1">IF(OR(changes[[#This Row],[Type]]="Checklist",changes[[#This Row],[Type]]="checklist-flat"),1+IF(changes[[#This Row],[Type of change]] = "Edit",COUNTIFS($I$4:changes[[#This Row],[Name]],changes[[#This Row],[Name]], $E$4:changes[[#This Row],[Type of change]], "Edit")),B1209)</f>
        <v>1</v>
      </c>
      <c r="C1210" s="20">
        <v>44641</v>
      </c>
      <c r="D1210" s="2" t="s">
        <v>2015</v>
      </c>
      <c r="E1210" t="s">
        <v>27</v>
      </c>
      <c r="F1210" s="14" t="s">
        <v>9</v>
      </c>
      <c r="G1210" t="s">
        <v>988</v>
      </c>
      <c r="H1210" t="s">
        <v>49</v>
      </c>
      <c r="I1210" t="s">
        <v>995</v>
      </c>
      <c r="K1210" s="3"/>
      <c r="M1210" t="s">
        <v>2326</v>
      </c>
    </row>
    <row r="1211" spans="1:13">
      <c r="A1211" t="s">
        <v>28</v>
      </c>
      <c r="B1211">
        <f ca="1">IF(OR(changes[[#This Row],[Type]]="Checklist",changes[[#This Row],[Type]]="checklist-flat"),1+IF(changes[[#This Row],[Type of change]] = "Edit",COUNTIFS($I$4:changes[[#This Row],[Name]],changes[[#This Row],[Name]], $E$4:changes[[#This Row],[Type of change]], "Edit")),B1210)</f>
        <v>1</v>
      </c>
      <c r="C1211" s="20">
        <v>44641</v>
      </c>
      <c r="D1211" s="2" t="s">
        <v>2015</v>
      </c>
      <c r="E1211" t="s">
        <v>27</v>
      </c>
      <c r="F1211" s="14" t="s">
        <v>9</v>
      </c>
      <c r="G1211" t="s">
        <v>996</v>
      </c>
      <c r="H1211" t="s">
        <v>43</v>
      </c>
      <c r="I1211" t="s">
        <v>996</v>
      </c>
      <c r="K1211" s="3"/>
      <c r="M1211" t="s">
        <v>2326</v>
      </c>
    </row>
    <row r="1212" spans="1:13">
      <c r="A1212" t="s">
        <v>28</v>
      </c>
      <c r="B1212">
        <f ca="1">IF(OR(changes[[#This Row],[Type]]="Checklist",changes[[#This Row],[Type]]="checklist-flat"),1+IF(changes[[#This Row],[Type of change]] = "Edit",COUNTIFS($I$4:changes[[#This Row],[Name]],changes[[#This Row],[Name]], $E$4:changes[[#This Row],[Type of change]], "Edit")),B1211)</f>
        <v>1</v>
      </c>
      <c r="C1212" s="20">
        <v>44641</v>
      </c>
      <c r="D1212" s="2" t="s">
        <v>2015</v>
      </c>
      <c r="E1212" t="s">
        <v>27</v>
      </c>
      <c r="F1212" s="14" t="s">
        <v>9</v>
      </c>
      <c r="G1212" t="s">
        <v>996</v>
      </c>
      <c r="H1212" t="s">
        <v>49</v>
      </c>
      <c r="I1212" t="s">
        <v>997</v>
      </c>
      <c r="K1212" s="3"/>
      <c r="M1212" t="s">
        <v>2326</v>
      </c>
    </row>
    <row r="1213" spans="1:13">
      <c r="A1213" t="s">
        <v>28</v>
      </c>
      <c r="B1213">
        <f ca="1">IF(OR(changes[[#This Row],[Type]]="Checklist",changes[[#This Row],[Type]]="checklist-flat"),1+IF(changes[[#This Row],[Type of change]] = "Edit",COUNTIFS($I$4:changes[[#This Row],[Name]],changes[[#This Row],[Name]], $E$4:changes[[#This Row],[Type of change]], "Edit")),B1212)</f>
        <v>1</v>
      </c>
      <c r="C1213" s="20">
        <v>44641</v>
      </c>
      <c r="D1213" s="2" t="s">
        <v>2015</v>
      </c>
      <c r="E1213" t="s">
        <v>27</v>
      </c>
      <c r="F1213" s="14" t="s">
        <v>9</v>
      </c>
      <c r="G1213" t="s">
        <v>996</v>
      </c>
      <c r="H1213" t="s">
        <v>49</v>
      </c>
      <c r="I1213" t="s">
        <v>998</v>
      </c>
      <c r="K1213" s="3"/>
      <c r="M1213" t="s">
        <v>2326</v>
      </c>
    </row>
    <row r="1214" spans="1:13">
      <c r="A1214" t="s">
        <v>28</v>
      </c>
      <c r="B1214">
        <f ca="1">IF(OR(changes[[#This Row],[Type]]="Checklist",changes[[#This Row],[Type]]="checklist-flat"),1+IF(changes[[#This Row],[Type of change]] = "Edit",COUNTIFS($I$4:changes[[#This Row],[Name]],changes[[#This Row],[Name]], $E$4:changes[[#This Row],[Type of change]], "Edit")),B1213)</f>
        <v>1</v>
      </c>
      <c r="C1214" s="20">
        <v>44641</v>
      </c>
      <c r="D1214" s="2" t="s">
        <v>2015</v>
      </c>
      <c r="E1214" t="s">
        <v>27</v>
      </c>
      <c r="F1214" s="14" t="s">
        <v>9</v>
      </c>
      <c r="G1214" t="s">
        <v>996</v>
      </c>
      <c r="H1214" t="s">
        <v>49</v>
      </c>
      <c r="I1214" t="s">
        <v>693</v>
      </c>
      <c r="K1214" s="3"/>
      <c r="M1214" t="s">
        <v>2326</v>
      </c>
    </row>
    <row r="1215" spans="1:13">
      <c r="A1215" t="s">
        <v>28</v>
      </c>
      <c r="B1215">
        <f ca="1">IF(OR(changes[[#This Row],[Type]]="Checklist",changes[[#This Row],[Type]]="checklist-flat"),1+IF(changes[[#This Row],[Type of change]] = "Edit",COUNTIFS($I$4:changes[[#This Row],[Name]],changes[[#This Row],[Name]], $E$4:changes[[#This Row],[Type of change]], "Edit")),B1214)</f>
        <v>1</v>
      </c>
      <c r="C1215" s="20">
        <v>44641</v>
      </c>
      <c r="D1215" s="2" t="s">
        <v>2015</v>
      </c>
      <c r="E1215" t="s">
        <v>27</v>
      </c>
      <c r="F1215" s="14" t="s">
        <v>9</v>
      </c>
      <c r="G1215" t="s">
        <v>996</v>
      </c>
      <c r="H1215" t="s">
        <v>49</v>
      </c>
      <c r="I1215" t="s">
        <v>999</v>
      </c>
      <c r="K1215" s="3"/>
      <c r="M1215" t="s">
        <v>2326</v>
      </c>
    </row>
    <row r="1216" spans="1:13">
      <c r="A1216" t="s">
        <v>28</v>
      </c>
      <c r="B1216">
        <f ca="1">IF(OR(changes[[#This Row],[Type]]="Checklist",changes[[#This Row],[Type]]="checklist-flat"),1+IF(changes[[#This Row],[Type of change]] = "Edit",COUNTIFS($I$4:changes[[#This Row],[Name]],changes[[#This Row],[Name]], $E$4:changes[[#This Row],[Type of change]], "Edit")),B1215)</f>
        <v>1</v>
      </c>
      <c r="C1216" s="20">
        <v>44641</v>
      </c>
      <c r="D1216" s="2" t="s">
        <v>2015</v>
      </c>
      <c r="E1216" t="s">
        <v>27</v>
      </c>
      <c r="F1216" s="14" t="s">
        <v>9</v>
      </c>
      <c r="G1216" t="s">
        <v>996</v>
      </c>
      <c r="H1216" t="s">
        <v>49</v>
      </c>
      <c r="I1216" t="s">
        <v>1000</v>
      </c>
      <c r="K1216" s="3"/>
      <c r="M1216" t="s">
        <v>2326</v>
      </c>
    </row>
    <row r="1217" spans="1:13">
      <c r="A1217" t="s">
        <v>28</v>
      </c>
      <c r="B1217">
        <f ca="1">IF(OR(changes[[#This Row],[Type]]="Checklist",changes[[#This Row],[Type]]="checklist-flat"),1+IF(changes[[#This Row],[Type of change]] = "Edit",COUNTIFS($I$4:changes[[#This Row],[Name]],changes[[#This Row],[Name]], $E$4:changes[[#This Row],[Type of change]], "Edit")),B1216)</f>
        <v>1</v>
      </c>
      <c r="C1217" s="20">
        <v>44641</v>
      </c>
      <c r="D1217" s="2" t="s">
        <v>2015</v>
      </c>
      <c r="E1217" t="s">
        <v>27</v>
      </c>
      <c r="F1217" s="14" t="s">
        <v>9</v>
      </c>
      <c r="G1217" t="s">
        <v>996</v>
      </c>
      <c r="H1217" t="s">
        <v>49</v>
      </c>
      <c r="I1217" t="s">
        <v>995</v>
      </c>
      <c r="K1217" s="3"/>
      <c r="M1217" t="s">
        <v>2326</v>
      </c>
    </row>
    <row r="1218" spans="1:13">
      <c r="A1218" t="s">
        <v>28</v>
      </c>
      <c r="B1218">
        <f ca="1">IF(OR(changes[[#This Row],[Type]]="Checklist",changes[[#This Row],[Type]]="checklist-flat"),1+IF(changes[[#This Row],[Type of change]] = "Edit",COUNTIFS($I$4:changes[[#This Row],[Name]],changes[[#This Row],[Name]], $E$4:changes[[#This Row],[Type of change]], "Edit")),B1217)</f>
        <v>1</v>
      </c>
      <c r="C1218" s="20">
        <v>44641</v>
      </c>
      <c r="D1218" s="2" t="s">
        <v>2015</v>
      </c>
      <c r="E1218" t="s">
        <v>27</v>
      </c>
      <c r="F1218" s="14" t="s">
        <v>9</v>
      </c>
      <c r="G1218" t="s">
        <v>1001</v>
      </c>
      <c r="H1218" t="s">
        <v>43</v>
      </c>
      <c r="I1218" t="s">
        <v>1001</v>
      </c>
      <c r="K1218" s="3"/>
      <c r="M1218" t="s">
        <v>2326</v>
      </c>
    </row>
    <row r="1219" spans="1:13">
      <c r="A1219" t="s">
        <v>28</v>
      </c>
      <c r="B1219">
        <f ca="1">IF(OR(changes[[#This Row],[Type]]="Checklist",changes[[#This Row],[Type]]="checklist-flat"),1+IF(changes[[#This Row],[Type of change]] = "Edit",COUNTIFS($I$4:changes[[#This Row],[Name]],changes[[#This Row],[Name]], $E$4:changes[[#This Row],[Type of change]], "Edit")),B1218)</f>
        <v>1</v>
      </c>
      <c r="C1219" s="20">
        <v>44641</v>
      </c>
      <c r="D1219" s="2" t="s">
        <v>2015</v>
      </c>
      <c r="E1219" t="s">
        <v>27</v>
      </c>
      <c r="F1219" s="14" t="s">
        <v>9</v>
      </c>
      <c r="G1219" t="s">
        <v>1001</v>
      </c>
      <c r="H1219" t="s">
        <v>49</v>
      </c>
      <c r="I1219" t="s">
        <v>750</v>
      </c>
      <c r="K1219" s="3"/>
      <c r="M1219" t="s">
        <v>2326</v>
      </c>
    </row>
    <row r="1220" spans="1:13">
      <c r="A1220" t="s">
        <v>28</v>
      </c>
      <c r="B1220">
        <f ca="1">IF(OR(changes[[#This Row],[Type]]="Checklist",changes[[#This Row],[Type]]="checklist-flat"),1+IF(changes[[#This Row],[Type of change]] = "Edit",COUNTIFS($I$4:changes[[#This Row],[Name]],changes[[#This Row],[Name]], $E$4:changes[[#This Row],[Type of change]], "Edit")),B1219)</f>
        <v>1</v>
      </c>
      <c r="C1220" s="20">
        <v>44641</v>
      </c>
      <c r="D1220" s="2" t="s">
        <v>2015</v>
      </c>
      <c r="E1220" t="s">
        <v>27</v>
      </c>
      <c r="F1220" s="14" t="s">
        <v>9</v>
      </c>
      <c r="G1220" t="s">
        <v>1001</v>
      </c>
      <c r="H1220" t="s">
        <v>49</v>
      </c>
      <c r="I1220" t="s">
        <v>751</v>
      </c>
      <c r="K1220" s="3"/>
      <c r="M1220" t="s">
        <v>2326</v>
      </c>
    </row>
    <row r="1221" spans="1:13">
      <c r="A1221" t="s">
        <v>28</v>
      </c>
      <c r="B1221">
        <f ca="1">IF(OR(changes[[#This Row],[Type]]="Checklist",changes[[#This Row],[Type]]="checklist-flat"),1+IF(changes[[#This Row],[Type of change]] = "Edit",COUNTIFS($I$4:changes[[#This Row],[Name]],changes[[#This Row],[Name]], $E$4:changes[[#This Row],[Type of change]], "Edit")),B1220)</f>
        <v>1</v>
      </c>
      <c r="C1221" s="20">
        <v>44641</v>
      </c>
      <c r="D1221" s="2" t="s">
        <v>2015</v>
      </c>
      <c r="E1221" t="s">
        <v>27</v>
      </c>
      <c r="F1221" s="14" t="s">
        <v>9</v>
      </c>
      <c r="G1221" t="s">
        <v>1001</v>
      </c>
      <c r="H1221" t="s">
        <v>49</v>
      </c>
      <c r="I1221" t="s">
        <v>1002</v>
      </c>
      <c r="K1221" s="3"/>
      <c r="M1221" t="s">
        <v>2326</v>
      </c>
    </row>
    <row r="1222" spans="1:13">
      <c r="A1222" t="s">
        <v>28</v>
      </c>
      <c r="B1222">
        <f ca="1">IF(OR(changes[[#This Row],[Type]]="Checklist",changes[[#This Row],[Type]]="checklist-flat"),1+IF(changes[[#This Row],[Type of change]] = "Edit",COUNTIFS($I$4:changes[[#This Row],[Name]],changes[[#This Row],[Name]], $E$4:changes[[#This Row],[Type of change]], "Edit")),B1221)</f>
        <v>1</v>
      </c>
      <c r="C1222" s="20">
        <v>44641</v>
      </c>
      <c r="D1222" s="2" t="s">
        <v>2015</v>
      </c>
      <c r="E1222" t="s">
        <v>27</v>
      </c>
      <c r="F1222" s="14" t="s">
        <v>9</v>
      </c>
      <c r="G1222" t="s">
        <v>1001</v>
      </c>
      <c r="H1222" t="s">
        <v>49</v>
      </c>
      <c r="I1222" t="s">
        <v>753</v>
      </c>
      <c r="K1222" s="3"/>
      <c r="M1222" t="s">
        <v>2326</v>
      </c>
    </row>
    <row r="1223" spans="1:13">
      <c r="A1223" t="s">
        <v>28</v>
      </c>
      <c r="B1223">
        <f ca="1">IF(OR(changes[[#This Row],[Type]]="Checklist",changes[[#This Row],[Type]]="checklist-flat"),1+IF(changes[[#This Row],[Type of change]] = "Edit",COUNTIFS($I$4:changes[[#This Row],[Name]],changes[[#This Row],[Name]], $E$4:changes[[#This Row],[Type of change]], "Edit")),B1222)</f>
        <v>1</v>
      </c>
      <c r="C1223" s="20">
        <v>44641</v>
      </c>
      <c r="D1223" s="2" t="s">
        <v>2015</v>
      </c>
      <c r="E1223" t="s">
        <v>27</v>
      </c>
      <c r="F1223" s="14" t="s">
        <v>9</v>
      </c>
      <c r="G1223" t="s">
        <v>1001</v>
      </c>
      <c r="H1223" t="s">
        <v>49</v>
      </c>
      <c r="I1223" t="s">
        <v>1003</v>
      </c>
      <c r="K1223" s="3"/>
      <c r="M1223" t="s">
        <v>2326</v>
      </c>
    </row>
    <row r="1224" spans="1:13">
      <c r="A1224" t="s">
        <v>28</v>
      </c>
      <c r="B1224">
        <f ca="1">IF(OR(changes[[#This Row],[Type]]="Checklist",changes[[#This Row],[Type]]="checklist-flat"),1+IF(changes[[#This Row],[Type of change]] = "Edit",COUNTIFS($I$4:changes[[#This Row],[Name]],changes[[#This Row],[Name]], $E$4:changes[[#This Row],[Type of change]], "Edit")),B1223)</f>
        <v>1</v>
      </c>
      <c r="C1224" s="20">
        <v>44641</v>
      </c>
      <c r="D1224" s="2" t="s">
        <v>2015</v>
      </c>
      <c r="E1224" t="s">
        <v>27</v>
      </c>
      <c r="F1224" s="14" t="s">
        <v>9</v>
      </c>
      <c r="G1224" t="s">
        <v>1001</v>
      </c>
      <c r="H1224" t="s">
        <v>49</v>
      </c>
      <c r="I1224" t="s">
        <v>1004</v>
      </c>
      <c r="K1224" s="3"/>
      <c r="M1224" t="s">
        <v>2326</v>
      </c>
    </row>
    <row r="1225" spans="1:13">
      <c r="A1225" t="s">
        <v>28</v>
      </c>
      <c r="B1225">
        <f ca="1">IF(OR(changes[[#This Row],[Type]]="Checklist",changes[[#This Row],[Type]]="checklist-flat"),1+IF(changes[[#This Row],[Type of change]] = "Edit",COUNTIFS($I$4:changes[[#This Row],[Name]],changes[[#This Row],[Name]], $E$4:changes[[#This Row],[Type of change]], "Edit")),B1224)</f>
        <v>1</v>
      </c>
      <c r="C1225" s="20">
        <v>44641</v>
      </c>
      <c r="D1225" s="2" t="s">
        <v>2015</v>
      </c>
      <c r="E1225" t="s">
        <v>27</v>
      </c>
      <c r="F1225" s="14" t="s">
        <v>9</v>
      </c>
      <c r="G1225" t="s">
        <v>1001</v>
      </c>
      <c r="H1225" t="s">
        <v>49</v>
      </c>
      <c r="I1225" t="s">
        <v>1005</v>
      </c>
      <c r="K1225" s="3"/>
      <c r="M1225" t="s">
        <v>2326</v>
      </c>
    </row>
    <row r="1226" spans="1:13">
      <c r="A1226" t="s">
        <v>28</v>
      </c>
      <c r="B1226">
        <f ca="1">IF(OR(changes[[#This Row],[Type]]="Checklist",changes[[#This Row],[Type]]="checklist-flat"),1+IF(changes[[#This Row],[Type of change]] = "Edit",COUNTIFS($I$4:changes[[#This Row],[Name]],changes[[#This Row],[Name]], $E$4:changes[[#This Row],[Type of change]], "Edit")),B1225)</f>
        <v>1</v>
      </c>
      <c r="C1226" s="20">
        <v>44641</v>
      </c>
      <c r="D1226" s="2" t="s">
        <v>2015</v>
      </c>
      <c r="E1226" t="s">
        <v>27</v>
      </c>
      <c r="F1226" s="14" t="s">
        <v>9</v>
      </c>
      <c r="G1226" t="s">
        <v>1001</v>
      </c>
      <c r="H1226" t="s">
        <v>49</v>
      </c>
      <c r="I1226" t="s">
        <v>1006</v>
      </c>
      <c r="K1226" s="3"/>
      <c r="M1226" t="s">
        <v>2326</v>
      </c>
    </row>
    <row r="1227" spans="1:13">
      <c r="A1227" t="s">
        <v>28</v>
      </c>
      <c r="B1227">
        <f ca="1">IF(OR(changes[[#This Row],[Type]]="Checklist",changes[[#This Row],[Type]]="checklist-flat"),1+IF(changes[[#This Row],[Type of change]] = "Edit",COUNTIFS($I$4:changes[[#This Row],[Name]],changes[[#This Row],[Name]], $E$4:changes[[#This Row],[Type of change]], "Edit")),B1226)</f>
        <v>1</v>
      </c>
      <c r="C1227" s="20">
        <v>44641</v>
      </c>
      <c r="D1227" s="2" t="s">
        <v>2015</v>
      </c>
      <c r="E1227" t="s">
        <v>27</v>
      </c>
      <c r="F1227" s="14" t="s">
        <v>9</v>
      </c>
      <c r="G1227" t="s">
        <v>1001</v>
      </c>
      <c r="H1227" t="s">
        <v>49</v>
      </c>
      <c r="I1227" t="s">
        <v>1007</v>
      </c>
      <c r="K1227" s="3"/>
      <c r="M1227" t="s">
        <v>2326</v>
      </c>
    </row>
    <row r="1228" spans="1:13">
      <c r="A1228" t="s">
        <v>28</v>
      </c>
      <c r="B1228">
        <f ca="1">IF(OR(changes[[#This Row],[Type]]="Checklist",changes[[#This Row],[Type]]="checklist-flat"),1+IF(changes[[#This Row],[Type of change]] = "Edit",COUNTIFS($I$4:changes[[#This Row],[Name]],changes[[#This Row],[Name]], $E$4:changes[[#This Row],[Type of change]], "Edit")),B1227)</f>
        <v>1</v>
      </c>
      <c r="C1228" s="20">
        <v>44641</v>
      </c>
      <c r="D1228" s="2" t="s">
        <v>2015</v>
      </c>
      <c r="E1228" t="s">
        <v>27</v>
      </c>
      <c r="F1228" s="14" t="s">
        <v>9</v>
      </c>
      <c r="G1228" t="s">
        <v>1001</v>
      </c>
      <c r="H1228" t="s">
        <v>49</v>
      </c>
      <c r="I1228" t="s">
        <v>759</v>
      </c>
      <c r="K1228" s="3"/>
      <c r="M1228" t="s">
        <v>2326</v>
      </c>
    </row>
    <row r="1229" spans="1:13">
      <c r="A1229" t="s">
        <v>28</v>
      </c>
      <c r="B1229">
        <f ca="1">IF(OR(changes[[#This Row],[Type]]="Checklist",changes[[#This Row],[Type]]="checklist-flat"),1+IF(changes[[#This Row],[Type of change]] = "Edit",COUNTIFS($I$4:changes[[#This Row],[Name]],changes[[#This Row],[Name]], $E$4:changes[[#This Row],[Type of change]], "Edit")),B1228)</f>
        <v>1</v>
      </c>
      <c r="C1229" s="20">
        <v>44641</v>
      </c>
      <c r="D1229" s="2" t="s">
        <v>2015</v>
      </c>
      <c r="E1229" t="s">
        <v>27</v>
      </c>
      <c r="F1229" s="14" t="s">
        <v>9</v>
      </c>
      <c r="G1229" t="s">
        <v>1008</v>
      </c>
      <c r="H1229" t="s">
        <v>43</v>
      </c>
      <c r="I1229" t="s">
        <v>1008</v>
      </c>
      <c r="K1229" s="3"/>
      <c r="M1229" t="s">
        <v>2326</v>
      </c>
    </row>
    <row r="1230" spans="1:13">
      <c r="A1230" t="s">
        <v>28</v>
      </c>
      <c r="B1230">
        <f ca="1">IF(OR(changes[[#This Row],[Type]]="Checklist",changes[[#This Row],[Type]]="checklist-flat"),1+IF(changes[[#This Row],[Type of change]] = "Edit",COUNTIFS($I$4:changes[[#This Row],[Name]],changes[[#This Row],[Name]], $E$4:changes[[#This Row],[Type of change]], "Edit")),B1229)</f>
        <v>1</v>
      </c>
      <c r="C1230" s="20">
        <v>44641</v>
      </c>
      <c r="D1230" s="2" t="s">
        <v>2015</v>
      </c>
      <c r="E1230" t="s">
        <v>27</v>
      </c>
      <c r="F1230" s="14" t="s">
        <v>9</v>
      </c>
      <c r="G1230" t="s">
        <v>1008</v>
      </c>
      <c r="H1230" t="s">
        <v>49</v>
      </c>
      <c r="I1230" t="s">
        <v>984</v>
      </c>
      <c r="K1230" s="3"/>
      <c r="M1230" t="s">
        <v>2326</v>
      </c>
    </row>
    <row r="1231" spans="1:13">
      <c r="A1231" t="s">
        <v>28</v>
      </c>
      <c r="B1231">
        <f ca="1">IF(OR(changes[[#This Row],[Type]]="Checklist",changes[[#This Row],[Type]]="checklist-flat"),1+IF(changes[[#This Row],[Type of change]] = "Edit",COUNTIFS($I$4:changes[[#This Row],[Name]],changes[[#This Row],[Name]], $E$4:changes[[#This Row],[Type of change]], "Edit")),B1230)</f>
        <v>1</v>
      </c>
      <c r="C1231" s="20">
        <v>44641</v>
      </c>
      <c r="D1231" s="2" t="s">
        <v>2015</v>
      </c>
      <c r="E1231" t="s">
        <v>27</v>
      </c>
      <c r="F1231" s="14" t="s">
        <v>9</v>
      </c>
      <c r="G1231" t="s">
        <v>1008</v>
      </c>
      <c r="H1231" t="s">
        <v>49</v>
      </c>
      <c r="I1231" t="s">
        <v>985</v>
      </c>
      <c r="K1231" s="3"/>
      <c r="M1231" t="s">
        <v>2326</v>
      </c>
    </row>
    <row r="1232" spans="1:13">
      <c r="A1232" t="s">
        <v>28</v>
      </c>
      <c r="B1232">
        <f ca="1">IF(OR(changes[[#This Row],[Type]]="Checklist",changes[[#This Row],[Type]]="checklist-flat"),1+IF(changes[[#This Row],[Type of change]] = "Edit",COUNTIFS($I$4:changes[[#This Row],[Name]],changes[[#This Row],[Name]], $E$4:changes[[#This Row],[Type of change]], "Edit")),B1231)</f>
        <v>1</v>
      </c>
      <c r="C1232" s="20">
        <v>44641</v>
      </c>
      <c r="D1232" s="2" t="s">
        <v>2015</v>
      </c>
      <c r="E1232" t="s">
        <v>27</v>
      </c>
      <c r="F1232" s="14" t="s">
        <v>9</v>
      </c>
      <c r="G1232" t="s">
        <v>1008</v>
      </c>
      <c r="H1232" t="s">
        <v>49</v>
      </c>
      <c r="I1232" t="s">
        <v>986</v>
      </c>
      <c r="K1232" s="3"/>
      <c r="M1232" t="s">
        <v>2326</v>
      </c>
    </row>
    <row r="1233" spans="1:13">
      <c r="A1233" t="s">
        <v>28</v>
      </c>
      <c r="B1233">
        <f ca="1">IF(OR(changes[[#This Row],[Type]]="Checklist",changes[[#This Row],[Type]]="checklist-flat"),1+IF(changes[[#This Row],[Type of change]] = "Edit",COUNTIFS($I$4:changes[[#This Row],[Name]],changes[[#This Row],[Name]], $E$4:changes[[#This Row],[Type of change]], "Edit")),B1232)</f>
        <v>1</v>
      </c>
      <c r="C1233" s="20">
        <v>44641</v>
      </c>
      <c r="D1233" s="2" t="s">
        <v>2015</v>
      </c>
      <c r="E1233" t="s">
        <v>27</v>
      </c>
      <c r="F1233" s="14" t="s">
        <v>9</v>
      </c>
      <c r="G1233" t="s">
        <v>1008</v>
      </c>
      <c r="H1233" t="s">
        <v>49</v>
      </c>
      <c r="I1233" t="s">
        <v>987</v>
      </c>
      <c r="K1233" s="3"/>
      <c r="M1233" t="s">
        <v>2326</v>
      </c>
    </row>
    <row r="1234" spans="1:13">
      <c r="A1234" t="s">
        <v>28</v>
      </c>
      <c r="B1234">
        <f ca="1">IF(OR(changes[[#This Row],[Type]]="Checklist",changes[[#This Row],[Type]]="checklist-flat"),1+IF(changes[[#This Row],[Type of change]] = "Edit",COUNTIFS($I$4:changes[[#This Row],[Name]],changes[[#This Row],[Name]], $E$4:changes[[#This Row],[Type of change]], "Edit")),B1233)</f>
        <v>1</v>
      </c>
      <c r="C1234" s="20">
        <v>44641</v>
      </c>
      <c r="D1234" s="2" t="s">
        <v>2015</v>
      </c>
      <c r="E1234" t="s">
        <v>27</v>
      </c>
      <c r="F1234" s="14" t="s">
        <v>9</v>
      </c>
      <c r="G1234" t="s">
        <v>2327</v>
      </c>
      <c r="H1234" t="s">
        <v>43</v>
      </c>
      <c r="I1234" t="s">
        <v>2327</v>
      </c>
      <c r="K1234" s="3"/>
      <c r="M1234" t="s">
        <v>2326</v>
      </c>
    </row>
    <row r="1235" spans="1:13">
      <c r="A1235" t="s">
        <v>28</v>
      </c>
      <c r="B1235">
        <f ca="1">IF(OR(changes[[#This Row],[Type]]="Checklist",changes[[#This Row],[Type]]="checklist-flat"),1+IF(changes[[#This Row],[Type of change]] = "Edit",COUNTIFS($I$4:changes[[#This Row],[Name]],changes[[#This Row],[Name]], $E$4:changes[[#This Row],[Type of change]], "Edit")),B1234)</f>
        <v>1</v>
      </c>
      <c r="C1235" s="20">
        <v>44641</v>
      </c>
      <c r="D1235" s="2" t="s">
        <v>2015</v>
      </c>
      <c r="E1235" t="s">
        <v>27</v>
      </c>
      <c r="F1235" s="14" t="s">
        <v>9</v>
      </c>
      <c r="G1235" t="s">
        <v>2327</v>
      </c>
      <c r="H1235" t="s">
        <v>49</v>
      </c>
      <c r="I1235" t="s">
        <v>1010</v>
      </c>
      <c r="K1235" s="3"/>
      <c r="M1235" t="s">
        <v>2326</v>
      </c>
    </row>
    <row r="1236" spans="1:13">
      <c r="A1236" t="s">
        <v>28</v>
      </c>
      <c r="B1236">
        <f ca="1">IF(OR(changes[[#This Row],[Type]]="Checklist",changes[[#This Row],[Type]]="checklist-flat"),1+IF(changes[[#This Row],[Type of change]] = "Edit",COUNTIFS($I$4:changes[[#This Row],[Name]],changes[[#This Row],[Name]], $E$4:changes[[#This Row],[Type of change]], "Edit")),B1235)</f>
        <v>1</v>
      </c>
      <c r="C1236" s="20">
        <v>44641</v>
      </c>
      <c r="D1236" s="2" t="s">
        <v>2015</v>
      </c>
      <c r="E1236" t="s">
        <v>27</v>
      </c>
      <c r="F1236" s="14" t="s">
        <v>9</v>
      </c>
      <c r="G1236" t="s">
        <v>2327</v>
      </c>
      <c r="H1236" t="s">
        <v>49</v>
      </c>
      <c r="I1236" t="s">
        <v>1011</v>
      </c>
      <c r="K1236" s="3"/>
      <c r="M1236" t="s">
        <v>2326</v>
      </c>
    </row>
    <row r="1237" spans="1:13">
      <c r="A1237" t="s">
        <v>28</v>
      </c>
      <c r="B1237">
        <f ca="1">IF(OR(changes[[#This Row],[Type]]="Checklist",changes[[#This Row],[Type]]="checklist-flat"),1+IF(changes[[#This Row],[Type of change]] = "Edit",COUNTIFS($I$4:changes[[#This Row],[Name]],changes[[#This Row],[Name]], $E$4:changes[[#This Row],[Type of change]], "Edit")),B1236)</f>
        <v>1</v>
      </c>
      <c r="C1237" s="20">
        <v>44641</v>
      </c>
      <c r="D1237" s="2" t="s">
        <v>2015</v>
      </c>
      <c r="E1237" t="s">
        <v>27</v>
      </c>
      <c r="F1237" s="14" t="s">
        <v>9</v>
      </c>
      <c r="G1237" t="s">
        <v>2327</v>
      </c>
      <c r="H1237" t="s">
        <v>49</v>
      </c>
      <c r="I1237" t="s">
        <v>1012</v>
      </c>
      <c r="K1237" s="3"/>
      <c r="M1237" t="s">
        <v>2326</v>
      </c>
    </row>
    <row r="1238" spans="1:13">
      <c r="A1238" t="s">
        <v>28</v>
      </c>
      <c r="B1238">
        <f ca="1">IF(OR(changes[[#This Row],[Type]]="Checklist",changes[[#This Row],[Type]]="checklist-flat"),1+IF(changes[[#This Row],[Type of change]] = "Edit",COUNTIFS($I$4:changes[[#This Row],[Name]],changes[[#This Row],[Name]], $E$4:changes[[#This Row],[Type of change]], "Edit")),B1237)</f>
        <v>1</v>
      </c>
      <c r="C1238" s="20">
        <v>44641</v>
      </c>
      <c r="D1238" s="2" t="s">
        <v>2015</v>
      </c>
      <c r="E1238" t="s">
        <v>27</v>
      </c>
      <c r="F1238" s="14" t="s">
        <v>9</v>
      </c>
      <c r="G1238" t="s">
        <v>2327</v>
      </c>
      <c r="H1238" t="s">
        <v>49</v>
      </c>
      <c r="I1238" t="s">
        <v>1013</v>
      </c>
      <c r="K1238" s="3"/>
      <c r="M1238" t="s">
        <v>2326</v>
      </c>
    </row>
    <row r="1239" spans="1:13">
      <c r="A1239" t="s">
        <v>28</v>
      </c>
      <c r="B1239">
        <f ca="1">IF(OR(changes[[#This Row],[Type]]="Checklist",changes[[#This Row],[Type]]="checklist-flat"),1+IF(changes[[#This Row],[Type of change]] = "Edit",COUNTIFS($I$4:changes[[#This Row],[Name]],changes[[#This Row],[Name]], $E$4:changes[[#This Row],[Type of change]], "Edit")),B1238)</f>
        <v>1</v>
      </c>
      <c r="C1239" s="20">
        <v>44641</v>
      </c>
      <c r="D1239" s="2" t="s">
        <v>2015</v>
      </c>
      <c r="E1239" t="s">
        <v>27</v>
      </c>
      <c r="F1239" s="14" t="s">
        <v>9</v>
      </c>
      <c r="G1239" t="s">
        <v>2327</v>
      </c>
      <c r="H1239" t="s">
        <v>49</v>
      </c>
      <c r="I1239" t="s">
        <v>1014</v>
      </c>
      <c r="K1239" s="3"/>
      <c r="M1239" t="s">
        <v>2326</v>
      </c>
    </row>
    <row r="1240" spans="1:13">
      <c r="A1240" t="s">
        <v>28</v>
      </c>
      <c r="B1240">
        <f ca="1">IF(OR(changes[[#This Row],[Type]]="Checklist",changes[[#This Row],[Type]]="checklist-flat"),1+IF(changes[[#This Row],[Type of change]] = "Edit",COUNTIFS($I$4:changes[[#This Row],[Name]],changes[[#This Row],[Name]], $E$4:changes[[#This Row],[Type of change]], "Edit")),B1239)</f>
        <v>1</v>
      </c>
      <c r="C1240" s="20">
        <v>44641</v>
      </c>
      <c r="D1240" s="2" t="s">
        <v>2015</v>
      </c>
      <c r="E1240" t="s">
        <v>27</v>
      </c>
      <c r="F1240" s="14" t="s">
        <v>9</v>
      </c>
      <c r="G1240" t="s">
        <v>2327</v>
      </c>
      <c r="H1240" t="s">
        <v>49</v>
      </c>
      <c r="I1240" t="s">
        <v>2328</v>
      </c>
      <c r="K1240" s="3"/>
      <c r="M1240" t="s">
        <v>2326</v>
      </c>
    </row>
    <row r="1241" spans="1:13">
      <c r="A1241" t="s">
        <v>28</v>
      </c>
      <c r="B1241">
        <f ca="1">IF(OR(changes[[#This Row],[Type]]="Checklist",changes[[#This Row],[Type]]="checklist-flat"),1+IF(changes[[#This Row],[Type of change]] = "Edit",COUNTIFS($I$4:changes[[#This Row],[Name]],changes[[#This Row],[Name]], $E$4:changes[[#This Row],[Type of change]], "Edit")),B1240)</f>
        <v>1</v>
      </c>
      <c r="C1241" s="20">
        <v>44641</v>
      </c>
      <c r="D1241" s="2" t="s">
        <v>2015</v>
      </c>
      <c r="E1241" t="s">
        <v>27</v>
      </c>
      <c r="F1241" s="14" t="s">
        <v>9</v>
      </c>
      <c r="G1241" t="s">
        <v>2327</v>
      </c>
      <c r="H1241" t="s">
        <v>49</v>
      </c>
      <c r="I1241" t="s">
        <v>987</v>
      </c>
      <c r="K1241" s="3"/>
      <c r="M1241" t="s">
        <v>2326</v>
      </c>
    </row>
    <row r="1242" spans="1:13">
      <c r="A1242" t="s">
        <v>28</v>
      </c>
      <c r="B1242">
        <f ca="1">IF(OR(changes[[#This Row],[Type]]="Checklist",changes[[#This Row],[Type]]="checklist-flat"),1+IF(changes[[#This Row],[Type of change]] = "Edit",COUNTIFS($I$4:changes[[#This Row],[Name]],changes[[#This Row],[Name]], $E$4:changes[[#This Row],[Type of change]], "Edit")),B1241)</f>
        <v>1</v>
      </c>
      <c r="C1242" s="20">
        <v>44641</v>
      </c>
      <c r="D1242" s="2" t="s">
        <v>2015</v>
      </c>
      <c r="E1242" t="s">
        <v>27</v>
      </c>
      <c r="F1242" s="14" t="s">
        <v>9</v>
      </c>
      <c r="G1242" t="s">
        <v>965</v>
      </c>
      <c r="H1242" t="s">
        <v>43</v>
      </c>
      <c r="I1242" t="s">
        <v>965</v>
      </c>
      <c r="K1242" s="3"/>
      <c r="M1242" t="s">
        <v>2326</v>
      </c>
    </row>
    <row r="1243" spans="1:13">
      <c r="A1243" t="s">
        <v>28</v>
      </c>
      <c r="B1243">
        <f ca="1">IF(OR(changes[[#This Row],[Type]]="Checklist",changes[[#This Row],[Type]]="checklist-flat"),1+IF(changes[[#This Row],[Type of change]] = "Edit",COUNTIFS($I$4:changes[[#This Row],[Name]],changes[[#This Row],[Name]], $E$4:changes[[#This Row],[Type of change]], "Edit")),B1242)</f>
        <v>1</v>
      </c>
      <c r="C1243" s="20">
        <v>44641</v>
      </c>
      <c r="D1243" s="2" t="s">
        <v>2015</v>
      </c>
      <c r="E1243" t="s">
        <v>27</v>
      </c>
      <c r="F1243" s="14" t="s">
        <v>9</v>
      </c>
      <c r="G1243" t="s">
        <v>965</v>
      </c>
      <c r="H1243" t="s">
        <v>49</v>
      </c>
      <c r="I1243" t="s">
        <v>966</v>
      </c>
      <c r="K1243" s="3"/>
      <c r="M1243" t="s">
        <v>2326</v>
      </c>
    </row>
    <row r="1244" spans="1:13">
      <c r="A1244" t="s">
        <v>28</v>
      </c>
      <c r="B1244">
        <f ca="1">IF(OR(changes[[#This Row],[Type]]="Checklist",changes[[#This Row],[Type]]="checklist-flat"),1+IF(changes[[#This Row],[Type of change]] = "Edit",COUNTIFS($I$4:changes[[#This Row],[Name]],changes[[#This Row],[Name]], $E$4:changes[[#This Row],[Type of change]], "Edit")),B1243)</f>
        <v>1</v>
      </c>
      <c r="C1244" s="20">
        <v>44641</v>
      </c>
      <c r="D1244" s="2" t="s">
        <v>2015</v>
      </c>
      <c r="E1244" t="s">
        <v>27</v>
      </c>
      <c r="F1244" s="14" t="s">
        <v>9</v>
      </c>
      <c r="G1244" t="s">
        <v>965</v>
      </c>
      <c r="H1244" t="s">
        <v>49</v>
      </c>
      <c r="I1244" t="s">
        <v>967</v>
      </c>
      <c r="K1244" s="3"/>
      <c r="M1244" t="s">
        <v>2326</v>
      </c>
    </row>
    <row r="1245" spans="1:13">
      <c r="A1245" t="s">
        <v>28</v>
      </c>
      <c r="B1245">
        <f ca="1">IF(OR(changes[[#This Row],[Type]]="Checklist",changes[[#This Row],[Type]]="checklist-flat"),1+IF(changes[[#This Row],[Type of change]] = "Edit",COUNTIFS($I$4:changes[[#This Row],[Name]],changes[[#This Row],[Name]], $E$4:changes[[#This Row],[Type of change]], "Edit")),B1244)</f>
        <v>1</v>
      </c>
      <c r="C1245" s="20">
        <v>44641</v>
      </c>
      <c r="D1245" s="2" t="s">
        <v>2015</v>
      </c>
      <c r="E1245" t="s">
        <v>27</v>
      </c>
      <c r="F1245" s="14" t="s">
        <v>9</v>
      </c>
      <c r="G1245" t="s">
        <v>965</v>
      </c>
      <c r="H1245" t="s">
        <v>49</v>
      </c>
      <c r="I1245" t="s">
        <v>968</v>
      </c>
      <c r="K1245" s="3"/>
      <c r="M1245" t="s">
        <v>2326</v>
      </c>
    </row>
    <row r="1246" spans="1:13">
      <c r="A1246" t="s">
        <v>28</v>
      </c>
      <c r="B1246">
        <f ca="1">IF(OR(changes[[#This Row],[Type]]="Checklist",changes[[#This Row],[Type]]="checklist-flat"),1+IF(changes[[#This Row],[Type of change]] = "Edit",COUNTIFS($I$4:changes[[#This Row],[Name]],changes[[#This Row],[Name]], $E$4:changes[[#This Row],[Type of change]], "Edit")),B1245)</f>
        <v>1</v>
      </c>
      <c r="C1246" s="20">
        <v>44641</v>
      </c>
      <c r="D1246" s="2" t="s">
        <v>2015</v>
      </c>
      <c r="E1246" t="s">
        <v>27</v>
      </c>
      <c r="F1246" s="14" t="s">
        <v>9</v>
      </c>
      <c r="G1246" t="s">
        <v>965</v>
      </c>
      <c r="H1246" t="s">
        <v>49</v>
      </c>
      <c r="I1246" t="s">
        <v>969</v>
      </c>
      <c r="K1246" s="3"/>
      <c r="M1246" t="s">
        <v>2326</v>
      </c>
    </row>
    <row r="1247" spans="1:13">
      <c r="A1247" t="s">
        <v>28</v>
      </c>
      <c r="B1247">
        <f ca="1">IF(OR(changes[[#This Row],[Type]]="Checklist",changes[[#This Row],[Type]]="checklist-flat"),1+IF(changes[[#This Row],[Type of change]] = "Edit",COUNTIFS($I$4:changes[[#This Row],[Name]],changes[[#This Row],[Name]], $E$4:changes[[#This Row],[Type of change]], "Edit")),B1246)</f>
        <v>1</v>
      </c>
      <c r="C1247" s="20">
        <v>44641</v>
      </c>
      <c r="D1247" s="2" t="s">
        <v>2015</v>
      </c>
      <c r="E1247" t="s">
        <v>27</v>
      </c>
      <c r="F1247" s="14" t="s">
        <v>9</v>
      </c>
      <c r="G1247" t="s">
        <v>965</v>
      </c>
      <c r="H1247" t="s">
        <v>49</v>
      </c>
      <c r="I1247" t="s">
        <v>970</v>
      </c>
      <c r="K1247" s="3"/>
      <c r="M1247" t="s">
        <v>2326</v>
      </c>
    </row>
    <row r="1248" spans="1:13">
      <c r="A1248" t="s">
        <v>28</v>
      </c>
      <c r="B1248">
        <f ca="1">IF(OR(changes[[#This Row],[Type]]="Checklist",changes[[#This Row],[Type]]="checklist-flat"),1+IF(changes[[#This Row],[Type of change]] = "Edit",COUNTIFS($I$4:changes[[#This Row],[Name]],changes[[#This Row],[Name]], $E$4:changes[[#This Row],[Type of change]], "Edit")),B1247)</f>
        <v>1</v>
      </c>
      <c r="C1248" s="20">
        <v>44641</v>
      </c>
      <c r="D1248" s="2" t="s">
        <v>2015</v>
      </c>
      <c r="E1248" t="s">
        <v>27</v>
      </c>
      <c r="F1248" s="14" t="s">
        <v>9</v>
      </c>
      <c r="G1248" t="s">
        <v>965</v>
      </c>
      <c r="H1248" t="s">
        <v>49</v>
      </c>
      <c r="I1248" t="s">
        <v>971</v>
      </c>
      <c r="K1248" s="3"/>
      <c r="M1248" t="s">
        <v>2326</v>
      </c>
    </row>
    <row r="1249" spans="1:13">
      <c r="A1249" t="s">
        <v>28</v>
      </c>
      <c r="B1249">
        <f ca="1">IF(OR(changes[[#This Row],[Type]]="Checklist",changes[[#This Row],[Type]]="checklist-flat"),1+IF(changes[[#This Row],[Type of change]] = "Edit",COUNTIFS($I$4:changes[[#This Row],[Name]],changes[[#This Row],[Name]], $E$4:changes[[#This Row],[Type of change]], "Edit")),B1248)</f>
        <v>1</v>
      </c>
      <c r="C1249" s="20">
        <v>44641</v>
      </c>
      <c r="D1249" s="2" t="s">
        <v>2015</v>
      </c>
      <c r="E1249" t="s">
        <v>27</v>
      </c>
      <c r="F1249" s="14" t="s">
        <v>9</v>
      </c>
      <c r="G1249" t="s">
        <v>965</v>
      </c>
      <c r="H1249" t="s">
        <v>49</v>
      </c>
      <c r="I1249" t="s">
        <v>972</v>
      </c>
      <c r="K1249" s="3"/>
      <c r="M1249" t="s">
        <v>2326</v>
      </c>
    </row>
    <row r="1250" spans="1:13">
      <c r="A1250" t="s">
        <v>28</v>
      </c>
      <c r="B1250">
        <f ca="1">IF(OR(changes[[#This Row],[Type]]="Checklist",changes[[#This Row],[Type]]="checklist-flat"),1+IF(changes[[#This Row],[Type of change]] = "Edit",COUNTIFS($I$4:changes[[#This Row],[Name]],changes[[#This Row],[Name]], $E$4:changes[[#This Row],[Type of change]], "Edit")),B1249)</f>
        <v>1</v>
      </c>
      <c r="C1250" s="20">
        <v>44641</v>
      </c>
      <c r="D1250" s="2" t="s">
        <v>2015</v>
      </c>
      <c r="E1250" t="s">
        <v>27</v>
      </c>
      <c r="F1250" s="14" t="s">
        <v>9</v>
      </c>
      <c r="G1250" t="s">
        <v>965</v>
      </c>
      <c r="H1250" t="s">
        <v>49</v>
      </c>
      <c r="I1250" t="s">
        <v>973</v>
      </c>
      <c r="K1250" s="3"/>
      <c r="M1250" t="s">
        <v>2326</v>
      </c>
    </row>
    <row r="1251" spans="1:13">
      <c r="A1251" t="s">
        <v>28</v>
      </c>
      <c r="B1251">
        <f ca="1">IF(OR(changes[[#This Row],[Type]]="Checklist",changes[[#This Row],[Type]]="checklist-flat"),1+IF(changes[[#This Row],[Type of change]] = "Edit",COUNTIFS($I$4:changes[[#This Row],[Name]],changes[[#This Row],[Name]], $E$4:changes[[#This Row],[Type of change]], "Edit")),B1250)</f>
        <v>1</v>
      </c>
      <c r="C1251" s="20">
        <v>44641</v>
      </c>
      <c r="D1251" s="2" t="s">
        <v>2015</v>
      </c>
      <c r="E1251" t="s">
        <v>27</v>
      </c>
      <c r="F1251" s="14" t="s">
        <v>9</v>
      </c>
      <c r="G1251" t="s">
        <v>965</v>
      </c>
      <c r="H1251" t="s">
        <v>49</v>
      </c>
      <c r="I1251" t="s">
        <v>974</v>
      </c>
      <c r="K1251" s="3"/>
      <c r="M1251" t="s">
        <v>2326</v>
      </c>
    </row>
    <row r="1252" spans="1:13">
      <c r="A1252" t="s">
        <v>28</v>
      </c>
      <c r="B1252">
        <f ca="1">IF(OR(changes[[#This Row],[Type]]="Checklist",changes[[#This Row],[Type]]="checklist-flat"),1+IF(changes[[#This Row],[Type of change]] = "Edit",COUNTIFS($I$4:changes[[#This Row],[Name]],changes[[#This Row],[Name]], $E$4:changes[[#This Row],[Type of change]], "Edit")),B1251)</f>
        <v>1</v>
      </c>
      <c r="C1252" s="20">
        <v>44641</v>
      </c>
      <c r="D1252" s="2" t="s">
        <v>2015</v>
      </c>
      <c r="E1252" t="s">
        <v>27</v>
      </c>
      <c r="F1252" s="14" t="s">
        <v>9</v>
      </c>
      <c r="G1252" t="s">
        <v>965</v>
      </c>
      <c r="H1252" t="s">
        <v>49</v>
      </c>
      <c r="I1252" t="s">
        <v>975</v>
      </c>
      <c r="K1252" s="3"/>
      <c r="M1252" t="s">
        <v>2326</v>
      </c>
    </row>
    <row r="1253" spans="1:13">
      <c r="A1253" t="s">
        <v>28</v>
      </c>
      <c r="B1253">
        <f ca="1">IF(OR(changes[[#This Row],[Type]]="Checklist",changes[[#This Row],[Type]]="checklist-flat"),1+IF(changes[[#This Row],[Type of change]] = "Edit",COUNTIFS($I$4:changes[[#This Row],[Name]],changes[[#This Row],[Name]], $E$4:changes[[#This Row],[Type of change]], "Edit")),B1252)</f>
        <v>1</v>
      </c>
      <c r="C1253" s="20">
        <v>44641</v>
      </c>
      <c r="D1253" s="2" t="s">
        <v>2015</v>
      </c>
      <c r="E1253" t="s">
        <v>27</v>
      </c>
      <c r="F1253" s="14" t="s">
        <v>9</v>
      </c>
      <c r="G1253" t="s">
        <v>965</v>
      </c>
      <c r="H1253" t="s">
        <v>49</v>
      </c>
      <c r="I1253" t="s">
        <v>976</v>
      </c>
      <c r="K1253" s="3"/>
      <c r="M1253" t="s">
        <v>2326</v>
      </c>
    </row>
    <row r="1254" spans="1:13">
      <c r="A1254" t="s">
        <v>28</v>
      </c>
      <c r="B1254">
        <f ca="1">IF(OR(changes[[#This Row],[Type]]="Checklist",changes[[#This Row],[Type]]="checklist-flat"),1+IF(changes[[#This Row],[Type of change]] = "Edit",COUNTIFS($I$4:changes[[#This Row],[Name]],changes[[#This Row],[Name]], $E$4:changes[[#This Row],[Type of change]], "Edit")),B1253)</f>
        <v>1</v>
      </c>
      <c r="C1254" s="20">
        <v>44641</v>
      </c>
      <c r="D1254" s="2" t="s">
        <v>2015</v>
      </c>
      <c r="E1254" t="s">
        <v>27</v>
      </c>
      <c r="F1254" s="14" t="s">
        <v>9</v>
      </c>
      <c r="G1254" t="s">
        <v>965</v>
      </c>
      <c r="H1254" t="s">
        <v>49</v>
      </c>
      <c r="I1254" t="s">
        <v>977</v>
      </c>
      <c r="K1254" s="3"/>
      <c r="M1254" t="s">
        <v>2326</v>
      </c>
    </row>
    <row r="1255" spans="1:13">
      <c r="A1255" t="s">
        <v>28</v>
      </c>
      <c r="B1255">
        <f ca="1">IF(OR(changes[[#This Row],[Type]]="Checklist",changes[[#This Row],[Type]]="checklist-flat"),1+IF(changes[[#This Row],[Type of change]] = "Edit",COUNTIFS($I$4:changes[[#This Row],[Name]],changes[[#This Row],[Name]], $E$4:changes[[#This Row],[Type of change]], "Edit")),B1254)</f>
        <v>1</v>
      </c>
      <c r="C1255" s="20">
        <v>44641</v>
      </c>
      <c r="D1255" s="2" t="s">
        <v>2015</v>
      </c>
      <c r="E1255" t="s">
        <v>27</v>
      </c>
      <c r="F1255" s="14" t="s">
        <v>9</v>
      </c>
      <c r="G1255" t="s">
        <v>965</v>
      </c>
      <c r="H1255" t="s">
        <v>49</v>
      </c>
      <c r="I1255" t="s">
        <v>978</v>
      </c>
      <c r="K1255" s="3"/>
      <c r="M1255" t="s">
        <v>2326</v>
      </c>
    </row>
    <row r="1256" spans="1:13">
      <c r="A1256" t="s">
        <v>28</v>
      </c>
      <c r="B1256">
        <f ca="1">IF(OR(changes[[#This Row],[Type]]="Checklist",changes[[#This Row],[Type]]="checklist-flat"),1+IF(changes[[#This Row],[Type of change]] = "Edit",COUNTIFS($I$4:changes[[#This Row],[Name]],changes[[#This Row],[Name]], $E$4:changes[[#This Row],[Type of change]], "Edit")),B1255)</f>
        <v>1</v>
      </c>
      <c r="C1256" s="20">
        <v>44641</v>
      </c>
      <c r="D1256" s="2" t="s">
        <v>2015</v>
      </c>
      <c r="E1256" t="s">
        <v>27</v>
      </c>
      <c r="F1256" s="14" t="s">
        <v>9</v>
      </c>
      <c r="G1256" t="s">
        <v>965</v>
      </c>
      <c r="H1256" t="s">
        <v>49</v>
      </c>
      <c r="I1256" t="s">
        <v>979</v>
      </c>
      <c r="K1256" s="3"/>
      <c r="M1256" t="s">
        <v>2326</v>
      </c>
    </row>
    <row r="1257" spans="1:13">
      <c r="A1257" t="s">
        <v>28</v>
      </c>
      <c r="B1257">
        <f ca="1">IF(OR(changes[[#This Row],[Type]]="Checklist",changes[[#This Row],[Type]]="checklist-flat"),1+IF(changes[[#This Row],[Type of change]] = "Edit",COUNTIFS($I$4:changes[[#This Row],[Name]],changes[[#This Row],[Name]], $E$4:changes[[#This Row],[Type of change]], "Edit")),B1256)</f>
        <v>1</v>
      </c>
      <c r="C1257" s="20">
        <v>44641</v>
      </c>
      <c r="D1257" s="2" t="s">
        <v>2015</v>
      </c>
      <c r="E1257" t="s">
        <v>27</v>
      </c>
      <c r="F1257" s="14" t="s">
        <v>9</v>
      </c>
      <c r="G1257" t="s">
        <v>965</v>
      </c>
      <c r="H1257" t="s">
        <v>49</v>
      </c>
      <c r="I1257" t="s">
        <v>980</v>
      </c>
      <c r="K1257" s="3"/>
      <c r="M1257" t="s">
        <v>2326</v>
      </c>
    </row>
    <row r="1258" spans="1:13">
      <c r="A1258" t="s">
        <v>28</v>
      </c>
      <c r="B1258">
        <f ca="1">IF(OR(changes[[#This Row],[Type]]="Checklist",changes[[#This Row],[Type]]="checklist-flat"),1+IF(changes[[#This Row],[Type of change]] = "Edit",COUNTIFS($I$4:changes[[#This Row],[Name]],changes[[#This Row],[Name]], $E$4:changes[[#This Row],[Type of change]], "Edit")),B1257)</f>
        <v>1</v>
      </c>
      <c r="C1258" s="20">
        <v>44641</v>
      </c>
      <c r="D1258" s="2" t="s">
        <v>2015</v>
      </c>
      <c r="E1258" t="s">
        <v>27</v>
      </c>
      <c r="F1258" s="14" t="s">
        <v>9</v>
      </c>
      <c r="G1258" t="s">
        <v>965</v>
      </c>
      <c r="H1258" t="s">
        <v>49</v>
      </c>
      <c r="I1258" t="s">
        <v>981</v>
      </c>
      <c r="K1258" s="3"/>
      <c r="M1258" t="s">
        <v>2326</v>
      </c>
    </row>
    <row r="1259" spans="1:13">
      <c r="A1259" t="s">
        <v>28</v>
      </c>
      <c r="B1259">
        <f ca="1">IF(OR(changes[[#This Row],[Type]]="Checklist",changes[[#This Row],[Type]]="checklist-flat"),1+IF(changes[[#This Row],[Type of change]] = "Edit",COUNTIFS($I$4:changes[[#This Row],[Name]],changes[[#This Row],[Name]], $E$4:changes[[#This Row],[Type of change]], "Edit")),B1258)</f>
        <v>1</v>
      </c>
      <c r="C1259" s="20">
        <v>44641</v>
      </c>
      <c r="D1259" s="2" t="s">
        <v>2015</v>
      </c>
      <c r="E1259" t="s">
        <v>27</v>
      </c>
      <c r="F1259" s="14" t="s">
        <v>9</v>
      </c>
      <c r="G1259" t="s">
        <v>965</v>
      </c>
      <c r="H1259" t="s">
        <v>49</v>
      </c>
      <c r="I1259" t="s">
        <v>982</v>
      </c>
      <c r="K1259" s="3"/>
      <c r="M1259" t="s">
        <v>2326</v>
      </c>
    </row>
    <row r="1260" spans="1:13">
      <c r="A1260" t="s">
        <v>28</v>
      </c>
      <c r="B1260">
        <f ca="1">IF(OR(changes[[#This Row],[Type]]="Checklist",changes[[#This Row],[Type]]="checklist-flat"),1+IF(changes[[#This Row],[Type of change]] = "Edit",COUNTIFS($I$4:changes[[#This Row],[Name]],changes[[#This Row],[Name]], $E$4:changes[[#This Row],[Type of change]], "Edit")),B1259)</f>
        <v>1</v>
      </c>
      <c r="C1260" s="20">
        <v>44642</v>
      </c>
      <c r="D1260" s="2" t="s">
        <v>2015</v>
      </c>
      <c r="E1260" t="s">
        <v>27</v>
      </c>
      <c r="F1260" s="14" t="s">
        <v>9</v>
      </c>
      <c r="G1260" t="s">
        <v>1016</v>
      </c>
      <c r="H1260" t="s">
        <v>43</v>
      </c>
      <c r="I1260" t="s">
        <v>1016</v>
      </c>
      <c r="K1260" s="3"/>
      <c r="M1260" t="s">
        <v>2326</v>
      </c>
    </row>
    <row r="1261" spans="1:13">
      <c r="A1261" t="s">
        <v>28</v>
      </c>
      <c r="B1261">
        <f ca="1">IF(OR(changes[[#This Row],[Type]]="Checklist",changes[[#This Row],[Type]]="checklist-flat"),1+IF(changes[[#This Row],[Type of change]] = "Edit",COUNTIFS($I$4:changes[[#This Row],[Name]],changes[[#This Row],[Name]], $E$4:changes[[#This Row],[Type of change]], "Edit")),B1260)</f>
        <v>1</v>
      </c>
      <c r="C1261" s="20">
        <v>44642</v>
      </c>
      <c r="D1261" s="2" t="s">
        <v>2015</v>
      </c>
      <c r="E1261" t="s">
        <v>27</v>
      </c>
      <c r="F1261" s="14" t="s">
        <v>9</v>
      </c>
      <c r="G1261" t="s">
        <v>1016</v>
      </c>
      <c r="H1261" t="s">
        <v>49</v>
      </c>
      <c r="I1261" t="s">
        <v>1017</v>
      </c>
      <c r="K1261" s="3"/>
      <c r="M1261" t="s">
        <v>2326</v>
      </c>
    </row>
    <row r="1262" spans="1:13">
      <c r="A1262" t="s">
        <v>28</v>
      </c>
      <c r="B1262">
        <f ca="1">IF(OR(changes[[#This Row],[Type]]="Checklist",changes[[#This Row],[Type]]="checklist-flat"),1+IF(changes[[#This Row],[Type of change]] = "Edit",COUNTIFS($I$4:changes[[#This Row],[Name]],changes[[#This Row],[Name]], $E$4:changes[[#This Row],[Type of change]], "Edit")),B1261)</f>
        <v>1</v>
      </c>
      <c r="C1262" s="20">
        <v>44642</v>
      </c>
      <c r="D1262" s="2" t="s">
        <v>2015</v>
      </c>
      <c r="E1262" t="s">
        <v>27</v>
      </c>
      <c r="F1262" s="14" t="s">
        <v>9</v>
      </c>
      <c r="G1262" t="s">
        <v>1016</v>
      </c>
      <c r="H1262" t="s">
        <v>49</v>
      </c>
      <c r="I1262" t="s">
        <v>1018</v>
      </c>
      <c r="K1262" s="3"/>
      <c r="M1262" t="s">
        <v>2326</v>
      </c>
    </row>
    <row r="1263" spans="1:13">
      <c r="A1263" t="s">
        <v>28</v>
      </c>
      <c r="B1263">
        <f ca="1">IF(OR(changes[[#This Row],[Type]]="Checklist",changes[[#This Row],[Type]]="checklist-flat"),1+IF(changes[[#This Row],[Type of change]] = "Edit",COUNTIFS($I$4:changes[[#This Row],[Name]],changes[[#This Row],[Name]], $E$4:changes[[#This Row],[Type of change]], "Edit")),B1262)</f>
        <v>1</v>
      </c>
      <c r="C1263" s="20">
        <v>44642</v>
      </c>
      <c r="D1263" s="2" t="s">
        <v>2015</v>
      </c>
      <c r="E1263" t="s">
        <v>27</v>
      </c>
      <c r="F1263" s="14" t="s">
        <v>9</v>
      </c>
      <c r="G1263" t="s">
        <v>1016</v>
      </c>
      <c r="H1263" t="s">
        <v>49</v>
      </c>
      <c r="I1263" t="s">
        <v>1019</v>
      </c>
      <c r="K1263" s="3"/>
      <c r="M1263" t="s">
        <v>2326</v>
      </c>
    </row>
    <row r="1264" spans="1:13">
      <c r="A1264" t="s">
        <v>28</v>
      </c>
      <c r="B1264">
        <f ca="1">IF(OR(changes[[#This Row],[Type]]="Checklist",changes[[#This Row],[Type]]="checklist-flat"),1+IF(changes[[#This Row],[Type of change]] = "Edit",COUNTIFS($I$4:changes[[#This Row],[Name]],changes[[#This Row],[Name]], $E$4:changes[[#This Row],[Type of change]], "Edit")),B1263)</f>
        <v>1</v>
      </c>
      <c r="C1264" s="20">
        <v>44642</v>
      </c>
      <c r="D1264" s="2" t="s">
        <v>2015</v>
      </c>
      <c r="E1264" t="s">
        <v>27</v>
      </c>
      <c r="F1264" s="14" t="s">
        <v>9</v>
      </c>
      <c r="G1264" t="s">
        <v>1016</v>
      </c>
      <c r="H1264" t="s">
        <v>49</v>
      </c>
      <c r="I1264" t="s">
        <v>1020</v>
      </c>
      <c r="K1264" s="3"/>
      <c r="M1264" t="s">
        <v>2326</v>
      </c>
    </row>
    <row r="1265" spans="1:13">
      <c r="A1265" t="s">
        <v>28</v>
      </c>
      <c r="B1265">
        <f ca="1">IF(OR(changes[[#This Row],[Type]]="Checklist",changes[[#This Row],[Type]]="checklist-flat"),1+IF(changes[[#This Row],[Type of change]] = "Edit",COUNTIFS($I$4:changes[[#This Row],[Name]],changes[[#This Row],[Name]], $E$4:changes[[#This Row],[Type of change]], "Edit")),B1264)</f>
        <v>1</v>
      </c>
      <c r="C1265" s="20">
        <v>44642</v>
      </c>
      <c r="D1265" s="2" t="s">
        <v>2015</v>
      </c>
      <c r="E1265" t="s">
        <v>27</v>
      </c>
      <c r="F1265" s="14" t="s">
        <v>9</v>
      </c>
      <c r="G1265" t="s">
        <v>1016</v>
      </c>
      <c r="H1265" t="s">
        <v>49</v>
      </c>
      <c r="I1265" t="s">
        <v>1021</v>
      </c>
      <c r="K1265" s="3"/>
      <c r="M1265" t="s">
        <v>2326</v>
      </c>
    </row>
    <row r="1266" spans="1:13">
      <c r="A1266" t="s">
        <v>28</v>
      </c>
      <c r="B1266">
        <f ca="1">IF(OR(changes[[#This Row],[Type]]="Checklist",changes[[#This Row],[Type]]="checklist-flat"),1+IF(changes[[#This Row],[Type of change]] = "Edit",COUNTIFS($I$4:changes[[#This Row],[Name]],changes[[#This Row],[Name]], $E$4:changes[[#This Row],[Type of change]], "Edit")),B1265)</f>
        <v>1</v>
      </c>
      <c r="C1266" s="20">
        <v>44642</v>
      </c>
      <c r="D1266" s="2" t="s">
        <v>2015</v>
      </c>
      <c r="E1266" t="s">
        <v>27</v>
      </c>
      <c r="F1266" s="14" t="s">
        <v>9</v>
      </c>
      <c r="G1266" t="s">
        <v>1016</v>
      </c>
      <c r="H1266" t="s">
        <v>49</v>
      </c>
      <c r="I1266" t="s">
        <v>1022</v>
      </c>
      <c r="K1266" s="3"/>
      <c r="M1266" t="s">
        <v>2326</v>
      </c>
    </row>
    <row r="1267" spans="1:13">
      <c r="A1267" t="s">
        <v>28</v>
      </c>
      <c r="B1267">
        <f ca="1">IF(OR(changes[[#This Row],[Type]]="Checklist",changes[[#This Row],[Type]]="checklist-flat"),1+IF(changes[[#This Row],[Type of change]] = "Edit",COUNTIFS($I$4:changes[[#This Row],[Name]],changes[[#This Row],[Name]], $E$4:changes[[#This Row],[Type of change]], "Edit")),B1266)</f>
        <v>1</v>
      </c>
      <c r="C1267" s="20">
        <v>44642</v>
      </c>
      <c r="D1267" s="2" t="s">
        <v>2015</v>
      </c>
      <c r="E1267" t="s">
        <v>27</v>
      </c>
      <c r="F1267" s="14" t="s">
        <v>9</v>
      </c>
      <c r="G1267" t="s">
        <v>1016</v>
      </c>
      <c r="H1267" t="s">
        <v>49</v>
      </c>
      <c r="I1267" t="s">
        <v>1023</v>
      </c>
      <c r="K1267" s="3"/>
      <c r="M1267" t="s">
        <v>2326</v>
      </c>
    </row>
    <row r="1268" spans="1:13">
      <c r="A1268" t="s">
        <v>28</v>
      </c>
      <c r="B1268">
        <f ca="1">IF(OR(changes[[#This Row],[Type]]="Checklist",changes[[#This Row],[Type]]="checklist-flat"),1+IF(changes[[#This Row],[Type of change]] = "Edit",COUNTIFS($I$4:changes[[#This Row],[Name]],changes[[#This Row],[Name]], $E$4:changes[[#This Row],[Type of change]], "Edit")),B1267)</f>
        <v>1</v>
      </c>
      <c r="C1268" s="20">
        <v>44642</v>
      </c>
      <c r="D1268" s="2" t="s">
        <v>2015</v>
      </c>
      <c r="E1268" t="s">
        <v>27</v>
      </c>
      <c r="F1268" s="14" t="s">
        <v>9</v>
      </c>
      <c r="G1268" t="s">
        <v>1016</v>
      </c>
      <c r="H1268" t="s">
        <v>49</v>
      </c>
      <c r="I1268" t="s">
        <v>1024</v>
      </c>
      <c r="K1268" s="3"/>
      <c r="M1268" t="s">
        <v>2326</v>
      </c>
    </row>
    <row r="1269" spans="1:13">
      <c r="A1269" t="s">
        <v>28</v>
      </c>
      <c r="B1269">
        <f ca="1">IF(OR(changes[[#This Row],[Type]]="Checklist",changes[[#This Row],[Type]]="checklist-flat"),1+IF(changes[[#This Row],[Type of change]] = "Edit",COUNTIFS($I$4:changes[[#This Row],[Name]],changes[[#This Row],[Name]], $E$4:changes[[#This Row],[Type of change]], "Edit")),B1268)</f>
        <v>1</v>
      </c>
      <c r="C1269" s="20">
        <v>44642</v>
      </c>
      <c r="D1269" s="2" t="s">
        <v>2015</v>
      </c>
      <c r="E1269" t="s">
        <v>27</v>
      </c>
      <c r="F1269" s="14" t="s">
        <v>9</v>
      </c>
      <c r="G1269" t="s">
        <v>1016</v>
      </c>
      <c r="H1269" t="s">
        <v>49</v>
      </c>
      <c r="I1269" t="s">
        <v>1025</v>
      </c>
      <c r="K1269" s="3"/>
      <c r="M1269" t="s">
        <v>2326</v>
      </c>
    </row>
    <row r="1270" spans="1:13">
      <c r="A1270" t="s">
        <v>28</v>
      </c>
      <c r="B1270">
        <f ca="1">IF(OR(changes[[#This Row],[Type]]="Checklist",changes[[#This Row],[Type]]="checklist-flat"),1+IF(changes[[#This Row],[Type of change]] = "Edit",COUNTIFS($I$4:changes[[#This Row],[Name]],changes[[#This Row],[Name]], $E$4:changes[[#This Row],[Type of change]], "Edit")),B1269)</f>
        <v>1</v>
      </c>
      <c r="C1270" s="20">
        <v>44642</v>
      </c>
      <c r="D1270" s="2" t="s">
        <v>2015</v>
      </c>
      <c r="E1270" t="s">
        <v>27</v>
      </c>
      <c r="F1270" s="14" t="s">
        <v>9</v>
      </c>
      <c r="G1270" t="s">
        <v>1016</v>
      </c>
      <c r="H1270" t="s">
        <v>49</v>
      </c>
      <c r="I1270" t="s">
        <v>1026</v>
      </c>
      <c r="K1270" s="3"/>
      <c r="M1270" t="s">
        <v>2326</v>
      </c>
    </row>
    <row r="1271" spans="1:13">
      <c r="A1271" t="s">
        <v>28</v>
      </c>
      <c r="B1271">
        <f ca="1">IF(OR(changes[[#This Row],[Type]]="Checklist",changes[[#This Row],[Type]]="checklist-flat"),1+IF(changes[[#This Row],[Type of change]] = "Edit",COUNTIFS($I$4:changes[[#This Row],[Name]],changes[[#This Row],[Name]], $E$4:changes[[#This Row],[Type of change]], "Edit")),B1270)</f>
        <v>1</v>
      </c>
      <c r="C1271" s="20">
        <v>44648</v>
      </c>
      <c r="D1271" s="2" t="s">
        <v>2025</v>
      </c>
      <c r="E1271" t="s">
        <v>27</v>
      </c>
      <c r="F1271" s="14" t="s">
        <v>9</v>
      </c>
      <c r="G1271" t="s">
        <v>1027</v>
      </c>
      <c r="H1271" t="s">
        <v>119</v>
      </c>
      <c r="I1271" t="s">
        <v>1027</v>
      </c>
      <c r="K1271" s="3"/>
      <c r="M1271" t="s">
        <v>2329</v>
      </c>
    </row>
    <row r="1272" spans="1:13">
      <c r="A1272" t="s">
        <v>28</v>
      </c>
      <c r="B1272">
        <f ca="1">IF(OR(changes[[#This Row],[Type]]="Checklist",changes[[#This Row],[Type]]="checklist-flat"),1+IF(changes[[#This Row],[Type of change]] = "Edit",COUNTIFS($I$4:changes[[#This Row],[Name]],changes[[#This Row],[Name]], $E$4:changes[[#This Row],[Type of change]], "Edit")),B1271)</f>
        <v>1</v>
      </c>
      <c r="C1272" s="20">
        <v>44648</v>
      </c>
      <c r="D1272" s="2" t="s">
        <v>2025</v>
      </c>
      <c r="E1272" t="s">
        <v>27</v>
      </c>
      <c r="F1272" s="14" t="s">
        <v>9</v>
      </c>
      <c r="G1272" t="s">
        <v>1027</v>
      </c>
      <c r="H1272" t="s">
        <v>49</v>
      </c>
      <c r="I1272" t="s">
        <v>1028</v>
      </c>
      <c r="K1272" s="3"/>
      <c r="M1272" s="3"/>
    </row>
    <row r="1273" spans="1:13">
      <c r="A1273" t="s">
        <v>28</v>
      </c>
      <c r="B1273">
        <f ca="1">IF(OR(changes[[#This Row],[Type]]="Checklist",changes[[#This Row],[Type]]="checklist-flat"),1+IF(changes[[#This Row],[Type of change]] = "Edit",COUNTIFS($I$4:changes[[#This Row],[Name]],changes[[#This Row],[Name]], $E$4:changes[[#This Row],[Type of change]], "Edit")),B1272)</f>
        <v>1</v>
      </c>
      <c r="C1273" s="20">
        <v>44648</v>
      </c>
      <c r="D1273" s="2" t="s">
        <v>2025</v>
      </c>
      <c r="E1273" t="s">
        <v>27</v>
      </c>
      <c r="F1273" s="14" t="s">
        <v>9</v>
      </c>
      <c r="G1273" t="s">
        <v>1027</v>
      </c>
      <c r="H1273" t="s">
        <v>124</v>
      </c>
      <c r="I1273" t="s">
        <v>1029</v>
      </c>
      <c r="K1273" s="3"/>
      <c r="M1273" s="3"/>
    </row>
    <row r="1274" spans="1:13">
      <c r="A1274" t="s">
        <v>28</v>
      </c>
      <c r="B1274">
        <f ca="1">IF(OR(changes[[#This Row],[Type]]="Checklist",changes[[#This Row],[Type]]="checklist-flat"),1+IF(changes[[#This Row],[Type of change]] = "Edit",COUNTIFS($I$4:changes[[#This Row],[Name]],changes[[#This Row],[Name]], $E$4:changes[[#This Row],[Type of change]], "Edit")),B1273)</f>
        <v>1</v>
      </c>
      <c r="C1274" s="20">
        <v>44648</v>
      </c>
      <c r="D1274" s="2" t="s">
        <v>2025</v>
      </c>
      <c r="E1274" t="s">
        <v>27</v>
      </c>
      <c r="F1274" s="14" t="s">
        <v>9</v>
      </c>
      <c r="G1274" t="s">
        <v>1027</v>
      </c>
      <c r="H1274" t="s">
        <v>124</v>
      </c>
      <c r="I1274" t="s">
        <v>1030</v>
      </c>
      <c r="K1274" s="3"/>
      <c r="M1274" s="3"/>
    </row>
    <row r="1275" spans="1:13">
      <c r="A1275" t="s">
        <v>28</v>
      </c>
      <c r="B1275">
        <f ca="1">IF(OR(changes[[#This Row],[Type]]="Checklist",changes[[#This Row],[Type]]="checklist-flat"),1+IF(changes[[#This Row],[Type of change]] = "Edit",COUNTIFS($I$4:changes[[#This Row],[Name]],changes[[#This Row],[Name]], $E$4:changes[[#This Row],[Type of change]], "Edit")),B1274)</f>
        <v>1</v>
      </c>
      <c r="C1275" s="20">
        <v>44648</v>
      </c>
      <c r="D1275" s="2" t="s">
        <v>2025</v>
      </c>
      <c r="E1275" t="s">
        <v>27</v>
      </c>
      <c r="F1275" s="14" t="s">
        <v>9</v>
      </c>
      <c r="G1275" t="s">
        <v>1027</v>
      </c>
      <c r="H1275" t="s">
        <v>124</v>
      </c>
      <c r="I1275" t="s">
        <v>1031</v>
      </c>
      <c r="K1275" s="3"/>
      <c r="M1275" s="3"/>
    </row>
    <row r="1276" spans="1:13">
      <c r="A1276" t="s">
        <v>28</v>
      </c>
      <c r="B1276">
        <f ca="1">IF(OR(changes[[#This Row],[Type]]="Checklist",changes[[#This Row],[Type]]="checklist-flat"),1+IF(changes[[#This Row],[Type of change]] = "Edit",COUNTIFS($I$4:changes[[#This Row],[Name]],changes[[#This Row],[Name]], $E$4:changes[[#This Row],[Type of change]], "Edit")),B1275)</f>
        <v>1</v>
      </c>
      <c r="C1276" s="20">
        <v>44648</v>
      </c>
      <c r="D1276" s="2" t="s">
        <v>2025</v>
      </c>
      <c r="E1276" t="s">
        <v>27</v>
      </c>
      <c r="F1276" s="14" t="s">
        <v>9</v>
      </c>
      <c r="G1276" t="s">
        <v>1027</v>
      </c>
      <c r="H1276" t="s">
        <v>124</v>
      </c>
      <c r="I1276" t="s">
        <v>1032</v>
      </c>
      <c r="K1276" s="3"/>
      <c r="M1276" s="3"/>
    </row>
    <row r="1277" spans="1:13">
      <c r="A1277" t="s">
        <v>28</v>
      </c>
      <c r="B1277">
        <f ca="1">IF(OR(changes[[#This Row],[Type]]="Checklist",changes[[#This Row],[Type]]="checklist-flat"),1+IF(changes[[#This Row],[Type of change]] = "Edit",COUNTIFS($I$4:changes[[#This Row],[Name]],changes[[#This Row],[Name]], $E$4:changes[[#This Row],[Type of change]], "Edit")),B1276)</f>
        <v>1</v>
      </c>
      <c r="C1277" s="20">
        <v>44648</v>
      </c>
      <c r="D1277" s="2" t="s">
        <v>2025</v>
      </c>
      <c r="E1277" t="s">
        <v>27</v>
      </c>
      <c r="F1277" s="14" t="s">
        <v>9</v>
      </c>
      <c r="G1277" t="s">
        <v>1027</v>
      </c>
      <c r="H1277" t="s">
        <v>124</v>
      </c>
      <c r="I1277" t="s">
        <v>1033</v>
      </c>
      <c r="K1277" s="3"/>
      <c r="M1277" s="3"/>
    </row>
    <row r="1278" spans="1:13">
      <c r="A1278" t="s">
        <v>28</v>
      </c>
      <c r="B1278">
        <f ca="1">IF(OR(changes[[#This Row],[Type]]="Checklist",changes[[#This Row],[Type]]="checklist-flat"),1+IF(changes[[#This Row],[Type of change]] = "Edit",COUNTIFS($I$4:changes[[#This Row],[Name]],changes[[#This Row],[Name]], $E$4:changes[[#This Row],[Type of change]], "Edit")),B1277)</f>
        <v>1</v>
      </c>
      <c r="C1278" s="20">
        <v>44648</v>
      </c>
      <c r="D1278" s="2" t="s">
        <v>2025</v>
      </c>
      <c r="E1278" t="s">
        <v>27</v>
      </c>
      <c r="F1278" s="14" t="s">
        <v>9</v>
      </c>
      <c r="G1278" t="s">
        <v>1027</v>
      </c>
      <c r="H1278" t="s">
        <v>1034</v>
      </c>
      <c r="I1278" t="s">
        <v>1035</v>
      </c>
      <c r="J1278" t="s">
        <v>2330</v>
      </c>
      <c r="K1278" s="3"/>
      <c r="M1278" s="3"/>
    </row>
    <row r="1279" spans="1:13">
      <c r="A1279" t="s">
        <v>28</v>
      </c>
      <c r="B1279">
        <f ca="1">IF(OR(changes[[#This Row],[Type]]="Checklist",changes[[#This Row],[Type]]="checklist-flat"),1+IF(changes[[#This Row],[Type of change]] = "Edit",COUNTIFS($I$4:changes[[#This Row],[Name]],changes[[#This Row],[Name]], $E$4:changes[[#This Row],[Type of change]], "Edit")),B1278)</f>
        <v>1</v>
      </c>
      <c r="C1279" s="20">
        <v>44648</v>
      </c>
      <c r="D1279" s="2" t="s">
        <v>2025</v>
      </c>
      <c r="E1279" t="s">
        <v>27</v>
      </c>
      <c r="F1279" s="14" t="s">
        <v>9</v>
      </c>
      <c r="G1279" t="s">
        <v>1027</v>
      </c>
      <c r="H1279" t="s">
        <v>124</v>
      </c>
      <c r="I1279" t="s">
        <v>1036</v>
      </c>
      <c r="K1279" s="3"/>
      <c r="M1279" s="3"/>
    </row>
    <row r="1280" spans="1:13">
      <c r="A1280" t="s">
        <v>28</v>
      </c>
      <c r="B1280">
        <f ca="1">IF(OR(changes[[#This Row],[Type]]="Checklist",changes[[#This Row],[Type]]="checklist-flat"),1+IF(changes[[#This Row],[Type of change]] = "Edit",COUNTIFS($I$4:changes[[#This Row],[Name]],changes[[#This Row],[Name]], $E$4:changes[[#This Row],[Type of change]], "Edit")),B1279)</f>
        <v>1</v>
      </c>
      <c r="C1280" s="20">
        <v>44648</v>
      </c>
      <c r="D1280" s="2" t="s">
        <v>2025</v>
      </c>
      <c r="E1280" t="s">
        <v>27</v>
      </c>
      <c r="F1280" s="14" t="s">
        <v>9</v>
      </c>
      <c r="G1280" t="s">
        <v>1027</v>
      </c>
      <c r="H1280" t="s">
        <v>124</v>
      </c>
      <c r="I1280" t="s">
        <v>1037</v>
      </c>
      <c r="K1280" s="3"/>
      <c r="M1280" s="3"/>
    </row>
    <row r="1281" spans="1:13">
      <c r="A1281" t="s">
        <v>28</v>
      </c>
      <c r="B1281">
        <f ca="1">IF(OR(changes[[#This Row],[Type]]="Checklist",changes[[#This Row],[Type]]="checklist-flat"),1+IF(changes[[#This Row],[Type of change]] = "Edit",COUNTIFS($I$4:changes[[#This Row],[Name]],changes[[#This Row],[Name]], $E$4:changes[[#This Row],[Type of change]], "Edit")),B1280)</f>
        <v>1</v>
      </c>
      <c r="C1281" s="20">
        <v>44648</v>
      </c>
      <c r="D1281" s="2" t="s">
        <v>2025</v>
      </c>
      <c r="E1281" t="s">
        <v>27</v>
      </c>
      <c r="F1281" s="14" t="s">
        <v>9</v>
      </c>
      <c r="G1281" t="s">
        <v>1027</v>
      </c>
      <c r="H1281" t="s">
        <v>124</v>
      </c>
      <c r="I1281" t="s">
        <v>1038</v>
      </c>
      <c r="K1281" s="3"/>
      <c r="M1281" s="3"/>
    </row>
    <row r="1282" spans="1:13">
      <c r="A1282" t="s">
        <v>28</v>
      </c>
      <c r="B1282">
        <f ca="1">IF(OR(changes[[#This Row],[Type]]="Checklist",changes[[#This Row],[Type]]="checklist-flat"),1+IF(changes[[#This Row],[Type of change]] = "Edit",COUNTIFS($I$4:changes[[#This Row],[Name]],changes[[#This Row],[Name]], $E$4:changes[[#This Row],[Type of change]], "Edit")),B1281)</f>
        <v>1</v>
      </c>
      <c r="C1282" s="20">
        <v>44648</v>
      </c>
      <c r="D1282" s="2" t="s">
        <v>2025</v>
      </c>
      <c r="E1282" t="s">
        <v>27</v>
      </c>
      <c r="F1282" s="14" t="s">
        <v>9</v>
      </c>
      <c r="G1282" t="s">
        <v>1027</v>
      </c>
      <c r="H1282" t="s">
        <v>49</v>
      </c>
      <c r="I1282" t="s">
        <v>1039</v>
      </c>
      <c r="K1282" s="3"/>
      <c r="M1282" s="3"/>
    </row>
    <row r="1283" spans="1:13">
      <c r="A1283" t="s">
        <v>28</v>
      </c>
      <c r="B1283">
        <f ca="1">IF(OR(changes[[#This Row],[Type]]="Checklist",changes[[#This Row],[Type]]="checklist-flat"),1+IF(changes[[#This Row],[Type of change]] = "Edit",COUNTIFS($I$4:changes[[#This Row],[Name]],changes[[#This Row],[Name]], $E$4:changes[[#This Row],[Type of change]], "Edit")),B1282)</f>
        <v>1</v>
      </c>
      <c r="C1283" s="20">
        <v>44648</v>
      </c>
      <c r="D1283" s="2" t="s">
        <v>2025</v>
      </c>
      <c r="E1283" t="s">
        <v>27</v>
      </c>
      <c r="F1283" s="14" t="s">
        <v>9</v>
      </c>
      <c r="G1283" t="s">
        <v>1040</v>
      </c>
      <c r="H1283" t="s">
        <v>119</v>
      </c>
      <c r="I1283" t="s">
        <v>1040</v>
      </c>
      <c r="K1283" s="3"/>
      <c r="M1283" t="s">
        <v>2331</v>
      </c>
    </row>
    <row r="1284" spans="1:13">
      <c r="A1284" t="s">
        <v>28</v>
      </c>
      <c r="B1284">
        <f ca="1">IF(OR(changes[[#This Row],[Type]]="Checklist",changes[[#This Row],[Type]]="checklist-flat"),1+IF(changes[[#This Row],[Type of change]] = "Edit",COUNTIFS($I$4:changes[[#This Row],[Name]],changes[[#This Row],[Name]], $E$4:changes[[#This Row],[Type of change]], "Edit")),B1283)</f>
        <v>1</v>
      </c>
      <c r="C1284" s="20">
        <v>44648</v>
      </c>
      <c r="D1284" s="2" t="s">
        <v>2025</v>
      </c>
      <c r="E1284" t="s">
        <v>27</v>
      </c>
      <c r="F1284" s="14" t="s">
        <v>9</v>
      </c>
      <c r="G1284" t="s">
        <v>1040</v>
      </c>
      <c r="H1284" t="s">
        <v>49</v>
      </c>
      <c r="I1284" t="s">
        <v>1041</v>
      </c>
      <c r="K1284" s="3"/>
      <c r="M1284" s="3"/>
    </row>
    <row r="1285" spans="1:13">
      <c r="A1285" t="s">
        <v>28</v>
      </c>
      <c r="B1285">
        <f ca="1">IF(OR(changes[[#This Row],[Type]]="Checklist",changes[[#This Row],[Type]]="checklist-flat"),1+IF(changes[[#This Row],[Type of change]] = "Edit",COUNTIFS($I$4:changes[[#This Row],[Name]],changes[[#This Row],[Name]], $E$4:changes[[#This Row],[Type of change]], "Edit")),B1284)</f>
        <v>1</v>
      </c>
      <c r="C1285" s="20">
        <v>44648</v>
      </c>
      <c r="D1285" s="2" t="s">
        <v>2025</v>
      </c>
      <c r="E1285" t="s">
        <v>27</v>
      </c>
      <c r="F1285" s="14" t="s">
        <v>9</v>
      </c>
      <c r="G1285" t="s">
        <v>1040</v>
      </c>
      <c r="H1285" t="s">
        <v>49</v>
      </c>
      <c r="I1285" t="s">
        <v>1042</v>
      </c>
      <c r="K1285" s="3"/>
      <c r="M1285" s="3"/>
    </row>
    <row r="1286" spans="1:13">
      <c r="A1286" t="s">
        <v>28</v>
      </c>
      <c r="B1286">
        <f ca="1">IF(OR(changes[[#This Row],[Type]]="Checklist",changes[[#This Row],[Type]]="checklist-flat"),1+IF(changes[[#This Row],[Type of change]] = "Edit",COUNTIFS($I$4:changes[[#This Row],[Name]],changes[[#This Row],[Name]], $E$4:changes[[#This Row],[Type of change]], "Edit")),B1285)</f>
        <v>1</v>
      </c>
      <c r="C1286" s="20">
        <v>44648</v>
      </c>
      <c r="D1286" s="2" t="s">
        <v>2025</v>
      </c>
      <c r="E1286" t="s">
        <v>27</v>
      </c>
      <c r="F1286" s="14" t="s">
        <v>9</v>
      </c>
      <c r="G1286" t="s">
        <v>1040</v>
      </c>
      <c r="H1286" t="s">
        <v>49</v>
      </c>
      <c r="I1286" t="s">
        <v>1043</v>
      </c>
      <c r="K1286" s="3"/>
      <c r="M1286" s="3"/>
    </row>
    <row r="1287" spans="1:13">
      <c r="A1287" t="s">
        <v>28</v>
      </c>
      <c r="B1287">
        <f ca="1">IF(OR(changes[[#This Row],[Type]]="Checklist",changes[[#This Row],[Type]]="checklist-flat"),1+IF(changes[[#This Row],[Type of change]] = "Edit",COUNTIFS($I$4:changes[[#This Row],[Name]],changes[[#This Row],[Name]], $E$4:changes[[#This Row],[Type of change]], "Edit")),B1286)</f>
        <v>1</v>
      </c>
      <c r="C1287" s="20">
        <v>44648</v>
      </c>
      <c r="D1287" s="2" t="s">
        <v>2025</v>
      </c>
      <c r="E1287" t="s">
        <v>27</v>
      </c>
      <c r="F1287" s="14" t="s">
        <v>9</v>
      </c>
      <c r="G1287" t="s">
        <v>1040</v>
      </c>
      <c r="H1287" t="s">
        <v>49</v>
      </c>
      <c r="I1287" t="s">
        <v>1044</v>
      </c>
      <c r="K1287" s="3"/>
      <c r="M1287" s="3"/>
    </row>
    <row r="1288" spans="1:13">
      <c r="A1288" t="s">
        <v>28</v>
      </c>
      <c r="B1288">
        <f ca="1">IF(OR(changes[[#This Row],[Type]]="Checklist",changes[[#This Row],[Type]]="checklist-flat"),1+IF(changes[[#This Row],[Type of change]] = "Edit",COUNTIFS($I$4:changes[[#This Row],[Name]],changes[[#This Row],[Name]], $E$4:changes[[#This Row],[Type of change]], "Edit")),B1287)</f>
        <v>1</v>
      </c>
      <c r="C1288" s="20">
        <v>44648</v>
      </c>
      <c r="D1288" s="2" t="s">
        <v>2025</v>
      </c>
      <c r="E1288" t="s">
        <v>27</v>
      </c>
      <c r="F1288" s="14" t="s">
        <v>9</v>
      </c>
      <c r="G1288" t="s">
        <v>1040</v>
      </c>
      <c r="H1288" t="s">
        <v>49</v>
      </c>
      <c r="I1288" t="s">
        <v>1045</v>
      </c>
      <c r="K1288" s="3"/>
      <c r="M1288" s="3"/>
    </row>
    <row r="1289" spans="1:13">
      <c r="A1289" t="s">
        <v>28</v>
      </c>
      <c r="B1289">
        <f ca="1">IF(OR(changes[[#This Row],[Type]]="Checklist",changes[[#This Row],[Type]]="checklist-flat"),1+IF(changes[[#This Row],[Type of change]] = "Edit",COUNTIFS($I$4:changes[[#This Row],[Name]],changes[[#This Row],[Name]], $E$4:changes[[#This Row],[Type of change]], "Edit")),B1288)</f>
        <v>1</v>
      </c>
      <c r="C1289" s="20">
        <v>44648</v>
      </c>
      <c r="D1289" s="2" t="s">
        <v>2025</v>
      </c>
      <c r="E1289" t="s">
        <v>27</v>
      </c>
      <c r="F1289" s="14" t="s">
        <v>9</v>
      </c>
      <c r="G1289" t="s">
        <v>1040</v>
      </c>
      <c r="H1289" t="s">
        <v>49</v>
      </c>
      <c r="I1289" t="s">
        <v>1046</v>
      </c>
      <c r="K1289" s="3"/>
      <c r="M1289" s="3"/>
    </row>
    <row r="1290" spans="1:13">
      <c r="A1290" t="s">
        <v>28</v>
      </c>
      <c r="B1290">
        <f ca="1">IF(OR(changes[[#This Row],[Type]]="Checklist",changes[[#This Row],[Type]]="checklist-flat"),1+IF(changes[[#This Row],[Type of change]] = "Edit",COUNTIFS($I$4:changes[[#This Row],[Name]],changes[[#This Row],[Name]], $E$4:changes[[#This Row],[Type of change]], "Edit")),B1289)</f>
        <v>1</v>
      </c>
      <c r="C1290" s="20">
        <v>44648</v>
      </c>
      <c r="D1290" s="2" t="s">
        <v>2025</v>
      </c>
      <c r="E1290" t="s">
        <v>27</v>
      </c>
      <c r="F1290" s="14" t="s">
        <v>9</v>
      </c>
      <c r="G1290" t="s">
        <v>1040</v>
      </c>
      <c r="H1290" s="57" t="s">
        <v>49</v>
      </c>
      <c r="I1290" s="57" t="s">
        <v>1047</v>
      </c>
      <c r="J1290" s="57"/>
      <c r="K1290" s="3"/>
      <c r="M1290" s="3"/>
    </row>
    <row r="1291" spans="1:13" ht="15" customHeight="1">
      <c r="A1291" t="s">
        <v>28</v>
      </c>
      <c r="B1291">
        <f ca="1">IF(OR(changes[[#This Row],[Type]]="Checklist",changes[[#This Row],[Type]]="checklist-flat"),1+IF(changes[[#This Row],[Type of change]] = "Edit",COUNTIFS($I$4:changes[[#This Row],[Name]],changes[[#This Row],[Name]], $E$4:changes[[#This Row],[Type of change]], "Edit")),B1290)</f>
        <v>1</v>
      </c>
      <c r="C1291" s="20">
        <v>44649</v>
      </c>
      <c r="D1291" s="2" t="s">
        <v>2165</v>
      </c>
      <c r="E1291" t="s">
        <v>10</v>
      </c>
      <c r="F1291" s="14" t="s">
        <v>9</v>
      </c>
      <c r="G1291" s="14" t="s">
        <v>673</v>
      </c>
      <c r="H1291" t="s">
        <v>124</v>
      </c>
      <c r="I1291" s="58" t="s">
        <v>2332</v>
      </c>
      <c r="K1291" s="3"/>
      <c r="M1291" s="3"/>
    </row>
    <row r="1292" spans="1:13">
      <c r="A1292" t="s">
        <v>28</v>
      </c>
      <c r="B1292">
        <f ca="1">IF(OR(changes[[#This Row],[Type]]="Checklist",changes[[#This Row],[Type]]="checklist-flat"),1+IF(changes[[#This Row],[Type of change]] = "Edit",COUNTIFS($I$4:changes[[#This Row],[Name]],changes[[#This Row],[Name]], $E$4:changes[[#This Row],[Type of change]], "Edit")),B1291)</f>
        <v>1</v>
      </c>
      <c r="C1292" s="20">
        <v>44655</v>
      </c>
      <c r="D1292" s="2" t="s">
        <v>2333</v>
      </c>
      <c r="E1292" t="s">
        <v>27</v>
      </c>
      <c r="F1292" s="14" t="s">
        <v>9</v>
      </c>
      <c r="G1292" t="s">
        <v>2334</v>
      </c>
      <c r="H1292" t="s">
        <v>119</v>
      </c>
      <c r="I1292" t="s">
        <v>1862</v>
      </c>
      <c r="K1292" s="3"/>
      <c r="M1292" t="s">
        <v>2326</v>
      </c>
    </row>
    <row r="1293" spans="1:13">
      <c r="A1293" t="s">
        <v>28</v>
      </c>
      <c r="B1293">
        <f ca="1">IF(OR(changes[[#This Row],[Type]]="Checklist",changes[[#This Row],[Type]]="checklist-flat"),1+IF(changes[[#This Row],[Type of change]] = "Edit",COUNTIFS($I$4:changes[[#This Row],[Name]],changes[[#This Row],[Name]], $E$4:changes[[#This Row],[Type of change]], "Edit")),B1292)</f>
        <v>1</v>
      </c>
      <c r="C1293" s="20">
        <v>44655</v>
      </c>
      <c r="D1293" s="2" t="s">
        <v>2333</v>
      </c>
      <c r="E1293" t="s">
        <v>27</v>
      </c>
      <c r="F1293" s="14" t="s">
        <v>9</v>
      </c>
      <c r="G1293" t="s">
        <v>2334</v>
      </c>
      <c r="H1293" t="s">
        <v>49</v>
      </c>
      <c r="I1293" t="s">
        <v>760</v>
      </c>
      <c r="K1293" s="3"/>
      <c r="M1293" t="s">
        <v>2326</v>
      </c>
    </row>
    <row r="1294" spans="1:13">
      <c r="A1294" t="s">
        <v>28</v>
      </c>
      <c r="B1294">
        <f ca="1">IF(OR(changes[[#This Row],[Type]]="Checklist",changes[[#This Row],[Type]]="checklist-flat"),1+IF(changes[[#This Row],[Type of change]] = "Edit",COUNTIFS($I$4:changes[[#This Row],[Name]],changes[[#This Row],[Name]], $E$4:changes[[#This Row],[Type of change]], "Edit")),B1293)</f>
        <v>1</v>
      </c>
      <c r="C1294" s="20">
        <v>44655</v>
      </c>
      <c r="D1294" s="2" t="s">
        <v>2333</v>
      </c>
      <c r="E1294" t="s">
        <v>27</v>
      </c>
      <c r="F1294" s="14" t="s">
        <v>9</v>
      </c>
      <c r="G1294" t="s">
        <v>2334</v>
      </c>
      <c r="H1294" t="s">
        <v>49</v>
      </c>
      <c r="I1294" t="s">
        <v>761</v>
      </c>
      <c r="K1294" s="3"/>
      <c r="M1294" t="s">
        <v>2326</v>
      </c>
    </row>
    <row r="1295" spans="1:13">
      <c r="A1295" t="s">
        <v>28</v>
      </c>
      <c r="B1295">
        <f ca="1">IF(OR(changes[[#This Row],[Type]]="Checklist",changes[[#This Row],[Type]]="checklist-flat"),1+IF(changes[[#This Row],[Type of change]] = "Edit",COUNTIFS($I$4:changes[[#This Row],[Name]],changes[[#This Row],[Name]], $E$4:changes[[#This Row],[Type of change]], "Edit")),B1294)</f>
        <v>1</v>
      </c>
      <c r="C1295" s="20">
        <v>44655</v>
      </c>
      <c r="D1295" s="2" t="s">
        <v>2333</v>
      </c>
      <c r="E1295" t="s">
        <v>27</v>
      </c>
      <c r="F1295" s="14" t="s">
        <v>9</v>
      </c>
      <c r="G1295" t="s">
        <v>2334</v>
      </c>
      <c r="H1295" t="s">
        <v>49</v>
      </c>
      <c r="I1295" t="s">
        <v>1863</v>
      </c>
      <c r="K1295" s="3"/>
      <c r="M1295" t="s">
        <v>2326</v>
      </c>
    </row>
    <row r="1296" spans="1:13">
      <c r="A1296" t="s">
        <v>28</v>
      </c>
      <c r="B1296">
        <f ca="1">IF(OR(changes[[#This Row],[Type]]="Checklist",changes[[#This Row],[Type]]="checklist-flat"),1+IF(changes[[#This Row],[Type of change]] = "Edit",COUNTIFS($I$4:changes[[#This Row],[Name]],changes[[#This Row],[Name]], $E$4:changes[[#This Row],[Type of change]], "Edit")),B1295)</f>
        <v>1</v>
      </c>
      <c r="C1296" s="20">
        <v>44655</v>
      </c>
      <c r="D1296" s="2" t="s">
        <v>2333</v>
      </c>
      <c r="E1296" t="s">
        <v>27</v>
      </c>
      <c r="F1296" s="14" t="s">
        <v>9</v>
      </c>
      <c r="G1296" t="s">
        <v>2334</v>
      </c>
      <c r="H1296" t="s">
        <v>49</v>
      </c>
      <c r="I1296" t="s">
        <v>1864</v>
      </c>
      <c r="K1296" s="3"/>
      <c r="M1296" t="s">
        <v>2326</v>
      </c>
    </row>
    <row r="1297" spans="1:13">
      <c r="A1297" t="s">
        <v>28</v>
      </c>
      <c r="B1297">
        <f ca="1">IF(OR(changes[[#This Row],[Type]]="Checklist",changes[[#This Row],[Type]]="checklist-flat"),1+IF(changes[[#This Row],[Type of change]] = "Edit",COUNTIFS($I$4:changes[[#This Row],[Name]],changes[[#This Row],[Name]], $E$4:changes[[#This Row],[Type of change]], "Edit")),B1296)</f>
        <v>1</v>
      </c>
      <c r="C1297" s="20">
        <v>44655</v>
      </c>
      <c r="D1297" s="2" t="s">
        <v>2333</v>
      </c>
      <c r="E1297" t="s">
        <v>27</v>
      </c>
      <c r="F1297" s="14" t="s">
        <v>9</v>
      </c>
      <c r="G1297" t="s">
        <v>2334</v>
      </c>
      <c r="H1297" t="s">
        <v>49</v>
      </c>
      <c r="I1297" t="s">
        <v>1865</v>
      </c>
      <c r="K1297" s="3"/>
      <c r="M1297" t="s">
        <v>2326</v>
      </c>
    </row>
    <row r="1298" spans="1:13">
      <c r="A1298" t="s">
        <v>28</v>
      </c>
      <c r="B1298">
        <f ca="1">IF(OR(changes[[#This Row],[Type]]="Checklist",changes[[#This Row],[Type]]="checklist-flat"),1+IF(changes[[#This Row],[Type of change]] = "Edit",COUNTIFS($I$4:changes[[#This Row],[Name]],changes[[#This Row],[Name]], $E$4:changes[[#This Row],[Type of change]], "Edit")),B1297)</f>
        <v>1</v>
      </c>
      <c r="C1298" s="20">
        <v>44655</v>
      </c>
      <c r="D1298" s="2" t="s">
        <v>2333</v>
      </c>
      <c r="E1298" t="s">
        <v>27</v>
      </c>
      <c r="F1298" s="14" t="s">
        <v>9</v>
      </c>
      <c r="G1298" t="s">
        <v>2334</v>
      </c>
      <c r="H1298" t="s">
        <v>49</v>
      </c>
      <c r="I1298" t="s">
        <v>1866</v>
      </c>
      <c r="K1298" s="3"/>
      <c r="M1298" t="s">
        <v>2326</v>
      </c>
    </row>
    <row r="1299" spans="1:13">
      <c r="A1299" t="s">
        <v>28</v>
      </c>
      <c r="B1299">
        <f ca="1">IF(OR(changes[[#This Row],[Type]]="Checklist",changes[[#This Row],[Type]]="checklist-flat"),1+IF(changes[[#This Row],[Type of change]] = "Edit",COUNTIFS($I$4:changes[[#This Row],[Name]],changes[[#This Row],[Name]], $E$4:changes[[#This Row],[Type of change]], "Edit")),B1298)</f>
        <v>1</v>
      </c>
      <c r="C1299" s="20">
        <v>44657</v>
      </c>
      <c r="D1299" s="2" t="s">
        <v>2025</v>
      </c>
      <c r="E1299" t="s">
        <v>27</v>
      </c>
      <c r="F1299" s="14" t="s">
        <v>9</v>
      </c>
      <c r="G1299" s="47" t="s">
        <v>1048</v>
      </c>
      <c r="H1299" s="47" t="s">
        <v>119</v>
      </c>
      <c r="I1299" s="47" t="s">
        <v>1048</v>
      </c>
      <c r="K1299" s="3"/>
      <c r="M1299" s="3"/>
    </row>
    <row r="1300" spans="1:13">
      <c r="A1300" t="s">
        <v>28</v>
      </c>
      <c r="B1300">
        <f ca="1">IF(OR(changes[[#This Row],[Type]]="Checklist",changes[[#This Row],[Type]]="checklist-flat"),1+IF(changes[[#This Row],[Type of change]] = "Edit",COUNTIFS($I$4:changes[[#This Row],[Name]],changes[[#This Row],[Name]], $E$4:changes[[#This Row],[Type of change]], "Edit")),B1299)</f>
        <v>1</v>
      </c>
      <c r="C1300" s="20">
        <v>44657</v>
      </c>
      <c r="D1300" s="2" t="s">
        <v>2025</v>
      </c>
      <c r="E1300" t="s">
        <v>27</v>
      </c>
      <c r="F1300" s="14" t="s">
        <v>9</v>
      </c>
      <c r="G1300" s="47" t="s">
        <v>1048</v>
      </c>
      <c r="H1300" s="47" t="s">
        <v>49</v>
      </c>
      <c r="I1300" s="47" t="s">
        <v>1049</v>
      </c>
      <c r="K1300" s="3"/>
      <c r="M1300" s="3"/>
    </row>
    <row r="1301" spans="1:13">
      <c r="A1301" t="s">
        <v>28</v>
      </c>
      <c r="B1301">
        <f ca="1">IF(OR(changes[[#This Row],[Type]]="Checklist",changes[[#This Row],[Type]]="checklist-flat"),1+IF(changes[[#This Row],[Type of change]] = "Edit",COUNTIFS($I$4:changes[[#This Row],[Name]],changes[[#This Row],[Name]], $E$4:changes[[#This Row],[Type of change]], "Edit")),B1300)</f>
        <v>1</v>
      </c>
      <c r="C1301" s="20">
        <v>44657</v>
      </c>
      <c r="D1301" s="2" t="s">
        <v>2025</v>
      </c>
      <c r="E1301" t="s">
        <v>27</v>
      </c>
      <c r="F1301" s="14" t="s">
        <v>9</v>
      </c>
      <c r="G1301" s="47" t="s">
        <v>1048</v>
      </c>
      <c r="H1301" s="47" t="s">
        <v>49</v>
      </c>
      <c r="I1301" s="47" t="s">
        <v>1050</v>
      </c>
      <c r="K1301" s="3"/>
      <c r="M1301" s="3"/>
    </row>
    <row r="1302" spans="1:13">
      <c r="A1302" t="s">
        <v>28</v>
      </c>
      <c r="B1302">
        <f ca="1">IF(OR(changes[[#This Row],[Type]]="Checklist",changes[[#This Row],[Type]]="checklist-flat"),1+IF(changes[[#This Row],[Type of change]] = "Edit",COUNTIFS($I$4:changes[[#This Row],[Name]],changes[[#This Row],[Name]], $E$4:changes[[#This Row],[Type of change]], "Edit")),B1301)</f>
        <v>1</v>
      </c>
      <c r="C1302" s="20">
        <v>44657</v>
      </c>
      <c r="D1302" s="2" t="s">
        <v>2025</v>
      </c>
      <c r="E1302" t="s">
        <v>27</v>
      </c>
      <c r="F1302" s="14" t="s">
        <v>9</v>
      </c>
      <c r="G1302" s="47" t="s">
        <v>1048</v>
      </c>
      <c r="H1302" s="47" t="s">
        <v>49</v>
      </c>
      <c r="I1302" s="47" t="s">
        <v>1051</v>
      </c>
      <c r="K1302" s="3"/>
      <c r="M1302" s="3"/>
    </row>
    <row r="1303" spans="1:13">
      <c r="A1303" t="s">
        <v>28</v>
      </c>
      <c r="B1303">
        <f ca="1">IF(OR(changes[[#This Row],[Type]]="Checklist",changes[[#This Row],[Type]]="checklist-flat"),1+IF(changes[[#This Row],[Type of change]] = "Edit",COUNTIFS($I$4:changes[[#This Row],[Name]],changes[[#This Row],[Name]], $E$4:changes[[#This Row],[Type of change]], "Edit")),B1302)</f>
        <v>1</v>
      </c>
      <c r="C1303" s="20">
        <v>44657</v>
      </c>
      <c r="D1303" s="2" t="s">
        <v>2025</v>
      </c>
      <c r="E1303" t="s">
        <v>27</v>
      </c>
      <c r="F1303" s="14" t="s">
        <v>9</v>
      </c>
      <c r="G1303" s="47" t="s">
        <v>1048</v>
      </c>
      <c r="H1303" s="47" t="s">
        <v>49</v>
      </c>
      <c r="I1303" s="47" t="s">
        <v>1052</v>
      </c>
      <c r="K1303" s="3"/>
      <c r="M1303" s="3"/>
    </row>
    <row r="1304" spans="1:13">
      <c r="A1304" t="s">
        <v>28</v>
      </c>
      <c r="B1304">
        <f ca="1">IF(OR(changes[[#This Row],[Type]]="Checklist",changes[[#This Row],[Type]]="checklist-flat"),1+IF(changes[[#This Row],[Type of change]] = "Edit",COUNTIFS($I$4:changes[[#This Row],[Name]],changes[[#This Row],[Name]], $E$4:changes[[#This Row],[Type of change]], "Edit")),B1303)</f>
        <v>1</v>
      </c>
      <c r="C1304" s="20">
        <v>44657</v>
      </c>
      <c r="D1304" s="2" t="s">
        <v>2025</v>
      </c>
      <c r="E1304" t="s">
        <v>27</v>
      </c>
      <c r="F1304" s="14" t="s">
        <v>9</v>
      </c>
      <c r="G1304" s="47" t="s">
        <v>1048</v>
      </c>
      <c r="H1304" s="47" t="s">
        <v>49</v>
      </c>
      <c r="I1304" s="47" t="s">
        <v>1053</v>
      </c>
      <c r="K1304" s="3"/>
      <c r="M1304" s="3"/>
    </row>
    <row r="1305" spans="1:13">
      <c r="A1305" t="s">
        <v>28</v>
      </c>
      <c r="B1305">
        <f ca="1">IF(OR(changes[[#This Row],[Type]]="Checklist",changes[[#This Row],[Type]]="checklist-flat"),1+IF(changes[[#This Row],[Type of change]] = "Edit",COUNTIFS($I$4:changes[[#This Row],[Name]],changes[[#This Row],[Name]], $E$4:changes[[#This Row],[Type of change]], "Edit")),B1304)</f>
        <v>1</v>
      </c>
      <c r="C1305" s="20">
        <v>44657</v>
      </c>
      <c r="D1305" s="2" t="s">
        <v>2009</v>
      </c>
      <c r="E1305" t="s">
        <v>27</v>
      </c>
      <c r="F1305" s="14" t="s">
        <v>9</v>
      </c>
      <c r="G1305" s="14" t="s">
        <v>1069</v>
      </c>
      <c r="H1305" t="s">
        <v>43</v>
      </c>
      <c r="I1305" s="14" t="s">
        <v>1069</v>
      </c>
      <c r="K1305" s="3"/>
      <c r="M1305" s="3"/>
    </row>
    <row r="1306" spans="1:13">
      <c r="A1306" t="s">
        <v>28</v>
      </c>
      <c r="B1306">
        <f ca="1">IF(OR(changes[[#This Row],[Type]]="Checklist",changes[[#This Row],[Type]]="checklist-flat"),1+IF(changes[[#This Row],[Type of change]] = "Edit",COUNTIFS($I$4:changes[[#This Row],[Name]],changes[[#This Row],[Name]], $E$4:changes[[#This Row],[Type of change]], "Edit")),B1305)</f>
        <v>1</v>
      </c>
      <c r="C1306" s="20">
        <v>44657</v>
      </c>
      <c r="D1306" s="2" t="s">
        <v>2009</v>
      </c>
      <c r="E1306" t="s">
        <v>27</v>
      </c>
      <c r="F1306" s="14" t="s">
        <v>9</v>
      </c>
      <c r="G1306" s="14" t="s">
        <v>1069</v>
      </c>
      <c r="H1306" t="s">
        <v>831</v>
      </c>
      <c r="I1306" t="s">
        <v>1071</v>
      </c>
      <c r="K1306" s="3"/>
      <c r="M1306" s="3"/>
    </row>
    <row r="1307" spans="1:13">
      <c r="A1307" t="s">
        <v>28</v>
      </c>
      <c r="B1307">
        <f ca="1">IF(OR(changes[[#This Row],[Type]]="Checklist",changes[[#This Row],[Type]]="checklist-flat"),1+IF(changes[[#This Row],[Type of change]] = "Edit",COUNTIFS($I$4:changes[[#This Row],[Name]],changes[[#This Row],[Name]], $E$4:changes[[#This Row],[Type of change]], "Edit")),B1306)</f>
        <v>1</v>
      </c>
      <c r="C1307" s="20">
        <v>44657</v>
      </c>
      <c r="D1307" s="2" t="s">
        <v>2009</v>
      </c>
      <c r="E1307" t="s">
        <v>27</v>
      </c>
      <c r="F1307" s="14" t="s">
        <v>9</v>
      </c>
      <c r="G1307" s="14" t="s">
        <v>1069</v>
      </c>
      <c r="H1307" t="s">
        <v>831</v>
      </c>
      <c r="I1307" t="s">
        <v>1072</v>
      </c>
      <c r="K1307" s="3"/>
      <c r="M1307" s="3"/>
    </row>
    <row r="1308" spans="1:13">
      <c r="A1308" t="s">
        <v>28</v>
      </c>
      <c r="B1308">
        <f ca="1">IF(OR(changes[[#This Row],[Type]]="Checklist",changes[[#This Row],[Type]]="checklist-flat"),1+IF(changes[[#This Row],[Type of change]] = "Edit",COUNTIFS($I$4:changes[[#This Row],[Name]],changes[[#This Row],[Name]], $E$4:changes[[#This Row],[Type of change]], "Edit")),B1307)</f>
        <v>1</v>
      </c>
      <c r="C1308" s="20">
        <v>44657</v>
      </c>
      <c r="D1308" s="2" t="s">
        <v>2009</v>
      </c>
      <c r="E1308" t="s">
        <v>27</v>
      </c>
      <c r="F1308" s="14" t="s">
        <v>9</v>
      </c>
      <c r="G1308" s="14" t="s">
        <v>1069</v>
      </c>
      <c r="H1308" t="s">
        <v>831</v>
      </c>
      <c r="I1308" t="s">
        <v>1073</v>
      </c>
      <c r="K1308" s="3"/>
      <c r="M1308" s="3"/>
    </row>
    <row r="1309" spans="1:13">
      <c r="A1309" t="s">
        <v>28</v>
      </c>
      <c r="B1309">
        <f ca="1">IF(OR(changes[[#This Row],[Type]]="Checklist",changes[[#This Row],[Type]]="checklist-flat"),1+IF(changes[[#This Row],[Type of change]] = "Edit",COUNTIFS($I$4:changes[[#This Row],[Name]],changes[[#This Row],[Name]], $E$4:changes[[#This Row],[Type of change]], "Edit")),B1308)</f>
        <v>1</v>
      </c>
      <c r="C1309" s="20">
        <v>44657</v>
      </c>
      <c r="D1309" s="2" t="s">
        <v>2009</v>
      </c>
      <c r="E1309" t="s">
        <v>27</v>
      </c>
      <c r="F1309" s="14" t="s">
        <v>9</v>
      </c>
      <c r="G1309" s="14" t="s">
        <v>1069</v>
      </c>
      <c r="H1309" t="s">
        <v>831</v>
      </c>
      <c r="I1309" t="s">
        <v>1074</v>
      </c>
      <c r="K1309" s="3"/>
      <c r="M1309" s="3"/>
    </row>
    <row r="1310" spans="1:13">
      <c r="A1310" t="s">
        <v>28</v>
      </c>
      <c r="B1310">
        <f ca="1">IF(OR(changes[[#This Row],[Type]]="Checklist",changes[[#This Row],[Type]]="checklist-flat"),1+IF(changes[[#This Row],[Type of change]] = "Edit",COUNTIFS($I$4:changes[[#This Row],[Name]],changes[[#This Row],[Name]], $E$4:changes[[#This Row],[Type of change]], "Edit")),B1309)</f>
        <v>1</v>
      </c>
      <c r="C1310" s="20">
        <v>44657</v>
      </c>
      <c r="D1310" s="2" t="s">
        <v>2009</v>
      </c>
      <c r="E1310" t="s">
        <v>27</v>
      </c>
      <c r="F1310" s="14" t="s">
        <v>9</v>
      </c>
      <c r="G1310" s="14" t="s">
        <v>1069</v>
      </c>
      <c r="H1310" t="s">
        <v>831</v>
      </c>
      <c r="I1310" t="s">
        <v>1075</v>
      </c>
      <c r="K1310" s="3"/>
      <c r="M1310" s="3"/>
    </row>
    <row r="1311" spans="1:13">
      <c r="A1311" t="s">
        <v>28</v>
      </c>
      <c r="B1311">
        <f ca="1">IF(OR(changes[[#This Row],[Type]]="Checklist",changes[[#This Row],[Type]]="checklist-flat"),1+IF(changes[[#This Row],[Type of change]] = "Edit",COUNTIFS($I$4:changes[[#This Row],[Name]],changes[[#This Row],[Name]], $E$4:changes[[#This Row],[Type of change]], "Edit")),B1310)</f>
        <v>1</v>
      </c>
      <c r="C1311" s="20">
        <v>44657</v>
      </c>
      <c r="D1311" s="2" t="s">
        <v>2009</v>
      </c>
      <c r="E1311" t="s">
        <v>27</v>
      </c>
      <c r="F1311" s="14" t="s">
        <v>9</v>
      </c>
      <c r="G1311" s="14" t="s">
        <v>1069</v>
      </c>
      <c r="H1311" t="s">
        <v>831</v>
      </c>
      <c r="I1311" t="s">
        <v>1076</v>
      </c>
      <c r="K1311" s="3"/>
      <c r="M1311" s="3"/>
    </row>
    <row r="1312" spans="1:13">
      <c r="A1312" t="s">
        <v>28</v>
      </c>
      <c r="B1312">
        <f ca="1">IF(OR(changes[[#This Row],[Type]]="Checklist",changes[[#This Row],[Type]]="checklist-flat"),1+IF(changes[[#This Row],[Type of change]] = "Edit",COUNTIFS($I$4:changes[[#This Row],[Name]],changes[[#This Row],[Name]], $E$4:changes[[#This Row],[Type of change]], "Edit")),B1311)</f>
        <v>1</v>
      </c>
      <c r="C1312" s="20">
        <v>44657</v>
      </c>
      <c r="D1312" s="2" t="s">
        <v>2009</v>
      </c>
      <c r="E1312" t="s">
        <v>27</v>
      </c>
      <c r="F1312" s="14" t="s">
        <v>9</v>
      </c>
      <c r="G1312" s="14" t="s">
        <v>1069</v>
      </c>
      <c r="H1312" t="s">
        <v>831</v>
      </c>
      <c r="I1312" t="s">
        <v>1077</v>
      </c>
      <c r="K1312" s="3"/>
      <c r="M1312" s="3"/>
    </row>
    <row r="1313" spans="1:13">
      <c r="A1313" t="s">
        <v>28</v>
      </c>
      <c r="B1313">
        <f ca="1">IF(OR(changes[[#This Row],[Type]]="Checklist",changes[[#This Row],[Type]]="checklist-flat"),1+IF(changes[[#This Row],[Type of change]] = "Edit",COUNTIFS($I$4:changes[[#This Row],[Name]],changes[[#This Row],[Name]], $E$4:changes[[#This Row],[Type of change]], "Edit")),B1312)</f>
        <v>1</v>
      </c>
      <c r="C1313" s="20">
        <v>44657</v>
      </c>
      <c r="D1313" s="2" t="s">
        <v>2009</v>
      </c>
      <c r="E1313" t="s">
        <v>27</v>
      </c>
      <c r="F1313" s="14" t="s">
        <v>9</v>
      </c>
      <c r="G1313" s="14" t="s">
        <v>1069</v>
      </c>
      <c r="H1313" t="s">
        <v>831</v>
      </c>
      <c r="I1313" t="s">
        <v>1078</v>
      </c>
      <c r="K1313" s="3"/>
      <c r="M1313" s="3"/>
    </row>
    <row r="1314" spans="1:13">
      <c r="A1314" t="s">
        <v>28</v>
      </c>
      <c r="B1314">
        <f ca="1">IF(OR(changes[[#This Row],[Type]]="Checklist",changes[[#This Row],[Type]]="checklist-flat"),1+IF(changes[[#This Row],[Type of change]] = "Edit",COUNTIFS($I$4:changes[[#This Row],[Name]],changes[[#This Row],[Name]], $E$4:changes[[#This Row],[Type of change]], "Edit")),B1313)</f>
        <v>1</v>
      </c>
      <c r="C1314" s="20">
        <v>44657</v>
      </c>
      <c r="D1314" s="2" t="s">
        <v>2009</v>
      </c>
      <c r="E1314" t="s">
        <v>27</v>
      </c>
      <c r="F1314" s="14" t="s">
        <v>9</v>
      </c>
      <c r="G1314" s="14" t="s">
        <v>1069</v>
      </c>
      <c r="H1314" t="s">
        <v>831</v>
      </c>
      <c r="I1314" t="s">
        <v>1079</v>
      </c>
      <c r="K1314" s="3"/>
      <c r="M1314" s="3"/>
    </row>
    <row r="1315" spans="1:13">
      <c r="A1315" t="s">
        <v>28</v>
      </c>
      <c r="B1315">
        <f ca="1">IF(OR(changes[[#This Row],[Type]]="Checklist",changes[[#This Row],[Type]]="checklist-flat"),1+IF(changes[[#This Row],[Type of change]] = "Edit",COUNTIFS($I$4:changes[[#This Row],[Name]],changes[[#This Row],[Name]], $E$4:changes[[#This Row],[Type of change]], "Edit")),B1314)</f>
        <v>1</v>
      </c>
      <c r="C1315" s="20">
        <v>44657</v>
      </c>
      <c r="D1315" s="2" t="s">
        <v>2009</v>
      </c>
      <c r="E1315" t="s">
        <v>27</v>
      </c>
      <c r="F1315" s="14" t="s">
        <v>9</v>
      </c>
      <c r="G1315" s="14" t="s">
        <v>1080</v>
      </c>
      <c r="H1315" t="s">
        <v>43</v>
      </c>
      <c r="I1315" s="14" t="s">
        <v>1080</v>
      </c>
      <c r="K1315" s="3"/>
      <c r="M1315" s="3"/>
    </row>
    <row r="1316" spans="1:13">
      <c r="A1316" t="s">
        <v>28</v>
      </c>
      <c r="B1316">
        <f ca="1">IF(OR(changes[[#This Row],[Type]]="Checklist",changes[[#This Row],[Type]]="checklist-flat"),1+IF(changes[[#This Row],[Type of change]] = "Edit",COUNTIFS($I$4:changes[[#This Row],[Name]],changes[[#This Row],[Name]], $E$4:changes[[#This Row],[Type of change]], "Edit")),B1315)</f>
        <v>1</v>
      </c>
      <c r="C1316" s="20">
        <v>44657</v>
      </c>
      <c r="D1316" s="2" t="s">
        <v>2009</v>
      </c>
      <c r="E1316" t="s">
        <v>27</v>
      </c>
      <c r="F1316" s="14" t="s">
        <v>9</v>
      </c>
      <c r="G1316" s="14" t="s">
        <v>1080</v>
      </c>
      <c r="H1316" t="s">
        <v>831</v>
      </c>
      <c r="I1316" s="14" t="s">
        <v>1081</v>
      </c>
      <c r="K1316" s="3"/>
      <c r="M1316" s="3"/>
    </row>
    <row r="1317" spans="1:13">
      <c r="A1317" t="s">
        <v>28</v>
      </c>
      <c r="B1317">
        <f ca="1">IF(OR(changes[[#This Row],[Type]]="Checklist",changes[[#This Row],[Type]]="checklist-flat"),1+IF(changes[[#This Row],[Type of change]] = "Edit",COUNTIFS($I$4:changes[[#This Row],[Name]],changes[[#This Row],[Name]], $E$4:changes[[#This Row],[Type of change]], "Edit")),B1316)</f>
        <v>1</v>
      </c>
      <c r="C1317" s="20">
        <v>44657</v>
      </c>
      <c r="D1317" s="2" t="s">
        <v>2009</v>
      </c>
      <c r="E1317" t="s">
        <v>27</v>
      </c>
      <c r="F1317" s="14" t="s">
        <v>9</v>
      </c>
      <c r="G1317" s="14" t="s">
        <v>1080</v>
      </c>
      <c r="H1317" t="s">
        <v>831</v>
      </c>
      <c r="I1317" s="14" t="s">
        <v>1082</v>
      </c>
      <c r="K1317" s="3"/>
      <c r="M1317" s="3"/>
    </row>
    <row r="1318" spans="1:13">
      <c r="A1318" t="s">
        <v>28</v>
      </c>
      <c r="B1318">
        <f ca="1">IF(OR(changes[[#This Row],[Type]]="Checklist",changes[[#This Row],[Type]]="checklist-flat"),1+IF(changes[[#This Row],[Type of change]] = "Edit",COUNTIFS($I$4:changes[[#This Row],[Name]],changes[[#This Row],[Name]], $E$4:changes[[#This Row],[Type of change]], "Edit")),B1317)</f>
        <v>1</v>
      </c>
      <c r="C1318" s="20">
        <v>44657</v>
      </c>
      <c r="D1318" s="2" t="s">
        <v>2009</v>
      </c>
      <c r="E1318" t="s">
        <v>27</v>
      </c>
      <c r="F1318" s="14" t="s">
        <v>9</v>
      </c>
      <c r="G1318" s="14" t="s">
        <v>1080</v>
      </c>
      <c r="H1318" t="s">
        <v>831</v>
      </c>
      <c r="I1318" s="14" t="s">
        <v>1083</v>
      </c>
      <c r="K1318" s="3"/>
      <c r="M1318" s="3"/>
    </row>
    <row r="1319" spans="1:13">
      <c r="A1319" t="s">
        <v>28</v>
      </c>
      <c r="B1319">
        <f ca="1">IF(OR(changes[[#This Row],[Type]]="Checklist",changes[[#This Row],[Type]]="checklist-flat"),1+IF(changes[[#This Row],[Type of change]] = "Edit",COUNTIFS($I$4:changes[[#This Row],[Name]],changes[[#This Row],[Name]], $E$4:changes[[#This Row],[Type of change]], "Edit")),B1318)</f>
        <v>1</v>
      </c>
      <c r="C1319" s="20">
        <v>44657</v>
      </c>
      <c r="D1319" s="2" t="s">
        <v>2009</v>
      </c>
      <c r="E1319" t="s">
        <v>27</v>
      </c>
      <c r="F1319" s="14" t="s">
        <v>9</v>
      </c>
      <c r="G1319" s="14" t="s">
        <v>1080</v>
      </c>
      <c r="H1319" t="s">
        <v>831</v>
      </c>
      <c r="I1319" s="14" t="s">
        <v>1084</v>
      </c>
      <c r="K1319" s="3"/>
      <c r="M1319" s="3"/>
    </row>
    <row r="1320" spans="1:13">
      <c r="A1320" t="s">
        <v>28</v>
      </c>
      <c r="B1320">
        <f ca="1">IF(OR(changes[[#This Row],[Type]]="Checklist",changes[[#This Row],[Type]]="checklist-flat"),1+IF(changes[[#This Row],[Type of change]] = "Edit",COUNTIFS($I$4:changes[[#This Row],[Name]],changes[[#This Row],[Name]], $E$4:changes[[#This Row],[Type of change]], "Edit")),B1319)</f>
        <v>1</v>
      </c>
      <c r="C1320" s="20">
        <v>44657</v>
      </c>
      <c r="D1320" s="2" t="s">
        <v>2009</v>
      </c>
      <c r="E1320" t="s">
        <v>27</v>
      </c>
      <c r="F1320" s="14" t="s">
        <v>9</v>
      </c>
      <c r="G1320" s="14" t="s">
        <v>1080</v>
      </c>
      <c r="H1320" t="s">
        <v>831</v>
      </c>
      <c r="I1320" s="14" t="s">
        <v>1085</v>
      </c>
      <c r="K1320" s="3"/>
      <c r="M1320" s="3"/>
    </row>
    <row r="1321" spans="1:13">
      <c r="A1321" t="s">
        <v>28</v>
      </c>
      <c r="B1321">
        <f ca="1">IF(OR(changes[[#This Row],[Type]]="Checklist",changes[[#This Row],[Type]]="checklist-flat"),1+IF(changes[[#This Row],[Type of change]] = "Edit",COUNTIFS($I$4:changes[[#This Row],[Name]],changes[[#This Row],[Name]], $E$4:changes[[#This Row],[Type of change]], "Edit")),B1320)</f>
        <v>1</v>
      </c>
      <c r="C1321" s="20">
        <v>44657</v>
      </c>
      <c r="D1321" s="2" t="s">
        <v>2009</v>
      </c>
      <c r="E1321" t="s">
        <v>27</v>
      </c>
      <c r="F1321" s="14" t="s">
        <v>9</v>
      </c>
      <c r="G1321" s="14" t="s">
        <v>1080</v>
      </c>
      <c r="H1321" t="s">
        <v>831</v>
      </c>
      <c r="I1321" s="14" t="s">
        <v>1086</v>
      </c>
      <c r="K1321" s="3"/>
      <c r="M1321" s="3"/>
    </row>
    <row r="1322" spans="1:13">
      <c r="A1322" t="s">
        <v>28</v>
      </c>
      <c r="B1322">
        <f ca="1">IF(OR(changes[[#This Row],[Type]]="Checklist",changes[[#This Row],[Type]]="checklist-flat"),1+IF(changes[[#This Row],[Type of change]] = "Edit",COUNTIFS($I$4:changes[[#This Row],[Name]],changes[[#This Row],[Name]], $E$4:changes[[#This Row],[Type of change]], "Edit")),B1321)</f>
        <v>1</v>
      </c>
      <c r="C1322" s="20">
        <v>44657</v>
      </c>
      <c r="D1322" s="2" t="s">
        <v>2009</v>
      </c>
      <c r="E1322" t="s">
        <v>27</v>
      </c>
      <c r="F1322" s="14" t="s">
        <v>9</v>
      </c>
      <c r="G1322" s="14" t="s">
        <v>1080</v>
      </c>
      <c r="H1322" t="s">
        <v>831</v>
      </c>
      <c r="I1322" s="14" t="s">
        <v>1087</v>
      </c>
      <c r="K1322" s="3"/>
      <c r="M1322" s="3"/>
    </row>
    <row r="1323" spans="1:13">
      <c r="A1323" t="s">
        <v>28</v>
      </c>
      <c r="B1323">
        <f ca="1">IF(OR(changes[[#This Row],[Type]]="Checklist",changes[[#This Row],[Type]]="checklist-flat"),1+IF(changes[[#This Row],[Type of change]] = "Edit",COUNTIFS($I$4:changes[[#This Row],[Name]],changes[[#This Row],[Name]], $E$4:changes[[#This Row],[Type of change]], "Edit")),B1322)</f>
        <v>1</v>
      </c>
      <c r="C1323" s="20">
        <v>44657</v>
      </c>
      <c r="D1323" s="2" t="s">
        <v>2009</v>
      </c>
      <c r="E1323" t="s">
        <v>27</v>
      </c>
      <c r="F1323" s="14" t="s">
        <v>9</v>
      </c>
      <c r="G1323" s="14" t="s">
        <v>1080</v>
      </c>
      <c r="H1323" t="s">
        <v>831</v>
      </c>
      <c r="I1323" s="14" t="s">
        <v>1088</v>
      </c>
      <c r="K1323" s="3"/>
      <c r="M1323" s="3"/>
    </row>
    <row r="1324" spans="1:13">
      <c r="A1324" t="s">
        <v>28</v>
      </c>
      <c r="B1324">
        <f ca="1">IF(OR(changes[[#This Row],[Type]]="Checklist",changes[[#This Row],[Type]]="checklist-flat"),1+IF(changes[[#This Row],[Type of change]] = "Edit",COUNTIFS($I$4:changes[[#This Row],[Name]],changes[[#This Row],[Name]], $E$4:changes[[#This Row],[Type of change]], "Edit")),B1323)</f>
        <v>1</v>
      </c>
      <c r="C1324" s="20">
        <v>44657</v>
      </c>
      <c r="D1324" s="2" t="s">
        <v>2009</v>
      </c>
      <c r="E1324" t="s">
        <v>27</v>
      </c>
      <c r="F1324" s="14" t="s">
        <v>9</v>
      </c>
      <c r="G1324" s="14" t="s">
        <v>1080</v>
      </c>
      <c r="H1324" t="s">
        <v>831</v>
      </c>
      <c r="I1324" s="14" t="s">
        <v>1089</v>
      </c>
      <c r="K1324" s="3"/>
      <c r="M1324" s="3"/>
    </row>
    <row r="1325" spans="1:13">
      <c r="A1325" t="s">
        <v>28</v>
      </c>
      <c r="B1325">
        <f ca="1">IF(OR(changes[[#This Row],[Type]]="Checklist",changes[[#This Row],[Type]]="checklist-flat"),1+IF(changes[[#This Row],[Type of change]] = "Edit",COUNTIFS($I$4:changes[[#This Row],[Name]],changes[[#This Row],[Name]], $E$4:changes[[#This Row],[Type of change]], "Edit")),B1324)</f>
        <v>1</v>
      </c>
      <c r="C1325" s="20">
        <v>44657</v>
      </c>
      <c r="D1325" s="2" t="s">
        <v>2009</v>
      </c>
      <c r="E1325" t="s">
        <v>27</v>
      </c>
      <c r="F1325" s="14" t="s">
        <v>9</v>
      </c>
      <c r="G1325" s="14" t="s">
        <v>1090</v>
      </c>
      <c r="H1325" t="s">
        <v>119</v>
      </c>
      <c r="I1325" s="14" t="s">
        <v>1090</v>
      </c>
      <c r="K1325" s="3"/>
      <c r="M1325" s="3"/>
    </row>
    <row r="1326" spans="1:13">
      <c r="A1326" t="s">
        <v>28</v>
      </c>
      <c r="B1326">
        <f ca="1">IF(OR(changes[[#This Row],[Type]]="Checklist",changes[[#This Row],[Type]]="checklist-flat"),1+IF(changes[[#This Row],[Type of change]] = "Edit",COUNTIFS($I$4:changes[[#This Row],[Name]],changes[[#This Row],[Name]], $E$4:changes[[#This Row],[Type of change]], "Edit")),B1325)</f>
        <v>1</v>
      </c>
      <c r="C1326" s="20">
        <v>44657</v>
      </c>
      <c r="D1326" s="2" t="s">
        <v>2009</v>
      </c>
      <c r="E1326" t="s">
        <v>27</v>
      </c>
      <c r="F1326" s="14" t="s">
        <v>9</v>
      </c>
      <c r="G1326" s="14" t="s">
        <v>1090</v>
      </c>
      <c r="H1326" t="s">
        <v>120</v>
      </c>
      <c r="I1326" t="s">
        <v>950</v>
      </c>
      <c r="K1326" s="3"/>
      <c r="M1326" s="3"/>
    </row>
    <row r="1327" spans="1:13">
      <c r="A1327" t="s">
        <v>28</v>
      </c>
      <c r="B1327">
        <f ca="1">IF(OR(changes[[#This Row],[Type]]="Checklist",changes[[#This Row],[Type]]="checklist-flat"),1+IF(changes[[#This Row],[Type of change]] = "Edit",COUNTIFS($I$4:changes[[#This Row],[Name]],changes[[#This Row],[Name]], $E$4:changes[[#This Row],[Type of change]], "Edit")),B1326)</f>
        <v>1</v>
      </c>
      <c r="C1327" s="20">
        <v>44657</v>
      </c>
      <c r="D1327" s="2" t="s">
        <v>2009</v>
      </c>
      <c r="E1327" t="s">
        <v>27</v>
      </c>
      <c r="F1327" s="14" t="s">
        <v>9</v>
      </c>
      <c r="G1327" s="14" t="s">
        <v>1090</v>
      </c>
      <c r="H1327" t="s">
        <v>49</v>
      </c>
      <c r="I1327" t="s">
        <v>1091</v>
      </c>
      <c r="K1327" s="3"/>
      <c r="M1327" s="3"/>
    </row>
    <row r="1328" spans="1:13">
      <c r="A1328" t="s">
        <v>28</v>
      </c>
      <c r="B1328">
        <f ca="1">IF(OR(changes[[#This Row],[Type]]="Checklist",changes[[#This Row],[Type]]="checklist-flat"),1+IF(changes[[#This Row],[Type of change]] = "Edit",COUNTIFS($I$4:changes[[#This Row],[Name]],changes[[#This Row],[Name]], $E$4:changes[[#This Row],[Type of change]], "Edit")),B1327)</f>
        <v>1</v>
      </c>
      <c r="C1328" s="20">
        <v>44657</v>
      </c>
      <c r="D1328" s="2" t="s">
        <v>2009</v>
      </c>
      <c r="E1328" t="s">
        <v>27</v>
      </c>
      <c r="F1328" s="14" t="s">
        <v>9</v>
      </c>
      <c r="G1328" s="14" t="s">
        <v>1090</v>
      </c>
      <c r="H1328" t="s">
        <v>49</v>
      </c>
      <c r="I1328" t="s">
        <v>1092</v>
      </c>
      <c r="K1328" s="3"/>
      <c r="M1328" s="3"/>
    </row>
    <row r="1329" spans="1:13">
      <c r="A1329" t="s">
        <v>28</v>
      </c>
      <c r="B1329">
        <f ca="1">IF(OR(changes[[#This Row],[Type]]="Checklist",changes[[#This Row],[Type]]="checklist-flat"),1+IF(changes[[#This Row],[Type of change]] = "Edit",COUNTIFS($I$4:changes[[#This Row],[Name]],changes[[#This Row],[Name]], $E$4:changes[[#This Row],[Type of change]], "Edit")),B1328)</f>
        <v>1</v>
      </c>
      <c r="C1329" s="20">
        <v>44657</v>
      </c>
      <c r="D1329" s="2" t="s">
        <v>2009</v>
      </c>
      <c r="E1329" t="s">
        <v>27</v>
      </c>
      <c r="F1329" s="14" t="s">
        <v>9</v>
      </c>
      <c r="G1329" s="14" t="s">
        <v>1090</v>
      </c>
      <c r="H1329" t="s">
        <v>120</v>
      </c>
      <c r="I1329" t="s">
        <v>418</v>
      </c>
      <c r="K1329" s="3"/>
      <c r="M1329" s="3"/>
    </row>
    <row r="1330" spans="1:13">
      <c r="A1330" t="s">
        <v>28</v>
      </c>
      <c r="B1330">
        <f ca="1">IF(OR(changes[[#This Row],[Type]]="Checklist",changes[[#This Row],[Type]]="checklist-flat"),1+IF(changes[[#This Row],[Type of change]] = "Edit",COUNTIFS($I$4:changes[[#This Row],[Name]],changes[[#This Row],[Name]], $E$4:changes[[#This Row],[Type of change]], "Edit")),B1329)</f>
        <v>1</v>
      </c>
      <c r="C1330" s="20">
        <v>44657</v>
      </c>
      <c r="D1330" s="2" t="s">
        <v>2009</v>
      </c>
      <c r="E1330" t="s">
        <v>27</v>
      </c>
      <c r="F1330" s="14" t="s">
        <v>9</v>
      </c>
      <c r="G1330" s="14" t="s">
        <v>1090</v>
      </c>
      <c r="H1330" t="s">
        <v>49</v>
      </c>
      <c r="I1330" t="s">
        <v>1093</v>
      </c>
      <c r="K1330" s="3"/>
      <c r="M1330" s="3"/>
    </row>
    <row r="1331" spans="1:13">
      <c r="A1331" t="s">
        <v>28</v>
      </c>
      <c r="B1331">
        <f ca="1">IF(OR(changes[[#This Row],[Type]]="Checklist",changes[[#This Row],[Type]]="checklist-flat"),1+IF(changes[[#This Row],[Type of change]] = "Edit",COUNTIFS($I$4:changes[[#This Row],[Name]],changes[[#This Row],[Name]], $E$4:changes[[#This Row],[Type of change]], "Edit")),B1330)</f>
        <v>1</v>
      </c>
      <c r="C1331" s="20">
        <v>44657</v>
      </c>
      <c r="D1331" s="2" t="s">
        <v>2009</v>
      </c>
      <c r="E1331" t="s">
        <v>27</v>
      </c>
      <c r="F1331" s="14" t="s">
        <v>9</v>
      </c>
      <c r="G1331" s="14" t="s">
        <v>1090</v>
      </c>
      <c r="H1331" t="s">
        <v>49</v>
      </c>
      <c r="I1331" t="s">
        <v>1094</v>
      </c>
      <c r="K1331" s="3"/>
      <c r="M1331" s="3"/>
    </row>
    <row r="1332" spans="1:13">
      <c r="A1332" t="s">
        <v>28</v>
      </c>
      <c r="B1332">
        <f ca="1">IF(OR(changes[[#This Row],[Type]]="Checklist",changes[[#This Row],[Type]]="checklist-flat"),1+IF(changes[[#This Row],[Type of change]] = "Edit",COUNTIFS($I$4:changes[[#This Row],[Name]],changes[[#This Row],[Name]], $E$4:changes[[#This Row],[Type of change]], "Edit")),B1331)</f>
        <v>1</v>
      </c>
      <c r="C1332" s="20">
        <v>44657</v>
      </c>
      <c r="D1332" s="2" t="s">
        <v>2009</v>
      </c>
      <c r="E1332" t="s">
        <v>27</v>
      </c>
      <c r="F1332" s="14" t="s">
        <v>9</v>
      </c>
      <c r="G1332" s="14" t="s">
        <v>1090</v>
      </c>
      <c r="H1332" t="s">
        <v>120</v>
      </c>
      <c r="I1332" t="s">
        <v>1095</v>
      </c>
      <c r="K1332" s="3"/>
      <c r="M1332" s="3"/>
    </row>
    <row r="1333" spans="1:13">
      <c r="A1333" t="s">
        <v>28</v>
      </c>
      <c r="B1333">
        <f ca="1">IF(OR(changes[[#This Row],[Type]]="Checklist",changes[[#This Row],[Type]]="checklist-flat"),1+IF(changes[[#This Row],[Type of change]] = "Edit",COUNTIFS($I$4:changes[[#This Row],[Name]],changes[[#This Row],[Name]], $E$4:changes[[#This Row],[Type of change]], "Edit")),B1332)</f>
        <v>1</v>
      </c>
      <c r="C1333" s="20">
        <v>44657</v>
      </c>
      <c r="D1333" s="2" t="s">
        <v>2009</v>
      </c>
      <c r="E1333" t="s">
        <v>27</v>
      </c>
      <c r="F1333" s="14" t="s">
        <v>9</v>
      </c>
      <c r="G1333" s="14" t="s">
        <v>1090</v>
      </c>
      <c r="H1333" t="s">
        <v>49</v>
      </c>
      <c r="I1333" t="s">
        <v>1096</v>
      </c>
      <c r="K1333" s="3"/>
      <c r="M1333" s="3"/>
    </row>
    <row r="1334" spans="1:13">
      <c r="A1334" t="s">
        <v>28</v>
      </c>
      <c r="B1334">
        <f ca="1">IF(OR(changes[[#This Row],[Type]]="Checklist",changes[[#This Row],[Type]]="checklist-flat"),1+IF(changes[[#This Row],[Type of change]] = "Edit",COUNTIFS($I$4:changes[[#This Row],[Name]],changes[[#This Row],[Name]], $E$4:changes[[#This Row],[Type of change]], "Edit")),B1333)</f>
        <v>1</v>
      </c>
      <c r="C1334" s="20">
        <v>44657</v>
      </c>
      <c r="D1334" s="2" t="s">
        <v>2009</v>
      </c>
      <c r="E1334" t="s">
        <v>27</v>
      </c>
      <c r="F1334" s="14" t="s">
        <v>9</v>
      </c>
      <c r="G1334" s="14" t="s">
        <v>1090</v>
      </c>
      <c r="H1334" t="s">
        <v>49</v>
      </c>
      <c r="I1334" t="s">
        <v>1097</v>
      </c>
      <c r="K1334" s="3"/>
      <c r="M1334" s="3"/>
    </row>
    <row r="1335" spans="1:13">
      <c r="A1335" t="s">
        <v>28</v>
      </c>
      <c r="B1335">
        <f ca="1">IF(OR(changes[[#This Row],[Type]]="Checklist",changes[[#This Row],[Type]]="checklist-flat"),1+IF(changes[[#This Row],[Type of change]] = "Edit",COUNTIFS($I$4:changes[[#This Row],[Name]],changes[[#This Row],[Name]], $E$4:changes[[#This Row],[Type of change]], "Edit")),B1334)</f>
        <v>1</v>
      </c>
      <c r="C1335" s="20">
        <v>44657</v>
      </c>
      <c r="D1335" s="2" t="s">
        <v>2009</v>
      </c>
      <c r="E1335" t="s">
        <v>27</v>
      </c>
      <c r="F1335" s="14" t="s">
        <v>9</v>
      </c>
      <c r="G1335" s="14" t="s">
        <v>1090</v>
      </c>
      <c r="H1335" t="s">
        <v>49</v>
      </c>
      <c r="I1335" t="s">
        <v>1098</v>
      </c>
      <c r="K1335" s="3"/>
      <c r="M1335" s="3"/>
    </row>
    <row r="1336" spans="1:13">
      <c r="A1336" t="s">
        <v>28</v>
      </c>
      <c r="B1336">
        <f ca="1">IF(OR(changes[[#This Row],[Type]]="Checklist",changes[[#This Row],[Type]]="checklist-flat"),1+IF(changes[[#This Row],[Type of change]] = "Edit",COUNTIFS($I$4:changes[[#This Row],[Name]],changes[[#This Row],[Name]], $E$4:changes[[#This Row],[Type of change]], "Edit")),B1335)</f>
        <v>1</v>
      </c>
      <c r="C1336" s="20">
        <v>44657</v>
      </c>
      <c r="D1336" s="2" t="s">
        <v>2009</v>
      </c>
      <c r="E1336" t="s">
        <v>27</v>
      </c>
      <c r="F1336" s="14" t="s">
        <v>9</v>
      </c>
      <c r="G1336" s="14" t="s">
        <v>1090</v>
      </c>
      <c r="H1336" t="s">
        <v>49</v>
      </c>
      <c r="I1336" t="s">
        <v>1099</v>
      </c>
      <c r="K1336" s="3"/>
      <c r="M1336" s="3"/>
    </row>
    <row r="1337" spans="1:13">
      <c r="A1337" t="s">
        <v>28</v>
      </c>
      <c r="B1337">
        <f ca="1">IF(OR(changes[[#This Row],[Type]]="Checklist",changes[[#This Row],[Type]]="checklist-flat"),1+IF(changes[[#This Row],[Type of change]] = "Edit",COUNTIFS($I$4:changes[[#This Row],[Name]],changes[[#This Row],[Name]], $E$4:changes[[#This Row],[Type of change]], "Edit")),B1336)</f>
        <v>1</v>
      </c>
      <c r="C1337" s="20">
        <v>44658</v>
      </c>
      <c r="D1337" s="2" t="s">
        <v>2009</v>
      </c>
      <c r="E1337" t="s">
        <v>27</v>
      </c>
      <c r="F1337" s="14" t="s">
        <v>9</v>
      </c>
      <c r="G1337" t="s">
        <v>1100</v>
      </c>
      <c r="H1337" t="s">
        <v>119</v>
      </c>
      <c r="I1337" t="s">
        <v>1100</v>
      </c>
      <c r="K1337" s="3"/>
      <c r="M1337" s="3"/>
    </row>
    <row r="1338" spans="1:13">
      <c r="A1338" t="s">
        <v>28</v>
      </c>
      <c r="B1338">
        <f ca="1">IF(OR(changes[[#This Row],[Type]]="Checklist",changes[[#This Row],[Type]]="checklist-flat"),1+IF(changes[[#This Row],[Type of change]] = "Edit",COUNTIFS($I$4:changes[[#This Row],[Name]],changes[[#This Row],[Name]], $E$4:changes[[#This Row],[Type of change]], "Edit")),B1337)</f>
        <v>1</v>
      </c>
      <c r="C1338" s="20">
        <v>44658</v>
      </c>
      <c r="D1338" s="2" t="s">
        <v>2009</v>
      </c>
      <c r="E1338" t="s">
        <v>27</v>
      </c>
      <c r="F1338" s="14" t="s">
        <v>9</v>
      </c>
      <c r="G1338" t="s">
        <v>1100</v>
      </c>
      <c r="H1338" t="s">
        <v>120</v>
      </c>
      <c r="I1338" t="s">
        <v>1101</v>
      </c>
      <c r="K1338" s="3"/>
      <c r="M1338" s="3"/>
    </row>
    <row r="1339" spans="1:13">
      <c r="A1339" t="s">
        <v>28</v>
      </c>
      <c r="B1339">
        <f ca="1">IF(OR(changes[[#This Row],[Type]]="Checklist",changes[[#This Row],[Type]]="checklist-flat"),1+IF(changes[[#This Row],[Type of change]] = "Edit",COUNTIFS($I$4:changes[[#This Row],[Name]],changes[[#This Row],[Name]], $E$4:changes[[#This Row],[Type of change]], "Edit")),B1338)</f>
        <v>1</v>
      </c>
      <c r="C1339" s="20">
        <v>44658</v>
      </c>
      <c r="D1339" s="2" t="s">
        <v>2009</v>
      </c>
      <c r="E1339" t="s">
        <v>27</v>
      </c>
      <c r="F1339" s="14" t="s">
        <v>9</v>
      </c>
      <c r="G1339" t="s">
        <v>1100</v>
      </c>
      <c r="H1339" t="s">
        <v>49</v>
      </c>
      <c r="I1339" t="s">
        <v>1102</v>
      </c>
      <c r="K1339" s="3"/>
      <c r="M1339" s="3"/>
    </row>
    <row r="1340" spans="1:13">
      <c r="A1340" t="s">
        <v>28</v>
      </c>
      <c r="B1340">
        <f ca="1">IF(OR(changes[[#This Row],[Type]]="Checklist",changes[[#This Row],[Type]]="checklist-flat"),1+IF(changes[[#This Row],[Type of change]] = "Edit",COUNTIFS($I$4:changes[[#This Row],[Name]],changes[[#This Row],[Name]], $E$4:changes[[#This Row],[Type of change]], "Edit")),B1339)</f>
        <v>1</v>
      </c>
      <c r="C1340" s="20">
        <v>44658</v>
      </c>
      <c r="D1340" s="2" t="s">
        <v>2009</v>
      </c>
      <c r="E1340" t="s">
        <v>27</v>
      </c>
      <c r="F1340" s="14" t="s">
        <v>9</v>
      </c>
      <c r="G1340" t="s">
        <v>1100</v>
      </c>
      <c r="H1340" t="s">
        <v>49</v>
      </c>
      <c r="I1340" t="s">
        <v>1103</v>
      </c>
      <c r="K1340" s="3"/>
      <c r="M1340" s="3"/>
    </row>
    <row r="1341" spans="1:13">
      <c r="A1341" t="s">
        <v>28</v>
      </c>
      <c r="B1341">
        <f ca="1">IF(OR(changes[[#This Row],[Type]]="Checklist",changes[[#This Row],[Type]]="checklist-flat"),1+IF(changes[[#This Row],[Type of change]] = "Edit",COUNTIFS($I$4:changes[[#This Row],[Name]],changes[[#This Row],[Name]], $E$4:changes[[#This Row],[Type of change]], "Edit")),B1340)</f>
        <v>1</v>
      </c>
      <c r="C1341" s="20">
        <v>44658</v>
      </c>
      <c r="D1341" s="2" t="s">
        <v>2009</v>
      </c>
      <c r="E1341" t="s">
        <v>27</v>
      </c>
      <c r="F1341" s="14" t="s">
        <v>9</v>
      </c>
      <c r="G1341" t="s">
        <v>1100</v>
      </c>
      <c r="H1341" t="s">
        <v>49</v>
      </c>
      <c r="I1341" t="s">
        <v>1104</v>
      </c>
      <c r="K1341" s="3"/>
      <c r="M1341" s="3"/>
    </row>
    <row r="1342" spans="1:13">
      <c r="A1342" t="s">
        <v>28</v>
      </c>
      <c r="B1342">
        <f ca="1">IF(OR(changes[[#This Row],[Type]]="Checklist",changes[[#This Row],[Type]]="checklist-flat"),1+IF(changes[[#This Row],[Type of change]] = "Edit",COUNTIFS($I$4:changes[[#This Row],[Name]],changes[[#This Row],[Name]], $E$4:changes[[#This Row],[Type of change]], "Edit")),B1341)</f>
        <v>1</v>
      </c>
      <c r="C1342" s="20">
        <v>44658</v>
      </c>
      <c r="D1342" s="2" t="s">
        <v>2009</v>
      </c>
      <c r="E1342" t="s">
        <v>27</v>
      </c>
      <c r="F1342" s="14" t="s">
        <v>9</v>
      </c>
      <c r="G1342" t="s">
        <v>1100</v>
      </c>
      <c r="H1342" t="s">
        <v>49</v>
      </c>
      <c r="I1342" t="s">
        <v>1105</v>
      </c>
      <c r="K1342" s="3"/>
      <c r="M1342" s="3"/>
    </row>
    <row r="1343" spans="1:13">
      <c r="A1343" t="s">
        <v>28</v>
      </c>
      <c r="B1343">
        <f ca="1">IF(OR(changes[[#This Row],[Type]]="Checklist",changes[[#This Row],[Type]]="checklist-flat"),1+IF(changes[[#This Row],[Type of change]] = "Edit",COUNTIFS($I$4:changes[[#This Row],[Name]],changes[[#This Row],[Name]], $E$4:changes[[#This Row],[Type of change]], "Edit")),B1342)</f>
        <v>1</v>
      </c>
      <c r="C1343" s="20">
        <v>44658</v>
      </c>
      <c r="D1343" s="2" t="s">
        <v>2009</v>
      </c>
      <c r="E1343" t="s">
        <v>27</v>
      </c>
      <c r="F1343" s="14" t="s">
        <v>9</v>
      </c>
      <c r="G1343" t="s">
        <v>1100</v>
      </c>
      <c r="H1343" t="s">
        <v>49</v>
      </c>
      <c r="I1343" t="s">
        <v>1106</v>
      </c>
      <c r="K1343" s="3"/>
      <c r="M1343" s="3"/>
    </row>
    <row r="1344" spans="1:13">
      <c r="A1344" t="s">
        <v>28</v>
      </c>
      <c r="B1344">
        <f ca="1">IF(OR(changes[[#This Row],[Type]]="Checklist",changes[[#This Row],[Type]]="checklist-flat"),1+IF(changes[[#This Row],[Type of change]] = "Edit",COUNTIFS($I$4:changes[[#This Row],[Name]],changes[[#This Row],[Name]], $E$4:changes[[#This Row],[Type of change]], "Edit")),B1343)</f>
        <v>1</v>
      </c>
      <c r="C1344" s="20">
        <v>44658</v>
      </c>
      <c r="D1344" s="2" t="s">
        <v>2009</v>
      </c>
      <c r="E1344" t="s">
        <v>27</v>
      </c>
      <c r="F1344" s="14" t="s">
        <v>9</v>
      </c>
      <c r="G1344" t="s">
        <v>1100</v>
      </c>
      <c r="H1344" t="s">
        <v>49</v>
      </c>
      <c r="I1344" t="s">
        <v>1107</v>
      </c>
      <c r="K1344" s="3"/>
      <c r="M1344" s="3"/>
    </row>
    <row r="1345" spans="1:13">
      <c r="A1345" t="s">
        <v>28</v>
      </c>
      <c r="B1345">
        <f ca="1">IF(OR(changes[[#This Row],[Type]]="Checklist",changes[[#This Row],[Type]]="checklist-flat"),1+IF(changes[[#This Row],[Type of change]] = "Edit",COUNTIFS($I$4:changes[[#This Row],[Name]],changes[[#This Row],[Name]], $E$4:changes[[#This Row],[Type of change]], "Edit")),B1344)</f>
        <v>1</v>
      </c>
      <c r="C1345" s="20">
        <v>44658</v>
      </c>
      <c r="D1345" s="2" t="s">
        <v>2009</v>
      </c>
      <c r="E1345" t="s">
        <v>27</v>
      </c>
      <c r="F1345" s="14" t="s">
        <v>9</v>
      </c>
      <c r="G1345" t="s">
        <v>1100</v>
      </c>
      <c r="H1345" t="s">
        <v>120</v>
      </c>
      <c r="I1345" t="s">
        <v>1108</v>
      </c>
      <c r="K1345" s="3"/>
      <c r="M1345" s="3"/>
    </row>
    <row r="1346" spans="1:13">
      <c r="A1346" t="s">
        <v>28</v>
      </c>
      <c r="B1346">
        <f ca="1">IF(OR(changes[[#This Row],[Type]]="Checklist",changes[[#This Row],[Type]]="checklist-flat"),1+IF(changes[[#This Row],[Type of change]] = "Edit",COUNTIFS($I$4:changes[[#This Row],[Name]],changes[[#This Row],[Name]], $E$4:changes[[#This Row],[Type of change]], "Edit")),B1345)</f>
        <v>1</v>
      </c>
      <c r="C1346" s="20">
        <v>44658</v>
      </c>
      <c r="D1346" s="2" t="s">
        <v>2009</v>
      </c>
      <c r="E1346" t="s">
        <v>27</v>
      </c>
      <c r="F1346" s="14" t="s">
        <v>9</v>
      </c>
      <c r="G1346" t="s">
        <v>1100</v>
      </c>
      <c r="H1346" t="s">
        <v>49</v>
      </c>
      <c r="I1346" t="s">
        <v>1109</v>
      </c>
      <c r="K1346" s="3"/>
      <c r="M1346" s="3"/>
    </row>
    <row r="1347" spans="1:13">
      <c r="A1347" t="s">
        <v>28</v>
      </c>
      <c r="B1347">
        <f ca="1">IF(OR(changes[[#This Row],[Type]]="Checklist",changes[[#This Row],[Type]]="checklist-flat"),1+IF(changes[[#This Row],[Type of change]] = "Edit",COUNTIFS($I$4:changes[[#This Row],[Name]],changes[[#This Row],[Name]], $E$4:changes[[#This Row],[Type of change]], "Edit")),B1346)</f>
        <v>1</v>
      </c>
      <c r="C1347" s="20">
        <v>44658</v>
      </c>
      <c r="D1347" s="2" t="s">
        <v>2009</v>
      </c>
      <c r="E1347" t="s">
        <v>27</v>
      </c>
      <c r="F1347" s="14" t="s">
        <v>9</v>
      </c>
      <c r="G1347" t="s">
        <v>1100</v>
      </c>
      <c r="H1347" t="s">
        <v>120</v>
      </c>
      <c r="I1347" t="s">
        <v>1110</v>
      </c>
      <c r="K1347" s="3"/>
      <c r="M1347" s="3"/>
    </row>
    <row r="1348" spans="1:13">
      <c r="A1348" t="s">
        <v>28</v>
      </c>
      <c r="B1348">
        <f ca="1">IF(OR(changes[[#This Row],[Type]]="Checklist",changes[[#This Row],[Type]]="checklist-flat"),1+IF(changes[[#This Row],[Type of change]] = "Edit",COUNTIFS($I$4:changes[[#This Row],[Name]],changes[[#This Row],[Name]], $E$4:changes[[#This Row],[Type of change]], "Edit")),B1347)</f>
        <v>1</v>
      </c>
      <c r="C1348" s="20">
        <v>44658</v>
      </c>
      <c r="D1348" s="2" t="s">
        <v>2009</v>
      </c>
      <c r="E1348" t="s">
        <v>27</v>
      </c>
      <c r="F1348" s="14" t="s">
        <v>9</v>
      </c>
      <c r="G1348" t="s">
        <v>1100</v>
      </c>
      <c r="H1348" t="s">
        <v>49</v>
      </c>
      <c r="I1348" t="s">
        <v>1111</v>
      </c>
      <c r="K1348" s="3"/>
      <c r="M1348" s="3"/>
    </row>
    <row r="1349" spans="1:13">
      <c r="A1349" t="s">
        <v>28</v>
      </c>
      <c r="B1349">
        <f ca="1">IF(OR(changes[[#This Row],[Type]]="Checklist",changes[[#This Row],[Type]]="checklist-flat"),1+IF(changes[[#This Row],[Type of change]] = "Edit",COUNTIFS($I$4:changes[[#This Row],[Name]],changes[[#This Row],[Name]], $E$4:changes[[#This Row],[Type of change]], "Edit")),B1348)</f>
        <v>1</v>
      </c>
      <c r="C1349" s="20">
        <v>44658</v>
      </c>
      <c r="D1349" s="2" t="s">
        <v>2009</v>
      </c>
      <c r="E1349" t="s">
        <v>27</v>
      </c>
      <c r="F1349" s="14" t="s">
        <v>9</v>
      </c>
      <c r="G1349" t="s">
        <v>1100</v>
      </c>
      <c r="H1349" t="s">
        <v>120</v>
      </c>
      <c r="I1349" t="s">
        <v>1112</v>
      </c>
      <c r="K1349" s="3"/>
      <c r="M1349" s="3"/>
    </row>
    <row r="1350" spans="1:13">
      <c r="A1350" t="s">
        <v>28</v>
      </c>
      <c r="B1350">
        <f ca="1">IF(OR(changes[[#This Row],[Type]]="Checklist",changes[[#This Row],[Type]]="checklist-flat"),1+IF(changes[[#This Row],[Type of change]] = "Edit",COUNTIFS($I$4:changes[[#This Row],[Name]],changes[[#This Row],[Name]], $E$4:changes[[#This Row],[Type of change]], "Edit")),B1349)</f>
        <v>1</v>
      </c>
      <c r="C1350" s="20">
        <v>44658</v>
      </c>
      <c r="D1350" s="2" t="s">
        <v>2009</v>
      </c>
      <c r="E1350" t="s">
        <v>27</v>
      </c>
      <c r="F1350" s="14" t="s">
        <v>9</v>
      </c>
      <c r="G1350" t="s">
        <v>1100</v>
      </c>
      <c r="H1350" t="s">
        <v>49</v>
      </c>
      <c r="I1350" t="s">
        <v>1113</v>
      </c>
      <c r="K1350" s="3"/>
      <c r="M1350" s="3"/>
    </row>
    <row r="1351" spans="1:13">
      <c r="A1351" t="s">
        <v>28</v>
      </c>
      <c r="B1351">
        <f ca="1">IF(OR(changes[[#This Row],[Type]]="Checklist",changes[[#This Row],[Type]]="checklist-flat"),1+IF(changes[[#This Row],[Type of change]] = "Edit",COUNTIFS($I$4:changes[[#This Row],[Name]],changes[[#This Row],[Name]], $E$4:changes[[#This Row],[Type of change]], "Edit")),B1350)</f>
        <v>1</v>
      </c>
      <c r="C1351" s="20">
        <v>44658</v>
      </c>
      <c r="D1351" s="2" t="s">
        <v>2009</v>
      </c>
      <c r="E1351" t="s">
        <v>27</v>
      </c>
      <c r="F1351" s="14" t="s">
        <v>9</v>
      </c>
      <c r="G1351" t="s">
        <v>1100</v>
      </c>
      <c r="H1351" t="s">
        <v>49</v>
      </c>
      <c r="I1351" t="s">
        <v>1114</v>
      </c>
      <c r="K1351" s="3"/>
      <c r="M1351" s="3"/>
    </row>
    <row r="1352" spans="1:13">
      <c r="A1352" t="s">
        <v>28</v>
      </c>
      <c r="B1352">
        <f ca="1">IF(OR(changes[[#This Row],[Type]]="Checklist",changes[[#This Row],[Type]]="checklist-flat"),1+IF(changes[[#This Row],[Type of change]] = "Edit",COUNTIFS($I$4:changes[[#This Row],[Name]],changes[[#This Row],[Name]], $E$4:changes[[#This Row],[Type of change]], "Edit")),B1351)</f>
        <v>1</v>
      </c>
      <c r="C1352" s="20">
        <v>44658</v>
      </c>
      <c r="D1352" s="2" t="s">
        <v>2009</v>
      </c>
      <c r="E1352" t="s">
        <v>27</v>
      </c>
      <c r="F1352" s="14" t="s">
        <v>9</v>
      </c>
      <c r="G1352" t="s">
        <v>1100</v>
      </c>
      <c r="H1352" t="s">
        <v>120</v>
      </c>
      <c r="I1352" t="s">
        <v>34</v>
      </c>
      <c r="K1352" s="3"/>
      <c r="M1352" s="3"/>
    </row>
    <row r="1353" spans="1:13">
      <c r="A1353" t="s">
        <v>28</v>
      </c>
      <c r="B1353">
        <f ca="1">IF(OR(changes[[#This Row],[Type]]="Checklist",changes[[#This Row],[Type]]="checklist-flat"),1+IF(changes[[#This Row],[Type of change]] = "Edit",COUNTIFS($I$4:changes[[#This Row],[Name]],changes[[#This Row],[Name]], $E$4:changes[[#This Row],[Type of change]], "Edit")),B1352)</f>
        <v>1</v>
      </c>
      <c r="C1353" s="20">
        <v>44658</v>
      </c>
      <c r="D1353" s="2" t="s">
        <v>2009</v>
      </c>
      <c r="E1353" t="s">
        <v>27</v>
      </c>
      <c r="F1353" s="14" t="s">
        <v>9</v>
      </c>
      <c r="G1353" t="s">
        <v>1100</v>
      </c>
      <c r="H1353" t="s">
        <v>49</v>
      </c>
      <c r="I1353" t="s">
        <v>1115</v>
      </c>
      <c r="K1353" s="3"/>
      <c r="M1353" s="3"/>
    </row>
    <row r="1354" spans="1:13">
      <c r="A1354" t="s">
        <v>28</v>
      </c>
      <c r="B1354">
        <f ca="1">IF(OR(changes[[#This Row],[Type]]="Checklist",changes[[#This Row],[Type]]="checklist-flat"),1+IF(changes[[#This Row],[Type of change]] = "Edit",COUNTIFS($I$4:changes[[#This Row],[Name]],changes[[#This Row],[Name]], $E$4:changes[[#This Row],[Type of change]], "Edit")),B1353)</f>
        <v>1</v>
      </c>
      <c r="C1354" s="20">
        <v>44658</v>
      </c>
      <c r="D1354" s="2" t="s">
        <v>2009</v>
      </c>
      <c r="E1354" t="s">
        <v>27</v>
      </c>
      <c r="F1354" s="14" t="s">
        <v>9</v>
      </c>
      <c r="G1354" t="s">
        <v>1100</v>
      </c>
      <c r="H1354" t="s">
        <v>49</v>
      </c>
      <c r="I1354" t="s">
        <v>1116</v>
      </c>
      <c r="K1354" s="3"/>
      <c r="M1354" s="3"/>
    </row>
    <row r="1355" spans="1:13">
      <c r="A1355" t="s">
        <v>28</v>
      </c>
      <c r="B1355">
        <f ca="1">IF(OR(changes[[#This Row],[Type]]="Checklist",changes[[#This Row],[Type]]="checklist-flat"),1+IF(changes[[#This Row],[Type of change]] = "Edit",COUNTIFS($I$4:changes[[#This Row],[Name]],changes[[#This Row],[Name]], $E$4:changes[[#This Row],[Type of change]], "Edit")),B1354)</f>
        <v>1</v>
      </c>
      <c r="C1355" s="20">
        <v>44658</v>
      </c>
      <c r="D1355" s="2" t="s">
        <v>2009</v>
      </c>
      <c r="E1355" t="s">
        <v>27</v>
      </c>
      <c r="F1355" s="14" t="s">
        <v>9</v>
      </c>
      <c r="G1355" t="s">
        <v>1117</v>
      </c>
      <c r="H1355" t="s">
        <v>119</v>
      </c>
      <c r="I1355" t="s">
        <v>1117</v>
      </c>
      <c r="K1355" s="3"/>
      <c r="M1355" s="3"/>
    </row>
    <row r="1356" spans="1:13">
      <c r="A1356" t="s">
        <v>28</v>
      </c>
      <c r="B1356">
        <f ca="1">IF(OR(changes[[#This Row],[Type]]="Checklist",changes[[#This Row],[Type]]="checklist-flat"),1+IF(changes[[#This Row],[Type of change]] = "Edit",COUNTIFS($I$4:changes[[#This Row],[Name]],changes[[#This Row],[Name]], $E$4:changes[[#This Row],[Type of change]], "Edit")),B1355)</f>
        <v>1</v>
      </c>
      <c r="C1356" s="20">
        <v>44658</v>
      </c>
      <c r="D1356" s="2" t="s">
        <v>2009</v>
      </c>
      <c r="E1356" t="s">
        <v>27</v>
      </c>
      <c r="F1356" s="14" t="s">
        <v>9</v>
      </c>
      <c r="G1356" t="s">
        <v>1117</v>
      </c>
      <c r="H1356" t="s">
        <v>49</v>
      </c>
      <c r="I1356" t="s">
        <v>1118</v>
      </c>
      <c r="K1356" s="3"/>
      <c r="M1356" s="3"/>
    </row>
    <row r="1357" spans="1:13">
      <c r="A1357" t="s">
        <v>28</v>
      </c>
      <c r="B1357">
        <f ca="1">IF(OR(changes[[#This Row],[Type]]="Checklist",changes[[#This Row],[Type]]="checklist-flat"),1+IF(changes[[#This Row],[Type of change]] = "Edit",COUNTIFS($I$4:changes[[#This Row],[Name]],changes[[#This Row],[Name]], $E$4:changes[[#This Row],[Type of change]], "Edit")),B1356)</f>
        <v>1</v>
      </c>
      <c r="C1357" s="20">
        <v>44658</v>
      </c>
      <c r="D1357" s="2" t="s">
        <v>2009</v>
      </c>
      <c r="E1357" t="s">
        <v>27</v>
      </c>
      <c r="F1357" s="14" t="s">
        <v>9</v>
      </c>
      <c r="G1357" t="s">
        <v>1117</v>
      </c>
      <c r="H1357" t="s">
        <v>1119</v>
      </c>
      <c r="I1357" t="s">
        <v>1068</v>
      </c>
      <c r="K1357" s="3"/>
      <c r="M1357" s="3"/>
    </row>
    <row r="1358" spans="1:13">
      <c r="A1358" t="s">
        <v>28</v>
      </c>
      <c r="B1358">
        <f ca="1">IF(OR(changes[[#This Row],[Type]]="Checklist",changes[[#This Row],[Type]]="checklist-flat"),1+IF(changes[[#This Row],[Type of change]] = "Edit",COUNTIFS($I$4:changes[[#This Row],[Name]],changes[[#This Row],[Name]], $E$4:changes[[#This Row],[Type of change]], "Edit")),B1357)</f>
        <v>1</v>
      </c>
      <c r="C1358" s="20">
        <v>44658</v>
      </c>
      <c r="D1358" s="2" t="s">
        <v>2015</v>
      </c>
      <c r="E1358" t="s">
        <v>27</v>
      </c>
      <c r="F1358" s="14" t="s">
        <v>9</v>
      </c>
      <c r="G1358" t="s">
        <v>1152</v>
      </c>
      <c r="H1358" t="s">
        <v>119</v>
      </c>
      <c r="I1358" t="s">
        <v>1152</v>
      </c>
      <c r="K1358" s="3"/>
      <c r="M1358" s="3"/>
    </row>
    <row r="1359" spans="1:13">
      <c r="A1359" t="s">
        <v>28</v>
      </c>
      <c r="B1359">
        <f ca="1">IF(OR(changes[[#This Row],[Type]]="Checklist",changes[[#This Row],[Type]]="checklist-flat"),1+IF(changes[[#This Row],[Type of change]] = "Edit",COUNTIFS($I$4:changes[[#This Row],[Name]],changes[[#This Row],[Name]], $E$4:changes[[#This Row],[Type of change]], "Edit")),B1358)</f>
        <v>1</v>
      </c>
      <c r="C1359" s="20">
        <v>44658</v>
      </c>
      <c r="D1359" s="2" t="s">
        <v>2015</v>
      </c>
      <c r="E1359" t="s">
        <v>27</v>
      </c>
      <c r="F1359" s="14" t="s">
        <v>9</v>
      </c>
      <c r="G1359" t="s">
        <v>1152</v>
      </c>
      <c r="H1359" t="s">
        <v>49</v>
      </c>
      <c r="I1359" t="s">
        <v>2335</v>
      </c>
      <c r="K1359" s="3"/>
      <c r="M1359" s="3"/>
    </row>
    <row r="1360" spans="1:13">
      <c r="A1360" t="s">
        <v>28</v>
      </c>
      <c r="B1360">
        <f ca="1">IF(OR(changes[[#This Row],[Type]]="Checklist",changes[[#This Row],[Type]]="checklist-flat"),1+IF(changes[[#This Row],[Type of change]] = "Edit",COUNTIFS($I$4:changes[[#This Row],[Name]],changes[[#This Row],[Name]], $E$4:changes[[#This Row],[Type of change]], "Edit")),B1359)</f>
        <v>1</v>
      </c>
      <c r="C1360" s="20">
        <v>44658</v>
      </c>
      <c r="D1360" s="2" t="s">
        <v>2015</v>
      </c>
      <c r="E1360" t="s">
        <v>27</v>
      </c>
      <c r="F1360" s="14" t="s">
        <v>9</v>
      </c>
      <c r="G1360" t="s">
        <v>1152</v>
      </c>
      <c r="H1360" t="s">
        <v>49</v>
      </c>
      <c r="I1360" t="s">
        <v>2336</v>
      </c>
      <c r="K1360" s="3"/>
      <c r="M1360" s="3"/>
    </row>
    <row r="1361" spans="1:13">
      <c r="A1361" t="s">
        <v>28</v>
      </c>
      <c r="B1361">
        <f ca="1">IF(OR(changes[[#This Row],[Type]]="Checklist",changes[[#This Row],[Type]]="checklist-flat"),1+IF(changes[[#This Row],[Type of change]] = "Edit",COUNTIFS($I$4:changes[[#This Row],[Name]],changes[[#This Row],[Name]], $E$4:changes[[#This Row],[Type of change]], "Edit")),B1360)</f>
        <v>1</v>
      </c>
      <c r="C1361" s="20">
        <v>44658</v>
      </c>
      <c r="D1361" s="2" t="s">
        <v>2015</v>
      </c>
      <c r="E1361" t="s">
        <v>27</v>
      </c>
      <c r="F1361" s="14" t="s">
        <v>9</v>
      </c>
      <c r="G1361" t="s">
        <v>1152</v>
      </c>
      <c r="H1361" t="s">
        <v>49</v>
      </c>
      <c r="I1361" t="s">
        <v>2337</v>
      </c>
      <c r="K1361" s="3"/>
      <c r="M1361" s="3"/>
    </row>
    <row r="1362" spans="1:13">
      <c r="A1362" t="s">
        <v>28</v>
      </c>
      <c r="B1362">
        <f ca="1">IF(OR(changes[[#This Row],[Type]]="Checklist",changes[[#This Row],[Type]]="checklist-flat"),1+IF(changes[[#This Row],[Type of change]] = "Edit",COUNTIFS($I$4:changes[[#This Row],[Name]],changes[[#This Row],[Name]], $E$4:changes[[#This Row],[Type of change]], "Edit")),B1361)</f>
        <v>1</v>
      </c>
      <c r="C1362" s="20">
        <v>44658</v>
      </c>
      <c r="D1362" s="2" t="s">
        <v>2015</v>
      </c>
      <c r="E1362" t="s">
        <v>27</v>
      </c>
      <c r="F1362" s="14" t="s">
        <v>9</v>
      </c>
      <c r="G1362" t="s">
        <v>1152</v>
      </c>
      <c r="H1362" t="s">
        <v>49</v>
      </c>
      <c r="I1362" t="s">
        <v>2338</v>
      </c>
      <c r="K1362" s="3"/>
      <c r="M1362" s="3"/>
    </row>
    <row r="1363" spans="1:13">
      <c r="A1363" t="s">
        <v>28</v>
      </c>
      <c r="B1363">
        <f ca="1">IF(OR(changes[[#This Row],[Type]]="Checklist",changes[[#This Row],[Type]]="checklist-flat"),1+IF(changes[[#This Row],[Type of change]] = "Edit",COUNTIFS($I$4:changes[[#This Row],[Name]],changes[[#This Row],[Name]], $E$4:changes[[#This Row],[Type of change]], "Edit")),B1362)</f>
        <v>1</v>
      </c>
      <c r="C1363" s="20">
        <v>44659</v>
      </c>
      <c r="D1363" s="2" t="s">
        <v>2025</v>
      </c>
      <c r="E1363" t="s">
        <v>27</v>
      </c>
      <c r="F1363" s="14" t="s">
        <v>9</v>
      </c>
      <c r="G1363" s="14" t="s">
        <v>1054</v>
      </c>
      <c r="H1363" t="s">
        <v>119</v>
      </c>
      <c r="I1363" s="14" t="s">
        <v>1054</v>
      </c>
      <c r="K1363" s="3"/>
      <c r="M1363" s="3"/>
    </row>
    <row r="1364" spans="1:13">
      <c r="A1364" t="s">
        <v>28</v>
      </c>
      <c r="B1364">
        <f ca="1">IF(OR(changes[[#This Row],[Type]]="Checklist",changes[[#This Row],[Type]]="checklist-flat"),1+IF(changes[[#This Row],[Type of change]] = "Edit",COUNTIFS($I$4:changes[[#This Row],[Name]],changes[[#This Row],[Name]], $E$4:changes[[#This Row],[Type of change]], "Edit")),B1363)</f>
        <v>1</v>
      </c>
      <c r="C1364" s="20">
        <v>44659</v>
      </c>
      <c r="D1364" s="2" t="s">
        <v>2025</v>
      </c>
      <c r="E1364" t="s">
        <v>27</v>
      </c>
      <c r="F1364" s="14" t="s">
        <v>9</v>
      </c>
      <c r="G1364" s="14" t="s">
        <v>1054</v>
      </c>
      <c r="H1364" t="s">
        <v>49</v>
      </c>
      <c r="I1364" t="s">
        <v>1055</v>
      </c>
      <c r="K1364" s="3"/>
      <c r="M1364" s="3"/>
    </row>
    <row r="1365" spans="1:13">
      <c r="A1365" t="s">
        <v>28</v>
      </c>
      <c r="B1365">
        <f ca="1">IF(OR(changes[[#This Row],[Type]]="Checklist",changes[[#This Row],[Type]]="checklist-flat"),1+IF(changes[[#This Row],[Type of change]] = "Edit",COUNTIFS($I$4:changes[[#This Row],[Name]],changes[[#This Row],[Name]], $E$4:changes[[#This Row],[Type of change]], "Edit")),B1364)</f>
        <v>1</v>
      </c>
      <c r="C1365" s="20">
        <v>44659</v>
      </c>
      <c r="D1365" s="2" t="s">
        <v>2025</v>
      </c>
      <c r="E1365" t="s">
        <v>27</v>
      </c>
      <c r="F1365" s="14" t="s">
        <v>9</v>
      </c>
      <c r="G1365" s="14" t="s">
        <v>1054</v>
      </c>
      <c r="H1365" t="s">
        <v>796</v>
      </c>
      <c r="I1365" t="s">
        <v>1056</v>
      </c>
      <c r="J1365" t="s">
        <v>1057</v>
      </c>
      <c r="K1365" s="3"/>
      <c r="M1365" s="3"/>
    </row>
    <row r="1366" spans="1:13">
      <c r="A1366" t="s">
        <v>28</v>
      </c>
      <c r="B1366">
        <f ca="1">IF(OR(changes[[#This Row],[Type]]="Checklist",changes[[#This Row],[Type]]="checklist-flat"),1+IF(changes[[#This Row],[Type of change]] = "Edit",COUNTIFS($I$4:changes[[#This Row],[Name]],changes[[#This Row],[Name]], $E$4:changes[[#This Row],[Type of change]], "Edit")),B1365)</f>
        <v>1</v>
      </c>
      <c r="C1366" s="20">
        <v>44659</v>
      </c>
      <c r="D1366" s="2" t="s">
        <v>2025</v>
      </c>
      <c r="E1366" t="s">
        <v>27</v>
      </c>
      <c r="F1366" s="14" t="s">
        <v>9</v>
      </c>
      <c r="G1366" s="14" t="s">
        <v>1054</v>
      </c>
      <c r="H1366" t="s">
        <v>796</v>
      </c>
      <c r="I1366" t="s">
        <v>1058</v>
      </c>
      <c r="J1366" t="s">
        <v>1059</v>
      </c>
      <c r="K1366" s="3"/>
      <c r="M1366" s="3"/>
    </row>
    <row r="1367" spans="1:13">
      <c r="A1367" t="s">
        <v>28</v>
      </c>
      <c r="B1367">
        <f ca="1">IF(OR(changes[[#This Row],[Type]]="Checklist",changes[[#This Row],[Type]]="checklist-flat"),1+IF(changes[[#This Row],[Type of change]] = "Edit",COUNTIFS($I$4:changes[[#This Row],[Name]],changes[[#This Row],[Name]], $E$4:changes[[#This Row],[Type of change]], "Edit")),B1366)</f>
        <v>1</v>
      </c>
      <c r="C1367" s="20">
        <v>44659</v>
      </c>
      <c r="D1367" s="2" t="s">
        <v>2025</v>
      </c>
      <c r="E1367" t="s">
        <v>27</v>
      </c>
      <c r="F1367" s="14" t="s">
        <v>9</v>
      </c>
      <c r="G1367" s="14" t="s">
        <v>1054</v>
      </c>
      <c r="H1367" t="s">
        <v>791</v>
      </c>
      <c r="I1367" t="s">
        <v>1060</v>
      </c>
      <c r="K1367" s="3"/>
      <c r="M1367" s="3"/>
    </row>
    <row r="1368" spans="1:13">
      <c r="A1368" t="s">
        <v>28</v>
      </c>
      <c r="B1368">
        <f ca="1">IF(OR(changes[[#This Row],[Type]]="Checklist",changes[[#This Row],[Type]]="checklist-flat"),1+IF(changes[[#This Row],[Type of change]] = "Edit",COUNTIFS($I$4:changes[[#This Row],[Name]],changes[[#This Row],[Name]], $E$4:changes[[#This Row],[Type of change]], "Edit")),B1367)</f>
        <v>1</v>
      </c>
      <c r="C1368" s="20">
        <v>44659</v>
      </c>
      <c r="D1368" s="2" t="s">
        <v>2025</v>
      </c>
      <c r="E1368" t="s">
        <v>27</v>
      </c>
      <c r="F1368" s="14" t="s">
        <v>9</v>
      </c>
      <c r="G1368" s="14" t="s">
        <v>1054</v>
      </c>
      <c r="H1368" t="s">
        <v>1739</v>
      </c>
      <c r="I1368" t="s">
        <v>1061</v>
      </c>
      <c r="J1368" t="s">
        <v>1062</v>
      </c>
      <c r="K1368" s="3"/>
      <c r="M1368" s="3"/>
    </row>
    <row r="1369" spans="1:13">
      <c r="A1369" t="s">
        <v>28</v>
      </c>
      <c r="B1369">
        <f ca="1">IF(OR(changes[[#This Row],[Type]]="Checklist",changes[[#This Row],[Type]]="checklist-flat"),1+IF(changes[[#This Row],[Type of change]] = "Edit",COUNTIFS($I$4:changes[[#This Row],[Name]],changes[[#This Row],[Name]], $E$4:changes[[#This Row],[Type of change]], "Edit")),B1368)</f>
        <v>1</v>
      </c>
      <c r="C1369" s="20">
        <v>44659</v>
      </c>
      <c r="D1369" s="2" t="s">
        <v>2025</v>
      </c>
      <c r="E1369" t="s">
        <v>27</v>
      </c>
      <c r="F1369" s="14" t="s">
        <v>9</v>
      </c>
      <c r="G1369" s="14" t="s">
        <v>1054</v>
      </c>
      <c r="H1369" t="s">
        <v>791</v>
      </c>
      <c r="I1369" t="s">
        <v>1060</v>
      </c>
      <c r="K1369" s="3"/>
      <c r="M1369" s="3"/>
    </row>
    <row r="1370" spans="1:13">
      <c r="A1370" t="s">
        <v>28</v>
      </c>
      <c r="B1370">
        <f ca="1">IF(OR(changes[[#This Row],[Type]]="Checklist",changes[[#This Row],[Type]]="checklist-flat"),1+IF(changes[[#This Row],[Type of change]] = "Edit",COUNTIFS($I$4:changes[[#This Row],[Name]],changes[[#This Row],[Name]], $E$4:changes[[#This Row],[Type of change]], "Edit")),B1369)</f>
        <v>1</v>
      </c>
      <c r="C1370" s="20">
        <v>44659</v>
      </c>
      <c r="D1370" s="2" t="s">
        <v>2025</v>
      </c>
      <c r="E1370" t="s">
        <v>27</v>
      </c>
      <c r="F1370" s="14" t="s">
        <v>9</v>
      </c>
      <c r="G1370" s="14" t="s">
        <v>1054</v>
      </c>
      <c r="H1370" t="s">
        <v>1739</v>
      </c>
      <c r="I1370" t="s">
        <v>1063</v>
      </c>
      <c r="J1370" t="s">
        <v>1064</v>
      </c>
      <c r="K1370" s="3"/>
      <c r="M1370" s="3"/>
    </row>
    <row r="1371" spans="1:13">
      <c r="A1371" t="s">
        <v>28</v>
      </c>
      <c r="B1371">
        <f ca="1">IF(OR(changes[[#This Row],[Type]]="Checklist",changes[[#This Row],[Type]]="checklist-flat"),1+IF(changes[[#This Row],[Type of change]] = "Edit",COUNTIFS($I$4:changes[[#This Row],[Name]],changes[[#This Row],[Name]], $E$4:changes[[#This Row],[Type of change]], "Edit")),B1370)</f>
        <v>1</v>
      </c>
      <c r="C1371" s="20">
        <v>44659</v>
      </c>
      <c r="D1371" s="2" t="s">
        <v>2025</v>
      </c>
      <c r="E1371" t="s">
        <v>27</v>
      </c>
      <c r="F1371" s="14" t="s">
        <v>9</v>
      </c>
      <c r="G1371" s="14" t="s">
        <v>1054</v>
      </c>
      <c r="H1371" t="s">
        <v>791</v>
      </c>
      <c r="I1371" t="s">
        <v>1060</v>
      </c>
      <c r="K1371" s="3"/>
      <c r="M1371" s="3"/>
    </row>
    <row r="1372" spans="1:13">
      <c r="A1372" t="s">
        <v>28</v>
      </c>
      <c r="B1372">
        <f ca="1">IF(OR(changes[[#This Row],[Type]]="Checklist",changes[[#This Row],[Type]]="checklist-flat"),1+IF(changes[[#This Row],[Type of change]] = "Edit",COUNTIFS($I$4:changes[[#This Row],[Name]],changes[[#This Row],[Name]], $E$4:changes[[#This Row],[Type of change]], "Edit")),B1371)</f>
        <v>1</v>
      </c>
      <c r="C1372" s="20">
        <v>44659</v>
      </c>
      <c r="D1372" s="2" t="s">
        <v>2025</v>
      </c>
      <c r="E1372" t="s">
        <v>27</v>
      </c>
      <c r="F1372" s="14" t="s">
        <v>9</v>
      </c>
      <c r="G1372" s="14" t="s">
        <v>1054</v>
      </c>
      <c r="H1372" t="s">
        <v>796</v>
      </c>
      <c r="I1372" t="s">
        <v>1065</v>
      </c>
      <c r="J1372" t="s">
        <v>1066</v>
      </c>
      <c r="K1372" s="3"/>
      <c r="M1372" s="3"/>
    </row>
    <row r="1373" spans="1:13">
      <c r="A1373" t="s">
        <v>28</v>
      </c>
      <c r="B1373">
        <f ca="1">IF(OR(changes[[#This Row],[Type]]="Checklist",changes[[#This Row],[Type]]="checklist-flat"),1+IF(changes[[#This Row],[Type of change]] = "Edit",COUNTIFS($I$4:changes[[#This Row],[Name]],changes[[#This Row],[Name]], $E$4:changes[[#This Row],[Type of change]], "Edit")),B1372)</f>
        <v>1</v>
      </c>
      <c r="C1373" s="20">
        <v>44659</v>
      </c>
      <c r="D1373" s="2" t="s">
        <v>2025</v>
      </c>
      <c r="E1373" t="s">
        <v>27</v>
      </c>
      <c r="F1373" s="14" t="s">
        <v>9</v>
      </c>
      <c r="G1373" s="14" t="s">
        <v>1054</v>
      </c>
      <c r="H1373" t="s">
        <v>791</v>
      </c>
      <c r="I1373" t="s">
        <v>1060</v>
      </c>
      <c r="K1373" s="3"/>
      <c r="M1373" s="3"/>
    </row>
    <row r="1374" spans="1:13">
      <c r="A1374" t="s">
        <v>28</v>
      </c>
      <c r="B1374">
        <f ca="1">IF(OR(changes[[#This Row],[Type]]="Checklist",changes[[#This Row],[Type]]="checklist-flat"),1+IF(changes[[#This Row],[Type of change]] = "Edit",COUNTIFS($I$4:changes[[#This Row],[Name]],changes[[#This Row],[Name]], $E$4:changes[[#This Row],[Type of change]], "Edit")),B1373)</f>
        <v>1</v>
      </c>
      <c r="C1374" s="20">
        <v>44659</v>
      </c>
      <c r="D1374" s="2" t="s">
        <v>2025</v>
      </c>
      <c r="E1374" t="s">
        <v>27</v>
      </c>
      <c r="F1374" s="14" t="s">
        <v>9</v>
      </c>
      <c r="G1374" s="14" t="s">
        <v>1054</v>
      </c>
      <c r="H1374" t="s">
        <v>796</v>
      </c>
      <c r="I1374" t="s">
        <v>1067</v>
      </c>
      <c r="J1374" t="s">
        <v>287</v>
      </c>
      <c r="K1374" s="3"/>
      <c r="M1374" s="3"/>
    </row>
    <row r="1375" spans="1:13">
      <c r="A1375" t="s">
        <v>28</v>
      </c>
      <c r="B1375">
        <f ca="1">IF(OR(changes[[#This Row],[Type]]="Checklist",changes[[#This Row],[Type]]="checklist-flat"),1+IF(changes[[#This Row],[Type of change]] = "Edit",COUNTIFS($I$4:changes[[#This Row],[Name]],changes[[#This Row],[Name]], $E$4:changes[[#This Row],[Type of change]], "Edit")),B1374)</f>
        <v>1</v>
      </c>
      <c r="C1375" s="20">
        <v>44659</v>
      </c>
      <c r="D1375" s="2" t="s">
        <v>2025</v>
      </c>
      <c r="E1375" t="s">
        <v>27</v>
      </c>
      <c r="F1375" s="14" t="s">
        <v>9</v>
      </c>
      <c r="G1375" s="14" t="s">
        <v>1054</v>
      </c>
      <c r="H1375" t="s">
        <v>58</v>
      </c>
      <c r="I1375" t="s">
        <v>1068</v>
      </c>
      <c r="K1375" s="3"/>
      <c r="M1375" s="3"/>
    </row>
    <row r="1376" spans="1:13">
      <c r="A1376" t="s">
        <v>28</v>
      </c>
      <c r="B1376">
        <f ca="1">IF(OR(changes[[#This Row],[Type]]="Checklist",changes[[#This Row],[Type]]="checklist-flat"),1+IF(changes[[#This Row],[Type of change]] = "Edit",COUNTIFS($I$4:changes[[#This Row],[Name]],changes[[#This Row],[Name]], $E$4:changes[[#This Row],[Type of change]], "Edit")),B1375)</f>
        <v>1</v>
      </c>
      <c r="C1376" s="20">
        <v>44659</v>
      </c>
      <c r="D1376" s="2" t="s">
        <v>2339</v>
      </c>
      <c r="E1376" t="s">
        <v>10</v>
      </c>
      <c r="F1376" s="14" t="s">
        <v>9</v>
      </c>
      <c r="G1376" s="14" t="s">
        <v>1120</v>
      </c>
      <c r="H1376" t="s">
        <v>49</v>
      </c>
      <c r="I1376" t="s">
        <v>2340</v>
      </c>
      <c r="K1376" s="3"/>
      <c r="M1376" s="3"/>
    </row>
    <row r="1377" spans="1:13">
      <c r="A1377" t="s">
        <v>28</v>
      </c>
      <c r="B1377">
        <f ca="1">IF(OR(changes[[#This Row],[Type]]="Checklist",changes[[#This Row],[Type]]="checklist-flat"),1+IF(changes[[#This Row],[Type of change]] = "Edit",COUNTIFS($I$4:changes[[#This Row],[Name]],changes[[#This Row],[Name]], $E$4:changes[[#This Row],[Type of change]], "Edit")),B1376)</f>
        <v>2</v>
      </c>
      <c r="C1377" s="20">
        <v>44665</v>
      </c>
      <c r="D1377" s="2" t="s">
        <v>2048</v>
      </c>
      <c r="E1377" t="s">
        <v>15</v>
      </c>
      <c r="F1377" s="14" t="s">
        <v>9</v>
      </c>
      <c r="G1377" s="14" t="s">
        <v>1120</v>
      </c>
      <c r="H1377" t="s">
        <v>119</v>
      </c>
      <c r="I1377" t="s">
        <v>1120</v>
      </c>
      <c r="K1377" s="3"/>
      <c r="M1377" s="3"/>
    </row>
    <row r="1378" spans="1:13">
      <c r="A1378" t="s">
        <v>28</v>
      </c>
      <c r="B1378">
        <f ca="1">IF(OR(changes[[#This Row],[Type]]="Checklist",changes[[#This Row],[Type]]="checklist-flat"),1+IF(changes[[#This Row],[Type of change]] = "Edit",COUNTIFS($I$4:changes[[#This Row],[Name]],changes[[#This Row],[Name]], $E$4:changes[[#This Row],[Type of change]], "Edit")),B1377)</f>
        <v>2</v>
      </c>
      <c r="C1378" s="20">
        <v>44665</v>
      </c>
      <c r="D1378" s="2" t="s">
        <v>2048</v>
      </c>
      <c r="E1378" t="s">
        <v>15</v>
      </c>
      <c r="F1378" s="14" t="s">
        <v>9</v>
      </c>
      <c r="G1378" s="14" t="s">
        <v>1120</v>
      </c>
      <c r="H1378" t="s">
        <v>120</v>
      </c>
      <c r="I1378" t="s">
        <v>1121</v>
      </c>
      <c r="K1378" s="3"/>
      <c r="M1378" s="3"/>
    </row>
    <row r="1379" spans="1:13">
      <c r="A1379" t="s">
        <v>28</v>
      </c>
      <c r="B1379">
        <f ca="1">IF(OR(changes[[#This Row],[Type]]="Checklist",changes[[#This Row],[Type]]="checklist-flat"),1+IF(changes[[#This Row],[Type of change]] = "Edit",COUNTIFS($I$4:changes[[#This Row],[Name]],changes[[#This Row],[Name]], $E$4:changes[[#This Row],[Type of change]], "Edit")),B1378)</f>
        <v>2</v>
      </c>
      <c r="C1379" s="20">
        <v>44665</v>
      </c>
      <c r="D1379" s="2" t="s">
        <v>2048</v>
      </c>
      <c r="E1379" t="s">
        <v>15</v>
      </c>
      <c r="F1379" s="14" t="s">
        <v>9</v>
      </c>
      <c r="G1379" s="14" t="s">
        <v>1120</v>
      </c>
      <c r="H1379" t="s">
        <v>49</v>
      </c>
      <c r="I1379" t="s">
        <v>1122</v>
      </c>
      <c r="K1379" s="3"/>
      <c r="M1379" s="3"/>
    </row>
    <row r="1380" spans="1:13">
      <c r="A1380" t="s">
        <v>28</v>
      </c>
      <c r="B1380">
        <f ca="1">IF(OR(changes[[#This Row],[Type]]="Checklist",changes[[#This Row],[Type]]="checklist-flat"),1+IF(changes[[#This Row],[Type of change]] = "Edit",COUNTIFS($I$4:changes[[#This Row],[Name]],changes[[#This Row],[Name]], $E$4:changes[[#This Row],[Type of change]], "Edit")),B1379)</f>
        <v>2</v>
      </c>
      <c r="C1380" s="20">
        <v>44665</v>
      </c>
      <c r="D1380" s="2" t="s">
        <v>2048</v>
      </c>
      <c r="E1380" t="s">
        <v>15</v>
      </c>
      <c r="F1380" s="14" t="s">
        <v>9</v>
      </c>
      <c r="G1380" s="14" t="s">
        <v>1120</v>
      </c>
      <c r="H1380" t="s">
        <v>49</v>
      </c>
      <c r="I1380" t="s">
        <v>1123</v>
      </c>
      <c r="K1380" s="3"/>
      <c r="M1380" s="3"/>
    </row>
    <row r="1381" spans="1:13">
      <c r="A1381" t="s">
        <v>28</v>
      </c>
      <c r="B1381">
        <f ca="1">IF(OR(changes[[#This Row],[Type]]="Checklist",changes[[#This Row],[Type]]="checklist-flat"),1+IF(changes[[#This Row],[Type of change]] = "Edit",COUNTIFS($I$4:changes[[#This Row],[Name]],changes[[#This Row],[Name]], $E$4:changes[[#This Row],[Type of change]], "Edit")),B1380)</f>
        <v>2</v>
      </c>
      <c r="C1381" s="20">
        <v>44665</v>
      </c>
      <c r="D1381" s="2" t="s">
        <v>2048</v>
      </c>
      <c r="E1381" t="s">
        <v>15</v>
      </c>
      <c r="F1381" s="14" t="s">
        <v>9</v>
      </c>
      <c r="G1381" s="14" t="s">
        <v>1120</v>
      </c>
      <c r="H1381" t="s">
        <v>49</v>
      </c>
      <c r="I1381" t="s">
        <v>1124</v>
      </c>
      <c r="K1381" s="3"/>
      <c r="M1381" s="3"/>
    </row>
    <row r="1382" spans="1:13">
      <c r="A1382" t="s">
        <v>28</v>
      </c>
      <c r="B1382">
        <f ca="1">IF(OR(changes[[#This Row],[Type]]="Checklist",changes[[#This Row],[Type]]="checklist-flat"),1+IF(changes[[#This Row],[Type of change]] = "Edit",COUNTIFS($I$4:changes[[#This Row],[Name]],changes[[#This Row],[Name]], $E$4:changes[[#This Row],[Type of change]], "Edit")),B1381)</f>
        <v>2</v>
      </c>
      <c r="C1382" s="20">
        <v>44665</v>
      </c>
      <c r="D1382" s="2" t="s">
        <v>2048</v>
      </c>
      <c r="E1382" t="s">
        <v>15</v>
      </c>
      <c r="F1382" s="14" t="s">
        <v>9</v>
      </c>
      <c r="G1382" s="14" t="s">
        <v>1120</v>
      </c>
      <c r="H1382" t="s">
        <v>49</v>
      </c>
      <c r="I1382" t="s">
        <v>1125</v>
      </c>
      <c r="K1382" s="3"/>
      <c r="M1382" s="3"/>
    </row>
    <row r="1383" spans="1:13">
      <c r="A1383" t="s">
        <v>28</v>
      </c>
      <c r="B1383">
        <f ca="1">IF(OR(changes[[#This Row],[Type]]="Checklist",changes[[#This Row],[Type]]="checklist-flat"),1+IF(changes[[#This Row],[Type of change]] = "Edit",COUNTIFS($I$4:changes[[#This Row],[Name]],changes[[#This Row],[Name]], $E$4:changes[[#This Row],[Type of change]], "Edit")),B1382)</f>
        <v>2</v>
      </c>
      <c r="C1383" s="20">
        <v>44665</v>
      </c>
      <c r="D1383" s="2" t="s">
        <v>2048</v>
      </c>
      <c r="E1383" t="s">
        <v>15</v>
      </c>
      <c r="F1383" s="14" t="s">
        <v>9</v>
      </c>
      <c r="G1383" s="14" t="s">
        <v>1120</v>
      </c>
      <c r="H1383" t="s">
        <v>49</v>
      </c>
      <c r="I1383" t="s">
        <v>1126</v>
      </c>
      <c r="K1383" s="3"/>
      <c r="M1383" s="3"/>
    </row>
    <row r="1384" spans="1:13">
      <c r="A1384" t="s">
        <v>28</v>
      </c>
      <c r="B1384">
        <f ca="1">IF(OR(changes[[#This Row],[Type]]="Checklist",changes[[#This Row],[Type]]="checklist-flat"),1+IF(changes[[#This Row],[Type of change]] = "Edit",COUNTIFS($I$4:changes[[#This Row],[Name]],changes[[#This Row],[Name]], $E$4:changes[[#This Row],[Type of change]], "Edit")),B1383)</f>
        <v>2</v>
      </c>
      <c r="C1384" s="20">
        <v>44665</v>
      </c>
      <c r="D1384" s="2" t="s">
        <v>2048</v>
      </c>
      <c r="E1384" t="s">
        <v>15</v>
      </c>
      <c r="F1384" s="14" t="s">
        <v>9</v>
      </c>
      <c r="G1384" s="14" t="s">
        <v>1120</v>
      </c>
      <c r="H1384" t="s">
        <v>120</v>
      </c>
      <c r="I1384" t="s">
        <v>1127</v>
      </c>
      <c r="K1384" s="3"/>
      <c r="M1384" s="3"/>
    </row>
    <row r="1385" spans="1:13">
      <c r="A1385" t="s">
        <v>28</v>
      </c>
      <c r="B1385">
        <f ca="1">IF(OR(changes[[#This Row],[Type]]="Checklist",changes[[#This Row],[Type]]="checklist-flat"),1+IF(changes[[#This Row],[Type of change]] = "Edit",COUNTIFS($I$4:changes[[#This Row],[Name]],changes[[#This Row],[Name]], $E$4:changes[[#This Row],[Type of change]], "Edit")),B1384)</f>
        <v>2</v>
      </c>
      <c r="C1385" s="20">
        <v>44665</v>
      </c>
      <c r="D1385" s="2" t="s">
        <v>2048</v>
      </c>
      <c r="E1385" t="s">
        <v>15</v>
      </c>
      <c r="F1385" s="14" t="s">
        <v>9</v>
      </c>
      <c r="G1385" s="14" t="s">
        <v>1120</v>
      </c>
      <c r="H1385" t="s">
        <v>49</v>
      </c>
      <c r="I1385" t="s">
        <v>1128</v>
      </c>
      <c r="K1385" s="3"/>
      <c r="M1385" s="3"/>
    </row>
    <row r="1386" spans="1:13">
      <c r="A1386" t="s">
        <v>28</v>
      </c>
      <c r="B1386">
        <f ca="1">IF(OR(changes[[#This Row],[Type]]="Checklist",changes[[#This Row],[Type]]="checklist-flat"),1+IF(changes[[#This Row],[Type of change]] = "Edit",COUNTIFS($I$4:changes[[#This Row],[Name]],changes[[#This Row],[Name]], $E$4:changes[[#This Row],[Type of change]], "Edit")),B1385)</f>
        <v>2</v>
      </c>
      <c r="C1386" s="20">
        <v>44665</v>
      </c>
      <c r="D1386" s="2" t="s">
        <v>2048</v>
      </c>
      <c r="E1386" t="s">
        <v>15</v>
      </c>
      <c r="F1386" s="14" t="s">
        <v>9</v>
      </c>
      <c r="G1386" s="14" t="s">
        <v>1120</v>
      </c>
      <c r="H1386" t="s">
        <v>49</v>
      </c>
      <c r="I1386" t="s">
        <v>1129</v>
      </c>
      <c r="K1386" s="3"/>
      <c r="M1386" s="3"/>
    </row>
    <row r="1387" spans="1:13">
      <c r="A1387" t="s">
        <v>28</v>
      </c>
      <c r="B1387">
        <f ca="1">IF(OR(changes[[#This Row],[Type]]="Checklist",changes[[#This Row],[Type]]="checklist-flat"),1+IF(changes[[#This Row],[Type of change]] = "Edit",COUNTIFS($I$4:changes[[#This Row],[Name]],changes[[#This Row],[Name]], $E$4:changes[[#This Row],[Type of change]], "Edit")),B1386)</f>
        <v>2</v>
      </c>
      <c r="C1387" s="20">
        <v>44665</v>
      </c>
      <c r="D1387" s="2" t="s">
        <v>2048</v>
      </c>
      <c r="E1387" t="s">
        <v>15</v>
      </c>
      <c r="F1387" s="14" t="s">
        <v>9</v>
      </c>
      <c r="G1387" s="14" t="s">
        <v>1120</v>
      </c>
      <c r="H1387" t="s">
        <v>49</v>
      </c>
      <c r="I1387" t="s">
        <v>1130</v>
      </c>
      <c r="K1387" s="3"/>
      <c r="M1387" s="3"/>
    </row>
    <row r="1388" spans="1:13">
      <c r="A1388" t="s">
        <v>28</v>
      </c>
      <c r="B1388">
        <f ca="1">IF(OR(changes[[#This Row],[Type]]="Checklist",changes[[#This Row],[Type]]="checklist-flat"),1+IF(changes[[#This Row],[Type of change]] = "Edit",COUNTIFS($I$4:changes[[#This Row],[Name]],changes[[#This Row],[Name]], $E$4:changes[[#This Row],[Type of change]], "Edit")),B1387)</f>
        <v>2</v>
      </c>
      <c r="C1388" s="20">
        <v>44665</v>
      </c>
      <c r="D1388" s="2" t="s">
        <v>2048</v>
      </c>
      <c r="E1388" t="s">
        <v>15</v>
      </c>
      <c r="F1388" s="14" t="s">
        <v>9</v>
      </c>
      <c r="G1388" s="14" t="s">
        <v>1120</v>
      </c>
      <c r="H1388" t="s">
        <v>49</v>
      </c>
      <c r="I1388" t="s">
        <v>1131</v>
      </c>
      <c r="K1388" s="3"/>
      <c r="M1388" s="3"/>
    </row>
    <row r="1389" spans="1:13">
      <c r="A1389" t="s">
        <v>28</v>
      </c>
      <c r="B1389">
        <f ca="1">IF(OR(changes[[#This Row],[Type]]="Checklist",changes[[#This Row],[Type]]="checklist-flat"),1+IF(changes[[#This Row],[Type of change]] = "Edit",COUNTIFS($I$4:changes[[#This Row],[Name]],changes[[#This Row],[Name]], $E$4:changes[[#This Row],[Type of change]], "Edit")),B1388)</f>
        <v>2</v>
      </c>
      <c r="C1389" s="20">
        <v>44665</v>
      </c>
      <c r="D1389" s="2" t="s">
        <v>2048</v>
      </c>
      <c r="E1389" t="s">
        <v>15</v>
      </c>
      <c r="F1389" s="14" t="s">
        <v>9</v>
      </c>
      <c r="G1389" s="14" t="s">
        <v>1120</v>
      </c>
      <c r="H1389" t="s">
        <v>49</v>
      </c>
      <c r="I1389" t="s">
        <v>1132</v>
      </c>
      <c r="K1389" s="3"/>
      <c r="M1389" s="3"/>
    </row>
    <row r="1390" spans="1:13">
      <c r="A1390" t="s">
        <v>28</v>
      </c>
      <c r="B1390">
        <f ca="1">IF(OR(changes[[#This Row],[Type]]="Checklist",changes[[#This Row],[Type]]="checklist-flat"),1+IF(changes[[#This Row],[Type of change]] = "Edit",COUNTIFS($I$4:changes[[#This Row],[Name]],changes[[#This Row],[Name]], $E$4:changes[[#This Row],[Type of change]], "Edit")),B1389)</f>
        <v>2</v>
      </c>
      <c r="C1390" s="20">
        <v>44665</v>
      </c>
      <c r="D1390" s="2" t="s">
        <v>2048</v>
      </c>
      <c r="E1390" t="s">
        <v>15</v>
      </c>
      <c r="F1390" s="14" t="s">
        <v>9</v>
      </c>
      <c r="G1390" s="14" t="s">
        <v>1120</v>
      </c>
      <c r="H1390" t="s">
        <v>49</v>
      </c>
      <c r="I1390" t="s">
        <v>1126</v>
      </c>
      <c r="K1390" s="3"/>
      <c r="M1390" s="3"/>
    </row>
    <row r="1391" spans="1:13">
      <c r="A1391" t="s">
        <v>28</v>
      </c>
      <c r="B1391">
        <f ca="1">IF(OR(changes[[#This Row],[Type]]="Checklist",changes[[#This Row],[Type]]="checklist-flat"),1+IF(changes[[#This Row],[Type of change]] = "Edit",COUNTIFS($I$4:changes[[#This Row],[Name]],changes[[#This Row],[Name]], $E$4:changes[[#This Row],[Type of change]], "Edit")),B1390)</f>
        <v>2</v>
      </c>
      <c r="C1391" s="20">
        <v>44665</v>
      </c>
      <c r="D1391" s="2" t="s">
        <v>2048</v>
      </c>
      <c r="E1391" t="s">
        <v>15</v>
      </c>
      <c r="F1391" s="14" t="s">
        <v>9</v>
      </c>
      <c r="G1391" s="14" t="s">
        <v>1120</v>
      </c>
      <c r="H1391" t="s">
        <v>120</v>
      </c>
      <c r="I1391" t="s">
        <v>1133</v>
      </c>
      <c r="K1391" s="3"/>
      <c r="M1391" s="3"/>
    </row>
    <row r="1392" spans="1:13">
      <c r="A1392" t="s">
        <v>28</v>
      </c>
      <c r="B1392">
        <f ca="1">IF(OR(changes[[#This Row],[Type]]="Checklist",changes[[#This Row],[Type]]="checklist-flat"),1+IF(changes[[#This Row],[Type of change]] = "Edit",COUNTIFS($I$4:changes[[#This Row],[Name]],changes[[#This Row],[Name]], $E$4:changes[[#This Row],[Type of change]], "Edit")),B1391)</f>
        <v>2</v>
      </c>
      <c r="C1392" s="20">
        <v>44665</v>
      </c>
      <c r="D1392" s="2" t="s">
        <v>2048</v>
      </c>
      <c r="E1392" t="s">
        <v>15</v>
      </c>
      <c r="F1392" s="14" t="s">
        <v>9</v>
      </c>
      <c r="G1392" s="14" t="s">
        <v>1120</v>
      </c>
      <c r="H1392" t="s">
        <v>49</v>
      </c>
      <c r="I1392" t="s">
        <v>1134</v>
      </c>
      <c r="K1392" s="3"/>
      <c r="M1392" s="3"/>
    </row>
    <row r="1393" spans="1:13">
      <c r="A1393" t="s">
        <v>28</v>
      </c>
      <c r="B1393">
        <f ca="1">IF(OR(changes[[#This Row],[Type]]="Checklist",changes[[#This Row],[Type]]="checklist-flat"),1+IF(changes[[#This Row],[Type of change]] = "Edit",COUNTIFS($I$4:changes[[#This Row],[Name]],changes[[#This Row],[Name]], $E$4:changes[[#This Row],[Type of change]], "Edit")),B1392)</f>
        <v>2</v>
      </c>
      <c r="C1393" s="20">
        <v>44665</v>
      </c>
      <c r="D1393" s="2" t="s">
        <v>2048</v>
      </c>
      <c r="E1393" t="s">
        <v>15</v>
      </c>
      <c r="F1393" s="14" t="s">
        <v>9</v>
      </c>
      <c r="G1393" s="14" t="s">
        <v>1120</v>
      </c>
      <c r="H1393" t="s">
        <v>49</v>
      </c>
      <c r="I1393" t="s">
        <v>1135</v>
      </c>
      <c r="K1393" s="3"/>
      <c r="M1393" s="3"/>
    </row>
    <row r="1394" spans="1:13">
      <c r="A1394" t="s">
        <v>28</v>
      </c>
      <c r="B1394">
        <f ca="1">IF(OR(changes[[#This Row],[Type]]="Checklist",changes[[#This Row],[Type]]="checklist-flat"),1+IF(changes[[#This Row],[Type of change]] = "Edit",COUNTIFS($I$4:changes[[#This Row],[Name]],changes[[#This Row],[Name]], $E$4:changes[[#This Row],[Type of change]], "Edit")),B1393)</f>
        <v>2</v>
      </c>
      <c r="C1394" s="20">
        <v>44665</v>
      </c>
      <c r="D1394" s="2" t="s">
        <v>2048</v>
      </c>
      <c r="E1394" t="s">
        <v>15</v>
      </c>
      <c r="F1394" s="14" t="s">
        <v>9</v>
      </c>
      <c r="G1394" s="14" t="s">
        <v>1120</v>
      </c>
      <c r="H1394" t="s">
        <v>49</v>
      </c>
      <c r="I1394" t="s">
        <v>1136</v>
      </c>
      <c r="K1394" s="3"/>
      <c r="M1394" s="3"/>
    </row>
    <row r="1395" spans="1:13">
      <c r="A1395" t="s">
        <v>28</v>
      </c>
      <c r="B1395">
        <f ca="1">IF(OR(changes[[#This Row],[Type]]="Checklist",changes[[#This Row],[Type]]="checklist-flat"),1+IF(changes[[#This Row],[Type of change]] = "Edit",COUNTIFS($I$4:changes[[#This Row],[Name]],changes[[#This Row],[Name]], $E$4:changes[[#This Row],[Type of change]], "Edit")),B1394)</f>
        <v>2</v>
      </c>
      <c r="C1395" s="20">
        <v>44665</v>
      </c>
      <c r="D1395" s="2" t="s">
        <v>2048</v>
      </c>
      <c r="E1395" t="s">
        <v>15</v>
      </c>
      <c r="F1395" s="14" t="s">
        <v>9</v>
      </c>
      <c r="G1395" s="14" t="s">
        <v>1120</v>
      </c>
      <c r="H1395" t="s">
        <v>49</v>
      </c>
      <c r="I1395" t="s">
        <v>1137</v>
      </c>
      <c r="K1395" s="3"/>
      <c r="M1395" s="3"/>
    </row>
    <row r="1396" spans="1:13">
      <c r="A1396" t="s">
        <v>28</v>
      </c>
      <c r="B1396">
        <f ca="1">IF(OR(changes[[#This Row],[Type]]="Checklist",changes[[#This Row],[Type]]="checklist-flat"),1+IF(changes[[#This Row],[Type of change]] = "Edit",COUNTIFS($I$4:changes[[#This Row],[Name]],changes[[#This Row],[Name]], $E$4:changes[[#This Row],[Type of change]], "Edit")),B1395)</f>
        <v>2</v>
      </c>
      <c r="C1396" s="20">
        <v>44665</v>
      </c>
      <c r="D1396" s="2" t="s">
        <v>2048</v>
      </c>
      <c r="E1396" t="s">
        <v>15</v>
      </c>
      <c r="F1396" s="14" t="s">
        <v>9</v>
      </c>
      <c r="G1396" s="14" t="s">
        <v>1120</v>
      </c>
      <c r="H1396" t="s">
        <v>49</v>
      </c>
      <c r="I1396" t="s">
        <v>1138</v>
      </c>
      <c r="K1396" s="3"/>
      <c r="M1396" s="3"/>
    </row>
    <row r="1397" spans="1:13">
      <c r="A1397" t="s">
        <v>28</v>
      </c>
      <c r="B1397">
        <f ca="1">IF(OR(changes[[#This Row],[Type]]="Checklist",changes[[#This Row],[Type]]="checklist-flat"),1+IF(changes[[#This Row],[Type of change]] = "Edit",COUNTIFS($I$4:changes[[#This Row],[Name]],changes[[#This Row],[Name]], $E$4:changes[[#This Row],[Type of change]], "Edit")),B1396)</f>
        <v>2</v>
      </c>
      <c r="C1397" s="20">
        <v>44665</v>
      </c>
      <c r="D1397" s="2" t="s">
        <v>2048</v>
      </c>
      <c r="E1397" t="s">
        <v>15</v>
      </c>
      <c r="F1397" s="14" t="s">
        <v>9</v>
      </c>
      <c r="G1397" s="14" t="s">
        <v>1120</v>
      </c>
      <c r="H1397" t="s">
        <v>49</v>
      </c>
      <c r="I1397" t="s">
        <v>1126</v>
      </c>
      <c r="K1397" s="3"/>
      <c r="M1397" s="3"/>
    </row>
    <row r="1398" spans="1:13">
      <c r="A1398" t="s">
        <v>28</v>
      </c>
      <c r="B1398">
        <f ca="1">IF(OR(changes[[#This Row],[Type]]="Checklist",changes[[#This Row],[Type]]="checklist-flat"),1+IF(changes[[#This Row],[Type of change]] = "Edit",COUNTIFS($I$4:changes[[#This Row],[Name]],changes[[#This Row],[Name]], $E$4:changes[[#This Row],[Type of change]], "Edit")),B1397)</f>
        <v>2</v>
      </c>
      <c r="C1398" s="20">
        <v>44665</v>
      </c>
      <c r="D1398" s="2" t="s">
        <v>2048</v>
      </c>
      <c r="E1398" t="s">
        <v>15</v>
      </c>
      <c r="F1398" s="14" t="s">
        <v>9</v>
      </c>
      <c r="G1398" s="14" t="s">
        <v>1120</v>
      </c>
      <c r="H1398" t="s">
        <v>120</v>
      </c>
      <c r="I1398" t="s">
        <v>1139</v>
      </c>
      <c r="K1398" s="3"/>
      <c r="M1398" s="3"/>
    </row>
    <row r="1399" spans="1:13">
      <c r="A1399" t="s">
        <v>28</v>
      </c>
      <c r="B1399">
        <f ca="1">IF(OR(changes[[#This Row],[Type]]="Checklist",changes[[#This Row],[Type]]="checklist-flat"),1+IF(changes[[#This Row],[Type of change]] = "Edit",COUNTIFS($I$4:changes[[#This Row],[Name]],changes[[#This Row],[Name]], $E$4:changes[[#This Row],[Type of change]], "Edit")),B1398)</f>
        <v>2</v>
      </c>
      <c r="C1399" s="20">
        <v>44665</v>
      </c>
      <c r="D1399" s="2" t="s">
        <v>2048</v>
      </c>
      <c r="E1399" t="s">
        <v>15</v>
      </c>
      <c r="F1399" s="14" t="s">
        <v>9</v>
      </c>
      <c r="G1399" s="14" t="s">
        <v>1120</v>
      </c>
      <c r="H1399" t="s">
        <v>49</v>
      </c>
      <c r="I1399" t="s">
        <v>1140</v>
      </c>
      <c r="K1399" s="3"/>
      <c r="M1399" s="3"/>
    </row>
    <row r="1400" spans="1:13">
      <c r="A1400" t="s">
        <v>28</v>
      </c>
      <c r="B1400">
        <f ca="1">IF(OR(changes[[#This Row],[Type]]="Checklist",changes[[#This Row],[Type]]="checklist-flat"),1+IF(changes[[#This Row],[Type of change]] = "Edit",COUNTIFS($I$4:changes[[#This Row],[Name]],changes[[#This Row],[Name]], $E$4:changes[[#This Row],[Type of change]], "Edit")),B1399)</f>
        <v>2</v>
      </c>
      <c r="C1400" s="20">
        <v>44665</v>
      </c>
      <c r="D1400" s="2" t="s">
        <v>2048</v>
      </c>
      <c r="E1400" t="s">
        <v>15</v>
      </c>
      <c r="F1400" s="14" t="s">
        <v>9</v>
      </c>
      <c r="G1400" s="14" t="s">
        <v>1120</v>
      </c>
      <c r="H1400" t="s">
        <v>49</v>
      </c>
      <c r="I1400" t="s">
        <v>1141</v>
      </c>
      <c r="K1400" s="3"/>
      <c r="M1400" s="3"/>
    </row>
    <row r="1401" spans="1:13">
      <c r="A1401" t="s">
        <v>28</v>
      </c>
      <c r="B1401">
        <f ca="1">IF(OR(changes[[#This Row],[Type]]="Checklist",changes[[#This Row],[Type]]="checklist-flat"),1+IF(changes[[#This Row],[Type of change]] = "Edit",COUNTIFS($I$4:changes[[#This Row],[Name]],changes[[#This Row],[Name]], $E$4:changes[[#This Row],[Type of change]], "Edit")),B1400)</f>
        <v>2</v>
      </c>
      <c r="C1401" s="20">
        <v>44665</v>
      </c>
      <c r="D1401" s="2" t="s">
        <v>2048</v>
      </c>
      <c r="E1401" t="s">
        <v>15</v>
      </c>
      <c r="F1401" s="14" t="s">
        <v>9</v>
      </c>
      <c r="G1401" s="14" t="s">
        <v>1120</v>
      </c>
      <c r="H1401" t="s">
        <v>49</v>
      </c>
      <c r="I1401" t="s">
        <v>1142</v>
      </c>
      <c r="K1401" s="3"/>
      <c r="M1401" s="3"/>
    </row>
    <row r="1402" spans="1:13">
      <c r="A1402" t="s">
        <v>28</v>
      </c>
      <c r="B1402">
        <f ca="1">IF(OR(changes[[#This Row],[Type]]="Checklist",changes[[#This Row],[Type]]="checklist-flat"),1+IF(changes[[#This Row],[Type of change]] = "Edit",COUNTIFS($I$4:changes[[#This Row],[Name]],changes[[#This Row],[Name]], $E$4:changes[[#This Row],[Type of change]], "Edit")),B1401)</f>
        <v>2</v>
      </c>
      <c r="C1402" s="20">
        <v>44665</v>
      </c>
      <c r="D1402" s="2" t="s">
        <v>2048</v>
      </c>
      <c r="E1402" t="s">
        <v>15</v>
      </c>
      <c r="F1402" s="14" t="s">
        <v>9</v>
      </c>
      <c r="G1402" s="14" t="s">
        <v>1120</v>
      </c>
      <c r="H1402" t="s">
        <v>49</v>
      </c>
      <c r="I1402" t="s">
        <v>1143</v>
      </c>
      <c r="K1402" s="3"/>
      <c r="M1402" s="3"/>
    </row>
    <row r="1403" spans="1:13">
      <c r="A1403" t="s">
        <v>28</v>
      </c>
      <c r="B1403">
        <f ca="1">IF(OR(changes[[#This Row],[Type]]="Checklist",changes[[#This Row],[Type]]="checklist-flat"),1+IF(changes[[#This Row],[Type of change]] = "Edit",COUNTIFS($I$4:changes[[#This Row],[Name]],changes[[#This Row],[Name]], $E$4:changes[[#This Row],[Type of change]], "Edit")),B1402)</f>
        <v>2</v>
      </c>
      <c r="C1403" s="20">
        <v>44665</v>
      </c>
      <c r="D1403" s="2" t="s">
        <v>2048</v>
      </c>
      <c r="E1403" t="s">
        <v>15</v>
      </c>
      <c r="F1403" s="14" t="s">
        <v>9</v>
      </c>
      <c r="G1403" s="14" t="s">
        <v>1120</v>
      </c>
      <c r="H1403" t="s">
        <v>49</v>
      </c>
      <c r="I1403" t="s">
        <v>1144</v>
      </c>
      <c r="K1403" s="3"/>
      <c r="M1403" s="3"/>
    </row>
    <row r="1404" spans="1:13">
      <c r="A1404" t="s">
        <v>28</v>
      </c>
      <c r="B1404">
        <f ca="1">IF(OR(changes[[#This Row],[Type]]="Checklist",changes[[#This Row],[Type]]="checklist-flat"),1+IF(changes[[#This Row],[Type of change]] = "Edit",COUNTIFS($I$4:changes[[#This Row],[Name]],changes[[#This Row],[Name]], $E$4:changes[[#This Row],[Type of change]], "Edit")),B1403)</f>
        <v>2</v>
      </c>
      <c r="C1404" s="20">
        <v>44665</v>
      </c>
      <c r="D1404" s="2" t="s">
        <v>2048</v>
      </c>
      <c r="E1404" t="s">
        <v>15</v>
      </c>
      <c r="F1404" s="14" t="s">
        <v>9</v>
      </c>
      <c r="G1404" s="14" t="s">
        <v>1120</v>
      </c>
      <c r="H1404" t="s">
        <v>49</v>
      </c>
      <c r="I1404" t="s">
        <v>1126</v>
      </c>
      <c r="K1404" s="3"/>
      <c r="M1404" s="3"/>
    </row>
    <row r="1405" spans="1:13">
      <c r="A1405" t="s">
        <v>28</v>
      </c>
      <c r="B1405">
        <f ca="1">IF(OR(changes[[#This Row],[Type]]="Checklist",changes[[#This Row],[Type]]="checklist-flat"),1+IF(changes[[#This Row],[Type of change]] = "Edit",COUNTIFS($I$4:changes[[#This Row],[Name]],changes[[#This Row],[Name]], $E$4:changes[[#This Row],[Type of change]], "Edit")),B1404)</f>
        <v>2</v>
      </c>
      <c r="C1405" s="20">
        <v>44665</v>
      </c>
      <c r="D1405" s="2" t="s">
        <v>2048</v>
      </c>
      <c r="E1405" t="s">
        <v>15</v>
      </c>
      <c r="F1405" s="14" t="s">
        <v>9</v>
      </c>
      <c r="G1405" s="14" t="s">
        <v>1120</v>
      </c>
      <c r="H1405" t="s">
        <v>120</v>
      </c>
      <c r="I1405" t="s">
        <v>1145</v>
      </c>
      <c r="K1405" s="3"/>
      <c r="M1405" s="3"/>
    </row>
    <row r="1406" spans="1:13">
      <c r="A1406" t="s">
        <v>28</v>
      </c>
      <c r="B1406">
        <f ca="1">IF(OR(changes[[#This Row],[Type]]="Checklist",changes[[#This Row],[Type]]="checklist-flat"),1+IF(changes[[#This Row],[Type of change]] = "Edit",COUNTIFS($I$4:changes[[#This Row],[Name]],changes[[#This Row],[Name]], $E$4:changes[[#This Row],[Type of change]], "Edit")),B1405)</f>
        <v>2</v>
      </c>
      <c r="C1406" s="20">
        <v>44665</v>
      </c>
      <c r="D1406" s="2" t="s">
        <v>2048</v>
      </c>
      <c r="E1406" t="s">
        <v>15</v>
      </c>
      <c r="F1406" s="14" t="s">
        <v>9</v>
      </c>
      <c r="G1406" s="14" t="s">
        <v>1120</v>
      </c>
      <c r="H1406" t="s">
        <v>49</v>
      </c>
      <c r="I1406" t="s">
        <v>1146</v>
      </c>
      <c r="K1406" s="3"/>
      <c r="M1406" s="3"/>
    </row>
    <row r="1407" spans="1:13">
      <c r="A1407" t="s">
        <v>28</v>
      </c>
      <c r="B1407">
        <f ca="1">IF(OR(changes[[#This Row],[Type]]="Checklist",changes[[#This Row],[Type]]="checklist-flat"),1+IF(changes[[#This Row],[Type of change]] = "Edit",COUNTIFS($I$4:changes[[#This Row],[Name]],changes[[#This Row],[Name]], $E$4:changes[[#This Row],[Type of change]], "Edit")),B1406)</f>
        <v>2</v>
      </c>
      <c r="C1407" s="20">
        <v>44665</v>
      </c>
      <c r="D1407" s="2" t="s">
        <v>2048</v>
      </c>
      <c r="E1407" t="s">
        <v>15</v>
      </c>
      <c r="F1407" s="14" t="s">
        <v>9</v>
      </c>
      <c r="G1407" s="14" t="s">
        <v>1120</v>
      </c>
      <c r="H1407" t="s">
        <v>49</v>
      </c>
      <c r="I1407" t="s">
        <v>1147</v>
      </c>
      <c r="K1407" s="3"/>
      <c r="M1407" s="3"/>
    </row>
    <row r="1408" spans="1:13">
      <c r="A1408" t="s">
        <v>28</v>
      </c>
      <c r="B1408">
        <f ca="1">IF(OR(changes[[#This Row],[Type]]="Checklist",changes[[#This Row],[Type]]="checklist-flat"),1+IF(changes[[#This Row],[Type of change]] = "Edit",COUNTIFS($I$4:changes[[#This Row],[Name]],changes[[#This Row],[Name]], $E$4:changes[[#This Row],[Type of change]], "Edit")),B1407)</f>
        <v>2</v>
      </c>
      <c r="C1408" s="20">
        <v>44665</v>
      </c>
      <c r="D1408" s="2" t="s">
        <v>2048</v>
      </c>
      <c r="E1408" t="s">
        <v>15</v>
      </c>
      <c r="F1408" s="14" t="s">
        <v>9</v>
      </c>
      <c r="G1408" s="14" t="s">
        <v>1120</v>
      </c>
      <c r="H1408" t="s">
        <v>49</v>
      </c>
      <c r="I1408" t="s">
        <v>1148</v>
      </c>
    </row>
    <row r="1409" spans="1:13">
      <c r="A1409" t="s">
        <v>28</v>
      </c>
      <c r="B1409">
        <f ca="1">IF(OR(changes[[#This Row],[Type]]="Checklist",changes[[#This Row],[Type]]="checklist-flat"),1+IF(changes[[#This Row],[Type of change]] = "Edit",COUNTIFS($I$4:changes[[#This Row],[Name]],changes[[#This Row],[Name]], $E$4:changes[[#This Row],[Type of change]], "Edit")),B1408)</f>
        <v>2</v>
      </c>
      <c r="C1409" s="20">
        <v>44665</v>
      </c>
      <c r="D1409" s="2" t="s">
        <v>2048</v>
      </c>
      <c r="E1409" t="s">
        <v>15</v>
      </c>
      <c r="F1409" s="14" t="s">
        <v>9</v>
      </c>
      <c r="G1409" s="14" t="s">
        <v>1120</v>
      </c>
      <c r="H1409" t="s">
        <v>49</v>
      </c>
      <c r="I1409" t="s">
        <v>1149</v>
      </c>
    </row>
    <row r="1410" spans="1:13">
      <c r="A1410" t="s">
        <v>28</v>
      </c>
      <c r="B1410">
        <f ca="1">IF(OR(changes[[#This Row],[Type]]="Checklist",changes[[#This Row],[Type]]="checklist-flat"),1+IF(changes[[#This Row],[Type of change]] = "Edit",COUNTIFS($I$4:changes[[#This Row],[Name]],changes[[#This Row],[Name]], $E$4:changes[[#This Row],[Type of change]], "Edit")),B1409)</f>
        <v>2</v>
      </c>
      <c r="C1410" s="20">
        <v>44665</v>
      </c>
      <c r="D1410" s="2" t="s">
        <v>2048</v>
      </c>
      <c r="E1410" t="s">
        <v>15</v>
      </c>
      <c r="F1410" s="14" t="s">
        <v>9</v>
      </c>
      <c r="G1410" s="14" t="s">
        <v>1120</v>
      </c>
      <c r="H1410" t="s">
        <v>49</v>
      </c>
      <c r="I1410" t="s">
        <v>1126</v>
      </c>
    </row>
    <row r="1411" spans="1:13">
      <c r="A1411" t="s">
        <v>28</v>
      </c>
      <c r="B1411">
        <f ca="1">IF(OR(changes[[#This Row],[Type]]="Checklist",changes[[#This Row],[Type]]="checklist-flat"),1+IF(changes[[#This Row],[Type of change]] = "Edit",COUNTIFS($I$4:changes[[#This Row],[Name]],changes[[#This Row],[Name]], $E$4:changes[[#This Row],[Type of change]], "Edit")),B1410)</f>
        <v>2</v>
      </c>
      <c r="C1411" s="20">
        <v>44665</v>
      </c>
      <c r="D1411" s="2" t="s">
        <v>2015</v>
      </c>
      <c r="E1411" t="s">
        <v>19</v>
      </c>
      <c r="F1411" s="14" t="s">
        <v>9</v>
      </c>
      <c r="G1411" s="14" t="s">
        <v>1120</v>
      </c>
      <c r="H1411" t="s">
        <v>120</v>
      </c>
      <c r="I1411" t="s">
        <v>2059</v>
      </c>
      <c r="M1411" t="s">
        <v>2341</v>
      </c>
    </row>
    <row r="1412" spans="1:13">
      <c r="A1412" t="s">
        <v>28</v>
      </c>
      <c r="B1412">
        <f ca="1">IF(OR(changes[[#This Row],[Type]]="Checklist",changes[[#This Row],[Type]]="checklist-flat"),1+IF(changes[[#This Row],[Type of change]] = "Edit",COUNTIFS($I$4:changes[[#This Row],[Name]],changes[[#This Row],[Name]], $E$4:changes[[#This Row],[Type of change]], "Edit")),B1411)</f>
        <v>2</v>
      </c>
      <c r="C1412" s="20">
        <v>44665</v>
      </c>
      <c r="D1412" s="2" t="s">
        <v>2015</v>
      </c>
      <c r="E1412" t="s">
        <v>19</v>
      </c>
      <c r="F1412" s="14" t="s">
        <v>9</v>
      </c>
      <c r="G1412" s="14" t="s">
        <v>1120</v>
      </c>
      <c r="H1412" t="s">
        <v>49</v>
      </c>
      <c r="I1412" t="s">
        <v>540</v>
      </c>
    </row>
    <row r="1413" spans="1:13">
      <c r="A1413" t="s">
        <v>28</v>
      </c>
      <c r="B1413">
        <f ca="1">IF(OR(changes[[#This Row],[Type]]="Checklist",changes[[#This Row],[Type]]="checklist-flat"),1+IF(changes[[#This Row],[Type of change]] = "Edit",COUNTIFS($I$4:changes[[#This Row],[Name]],changes[[#This Row],[Name]], $E$4:changes[[#This Row],[Type of change]], "Edit")),B1412)</f>
        <v>2</v>
      </c>
      <c r="C1413" s="20">
        <v>44665</v>
      </c>
      <c r="D1413" s="2" t="s">
        <v>2015</v>
      </c>
      <c r="E1413" t="s">
        <v>19</v>
      </c>
      <c r="F1413" s="14" t="s">
        <v>9</v>
      </c>
      <c r="G1413" s="14" t="s">
        <v>1120</v>
      </c>
      <c r="H1413" t="s">
        <v>49</v>
      </c>
      <c r="I1413" t="s">
        <v>541</v>
      </c>
    </row>
    <row r="1414" spans="1:13">
      <c r="A1414" t="s">
        <v>28</v>
      </c>
      <c r="B1414">
        <f ca="1">IF(OR(changes[[#This Row],[Type]]="Checklist",changes[[#This Row],[Type]]="checklist-flat"),1+IF(changes[[#This Row],[Type of change]] = "Edit",COUNTIFS($I$4:changes[[#This Row],[Name]],changes[[#This Row],[Name]], $E$4:changes[[#This Row],[Type of change]], "Edit")),B1413)</f>
        <v>2</v>
      </c>
      <c r="C1414" s="20">
        <v>44665</v>
      </c>
      <c r="D1414" s="2" t="s">
        <v>2015</v>
      </c>
      <c r="E1414" t="s">
        <v>19</v>
      </c>
      <c r="F1414" s="14" t="s">
        <v>9</v>
      </c>
      <c r="G1414" s="14" t="s">
        <v>1120</v>
      </c>
      <c r="H1414" t="s">
        <v>49</v>
      </c>
      <c r="I1414" t="s">
        <v>542</v>
      </c>
    </row>
    <row r="1415" spans="1:13">
      <c r="A1415" t="s">
        <v>28</v>
      </c>
      <c r="B1415">
        <f ca="1">IF(OR(changes[[#This Row],[Type]]="Checklist",changes[[#This Row],[Type]]="checklist-flat"),1+IF(changes[[#This Row],[Type of change]] = "Edit",COUNTIFS($I$4:changes[[#This Row],[Name]],changes[[#This Row],[Name]], $E$4:changes[[#This Row],[Type of change]], "Edit")),B1414)</f>
        <v>2</v>
      </c>
      <c r="C1415" s="20">
        <v>44665</v>
      </c>
      <c r="D1415" s="2" t="s">
        <v>2015</v>
      </c>
      <c r="E1415" t="s">
        <v>19</v>
      </c>
      <c r="F1415" s="14" t="s">
        <v>9</v>
      </c>
      <c r="G1415" s="14" t="s">
        <v>1120</v>
      </c>
      <c r="H1415" t="s">
        <v>49</v>
      </c>
      <c r="I1415" t="s">
        <v>543</v>
      </c>
    </row>
    <row r="1416" spans="1:13">
      <c r="A1416" t="s">
        <v>28</v>
      </c>
      <c r="B1416">
        <f ca="1">IF(OR(changes[[#This Row],[Type]]="Checklist",changes[[#This Row],[Type]]="checklist-flat"),1+IF(changes[[#This Row],[Type of change]] = "Edit",COUNTIFS($I$4:changes[[#This Row],[Name]],changes[[#This Row],[Name]], $E$4:changes[[#This Row],[Type of change]], "Edit")),B1415)</f>
        <v>2</v>
      </c>
      <c r="C1416" s="20">
        <v>44665</v>
      </c>
      <c r="D1416" s="2" t="s">
        <v>2015</v>
      </c>
      <c r="E1416" t="s">
        <v>19</v>
      </c>
      <c r="F1416" s="14" t="s">
        <v>9</v>
      </c>
      <c r="G1416" s="14" t="s">
        <v>1120</v>
      </c>
      <c r="H1416" t="s">
        <v>49</v>
      </c>
      <c r="I1416" t="s">
        <v>544</v>
      </c>
    </row>
    <row r="1417" spans="1:13">
      <c r="A1417" t="s">
        <v>28</v>
      </c>
      <c r="B1417">
        <f ca="1">IF(OR(changes[[#This Row],[Type]]="Checklist",changes[[#This Row],[Type]]="checklist-flat"),1+IF(changes[[#This Row],[Type of change]] = "Edit",COUNTIFS($I$4:changes[[#This Row],[Name]],changes[[#This Row],[Name]], $E$4:changes[[#This Row],[Type of change]], "Edit")),B1416)</f>
        <v>2</v>
      </c>
      <c r="C1417" s="20">
        <v>44665</v>
      </c>
      <c r="D1417" s="2" t="s">
        <v>2015</v>
      </c>
      <c r="E1417" t="s">
        <v>19</v>
      </c>
      <c r="F1417" s="14" t="s">
        <v>9</v>
      </c>
      <c r="G1417" s="14" t="s">
        <v>1120</v>
      </c>
      <c r="H1417" t="s">
        <v>49</v>
      </c>
      <c r="I1417" t="s">
        <v>545</v>
      </c>
    </row>
    <row r="1418" spans="1:13">
      <c r="A1418" t="s">
        <v>28</v>
      </c>
      <c r="B1418">
        <f ca="1">IF(OR(changes[[#This Row],[Type]]="Checklist",changes[[#This Row],[Type]]="checklist-flat"),1+IF(changes[[#This Row],[Type of change]] = "Edit",COUNTIFS($I$4:changes[[#This Row],[Name]],changes[[#This Row],[Name]], $E$4:changes[[#This Row],[Type of change]], "Edit")),B1417)</f>
        <v>2</v>
      </c>
      <c r="C1418" s="20">
        <v>44665</v>
      </c>
      <c r="D1418" s="2" t="s">
        <v>2015</v>
      </c>
      <c r="E1418" t="s">
        <v>19</v>
      </c>
      <c r="F1418" s="14" t="s">
        <v>9</v>
      </c>
      <c r="G1418" s="14" t="s">
        <v>1120</v>
      </c>
      <c r="H1418" t="s">
        <v>49</v>
      </c>
      <c r="I1418" t="s">
        <v>546</v>
      </c>
    </row>
    <row r="1419" spans="1:13">
      <c r="A1419" t="s">
        <v>28</v>
      </c>
      <c r="B1419">
        <f ca="1">IF(OR(changes[[#This Row],[Type]]="Checklist",changes[[#This Row],[Type]]="checklist-flat"),1+IF(changes[[#This Row],[Type of change]] = "Edit",COUNTIFS($I$4:changes[[#This Row],[Name]],changes[[#This Row],[Name]], $E$4:changes[[#This Row],[Type of change]], "Edit")),B1418)</f>
        <v>2</v>
      </c>
      <c r="C1419" s="20">
        <v>44665</v>
      </c>
      <c r="D1419" s="2" t="s">
        <v>2015</v>
      </c>
      <c r="E1419" t="s">
        <v>19</v>
      </c>
      <c r="F1419" s="14" t="s">
        <v>9</v>
      </c>
      <c r="G1419" s="14" t="s">
        <v>1120</v>
      </c>
      <c r="H1419" t="s">
        <v>120</v>
      </c>
      <c r="I1419" t="s">
        <v>2060</v>
      </c>
      <c r="M1419" t="s">
        <v>2341</v>
      </c>
    </row>
    <row r="1420" spans="1:13">
      <c r="A1420" t="s">
        <v>28</v>
      </c>
      <c r="B1420">
        <f ca="1">IF(OR(changes[[#This Row],[Type]]="Checklist",changes[[#This Row],[Type]]="checklist-flat"),1+IF(changes[[#This Row],[Type of change]] = "Edit",COUNTIFS($I$4:changes[[#This Row],[Name]],changes[[#This Row],[Name]], $E$4:changes[[#This Row],[Type of change]], "Edit")),B1419)</f>
        <v>2</v>
      </c>
      <c r="C1420" s="20">
        <v>44665</v>
      </c>
      <c r="D1420" s="2" t="s">
        <v>2015</v>
      </c>
      <c r="E1420" t="s">
        <v>19</v>
      </c>
      <c r="F1420" s="14" t="s">
        <v>9</v>
      </c>
      <c r="G1420" s="14" t="s">
        <v>1120</v>
      </c>
      <c r="H1420" t="s">
        <v>49</v>
      </c>
      <c r="I1420" t="s">
        <v>540</v>
      </c>
    </row>
    <row r="1421" spans="1:13">
      <c r="A1421" t="s">
        <v>28</v>
      </c>
      <c r="B1421">
        <f ca="1">IF(OR(changes[[#This Row],[Type]]="Checklist",changes[[#This Row],[Type]]="checklist-flat"),1+IF(changes[[#This Row],[Type of change]] = "Edit",COUNTIFS($I$4:changes[[#This Row],[Name]],changes[[#This Row],[Name]], $E$4:changes[[#This Row],[Type of change]], "Edit")),B1420)</f>
        <v>2</v>
      </c>
      <c r="C1421" s="20">
        <v>44665</v>
      </c>
      <c r="D1421" s="2" t="s">
        <v>2015</v>
      </c>
      <c r="E1421" t="s">
        <v>19</v>
      </c>
      <c r="F1421" s="14" t="s">
        <v>9</v>
      </c>
      <c r="G1421" s="14" t="s">
        <v>1120</v>
      </c>
      <c r="H1421" t="s">
        <v>49</v>
      </c>
      <c r="I1421" t="s">
        <v>541</v>
      </c>
    </row>
    <row r="1422" spans="1:13">
      <c r="A1422" t="s">
        <v>28</v>
      </c>
      <c r="B1422">
        <f ca="1">IF(OR(changes[[#This Row],[Type]]="Checklist",changes[[#This Row],[Type]]="checklist-flat"),1+IF(changes[[#This Row],[Type of change]] = "Edit",COUNTIFS($I$4:changes[[#This Row],[Name]],changes[[#This Row],[Name]], $E$4:changes[[#This Row],[Type of change]], "Edit")),B1421)</f>
        <v>2</v>
      </c>
      <c r="C1422" s="20">
        <v>44665</v>
      </c>
      <c r="D1422" s="2" t="s">
        <v>2015</v>
      </c>
      <c r="E1422" t="s">
        <v>19</v>
      </c>
      <c r="F1422" s="14" t="s">
        <v>9</v>
      </c>
      <c r="G1422" s="14" t="s">
        <v>1120</v>
      </c>
      <c r="H1422" t="s">
        <v>49</v>
      </c>
      <c r="I1422" t="s">
        <v>542</v>
      </c>
    </row>
    <row r="1423" spans="1:13">
      <c r="A1423" t="s">
        <v>28</v>
      </c>
      <c r="B1423">
        <f ca="1">IF(OR(changes[[#This Row],[Type]]="Checklist",changes[[#This Row],[Type]]="checklist-flat"),1+IF(changes[[#This Row],[Type of change]] = "Edit",COUNTIFS($I$4:changes[[#This Row],[Name]],changes[[#This Row],[Name]], $E$4:changes[[#This Row],[Type of change]], "Edit")),B1422)</f>
        <v>2</v>
      </c>
      <c r="C1423" s="20">
        <v>44665</v>
      </c>
      <c r="D1423" s="2" t="s">
        <v>2015</v>
      </c>
      <c r="E1423" t="s">
        <v>19</v>
      </c>
      <c r="F1423" s="14" t="s">
        <v>9</v>
      </c>
      <c r="G1423" s="14" t="s">
        <v>1120</v>
      </c>
      <c r="H1423" t="s">
        <v>49</v>
      </c>
      <c r="I1423" t="s">
        <v>543</v>
      </c>
    </row>
    <row r="1424" spans="1:13">
      <c r="A1424" t="s">
        <v>28</v>
      </c>
      <c r="B1424">
        <f ca="1">IF(OR(changes[[#This Row],[Type]]="Checklist",changes[[#This Row],[Type]]="checklist-flat"),1+IF(changes[[#This Row],[Type of change]] = "Edit",COUNTIFS($I$4:changes[[#This Row],[Name]],changes[[#This Row],[Name]], $E$4:changes[[#This Row],[Type of change]], "Edit")),B1423)</f>
        <v>2</v>
      </c>
      <c r="C1424" s="20">
        <v>44665</v>
      </c>
      <c r="D1424" s="2" t="s">
        <v>2015</v>
      </c>
      <c r="E1424" t="s">
        <v>19</v>
      </c>
      <c r="F1424" s="14" t="s">
        <v>9</v>
      </c>
      <c r="G1424" s="14" t="s">
        <v>1120</v>
      </c>
      <c r="H1424" t="s">
        <v>49</v>
      </c>
      <c r="I1424" t="s">
        <v>544</v>
      </c>
    </row>
    <row r="1425" spans="1:13">
      <c r="A1425" t="s">
        <v>28</v>
      </c>
      <c r="B1425">
        <f ca="1">IF(OR(changes[[#This Row],[Type]]="Checklist",changes[[#This Row],[Type]]="checklist-flat"),1+IF(changes[[#This Row],[Type of change]] = "Edit",COUNTIFS($I$4:changes[[#This Row],[Name]],changes[[#This Row],[Name]], $E$4:changes[[#This Row],[Type of change]], "Edit")),B1424)</f>
        <v>2</v>
      </c>
      <c r="C1425" s="20">
        <v>44665</v>
      </c>
      <c r="D1425" s="2" t="s">
        <v>2015</v>
      </c>
      <c r="E1425" t="s">
        <v>19</v>
      </c>
      <c r="F1425" s="14" t="s">
        <v>9</v>
      </c>
      <c r="G1425" s="14" t="s">
        <v>1120</v>
      </c>
      <c r="H1425" t="s">
        <v>49</v>
      </c>
      <c r="I1425" t="s">
        <v>545</v>
      </c>
    </row>
    <row r="1426" spans="1:13">
      <c r="A1426" t="s">
        <v>28</v>
      </c>
      <c r="B1426">
        <f ca="1">IF(OR(changes[[#This Row],[Type]]="Checklist",changes[[#This Row],[Type]]="checklist-flat"),1+IF(changes[[#This Row],[Type of change]] = "Edit",COUNTIFS($I$4:changes[[#This Row],[Name]],changes[[#This Row],[Name]], $E$4:changes[[#This Row],[Type of change]], "Edit")),B1425)</f>
        <v>2</v>
      </c>
      <c r="C1426" s="20">
        <v>44665</v>
      </c>
      <c r="D1426" s="2" t="s">
        <v>2015</v>
      </c>
      <c r="E1426" t="s">
        <v>19</v>
      </c>
      <c r="F1426" s="14" t="s">
        <v>9</v>
      </c>
      <c r="G1426" s="14" t="s">
        <v>1120</v>
      </c>
      <c r="H1426" t="s">
        <v>49</v>
      </c>
      <c r="I1426" t="s">
        <v>546</v>
      </c>
      <c r="K1426" s="3"/>
      <c r="M1426" s="3"/>
    </row>
    <row r="1427" spans="1:13">
      <c r="A1427" t="s">
        <v>28</v>
      </c>
      <c r="B1427">
        <f ca="1">IF(OR(changes[[#This Row],[Type]]="Checklist",changes[[#This Row],[Type]]="checklist-flat"),1+IF(changes[[#This Row],[Type of change]] = "Edit",COUNTIFS($I$4:changes[[#This Row],[Name]],changes[[#This Row],[Name]], $E$4:changes[[#This Row],[Type of change]], "Edit")),B1426)</f>
        <v>1</v>
      </c>
      <c r="C1427" s="20">
        <v>44665</v>
      </c>
      <c r="D1427" s="2" t="s">
        <v>2015</v>
      </c>
      <c r="E1427" t="s">
        <v>27</v>
      </c>
      <c r="F1427" s="14" t="s">
        <v>9</v>
      </c>
      <c r="G1427" t="s">
        <v>1150</v>
      </c>
      <c r="H1427" t="s">
        <v>48</v>
      </c>
      <c r="I1427" t="s">
        <v>1150</v>
      </c>
    </row>
    <row r="1428" spans="1:13">
      <c r="A1428" t="s">
        <v>28</v>
      </c>
      <c r="B1428">
        <f ca="1">IF(OR(changes[[#This Row],[Type]]="Checklist",changes[[#This Row],[Type]]="checklist-flat"),1+IF(changes[[#This Row],[Type of change]] = "Edit",COUNTIFS($I$4:changes[[#This Row],[Name]],changes[[#This Row],[Name]], $E$4:changes[[#This Row],[Type of change]], "Edit")),B1427)</f>
        <v>1</v>
      </c>
      <c r="C1428" s="20">
        <v>44665</v>
      </c>
      <c r="D1428" s="2" t="s">
        <v>2015</v>
      </c>
      <c r="E1428" t="s">
        <v>27</v>
      </c>
      <c r="F1428" s="14" t="s">
        <v>9</v>
      </c>
      <c r="G1428" t="s">
        <v>1150</v>
      </c>
      <c r="H1428" t="s">
        <v>49</v>
      </c>
      <c r="I1428" t="s">
        <v>540</v>
      </c>
    </row>
    <row r="1429" spans="1:13">
      <c r="A1429" t="s">
        <v>28</v>
      </c>
      <c r="B1429">
        <f ca="1">IF(OR(changes[[#This Row],[Type]]="Checklist",changes[[#This Row],[Type]]="checklist-flat"),1+IF(changes[[#This Row],[Type of change]] = "Edit",COUNTIFS($I$4:changes[[#This Row],[Name]],changes[[#This Row],[Name]], $E$4:changes[[#This Row],[Type of change]], "Edit")),B1428)</f>
        <v>1</v>
      </c>
      <c r="C1429" s="20">
        <v>44665</v>
      </c>
      <c r="D1429" s="2" t="s">
        <v>2015</v>
      </c>
      <c r="E1429" t="s">
        <v>27</v>
      </c>
      <c r="F1429" s="14" t="s">
        <v>9</v>
      </c>
      <c r="G1429" t="s">
        <v>1150</v>
      </c>
      <c r="H1429" t="s">
        <v>49</v>
      </c>
      <c r="I1429" t="s">
        <v>541</v>
      </c>
    </row>
    <row r="1430" spans="1:13">
      <c r="A1430" t="s">
        <v>28</v>
      </c>
      <c r="B1430">
        <f ca="1">IF(OR(changes[[#This Row],[Type]]="Checklist",changes[[#This Row],[Type]]="checklist-flat"),1+IF(changes[[#This Row],[Type of change]] = "Edit",COUNTIFS($I$4:changes[[#This Row],[Name]],changes[[#This Row],[Name]], $E$4:changes[[#This Row],[Type of change]], "Edit")),B1429)</f>
        <v>1</v>
      </c>
      <c r="C1430" s="20">
        <v>44665</v>
      </c>
      <c r="D1430" s="2" t="s">
        <v>2015</v>
      </c>
      <c r="E1430" t="s">
        <v>27</v>
      </c>
      <c r="F1430" s="14" t="s">
        <v>9</v>
      </c>
      <c r="G1430" t="s">
        <v>1150</v>
      </c>
      <c r="H1430" t="s">
        <v>49</v>
      </c>
      <c r="I1430" t="s">
        <v>542</v>
      </c>
    </row>
    <row r="1431" spans="1:13">
      <c r="A1431" t="s">
        <v>28</v>
      </c>
      <c r="B1431">
        <f ca="1">IF(OR(changes[[#This Row],[Type]]="Checklist",changes[[#This Row],[Type]]="checklist-flat"),1+IF(changes[[#This Row],[Type of change]] = "Edit",COUNTIFS($I$4:changes[[#This Row],[Name]],changes[[#This Row],[Name]], $E$4:changes[[#This Row],[Type of change]], "Edit")),B1430)</f>
        <v>1</v>
      </c>
      <c r="C1431" s="20">
        <v>44665</v>
      </c>
      <c r="D1431" s="2" t="s">
        <v>2015</v>
      </c>
      <c r="E1431" t="s">
        <v>27</v>
      </c>
      <c r="F1431" s="14" t="s">
        <v>9</v>
      </c>
      <c r="G1431" t="s">
        <v>1150</v>
      </c>
      <c r="H1431" t="s">
        <v>49</v>
      </c>
      <c r="I1431" t="s">
        <v>543</v>
      </c>
    </row>
    <row r="1432" spans="1:13">
      <c r="A1432" t="s">
        <v>28</v>
      </c>
      <c r="B1432">
        <f ca="1">IF(OR(changes[[#This Row],[Type]]="Checklist",changes[[#This Row],[Type]]="checklist-flat"),1+IF(changes[[#This Row],[Type of change]] = "Edit",COUNTIFS($I$4:changes[[#This Row],[Name]],changes[[#This Row],[Name]], $E$4:changes[[#This Row],[Type of change]], "Edit")),B1431)</f>
        <v>1</v>
      </c>
      <c r="C1432" s="20">
        <v>44665</v>
      </c>
      <c r="D1432" s="2" t="s">
        <v>2015</v>
      </c>
      <c r="E1432" t="s">
        <v>27</v>
      </c>
      <c r="F1432" s="14" t="s">
        <v>9</v>
      </c>
      <c r="G1432" t="s">
        <v>1150</v>
      </c>
      <c r="H1432" t="s">
        <v>49</v>
      </c>
      <c r="I1432" t="s">
        <v>544</v>
      </c>
    </row>
    <row r="1433" spans="1:13">
      <c r="A1433" t="s">
        <v>28</v>
      </c>
      <c r="B1433">
        <f ca="1">IF(OR(changes[[#This Row],[Type]]="Checklist",changes[[#This Row],[Type]]="checklist-flat"),1+IF(changes[[#This Row],[Type of change]] = "Edit",COUNTIFS($I$4:changes[[#This Row],[Name]],changes[[#This Row],[Name]], $E$4:changes[[#This Row],[Type of change]], "Edit")),B1432)</f>
        <v>1</v>
      </c>
      <c r="C1433" s="20">
        <v>44665</v>
      </c>
      <c r="D1433" s="2" t="s">
        <v>2015</v>
      </c>
      <c r="E1433" t="s">
        <v>27</v>
      </c>
      <c r="F1433" s="14" t="s">
        <v>9</v>
      </c>
      <c r="G1433" t="s">
        <v>1150</v>
      </c>
      <c r="H1433" t="s">
        <v>49</v>
      </c>
      <c r="I1433" t="s">
        <v>545</v>
      </c>
    </row>
    <row r="1434" spans="1:13">
      <c r="A1434" t="s">
        <v>28</v>
      </c>
      <c r="B1434">
        <f ca="1">IF(OR(changes[[#This Row],[Type]]="Checklist",changes[[#This Row],[Type]]="checklist-flat"),1+IF(changes[[#This Row],[Type of change]] = "Edit",COUNTIFS($I$4:changes[[#This Row],[Name]],changes[[#This Row],[Name]], $E$4:changes[[#This Row],[Type of change]], "Edit")),B1433)</f>
        <v>1</v>
      </c>
      <c r="C1434" s="20">
        <v>44665</v>
      </c>
      <c r="D1434" s="2" t="s">
        <v>2015</v>
      </c>
      <c r="E1434" t="s">
        <v>27</v>
      </c>
      <c r="F1434" s="14" t="s">
        <v>9</v>
      </c>
      <c r="G1434" t="s">
        <v>1150</v>
      </c>
      <c r="H1434" t="s">
        <v>49</v>
      </c>
      <c r="I1434" t="s">
        <v>546</v>
      </c>
    </row>
    <row r="1435" spans="1:13">
      <c r="A1435" t="s">
        <v>28</v>
      </c>
      <c r="B1435">
        <f ca="1">IF(OR(changes[[#This Row],[Type]]="Checklist",changes[[#This Row],[Type]]="checklist-flat"),1+IF(changes[[#This Row],[Type of change]] = "Edit",COUNTIFS($I$4:changes[[#This Row],[Name]],changes[[#This Row],[Name]], $E$4:changes[[#This Row],[Type of change]], "Edit")),B1434)</f>
        <v>1</v>
      </c>
      <c r="C1435" s="20">
        <v>44665</v>
      </c>
      <c r="D1435" s="2" t="s">
        <v>2015</v>
      </c>
      <c r="E1435" t="s">
        <v>27</v>
      </c>
      <c r="F1435" s="14" t="s">
        <v>9</v>
      </c>
      <c r="G1435" t="s">
        <v>1151</v>
      </c>
      <c r="H1435" t="s">
        <v>48</v>
      </c>
      <c r="I1435" t="s">
        <v>1151</v>
      </c>
    </row>
    <row r="1436" spans="1:13">
      <c r="A1436" t="s">
        <v>28</v>
      </c>
      <c r="B1436">
        <f ca="1">IF(OR(changes[[#This Row],[Type]]="Checklist",changes[[#This Row],[Type]]="checklist-flat"),1+IF(changes[[#This Row],[Type of change]] = "Edit",COUNTIFS($I$4:changes[[#This Row],[Name]],changes[[#This Row],[Name]], $E$4:changes[[#This Row],[Type of change]], "Edit")),B1435)</f>
        <v>1</v>
      </c>
      <c r="C1436" s="20">
        <v>44665</v>
      </c>
      <c r="D1436" s="2" t="s">
        <v>2015</v>
      </c>
      <c r="E1436" t="s">
        <v>27</v>
      </c>
      <c r="F1436" s="14" t="s">
        <v>9</v>
      </c>
      <c r="G1436" t="s">
        <v>1151</v>
      </c>
      <c r="H1436" t="s">
        <v>49</v>
      </c>
      <c r="I1436" t="s">
        <v>540</v>
      </c>
    </row>
    <row r="1437" spans="1:13">
      <c r="A1437" t="s">
        <v>28</v>
      </c>
      <c r="B1437">
        <f ca="1">IF(OR(changes[[#This Row],[Type]]="Checklist",changes[[#This Row],[Type]]="checklist-flat"),1+IF(changes[[#This Row],[Type of change]] = "Edit",COUNTIFS($I$4:changes[[#This Row],[Name]],changes[[#This Row],[Name]], $E$4:changes[[#This Row],[Type of change]], "Edit")),B1436)</f>
        <v>1</v>
      </c>
      <c r="C1437" s="20">
        <v>44665</v>
      </c>
      <c r="D1437" s="2" t="s">
        <v>2015</v>
      </c>
      <c r="E1437" t="s">
        <v>27</v>
      </c>
      <c r="F1437" s="14" t="s">
        <v>9</v>
      </c>
      <c r="G1437" t="s">
        <v>1151</v>
      </c>
      <c r="H1437" t="s">
        <v>49</v>
      </c>
      <c r="I1437" t="s">
        <v>541</v>
      </c>
    </row>
    <row r="1438" spans="1:13">
      <c r="A1438" t="s">
        <v>28</v>
      </c>
      <c r="B1438">
        <f ca="1">IF(OR(changes[[#This Row],[Type]]="Checklist",changes[[#This Row],[Type]]="checklist-flat"),1+IF(changes[[#This Row],[Type of change]] = "Edit",COUNTIFS($I$4:changes[[#This Row],[Name]],changes[[#This Row],[Name]], $E$4:changes[[#This Row],[Type of change]], "Edit")),B1437)</f>
        <v>1</v>
      </c>
      <c r="C1438" s="20">
        <v>44665</v>
      </c>
      <c r="D1438" s="2" t="s">
        <v>2015</v>
      </c>
      <c r="E1438" t="s">
        <v>27</v>
      </c>
      <c r="F1438" s="14" t="s">
        <v>9</v>
      </c>
      <c r="G1438" t="s">
        <v>1151</v>
      </c>
      <c r="H1438" t="s">
        <v>49</v>
      </c>
      <c r="I1438" t="s">
        <v>542</v>
      </c>
    </row>
    <row r="1439" spans="1:13">
      <c r="A1439" t="s">
        <v>28</v>
      </c>
      <c r="B1439">
        <f ca="1">IF(OR(changes[[#This Row],[Type]]="Checklist",changes[[#This Row],[Type]]="checklist-flat"),1+IF(changes[[#This Row],[Type of change]] = "Edit",COUNTIFS($I$4:changes[[#This Row],[Name]],changes[[#This Row],[Name]], $E$4:changes[[#This Row],[Type of change]], "Edit")),B1438)</f>
        <v>1</v>
      </c>
      <c r="C1439" s="20">
        <v>44665</v>
      </c>
      <c r="D1439" s="2" t="s">
        <v>2015</v>
      </c>
      <c r="E1439" t="s">
        <v>27</v>
      </c>
      <c r="F1439" s="14" t="s">
        <v>9</v>
      </c>
      <c r="G1439" t="s">
        <v>1151</v>
      </c>
      <c r="H1439" t="s">
        <v>49</v>
      </c>
      <c r="I1439" t="s">
        <v>543</v>
      </c>
    </row>
    <row r="1440" spans="1:13">
      <c r="A1440" t="s">
        <v>28</v>
      </c>
      <c r="B1440">
        <f ca="1">IF(OR(changes[[#This Row],[Type]]="Checklist",changes[[#This Row],[Type]]="checklist-flat"),1+IF(changes[[#This Row],[Type of change]] = "Edit",COUNTIFS($I$4:changes[[#This Row],[Name]],changes[[#This Row],[Name]], $E$4:changes[[#This Row],[Type of change]], "Edit")),B1439)</f>
        <v>1</v>
      </c>
      <c r="C1440" s="20">
        <v>44665</v>
      </c>
      <c r="D1440" s="2" t="s">
        <v>2015</v>
      </c>
      <c r="E1440" t="s">
        <v>27</v>
      </c>
      <c r="F1440" s="14" t="s">
        <v>9</v>
      </c>
      <c r="G1440" t="s">
        <v>1151</v>
      </c>
      <c r="H1440" t="s">
        <v>49</v>
      </c>
      <c r="I1440" t="s">
        <v>544</v>
      </c>
    </row>
    <row r="1441" spans="1:13">
      <c r="A1441" t="s">
        <v>28</v>
      </c>
      <c r="B1441">
        <f ca="1">IF(OR(changes[[#This Row],[Type]]="Checklist",changes[[#This Row],[Type]]="checklist-flat"),1+IF(changes[[#This Row],[Type of change]] = "Edit",COUNTIFS($I$4:changes[[#This Row],[Name]],changes[[#This Row],[Name]], $E$4:changes[[#This Row],[Type of change]], "Edit")),B1440)</f>
        <v>1</v>
      </c>
      <c r="C1441" s="20">
        <v>44665</v>
      </c>
      <c r="D1441" s="2" t="s">
        <v>2015</v>
      </c>
      <c r="E1441" t="s">
        <v>27</v>
      </c>
      <c r="F1441" s="14" t="s">
        <v>9</v>
      </c>
      <c r="G1441" t="s">
        <v>1151</v>
      </c>
      <c r="H1441" t="s">
        <v>49</v>
      </c>
      <c r="I1441" t="s">
        <v>545</v>
      </c>
    </row>
    <row r="1442" spans="1:13">
      <c r="A1442" t="s">
        <v>28</v>
      </c>
      <c r="B1442">
        <f ca="1">IF(OR(changes[[#This Row],[Type]]="Checklist",changes[[#This Row],[Type]]="checklist-flat"),1+IF(changes[[#This Row],[Type of change]] = "Edit",COUNTIFS($I$4:changes[[#This Row],[Name]],changes[[#This Row],[Name]], $E$4:changes[[#This Row],[Type of change]], "Edit")),B1441)</f>
        <v>1</v>
      </c>
      <c r="C1442" s="20">
        <v>44665</v>
      </c>
      <c r="D1442" s="2" t="s">
        <v>2015</v>
      </c>
      <c r="E1442" t="s">
        <v>27</v>
      </c>
      <c r="F1442" s="14" t="s">
        <v>9</v>
      </c>
      <c r="G1442" t="s">
        <v>1151</v>
      </c>
      <c r="H1442" t="s">
        <v>49</v>
      </c>
      <c r="I1442" t="s">
        <v>546</v>
      </c>
      <c r="K1442" s="3"/>
      <c r="M1442" s="3"/>
    </row>
    <row r="1443" spans="1:13">
      <c r="A1443" t="s">
        <v>28</v>
      </c>
      <c r="B1443">
        <f ca="1">IF(OR(changes[[#This Row],[Type]]="Checklist",changes[[#This Row],[Type]]="checklist-flat"),1+IF(changes[[#This Row],[Type of change]] = "Edit",COUNTIFS($I$4:changes[[#This Row],[Name]],changes[[#This Row],[Name]], $E$4:changes[[#This Row],[Type of change]], "Edit")),B1442)</f>
        <v>2</v>
      </c>
      <c r="C1443" s="20">
        <v>44665</v>
      </c>
      <c r="D1443" s="2" t="s">
        <v>2333</v>
      </c>
      <c r="E1443" t="s">
        <v>15</v>
      </c>
      <c r="F1443" s="14" t="s">
        <v>9</v>
      </c>
      <c r="G1443" t="s">
        <v>644</v>
      </c>
      <c r="H1443" t="s">
        <v>48</v>
      </c>
      <c r="I1443" t="s">
        <v>644</v>
      </c>
      <c r="K1443" s="3"/>
      <c r="M1443" s="3"/>
    </row>
    <row r="1444" spans="1:13">
      <c r="A1444" t="s">
        <v>28</v>
      </c>
      <c r="B1444">
        <f ca="1">IF(OR(changes[[#This Row],[Type]]="Checklist",changes[[#This Row],[Type]]="checklist-flat"),1+IF(changes[[#This Row],[Type of change]] = "Edit",COUNTIFS($I$4:changes[[#This Row],[Name]],changes[[#This Row],[Name]], $E$4:changes[[#This Row],[Type of change]], "Edit")),B1443)</f>
        <v>2</v>
      </c>
      <c r="C1444" s="20">
        <v>44665</v>
      </c>
      <c r="D1444" s="2" t="s">
        <v>2333</v>
      </c>
      <c r="E1444" t="s">
        <v>15</v>
      </c>
      <c r="F1444" s="14" t="s">
        <v>9</v>
      </c>
      <c r="G1444" t="s">
        <v>644</v>
      </c>
      <c r="H1444" t="s">
        <v>49</v>
      </c>
      <c r="I1444" t="s">
        <v>645</v>
      </c>
      <c r="K1444" s="3"/>
      <c r="M1444" s="3"/>
    </row>
    <row r="1445" spans="1:13">
      <c r="A1445" t="s">
        <v>28</v>
      </c>
      <c r="B1445">
        <f ca="1">IF(OR(changes[[#This Row],[Type]]="Checklist",changes[[#This Row],[Type]]="checklist-flat"),1+IF(changes[[#This Row],[Type of change]] = "Edit",COUNTIFS($I$4:changes[[#This Row],[Name]],changes[[#This Row],[Name]], $E$4:changes[[#This Row],[Type of change]], "Edit")),B1444)</f>
        <v>2</v>
      </c>
      <c r="C1445" s="20">
        <v>44665</v>
      </c>
      <c r="D1445" s="2" t="s">
        <v>2333</v>
      </c>
      <c r="E1445" t="s">
        <v>15</v>
      </c>
      <c r="F1445" s="14" t="s">
        <v>9</v>
      </c>
      <c r="G1445" t="s">
        <v>644</v>
      </c>
      <c r="H1445" t="s">
        <v>49</v>
      </c>
      <c r="I1445" t="s">
        <v>646</v>
      </c>
      <c r="K1445" s="3"/>
      <c r="M1445" s="3"/>
    </row>
    <row r="1446" spans="1:13">
      <c r="A1446" t="s">
        <v>28</v>
      </c>
      <c r="B1446">
        <f ca="1">IF(OR(changes[[#This Row],[Type]]="Checklist",changes[[#This Row],[Type]]="checklist-flat"),1+IF(changes[[#This Row],[Type of change]] = "Edit",COUNTIFS($I$4:changes[[#This Row],[Name]],changes[[#This Row],[Name]], $E$4:changes[[#This Row],[Type of change]], "Edit")),B1445)</f>
        <v>2</v>
      </c>
      <c r="C1446" s="20">
        <v>44665</v>
      </c>
      <c r="D1446" s="2" t="s">
        <v>2333</v>
      </c>
      <c r="E1446" t="s">
        <v>15</v>
      </c>
      <c r="F1446" s="14" t="s">
        <v>9</v>
      </c>
      <c r="G1446" t="s">
        <v>644</v>
      </c>
      <c r="H1446" t="s">
        <v>49</v>
      </c>
      <c r="I1446" t="s">
        <v>647</v>
      </c>
      <c r="K1446" s="3"/>
      <c r="M1446" s="3" t="s">
        <v>2342</v>
      </c>
    </row>
    <row r="1447" spans="1:13">
      <c r="A1447" t="s">
        <v>28</v>
      </c>
      <c r="B1447">
        <f ca="1">IF(OR(changes[[#This Row],[Type]]="Checklist",changes[[#This Row],[Type]]="checklist-flat"),1+IF(changes[[#This Row],[Type of change]] = "Edit",COUNTIFS($I$4:changes[[#This Row],[Name]],changes[[#This Row],[Name]], $E$4:changes[[#This Row],[Type of change]], "Edit")),B1446)</f>
        <v>2</v>
      </c>
      <c r="C1447" s="20">
        <v>44665</v>
      </c>
      <c r="D1447" s="2" t="s">
        <v>2333</v>
      </c>
      <c r="E1447" t="s">
        <v>15</v>
      </c>
      <c r="F1447" s="14" t="s">
        <v>9</v>
      </c>
      <c r="G1447" t="s">
        <v>644</v>
      </c>
      <c r="H1447" t="s">
        <v>49</v>
      </c>
      <c r="I1447" t="s">
        <v>648</v>
      </c>
      <c r="K1447" s="3"/>
      <c r="M1447" s="3"/>
    </row>
    <row r="1448" spans="1:13">
      <c r="A1448" t="s">
        <v>28</v>
      </c>
      <c r="B1448">
        <f ca="1">IF(OR(changes[[#This Row],[Type]]="Checklist",changes[[#This Row],[Type]]="checklist-flat"),1+IF(changes[[#This Row],[Type of change]] = "Edit",COUNTIFS($I$4:changes[[#This Row],[Name]],changes[[#This Row],[Name]], $E$4:changes[[#This Row],[Type of change]], "Edit")),B1447)</f>
        <v>2</v>
      </c>
      <c r="C1448" s="20">
        <v>44665</v>
      </c>
      <c r="D1448" s="2" t="s">
        <v>2333</v>
      </c>
      <c r="E1448" t="s">
        <v>15</v>
      </c>
      <c r="F1448" s="14" t="s">
        <v>9</v>
      </c>
      <c r="G1448" t="s">
        <v>644</v>
      </c>
      <c r="H1448" t="s">
        <v>49</v>
      </c>
      <c r="I1448" t="s">
        <v>649</v>
      </c>
      <c r="K1448" s="3"/>
      <c r="M1448" s="3"/>
    </row>
    <row r="1449" spans="1:13">
      <c r="A1449" t="s">
        <v>28</v>
      </c>
      <c r="B1449">
        <f ca="1">IF(OR(changes[[#This Row],[Type]]="Checklist",changes[[#This Row],[Type]]="checklist-flat"),1+IF(changes[[#This Row],[Type of change]] = "Edit",COUNTIFS($I$4:changes[[#This Row],[Name]],changes[[#This Row],[Name]], $E$4:changes[[#This Row],[Type of change]], "Edit")),B1448)</f>
        <v>2</v>
      </c>
      <c r="C1449" s="20">
        <v>44665</v>
      </c>
      <c r="D1449" s="2" t="s">
        <v>2333</v>
      </c>
      <c r="E1449" t="s">
        <v>15</v>
      </c>
      <c r="F1449" s="14" t="s">
        <v>9</v>
      </c>
      <c r="G1449" t="s">
        <v>644</v>
      </c>
      <c r="H1449" t="s">
        <v>49</v>
      </c>
      <c r="I1449" t="s">
        <v>650</v>
      </c>
      <c r="K1449" s="3"/>
      <c r="M1449" s="3"/>
    </row>
    <row r="1450" spans="1:13">
      <c r="A1450" t="s">
        <v>28</v>
      </c>
      <c r="B1450">
        <f ca="1">IF(OR(changes[[#This Row],[Type]]="Checklist",changes[[#This Row],[Type]]="checklist-flat"),1+IF(changes[[#This Row],[Type of change]] = "Edit",COUNTIFS($I$4:changes[[#This Row],[Name]],changes[[#This Row],[Name]], $E$4:changes[[#This Row],[Type of change]], "Edit")),B1449)</f>
        <v>2</v>
      </c>
      <c r="C1450" s="20">
        <v>44671</v>
      </c>
      <c r="D1450" s="2" t="s">
        <v>2333</v>
      </c>
      <c r="E1450" t="s">
        <v>15</v>
      </c>
      <c r="F1450" s="14" t="s">
        <v>9</v>
      </c>
      <c r="G1450" s="47" t="s">
        <v>1152</v>
      </c>
      <c r="H1450" s="47" t="s">
        <v>119</v>
      </c>
      <c r="I1450" s="47" t="s">
        <v>1152</v>
      </c>
      <c r="K1450" s="3"/>
      <c r="M1450" s="3" t="s">
        <v>2343</v>
      </c>
    </row>
    <row r="1451" spans="1:13">
      <c r="A1451" t="s">
        <v>28</v>
      </c>
      <c r="B1451">
        <f ca="1">IF(OR(changes[[#This Row],[Type]]="Checklist",changes[[#This Row],[Type]]="checklist-flat"),1+IF(changes[[#This Row],[Type of change]] = "Edit",COUNTIFS($I$4:changes[[#This Row],[Name]],changes[[#This Row],[Name]], $E$4:changes[[#This Row],[Type of change]], "Edit")),B1450)</f>
        <v>2</v>
      </c>
      <c r="C1451" s="20">
        <v>44671</v>
      </c>
      <c r="D1451" s="2" t="s">
        <v>2333</v>
      </c>
      <c r="E1451" t="s">
        <v>15</v>
      </c>
      <c r="F1451" s="14" t="s">
        <v>9</v>
      </c>
      <c r="G1451" s="47" t="s">
        <v>1152</v>
      </c>
      <c r="H1451" s="47" t="s">
        <v>120</v>
      </c>
      <c r="I1451" s="47" t="s">
        <v>491</v>
      </c>
      <c r="K1451" s="3"/>
      <c r="M1451" s="3"/>
    </row>
    <row r="1452" spans="1:13">
      <c r="A1452" t="s">
        <v>28</v>
      </c>
      <c r="B1452">
        <f ca="1">IF(OR(changes[[#This Row],[Type]]="Checklist",changes[[#This Row],[Type]]="checklist-flat"),1+IF(changes[[#This Row],[Type of change]] = "Edit",COUNTIFS($I$4:changes[[#This Row],[Name]],changes[[#This Row],[Name]], $E$4:changes[[#This Row],[Type of change]], "Edit")),B1451)</f>
        <v>2</v>
      </c>
      <c r="C1452" s="20">
        <v>44671</v>
      </c>
      <c r="D1452" s="2" t="s">
        <v>2333</v>
      </c>
      <c r="E1452" t="s">
        <v>15</v>
      </c>
      <c r="F1452" s="14" t="s">
        <v>9</v>
      </c>
      <c r="G1452" s="47" t="s">
        <v>1152</v>
      </c>
      <c r="H1452" s="47" t="s">
        <v>49</v>
      </c>
      <c r="I1452" s="47" t="s">
        <v>502</v>
      </c>
      <c r="K1452" s="3"/>
      <c r="M1452" s="3"/>
    </row>
    <row r="1453" spans="1:13">
      <c r="A1453" t="s">
        <v>28</v>
      </c>
      <c r="B1453">
        <f ca="1">IF(OR(changes[[#This Row],[Type]]="Checklist",changes[[#This Row],[Type]]="checklist-flat"),1+IF(changes[[#This Row],[Type of change]] = "Edit",COUNTIFS($I$4:changes[[#This Row],[Name]],changes[[#This Row],[Name]], $E$4:changes[[#This Row],[Type of change]], "Edit")),B1452)</f>
        <v>2</v>
      </c>
      <c r="C1453" s="20">
        <v>44671</v>
      </c>
      <c r="D1453" s="2" t="s">
        <v>2333</v>
      </c>
      <c r="E1453" t="s">
        <v>15</v>
      </c>
      <c r="F1453" s="14" t="s">
        <v>9</v>
      </c>
      <c r="G1453" s="47" t="s">
        <v>1152</v>
      </c>
      <c r="H1453" s="47" t="s">
        <v>49</v>
      </c>
      <c r="I1453" s="47" t="s">
        <v>503</v>
      </c>
      <c r="K1453" s="3"/>
      <c r="M1453" s="3"/>
    </row>
    <row r="1454" spans="1:13">
      <c r="A1454" t="s">
        <v>28</v>
      </c>
      <c r="B1454">
        <f ca="1">IF(OR(changes[[#This Row],[Type]]="Checklist",changes[[#This Row],[Type]]="checklist-flat"),1+IF(changes[[#This Row],[Type of change]] = "Edit",COUNTIFS($I$4:changes[[#This Row],[Name]],changes[[#This Row],[Name]], $E$4:changes[[#This Row],[Type of change]], "Edit")),B1453)</f>
        <v>2</v>
      </c>
      <c r="C1454" s="20">
        <v>44671</v>
      </c>
      <c r="D1454" s="2" t="s">
        <v>2333</v>
      </c>
      <c r="E1454" t="s">
        <v>15</v>
      </c>
      <c r="F1454" s="14" t="s">
        <v>9</v>
      </c>
      <c r="G1454" s="47" t="s">
        <v>1152</v>
      </c>
      <c r="H1454" s="47" t="s">
        <v>120</v>
      </c>
      <c r="I1454" s="47" t="s">
        <v>504</v>
      </c>
      <c r="K1454" s="3"/>
      <c r="M1454" s="3"/>
    </row>
    <row r="1455" spans="1:13">
      <c r="A1455" t="s">
        <v>28</v>
      </c>
      <c r="B1455">
        <f ca="1">IF(OR(changes[[#This Row],[Type]]="Checklist",changes[[#This Row],[Type]]="checklist-flat"),1+IF(changes[[#This Row],[Type of change]] = "Edit",COUNTIFS($I$4:changes[[#This Row],[Name]],changes[[#This Row],[Name]], $E$4:changes[[#This Row],[Type of change]], "Edit")),B1454)</f>
        <v>2</v>
      </c>
      <c r="C1455" s="20">
        <v>44671</v>
      </c>
      <c r="D1455" s="2" t="s">
        <v>2333</v>
      </c>
      <c r="E1455" t="s">
        <v>15</v>
      </c>
      <c r="F1455" s="14" t="s">
        <v>9</v>
      </c>
      <c r="G1455" s="47" t="s">
        <v>1152</v>
      </c>
      <c r="H1455" s="47" t="s">
        <v>49</v>
      </c>
      <c r="I1455" s="47" t="s">
        <v>1153</v>
      </c>
      <c r="K1455" s="3"/>
      <c r="M1455" s="3"/>
    </row>
    <row r="1456" spans="1:13">
      <c r="A1456" t="s">
        <v>28</v>
      </c>
      <c r="B1456">
        <f ca="1">IF(OR(changes[[#This Row],[Type]]="Checklist",changes[[#This Row],[Type]]="checklist-flat"),1+IF(changes[[#This Row],[Type of change]] = "Edit",COUNTIFS($I$4:changes[[#This Row],[Name]],changes[[#This Row],[Name]], $E$4:changes[[#This Row],[Type of change]], "Edit")),B1455)</f>
        <v>2</v>
      </c>
      <c r="C1456" s="20">
        <v>44671</v>
      </c>
      <c r="D1456" s="2" t="s">
        <v>2333</v>
      </c>
      <c r="E1456" t="s">
        <v>15</v>
      </c>
      <c r="F1456" s="14" t="s">
        <v>9</v>
      </c>
      <c r="G1456" s="47" t="s">
        <v>1152</v>
      </c>
      <c r="H1456" s="47" t="s">
        <v>49</v>
      </c>
      <c r="I1456" s="47" t="s">
        <v>1154</v>
      </c>
      <c r="K1456" s="3"/>
      <c r="M1456" s="3"/>
    </row>
    <row r="1457" spans="1:13">
      <c r="A1457" t="s">
        <v>28</v>
      </c>
      <c r="B1457">
        <f ca="1">IF(OR(changes[[#This Row],[Type]]="Checklist",changes[[#This Row],[Type]]="checklist-flat"),1+IF(changes[[#This Row],[Type of change]] = "Edit",COUNTIFS($I$4:changes[[#This Row],[Name]],changes[[#This Row],[Name]], $E$4:changes[[#This Row],[Type of change]], "Edit")),B1456)</f>
        <v>2</v>
      </c>
      <c r="C1457" s="20">
        <v>44671</v>
      </c>
      <c r="D1457" s="2" t="s">
        <v>2333</v>
      </c>
      <c r="E1457" t="s">
        <v>15</v>
      </c>
      <c r="F1457" s="14" t="s">
        <v>9</v>
      </c>
      <c r="G1457" s="47" t="s">
        <v>1152</v>
      </c>
      <c r="H1457" s="47" t="s">
        <v>49</v>
      </c>
      <c r="I1457" s="47" t="s">
        <v>1155</v>
      </c>
      <c r="K1457" s="3"/>
      <c r="M1457" s="3"/>
    </row>
    <row r="1458" spans="1:13">
      <c r="A1458" t="s">
        <v>28</v>
      </c>
      <c r="B1458">
        <f ca="1">IF(OR(changes[[#This Row],[Type]]="Checklist",changes[[#This Row],[Type]]="checklist-flat"),1+IF(changes[[#This Row],[Type of change]] = "Edit",COUNTIFS($I$4:changes[[#This Row],[Name]],changes[[#This Row],[Name]], $E$4:changes[[#This Row],[Type of change]], "Edit")),B1457)</f>
        <v>2</v>
      </c>
      <c r="C1458" s="20">
        <v>44671</v>
      </c>
      <c r="D1458" s="2" t="s">
        <v>2333</v>
      </c>
      <c r="E1458" t="s">
        <v>15</v>
      </c>
      <c r="F1458" s="14" t="s">
        <v>9</v>
      </c>
      <c r="G1458" s="47" t="s">
        <v>1152</v>
      </c>
      <c r="H1458" s="47" t="s">
        <v>49</v>
      </c>
      <c r="I1458" s="47" t="s">
        <v>507</v>
      </c>
      <c r="K1458" s="3"/>
      <c r="M1458" s="3"/>
    </row>
    <row r="1459" spans="1:13">
      <c r="A1459" t="s">
        <v>28</v>
      </c>
      <c r="B1459">
        <f ca="1">IF(OR(changes[[#This Row],[Type]]="Checklist",changes[[#This Row],[Type]]="checklist-flat"),1+IF(changes[[#This Row],[Type of change]] = "Edit",COUNTIFS($I$4:changes[[#This Row],[Name]],changes[[#This Row],[Name]], $E$4:changes[[#This Row],[Type of change]], "Edit")),B1458)</f>
        <v>2</v>
      </c>
      <c r="C1459" s="20">
        <v>44671</v>
      </c>
      <c r="D1459" s="2" t="s">
        <v>2333</v>
      </c>
      <c r="E1459" t="s">
        <v>15</v>
      </c>
      <c r="F1459" s="14" t="s">
        <v>9</v>
      </c>
      <c r="G1459" s="47" t="s">
        <v>1152</v>
      </c>
      <c r="H1459" s="47" t="s">
        <v>49</v>
      </c>
      <c r="I1459" s="47" t="s">
        <v>508</v>
      </c>
      <c r="K1459" s="3"/>
      <c r="M1459" s="3"/>
    </row>
    <row r="1460" spans="1:13">
      <c r="A1460" t="s">
        <v>28</v>
      </c>
      <c r="B1460">
        <f ca="1">IF(OR(changes[[#This Row],[Type]]="Checklist",changes[[#This Row],[Type]]="checklist-flat"),1+IF(changes[[#This Row],[Type of change]] = "Edit",COUNTIFS($I$4:changes[[#This Row],[Name]],changes[[#This Row],[Name]], $E$4:changes[[#This Row],[Type of change]], "Edit")),B1459)</f>
        <v>2</v>
      </c>
      <c r="C1460" s="20">
        <v>44671</v>
      </c>
      <c r="D1460" s="2" t="s">
        <v>2333</v>
      </c>
      <c r="E1460" t="s">
        <v>15</v>
      </c>
      <c r="F1460" s="14" t="s">
        <v>9</v>
      </c>
      <c r="G1460" s="47" t="s">
        <v>1152</v>
      </c>
      <c r="H1460" s="47" t="s">
        <v>49</v>
      </c>
      <c r="I1460" s="47" t="s">
        <v>509</v>
      </c>
      <c r="K1460" s="3"/>
      <c r="M1460" s="3"/>
    </row>
    <row r="1461" spans="1:13">
      <c r="A1461" t="s">
        <v>28</v>
      </c>
      <c r="B1461">
        <f ca="1">IF(OR(changes[[#This Row],[Type]]="Checklist",changes[[#This Row],[Type]]="checklist-flat"),1+IF(changes[[#This Row],[Type of change]] = "Edit",COUNTIFS($I$4:changes[[#This Row],[Name]],changes[[#This Row],[Name]], $E$4:changes[[#This Row],[Type of change]], "Edit")),B1460)</f>
        <v>2</v>
      </c>
      <c r="C1461" s="20">
        <v>44671</v>
      </c>
      <c r="D1461" s="2" t="s">
        <v>2333</v>
      </c>
      <c r="E1461" t="s">
        <v>15</v>
      </c>
      <c r="F1461" s="14" t="s">
        <v>9</v>
      </c>
      <c r="G1461" s="47" t="s">
        <v>1152</v>
      </c>
      <c r="H1461" s="47" t="s">
        <v>49</v>
      </c>
      <c r="I1461" s="47" t="s">
        <v>1156</v>
      </c>
      <c r="K1461" s="3"/>
      <c r="M1461" s="3"/>
    </row>
    <row r="1462" spans="1:13">
      <c r="A1462" t="s">
        <v>28</v>
      </c>
      <c r="B1462">
        <f ca="1">IF(OR(changes[[#This Row],[Type]]="Checklist",changes[[#This Row],[Type]]="checklist-flat"),1+IF(changes[[#This Row],[Type of change]] = "Edit",COUNTIFS($I$4:changes[[#This Row],[Name]],changes[[#This Row],[Name]], $E$4:changes[[#This Row],[Type of change]], "Edit")),B1461)</f>
        <v>1</v>
      </c>
      <c r="C1462" s="20">
        <v>44671</v>
      </c>
      <c r="D1462" s="2" t="s">
        <v>2025</v>
      </c>
      <c r="E1462" t="s">
        <v>27</v>
      </c>
      <c r="F1462" s="14" t="s">
        <v>1998</v>
      </c>
      <c r="G1462" t="s">
        <v>1648</v>
      </c>
      <c r="H1462" t="s">
        <v>48</v>
      </c>
      <c r="I1462" t="s">
        <v>1648</v>
      </c>
      <c r="K1462" s="3"/>
      <c r="M1462" s="3"/>
    </row>
    <row r="1463" spans="1:13">
      <c r="A1463" t="s">
        <v>28</v>
      </c>
      <c r="B1463">
        <f ca="1">IF(OR(changes[[#This Row],[Type]]="Checklist",changes[[#This Row],[Type]]="checklist-flat"),1+IF(changes[[#This Row],[Type of change]] = "Edit",COUNTIFS($I$4:changes[[#This Row],[Name]],changes[[#This Row],[Name]], $E$4:changes[[#This Row],[Type of change]], "Edit")),B1462)</f>
        <v>1</v>
      </c>
      <c r="C1463" s="20">
        <v>44671</v>
      </c>
      <c r="D1463" s="2" t="s">
        <v>2025</v>
      </c>
      <c r="E1463" t="s">
        <v>27</v>
      </c>
      <c r="F1463" s="14" t="s">
        <v>1998</v>
      </c>
      <c r="G1463" t="s">
        <v>1648</v>
      </c>
      <c r="H1463" t="s">
        <v>124</v>
      </c>
      <c r="I1463" t="s">
        <v>1649</v>
      </c>
      <c r="K1463" s="3"/>
      <c r="M1463" s="3"/>
    </row>
    <row r="1464" spans="1:13">
      <c r="A1464" t="s">
        <v>28</v>
      </c>
      <c r="B1464">
        <f ca="1">IF(OR(changes[[#This Row],[Type]]="Checklist",changes[[#This Row],[Type]]="checklist-flat"),1+IF(changes[[#This Row],[Type of change]] = "Edit",COUNTIFS($I$4:changes[[#This Row],[Name]],changes[[#This Row],[Name]], $E$4:changes[[#This Row],[Type of change]], "Edit")),B1463)</f>
        <v>1</v>
      </c>
      <c r="C1464" s="20">
        <v>44671</v>
      </c>
      <c r="D1464" s="2" t="s">
        <v>2025</v>
      </c>
      <c r="E1464" t="s">
        <v>27</v>
      </c>
      <c r="F1464" s="14" t="s">
        <v>1998</v>
      </c>
      <c r="G1464" t="s">
        <v>1648</v>
      </c>
      <c r="H1464" t="s">
        <v>124</v>
      </c>
      <c r="I1464" t="s">
        <v>1650</v>
      </c>
      <c r="K1464" s="3"/>
      <c r="M1464" s="3"/>
    </row>
    <row r="1465" spans="1:13">
      <c r="A1465" t="s">
        <v>28</v>
      </c>
      <c r="B1465">
        <f ca="1">IF(OR(changes[[#This Row],[Type]]="Checklist",changes[[#This Row],[Type]]="checklist-flat"),1+IF(changes[[#This Row],[Type of change]] = "Edit",COUNTIFS($I$4:changes[[#This Row],[Name]],changes[[#This Row],[Name]], $E$4:changes[[#This Row],[Type of change]], "Edit")),B1464)</f>
        <v>1</v>
      </c>
      <c r="C1465" s="20">
        <v>44671</v>
      </c>
      <c r="D1465" s="2" t="s">
        <v>2025</v>
      </c>
      <c r="E1465" t="s">
        <v>27</v>
      </c>
      <c r="F1465" s="14" t="s">
        <v>1998</v>
      </c>
      <c r="G1465" t="s">
        <v>1648</v>
      </c>
      <c r="H1465" t="s">
        <v>124</v>
      </c>
      <c r="I1465" t="s">
        <v>1651</v>
      </c>
      <c r="K1465" s="3"/>
      <c r="M1465" s="3"/>
    </row>
    <row r="1466" spans="1:13">
      <c r="A1466" t="s">
        <v>28</v>
      </c>
      <c r="B1466">
        <f ca="1">IF(OR(changes[[#This Row],[Type]]="Checklist",changes[[#This Row],[Type]]="checklist-flat"),1+IF(changes[[#This Row],[Type of change]] = "Edit",COUNTIFS($I$4:changes[[#This Row],[Name]],changes[[#This Row],[Name]], $E$4:changes[[#This Row],[Type of change]], "Edit")),B1465)</f>
        <v>1</v>
      </c>
      <c r="C1466" s="20">
        <v>44671</v>
      </c>
      <c r="D1466" s="2" t="s">
        <v>2025</v>
      </c>
      <c r="E1466" t="s">
        <v>27</v>
      </c>
      <c r="F1466" s="14" t="s">
        <v>1998</v>
      </c>
      <c r="G1466" t="s">
        <v>1648</v>
      </c>
      <c r="H1466" t="s">
        <v>796</v>
      </c>
      <c r="I1466" t="s">
        <v>1652</v>
      </c>
      <c r="J1466" t="s">
        <v>2344</v>
      </c>
      <c r="K1466" s="3"/>
      <c r="M1466" s="3"/>
    </row>
    <row r="1467" spans="1:13">
      <c r="A1467" t="s">
        <v>28</v>
      </c>
      <c r="B1467">
        <f ca="1">IF(OR(changes[[#This Row],[Type]]="Checklist",changes[[#This Row],[Type]]="checklist-flat"),1+IF(changes[[#This Row],[Type of change]] = "Edit",COUNTIFS($I$4:changes[[#This Row],[Name]],changes[[#This Row],[Name]], $E$4:changes[[#This Row],[Type of change]], "Edit")),B1466)</f>
        <v>1</v>
      </c>
      <c r="C1467" s="20">
        <v>44671</v>
      </c>
      <c r="D1467" s="2" t="s">
        <v>2025</v>
      </c>
      <c r="E1467" t="s">
        <v>27</v>
      </c>
      <c r="F1467" s="14" t="s">
        <v>1998</v>
      </c>
      <c r="G1467" t="s">
        <v>1648</v>
      </c>
      <c r="H1467" t="s">
        <v>66</v>
      </c>
      <c r="I1467" t="s">
        <v>1654</v>
      </c>
      <c r="K1467" s="3"/>
      <c r="M1467" s="3"/>
    </row>
    <row r="1468" spans="1:13">
      <c r="A1468" t="s">
        <v>28</v>
      </c>
      <c r="B1468">
        <f ca="1">IF(OR(changes[[#This Row],[Type]]="Checklist",changes[[#This Row],[Type]]="checklist-flat"),1+IF(changes[[#This Row],[Type of change]] = "Edit",COUNTIFS($I$4:changes[[#This Row],[Name]],changes[[#This Row],[Name]], $E$4:changes[[#This Row],[Type of change]], "Edit")),B1467)</f>
        <v>1</v>
      </c>
      <c r="C1468" s="20">
        <v>44671</v>
      </c>
      <c r="D1468" s="2" t="s">
        <v>2025</v>
      </c>
      <c r="E1468" t="s">
        <v>27</v>
      </c>
      <c r="F1468" s="14" t="s">
        <v>1998</v>
      </c>
      <c r="G1468" t="s">
        <v>1648</v>
      </c>
      <c r="H1468" t="s">
        <v>49</v>
      </c>
      <c r="I1468" t="s">
        <v>1655</v>
      </c>
      <c r="K1468" s="3"/>
      <c r="M1468" s="3"/>
    </row>
    <row r="1469" spans="1:13">
      <c r="A1469" t="s">
        <v>28</v>
      </c>
      <c r="B1469">
        <f ca="1">IF(OR(changes[[#This Row],[Type]]="Checklist",changes[[#This Row],[Type]]="checklist-flat"),1+IF(changes[[#This Row],[Type of change]] = "Edit",COUNTIFS($I$4:changes[[#This Row],[Name]],changes[[#This Row],[Name]], $E$4:changes[[#This Row],[Type of change]], "Edit")),B1468)</f>
        <v>1</v>
      </c>
      <c r="C1469" s="20">
        <v>44671</v>
      </c>
      <c r="D1469" s="2" t="s">
        <v>2025</v>
      </c>
      <c r="E1469" t="s">
        <v>27</v>
      </c>
      <c r="F1469" s="14" t="s">
        <v>1998</v>
      </c>
      <c r="G1469" t="s">
        <v>1648</v>
      </c>
      <c r="H1469" t="s">
        <v>124</v>
      </c>
      <c r="I1469" t="s">
        <v>1656</v>
      </c>
      <c r="K1469" s="3"/>
      <c r="M1469" s="3"/>
    </row>
    <row r="1470" spans="1:13">
      <c r="A1470" t="s">
        <v>28</v>
      </c>
      <c r="B1470">
        <f ca="1">IF(OR(changes[[#This Row],[Type]]="Checklist",changes[[#This Row],[Type]]="checklist-flat"),1+IF(changes[[#This Row],[Type of change]] = "Edit",COUNTIFS($I$4:changes[[#This Row],[Name]],changes[[#This Row],[Name]], $E$4:changes[[#This Row],[Type of change]], "Edit")),B1469)</f>
        <v>1</v>
      </c>
      <c r="C1470" s="20">
        <v>44671</v>
      </c>
      <c r="D1470" s="2" t="s">
        <v>2333</v>
      </c>
      <c r="E1470" t="s">
        <v>27</v>
      </c>
      <c r="F1470" s="14" t="s">
        <v>9</v>
      </c>
      <c r="G1470" s="23" t="s">
        <v>2345</v>
      </c>
      <c r="H1470" s="47" t="s">
        <v>48</v>
      </c>
      <c r="I1470" s="23" t="s">
        <v>1157</v>
      </c>
      <c r="K1470" s="3"/>
      <c r="M1470" s="3" t="s">
        <v>2346</v>
      </c>
    </row>
    <row r="1471" spans="1:13">
      <c r="A1471" t="s">
        <v>28</v>
      </c>
      <c r="B1471">
        <f ca="1">IF(OR(changes[[#This Row],[Type]]="Checklist",changes[[#This Row],[Type]]="checklist-flat"),1+IF(changes[[#This Row],[Type of change]] = "Edit",COUNTIFS($I$4:changes[[#This Row],[Name]],changes[[#This Row],[Name]], $E$4:changes[[#This Row],[Type of change]], "Edit")),B1470)</f>
        <v>1</v>
      </c>
      <c r="C1471" s="20">
        <v>44671</v>
      </c>
      <c r="D1471" s="2" t="s">
        <v>2333</v>
      </c>
      <c r="E1471" t="s">
        <v>27</v>
      </c>
      <c r="F1471" s="14" t="s">
        <v>9</v>
      </c>
      <c r="G1471" s="23" t="s">
        <v>2345</v>
      </c>
      <c r="H1471" s="47" t="s">
        <v>49</v>
      </c>
      <c r="I1471" t="s">
        <v>1158</v>
      </c>
      <c r="K1471" s="3"/>
      <c r="M1471" s="3"/>
    </row>
    <row r="1472" spans="1:13">
      <c r="A1472" t="s">
        <v>28</v>
      </c>
      <c r="B1472">
        <f ca="1">IF(OR(changes[[#This Row],[Type]]="Checklist",changes[[#This Row],[Type]]="checklist-flat"),1+IF(changes[[#This Row],[Type of change]] = "Edit",COUNTIFS($I$4:changes[[#This Row],[Name]],changes[[#This Row],[Name]], $E$4:changes[[#This Row],[Type of change]], "Edit")),B1471)</f>
        <v>1</v>
      </c>
      <c r="C1472" s="20">
        <v>44671</v>
      </c>
      <c r="D1472" s="2" t="s">
        <v>2333</v>
      </c>
      <c r="E1472" t="s">
        <v>27</v>
      </c>
      <c r="F1472" s="14" t="s">
        <v>9</v>
      </c>
      <c r="G1472" s="23" t="s">
        <v>2345</v>
      </c>
      <c r="H1472" s="47" t="s">
        <v>49</v>
      </c>
      <c r="I1472" t="s">
        <v>1159</v>
      </c>
      <c r="K1472" s="3"/>
      <c r="M1472" s="3"/>
    </row>
    <row r="1473" spans="1:13">
      <c r="A1473" t="s">
        <v>28</v>
      </c>
      <c r="B1473">
        <f ca="1">IF(OR(changes[[#This Row],[Type]]="Checklist",changes[[#This Row],[Type]]="checklist-flat"),1+IF(changes[[#This Row],[Type of change]] = "Edit",COUNTIFS($I$4:changes[[#This Row],[Name]],changes[[#This Row],[Name]], $E$4:changes[[#This Row],[Type of change]], "Edit")),B1472)</f>
        <v>1</v>
      </c>
      <c r="C1473" s="20">
        <v>44671</v>
      </c>
      <c r="D1473" s="2" t="s">
        <v>2333</v>
      </c>
      <c r="E1473" t="s">
        <v>27</v>
      </c>
      <c r="F1473" s="14" t="s">
        <v>9</v>
      </c>
      <c r="G1473" s="23" t="s">
        <v>2345</v>
      </c>
      <c r="H1473" s="47" t="s">
        <v>49</v>
      </c>
      <c r="I1473" t="s">
        <v>1160</v>
      </c>
      <c r="K1473" s="3"/>
      <c r="M1473" s="3"/>
    </row>
    <row r="1474" spans="1:13">
      <c r="A1474" t="s">
        <v>28</v>
      </c>
      <c r="B1474">
        <f ca="1">IF(OR(changes[[#This Row],[Type]]="Checklist",changes[[#This Row],[Type]]="checklist-flat"),1+IF(changes[[#This Row],[Type of change]] = "Edit",COUNTIFS($I$4:changes[[#This Row],[Name]],changes[[#This Row],[Name]], $E$4:changes[[#This Row],[Type of change]], "Edit")),B1473)</f>
        <v>1</v>
      </c>
      <c r="C1474" s="20">
        <v>44671</v>
      </c>
      <c r="D1474" s="2" t="s">
        <v>2333</v>
      </c>
      <c r="E1474" t="s">
        <v>27</v>
      </c>
      <c r="F1474" s="14" t="s">
        <v>9</v>
      </c>
      <c r="G1474" s="23" t="s">
        <v>2345</v>
      </c>
      <c r="H1474" s="47" t="s">
        <v>49</v>
      </c>
      <c r="I1474" t="s">
        <v>1161</v>
      </c>
      <c r="K1474" s="3"/>
      <c r="M1474" s="3"/>
    </row>
    <row r="1475" spans="1:13">
      <c r="A1475" t="s">
        <v>28</v>
      </c>
      <c r="B1475">
        <f ca="1">IF(OR(changes[[#This Row],[Type]]="Checklist",changes[[#This Row],[Type]]="checklist-flat"),1+IF(changes[[#This Row],[Type of change]] = "Edit",COUNTIFS($I$4:changes[[#This Row],[Name]],changes[[#This Row],[Name]], $E$4:changes[[#This Row],[Type of change]], "Edit")),B1474)</f>
        <v>1</v>
      </c>
      <c r="C1475" s="20">
        <v>44671</v>
      </c>
      <c r="D1475" s="2" t="s">
        <v>2333</v>
      </c>
      <c r="E1475" t="s">
        <v>27</v>
      </c>
      <c r="F1475" s="14" t="s">
        <v>9</v>
      </c>
      <c r="G1475" s="23" t="s">
        <v>2345</v>
      </c>
      <c r="H1475" s="47" t="s">
        <v>49</v>
      </c>
      <c r="I1475" t="s">
        <v>1162</v>
      </c>
      <c r="K1475" s="3"/>
      <c r="M1475" s="3"/>
    </row>
    <row r="1476" spans="1:13">
      <c r="A1476" t="s">
        <v>28</v>
      </c>
      <c r="B1476">
        <f ca="1">IF(OR(changes[[#This Row],[Type]]="Checklist",changes[[#This Row],[Type]]="checklist-flat"),1+IF(changes[[#This Row],[Type of change]] = "Edit",COUNTIFS($I$4:changes[[#This Row],[Name]],changes[[#This Row],[Name]], $E$4:changes[[#This Row],[Type of change]], "Edit")),B1475)</f>
        <v>3</v>
      </c>
      <c r="C1476" s="20">
        <v>44673</v>
      </c>
      <c r="D1476" s="2" t="s">
        <v>2048</v>
      </c>
      <c r="E1476" t="s">
        <v>15</v>
      </c>
      <c r="F1476" s="14" t="s">
        <v>1998</v>
      </c>
      <c r="G1476" t="s">
        <v>1305</v>
      </c>
      <c r="H1476" t="s">
        <v>48</v>
      </c>
      <c r="I1476" t="s">
        <v>1305</v>
      </c>
      <c r="K1476" s="3"/>
      <c r="M1476" s="3" t="s">
        <v>2347</v>
      </c>
    </row>
    <row r="1477" spans="1:13">
      <c r="A1477" t="s">
        <v>28</v>
      </c>
      <c r="B1477">
        <f ca="1">IF(OR(changes[[#This Row],[Type]]="Checklist",changes[[#This Row],[Type]]="checklist-flat"),1+IF(changes[[#This Row],[Type of change]] = "Edit",COUNTIFS($I$4:changes[[#This Row],[Name]],changes[[#This Row],[Name]], $E$4:changes[[#This Row],[Type of change]], "Edit")),B1476)</f>
        <v>3</v>
      </c>
      <c r="C1477" s="20">
        <v>44673</v>
      </c>
      <c r="D1477" s="2" t="s">
        <v>2048</v>
      </c>
      <c r="E1477" t="s">
        <v>15</v>
      </c>
      <c r="F1477" s="14" t="s">
        <v>1998</v>
      </c>
      <c r="G1477" t="s">
        <v>1305</v>
      </c>
      <c r="H1477" t="s">
        <v>49</v>
      </c>
      <c r="I1477" t="s">
        <v>1263</v>
      </c>
      <c r="K1477" s="3"/>
      <c r="M1477" s="3"/>
    </row>
    <row r="1478" spans="1:13">
      <c r="A1478" t="s">
        <v>28</v>
      </c>
      <c r="B1478">
        <f ca="1">IF(OR(changes[[#This Row],[Type]]="Checklist",changes[[#This Row],[Type]]="checklist-flat"),1+IF(changes[[#This Row],[Type of change]] = "Edit",COUNTIFS($I$4:changes[[#This Row],[Name]],changes[[#This Row],[Name]], $E$4:changes[[#This Row],[Type of change]], "Edit")),B1477)</f>
        <v>3</v>
      </c>
      <c r="C1478" s="20">
        <v>44673</v>
      </c>
      <c r="D1478" s="2" t="s">
        <v>2048</v>
      </c>
      <c r="E1478" t="s">
        <v>15</v>
      </c>
      <c r="F1478" s="14" t="s">
        <v>1998</v>
      </c>
      <c r="G1478" t="s">
        <v>1305</v>
      </c>
      <c r="H1478" t="s">
        <v>49</v>
      </c>
      <c r="I1478" t="s">
        <v>288</v>
      </c>
      <c r="K1478" s="3"/>
      <c r="M1478" s="3"/>
    </row>
    <row r="1479" spans="1:13">
      <c r="A1479" t="s">
        <v>28</v>
      </c>
      <c r="B1479">
        <f ca="1">IF(OR(changes[[#This Row],[Type]]="Checklist",changes[[#This Row],[Type]]="checklist-flat"),1+IF(changes[[#This Row],[Type of change]] = "Edit",COUNTIFS($I$4:changes[[#This Row],[Name]],changes[[#This Row],[Name]], $E$4:changes[[#This Row],[Type of change]], "Edit")),B1478)</f>
        <v>3</v>
      </c>
      <c r="C1479" s="20">
        <v>44673</v>
      </c>
      <c r="D1479" s="2" t="s">
        <v>2048</v>
      </c>
      <c r="E1479" t="s">
        <v>15</v>
      </c>
      <c r="F1479" s="14" t="s">
        <v>1998</v>
      </c>
      <c r="G1479" t="s">
        <v>1305</v>
      </c>
      <c r="H1479" t="s">
        <v>49</v>
      </c>
      <c r="I1479" t="s">
        <v>289</v>
      </c>
      <c r="K1479" s="3"/>
      <c r="M1479" s="3"/>
    </row>
    <row r="1480" spans="1:13">
      <c r="A1480" t="s">
        <v>28</v>
      </c>
      <c r="B1480">
        <f ca="1">IF(OR(changes[[#This Row],[Type]]="Checklist",changes[[#This Row],[Type]]="checklist-flat"),1+IF(changes[[#This Row],[Type of change]] = "Edit",COUNTIFS($I$4:changes[[#This Row],[Name]],changes[[#This Row],[Name]], $E$4:changes[[#This Row],[Type of change]], "Edit")),B1479)</f>
        <v>3</v>
      </c>
      <c r="C1480" s="20">
        <v>44673</v>
      </c>
      <c r="D1480" s="2" t="s">
        <v>2048</v>
      </c>
      <c r="E1480" t="s">
        <v>15</v>
      </c>
      <c r="F1480" s="14" t="s">
        <v>1998</v>
      </c>
      <c r="G1480" t="s">
        <v>1305</v>
      </c>
      <c r="H1480" t="s">
        <v>49</v>
      </c>
      <c r="I1480" t="s">
        <v>271</v>
      </c>
      <c r="K1480" s="3"/>
      <c r="M1480" s="3"/>
    </row>
    <row r="1481" spans="1:13">
      <c r="A1481" t="s">
        <v>28</v>
      </c>
      <c r="B1481">
        <f ca="1">IF(OR(changes[[#This Row],[Type]]="Checklist",changes[[#This Row],[Type]]="checklist-flat"),1+IF(changes[[#This Row],[Type of change]] = "Edit",COUNTIFS($I$4:changes[[#This Row],[Name]],changes[[#This Row],[Name]], $E$4:changes[[#This Row],[Type of change]], "Edit")),B1480)</f>
        <v>3</v>
      </c>
      <c r="C1481" s="20">
        <v>44673</v>
      </c>
      <c r="D1481" s="2" t="s">
        <v>2048</v>
      </c>
      <c r="E1481" t="s">
        <v>15</v>
      </c>
      <c r="F1481" s="14" t="s">
        <v>1998</v>
      </c>
      <c r="G1481" t="s">
        <v>1305</v>
      </c>
      <c r="H1481" t="s">
        <v>49</v>
      </c>
      <c r="I1481" t="s">
        <v>1264</v>
      </c>
      <c r="K1481" s="3"/>
      <c r="M1481" s="3"/>
    </row>
    <row r="1482" spans="1:13">
      <c r="A1482" t="s">
        <v>28</v>
      </c>
      <c r="B1482">
        <f ca="1">IF(OR(changes[[#This Row],[Type]]="Checklist",changes[[#This Row],[Type]]="checklist-flat"),1+IF(changes[[#This Row],[Type of change]] = "Edit",COUNTIFS($I$4:changes[[#This Row],[Name]],changes[[#This Row],[Name]], $E$4:changes[[#This Row],[Type of change]], "Edit")),B1481)</f>
        <v>3</v>
      </c>
      <c r="C1482" s="20">
        <v>44673</v>
      </c>
      <c r="D1482" s="2" t="s">
        <v>2048</v>
      </c>
      <c r="E1482" t="s">
        <v>15</v>
      </c>
      <c r="F1482" s="14" t="s">
        <v>1998</v>
      </c>
      <c r="G1482" t="s">
        <v>1305</v>
      </c>
      <c r="H1482" t="s">
        <v>58</v>
      </c>
      <c r="I1482" t="s">
        <v>306</v>
      </c>
      <c r="K1482" s="3"/>
      <c r="M1482" s="3"/>
    </row>
    <row r="1483" spans="1:13">
      <c r="A1483" t="s">
        <v>28</v>
      </c>
      <c r="B1483">
        <f ca="1">IF(OR(changes[[#This Row],[Type]]="Checklist",changes[[#This Row],[Type]]="checklist-flat"),1+IF(changes[[#This Row],[Type of change]] = "Edit",COUNTIFS($I$4:changes[[#This Row],[Name]],changes[[#This Row],[Name]], $E$4:changes[[#This Row],[Type of change]], "Edit")),B1482)</f>
        <v>3</v>
      </c>
      <c r="C1483" s="20">
        <v>44673</v>
      </c>
      <c r="D1483" s="2" t="s">
        <v>2048</v>
      </c>
      <c r="E1483" t="s">
        <v>15</v>
      </c>
      <c r="F1483" s="14" t="s">
        <v>1998</v>
      </c>
      <c r="G1483" t="s">
        <v>1305</v>
      </c>
      <c r="H1483" t="s">
        <v>49</v>
      </c>
      <c r="I1483" t="s">
        <v>1306</v>
      </c>
      <c r="K1483" s="3"/>
      <c r="M1483" s="3"/>
    </row>
    <row r="1484" spans="1:13">
      <c r="A1484" t="s">
        <v>28</v>
      </c>
      <c r="B1484">
        <f ca="1">IF(OR(changes[[#This Row],[Type]]="Checklist",changes[[#This Row],[Type]]="checklist-flat"),1+IF(changes[[#This Row],[Type of change]] = "Edit",COUNTIFS($I$4:changes[[#This Row],[Name]],changes[[#This Row],[Name]], $E$4:changes[[#This Row],[Type of change]], "Edit")),B1483)</f>
        <v>1</v>
      </c>
      <c r="C1484" s="20">
        <v>44678</v>
      </c>
      <c r="D1484" s="2" t="s">
        <v>2025</v>
      </c>
      <c r="E1484" t="s">
        <v>27</v>
      </c>
      <c r="F1484" s="14" t="s">
        <v>9</v>
      </c>
      <c r="G1484" t="s">
        <v>1163</v>
      </c>
      <c r="H1484" t="s">
        <v>48</v>
      </c>
      <c r="I1484" t="s">
        <v>1163</v>
      </c>
      <c r="K1484" s="3"/>
      <c r="M1484" s="3" t="s">
        <v>2348</v>
      </c>
    </row>
    <row r="1485" spans="1:13">
      <c r="A1485" t="s">
        <v>28</v>
      </c>
      <c r="B1485">
        <f ca="1">IF(OR(changes[[#This Row],[Type]]="Checklist",changes[[#This Row],[Type]]="checklist-flat"),1+IF(changes[[#This Row],[Type of change]] = "Edit",COUNTIFS($I$4:changes[[#This Row],[Name]],changes[[#This Row],[Name]], $E$4:changes[[#This Row],[Type of change]], "Edit")),B1484)</f>
        <v>1</v>
      </c>
      <c r="C1485" s="20">
        <v>44678</v>
      </c>
      <c r="D1485" s="2" t="s">
        <v>2025</v>
      </c>
      <c r="E1485" t="s">
        <v>27</v>
      </c>
      <c r="F1485" s="14" t="s">
        <v>9</v>
      </c>
      <c r="G1485" t="s">
        <v>1163</v>
      </c>
      <c r="H1485" t="s">
        <v>49</v>
      </c>
      <c r="I1485" t="s">
        <v>1164</v>
      </c>
      <c r="K1485" s="3"/>
      <c r="M1485" s="3"/>
    </row>
    <row r="1486" spans="1:13">
      <c r="A1486" t="s">
        <v>28</v>
      </c>
      <c r="B1486">
        <f ca="1">IF(OR(changes[[#This Row],[Type]]="Checklist",changes[[#This Row],[Type]]="checklist-flat"),1+IF(changes[[#This Row],[Type of change]] = "Edit",COUNTIFS($I$4:changes[[#This Row],[Name]],changes[[#This Row],[Name]], $E$4:changes[[#This Row],[Type of change]], "Edit")),B1485)</f>
        <v>1</v>
      </c>
      <c r="C1486" s="20">
        <v>44678</v>
      </c>
      <c r="D1486" s="2" t="s">
        <v>2025</v>
      </c>
      <c r="E1486" t="s">
        <v>27</v>
      </c>
      <c r="F1486" s="14" t="s">
        <v>9</v>
      </c>
      <c r="G1486" t="s">
        <v>1163</v>
      </c>
      <c r="H1486" t="s">
        <v>49</v>
      </c>
      <c r="I1486" t="s">
        <v>1165</v>
      </c>
      <c r="K1486" s="3"/>
      <c r="M1486" s="3"/>
    </row>
    <row r="1487" spans="1:13">
      <c r="A1487" t="s">
        <v>28</v>
      </c>
      <c r="B1487">
        <f ca="1">IF(OR(changes[[#This Row],[Type]]="Checklist",changes[[#This Row],[Type]]="checklist-flat"),1+IF(changes[[#This Row],[Type of change]] = "Edit",COUNTIFS($I$4:changes[[#This Row],[Name]],changes[[#This Row],[Name]], $E$4:changes[[#This Row],[Type of change]], "Edit")),B1486)</f>
        <v>1</v>
      </c>
      <c r="C1487" s="20">
        <v>44678</v>
      </c>
      <c r="D1487" s="2" t="s">
        <v>2025</v>
      </c>
      <c r="E1487" t="s">
        <v>27</v>
      </c>
      <c r="F1487" s="14" t="s">
        <v>9</v>
      </c>
      <c r="G1487" t="s">
        <v>1163</v>
      </c>
      <c r="H1487" t="s">
        <v>49</v>
      </c>
      <c r="I1487" t="s">
        <v>1166</v>
      </c>
      <c r="K1487" s="3"/>
      <c r="M1487" s="3"/>
    </row>
    <row r="1488" spans="1:13">
      <c r="A1488" t="s">
        <v>28</v>
      </c>
      <c r="B1488">
        <f ca="1">IF(OR(changes[[#This Row],[Type]]="Checklist",changes[[#This Row],[Type]]="checklist-flat"),1+IF(changes[[#This Row],[Type of change]] = "Edit",COUNTIFS($I$4:changes[[#This Row],[Name]],changes[[#This Row],[Name]], $E$4:changes[[#This Row],[Type of change]], "Edit")),B1487)</f>
        <v>1</v>
      </c>
      <c r="C1488" s="20">
        <v>44678</v>
      </c>
      <c r="D1488" s="2" t="s">
        <v>2025</v>
      </c>
      <c r="E1488" t="s">
        <v>27</v>
      </c>
      <c r="F1488" s="14" t="s">
        <v>9</v>
      </c>
      <c r="G1488" t="s">
        <v>1163</v>
      </c>
      <c r="H1488" t="s">
        <v>49</v>
      </c>
      <c r="I1488" t="s">
        <v>1167</v>
      </c>
      <c r="K1488" s="3"/>
      <c r="M1488" s="3"/>
    </row>
    <row r="1489" spans="1:13">
      <c r="A1489" t="s">
        <v>28</v>
      </c>
      <c r="B1489">
        <f ca="1">IF(OR(changes[[#This Row],[Type]]="Checklist",changes[[#This Row],[Type]]="checklist-flat"),1+IF(changes[[#This Row],[Type of change]] = "Edit",COUNTIFS($I$4:changes[[#This Row],[Name]],changes[[#This Row],[Name]], $E$4:changes[[#This Row],[Type of change]], "Edit")),B1488)</f>
        <v>1</v>
      </c>
      <c r="C1489" s="20">
        <v>44678</v>
      </c>
      <c r="D1489" s="2" t="s">
        <v>2025</v>
      </c>
      <c r="E1489" t="s">
        <v>27</v>
      </c>
      <c r="F1489" s="14" t="s">
        <v>9</v>
      </c>
      <c r="G1489" t="s">
        <v>1163</v>
      </c>
      <c r="H1489" t="s">
        <v>58</v>
      </c>
      <c r="I1489" t="s">
        <v>883</v>
      </c>
      <c r="K1489" s="3"/>
      <c r="M1489" s="3"/>
    </row>
    <row r="1490" spans="1:13">
      <c r="A1490" t="s">
        <v>28</v>
      </c>
      <c r="B1490">
        <f ca="1">IF(OR(changes[[#This Row],[Type]]="Checklist",changes[[#This Row],[Type]]="checklist-flat"),1+IF(changes[[#This Row],[Type of change]] = "Edit",COUNTIFS($I$4:changes[[#This Row],[Name]],changes[[#This Row],[Name]], $E$4:changes[[#This Row],[Type of change]], "Edit")),B1489)</f>
        <v>1</v>
      </c>
      <c r="C1490" s="20">
        <v>44678</v>
      </c>
      <c r="D1490" s="2" t="s">
        <v>2025</v>
      </c>
      <c r="E1490" t="s">
        <v>27</v>
      </c>
      <c r="F1490" s="14" t="s">
        <v>9</v>
      </c>
      <c r="G1490" t="s">
        <v>1163</v>
      </c>
      <c r="H1490" t="s">
        <v>48</v>
      </c>
      <c r="I1490" t="s">
        <v>1168</v>
      </c>
      <c r="K1490" s="3"/>
      <c r="M1490" s="3" t="s">
        <v>2348</v>
      </c>
    </row>
    <row r="1491" spans="1:13">
      <c r="A1491" t="s">
        <v>28</v>
      </c>
      <c r="B1491">
        <f ca="1">IF(OR(changes[[#This Row],[Type]]="Checklist",changes[[#This Row],[Type]]="checklist-flat"),1+IF(changes[[#This Row],[Type of change]] = "Edit",COUNTIFS($I$4:changes[[#This Row],[Name]],changes[[#This Row],[Name]], $E$4:changes[[#This Row],[Type of change]], "Edit")),B1490)</f>
        <v>1</v>
      </c>
      <c r="C1491" s="20">
        <v>44678</v>
      </c>
      <c r="D1491" s="2" t="s">
        <v>2025</v>
      </c>
      <c r="E1491" t="s">
        <v>27</v>
      </c>
      <c r="F1491" s="14" t="s">
        <v>9</v>
      </c>
      <c r="G1491" t="s">
        <v>1163</v>
      </c>
      <c r="H1491" t="s">
        <v>49</v>
      </c>
      <c r="I1491" t="s">
        <v>1169</v>
      </c>
      <c r="K1491" s="3"/>
      <c r="M1491" s="3"/>
    </row>
    <row r="1492" spans="1:13">
      <c r="A1492" t="s">
        <v>28</v>
      </c>
      <c r="B1492">
        <f ca="1">IF(OR(changes[[#This Row],[Type]]="Checklist",changes[[#This Row],[Type]]="checklist-flat"),1+IF(changes[[#This Row],[Type of change]] = "Edit",COUNTIFS($I$4:changes[[#This Row],[Name]],changes[[#This Row],[Name]], $E$4:changes[[#This Row],[Type of change]], "Edit")),B1491)</f>
        <v>1</v>
      </c>
      <c r="C1492" s="20">
        <v>44678</v>
      </c>
      <c r="D1492" s="2" t="s">
        <v>2025</v>
      </c>
      <c r="E1492" t="s">
        <v>27</v>
      </c>
      <c r="F1492" s="14" t="s">
        <v>9</v>
      </c>
      <c r="G1492" t="s">
        <v>1163</v>
      </c>
      <c r="H1492" t="s">
        <v>49</v>
      </c>
      <c r="I1492" t="s">
        <v>1170</v>
      </c>
      <c r="K1492" s="3"/>
      <c r="M1492" s="3"/>
    </row>
    <row r="1493" spans="1:13">
      <c r="A1493" t="s">
        <v>28</v>
      </c>
      <c r="B1493">
        <f ca="1">IF(OR(changes[[#This Row],[Type]]="Checklist",changes[[#This Row],[Type]]="checklist-flat"),1+IF(changes[[#This Row],[Type of change]] = "Edit",COUNTIFS($I$4:changes[[#This Row],[Name]],changes[[#This Row],[Name]], $E$4:changes[[#This Row],[Type of change]], "Edit")),B1492)</f>
        <v>1</v>
      </c>
      <c r="C1493" s="20">
        <v>44678</v>
      </c>
      <c r="D1493" s="2" t="s">
        <v>2025</v>
      </c>
      <c r="E1493" t="s">
        <v>27</v>
      </c>
      <c r="F1493" s="14" t="s">
        <v>9</v>
      </c>
      <c r="G1493" t="s">
        <v>1163</v>
      </c>
      <c r="H1493" t="s">
        <v>49</v>
      </c>
      <c r="I1493" t="s">
        <v>1171</v>
      </c>
      <c r="K1493" s="3"/>
      <c r="M1493" s="3"/>
    </row>
    <row r="1494" spans="1:13">
      <c r="A1494" t="s">
        <v>28</v>
      </c>
      <c r="B1494">
        <f ca="1">IF(OR(changes[[#This Row],[Type]]="Checklist",changes[[#This Row],[Type]]="checklist-flat"),1+IF(changes[[#This Row],[Type of change]] = "Edit",COUNTIFS($I$4:changes[[#This Row],[Name]],changes[[#This Row],[Name]], $E$4:changes[[#This Row],[Type of change]], "Edit")),B1493)</f>
        <v>1</v>
      </c>
      <c r="C1494" s="20">
        <v>44678</v>
      </c>
      <c r="D1494" s="2" t="s">
        <v>2025</v>
      </c>
      <c r="E1494" t="s">
        <v>27</v>
      </c>
      <c r="F1494" s="14" t="s">
        <v>9</v>
      </c>
      <c r="G1494" t="s">
        <v>1163</v>
      </c>
      <c r="H1494" t="s">
        <v>49</v>
      </c>
      <c r="I1494" t="s">
        <v>1167</v>
      </c>
      <c r="K1494" s="3"/>
      <c r="M1494" s="3"/>
    </row>
    <row r="1495" spans="1:13">
      <c r="A1495" t="s">
        <v>28</v>
      </c>
      <c r="B1495">
        <f ca="1">IF(OR(changes[[#This Row],[Type]]="Checklist",changes[[#This Row],[Type]]="checklist-flat"),1+IF(changes[[#This Row],[Type of change]] = "Edit",COUNTIFS($I$4:changes[[#This Row],[Name]],changes[[#This Row],[Name]], $E$4:changes[[#This Row],[Type of change]], "Edit")),B1494)</f>
        <v>1</v>
      </c>
      <c r="C1495" s="20">
        <v>44678</v>
      </c>
      <c r="D1495" s="2" t="s">
        <v>2025</v>
      </c>
      <c r="E1495" t="s">
        <v>27</v>
      </c>
      <c r="F1495" s="14" t="s">
        <v>9</v>
      </c>
      <c r="G1495" t="s">
        <v>1163</v>
      </c>
      <c r="H1495" t="s">
        <v>49</v>
      </c>
      <c r="I1495" t="s">
        <v>1172</v>
      </c>
      <c r="K1495" s="3"/>
      <c r="M1495" s="3"/>
    </row>
    <row r="1496" spans="1:13">
      <c r="A1496" t="s">
        <v>28</v>
      </c>
      <c r="B1496">
        <f ca="1">IF(OR(changes[[#This Row],[Type]]="Checklist",changes[[#This Row],[Type]]="checklist-flat"),1+IF(changes[[#This Row],[Type of change]] = "Edit",COUNTIFS($I$4:changes[[#This Row],[Name]],changes[[#This Row],[Name]], $E$4:changes[[#This Row],[Type of change]], "Edit")),B1495)</f>
        <v>1</v>
      </c>
      <c r="C1496" s="20">
        <v>44678</v>
      </c>
      <c r="D1496" s="2" t="s">
        <v>2025</v>
      </c>
      <c r="E1496" t="s">
        <v>27</v>
      </c>
      <c r="F1496" s="14" t="s">
        <v>9</v>
      </c>
      <c r="G1496" t="s">
        <v>1163</v>
      </c>
      <c r="H1496" t="s">
        <v>58</v>
      </c>
      <c r="I1496" t="s">
        <v>883</v>
      </c>
      <c r="K1496" s="3"/>
      <c r="M1496" s="3"/>
    </row>
    <row r="1497" spans="1:13">
      <c r="A1497" t="s">
        <v>28</v>
      </c>
      <c r="B1497">
        <f ca="1">IF(OR(changes[[#This Row],[Type]]="Checklist",changes[[#This Row],[Type]]="checklist-flat"),1+IF(changes[[#This Row],[Type of change]] = "Edit",COUNTIFS($I$4:changes[[#This Row],[Name]],changes[[#This Row],[Name]], $E$4:changes[[#This Row],[Type of change]], "Edit")),B1496)</f>
        <v>2</v>
      </c>
      <c r="C1497" s="20">
        <v>44684</v>
      </c>
      <c r="D1497" s="2" t="s">
        <v>2048</v>
      </c>
      <c r="E1497" t="s">
        <v>15</v>
      </c>
      <c r="F1497" s="14" t="s">
        <v>9</v>
      </c>
      <c r="G1497" t="s">
        <v>2349</v>
      </c>
      <c r="H1497" t="s">
        <v>48</v>
      </c>
      <c r="I1497" t="s">
        <v>2349</v>
      </c>
      <c r="K1497" s="3"/>
      <c r="M1497" s="3" t="s">
        <v>2350</v>
      </c>
    </row>
    <row r="1498" spans="1:13" ht="14.25">
      <c r="A1498" t="s">
        <v>28</v>
      </c>
      <c r="B1498">
        <f ca="1">IF(OR(changes[[#This Row],[Type]]="Checklist",changes[[#This Row],[Type]]="checklist-flat"),1+IF(changes[[#This Row],[Type of change]] = "Edit",COUNTIFS($I$4:changes[[#This Row],[Name]],changes[[#This Row],[Name]], $E$4:changes[[#This Row],[Type of change]], "Edit")),B1497)</f>
        <v>2</v>
      </c>
      <c r="C1498" s="20">
        <v>44684</v>
      </c>
      <c r="D1498" s="2" t="s">
        <v>2048</v>
      </c>
      <c r="E1498" t="s">
        <v>15</v>
      </c>
      <c r="F1498" s="14" t="s">
        <v>9</v>
      </c>
      <c r="G1498" t="s">
        <v>2349</v>
      </c>
      <c r="H1498" t="s">
        <v>49</v>
      </c>
      <c r="I1498" s="9" t="s">
        <v>1174</v>
      </c>
      <c r="K1498" s="3"/>
      <c r="M1498" s="3"/>
    </row>
    <row r="1499" spans="1:13" ht="14.25">
      <c r="A1499" t="s">
        <v>28</v>
      </c>
      <c r="B1499">
        <f ca="1">IF(OR(changes[[#This Row],[Type]]="Checklist",changes[[#This Row],[Type]]="checklist-flat"),1+IF(changes[[#This Row],[Type of change]] = "Edit",COUNTIFS($I$4:changes[[#This Row],[Name]],changes[[#This Row],[Name]], $E$4:changes[[#This Row],[Type of change]], "Edit")),B1498)</f>
        <v>2</v>
      </c>
      <c r="C1499" s="20">
        <v>44684</v>
      </c>
      <c r="D1499" s="2" t="s">
        <v>2048</v>
      </c>
      <c r="E1499" t="s">
        <v>15</v>
      </c>
      <c r="F1499" s="14" t="s">
        <v>9</v>
      </c>
      <c r="G1499" t="s">
        <v>2349</v>
      </c>
      <c r="H1499" t="s">
        <v>49</v>
      </c>
      <c r="I1499" s="58" t="s">
        <v>1175</v>
      </c>
      <c r="K1499" s="3"/>
      <c r="M1499" s="3"/>
    </row>
    <row r="1500" spans="1:13" ht="14.25">
      <c r="A1500" t="s">
        <v>28</v>
      </c>
      <c r="B1500">
        <f ca="1">IF(OR(changes[[#This Row],[Type]]="Checklist",changes[[#This Row],[Type]]="checklist-flat"),1+IF(changes[[#This Row],[Type of change]] = "Edit",COUNTIFS($I$4:changes[[#This Row],[Name]],changes[[#This Row],[Name]], $E$4:changes[[#This Row],[Type of change]], "Edit")),B1499)</f>
        <v>2</v>
      </c>
      <c r="C1500" s="20">
        <v>44684</v>
      </c>
      <c r="D1500" s="2" t="s">
        <v>2048</v>
      </c>
      <c r="E1500" t="s">
        <v>15</v>
      </c>
      <c r="F1500" s="14" t="s">
        <v>9</v>
      </c>
      <c r="G1500" t="s">
        <v>2349</v>
      </c>
      <c r="H1500" t="s">
        <v>49</v>
      </c>
      <c r="I1500" s="58" t="s">
        <v>1176</v>
      </c>
      <c r="K1500" s="3"/>
      <c r="M1500" s="3"/>
    </row>
    <row r="1501" spans="1:13" ht="14.25">
      <c r="A1501" t="s">
        <v>28</v>
      </c>
      <c r="B1501">
        <f ca="1">IF(OR(changes[[#This Row],[Type]]="Checklist",changes[[#This Row],[Type]]="checklist-flat"),1+IF(changes[[#This Row],[Type of change]] = "Edit",COUNTIFS($I$4:changes[[#This Row],[Name]],changes[[#This Row],[Name]], $E$4:changes[[#This Row],[Type of change]], "Edit")),B1500)</f>
        <v>2</v>
      </c>
      <c r="C1501" s="20">
        <v>44684</v>
      </c>
      <c r="D1501" s="2" t="s">
        <v>2048</v>
      </c>
      <c r="E1501" t="s">
        <v>15</v>
      </c>
      <c r="F1501" s="14" t="s">
        <v>9</v>
      </c>
      <c r="G1501" t="s">
        <v>2349</v>
      </c>
      <c r="H1501" t="s">
        <v>49</v>
      </c>
      <c r="I1501" s="58" t="s">
        <v>1177</v>
      </c>
      <c r="K1501" s="3"/>
      <c r="M1501" s="3"/>
    </row>
    <row r="1502" spans="1:13">
      <c r="A1502" t="s">
        <v>28</v>
      </c>
      <c r="B1502">
        <f ca="1">IF(OR(changes[[#This Row],[Type]]="Checklist",changes[[#This Row],[Type]]="checklist-flat"),1+IF(changes[[#This Row],[Type of change]] = "Edit",COUNTIFS($I$4:changes[[#This Row],[Name]],changes[[#This Row],[Name]], $E$4:changes[[#This Row],[Type of change]], "Edit")),B1501)</f>
        <v>2</v>
      </c>
      <c r="C1502" s="20">
        <v>44684</v>
      </c>
      <c r="D1502" s="2" t="s">
        <v>2048</v>
      </c>
      <c r="E1502" t="s">
        <v>15</v>
      </c>
      <c r="F1502" s="14" t="s">
        <v>9</v>
      </c>
      <c r="G1502" t="s">
        <v>2349</v>
      </c>
      <c r="H1502" t="s">
        <v>49</v>
      </c>
      <c r="I1502" t="s">
        <v>1178</v>
      </c>
      <c r="K1502" s="3"/>
      <c r="M1502" s="3"/>
    </row>
    <row r="1503" spans="1:13">
      <c r="A1503" t="s">
        <v>28</v>
      </c>
      <c r="B1503">
        <f ca="1">IF(OR(changes[[#This Row],[Type]]="Checklist",changes[[#This Row],[Type]]="checklist-flat"),1+IF(changes[[#This Row],[Type of change]] = "Edit",COUNTIFS($I$4:changes[[#This Row],[Name]],changes[[#This Row],[Name]], $E$4:changes[[#This Row],[Type of change]], "Edit")),B1502)</f>
        <v>1</v>
      </c>
      <c r="C1503" s="20">
        <v>44684</v>
      </c>
      <c r="D1503" s="2" t="s">
        <v>2333</v>
      </c>
      <c r="E1503" t="s">
        <v>27</v>
      </c>
      <c r="F1503" s="14" t="s">
        <v>9</v>
      </c>
      <c r="G1503" s="14" t="s">
        <v>1179</v>
      </c>
      <c r="H1503" t="s">
        <v>119</v>
      </c>
      <c r="I1503" t="s">
        <v>1179</v>
      </c>
      <c r="K1503" s="3"/>
      <c r="M1503" s="3"/>
    </row>
    <row r="1504" spans="1:13">
      <c r="A1504" t="s">
        <v>28</v>
      </c>
      <c r="B1504">
        <f ca="1">IF(OR(changes[[#This Row],[Type]]="Checklist",changes[[#This Row],[Type]]="checklist-flat"),1+IF(changes[[#This Row],[Type of change]] = "Edit",COUNTIFS($I$4:changes[[#This Row],[Name]],changes[[#This Row],[Name]], $E$4:changes[[#This Row],[Type of change]], "Edit")),B1503)</f>
        <v>1</v>
      </c>
      <c r="C1504" s="20">
        <v>44684</v>
      </c>
      <c r="D1504" s="2" t="s">
        <v>2333</v>
      </c>
      <c r="E1504" t="s">
        <v>27</v>
      </c>
      <c r="F1504" s="14" t="s">
        <v>9</v>
      </c>
      <c r="G1504" s="14" t="s">
        <v>1179</v>
      </c>
      <c r="H1504" t="s">
        <v>49</v>
      </c>
      <c r="I1504" t="s">
        <v>1180</v>
      </c>
      <c r="K1504" s="3"/>
      <c r="M1504" s="3"/>
    </row>
    <row r="1505" spans="1:13">
      <c r="A1505" t="s">
        <v>28</v>
      </c>
      <c r="B1505">
        <f ca="1">IF(OR(changes[[#This Row],[Type]]="Checklist",changes[[#This Row],[Type]]="checklist-flat"),1+IF(changes[[#This Row],[Type of change]] = "Edit",COUNTIFS($I$4:changes[[#This Row],[Name]],changes[[#This Row],[Name]], $E$4:changes[[#This Row],[Type of change]], "Edit")),B1504)</f>
        <v>1</v>
      </c>
      <c r="C1505" s="20">
        <v>44684</v>
      </c>
      <c r="D1505" s="2" t="s">
        <v>2333</v>
      </c>
      <c r="E1505" t="s">
        <v>27</v>
      </c>
      <c r="F1505" s="14" t="s">
        <v>9</v>
      </c>
      <c r="G1505" s="14" t="s">
        <v>1179</v>
      </c>
      <c r="H1505" t="s">
        <v>49</v>
      </c>
      <c r="I1505" t="s">
        <v>1181</v>
      </c>
      <c r="K1505" s="3"/>
      <c r="M1505" s="3"/>
    </row>
    <row r="1506" spans="1:13">
      <c r="A1506" t="s">
        <v>28</v>
      </c>
      <c r="B1506">
        <f ca="1">IF(OR(changes[[#This Row],[Type]]="Checklist",changes[[#This Row],[Type]]="checklist-flat"),1+IF(changes[[#This Row],[Type of change]] = "Edit",COUNTIFS($I$4:changes[[#This Row],[Name]],changes[[#This Row],[Name]], $E$4:changes[[#This Row],[Type of change]], "Edit")),B1505)</f>
        <v>1</v>
      </c>
      <c r="C1506" s="20">
        <v>44684</v>
      </c>
      <c r="D1506" s="2" t="s">
        <v>2333</v>
      </c>
      <c r="E1506" t="s">
        <v>27</v>
      </c>
      <c r="F1506" s="14" t="s">
        <v>9</v>
      </c>
      <c r="G1506" s="14" t="s">
        <v>1179</v>
      </c>
      <c r="H1506" t="s">
        <v>49</v>
      </c>
      <c r="I1506" t="s">
        <v>1182</v>
      </c>
      <c r="K1506" s="3"/>
      <c r="M1506" s="3"/>
    </row>
    <row r="1507" spans="1:13">
      <c r="A1507" t="s">
        <v>28</v>
      </c>
      <c r="B1507">
        <f ca="1">IF(OR(changes[[#This Row],[Type]]="Checklist",changes[[#This Row],[Type]]="checklist-flat"),1+IF(changes[[#This Row],[Type of change]] = "Edit",COUNTIFS($I$4:changes[[#This Row],[Name]],changes[[#This Row],[Name]], $E$4:changes[[#This Row],[Type of change]], "Edit")),B1506)</f>
        <v>1</v>
      </c>
      <c r="C1507" s="20">
        <v>44684</v>
      </c>
      <c r="D1507" s="2" t="s">
        <v>2333</v>
      </c>
      <c r="E1507" t="s">
        <v>27</v>
      </c>
      <c r="F1507" s="14" t="s">
        <v>9</v>
      </c>
      <c r="G1507" s="14" t="s">
        <v>1179</v>
      </c>
      <c r="H1507" t="s">
        <v>49</v>
      </c>
      <c r="I1507" t="s">
        <v>1183</v>
      </c>
      <c r="K1507" s="3"/>
      <c r="M1507" s="3"/>
    </row>
    <row r="1508" spans="1:13">
      <c r="A1508" t="s">
        <v>28</v>
      </c>
      <c r="B1508">
        <f ca="1">IF(OR(changes[[#This Row],[Type]]="Checklist",changes[[#This Row],[Type]]="checklist-flat"),1+IF(changes[[#This Row],[Type of change]] = "Edit",COUNTIFS($I$4:changes[[#This Row],[Name]],changes[[#This Row],[Name]], $E$4:changes[[#This Row],[Type of change]], "Edit")),B1507)</f>
        <v>1</v>
      </c>
      <c r="C1508" s="20">
        <v>44684</v>
      </c>
      <c r="D1508" s="2" t="s">
        <v>2333</v>
      </c>
      <c r="E1508" t="s">
        <v>27</v>
      </c>
      <c r="F1508" s="14" t="s">
        <v>9</v>
      </c>
      <c r="G1508" s="14" t="s">
        <v>1179</v>
      </c>
      <c r="H1508" t="s">
        <v>49</v>
      </c>
      <c r="I1508" t="s">
        <v>1184</v>
      </c>
      <c r="K1508" s="3"/>
      <c r="M1508" s="3"/>
    </row>
    <row r="1509" spans="1:13">
      <c r="A1509" t="s">
        <v>28</v>
      </c>
      <c r="B1509">
        <f ca="1">IF(OR(changes[[#This Row],[Type]]="Checklist",changes[[#This Row],[Type]]="checklist-flat"),1+IF(changes[[#This Row],[Type of change]] = "Edit",COUNTIFS($I$4:changes[[#This Row],[Name]],changes[[#This Row],[Name]], $E$4:changes[[#This Row],[Type of change]], "Edit")),B1508)</f>
        <v>1</v>
      </c>
      <c r="C1509" s="20">
        <v>44684</v>
      </c>
      <c r="D1509" s="2" t="s">
        <v>2333</v>
      </c>
      <c r="E1509" t="s">
        <v>27</v>
      </c>
      <c r="F1509" s="14" t="s">
        <v>9</v>
      </c>
      <c r="G1509" s="14" t="s">
        <v>1179</v>
      </c>
      <c r="H1509" t="s">
        <v>49</v>
      </c>
      <c r="I1509" t="s">
        <v>1185</v>
      </c>
      <c r="K1509" s="3"/>
      <c r="M1509" s="3"/>
    </row>
    <row r="1510" spans="1:13">
      <c r="A1510" t="s">
        <v>28</v>
      </c>
      <c r="B1510">
        <f ca="1">IF(OR(changes[[#This Row],[Type]]="Checklist",changes[[#This Row],[Type]]="checklist-flat"),1+IF(changes[[#This Row],[Type of change]] = "Edit",COUNTIFS($I$4:changes[[#This Row],[Name]],changes[[#This Row],[Name]], $E$4:changes[[#This Row],[Type of change]], "Edit")),B1509)</f>
        <v>1</v>
      </c>
      <c r="C1510" s="20">
        <v>44684</v>
      </c>
      <c r="D1510" s="2" t="s">
        <v>2333</v>
      </c>
      <c r="E1510" t="s">
        <v>27</v>
      </c>
      <c r="F1510" s="14" t="s">
        <v>9</v>
      </c>
      <c r="G1510" s="14" t="s">
        <v>1179</v>
      </c>
      <c r="H1510" t="s">
        <v>49</v>
      </c>
      <c r="I1510" t="s">
        <v>1186</v>
      </c>
      <c r="K1510" s="3"/>
      <c r="M1510" s="3"/>
    </row>
    <row r="1511" spans="1:13">
      <c r="A1511" t="s">
        <v>28</v>
      </c>
      <c r="B1511">
        <f ca="1">IF(OR(changes[[#This Row],[Type]]="Checklist",changes[[#This Row],[Type]]="checklist-flat"),1+IF(changes[[#This Row],[Type of change]] = "Edit",COUNTIFS($I$4:changes[[#This Row],[Name]],changes[[#This Row],[Name]], $E$4:changes[[#This Row],[Type of change]], "Edit")),B1510)</f>
        <v>1</v>
      </c>
      <c r="C1511" s="20">
        <v>44684</v>
      </c>
      <c r="D1511" s="2" t="s">
        <v>2333</v>
      </c>
      <c r="E1511" t="s">
        <v>27</v>
      </c>
      <c r="F1511" s="14" t="s">
        <v>9</v>
      </c>
      <c r="G1511" s="14" t="s">
        <v>1179</v>
      </c>
      <c r="H1511" t="s">
        <v>49</v>
      </c>
      <c r="I1511" t="s">
        <v>1187</v>
      </c>
      <c r="K1511" s="3"/>
      <c r="M1511" s="3"/>
    </row>
    <row r="1512" spans="1:13">
      <c r="A1512" t="s">
        <v>28</v>
      </c>
      <c r="B1512">
        <f ca="1">IF(OR(changes[[#This Row],[Type]]="Checklist",changes[[#This Row],[Type]]="checklist-flat"),1+IF(changes[[#This Row],[Type of change]] = "Edit",COUNTIFS($I$4:changes[[#This Row],[Name]],changes[[#This Row],[Name]], $E$4:changes[[#This Row],[Type of change]], "Edit")),B1511)</f>
        <v>1</v>
      </c>
      <c r="C1512" s="20">
        <v>44684</v>
      </c>
      <c r="D1512" s="2" t="s">
        <v>2333</v>
      </c>
      <c r="E1512" t="s">
        <v>27</v>
      </c>
      <c r="F1512" s="14" t="s">
        <v>9</v>
      </c>
      <c r="G1512" s="14" t="s">
        <v>1179</v>
      </c>
      <c r="H1512" t="s">
        <v>49</v>
      </c>
      <c r="I1512" t="s">
        <v>1188</v>
      </c>
      <c r="K1512" s="3"/>
      <c r="M1512" s="3"/>
    </row>
    <row r="1513" spans="1:13">
      <c r="A1513" t="s">
        <v>28</v>
      </c>
      <c r="B1513">
        <f ca="1">IF(OR(changes[[#This Row],[Type]]="Checklist",changes[[#This Row],[Type]]="checklist-flat"),1+IF(changes[[#This Row],[Type of change]] = "Edit",COUNTIFS($I$4:changes[[#This Row],[Name]],changes[[#This Row],[Name]], $E$4:changes[[#This Row],[Type of change]], "Edit")),B1512)</f>
        <v>1</v>
      </c>
      <c r="C1513" s="20">
        <v>44684</v>
      </c>
      <c r="D1513" s="2" t="s">
        <v>2351</v>
      </c>
      <c r="E1513" t="s">
        <v>27</v>
      </c>
      <c r="F1513" s="14" t="s">
        <v>1998</v>
      </c>
      <c r="G1513" t="s">
        <v>2352</v>
      </c>
      <c r="H1513" t="s">
        <v>119</v>
      </c>
      <c r="I1513" t="s">
        <v>2352</v>
      </c>
      <c r="K1513" s="3"/>
      <c r="M1513" s="3" t="s">
        <v>2353</v>
      </c>
    </row>
    <row r="1514" spans="1:13">
      <c r="A1514" t="s">
        <v>28</v>
      </c>
      <c r="B1514">
        <f ca="1">IF(OR(changes[[#This Row],[Type]]="Checklist",changes[[#This Row],[Type]]="checklist-flat"),1+IF(changes[[#This Row],[Type of change]] = "Edit",COUNTIFS($I$4:changes[[#This Row],[Name]],changes[[#This Row],[Name]], $E$4:changes[[#This Row],[Type of change]], "Edit")),B1513)</f>
        <v>1</v>
      </c>
      <c r="C1514" s="20">
        <v>44684</v>
      </c>
      <c r="D1514" s="2" t="s">
        <v>2351</v>
      </c>
      <c r="E1514" t="s">
        <v>27</v>
      </c>
      <c r="F1514" s="14" t="s">
        <v>1998</v>
      </c>
      <c r="G1514" t="s">
        <v>2352</v>
      </c>
      <c r="H1514" t="s">
        <v>120</v>
      </c>
      <c r="I1514" t="s">
        <v>249</v>
      </c>
      <c r="K1514" s="3"/>
      <c r="M1514" s="3"/>
    </row>
    <row r="1515" spans="1:13">
      <c r="A1515" t="s">
        <v>28</v>
      </c>
      <c r="B1515">
        <f ca="1">IF(OR(changes[[#This Row],[Type]]="Checklist",changes[[#This Row],[Type]]="checklist-flat"),1+IF(changes[[#This Row],[Type of change]] = "Edit",COUNTIFS($I$4:changes[[#This Row],[Name]],changes[[#This Row],[Name]], $E$4:changes[[#This Row],[Type of change]], "Edit")),B1514)</f>
        <v>1</v>
      </c>
      <c r="C1515" s="20">
        <v>44684</v>
      </c>
      <c r="D1515" s="2" t="s">
        <v>2351</v>
      </c>
      <c r="E1515" t="s">
        <v>27</v>
      </c>
      <c r="F1515" s="14" t="s">
        <v>1998</v>
      </c>
      <c r="G1515" t="s">
        <v>2352</v>
      </c>
      <c r="H1515" t="s">
        <v>49</v>
      </c>
      <c r="I1515" t="s">
        <v>250</v>
      </c>
      <c r="K1515" s="3"/>
      <c r="M1515" s="3"/>
    </row>
    <row r="1516" spans="1:13">
      <c r="A1516" t="s">
        <v>28</v>
      </c>
      <c r="B1516">
        <f ca="1">IF(OR(changes[[#This Row],[Type]]="Checklist",changes[[#This Row],[Type]]="checklist-flat"),1+IF(changes[[#This Row],[Type of change]] = "Edit",COUNTIFS($I$4:changes[[#This Row],[Name]],changes[[#This Row],[Name]], $E$4:changes[[#This Row],[Type of change]], "Edit")),B1515)</f>
        <v>1</v>
      </c>
      <c r="C1516" s="20">
        <v>44684</v>
      </c>
      <c r="D1516" s="2" t="s">
        <v>2351</v>
      </c>
      <c r="E1516" t="s">
        <v>27</v>
      </c>
      <c r="F1516" s="14" t="s">
        <v>1998</v>
      </c>
      <c r="G1516" t="s">
        <v>2352</v>
      </c>
      <c r="H1516" t="s">
        <v>124</v>
      </c>
      <c r="I1516" t="s">
        <v>251</v>
      </c>
      <c r="K1516" s="3"/>
      <c r="M1516" s="3"/>
    </row>
    <row r="1517" spans="1:13">
      <c r="A1517" t="s">
        <v>28</v>
      </c>
      <c r="B1517">
        <f ca="1">IF(OR(changes[[#This Row],[Type]]="Checklist",changes[[#This Row],[Type]]="checklist-flat"),1+IF(changes[[#This Row],[Type of change]] = "Edit",COUNTIFS($I$4:changes[[#This Row],[Name]],changes[[#This Row],[Name]], $E$4:changes[[#This Row],[Type of change]], "Edit")),B1516)</f>
        <v>1</v>
      </c>
      <c r="C1517" s="20">
        <v>44684</v>
      </c>
      <c r="D1517" s="2" t="s">
        <v>2351</v>
      </c>
      <c r="E1517" t="s">
        <v>27</v>
      </c>
      <c r="F1517" s="14" t="s">
        <v>1998</v>
      </c>
      <c r="G1517" t="s">
        <v>2352</v>
      </c>
      <c r="H1517" t="s">
        <v>124</v>
      </c>
      <c r="I1517" t="s">
        <v>252</v>
      </c>
      <c r="K1517" s="3"/>
      <c r="M1517" s="3"/>
    </row>
    <row r="1518" spans="1:13">
      <c r="A1518" t="s">
        <v>28</v>
      </c>
      <c r="B1518">
        <f ca="1">IF(OR(changes[[#This Row],[Type]]="Checklist",changes[[#This Row],[Type]]="checklist-flat"),1+IF(changes[[#This Row],[Type of change]] = "Edit",COUNTIFS($I$4:changes[[#This Row],[Name]],changes[[#This Row],[Name]], $E$4:changes[[#This Row],[Type of change]], "Edit")),B1517)</f>
        <v>1</v>
      </c>
      <c r="C1518" s="20">
        <v>44684</v>
      </c>
      <c r="D1518" s="2" t="s">
        <v>2351</v>
      </c>
      <c r="E1518" t="s">
        <v>27</v>
      </c>
      <c r="F1518" s="14" t="s">
        <v>1998</v>
      </c>
      <c r="G1518" t="s">
        <v>2352</v>
      </c>
      <c r="H1518" t="s">
        <v>49</v>
      </c>
      <c r="I1518" t="s">
        <v>253</v>
      </c>
      <c r="K1518" s="3"/>
      <c r="M1518" s="3"/>
    </row>
    <row r="1519" spans="1:13">
      <c r="A1519" t="s">
        <v>28</v>
      </c>
      <c r="B1519">
        <f ca="1">IF(OR(changes[[#This Row],[Type]]="Checklist",changes[[#This Row],[Type]]="checklist-flat"),1+IF(changes[[#This Row],[Type of change]] = "Edit",COUNTIFS($I$4:changes[[#This Row],[Name]],changes[[#This Row],[Name]], $E$4:changes[[#This Row],[Type of change]], "Edit")),B1518)</f>
        <v>1</v>
      </c>
      <c r="C1519" s="20">
        <v>44684</v>
      </c>
      <c r="D1519" s="2" t="s">
        <v>2351</v>
      </c>
      <c r="E1519" t="s">
        <v>27</v>
      </c>
      <c r="F1519" s="14" t="s">
        <v>1998</v>
      </c>
      <c r="G1519" t="s">
        <v>2352</v>
      </c>
      <c r="H1519" t="s">
        <v>120</v>
      </c>
      <c r="I1519" t="s">
        <v>254</v>
      </c>
      <c r="K1519" s="3"/>
      <c r="M1519" s="3"/>
    </row>
    <row r="1520" spans="1:13">
      <c r="A1520" t="s">
        <v>28</v>
      </c>
      <c r="B1520">
        <f ca="1">IF(OR(changes[[#This Row],[Type]]="Checklist",changes[[#This Row],[Type]]="checklist-flat"),1+IF(changes[[#This Row],[Type of change]] = "Edit",COUNTIFS($I$4:changes[[#This Row],[Name]],changes[[#This Row],[Name]], $E$4:changes[[#This Row],[Type of change]], "Edit")),B1519)</f>
        <v>1</v>
      </c>
      <c r="C1520" s="20">
        <v>44684</v>
      </c>
      <c r="D1520" s="2" t="s">
        <v>2351</v>
      </c>
      <c r="E1520" t="s">
        <v>27</v>
      </c>
      <c r="F1520" s="14" t="s">
        <v>1998</v>
      </c>
      <c r="G1520" t="s">
        <v>2352</v>
      </c>
      <c r="H1520" t="s">
        <v>49</v>
      </c>
      <c r="I1520" t="s">
        <v>255</v>
      </c>
      <c r="K1520" s="3"/>
      <c r="M1520" s="3"/>
    </row>
    <row r="1521" spans="1:13">
      <c r="A1521" t="s">
        <v>28</v>
      </c>
      <c r="B1521">
        <f ca="1">IF(OR(changes[[#This Row],[Type]]="Checklist",changes[[#This Row],[Type]]="checklist-flat"),1+IF(changes[[#This Row],[Type of change]] = "Edit",COUNTIFS($I$4:changes[[#This Row],[Name]],changes[[#This Row],[Name]], $E$4:changes[[#This Row],[Type of change]], "Edit")),B1520)</f>
        <v>1</v>
      </c>
      <c r="C1521" s="20">
        <v>44684</v>
      </c>
      <c r="D1521" s="2" t="s">
        <v>2351</v>
      </c>
      <c r="E1521" t="s">
        <v>27</v>
      </c>
      <c r="F1521" s="14" t="s">
        <v>1998</v>
      </c>
      <c r="G1521" t="s">
        <v>2352</v>
      </c>
      <c r="H1521" t="s">
        <v>49</v>
      </c>
      <c r="I1521" t="s">
        <v>256</v>
      </c>
      <c r="K1521" s="3"/>
      <c r="M1521" s="3"/>
    </row>
    <row r="1522" spans="1:13">
      <c r="A1522" t="s">
        <v>28</v>
      </c>
      <c r="B1522">
        <f ca="1">IF(OR(changes[[#This Row],[Type]]="Checklist",changes[[#This Row],[Type]]="checklist-flat"),1+IF(changes[[#This Row],[Type of change]] = "Edit",COUNTIFS($I$4:changes[[#This Row],[Name]],changes[[#This Row],[Name]], $E$4:changes[[#This Row],[Type of change]], "Edit")),B1521)</f>
        <v>1</v>
      </c>
      <c r="C1522" s="20">
        <v>44684</v>
      </c>
      <c r="D1522" s="2" t="s">
        <v>2351</v>
      </c>
      <c r="E1522" t="s">
        <v>27</v>
      </c>
      <c r="F1522" s="14" t="s">
        <v>1998</v>
      </c>
      <c r="G1522" t="s">
        <v>2352</v>
      </c>
      <c r="H1522" t="s">
        <v>49</v>
      </c>
      <c r="I1522" t="s">
        <v>257</v>
      </c>
      <c r="K1522" s="3"/>
      <c r="M1522" s="3"/>
    </row>
    <row r="1523" spans="1:13">
      <c r="A1523" t="s">
        <v>28</v>
      </c>
      <c r="B1523">
        <f ca="1">IF(OR(changes[[#This Row],[Type]]="Checklist",changes[[#This Row],[Type]]="checklist-flat"),1+IF(changes[[#This Row],[Type of change]] = "Edit",COUNTIFS($I$4:changes[[#This Row],[Name]],changes[[#This Row],[Name]], $E$4:changes[[#This Row],[Type of change]], "Edit")),B1522)</f>
        <v>1</v>
      </c>
      <c r="C1523" s="20">
        <v>44684</v>
      </c>
      <c r="D1523" s="2" t="s">
        <v>2351</v>
      </c>
      <c r="E1523" t="s">
        <v>27</v>
      </c>
      <c r="F1523" s="14" t="s">
        <v>1998</v>
      </c>
      <c r="G1523" t="s">
        <v>2352</v>
      </c>
      <c r="H1523" t="s">
        <v>49</v>
      </c>
      <c r="I1523" t="s">
        <v>258</v>
      </c>
      <c r="K1523" s="3"/>
      <c r="M1523" s="3"/>
    </row>
    <row r="1524" spans="1:13">
      <c r="A1524" t="s">
        <v>28</v>
      </c>
      <c r="B1524">
        <f ca="1">IF(OR(changes[[#This Row],[Type]]="Checklist",changes[[#This Row],[Type]]="checklist-flat"),1+IF(changes[[#This Row],[Type of change]] = "Edit",COUNTIFS($I$4:changes[[#This Row],[Name]],changes[[#This Row],[Name]], $E$4:changes[[#This Row],[Type of change]], "Edit")),B1523)</f>
        <v>1</v>
      </c>
      <c r="C1524" s="20">
        <v>44684</v>
      </c>
      <c r="D1524" s="2" t="s">
        <v>2351</v>
      </c>
      <c r="E1524" t="s">
        <v>27</v>
      </c>
      <c r="F1524" s="14" t="s">
        <v>1998</v>
      </c>
      <c r="G1524" t="s">
        <v>2352</v>
      </c>
      <c r="H1524" t="s">
        <v>120</v>
      </c>
      <c r="I1524" t="s">
        <v>259</v>
      </c>
      <c r="K1524" s="3"/>
      <c r="M1524" s="3"/>
    </row>
    <row r="1525" spans="1:13">
      <c r="A1525" t="s">
        <v>28</v>
      </c>
      <c r="B1525">
        <f ca="1">IF(OR(changes[[#This Row],[Type]]="Checklist",changes[[#This Row],[Type]]="checklist-flat"),1+IF(changes[[#This Row],[Type of change]] = "Edit",COUNTIFS($I$4:changes[[#This Row],[Name]],changes[[#This Row],[Name]], $E$4:changes[[#This Row],[Type of change]], "Edit")),B1524)</f>
        <v>1</v>
      </c>
      <c r="C1525" s="20">
        <v>44684</v>
      </c>
      <c r="D1525" s="2" t="s">
        <v>2351</v>
      </c>
      <c r="E1525" t="s">
        <v>27</v>
      </c>
      <c r="F1525" s="14" t="s">
        <v>1998</v>
      </c>
      <c r="G1525" t="s">
        <v>2352</v>
      </c>
      <c r="H1525" t="s">
        <v>49</v>
      </c>
      <c r="I1525" t="s">
        <v>260</v>
      </c>
      <c r="K1525" s="3"/>
      <c r="M1525" s="3"/>
    </row>
    <row r="1526" spans="1:13">
      <c r="A1526" t="s">
        <v>28</v>
      </c>
      <c r="B1526">
        <f ca="1">IF(OR(changes[[#This Row],[Type]]="Checklist",changes[[#This Row],[Type]]="checklist-flat"),1+IF(changes[[#This Row],[Type of change]] = "Edit",COUNTIFS($I$4:changes[[#This Row],[Name]],changes[[#This Row],[Name]], $E$4:changes[[#This Row],[Type of change]], "Edit")),B1525)</f>
        <v>1</v>
      </c>
      <c r="C1526" s="20">
        <v>44684</v>
      </c>
      <c r="D1526" s="2" t="s">
        <v>2351</v>
      </c>
      <c r="E1526" t="s">
        <v>27</v>
      </c>
      <c r="F1526" s="14" t="s">
        <v>1998</v>
      </c>
      <c r="G1526" t="s">
        <v>2352</v>
      </c>
      <c r="H1526" t="s">
        <v>49</v>
      </c>
      <c r="I1526" t="s">
        <v>261</v>
      </c>
      <c r="K1526" s="3"/>
      <c r="M1526" s="3"/>
    </row>
    <row r="1527" spans="1:13">
      <c r="A1527" t="s">
        <v>28</v>
      </c>
      <c r="B1527">
        <f ca="1">IF(OR(changes[[#This Row],[Type]]="Checklist",changes[[#This Row],[Type]]="checklist-flat"),1+IF(changes[[#This Row],[Type of change]] = "Edit",COUNTIFS($I$4:changes[[#This Row],[Name]],changes[[#This Row],[Name]], $E$4:changes[[#This Row],[Type of change]], "Edit")),B1526)</f>
        <v>1</v>
      </c>
      <c r="C1527" s="20">
        <v>44684</v>
      </c>
      <c r="D1527" s="2" t="s">
        <v>2351</v>
      </c>
      <c r="E1527" t="s">
        <v>27</v>
      </c>
      <c r="F1527" s="14" t="s">
        <v>1998</v>
      </c>
      <c r="G1527" t="s">
        <v>2352</v>
      </c>
      <c r="H1527" t="s">
        <v>49</v>
      </c>
      <c r="I1527" t="s">
        <v>262</v>
      </c>
      <c r="K1527" s="3"/>
      <c r="M1527" s="3"/>
    </row>
    <row r="1528" spans="1:13">
      <c r="A1528" t="s">
        <v>28</v>
      </c>
      <c r="B1528">
        <f ca="1">IF(OR(changes[[#This Row],[Type]]="Checklist",changes[[#This Row],[Type]]="checklist-flat"),1+IF(changes[[#This Row],[Type of change]] = "Edit",COUNTIFS($I$4:changes[[#This Row],[Name]],changes[[#This Row],[Name]], $E$4:changes[[#This Row],[Type of change]], "Edit")),B1527)</f>
        <v>1</v>
      </c>
      <c r="C1528" s="20">
        <v>44684</v>
      </c>
      <c r="D1528" s="2" t="s">
        <v>2351</v>
      </c>
      <c r="E1528" t="s">
        <v>27</v>
      </c>
      <c r="F1528" s="14" t="s">
        <v>1998</v>
      </c>
      <c r="G1528" t="s">
        <v>2352</v>
      </c>
      <c r="H1528" t="s">
        <v>49</v>
      </c>
      <c r="I1528" t="s">
        <v>263</v>
      </c>
      <c r="K1528" s="3"/>
      <c r="M1528" s="3"/>
    </row>
    <row r="1529" spans="1:13">
      <c r="A1529" t="s">
        <v>28</v>
      </c>
      <c r="B1529">
        <f ca="1">IF(OR(changes[[#This Row],[Type]]="Checklist",changes[[#This Row],[Type]]="checklist-flat"),1+IF(changes[[#This Row],[Type of change]] = "Edit",COUNTIFS($I$4:changes[[#This Row],[Name]],changes[[#This Row],[Name]], $E$4:changes[[#This Row],[Type of change]], "Edit")),B1528)</f>
        <v>1</v>
      </c>
      <c r="C1529" s="20">
        <v>44684</v>
      </c>
      <c r="D1529" s="2" t="s">
        <v>2351</v>
      </c>
      <c r="E1529" t="s">
        <v>27</v>
      </c>
      <c r="F1529" s="14" t="s">
        <v>1998</v>
      </c>
      <c r="G1529" t="s">
        <v>2352</v>
      </c>
      <c r="H1529" t="s">
        <v>49</v>
      </c>
      <c r="I1529" t="s">
        <v>264</v>
      </c>
      <c r="K1529" s="3"/>
      <c r="M1529" s="3"/>
    </row>
    <row r="1530" spans="1:13">
      <c r="A1530" t="s">
        <v>28</v>
      </c>
      <c r="B1530">
        <f ca="1">IF(OR(changes[[#This Row],[Type]]="Checklist",changes[[#This Row],[Type]]="checklist-flat"),1+IF(changes[[#This Row],[Type of change]] = "Edit",COUNTIFS($I$4:changes[[#This Row],[Name]],changes[[#This Row],[Name]], $E$4:changes[[#This Row],[Type of change]], "Edit")),B1529)</f>
        <v>1</v>
      </c>
      <c r="C1530" s="20">
        <v>44684</v>
      </c>
      <c r="D1530" s="2" t="s">
        <v>2351</v>
      </c>
      <c r="E1530" t="s">
        <v>27</v>
      </c>
      <c r="F1530" s="14" t="s">
        <v>1998</v>
      </c>
      <c r="G1530" t="s">
        <v>2352</v>
      </c>
      <c r="H1530" t="s">
        <v>66</v>
      </c>
      <c r="I1530" t="s">
        <v>265</v>
      </c>
      <c r="K1530" s="3"/>
      <c r="M1530" s="3"/>
    </row>
    <row r="1531" spans="1:13">
      <c r="A1531" t="s">
        <v>28</v>
      </c>
      <c r="B1531">
        <f ca="1">IF(OR(changes[[#This Row],[Type]]="Checklist",changes[[#This Row],[Type]]="checklist-flat"),1+IF(changes[[#This Row],[Type of change]] = "Edit",COUNTIFS($I$4:changes[[#This Row],[Name]],changes[[#This Row],[Name]], $E$4:changes[[#This Row],[Type of change]], "Edit")),B1530)</f>
        <v>1</v>
      </c>
      <c r="C1531" s="20">
        <v>44684</v>
      </c>
      <c r="D1531" s="2" t="s">
        <v>2351</v>
      </c>
      <c r="E1531" t="s">
        <v>27</v>
      </c>
      <c r="F1531" s="14" t="s">
        <v>1998</v>
      </c>
      <c r="G1531" t="s">
        <v>2352</v>
      </c>
      <c r="H1531" t="s">
        <v>66</v>
      </c>
      <c r="I1531" t="s">
        <v>266</v>
      </c>
      <c r="K1531" s="3"/>
      <c r="M1531" s="3"/>
    </row>
    <row r="1532" spans="1:13">
      <c r="A1532" t="s">
        <v>28</v>
      </c>
      <c r="B1532">
        <f ca="1">IF(OR(changes[[#This Row],[Type]]="Checklist",changes[[#This Row],[Type]]="checklist-flat"),1+IF(changes[[#This Row],[Type of change]] = "Edit",COUNTIFS($I$4:changes[[#This Row],[Name]],changes[[#This Row],[Name]], $E$4:changes[[#This Row],[Type of change]], "Edit")),B1531)</f>
        <v>1</v>
      </c>
      <c r="C1532" s="20">
        <v>44684</v>
      </c>
      <c r="D1532" s="2" t="s">
        <v>2351</v>
      </c>
      <c r="E1532" t="s">
        <v>27</v>
      </c>
      <c r="F1532" s="14" t="s">
        <v>1998</v>
      </c>
      <c r="G1532" t="s">
        <v>2352</v>
      </c>
      <c r="H1532" t="s">
        <v>49</v>
      </c>
      <c r="I1532" t="s">
        <v>267</v>
      </c>
      <c r="K1532" s="3"/>
      <c r="M1532" s="3"/>
    </row>
    <row r="1533" spans="1:13">
      <c r="A1533" t="s">
        <v>28</v>
      </c>
      <c r="B1533">
        <f ca="1">IF(OR(changes[[#This Row],[Type]]="Checklist",changes[[#This Row],[Type]]="checklist-flat"),1+IF(changes[[#This Row],[Type of change]] = "Edit",COUNTIFS($I$4:changes[[#This Row],[Name]],changes[[#This Row],[Name]], $E$4:changes[[#This Row],[Type of change]], "Edit")),B1532)</f>
        <v>1</v>
      </c>
      <c r="C1533" s="20">
        <v>44684</v>
      </c>
      <c r="D1533" s="2" t="s">
        <v>2351</v>
      </c>
      <c r="E1533" t="s">
        <v>27</v>
      </c>
      <c r="F1533" s="14" t="s">
        <v>1998</v>
      </c>
      <c r="G1533" t="s">
        <v>2352</v>
      </c>
      <c r="H1533" t="s">
        <v>49</v>
      </c>
      <c r="I1533" t="s">
        <v>268</v>
      </c>
      <c r="K1533" s="3"/>
      <c r="M1533" s="3"/>
    </row>
    <row r="1534" spans="1:13">
      <c r="A1534" t="s">
        <v>28</v>
      </c>
      <c r="B1534">
        <f ca="1">IF(OR(changes[[#This Row],[Type]]="Checklist",changes[[#This Row],[Type]]="checklist-flat"),1+IF(changes[[#This Row],[Type of change]] = "Edit",COUNTIFS($I$4:changes[[#This Row],[Name]],changes[[#This Row],[Name]], $E$4:changes[[#This Row],[Type of change]], "Edit")),B1533)</f>
        <v>1</v>
      </c>
      <c r="C1534" s="20">
        <v>44684</v>
      </c>
      <c r="D1534" s="2" t="s">
        <v>2351</v>
      </c>
      <c r="E1534" t="s">
        <v>27</v>
      </c>
      <c r="F1534" s="14" t="s">
        <v>1998</v>
      </c>
      <c r="G1534" t="s">
        <v>2352</v>
      </c>
      <c r="H1534" t="s">
        <v>49</v>
      </c>
      <c r="I1534" t="s">
        <v>269</v>
      </c>
      <c r="K1534" s="3"/>
      <c r="M1534" s="3"/>
    </row>
    <row r="1535" spans="1:13">
      <c r="A1535" t="s">
        <v>28</v>
      </c>
      <c r="B1535">
        <f ca="1">IF(OR(changes[[#This Row],[Type]]="Checklist",changes[[#This Row],[Type]]="checklist-flat"),1+IF(changes[[#This Row],[Type of change]] = "Edit",COUNTIFS($I$4:changes[[#This Row],[Name]],changes[[#This Row],[Name]], $E$4:changes[[#This Row],[Type of change]], "Edit")),B1534)</f>
        <v>1</v>
      </c>
      <c r="C1535" s="20">
        <v>44684</v>
      </c>
      <c r="D1535" s="2" t="s">
        <v>2351</v>
      </c>
      <c r="E1535" t="s">
        <v>27</v>
      </c>
      <c r="F1535" s="14" t="s">
        <v>1998</v>
      </c>
      <c r="G1535" t="s">
        <v>2352</v>
      </c>
      <c r="H1535" t="s">
        <v>49</v>
      </c>
      <c r="I1535" t="s">
        <v>270</v>
      </c>
      <c r="K1535" s="3"/>
      <c r="M1535" s="3"/>
    </row>
    <row r="1536" spans="1:13">
      <c r="A1536" t="s">
        <v>28</v>
      </c>
      <c r="B1536">
        <f ca="1">IF(OR(changes[[#This Row],[Type]]="Checklist",changes[[#This Row],[Type]]="checklist-flat"),1+IF(changes[[#This Row],[Type of change]] = "Edit",COUNTIFS($I$4:changes[[#This Row],[Name]],changes[[#This Row],[Name]], $E$4:changes[[#This Row],[Type of change]], "Edit")),B1535)</f>
        <v>1</v>
      </c>
      <c r="C1536" s="20">
        <v>44684</v>
      </c>
      <c r="D1536" s="2" t="s">
        <v>2351</v>
      </c>
      <c r="E1536" t="s">
        <v>27</v>
      </c>
      <c r="F1536" s="14" t="s">
        <v>1998</v>
      </c>
      <c r="G1536" t="s">
        <v>2352</v>
      </c>
      <c r="H1536" t="s">
        <v>49</v>
      </c>
      <c r="I1536" t="s">
        <v>271</v>
      </c>
      <c r="K1536" s="3"/>
      <c r="M1536" s="3"/>
    </row>
    <row r="1537" spans="1:13">
      <c r="A1537" t="s">
        <v>28</v>
      </c>
      <c r="B1537">
        <f ca="1">IF(OR(changes[[#This Row],[Type]]="Checklist",changes[[#This Row],[Type]]="checklist-flat"),1+IF(changes[[#This Row],[Type of change]] = "Edit",COUNTIFS($I$4:changes[[#This Row],[Name]],changes[[#This Row],[Name]], $E$4:changes[[#This Row],[Type of change]], "Edit")),B1536)</f>
        <v>1</v>
      </c>
      <c r="C1537" s="20">
        <v>44684</v>
      </c>
      <c r="D1537" s="2" t="s">
        <v>2351</v>
      </c>
      <c r="E1537" t="s">
        <v>27</v>
      </c>
      <c r="F1537" s="14" t="s">
        <v>1998</v>
      </c>
      <c r="G1537" t="s">
        <v>2352</v>
      </c>
      <c r="H1537" t="s">
        <v>49</v>
      </c>
      <c r="I1537" t="s">
        <v>272</v>
      </c>
      <c r="K1537" s="3"/>
      <c r="M1537" s="3"/>
    </row>
    <row r="1538" spans="1:13">
      <c r="A1538" t="s">
        <v>28</v>
      </c>
      <c r="B1538">
        <f ca="1">IF(OR(changes[[#This Row],[Type]]="Checklist",changes[[#This Row],[Type]]="checklist-flat"),1+IF(changes[[#This Row],[Type of change]] = "Edit",COUNTIFS($I$4:changes[[#This Row],[Name]],changes[[#This Row],[Name]], $E$4:changes[[#This Row],[Type of change]], "Edit")),B1537)</f>
        <v>1</v>
      </c>
      <c r="C1538" s="20">
        <v>44684</v>
      </c>
      <c r="D1538" s="2" t="s">
        <v>2351</v>
      </c>
      <c r="E1538" t="s">
        <v>27</v>
      </c>
      <c r="F1538" s="14" t="s">
        <v>1998</v>
      </c>
      <c r="G1538" t="s">
        <v>2352</v>
      </c>
      <c r="H1538" t="s">
        <v>120</v>
      </c>
      <c r="I1538" t="s">
        <v>273</v>
      </c>
      <c r="K1538" s="3"/>
      <c r="M1538" s="3"/>
    </row>
    <row r="1539" spans="1:13">
      <c r="A1539" t="s">
        <v>28</v>
      </c>
      <c r="B1539">
        <f ca="1">IF(OR(changes[[#This Row],[Type]]="Checklist",changes[[#This Row],[Type]]="checklist-flat"),1+IF(changes[[#This Row],[Type of change]] = "Edit",COUNTIFS($I$4:changes[[#This Row],[Name]],changes[[#This Row],[Name]], $E$4:changes[[#This Row],[Type of change]], "Edit")),B1538)</f>
        <v>1</v>
      </c>
      <c r="C1539" s="20">
        <v>44684</v>
      </c>
      <c r="D1539" s="2" t="s">
        <v>2351</v>
      </c>
      <c r="E1539" t="s">
        <v>27</v>
      </c>
      <c r="F1539" s="14" t="s">
        <v>1998</v>
      </c>
      <c r="G1539" t="s">
        <v>2352</v>
      </c>
      <c r="H1539" t="s">
        <v>49</v>
      </c>
      <c r="I1539" t="s">
        <v>274</v>
      </c>
      <c r="K1539" s="3"/>
      <c r="M1539" s="3"/>
    </row>
    <row r="1540" spans="1:13">
      <c r="A1540" t="s">
        <v>28</v>
      </c>
      <c r="B1540">
        <f ca="1">IF(OR(changes[[#This Row],[Type]]="Checklist",changes[[#This Row],[Type]]="checklist-flat"),1+IF(changes[[#This Row],[Type of change]] = "Edit",COUNTIFS($I$4:changes[[#This Row],[Name]],changes[[#This Row],[Name]], $E$4:changes[[#This Row],[Type of change]], "Edit")),B1539)</f>
        <v>1</v>
      </c>
      <c r="C1540" s="20">
        <v>44684</v>
      </c>
      <c r="D1540" s="2" t="s">
        <v>2351</v>
      </c>
      <c r="E1540" t="s">
        <v>27</v>
      </c>
      <c r="F1540" s="14" t="s">
        <v>1998</v>
      </c>
      <c r="G1540" t="s">
        <v>2352</v>
      </c>
      <c r="H1540" t="s">
        <v>49</v>
      </c>
      <c r="I1540" t="s">
        <v>275</v>
      </c>
      <c r="K1540" s="3"/>
      <c r="M1540" s="3"/>
    </row>
    <row r="1541" spans="1:13">
      <c r="A1541" t="s">
        <v>28</v>
      </c>
      <c r="B1541">
        <f ca="1">IF(OR(changes[[#This Row],[Type]]="Checklist",changes[[#This Row],[Type]]="checklist-flat"),1+IF(changes[[#This Row],[Type of change]] = "Edit",COUNTIFS($I$4:changes[[#This Row],[Name]],changes[[#This Row],[Name]], $E$4:changes[[#This Row],[Type of change]], "Edit")),B1540)</f>
        <v>1</v>
      </c>
      <c r="C1541" s="20">
        <v>44684</v>
      </c>
      <c r="D1541" s="2" t="s">
        <v>2351</v>
      </c>
      <c r="E1541" t="s">
        <v>27</v>
      </c>
      <c r="F1541" s="14" t="s">
        <v>1998</v>
      </c>
      <c r="G1541" t="s">
        <v>2352</v>
      </c>
      <c r="H1541" t="s">
        <v>49</v>
      </c>
      <c r="I1541" t="s">
        <v>276</v>
      </c>
      <c r="K1541" s="3"/>
      <c r="M1541" s="3"/>
    </row>
    <row r="1542" spans="1:13">
      <c r="A1542" t="s">
        <v>28</v>
      </c>
      <c r="B1542">
        <f ca="1">IF(OR(changes[[#This Row],[Type]]="Checklist",changes[[#This Row],[Type]]="checklist-flat"),1+IF(changes[[#This Row],[Type of change]] = "Edit",COUNTIFS($I$4:changes[[#This Row],[Name]],changes[[#This Row],[Name]], $E$4:changes[[#This Row],[Type of change]], "Edit")),B1541)</f>
        <v>1</v>
      </c>
      <c r="C1542" s="20">
        <v>44684</v>
      </c>
      <c r="D1542" s="2" t="s">
        <v>2351</v>
      </c>
      <c r="E1542" t="s">
        <v>27</v>
      </c>
      <c r="F1542" s="14" t="s">
        <v>1998</v>
      </c>
      <c r="G1542" t="s">
        <v>2352</v>
      </c>
      <c r="H1542" t="s">
        <v>49</v>
      </c>
      <c r="I1542" t="s">
        <v>277</v>
      </c>
      <c r="K1542" s="3"/>
      <c r="M1542" s="3"/>
    </row>
    <row r="1543" spans="1:13">
      <c r="A1543" t="s">
        <v>28</v>
      </c>
      <c r="B1543">
        <f ca="1">IF(OR(changes[[#This Row],[Type]]="Checklist",changes[[#This Row],[Type]]="checklist-flat"),1+IF(changes[[#This Row],[Type of change]] = "Edit",COUNTIFS($I$4:changes[[#This Row],[Name]],changes[[#This Row],[Name]], $E$4:changes[[#This Row],[Type of change]], "Edit")),B1542)</f>
        <v>1</v>
      </c>
      <c r="C1543" s="20">
        <v>44684</v>
      </c>
      <c r="D1543" s="2" t="s">
        <v>2351</v>
      </c>
      <c r="E1543" t="s">
        <v>27</v>
      </c>
      <c r="F1543" s="14" t="s">
        <v>1998</v>
      </c>
      <c r="G1543" t="s">
        <v>2352</v>
      </c>
      <c r="H1543" t="s">
        <v>120</v>
      </c>
      <c r="I1543" t="s">
        <v>278</v>
      </c>
      <c r="K1543" s="3"/>
      <c r="M1543" s="3"/>
    </row>
    <row r="1544" spans="1:13">
      <c r="A1544" t="s">
        <v>28</v>
      </c>
      <c r="B1544">
        <f ca="1">IF(OR(changes[[#This Row],[Type]]="Checklist",changes[[#This Row],[Type]]="checklist-flat"),1+IF(changes[[#This Row],[Type of change]] = "Edit",COUNTIFS($I$4:changes[[#This Row],[Name]],changes[[#This Row],[Name]], $E$4:changes[[#This Row],[Type of change]], "Edit")),B1543)</f>
        <v>1</v>
      </c>
      <c r="C1544" s="20">
        <v>44684</v>
      </c>
      <c r="D1544" s="2" t="s">
        <v>2351</v>
      </c>
      <c r="E1544" t="s">
        <v>27</v>
      </c>
      <c r="F1544" s="14" t="s">
        <v>1998</v>
      </c>
      <c r="G1544" t="s">
        <v>2352</v>
      </c>
      <c r="H1544" t="s">
        <v>49</v>
      </c>
      <c r="I1544" t="s">
        <v>279</v>
      </c>
      <c r="K1544" s="3"/>
      <c r="M1544" s="3"/>
    </row>
    <row r="1545" spans="1:13">
      <c r="A1545" t="s">
        <v>28</v>
      </c>
      <c r="B1545">
        <f ca="1">IF(OR(changes[[#This Row],[Type]]="Checklist",changes[[#This Row],[Type]]="checklist-flat"),1+IF(changes[[#This Row],[Type of change]] = "Edit",COUNTIFS($I$4:changes[[#This Row],[Name]],changes[[#This Row],[Name]], $E$4:changes[[#This Row],[Type of change]], "Edit")),B1544)</f>
        <v>1</v>
      </c>
      <c r="C1545" s="20">
        <v>44684</v>
      </c>
      <c r="D1545" s="2" t="s">
        <v>2351</v>
      </c>
      <c r="E1545" t="s">
        <v>27</v>
      </c>
      <c r="F1545" s="14" t="s">
        <v>1998</v>
      </c>
      <c r="G1545" t="s">
        <v>2352</v>
      </c>
      <c r="H1545" t="s">
        <v>124</v>
      </c>
      <c r="I1545" t="s">
        <v>280</v>
      </c>
      <c r="K1545" s="3"/>
      <c r="M1545" s="3"/>
    </row>
    <row r="1546" spans="1:13">
      <c r="A1546" t="s">
        <v>28</v>
      </c>
      <c r="B1546">
        <f ca="1">IF(OR(changes[[#This Row],[Type]]="Checklist",changes[[#This Row],[Type]]="checklist-flat"),1+IF(changes[[#This Row],[Type of change]] = "Edit",COUNTIFS($I$4:changes[[#This Row],[Name]],changes[[#This Row],[Name]], $E$4:changes[[#This Row],[Type of change]], "Edit")),B1545)</f>
        <v>1</v>
      </c>
      <c r="C1546" s="20">
        <v>44684</v>
      </c>
      <c r="D1546" s="2" t="s">
        <v>2351</v>
      </c>
      <c r="E1546" t="s">
        <v>27</v>
      </c>
      <c r="F1546" s="14" t="s">
        <v>1998</v>
      </c>
      <c r="G1546" t="s">
        <v>2352</v>
      </c>
      <c r="H1546" t="s">
        <v>124</v>
      </c>
      <c r="I1546" t="s">
        <v>281</v>
      </c>
      <c r="J1546" t="s">
        <v>282</v>
      </c>
      <c r="K1546" s="3"/>
      <c r="M1546" s="3"/>
    </row>
    <row r="1547" spans="1:13">
      <c r="A1547" t="s">
        <v>28</v>
      </c>
      <c r="B1547">
        <f ca="1">IF(OR(changes[[#This Row],[Type]]="Checklist",changes[[#This Row],[Type]]="checklist-flat"),1+IF(changes[[#This Row],[Type of change]] = "Edit",COUNTIFS($I$4:changes[[#This Row],[Name]],changes[[#This Row],[Name]], $E$4:changes[[#This Row],[Type of change]], "Edit")),B1546)</f>
        <v>1</v>
      </c>
      <c r="C1547" s="20">
        <v>44684</v>
      </c>
      <c r="D1547" s="2" t="s">
        <v>2351</v>
      </c>
      <c r="E1547" t="s">
        <v>27</v>
      </c>
      <c r="F1547" s="14" t="s">
        <v>1998</v>
      </c>
      <c r="G1547" t="s">
        <v>2352</v>
      </c>
      <c r="H1547" t="s">
        <v>124</v>
      </c>
      <c r="I1547" t="s">
        <v>283</v>
      </c>
      <c r="J1547" t="s">
        <v>282</v>
      </c>
      <c r="K1547" s="3"/>
      <c r="M1547" s="3"/>
    </row>
    <row r="1548" spans="1:13">
      <c r="A1548" t="s">
        <v>28</v>
      </c>
      <c r="B1548">
        <f ca="1">IF(OR(changes[[#This Row],[Type]]="Checklist",changes[[#This Row],[Type]]="checklist-flat"),1+IF(changes[[#This Row],[Type of change]] = "Edit",COUNTIFS($I$4:changes[[#This Row],[Name]],changes[[#This Row],[Name]], $E$4:changes[[#This Row],[Type of change]], "Edit")),B1547)</f>
        <v>1</v>
      </c>
      <c r="C1548" s="20">
        <v>44684</v>
      </c>
      <c r="D1548" s="2" t="s">
        <v>2351</v>
      </c>
      <c r="E1548" t="s">
        <v>27</v>
      </c>
      <c r="F1548" s="14" t="s">
        <v>1998</v>
      </c>
      <c r="G1548" t="s">
        <v>2352</v>
      </c>
      <c r="H1548" t="s">
        <v>124</v>
      </c>
      <c r="I1548" t="s">
        <v>284</v>
      </c>
      <c r="J1548" t="s">
        <v>285</v>
      </c>
      <c r="K1548" s="3"/>
      <c r="M1548" s="3"/>
    </row>
    <row r="1549" spans="1:13">
      <c r="A1549" t="s">
        <v>28</v>
      </c>
      <c r="B1549">
        <f ca="1">IF(OR(changes[[#This Row],[Type]]="Checklist",changes[[#This Row],[Type]]="checklist-flat"),1+IF(changes[[#This Row],[Type of change]] = "Edit",COUNTIFS($I$4:changes[[#This Row],[Name]],changes[[#This Row],[Name]], $E$4:changes[[#This Row],[Type of change]], "Edit")),B1548)</f>
        <v>1</v>
      </c>
      <c r="C1549" s="20">
        <v>44684</v>
      </c>
      <c r="D1549" s="2" t="s">
        <v>2351</v>
      </c>
      <c r="E1549" t="s">
        <v>27</v>
      </c>
      <c r="F1549" s="14" t="s">
        <v>1998</v>
      </c>
      <c r="G1549" t="s">
        <v>2352</v>
      </c>
      <c r="H1549" t="s">
        <v>131</v>
      </c>
      <c r="I1549" t="s">
        <v>286</v>
      </c>
      <c r="J1549" t="s">
        <v>287</v>
      </c>
      <c r="K1549" s="3"/>
      <c r="M1549" s="3"/>
    </row>
    <row r="1550" spans="1:13">
      <c r="A1550" t="s">
        <v>28</v>
      </c>
      <c r="B1550">
        <f ca="1">IF(OR(changes[[#This Row],[Type]]="Checklist",changes[[#This Row],[Type]]="checklist-flat"),1+IF(changes[[#This Row],[Type of change]] = "Edit",COUNTIFS($I$4:changes[[#This Row],[Name]],changes[[#This Row],[Name]], $E$4:changes[[#This Row],[Type of change]], "Edit")),B1549)</f>
        <v>1</v>
      </c>
      <c r="C1550" s="20">
        <v>44684</v>
      </c>
      <c r="D1550" s="2" t="s">
        <v>2351</v>
      </c>
      <c r="E1550" t="s">
        <v>27</v>
      </c>
      <c r="F1550" s="14" t="s">
        <v>1998</v>
      </c>
      <c r="G1550" t="s">
        <v>2352</v>
      </c>
      <c r="H1550" t="s">
        <v>49</v>
      </c>
      <c r="I1550" t="s">
        <v>288</v>
      </c>
      <c r="K1550" s="3"/>
      <c r="M1550" s="3"/>
    </row>
    <row r="1551" spans="1:13">
      <c r="A1551" t="s">
        <v>28</v>
      </c>
      <c r="B1551">
        <f ca="1">IF(OR(changes[[#This Row],[Type]]="Checklist",changes[[#This Row],[Type]]="checklist-flat"),1+IF(changes[[#This Row],[Type of change]] = "Edit",COUNTIFS($I$4:changes[[#This Row],[Name]],changes[[#This Row],[Name]], $E$4:changes[[#This Row],[Type of change]], "Edit")),B1550)</f>
        <v>1</v>
      </c>
      <c r="C1551" s="20">
        <v>44684</v>
      </c>
      <c r="D1551" s="2" t="s">
        <v>2351</v>
      </c>
      <c r="E1551" t="s">
        <v>27</v>
      </c>
      <c r="F1551" s="14" t="s">
        <v>1998</v>
      </c>
      <c r="G1551" t="s">
        <v>2352</v>
      </c>
      <c r="H1551" t="s">
        <v>49</v>
      </c>
      <c r="I1551" t="s">
        <v>289</v>
      </c>
      <c r="K1551" s="3"/>
      <c r="M1551" s="3"/>
    </row>
    <row r="1552" spans="1:13">
      <c r="A1552" t="s">
        <v>28</v>
      </c>
      <c r="B1552">
        <f ca="1">IF(OR(changes[[#This Row],[Type]]="Checklist",changes[[#This Row],[Type]]="checklist-flat"),1+IF(changes[[#This Row],[Type of change]] = "Edit",COUNTIFS($I$4:changes[[#This Row],[Name]],changes[[#This Row],[Name]], $E$4:changes[[#This Row],[Type of change]], "Edit")),B1551)</f>
        <v>1</v>
      </c>
      <c r="C1552" s="20">
        <v>44684</v>
      </c>
      <c r="D1552" s="2" t="s">
        <v>2351</v>
      </c>
      <c r="E1552" t="s">
        <v>27</v>
      </c>
      <c r="F1552" s="14" t="s">
        <v>1998</v>
      </c>
      <c r="G1552" t="s">
        <v>2352</v>
      </c>
      <c r="H1552" t="s">
        <v>120</v>
      </c>
      <c r="I1552" t="s">
        <v>290</v>
      </c>
      <c r="K1552" s="3"/>
      <c r="M1552" s="3"/>
    </row>
    <row r="1553" spans="1:13">
      <c r="A1553" t="s">
        <v>28</v>
      </c>
      <c r="B1553">
        <f ca="1">IF(OR(changes[[#This Row],[Type]]="Checklist",changes[[#This Row],[Type]]="checklist-flat"),1+IF(changes[[#This Row],[Type of change]] = "Edit",COUNTIFS($I$4:changes[[#This Row],[Name]],changes[[#This Row],[Name]], $E$4:changes[[#This Row],[Type of change]], "Edit")),B1552)</f>
        <v>1</v>
      </c>
      <c r="C1553" s="20">
        <v>44684</v>
      </c>
      <c r="D1553" s="2" t="s">
        <v>2351</v>
      </c>
      <c r="E1553" t="s">
        <v>27</v>
      </c>
      <c r="F1553" s="14" t="s">
        <v>1998</v>
      </c>
      <c r="G1553" t="s">
        <v>2352</v>
      </c>
      <c r="H1553" t="s">
        <v>49</v>
      </c>
      <c r="I1553" t="s">
        <v>291</v>
      </c>
      <c r="K1553" s="3"/>
      <c r="M1553" s="3"/>
    </row>
    <row r="1554" spans="1:13">
      <c r="A1554" t="s">
        <v>28</v>
      </c>
      <c r="B1554">
        <f ca="1">IF(OR(changes[[#This Row],[Type]]="Checklist",changes[[#This Row],[Type]]="checklist-flat"),1+IF(changes[[#This Row],[Type of change]] = "Edit",COUNTIFS($I$4:changes[[#This Row],[Name]],changes[[#This Row],[Name]], $E$4:changes[[#This Row],[Type of change]], "Edit")),B1553)</f>
        <v>1</v>
      </c>
      <c r="C1554" s="20">
        <v>44684</v>
      </c>
      <c r="D1554" s="2" t="s">
        <v>2351</v>
      </c>
      <c r="E1554" t="s">
        <v>27</v>
      </c>
      <c r="F1554" s="14" t="s">
        <v>1998</v>
      </c>
      <c r="G1554" t="s">
        <v>2352</v>
      </c>
      <c r="H1554" t="s">
        <v>49</v>
      </c>
      <c r="I1554" t="s">
        <v>292</v>
      </c>
      <c r="K1554" s="3"/>
      <c r="M1554" s="3"/>
    </row>
    <row r="1555" spans="1:13">
      <c r="A1555" t="s">
        <v>28</v>
      </c>
      <c r="B1555">
        <f ca="1">IF(OR(changes[[#This Row],[Type]]="Checklist",changes[[#This Row],[Type]]="checklist-flat"),1+IF(changes[[#This Row],[Type of change]] = "Edit",COUNTIFS($I$4:changes[[#This Row],[Name]],changes[[#This Row],[Name]], $E$4:changes[[#This Row],[Type of change]], "Edit")),B1554)</f>
        <v>1</v>
      </c>
      <c r="C1555" s="20">
        <v>44684</v>
      </c>
      <c r="D1555" s="2" t="s">
        <v>2351</v>
      </c>
      <c r="E1555" t="s">
        <v>27</v>
      </c>
      <c r="F1555" s="14" t="s">
        <v>1998</v>
      </c>
      <c r="G1555" t="s">
        <v>2352</v>
      </c>
      <c r="H1555" t="s">
        <v>131</v>
      </c>
      <c r="I1555" t="s">
        <v>293</v>
      </c>
      <c r="J1555" t="s">
        <v>287</v>
      </c>
      <c r="K1555" s="3"/>
      <c r="M1555" s="3"/>
    </row>
    <row r="1556" spans="1:13">
      <c r="A1556" t="s">
        <v>28</v>
      </c>
      <c r="B1556">
        <f ca="1">IF(OR(changes[[#This Row],[Type]]="Checklist",changes[[#This Row],[Type]]="checklist-flat"),1+IF(changes[[#This Row],[Type of change]] = "Edit",COUNTIFS($I$4:changes[[#This Row],[Name]],changes[[#This Row],[Name]], $E$4:changes[[#This Row],[Type of change]], "Edit")),B1555)</f>
        <v>1</v>
      </c>
      <c r="C1556" s="20">
        <v>44684</v>
      </c>
      <c r="D1556" s="2" t="s">
        <v>2351</v>
      </c>
      <c r="E1556" t="s">
        <v>27</v>
      </c>
      <c r="F1556" s="14" t="s">
        <v>1998</v>
      </c>
      <c r="G1556" t="s">
        <v>2352</v>
      </c>
      <c r="H1556" t="s">
        <v>49</v>
      </c>
      <c r="I1556" t="s">
        <v>294</v>
      </c>
      <c r="K1556" s="3"/>
      <c r="M1556" s="3"/>
    </row>
    <row r="1557" spans="1:13">
      <c r="A1557" t="s">
        <v>28</v>
      </c>
      <c r="B1557">
        <f ca="1">IF(OR(changes[[#This Row],[Type]]="Checklist",changes[[#This Row],[Type]]="checklist-flat"),1+IF(changes[[#This Row],[Type of change]] = "Edit",COUNTIFS($I$4:changes[[#This Row],[Name]],changes[[#This Row],[Name]], $E$4:changes[[#This Row],[Type of change]], "Edit")),B1556)</f>
        <v>1</v>
      </c>
      <c r="C1557" s="20">
        <v>44684</v>
      </c>
      <c r="D1557" s="2" t="s">
        <v>2351</v>
      </c>
      <c r="E1557" t="s">
        <v>27</v>
      </c>
      <c r="F1557" s="14" t="s">
        <v>1998</v>
      </c>
      <c r="G1557" t="s">
        <v>2352</v>
      </c>
      <c r="H1557" t="s">
        <v>49</v>
      </c>
      <c r="I1557" t="s">
        <v>295</v>
      </c>
      <c r="K1557" s="3"/>
      <c r="M1557" s="3"/>
    </row>
    <row r="1558" spans="1:13">
      <c r="A1558" t="s">
        <v>28</v>
      </c>
      <c r="B1558">
        <f ca="1">IF(OR(changes[[#This Row],[Type]]="Checklist",changes[[#This Row],[Type]]="checklist-flat"),1+IF(changes[[#This Row],[Type of change]] = "Edit",COUNTIFS($I$4:changes[[#This Row],[Name]],changes[[#This Row],[Name]], $E$4:changes[[#This Row],[Type of change]], "Edit")),B1557)</f>
        <v>1</v>
      </c>
      <c r="C1558" s="20">
        <v>44684</v>
      </c>
      <c r="D1558" s="2" t="s">
        <v>2351</v>
      </c>
      <c r="E1558" t="s">
        <v>27</v>
      </c>
      <c r="F1558" s="14" t="s">
        <v>1998</v>
      </c>
      <c r="G1558" t="s">
        <v>2352</v>
      </c>
      <c r="H1558" t="s">
        <v>49</v>
      </c>
      <c r="I1558" t="s">
        <v>296</v>
      </c>
      <c r="K1558" s="3"/>
      <c r="M1558" s="3"/>
    </row>
    <row r="1559" spans="1:13">
      <c r="A1559" t="s">
        <v>28</v>
      </c>
      <c r="B1559">
        <f ca="1">IF(OR(changes[[#This Row],[Type]]="Checklist",changes[[#This Row],[Type]]="checklist-flat"),1+IF(changes[[#This Row],[Type of change]] = "Edit",COUNTIFS($I$4:changes[[#This Row],[Name]],changes[[#This Row],[Name]], $E$4:changes[[#This Row],[Type of change]], "Edit")),B1558)</f>
        <v>1</v>
      </c>
      <c r="C1559" s="20">
        <v>44684</v>
      </c>
      <c r="D1559" s="2" t="s">
        <v>2351</v>
      </c>
      <c r="E1559" t="s">
        <v>27</v>
      </c>
      <c r="F1559" s="14" t="s">
        <v>1998</v>
      </c>
      <c r="G1559" t="s">
        <v>2352</v>
      </c>
      <c r="H1559" t="s">
        <v>120</v>
      </c>
      <c r="I1559" t="s">
        <v>297</v>
      </c>
      <c r="K1559" s="3"/>
      <c r="M1559" s="3"/>
    </row>
    <row r="1560" spans="1:13">
      <c r="A1560" t="s">
        <v>28</v>
      </c>
      <c r="B1560">
        <f ca="1">IF(OR(changes[[#This Row],[Type]]="Checklist",changes[[#This Row],[Type]]="checklist-flat"),1+IF(changes[[#This Row],[Type of change]] = "Edit",COUNTIFS($I$4:changes[[#This Row],[Name]],changes[[#This Row],[Name]], $E$4:changes[[#This Row],[Type of change]], "Edit")),B1559)</f>
        <v>1</v>
      </c>
      <c r="C1560" s="20">
        <v>44684</v>
      </c>
      <c r="D1560" s="2" t="s">
        <v>2351</v>
      </c>
      <c r="E1560" t="s">
        <v>27</v>
      </c>
      <c r="F1560" s="14" t="s">
        <v>1998</v>
      </c>
      <c r="G1560" t="s">
        <v>2352</v>
      </c>
      <c r="H1560" t="s">
        <v>49</v>
      </c>
      <c r="I1560" t="s">
        <v>298</v>
      </c>
      <c r="K1560" s="3"/>
      <c r="M1560" s="3"/>
    </row>
    <row r="1561" spans="1:13">
      <c r="A1561" t="s">
        <v>28</v>
      </c>
      <c r="B1561">
        <f ca="1">IF(OR(changes[[#This Row],[Type]]="Checklist",changes[[#This Row],[Type]]="checklist-flat"),1+IF(changes[[#This Row],[Type of change]] = "Edit",COUNTIFS($I$4:changes[[#This Row],[Name]],changes[[#This Row],[Name]], $E$4:changes[[#This Row],[Type of change]], "Edit")),B1560)</f>
        <v>1</v>
      </c>
      <c r="C1561" s="20">
        <v>44684</v>
      </c>
      <c r="D1561" s="2" t="s">
        <v>2351</v>
      </c>
      <c r="E1561" t="s">
        <v>27</v>
      </c>
      <c r="F1561" s="14" t="s">
        <v>1998</v>
      </c>
      <c r="G1561" t="s">
        <v>2352</v>
      </c>
      <c r="H1561" t="s">
        <v>58</v>
      </c>
      <c r="I1561" t="s">
        <v>299</v>
      </c>
      <c r="K1561" s="3"/>
      <c r="M1561" s="3"/>
    </row>
    <row r="1562" spans="1:13">
      <c r="A1562" t="s">
        <v>28</v>
      </c>
      <c r="B1562">
        <f ca="1">IF(OR(changes[[#This Row],[Type]]="Checklist",changes[[#This Row],[Type]]="checklist-flat"),1+IF(changes[[#This Row],[Type of change]] = "Edit",COUNTIFS($I$4:changes[[#This Row],[Name]],changes[[#This Row],[Name]], $E$4:changes[[#This Row],[Type of change]], "Edit")),B1561)</f>
        <v>1</v>
      </c>
      <c r="C1562" s="20">
        <v>44684</v>
      </c>
      <c r="D1562" s="2" t="s">
        <v>2351</v>
      </c>
      <c r="E1562" t="s">
        <v>27</v>
      </c>
      <c r="F1562" s="14" t="s">
        <v>1998</v>
      </c>
      <c r="G1562" t="s">
        <v>2352</v>
      </c>
      <c r="H1562" t="s">
        <v>49</v>
      </c>
      <c r="I1562" t="s">
        <v>300</v>
      </c>
      <c r="K1562" s="3"/>
      <c r="M1562" s="3"/>
    </row>
    <row r="1563" spans="1:13">
      <c r="A1563" t="s">
        <v>28</v>
      </c>
      <c r="B1563">
        <f ca="1">IF(OR(changes[[#This Row],[Type]]="Checklist",changes[[#This Row],[Type]]="checklist-flat"),1+IF(changes[[#This Row],[Type of change]] = "Edit",COUNTIFS($I$4:changes[[#This Row],[Name]],changes[[#This Row],[Name]], $E$4:changes[[#This Row],[Type of change]], "Edit")),B1562)</f>
        <v>2</v>
      </c>
      <c r="C1563" s="20">
        <v>44685</v>
      </c>
      <c r="D1563" s="2" t="s">
        <v>2048</v>
      </c>
      <c r="E1563" t="s">
        <v>15</v>
      </c>
      <c r="F1563" s="14" t="s">
        <v>9</v>
      </c>
      <c r="G1563" t="s">
        <v>1189</v>
      </c>
      <c r="H1563" t="s">
        <v>48</v>
      </c>
      <c r="I1563" t="s">
        <v>1189</v>
      </c>
      <c r="K1563" s="3"/>
      <c r="M1563" s="3"/>
    </row>
    <row r="1564" spans="1:13">
      <c r="A1564" t="s">
        <v>28</v>
      </c>
      <c r="B1564">
        <f ca="1">IF(OR(changes[[#This Row],[Type]]="Checklist",changes[[#This Row],[Type]]="checklist-flat"),1+IF(changes[[#This Row],[Type of change]] = "Edit",COUNTIFS($I$4:changes[[#This Row],[Name]],changes[[#This Row],[Name]], $E$4:changes[[#This Row],[Type of change]], "Edit")),B1563)</f>
        <v>2</v>
      </c>
      <c r="C1564" s="20">
        <v>44685</v>
      </c>
      <c r="D1564" s="2" t="s">
        <v>2048</v>
      </c>
      <c r="E1564" t="s">
        <v>15</v>
      </c>
      <c r="F1564" s="14" t="s">
        <v>9</v>
      </c>
      <c r="G1564" t="s">
        <v>1189</v>
      </c>
      <c r="H1564" t="s">
        <v>49</v>
      </c>
      <c r="I1564" t="s">
        <v>74</v>
      </c>
      <c r="K1564" s="3"/>
      <c r="M1564" s="3"/>
    </row>
    <row r="1565" spans="1:13">
      <c r="A1565" t="s">
        <v>28</v>
      </c>
      <c r="B1565">
        <f ca="1">IF(OR(changes[[#This Row],[Type]]="Checklist",changes[[#This Row],[Type]]="checklist-flat"),1+IF(changes[[#This Row],[Type of change]] = "Edit",COUNTIFS($I$4:changes[[#This Row],[Name]],changes[[#This Row],[Name]], $E$4:changes[[#This Row],[Type of change]], "Edit")),B1564)</f>
        <v>2</v>
      </c>
      <c r="C1565" s="20">
        <v>44685</v>
      </c>
      <c r="D1565" s="2" t="s">
        <v>2048</v>
      </c>
      <c r="E1565" t="s">
        <v>15</v>
      </c>
      <c r="F1565" s="14" t="s">
        <v>9</v>
      </c>
      <c r="G1565" t="s">
        <v>1189</v>
      </c>
      <c r="H1565" t="s">
        <v>49</v>
      </c>
      <c r="I1565" t="s">
        <v>1190</v>
      </c>
      <c r="K1565" s="3"/>
      <c r="M1565" s="3" t="s">
        <v>2354</v>
      </c>
    </row>
    <row r="1566" spans="1:13">
      <c r="A1566" t="s">
        <v>28</v>
      </c>
      <c r="B1566">
        <f ca="1">IF(OR(changes[[#This Row],[Type]]="Checklist",changes[[#This Row],[Type]]="checklist-flat"),1+IF(changes[[#This Row],[Type of change]] = "Edit",COUNTIFS($I$4:changes[[#This Row],[Name]],changes[[#This Row],[Name]], $E$4:changes[[#This Row],[Type of change]], "Edit")),B1565)</f>
        <v>2</v>
      </c>
      <c r="C1566" s="20">
        <v>44685</v>
      </c>
      <c r="D1566" s="2" t="s">
        <v>2048</v>
      </c>
      <c r="E1566" t="s">
        <v>15</v>
      </c>
      <c r="F1566" s="14" t="s">
        <v>9</v>
      </c>
      <c r="G1566" t="s">
        <v>1189</v>
      </c>
      <c r="H1566" t="s">
        <v>49</v>
      </c>
      <c r="I1566" t="s">
        <v>77</v>
      </c>
      <c r="K1566" s="3"/>
      <c r="M1566" s="3"/>
    </row>
    <row r="1567" spans="1:13">
      <c r="A1567" t="s">
        <v>28</v>
      </c>
      <c r="B1567">
        <f ca="1">IF(OR(changes[[#This Row],[Type]]="Checklist",changes[[#This Row],[Type]]="checklist-flat"),1+IF(changes[[#This Row],[Type of change]] = "Edit",COUNTIFS($I$4:changes[[#This Row],[Name]],changes[[#This Row],[Name]], $E$4:changes[[#This Row],[Type of change]], "Edit")),B1566)</f>
        <v>2</v>
      </c>
      <c r="C1567" s="20">
        <v>44685</v>
      </c>
      <c r="D1567" s="2" t="s">
        <v>2048</v>
      </c>
      <c r="E1567" t="s">
        <v>15</v>
      </c>
      <c r="F1567" s="14" t="s">
        <v>9</v>
      </c>
      <c r="G1567" t="s">
        <v>1189</v>
      </c>
      <c r="H1567" t="s">
        <v>49</v>
      </c>
      <c r="I1567" t="s">
        <v>78</v>
      </c>
      <c r="K1567" s="3"/>
      <c r="M1567" s="3" t="s">
        <v>2355</v>
      </c>
    </row>
    <row r="1568" spans="1:13">
      <c r="A1568" t="s">
        <v>28</v>
      </c>
      <c r="B1568">
        <f ca="1">IF(OR(changes[[#This Row],[Type]]="Checklist",changes[[#This Row],[Type]]="checklist-flat"),1+IF(changes[[#This Row],[Type of change]] = "Edit",COUNTIFS($I$4:changes[[#This Row],[Name]],changes[[#This Row],[Name]], $E$4:changes[[#This Row],[Type of change]], "Edit")),B1567)</f>
        <v>2</v>
      </c>
      <c r="C1568" s="20">
        <v>44685</v>
      </c>
      <c r="D1568" s="2" t="s">
        <v>2048</v>
      </c>
      <c r="E1568" t="s">
        <v>15</v>
      </c>
      <c r="F1568" s="14" t="s">
        <v>9</v>
      </c>
      <c r="G1568" t="s">
        <v>1189</v>
      </c>
      <c r="H1568" t="s">
        <v>49</v>
      </c>
      <c r="I1568" t="s">
        <v>1191</v>
      </c>
      <c r="K1568" s="3"/>
      <c r="M1568" s="3"/>
    </row>
    <row r="1569" spans="1:13">
      <c r="A1569" t="s">
        <v>28</v>
      </c>
      <c r="B1569">
        <f ca="1">IF(OR(changes[[#This Row],[Type]]="Checklist",changes[[#This Row],[Type]]="checklist-flat"),1+IF(changes[[#This Row],[Type of change]] = "Edit",COUNTIFS($I$4:changes[[#This Row],[Name]],changes[[#This Row],[Name]], $E$4:changes[[#This Row],[Type of change]], "Edit")),B1568)</f>
        <v>2</v>
      </c>
      <c r="C1569" s="20">
        <v>44685</v>
      </c>
      <c r="D1569" s="2" t="s">
        <v>2048</v>
      </c>
      <c r="E1569" t="s">
        <v>15</v>
      </c>
      <c r="F1569" s="14" t="s">
        <v>9</v>
      </c>
      <c r="G1569" t="s">
        <v>1189</v>
      </c>
      <c r="H1569" t="s">
        <v>49</v>
      </c>
      <c r="I1569" t="s">
        <v>435</v>
      </c>
      <c r="K1569" s="3"/>
      <c r="M1569" s="3"/>
    </row>
    <row r="1570" spans="1:13">
      <c r="A1570" t="s">
        <v>28</v>
      </c>
      <c r="B1570">
        <f ca="1">IF(OR(changes[[#This Row],[Type]]="Checklist",changes[[#This Row],[Type]]="checklist-flat"),1+IF(changes[[#This Row],[Type of change]] = "Edit",COUNTIFS($I$4:changes[[#This Row],[Name]],changes[[#This Row],[Name]], $E$4:changes[[#This Row],[Type of change]], "Edit")),B1569)</f>
        <v>2</v>
      </c>
      <c r="C1570" s="20">
        <v>44685</v>
      </c>
      <c r="D1570" s="2" t="s">
        <v>2048</v>
      </c>
      <c r="E1570" t="s">
        <v>15</v>
      </c>
      <c r="F1570" s="14" t="s">
        <v>9</v>
      </c>
      <c r="G1570" t="s">
        <v>1192</v>
      </c>
      <c r="H1570" t="s">
        <v>48</v>
      </c>
      <c r="I1570" t="s">
        <v>1192</v>
      </c>
      <c r="K1570" s="3"/>
      <c r="M1570" s="3"/>
    </row>
    <row r="1571" spans="1:13">
      <c r="A1571" t="s">
        <v>28</v>
      </c>
      <c r="B1571">
        <f ca="1">IF(OR(changes[[#This Row],[Type]]="Checklist",changes[[#This Row],[Type]]="checklist-flat"),1+IF(changes[[#This Row],[Type of change]] = "Edit",COUNTIFS($I$4:changes[[#This Row],[Name]],changes[[#This Row],[Name]], $E$4:changes[[#This Row],[Type of change]], "Edit")),B1570)</f>
        <v>2</v>
      </c>
      <c r="C1571" s="20">
        <v>44685</v>
      </c>
      <c r="D1571" s="2" t="s">
        <v>2048</v>
      </c>
      <c r="E1571" t="s">
        <v>15</v>
      </c>
      <c r="F1571" s="14" t="s">
        <v>9</v>
      </c>
      <c r="G1571" t="s">
        <v>1192</v>
      </c>
      <c r="H1571" t="s">
        <v>49</v>
      </c>
      <c r="I1571" t="s">
        <v>74</v>
      </c>
      <c r="K1571" s="3"/>
      <c r="M1571" s="3"/>
    </row>
    <row r="1572" spans="1:13">
      <c r="A1572" t="s">
        <v>28</v>
      </c>
      <c r="B1572">
        <f ca="1">IF(OR(changes[[#This Row],[Type]]="Checklist",changes[[#This Row],[Type]]="checklist-flat"),1+IF(changes[[#This Row],[Type of change]] = "Edit",COUNTIFS($I$4:changes[[#This Row],[Name]],changes[[#This Row],[Name]], $E$4:changes[[#This Row],[Type of change]], "Edit")),B1571)</f>
        <v>2</v>
      </c>
      <c r="C1572" s="20">
        <v>44685</v>
      </c>
      <c r="D1572" s="2" t="s">
        <v>2048</v>
      </c>
      <c r="E1572" t="s">
        <v>15</v>
      </c>
      <c r="F1572" s="14" t="s">
        <v>9</v>
      </c>
      <c r="G1572" t="s">
        <v>1192</v>
      </c>
      <c r="H1572" t="s">
        <v>49</v>
      </c>
      <c r="I1572" t="s">
        <v>75</v>
      </c>
      <c r="K1572" s="3"/>
      <c r="M1572" s="3"/>
    </row>
    <row r="1573" spans="1:13">
      <c r="A1573" t="s">
        <v>28</v>
      </c>
      <c r="B1573">
        <f ca="1">IF(OR(changes[[#This Row],[Type]]="Checklist",changes[[#This Row],[Type]]="checklist-flat"),1+IF(changes[[#This Row],[Type of change]] = "Edit",COUNTIFS($I$4:changes[[#This Row],[Name]],changes[[#This Row],[Name]], $E$4:changes[[#This Row],[Type of change]], "Edit")),B1572)</f>
        <v>2</v>
      </c>
      <c r="C1573" s="20">
        <v>44685</v>
      </c>
      <c r="D1573" s="2" t="s">
        <v>2048</v>
      </c>
      <c r="E1573" t="s">
        <v>15</v>
      </c>
      <c r="F1573" s="14" t="s">
        <v>9</v>
      </c>
      <c r="G1573" t="s">
        <v>1192</v>
      </c>
      <c r="H1573" t="s">
        <v>49</v>
      </c>
      <c r="I1573" t="s">
        <v>77</v>
      </c>
      <c r="K1573" s="3"/>
      <c r="M1573" s="3" t="s">
        <v>2355</v>
      </c>
    </row>
    <row r="1574" spans="1:13">
      <c r="A1574" t="s">
        <v>28</v>
      </c>
      <c r="B1574">
        <f ca="1">IF(OR(changes[[#This Row],[Type]]="Checklist",changes[[#This Row],[Type]]="checklist-flat"),1+IF(changes[[#This Row],[Type of change]] = "Edit",COUNTIFS($I$4:changes[[#This Row],[Name]],changes[[#This Row],[Name]], $E$4:changes[[#This Row],[Type of change]], "Edit")),B1573)</f>
        <v>2</v>
      </c>
      <c r="C1574" s="20">
        <v>44685</v>
      </c>
      <c r="D1574" s="2" t="s">
        <v>2048</v>
      </c>
      <c r="E1574" t="s">
        <v>15</v>
      </c>
      <c r="F1574" s="14" t="s">
        <v>9</v>
      </c>
      <c r="G1574" t="s">
        <v>1192</v>
      </c>
      <c r="H1574" t="s">
        <v>49</v>
      </c>
      <c r="I1574" t="s">
        <v>1193</v>
      </c>
      <c r="K1574" s="3"/>
      <c r="M1574" s="3"/>
    </row>
    <row r="1575" spans="1:13">
      <c r="A1575" t="s">
        <v>28</v>
      </c>
      <c r="B1575">
        <f ca="1">IF(OR(changes[[#This Row],[Type]]="Checklist",changes[[#This Row],[Type]]="checklist-flat"),1+IF(changes[[#This Row],[Type of change]] = "Edit",COUNTIFS($I$4:changes[[#This Row],[Name]],changes[[#This Row],[Name]], $E$4:changes[[#This Row],[Type of change]], "Edit")),B1574)</f>
        <v>2</v>
      </c>
      <c r="C1575" s="20">
        <v>44685</v>
      </c>
      <c r="D1575" s="2" t="s">
        <v>2048</v>
      </c>
      <c r="E1575" t="s">
        <v>15</v>
      </c>
      <c r="F1575" s="14" t="s">
        <v>9</v>
      </c>
      <c r="G1575" t="s">
        <v>1192</v>
      </c>
      <c r="H1575" t="s">
        <v>49</v>
      </c>
      <c r="I1575" t="s">
        <v>1194</v>
      </c>
      <c r="K1575" s="3"/>
      <c r="M1575" s="3"/>
    </row>
    <row r="1576" spans="1:13">
      <c r="A1576" t="s">
        <v>28</v>
      </c>
      <c r="B1576">
        <f ca="1">IF(OR(changes[[#This Row],[Type]]="Checklist",changes[[#This Row],[Type]]="checklist-flat"),1+IF(changes[[#This Row],[Type of change]] = "Edit",COUNTIFS($I$4:changes[[#This Row],[Name]],changes[[#This Row],[Name]], $E$4:changes[[#This Row],[Type of change]], "Edit")),B1575)</f>
        <v>2</v>
      </c>
      <c r="C1576" s="20">
        <v>44685</v>
      </c>
      <c r="D1576" s="2" t="s">
        <v>2048</v>
      </c>
      <c r="E1576" t="s">
        <v>15</v>
      </c>
      <c r="F1576" s="14" t="s">
        <v>9</v>
      </c>
      <c r="G1576" t="s">
        <v>1192</v>
      </c>
      <c r="H1576" t="s">
        <v>49</v>
      </c>
      <c r="I1576" t="s">
        <v>1195</v>
      </c>
      <c r="K1576" s="3"/>
      <c r="M1576" s="3"/>
    </row>
    <row r="1577" spans="1:13">
      <c r="A1577" t="s">
        <v>28</v>
      </c>
      <c r="B1577">
        <f ca="1">IF(OR(changes[[#This Row],[Type]]="Checklist",changes[[#This Row],[Type]]="checklist-flat"),1+IF(changes[[#This Row],[Type of change]] = "Edit",COUNTIFS($I$4:changes[[#This Row],[Name]],changes[[#This Row],[Name]], $E$4:changes[[#This Row],[Type of change]], "Edit")),B1576)</f>
        <v>2</v>
      </c>
      <c r="C1577" s="20">
        <v>44685</v>
      </c>
      <c r="D1577" s="2" t="s">
        <v>2048</v>
      </c>
      <c r="E1577" t="s">
        <v>15</v>
      </c>
      <c r="F1577" s="14" t="s">
        <v>9</v>
      </c>
      <c r="G1577" t="s">
        <v>1192</v>
      </c>
      <c r="H1577" t="s">
        <v>49</v>
      </c>
      <c r="I1577" t="s">
        <v>1196</v>
      </c>
      <c r="K1577" s="3"/>
      <c r="M1577" s="3"/>
    </row>
    <row r="1578" spans="1:13">
      <c r="A1578" t="s">
        <v>28</v>
      </c>
      <c r="B1578">
        <f ca="1">IF(OR(changes[[#This Row],[Type]]="Checklist",changes[[#This Row],[Type]]="checklist-flat"),1+IF(changes[[#This Row],[Type of change]] = "Edit",COUNTIFS($I$4:changes[[#This Row],[Name]],changes[[#This Row],[Name]], $E$4:changes[[#This Row],[Type of change]], "Edit")),B1577)</f>
        <v>2</v>
      </c>
      <c r="C1578" s="20">
        <v>44685</v>
      </c>
      <c r="D1578" s="2" t="s">
        <v>2048</v>
      </c>
      <c r="E1578" t="s">
        <v>15</v>
      </c>
      <c r="F1578" s="14" t="s">
        <v>9</v>
      </c>
      <c r="G1578" t="s">
        <v>1192</v>
      </c>
      <c r="H1578" t="s">
        <v>49</v>
      </c>
      <c r="I1578" t="s">
        <v>1197</v>
      </c>
      <c r="K1578" s="3"/>
      <c r="M1578" s="3"/>
    </row>
    <row r="1579" spans="1:13">
      <c r="A1579" t="s">
        <v>28</v>
      </c>
      <c r="B1579">
        <f ca="1">IF(OR(changes[[#This Row],[Type]]="Checklist",changes[[#This Row],[Type]]="checklist-flat"),1+IF(changes[[#This Row],[Type of change]] = "Edit",COUNTIFS($I$4:changes[[#This Row],[Name]],changes[[#This Row],[Name]], $E$4:changes[[#This Row],[Type of change]], "Edit")),B1578)</f>
        <v>2</v>
      </c>
      <c r="C1579" s="20">
        <v>44685</v>
      </c>
      <c r="D1579" s="2" t="s">
        <v>2048</v>
      </c>
      <c r="E1579" t="s">
        <v>15</v>
      </c>
      <c r="F1579" s="14" t="s">
        <v>9</v>
      </c>
      <c r="G1579" t="s">
        <v>1192</v>
      </c>
      <c r="H1579" t="s">
        <v>49</v>
      </c>
      <c r="I1579" t="s">
        <v>1198</v>
      </c>
      <c r="K1579" s="3"/>
      <c r="M1579" s="3"/>
    </row>
    <row r="1580" spans="1:13">
      <c r="A1580" t="s">
        <v>28</v>
      </c>
      <c r="B1580">
        <f ca="1">IF(OR(changes[[#This Row],[Type]]="Checklist",changes[[#This Row],[Type]]="checklist-flat"),1+IF(changes[[#This Row],[Type of change]] = "Edit",COUNTIFS($I$4:changes[[#This Row],[Name]],changes[[#This Row],[Name]], $E$4:changes[[#This Row],[Type of change]], "Edit")),B1579)</f>
        <v>2</v>
      </c>
      <c r="C1580" s="20">
        <v>44685</v>
      </c>
      <c r="D1580" s="2" t="s">
        <v>2048</v>
      </c>
      <c r="E1580" t="s">
        <v>15</v>
      </c>
      <c r="F1580" s="14" t="s">
        <v>9</v>
      </c>
      <c r="G1580" t="s">
        <v>1192</v>
      </c>
      <c r="H1580" t="s">
        <v>49</v>
      </c>
      <c r="I1580" t="s">
        <v>82</v>
      </c>
      <c r="K1580" s="3"/>
      <c r="M1580" s="3"/>
    </row>
    <row r="1581" spans="1:13">
      <c r="A1581" t="s">
        <v>28</v>
      </c>
      <c r="B1581">
        <f ca="1">IF(OR(changes[[#This Row],[Type]]="Checklist",changes[[#This Row],[Type]]="checklist-flat"),1+IF(changes[[#This Row],[Type of change]] = "Edit",COUNTIFS($I$4:changes[[#This Row],[Name]],changes[[#This Row],[Name]], $E$4:changes[[#This Row],[Type of change]], "Edit")),B1580)</f>
        <v>1</v>
      </c>
      <c r="C1581" s="20">
        <v>44685</v>
      </c>
      <c r="D1581" s="2" t="s">
        <v>2048</v>
      </c>
      <c r="E1581" t="s">
        <v>27</v>
      </c>
      <c r="F1581" s="14" t="s">
        <v>9</v>
      </c>
      <c r="G1581" t="s">
        <v>1199</v>
      </c>
      <c r="H1581" t="s">
        <v>48</v>
      </c>
      <c r="I1581" t="s">
        <v>1199</v>
      </c>
      <c r="K1581" s="3"/>
      <c r="M1581" s="3" t="s">
        <v>2356</v>
      </c>
    </row>
    <row r="1582" spans="1:13">
      <c r="A1582" t="s">
        <v>28</v>
      </c>
      <c r="B1582">
        <f ca="1">IF(OR(changes[[#This Row],[Type]]="Checklist",changes[[#This Row],[Type]]="checklist-flat"),1+IF(changes[[#This Row],[Type of change]] = "Edit",COUNTIFS($I$4:changes[[#This Row],[Name]],changes[[#This Row],[Name]], $E$4:changes[[#This Row],[Type of change]], "Edit")),B1581)</f>
        <v>1</v>
      </c>
      <c r="C1582" s="20">
        <v>44685</v>
      </c>
      <c r="D1582" s="2" t="s">
        <v>2048</v>
      </c>
      <c r="E1582" t="s">
        <v>27</v>
      </c>
      <c r="F1582" s="14" t="s">
        <v>9</v>
      </c>
      <c r="G1582" t="s">
        <v>1199</v>
      </c>
      <c r="H1582" t="s">
        <v>49</v>
      </c>
      <c r="I1582" t="s">
        <v>74</v>
      </c>
      <c r="K1582" s="3"/>
      <c r="M1582" s="3"/>
    </row>
    <row r="1583" spans="1:13">
      <c r="A1583" t="s">
        <v>28</v>
      </c>
      <c r="B1583">
        <f ca="1">IF(OR(changes[[#This Row],[Type]]="Checklist",changes[[#This Row],[Type]]="checklist-flat"),1+IF(changes[[#This Row],[Type of change]] = "Edit",COUNTIFS($I$4:changes[[#This Row],[Name]],changes[[#This Row],[Name]], $E$4:changes[[#This Row],[Type of change]], "Edit")),B1582)</f>
        <v>1</v>
      </c>
      <c r="C1583" s="20">
        <v>44685</v>
      </c>
      <c r="D1583" s="2" t="s">
        <v>2048</v>
      </c>
      <c r="E1583" t="s">
        <v>27</v>
      </c>
      <c r="F1583" s="14" t="s">
        <v>9</v>
      </c>
      <c r="G1583" t="s">
        <v>1199</v>
      </c>
      <c r="H1583" t="s">
        <v>49</v>
      </c>
      <c r="I1583" t="s">
        <v>75</v>
      </c>
      <c r="K1583" s="3"/>
      <c r="M1583" s="3"/>
    </row>
    <row r="1584" spans="1:13">
      <c r="A1584" t="s">
        <v>28</v>
      </c>
      <c r="B1584">
        <f ca="1">IF(OR(changes[[#This Row],[Type]]="Checklist",changes[[#This Row],[Type]]="checklist-flat"),1+IF(changes[[#This Row],[Type of change]] = "Edit",COUNTIFS($I$4:changes[[#This Row],[Name]],changes[[#This Row],[Name]], $E$4:changes[[#This Row],[Type of change]], "Edit")),B1583)</f>
        <v>1</v>
      </c>
      <c r="C1584" s="20">
        <v>44685</v>
      </c>
      <c r="D1584" s="2" t="s">
        <v>2048</v>
      </c>
      <c r="E1584" t="s">
        <v>27</v>
      </c>
      <c r="F1584" s="14" t="s">
        <v>9</v>
      </c>
      <c r="G1584" t="s">
        <v>1199</v>
      </c>
      <c r="H1584" t="s">
        <v>49</v>
      </c>
      <c r="I1584" t="s">
        <v>77</v>
      </c>
      <c r="K1584" s="3"/>
      <c r="M1584" s="3"/>
    </row>
    <row r="1585" spans="1:13">
      <c r="A1585" t="s">
        <v>28</v>
      </c>
      <c r="B1585">
        <f ca="1">IF(OR(changes[[#This Row],[Type]]="Checklist",changes[[#This Row],[Type]]="checklist-flat"),1+IF(changes[[#This Row],[Type of change]] = "Edit",COUNTIFS($I$4:changes[[#This Row],[Name]],changes[[#This Row],[Name]], $E$4:changes[[#This Row],[Type of change]], "Edit")),B1584)</f>
        <v>1</v>
      </c>
      <c r="C1585" s="20">
        <v>44685</v>
      </c>
      <c r="D1585" s="2" t="s">
        <v>2048</v>
      </c>
      <c r="E1585" t="s">
        <v>27</v>
      </c>
      <c r="F1585" s="14" t="s">
        <v>9</v>
      </c>
      <c r="G1585" t="s">
        <v>1199</v>
      </c>
      <c r="H1585" t="s">
        <v>49</v>
      </c>
      <c r="I1585" t="s">
        <v>1200</v>
      </c>
      <c r="K1585" s="3"/>
      <c r="M1585" s="3"/>
    </row>
    <row r="1586" spans="1:13">
      <c r="A1586" t="s">
        <v>28</v>
      </c>
      <c r="B1586">
        <f ca="1">IF(OR(changes[[#This Row],[Type]]="Checklist",changes[[#This Row],[Type]]="checklist-flat"),1+IF(changes[[#This Row],[Type of change]] = "Edit",COUNTIFS($I$4:changes[[#This Row],[Name]],changes[[#This Row],[Name]], $E$4:changes[[#This Row],[Type of change]], "Edit")),B1585)</f>
        <v>1</v>
      </c>
      <c r="C1586" s="20">
        <v>44685</v>
      </c>
      <c r="D1586" s="2" t="s">
        <v>2048</v>
      </c>
      <c r="E1586" t="s">
        <v>27</v>
      </c>
      <c r="F1586" s="14" t="s">
        <v>9</v>
      </c>
      <c r="G1586" t="s">
        <v>1199</v>
      </c>
      <c r="H1586" t="s">
        <v>49</v>
      </c>
      <c r="I1586" t="s">
        <v>1201</v>
      </c>
      <c r="K1586" s="3"/>
      <c r="M1586" s="3"/>
    </row>
    <row r="1587" spans="1:13">
      <c r="A1587" t="s">
        <v>28</v>
      </c>
      <c r="B1587">
        <f ca="1">IF(OR(changes[[#This Row],[Type]]="Checklist",changes[[#This Row],[Type]]="checklist-flat"),1+IF(changes[[#This Row],[Type of change]] = "Edit",COUNTIFS($I$4:changes[[#This Row],[Name]],changes[[#This Row],[Name]], $E$4:changes[[#This Row],[Type of change]], "Edit")),B1586)</f>
        <v>2</v>
      </c>
      <c r="C1587" s="20">
        <v>44685</v>
      </c>
      <c r="D1587" s="2" t="s">
        <v>2048</v>
      </c>
      <c r="E1587" t="s">
        <v>15</v>
      </c>
      <c r="F1587" s="14" t="s">
        <v>9</v>
      </c>
      <c r="G1587" t="s">
        <v>1202</v>
      </c>
      <c r="H1587" t="s">
        <v>48</v>
      </c>
      <c r="I1587" t="s">
        <v>1202</v>
      </c>
      <c r="K1587" s="3"/>
      <c r="M1587" s="3"/>
    </row>
    <row r="1588" spans="1:13">
      <c r="A1588" t="s">
        <v>28</v>
      </c>
      <c r="B1588">
        <f ca="1">IF(OR(changes[[#This Row],[Type]]="Checklist",changes[[#This Row],[Type]]="checklist-flat"),1+IF(changes[[#This Row],[Type of change]] = "Edit",COUNTIFS($I$4:changes[[#This Row],[Name]],changes[[#This Row],[Name]], $E$4:changes[[#This Row],[Type of change]], "Edit")),B1587)</f>
        <v>2</v>
      </c>
      <c r="C1588" s="20">
        <v>44685</v>
      </c>
      <c r="D1588" s="2" t="s">
        <v>2048</v>
      </c>
      <c r="E1588" t="s">
        <v>15</v>
      </c>
      <c r="F1588" s="14" t="s">
        <v>9</v>
      </c>
      <c r="G1588" t="s">
        <v>1202</v>
      </c>
      <c r="H1588" t="s">
        <v>49</v>
      </c>
      <c r="I1588" t="s">
        <v>1203</v>
      </c>
      <c r="K1588" s="3"/>
      <c r="M1588" s="3" t="s">
        <v>2357</v>
      </c>
    </row>
    <row r="1589" spans="1:13">
      <c r="A1589" t="s">
        <v>28</v>
      </c>
      <c r="B1589">
        <f ca="1">IF(OR(changes[[#This Row],[Type]]="Checklist",changes[[#This Row],[Type]]="checklist-flat"),1+IF(changes[[#This Row],[Type of change]] = "Edit",COUNTIFS($I$4:changes[[#This Row],[Name]],changes[[#This Row],[Name]], $E$4:changes[[#This Row],[Type of change]], "Edit")),B1588)</f>
        <v>2</v>
      </c>
      <c r="C1589" s="20">
        <v>44685</v>
      </c>
      <c r="D1589" s="2" t="s">
        <v>2048</v>
      </c>
      <c r="E1589" t="s">
        <v>15</v>
      </c>
      <c r="F1589" s="14" t="s">
        <v>9</v>
      </c>
      <c r="G1589" t="s">
        <v>1202</v>
      </c>
      <c r="H1589" t="s">
        <v>49</v>
      </c>
      <c r="I1589" t="s">
        <v>1204</v>
      </c>
      <c r="K1589" s="3"/>
      <c r="M1589" s="3"/>
    </row>
    <row r="1590" spans="1:13">
      <c r="A1590" t="s">
        <v>28</v>
      </c>
      <c r="B1590">
        <f ca="1">IF(OR(changes[[#This Row],[Type]]="Checklist",changes[[#This Row],[Type]]="checklist-flat"),1+IF(changes[[#This Row],[Type of change]] = "Edit",COUNTIFS($I$4:changes[[#This Row],[Name]],changes[[#This Row],[Name]], $E$4:changes[[#This Row],[Type of change]], "Edit")),B1589)</f>
        <v>2</v>
      </c>
      <c r="C1590" s="20">
        <v>44685</v>
      </c>
      <c r="D1590" s="2" t="s">
        <v>2048</v>
      </c>
      <c r="E1590" t="s">
        <v>15</v>
      </c>
      <c r="F1590" s="14" t="s">
        <v>9</v>
      </c>
      <c r="G1590" t="s">
        <v>1202</v>
      </c>
      <c r="H1590" t="s">
        <v>49</v>
      </c>
      <c r="I1590" t="s">
        <v>1205</v>
      </c>
      <c r="K1590" s="3"/>
      <c r="M1590" s="3"/>
    </row>
    <row r="1591" spans="1:13">
      <c r="A1591" t="s">
        <v>28</v>
      </c>
      <c r="B1591">
        <f ca="1">IF(OR(changes[[#This Row],[Type]]="Checklist",changes[[#This Row],[Type]]="checklist-flat"),1+IF(changes[[#This Row],[Type of change]] = "Edit",COUNTIFS($I$4:changes[[#This Row],[Name]],changes[[#This Row],[Name]], $E$4:changes[[#This Row],[Type of change]], "Edit")),B1590)</f>
        <v>2</v>
      </c>
      <c r="C1591" s="20">
        <v>44685</v>
      </c>
      <c r="D1591" s="2" t="s">
        <v>2048</v>
      </c>
      <c r="E1591" t="s">
        <v>15</v>
      </c>
      <c r="F1591" s="14" t="s">
        <v>9</v>
      </c>
      <c r="G1591" t="s">
        <v>1207</v>
      </c>
      <c r="H1591" t="s">
        <v>48</v>
      </c>
      <c r="I1591" t="s">
        <v>1207</v>
      </c>
      <c r="K1591" s="3"/>
      <c r="M1591" s="3"/>
    </row>
    <row r="1592" spans="1:13">
      <c r="A1592" t="s">
        <v>28</v>
      </c>
      <c r="B1592">
        <f ca="1">IF(OR(changes[[#This Row],[Type]]="Checklist",changes[[#This Row],[Type]]="checklist-flat"),1+IF(changes[[#This Row],[Type of change]] = "Edit",COUNTIFS($I$4:changes[[#This Row],[Name]],changes[[#This Row],[Name]], $E$4:changes[[#This Row],[Type of change]], "Edit")),B1591)</f>
        <v>2</v>
      </c>
      <c r="C1592" s="20">
        <v>44685</v>
      </c>
      <c r="D1592" s="2" t="s">
        <v>2048</v>
      </c>
      <c r="E1592" t="s">
        <v>15</v>
      </c>
      <c r="F1592" s="14" t="s">
        <v>9</v>
      </c>
      <c r="G1592" t="s">
        <v>1207</v>
      </c>
      <c r="H1592" t="s">
        <v>49</v>
      </c>
      <c r="I1592" t="s">
        <v>1208</v>
      </c>
      <c r="K1592" s="3"/>
      <c r="M1592" s="3" t="s">
        <v>2358</v>
      </c>
    </row>
    <row r="1593" spans="1:13">
      <c r="A1593" t="s">
        <v>28</v>
      </c>
      <c r="B1593">
        <f ca="1">IF(OR(changes[[#This Row],[Type]]="Checklist",changes[[#This Row],[Type]]="checklist-flat"),1+IF(changes[[#This Row],[Type of change]] = "Edit",COUNTIFS($I$4:changes[[#This Row],[Name]],changes[[#This Row],[Name]], $E$4:changes[[#This Row],[Type of change]], "Edit")),B1592)</f>
        <v>2</v>
      </c>
      <c r="C1593" s="20">
        <v>44685</v>
      </c>
      <c r="D1593" s="2" t="s">
        <v>2048</v>
      </c>
      <c r="E1593" t="s">
        <v>15</v>
      </c>
      <c r="F1593" s="14" t="s">
        <v>9</v>
      </c>
      <c r="G1593" t="s">
        <v>1207</v>
      </c>
      <c r="H1593" t="s">
        <v>131</v>
      </c>
      <c r="I1593" t="s">
        <v>1209</v>
      </c>
      <c r="J1593" t="s">
        <v>287</v>
      </c>
      <c r="K1593" s="3"/>
      <c r="M1593" s="3" t="s">
        <v>2359</v>
      </c>
    </row>
    <row r="1594" spans="1:13">
      <c r="A1594" t="s">
        <v>28</v>
      </c>
      <c r="B1594">
        <f ca="1">IF(OR(changes[[#This Row],[Type]]="Checklist",changes[[#This Row],[Type]]="checklist-flat"),1+IF(changes[[#This Row],[Type of change]] = "Edit",COUNTIFS($I$4:changes[[#This Row],[Name]],changes[[#This Row],[Name]], $E$4:changes[[#This Row],[Type of change]], "Edit")),B1593)</f>
        <v>2</v>
      </c>
      <c r="C1594" s="20">
        <v>44685</v>
      </c>
      <c r="D1594" s="2" t="s">
        <v>2048</v>
      </c>
      <c r="E1594" t="s">
        <v>15</v>
      </c>
      <c r="F1594" s="14" t="s">
        <v>9</v>
      </c>
      <c r="G1594" t="s">
        <v>1207</v>
      </c>
      <c r="H1594" t="s">
        <v>901</v>
      </c>
      <c r="I1594" t="s">
        <v>1210</v>
      </c>
      <c r="J1594" t="s">
        <v>287</v>
      </c>
      <c r="K1594" s="3"/>
      <c r="M1594" s="3"/>
    </row>
    <row r="1595" spans="1:13">
      <c r="A1595" t="s">
        <v>28</v>
      </c>
      <c r="B1595">
        <f ca="1">IF(OR(changes[[#This Row],[Type]]="Checklist",changes[[#This Row],[Type]]="checklist-flat"),1+IF(changes[[#This Row],[Type of change]] = "Edit",COUNTIFS($I$4:changes[[#This Row],[Name]],changes[[#This Row],[Name]], $E$4:changes[[#This Row],[Type of change]], "Edit")),B1594)</f>
        <v>2</v>
      </c>
      <c r="C1595" s="20">
        <v>44685</v>
      </c>
      <c r="D1595" s="2" t="s">
        <v>2048</v>
      </c>
      <c r="E1595" t="s">
        <v>15</v>
      </c>
      <c r="F1595" s="14" t="s">
        <v>9</v>
      </c>
      <c r="G1595" t="s">
        <v>1207</v>
      </c>
      <c r="H1595" t="s">
        <v>58</v>
      </c>
      <c r="I1595" t="s">
        <v>209</v>
      </c>
      <c r="K1595" s="3"/>
      <c r="M1595" s="3"/>
    </row>
    <row r="1596" spans="1:13">
      <c r="A1596" t="s">
        <v>28</v>
      </c>
      <c r="B1596">
        <f ca="1">IF(OR(changes[[#This Row],[Type]]="Checklist",changes[[#This Row],[Type]]="checklist-flat"),1+IF(changes[[#This Row],[Type of change]] = "Edit",COUNTIFS($I$4:changes[[#This Row],[Name]],changes[[#This Row],[Name]], $E$4:changes[[#This Row],[Type of change]], "Edit")),B1595)</f>
        <v>1</v>
      </c>
      <c r="C1596" s="20">
        <v>44700</v>
      </c>
      <c r="D1596" s="2" t="s">
        <v>2333</v>
      </c>
      <c r="E1596" t="s">
        <v>27</v>
      </c>
      <c r="F1596" s="14" t="s">
        <v>9</v>
      </c>
      <c r="G1596" t="s">
        <v>1211</v>
      </c>
      <c r="H1596" t="s">
        <v>48</v>
      </c>
      <c r="I1596" t="s">
        <v>1211</v>
      </c>
      <c r="K1596" s="3"/>
      <c r="M1596" s="3"/>
    </row>
    <row r="1597" spans="1:13">
      <c r="A1597" t="s">
        <v>28</v>
      </c>
      <c r="B1597">
        <f ca="1">IF(OR(changes[[#This Row],[Type]]="Checklist",changes[[#This Row],[Type]]="checklist-flat"),1+IF(changes[[#This Row],[Type of change]] = "Edit",COUNTIFS($I$4:changes[[#This Row],[Name]],changes[[#This Row],[Name]], $E$4:changes[[#This Row],[Type of change]], "Edit")),B1596)</f>
        <v>1</v>
      </c>
      <c r="C1597" s="20">
        <v>44700</v>
      </c>
      <c r="D1597" s="2" t="s">
        <v>2333</v>
      </c>
      <c r="E1597" t="s">
        <v>27</v>
      </c>
      <c r="F1597" s="14" t="s">
        <v>9</v>
      </c>
      <c r="G1597" t="s">
        <v>1211</v>
      </c>
      <c r="H1597" t="s">
        <v>49</v>
      </c>
      <c r="I1597" t="s">
        <v>1212</v>
      </c>
      <c r="K1597" s="3"/>
      <c r="M1597" s="3"/>
    </row>
    <row r="1598" spans="1:13">
      <c r="A1598" t="s">
        <v>28</v>
      </c>
      <c r="B1598">
        <f ca="1">IF(OR(changes[[#This Row],[Type]]="Checklist",changes[[#This Row],[Type]]="checklist-flat"),1+IF(changes[[#This Row],[Type of change]] = "Edit",COUNTIFS($I$4:changes[[#This Row],[Name]],changes[[#This Row],[Name]], $E$4:changes[[#This Row],[Type of change]], "Edit")),B1597)</f>
        <v>1</v>
      </c>
      <c r="C1598" s="20">
        <v>44700</v>
      </c>
      <c r="D1598" s="2" t="s">
        <v>2333</v>
      </c>
      <c r="E1598" t="s">
        <v>27</v>
      </c>
      <c r="F1598" s="14" t="s">
        <v>9</v>
      </c>
      <c r="G1598" t="s">
        <v>1211</v>
      </c>
      <c r="H1598" t="s">
        <v>49</v>
      </c>
      <c r="I1598" t="s">
        <v>1213</v>
      </c>
      <c r="K1598" s="3"/>
      <c r="M1598" s="3"/>
    </row>
    <row r="1599" spans="1:13">
      <c r="A1599" t="s">
        <v>28</v>
      </c>
      <c r="B1599">
        <f ca="1">IF(OR(changes[[#This Row],[Type]]="Checklist",changes[[#This Row],[Type]]="checklist-flat"),1+IF(changes[[#This Row],[Type of change]] = "Edit",COUNTIFS($I$4:changes[[#This Row],[Name]],changes[[#This Row],[Name]], $E$4:changes[[#This Row],[Type of change]], "Edit")),B1598)</f>
        <v>1</v>
      </c>
      <c r="C1599" s="20">
        <v>44700</v>
      </c>
      <c r="D1599" s="2" t="s">
        <v>2333</v>
      </c>
      <c r="E1599" t="s">
        <v>27</v>
      </c>
      <c r="F1599" s="14" t="s">
        <v>9</v>
      </c>
      <c r="G1599" t="s">
        <v>1211</v>
      </c>
      <c r="H1599" t="s">
        <v>49</v>
      </c>
      <c r="I1599" t="s">
        <v>1214</v>
      </c>
      <c r="K1599" s="3"/>
      <c r="M1599" s="3"/>
    </row>
    <row r="1600" spans="1:13">
      <c r="A1600" t="s">
        <v>28</v>
      </c>
      <c r="B1600">
        <f ca="1">IF(OR(changes[[#This Row],[Type]]="Checklist",changes[[#This Row],[Type]]="checklist-flat"),1+IF(changes[[#This Row],[Type of change]] = "Edit",COUNTIFS($I$4:changes[[#This Row],[Name]],changes[[#This Row],[Name]], $E$4:changes[[#This Row],[Type of change]], "Edit")),B1599)</f>
        <v>1</v>
      </c>
      <c r="C1600" s="20">
        <v>44700</v>
      </c>
      <c r="D1600" s="2" t="s">
        <v>2333</v>
      </c>
      <c r="E1600" t="s">
        <v>27</v>
      </c>
      <c r="F1600" s="14" t="s">
        <v>9</v>
      </c>
      <c r="G1600" t="s">
        <v>1215</v>
      </c>
      <c r="H1600" t="s">
        <v>48</v>
      </c>
      <c r="I1600" t="s">
        <v>1215</v>
      </c>
      <c r="K1600" s="3"/>
      <c r="M1600" s="3"/>
    </row>
    <row r="1601" spans="1:13">
      <c r="A1601" t="s">
        <v>28</v>
      </c>
      <c r="B1601">
        <f ca="1">IF(OR(changes[[#This Row],[Type]]="Checklist",changes[[#This Row],[Type]]="checklist-flat"),1+IF(changes[[#This Row],[Type of change]] = "Edit",COUNTIFS($I$4:changes[[#This Row],[Name]],changes[[#This Row],[Name]], $E$4:changes[[#This Row],[Type of change]], "Edit")),B1600)</f>
        <v>1</v>
      </c>
      <c r="C1601" s="20">
        <v>44700</v>
      </c>
      <c r="D1601" s="2" t="s">
        <v>2333</v>
      </c>
      <c r="E1601" t="s">
        <v>27</v>
      </c>
      <c r="F1601" s="14" t="s">
        <v>9</v>
      </c>
      <c r="G1601" t="s">
        <v>1215</v>
      </c>
      <c r="H1601" t="s">
        <v>49</v>
      </c>
      <c r="I1601" t="s">
        <v>1216</v>
      </c>
      <c r="K1601" s="3"/>
      <c r="M1601" s="3"/>
    </row>
    <row r="1602" spans="1:13">
      <c r="A1602" t="s">
        <v>28</v>
      </c>
      <c r="B1602">
        <f ca="1">IF(OR(changes[[#This Row],[Type]]="Checklist",changes[[#This Row],[Type]]="checklist-flat"),1+IF(changes[[#This Row],[Type of change]] = "Edit",COUNTIFS($I$4:changes[[#This Row],[Name]],changes[[#This Row],[Name]], $E$4:changes[[#This Row],[Type of change]], "Edit")),B1601)</f>
        <v>1</v>
      </c>
      <c r="C1602" s="20">
        <v>44700</v>
      </c>
      <c r="D1602" s="2" t="s">
        <v>2333</v>
      </c>
      <c r="E1602" t="s">
        <v>27</v>
      </c>
      <c r="F1602" s="14" t="s">
        <v>9</v>
      </c>
      <c r="G1602" t="s">
        <v>1215</v>
      </c>
      <c r="H1602" t="s">
        <v>49</v>
      </c>
      <c r="I1602" t="s">
        <v>1213</v>
      </c>
      <c r="K1602" s="3"/>
      <c r="M1602" s="3"/>
    </row>
    <row r="1603" spans="1:13">
      <c r="A1603" t="s">
        <v>28</v>
      </c>
      <c r="B1603">
        <f ca="1">IF(OR(changes[[#This Row],[Type]]="Checklist",changes[[#This Row],[Type]]="checklist-flat"),1+IF(changes[[#This Row],[Type of change]] = "Edit",COUNTIFS($I$4:changes[[#This Row],[Name]],changes[[#This Row],[Name]], $E$4:changes[[#This Row],[Type of change]], "Edit")),B1602)</f>
        <v>1</v>
      </c>
      <c r="C1603" s="20">
        <v>44700</v>
      </c>
      <c r="D1603" s="2" t="s">
        <v>2333</v>
      </c>
      <c r="E1603" t="s">
        <v>27</v>
      </c>
      <c r="F1603" s="14" t="s">
        <v>9</v>
      </c>
      <c r="G1603" t="s">
        <v>1215</v>
      </c>
      <c r="H1603" t="s">
        <v>49</v>
      </c>
      <c r="I1603" t="s">
        <v>1214</v>
      </c>
      <c r="K1603" s="3"/>
      <c r="M1603" s="3"/>
    </row>
    <row r="1604" spans="1:13">
      <c r="A1604" t="s">
        <v>28</v>
      </c>
      <c r="B1604">
        <f ca="1">IF(OR(changes[[#This Row],[Type]]="Checklist",changes[[#This Row],[Type]]="checklist-flat"),1+IF(changes[[#This Row],[Type of change]] = "Edit",COUNTIFS($I$4:changes[[#This Row],[Name]],changes[[#This Row],[Name]], $E$4:changes[[#This Row],[Type of change]], "Edit")),B1603)</f>
        <v>1</v>
      </c>
      <c r="C1604" s="20">
        <v>44700</v>
      </c>
      <c r="D1604" s="2" t="s">
        <v>2333</v>
      </c>
      <c r="E1604" t="s">
        <v>27</v>
      </c>
      <c r="F1604" s="14" t="s">
        <v>9</v>
      </c>
      <c r="G1604" t="s">
        <v>1215</v>
      </c>
      <c r="H1604" t="s">
        <v>49</v>
      </c>
      <c r="I1604" t="s">
        <v>645</v>
      </c>
      <c r="K1604" s="3"/>
      <c r="M1604" s="3"/>
    </row>
    <row r="1605" spans="1:13">
      <c r="A1605" t="s">
        <v>28</v>
      </c>
      <c r="B1605">
        <f ca="1">IF(OR(changes[[#This Row],[Type]]="Checklist",changes[[#This Row],[Type]]="checklist-flat"),1+IF(changes[[#This Row],[Type of change]] = "Edit",COUNTIFS($I$4:changes[[#This Row],[Name]],changes[[#This Row],[Name]], $E$4:changes[[#This Row],[Type of change]], "Edit")),B1604)</f>
        <v>1</v>
      </c>
      <c r="C1605" s="20">
        <v>44700</v>
      </c>
      <c r="D1605" s="2" t="s">
        <v>2333</v>
      </c>
      <c r="E1605" t="s">
        <v>27</v>
      </c>
      <c r="F1605" s="14" t="s">
        <v>9</v>
      </c>
      <c r="G1605" t="s">
        <v>1215</v>
      </c>
      <c r="H1605" t="s">
        <v>49</v>
      </c>
      <c r="I1605" t="s">
        <v>1217</v>
      </c>
      <c r="K1605" s="3"/>
      <c r="M1605" s="3"/>
    </row>
    <row r="1606" spans="1:13">
      <c r="A1606" t="s">
        <v>28</v>
      </c>
      <c r="B1606">
        <f ca="1">IF(OR(changes[[#This Row],[Type]]="Checklist",changes[[#This Row],[Type]]="checklist-flat"),1+IF(changes[[#This Row],[Type of change]] = "Edit",COUNTIFS($I$4:changes[[#This Row],[Name]],changes[[#This Row],[Name]], $E$4:changes[[#This Row],[Type of change]], "Edit")),B1605)</f>
        <v>1</v>
      </c>
      <c r="C1606" s="20">
        <v>44704</v>
      </c>
      <c r="D1606" s="2" t="s">
        <v>2025</v>
      </c>
      <c r="E1606" t="s">
        <v>27</v>
      </c>
      <c r="F1606" s="14" t="s">
        <v>9</v>
      </c>
      <c r="G1606" s="47" t="s">
        <v>1218</v>
      </c>
      <c r="H1606" s="47" t="s">
        <v>119</v>
      </c>
      <c r="I1606" s="47" t="s">
        <v>1218</v>
      </c>
      <c r="J1606" s="52"/>
      <c r="K1606" s="3"/>
      <c r="M1606" s="3"/>
    </row>
    <row r="1607" spans="1:13">
      <c r="A1607" t="s">
        <v>28</v>
      </c>
      <c r="B1607">
        <f ca="1">IF(OR(changes[[#This Row],[Type]]="Checklist",changes[[#This Row],[Type]]="checklist-flat"),1+IF(changes[[#This Row],[Type of change]] = "Edit",COUNTIFS($I$4:changes[[#This Row],[Name]],changes[[#This Row],[Name]], $E$4:changes[[#This Row],[Type of change]], "Edit")),B1606)</f>
        <v>1</v>
      </c>
      <c r="C1607" s="20">
        <v>44704</v>
      </c>
      <c r="D1607" s="2" t="s">
        <v>2025</v>
      </c>
      <c r="E1607" t="s">
        <v>27</v>
      </c>
      <c r="F1607" s="14" t="s">
        <v>9</v>
      </c>
      <c r="G1607" s="47" t="s">
        <v>1218</v>
      </c>
      <c r="H1607" t="s">
        <v>49</v>
      </c>
      <c r="I1607" t="s">
        <v>1219</v>
      </c>
      <c r="K1607" s="3"/>
      <c r="M1607" s="3"/>
    </row>
    <row r="1608" spans="1:13">
      <c r="A1608" t="s">
        <v>28</v>
      </c>
      <c r="B1608">
        <f ca="1">IF(OR(changes[[#This Row],[Type]]="Checklist",changes[[#This Row],[Type]]="checklist-flat"),1+IF(changes[[#This Row],[Type of change]] = "Edit",COUNTIFS($I$4:changes[[#This Row],[Name]],changes[[#This Row],[Name]], $E$4:changes[[#This Row],[Type of change]], "Edit")),B1607)</f>
        <v>1</v>
      </c>
      <c r="C1608" s="20">
        <v>44704</v>
      </c>
      <c r="D1608" s="2" t="s">
        <v>2025</v>
      </c>
      <c r="E1608" t="s">
        <v>27</v>
      </c>
      <c r="F1608" s="14" t="s">
        <v>9</v>
      </c>
      <c r="G1608" s="47" t="s">
        <v>1218</v>
      </c>
      <c r="H1608" t="s">
        <v>49</v>
      </c>
      <c r="I1608" t="s">
        <v>1220</v>
      </c>
      <c r="K1608" s="3"/>
      <c r="M1608" s="3"/>
    </row>
    <row r="1609" spans="1:13">
      <c r="A1609" t="s">
        <v>28</v>
      </c>
      <c r="B1609">
        <f ca="1">IF(OR(changes[[#This Row],[Type]]="Checklist",changes[[#This Row],[Type]]="checklist-flat"),1+IF(changes[[#This Row],[Type of change]] = "Edit",COUNTIFS($I$4:changes[[#This Row],[Name]],changes[[#This Row],[Name]], $E$4:changes[[#This Row],[Type of change]], "Edit")),B1608)</f>
        <v>1</v>
      </c>
      <c r="C1609" s="20">
        <v>44704</v>
      </c>
      <c r="D1609" s="2" t="s">
        <v>2025</v>
      </c>
      <c r="E1609" t="s">
        <v>27</v>
      </c>
      <c r="F1609" s="14" t="s">
        <v>9</v>
      </c>
      <c r="G1609" s="47" t="s">
        <v>1218</v>
      </c>
      <c r="H1609" t="s">
        <v>49</v>
      </c>
      <c r="I1609" t="s">
        <v>1221</v>
      </c>
      <c r="K1609" s="3"/>
      <c r="M1609" s="3"/>
    </row>
    <row r="1610" spans="1:13">
      <c r="A1610" t="s">
        <v>28</v>
      </c>
      <c r="B1610">
        <f ca="1">IF(OR(changes[[#This Row],[Type]]="Checklist",changes[[#This Row],[Type]]="checklist-flat"),1+IF(changes[[#This Row],[Type of change]] = "Edit",COUNTIFS($I$4:changes[[#This Row],[Name]],changes[[#This Row],[Name]], $E$4:changes[[#This Row],[Type of change]], "Edit")),B1609)</f>
        <v>1</v>
      </c>
      <c r="C1610" s="20">
        <v>44704</v>
      </c>
      <c r="D1610" s="2" t="s">
        <v>2025</v>
      </c>
      <c r="E1610" t="s">
        <v>27</v>
      </c>
      <c r="F1610" s="14" t="s">
        <v>9</v>
      </c>
      <c r="G1610" s="47" t="s">
        <v>1218</v>
      </c>
      <c r="H1610" t="s">
        <v>49</v>
      </c>
      <c r="I1610" t="s">
        <v>1222</v>
      </c>
      <c r="K1610" s="3"/>
      <c r="M1610" s="3"/>
    </row>
    <row r="1611" spans="1:13">
      <c r="A1611" t="s">
        <v>28</v>
      </c>
      <c r="B1611">
        <f ca="1">IF(OR(changes[[#This Row],[Type]]="Checklist",changes[[#This Row],[Type]]="checklist-flat"),1+IF(changes[[#This Row],[Type of change]] = "Edit",COUNTIFS($I$4:changes[[#This Row],[Name]],changes[[#This Row],[Name]], $E$4:changes[[#This Row],[Type of change]], "Edit")),B1610)</f>
        <v>1</v>
      </c>
      <c r="C1611" s="20">
        <v>44704</v>
      </c>
      <c r="D1611" s="2" t="s">
        <v>2025</v>
      </c>
      <c r="E1611" t="s">
        <v>27</v>
      </c>
      <c r="F1611" s="14" t="s">
        <v>9</v>
      </c>
      <c r="G1611" s="47" t="s">
        <v>1218</v>
      </c>
      <c r="H1611" t="s">
        <v>49</v>
      </c>
      <c r="I1611" t="s">
        <v>1223</v>
      </c>
      <c r="K1611" s="3"/>
      <c r="M1611" s="3"/>
    </row>
    <row r="1612" spans="1:13">
      <c r="A1612" t="s">
        <v>28</v>
      </c>
      <c r="B1612">
        <f ca="1">IF(OR(changes[[#This Row],[Type]]="Checklist",changes[[#This Row],[Type]]="checklist-flat"),1+IF(changes[[#This Row],[Type of change]] = "Edit",COUNTIFS($I$4:changes[[#This Row],[Name]],changes[[#This Row],[Name]], $E$4:changes[[#This Row],[Type of change]], "Edit")),B1611)</f>
        <v>1</v>
      </c>
      <c r="C1612" s="20">
        <v>44704</v>
      </c>
      <c r="D1612" s="2" t="s">
        <v>2025</v>
      </c>
      <c r="E1612" t="s">
        <v>27</v>
      </c>
      <c r="F1612" s="14" t="s">
        <v>9</v>
      </c>
      <c r="G1612" s="47" t="s">
        <v>1218</v>
      </c>
      <c r="H1612" t="s">
        <v>49</v>
      </c>
      <c r="I1612" t="s">
        <v>1224</v>
      </c>
      <c r="K1612" s="3"/>
      <c r="M1612" s="3"/>
    </row>
    <row r="1613" spans="1:13">
      <c r="A1613" t="s">
        <v>28</v>
      </c>
      <c r="B1613">
        <f ca="1">IF(OR(changes[[#This Row],[Type]]="Checklist",changes[[#This Row],[Type]]="checklist-flat"),1+IF(changes[[#This Row],[Type of change]] = "Edit",COUNTIFS($I$4:changes[[#This Row],[Name]],changes[[#This Row],[Name]], $E$4:changes[[#This Row],[Type of change]], "Edit")),B1612)</f>
        <v>1</v>
      </c>
      <c r="C1613" s="20">
        <v>44704</v>
      </c>
      <c r="D1613" s="2" t="s">
        <v>2333</v>
      </c>
      <c r="E1613" t="s">
        <v>27</v>
      </c>
      <c r="F1613" s="14" t="s">
        <v>9</v>
      </c>
      <c r="G1613" t="s">
        <v>1225</v>
      </c>
      <c r="H1613" t="s">
        <v>48</v>
      </c>
      <c r="I1613" t="s">
        <v>1225</v>
      </c>
      <c r="K1613" s="3"/>
      <c r="M1613" s="3"/>
    </row>
    <row r="1614" spans="1:13">
      <c r="A1614" t="s">
        <v>28</v>
      </c>
      <c r="B1614">
        <f ca="1">IF(OR(changes[[#This Row],[Type]]="Checklist",changes[[#This Row],[Type]]="checklist-flat"),1+IF(changes[[#This Row],[Type of change]] = "Edit",COUNTIFS($I$4:changes[[#This Row],[Name]],changes[[#This Row],[Name]], $E$4:changes[[#This Row],[Type of change]], "Edit")),B1613)</f>
        <v>1</v>
      </c>
      <c r="C1614" s="20">
        <v>44704</v>
      </c>
      <c r="D1614" s="2" t="s">
        <v>2333</v>
      </c>
      <c r="E1614" t="s">
        <v>27</v>
      </c>
      <c r="F1614" s="14" t="s">
        <v>9</v>
      </c>
      <c r="G1614" t="s">
        <v>1225</v>
      </c>
      <c r="H1614" t="s">
        <v>49</v>
      </c>
      <c r="I1614" t="s">
        <v>1226</v>
      </c>
      <c r="K1614" s="3"/>
      <c r="M1614" s="3"/>
    </row>
    <row r="1615" spans="1:13">
      <c r="A1615" t="s">
        <v>28</v>
      </c>
      <c r="B1615">
        <f ca="1">IF(OR(changes[[#This Row],[Type]]="Checklist",changes[[#This Row],[Type]]="checklist-flat"),1+IF(changes[[#This Row],[Type of change]] = "Edit",COUNTIFS($I$4:changes[[#This Row],[Name]],changes[[#This Row],[Name]], $E$4:changes[[#This Row],[Type of change]], "Edit")),B1614)</f>
        <v>1</v>
      </c>
      <c r="C1615" s="20">
        <v>44704</v>
      </c>
      <c r="D1615" s="2" t="s">
        <v>2333</v>
      </c>
      <c r="E1615" t="s">
        <v>27</v>
      </c>
      <c r="F1615" s="14" t="s">
        <v>9</v>
      </c>
      <c r="G1615" t="s">
        <v>1225</v>
      </c>
      <c r="H1615" t="s">
        <v>49</v>
      </c>
      <c r="I1615" t="s">
        <v>1213</v>
      </c>
      <c r="K1615" s="3"/>
      <c r="M1615" s="3"/>
    </row>
    <row r="1616" spans="1:13">
      <c r="A1616" t="s">
        <v>28</v>
      </c>
      <c r="B1616">
        <f ca="1">IF(OR(changes[[#This Row],[Type]]="Checklist",changes[[#This Row],[Type]]="checklist-flat"),1+IF(changes[[#This Row],[Type of change]] = "Edit",COUNTIFS($I$4:changes[[#This Row],[Name]],changes[[#This Row],[Name]], $E$4:changes[[#This Row],[Type of change]], "Edit")),B1615)</f>
        <v>1</v>
      </c>
      <c r="C1616" s="20">
        <v>44704</v>
      </c>
      <c r="D1616" s="2" t="s">
        <v>2333</v>
      </c>
      <c r="E1616" t="s">
        <v>27</v>
      </c>
      <c r="F1616" s="14" t="s">
        <v>9</v>
      </c>
      <c r="G1616" t="s">
        <v>1225</v>
      </c>
      <c r="H1616" t="s">
        <v>49</v>
      </c>
      <c r="I1616" t="s">
        <v>1214</v>
      </c>
      <c r="K1616" s="3"/>
      <c r="M1616" s="3"/>
    </row>
    <row r="1617" spans="1:13">
      <c r="A1617" t="s">
        <v>28</v>
      </c>
      <c r="B1617">
        <f ca="1">IF(OR(changes[[#This Row],[Type]]="Checklist",changes[[#This Row],[Type]]="checklist-flat"),1+IF(changes[[#This Row],[Type of change]] = "Edit",COUNTIFS($I$4:changes[[#This Row],[Name]],changes[[#This Row],[Name]], $E$4:changes[[#This Row],[Type of change]], "Edit")),B1616)</f>
        <v>2</v>
      </c>
      <c r="C1617" s="20">
        <v>44706</v>
      </c>
      <c r="D1617" s="2" t="s">
        <v>2360</v>
      </c>
      <c r="E1617" t="s">
        <v>15</v>
      </c>
      <c r="F1617" s="14" t="s">
        <v>9</v>
      </c>
      <c r="G1617" t="s">
        <v>2361</v>
      </c>
      <c r="H1617" t="s">
        <v>48</v>
      </c>
      <c r="I1617" t="s">
        <v>474</v>
      </c>
      <c r="K1617" s="3"/>
      <c r="M1617" s="3" t="s">
        <v>2362</v>
      </c>
    </row>
    <row r="1618" spans="1:13">
      <c r="A1618" t="s">
        <v>28</v>
      </c>
      <c r="B1618">
        <f ca="1">IF(OR(changes[[#This Row],[Type]]="Checklist",changes[[#This Row],[Type]]="checklist-flat"),1+IF(changes[[#This Row],[Type of change]] = "Edit",COUNTIFS($I$4:changes[[#This Row],[Name]],changes[[#This Row],[Name]], $E$4:changes[[#This Row],[Type of change]], "Edit")),B1617)</f>
        <v>2</v>
      </c>
      <c r="C1618" s="20">
        <v>44706</v>
      </c>
      <c r="D1618" s="2" t="s">
        <v>2360</v>
      </c>
      <c r="E1618" t="s">
        <v>15</v>
      </c>
      <c r="F1618" s="14" t="s">
        <v>9</v>
      </c>
      <c r="G1618" t="s">
        <v>2361</v>
      </c>
      <c r="H1618" t="s">
        <v>49</v>
      </c>
      <c r="I1618" t="s">
        <v>475</v>
      </c>
      <c r="K1618" s="3"/>
      <c r="M1618" s="3"/>
    </row>
    <row r="1619" spans="1:13">
      <c r="A1619" t="s">
        <v>28</v>
      </c>
      <c r="B1619">
        <f ca="1">IF(OR(changes[[#This Row],[Type]]="Checklist",changes[[#This Row],[Type]]="checklist-flat"),1+IF(changes[[#This Row],[Type of change]] = "Edit",COUNTIFS($I$4:changes[[#This Row],[Name]],changes[[#This Row],[Name]], $E$4:changes[[#This Row],[Type of change]], "Edit")),B1618)</f>
        <v>2</v>
      </c>
      <c r="C1619" s="20">
        <v>44706</v>
      </c>
      <c r="D1619" s="2" t="s">
        <v>2360</v>
      </c>
      <c r="E1619" t="s">
        <v>15</v>
      </c>
      <c r="F1619" s="14" t="s">
        <v>9</v>
      </c>
      <c r="G1619" t="s">
        <v>2361</v>
      </c>
      <c r="H1619" t="s">
        <v>49</v>
      </c>
      <c r="I1619" t="s">
        <v>476</v>
      </c>
      <c r="K1619" s="3"/>
      <c r="M1619" s="3"/>
    </row>
    <row r="1620" spans="1:13">
      <c r="A1620" t="s">
        <v>28</v>
      </c>
      <c r="B1620">
        <f ca="1">IF(OR(changes[[#This Row],[Type]]="Checklist",changes[[#This Row],[Type]]="checklist-flat"),1+IF(changes[[#This Row],[Type of change]] = "Edit",COUNTIFS($I$4:changes[[#This Row],[Name]],changes[[#This Row],[Name]], $E$4:changes[[#This Row],[Type of change]], "Edit")),B1619)</f>
        <v>2</v>
      </c>
      <c r="C1620" s="20">
        <v>44706</v>
      </c>
      <c r="D1620" s="2" t="s">
        <v>2360</v>
      </c>
      <c r="E1620" t="s">
        <v>15</v>
      </c>
      <c r="F1620" s="14" t="s">
        <v>9</v>
      </c>
      <c r="G1620" t="s">
        <v>2361</v>
      </c>
      <c r="H1620" t="s">
        <v>49</v>
      </c>
      <c r="I1620" t="s">
        <v>477</v>
      </c>
      <c r="K1620" s="3"/>
      <c r="M1620" s="3"/>
    </row>
    <row r="1621" spans="1:13">
      <c r="A1621" t="s">
        <v>28</v>
      </c>
      <c r="B1621">
        <f ca="1">IF(OR(changes[[#This Row],[Type]]="Checklist",changes[[#This Row],[Type]]="checklist-flat"),1+IF(changes[[#This Row],[Type of change]] = "Edit",COUNTIFS($I$4:changes[[#This Row],[Name]],changes[[#This Row],[Name]], $E$4:changes[[#This Row],[Type of change]], "Edit")),B1620)</f>
        <v>2</v>
      </c>
      <c r="C1621" s="20">
        <v>44706</v>
      </c>
      <c r="D1621" s="2" t="s">
        <v>2360</v>
      </c>
      <c r="E1621" t="s">
        <v>15</v>
      </c>
      <c r="F1621" s="14" t="s">
        <v>9</v>
      </c>
      <c r="G1621" t="s">
        <v>2361</v>
      </c>
      <c r="H1621" t="s">
        <v>49</v>
      </c>
      <c r="I1621" t="s">
        <v>478</v>
      </c>
      <c r="K1621" s="3"/>
      <c r="M1621" s="3"/>
    </row>
    <row r="1622" spans="1:13">
      <c r="A1622" t="s">
        <v>28</v>
      </c>
      <c r="B1622">
        <f ca="1">IF(OR(changes[[#This Row],[Type]]="Checklist",changes[[#This Row],[Type]]="checklist-flat"),1+IF(changes[[#This Row],[Type of change]] = "Edit",COUNTIFS($I$4:changes[[#This Row],[Name]],changes[[#This Row],[Name]], $E$4:changes[[#This Row],[Type of change]], "Edit")),B1621)</f>
        <v>2</v>
      </c>
      <c r="C1622" s="20">
        <v>44706</v>
      </c>
      <c r="D1622" s="2" t="s">
        <v>2360</v>
      </c>
      <c r="E1622" t="s">
        <v>15</v>
      </c>
      <c r="F1622" s="14" t="s">
        <v>9</v>
      </c>
      <c r="G1622" t="s">
        <v>2361</v>
      </c>
      <c r="H1622" t="s">
        <v>49</v>
      </c>
      <c r="I1622" t="s">
        <v>479</v>
      </c>
      <c r="K1622" s="3"/>
      <c r="M1622" s="3"/>
    </row>
    <row r="1623" spans="1:13">
      <c r="A1623" t="s">
        <v>28</v>
      </c>
      <c r="B1623">
        <f ca="1">IF(OR(changes[[#This Row],[Type]]="Checklist",changes[[#This Row],[Type]]="checklist-flat"),1+IF(changes[[#This Row],[Type of change]] = "Edit",COUNTIFS($I$4:changes[[#This Row],[Name]],changes[[#This Row],[Name]], $E$4:changes[[#This Row],[Type of change]], "Edit")),B1622)</f>
        <v>2</v>
      </c>
      <c r="C1623" s="20">
        <v>44706</v>
      </c>
      <c r="D1623" s="2" t="s">
        <v>2360</v>
      </c>
      <c r="E1623" t="s">
        <v>15</v>
      </c>
      <c r="F1623" s="14" t="s">
        <v>9</v>
      </c>
      <c r="G1623" t="s">
        <v>2361</v>
      </c>
      <c r="H1623" t="s">
        <v>49</v>
      </c>
      <c r="I1623" t="s">
        <v>480</v>
      </c>
      <c r="K1623" s="3"/>
      <c r="M1623" s="3"/>
    </row>
    <row r="1624" spans="1:13">
      <c r="A1624" t="s">
        <v>28</v>
      </c>
      <c r="B1624">
        <f ca="1">IF(OR(changes[[#This Row],[Type]]="Checklist",changes[[#This Row],[Type]]="checklist-flat"),1+IF(changes[[#This Row],[Type of change]] = "Edit",COUNTIFS($I$4:changes[[#This Row],[Name]],changes[[#This Row],[Name]], $E$4:changes[[#This Row],[Type of change]], "Edit")),B1623)</f>
        <v>2</v>
      </c>
      <c r="C1624" s="20">
        <v>44706</v>
      </c>
      <c r="D1624" s="2" t="s">
        <v>2360</v>
      </c>
      <c r="E1624" t="s">
        <v>15</v>
      </c>
      <c r="F1624" s="14" t="s">
        <v>9</v>
      </c>
      <c r="G1624" t="s">
        <v>2361</v>
      </c>
      <c r="H1624" t="s">
        <v>49</v>
      </c>
      <c r="I1624" t="s">
        <v>481</v>
      </c>
      <c r="K1624" s="3"/>
      <c r="M1624" s="3"/>
    </row>
    <row r="1625" spans="1:13">
      <c r="A1625" t="s">
        <v>28</v>
      </c>
      <c r="B1625">
        <f ca="1">IF(OR(changes[[#This Row],[Type]]="Checklist",changes[[#This Row],[Type]]="checklist-flat"),1+IF(changes[[#This Row],[Type of change]] = "Edit",COUNTIFS($I$4:changes[[#This Row],[Name]],changes[[#This Row],[Name]], $E$4:changes[[#This Row],[Type of change]], "Edit")),B1624)</f>
        <v>2</v>
      </c>
      <c r="C1625" s="20">
        <v>44706</v>
      </c>
      <c r="D1625" s="2" t="s">
        <v>2360</v>
      </c>
      <c r="E1625" t="s">
        <v>15</v>
      </c>
      <c r="F1625" s="14" t="s">
        <v>9</v>
      </c>
      <c r="G1625" t="s">
        <v>2361</v>
      </c>
      <c r="H1625" t="s">
        <v>49</v>
      </c>
      <c r="I1625" t="s">
        <v>482</v>
      </c>
      <c r="K1625" s="3"/>
      <c r="M1625" s="3"/>
    </row>
    <row r="1626" spans="1:13">
      <c r="A1626" t="s">
        <v>28</v>
      </c>
      <c r="B1626">
        <f ca="1">IF(OR(changes[[#This Row],[Type]]="Checklist",changes[[#This Row],[Type]]="checklist-flat"),1+IF(changes[[#This Row],[Type of change]] = "Edit",COUNTIFS($I$4:changes[[#This Row],[Name]],changes[[#This Row],[Name]], $E$4:changes[[#This Row],[Type of change]], "Edit")),B1625)</f>
        <v>2</v>
      </c>
      <c r="C1626" s="20">
        <v>44706</v>
      </c>
      <c r="D1626" s="2" t="s">
        <v>2360</v>
      </c>
      <c r="E1626" t="s">
        <v>15</v>
      </c>
      <c r="F1626" s="14" t="s">
        <v>9</v>
      </c>
      <c r="G1626" t="s">
        <v>2361</v>
      </c>
      <c r="H1626" t="s">
        <v>49</v>
      </c>
      <c r="I1626" t="s">
        <v>483</v>
      </c>
      <c r="K1626" s="3"/>
      <c r="M1626" s="3"/>
    </row>
    <row r="1627" spans="1:13">
      <c r="A1627" t="s">
        <v>28</v>
      </c>
      <c r="B1627">
        <f ca="1">IF(OR(changes[[#This Row],[Type]]="Checklist",changes[[#This Row],[Type]]="checklist-flat"),1+IF(changes[[#This Row],[Type of change]] = "Edit",COUNTIFS($I$4:changes[[#This Row],[Name]],changes[[#This Row],[Name]], $E$4:changes[[#This Row],[Type of change]], "Edit")),B1626)</f>
        <v>1</v>
      </c>
      <c r="C1627" s="20">
        <v>44706</v>
      </c>
      <c r="D1627" s="2" t="s">
        <v>2339</v>
      </c>
      <c r="E1627" t="s">
        <v>27</v>
      </c>
      <c r="F1627" s="14" t="s">
        <v>9</v>
      </c>
      <c r="G1627" s="14" t="s">
        <v>1227</v>
      </c>
      <c r="H1627" t="s">
        <v>48</v>
      </c>
      <c r="I1627" s="14" t="s">
        <v>1227</v>
      </c>
      <c r="K1627" s="3"/>
      <c r="L1627">
        <v>1</v>
      </c>
      <c r="M1627" s="3"/>
    </row>
    <row r="1628" spans="1:13">
      <c r="A1628" t="s">
        <v>28</v>
      </c>
      <c r="B1628">
        <f ca="1">IF(OR(changes[[#This Row],[Type]]="Checklist",changes[[#This Row],[Type]]="checklist-flat"),1+IF(changes[[#This Row],[Type of change]] = "Edit",COUNTIFS($I$4:changes[[#This Row],[Name]],changes[[#This Row],[Name]], $E$4:changes[[#This Row],[Type of change]], "Edit")),B1627)</f>
        <v>1</v>
      </c>
      <c r="C1628" s="20">
        <v>44706</v>
      </c>
      <c r="D1628" s="2" t="s">
        <v>2339</v>
      </c>
      <c r="E1628" t="s">
        <v>27</v>
      </c>
      <c r="F1628" s="14" t="s">
        <v>9</v>
      </c>
      <c r="G1628" s="14" t="s">
        <v>1227</v>
      </c>
      <c r="H1628" t="s">
        <v>49</v>
      </c>
      <c r="I1628" t="s">
        <v>1228</v>
      </c>
      <c r="K1628" s="3"/>
      <c r="M1628" s="3"/>
    </row>
    <row r="1629" spans="1:13">
      <c r="A1629" t="s">
        <v>28</v>
      </c>
      <c r="B1629">
        <f ca="1">IF(OR(changes[[#This Row],[Type]]="Checklist",changes[[#This Row],[Type]]="checklist-flat"),1+IF(changes[[#This Row],[Type of change]] = "Edit",COUNTIFS($I$4:changes[[#This Row],[Name]],changes[[#This Row],[Name]], $E$4:changes[[#This Row],[Type of change]], "Edit")),B1628)</f>
        <v>1</v>
      </c>
      <c r="C1629" s="20">
        <v>44706</v>
      </c>
      <c r="D1629" s="2" t="s">
        <v>2339</v>
      </c>
      <c r="E1629" t="s">
        <v>27</v>
      </c>
      <c r="F1629" s="14" t="s">
        <v>9</v>
      </c>
      <c r="G1629" s="14" t="s">
        <v>1227</v>
      </c>
      <c r="H1629" t="s">
        <v>124</v>
      </c>
      <c r="I1629" t="s">
        <v>1229</v>
      </c>
      <c r="K1629" s="3"/>
      <c r="M1629" s="3"/>
    </row>
    <row r="1630" spans="1:13">
      <c r="A1630" t="s">
        <v>28</v>
      </c>
      <c r="B1630">
        <f ca="1">IF(OR(changes[[#This Row],[Type]]="Checklist",changes[[#This Row],[Type]]="checklist-flat"),1+IF(changes[[#This Row],[Type of change]] = "Edit",COUNTIFS($I$4:changes[[#This Row],[Name]],changes[[#This Row],[Name]], $E$4:changes[[#This Row],[Type of change]], "Edit")),B1629)</f>
        <v>1</v>
      </c>
      <c r="C1630" s="20">
        <v>44706</v>
      </c>
      <c r="D1630" s="2" t="s">
        <v>2339</v>
      </c>
      <c r="E1630" t="s">
        <v>27</v>
      </c>
      <c r="F1630" s="14" t="s">
        <v>9</v>
      </c>
      <c r="G1630" s="14" t="s">
        <v>1227</v>
      </c>
      <c r="H1630" t="s">
        <v>49</v>
      </c>
      <c r="I1630" t="s">
        <v>1230</v>
      </c>
      <c r="K1630" s="3"/>
      <c r="M1630" s="3"/>
    </row>
    <row r="1631" spans="1:13">
      <c r="A1631" t="s">
        <v>28</v>
      </c>
      <c r="B1631">
        <f ca="1">IF(OR(changes[[#This Row],[Type]]="Checklist",changes[[#This Row],[Type]]="checklist-flat"),1+IF(changes[[#This Row],[Type of change]] = "Edit",COUNTIFS($I$4:changes[[#This Row],[Name]],changes[[#This Row],[Name]], $E$4:changes[[#This Row],[Type of change]], "Edit")),B1630)</f>
        <v>1</v>
      </c>
      <c r="C1631" s="20">
        <v>44706</v>
      </c>
      <c r="D1631" s="2" t="s">
        <v>2339</v>
      </c>
      <c r="E1631" t="s">
        <v>27</v>
      </c>
      <c r="F1631" s="14" t="s">
        <v>9</v>
      </c>
      <c r="G1631" s="14" t="s">
        <v>1227</v>
      </c>
      <c r="H1631" t="s">
        <v>49</v>
      </c>
      <c r="I1631" t="s">
        <v>1231</v>
      </c>
      <c r="K1631" s="3"/>
      <c r="M1631" s="3"/>
    </row>
    <row r="1632" spans="1:13">
      <c r="A1632" t="s">
        <v>28</v>
      </c>
      <c r="B1632">
        <f ca="1">IF(OR(changes[[#This Row],[Type]]="Checklist",changes[[#This Row],[Type]]="checklist-flat"),1+IF(changes[[#This Row],[Type of change]] = "Edit",COUNTIFS($I$4:changes[[#This Row],[Name]],changes[[#This Row],[Name]], $E$4:changes[[#This Row],[Type of change]], "Edit")),B1631)</f>
        <v>1</v>
      </c>
      <c r="C1632" s="20">
        <v>44706</v>
      </c>
      <c r="D1632" s="2" t="s">
        <v>2339</v>
      </c>
      <c r="E1632" t="s">
        <v>27</v>
      </c>
      <c r="F1632" s="14" t="s">
        <v>9</v>
      </c>
      <c r="G1632" s="14" t="s">
        <v>1227</v>
      </c>
      <c r="H1632" t="s">
        <v>49</v>
      </c>
      <c r="I1632" t="s">
        <v>1232</v>
      </c>
      <c r="K1632" s="3"/>
      <c r="M1632" s="3"/>
    </row>
    <row r="1633" spans="1:13">
      <c r="A1633" t="s">
        <v>28</v>
      </c>
      <c r="B1633">
        <f ca="1">IF(OR(changes[[#This Row],[Type]]="Checklist",changes[[#This Row],[Type]]="checklist-flat"),1+IF(changes[[#This Row],[Type of change]] = "Edit",COUNTIFS($I$4:changes[[#This Row],[Name]],changes[[#This Row],[Name]], $E$4:changes[[#This Row],[Type of change]], "Edit")),B1632)</f>
        <v>1</v>
      </c>
      <c r="C1633" s="20">
        <v>44706</v>
      </c>
      <c r="D1633" s="2" t="s">
        <v>2339</v>
      </c>
      <c r="E1633" t="s">
        <v>27</v>
      </c>
      <c r="F1633" s="14" t="s">
        <v>9</v>
      </c>
      <c r="G1633" s="14" t="s">
        <v>1227</v>
      </c>
      <c r="H1633" t="s">
        <v>49</v>
      </c>
      <c r="I1633" t="s">
        <v>2363</v>
      </c>
      <c r="K1633" s="3"/>
      <c r="M1633" s="3"/>
    </row>
    <row r="1634" spans="1:13">
      <c r="A1634" t="s">
        <v>28</v>
      </c>
      <c r="B1634">
        <f ca="1">IF(OR(changes[[#This Row],[Type]]="Checklist",changes[[#This Row],[Type]]="checklist-flat"),1+IF(changes[[#This Row],[Type of change]] = "Edit",COUNTIFS($I$4:changes[[#This Row],[Name]],changes[[#This Row],[Name]], $E$4:changes[[#This Row],[Type of change]], "Edit")),B1633)</f>
        <v>1</v>
      </c>
      <c r="C1634" s="20">
        <v>44706</v>
      </c>
      <c r="D1634" s="2" t="s">
        <v>2339</v>
      </c>
      <c r="E1634" t="s">
        <v>27</v>
      </c>
      <c r="F1634" s="14" t="s">
        <v>9</v>
      </c>
      <c r="G1634" s="14" t="s">
        <v>1227</v>
      </c>
      <c r="H1634" t="s">
        <v>49</v>
      </c>
      <c r="I1634" t="s">
        <v>1234</v>
      </c>
      <c r="K1634" s="3"/>
      <c r="M1634" s="3"/>
    </row>
    <row r="1635" spans="1:13">
      <c r="A1635" t="s">
        <v>28</v>
      </c>
      <c r="B1635">
        <f ca="1">IF(OR(changes[[#This Row],[Type]]="Checklist",changes[[#This Row],[Type]]="checklist-flat"),1+IF(changes[[#This Row],[Type of change]] = "Edit",COUNTIFS($I$4:changes[[#This Row],[Name]],changes[[#This Row],[Name]], $E$4:changes[[#This Row],[Type of change]], "Edit")),B1634)</f>
        <v>1</v>
      </c>
      <c r="C1635" s="20">
        <v>44706</v>
      </c>
      <c r="D1635" s="2" t="s">
        <v>2339</v>
      </c>
      <c r="E1635" t="s">
        <v>27</v>
      </c>
      <c r="F1635" s="14" t="s">
        <v>9</v>
      </c>
      <c r="G1635" s="14" t="s">
        <v>1227</v>
      </c>
      <c r="H1635" t="s">
        <v>124</v>
      </c>
      <c r="I1635" t="s">
        <v>1235</v>
      </c>
      <c r="K1635" s="3"/>
      <c r="M1635" s="3"/>
    </row>
    <row r="1636" spans="1:13">
      <c r="A1636" t="s">
        <v>28</v>
      </c>
      <c r="B1636">
        <f ca="1">IF(OR(changes[[#This Row],[Type]]="Checklist",changes[[#This Row],[Type]]="checklist-flat"),1+IF(changes[[#This Row],[Type of change]] = "Edit",COUNTIFS($I$4:changes[[#This Row],[Name]],changes[[#This Row],[Name]], $E$4:changes[[#This Row],[Type of change]], "Edit")),B1635)</f>
        <v>1</v>
      </c>
      <c r="C1636" s="20">
        <v>44706</v>
      </c>
      <c r="D1636" s="2" t="s">
        <v>2339</v>
      </c>
      <c r="E1636" t="s">
        <v>27</v>
      </c>
      <c r="F1636" s="14" t="s">
        <v>9</v>
      </c>
      <c r="G1636" s="14" t="s">
        <v>1227</v>
      </c>
      <c r="H1636" t="s">
        <v>49</v>
      </c>
      <c r="I1636" t="s">
        <v>1236</v>
      </c>
      <c r="K1636" s="3"/>
      <c r="M1636" s="3"/>
    </row>
    <row r="1637" spans="1:13">
      <c r="A1637" t="s">
        <v>28</v>
      </c>
      <c r="B1637">
        <f ca="1">IF(OR(changes[[#This Row],[Type]]="Checklist",changes[[#This Row],[Type]]="checklist-flat"),1+IF(changes[[#This Row],[Type of change]] = "Edit",COUNTIFS($I$4:changes[[#This Row],[Name]],changes[[#This Row],[Name]], $E$4:changes[[#This Row],[Type of change]], "Edit")),B1636)</f>
        <v>1</v>
      </c>
      <c r="C1637" s="20">
        <v>44706</v>
      </c>
      <c r="D1637" s="2" t="s">
        <v>2339</v>
      </c>
      <c r="E1637" t="s">
        <v>27</v>
      </c>
      <c r="F1637" s="14" t="s">
        <v>9</v>
      </c>
      <c r="G1637" s="14" t="s">
        <v>1227</v>
      </c>
      <c r="H1637" t="s">
        <v>124</v>
      </c>
      <c r="I1637" t="s">
        <v>1237</v>
      </c>
      <c r="K1637" s="3"/>
      <c r="M1637" s="3"/>
    </row>
    <row r="1638" spans="1:13">
      <c r="A1638" t="s">
        <v>28</v>
      </c>
      <c r="B1638">
        <f ca="1">IF(OR(changes[[#This Row],[Type]]="Checklist",changes[[#This Row],[Type]]="checklist-flat"),1+IF(changes[[#This Row],[Type of change]] = "Edit",COUNTIFS($I$4:changes[[#This Row],[Name]],changes[[#This Row],[Name]], $E$4:changes[[#This Row],[Type of change]], "Edit")),B1637)</f>
        <v>1</v>
      </c>
      <c r="C1638" s="20">
        <v>44706</v>
      </c>
      <c r="D1638" s="2" t="s">
        <v>2339</v>
      </c>
      <c r="E1638" t="s">
        <v>27</v>
      </c>
      <c r="F1638" s="14" t="s">
        <v>9</v>
      </c>
      <c r="G1638" s="14" t="s">
        <v>1227</v>
      </c>
      <c r="H1638" t="s">
        <v>49</v>
      </c>
      <c r="I1638" t="s">
        <v>1238</v>
      </c>
      <c r="K1638" s="3"/>
      <c r="M1638" s="3"/>
    </row>
    <row r="1639" spans="1:13">
      <c r="A1639" t="s">
        <v>28</v>
      </c>
      <c r="B1639">
        <f ca="1">IF(OR(changes[[#This Row],[Type]]="Checklist",changes[[#This Row],[Type]]="checklist-flat"),1+IF(changes[[#This Row],[Type of change]] = "Edit",COUNTIFS($I$4:changes[[#This Row],[Name]],changes[[#This Row],[Name]], $E$4:changes[[#This Row],[Type of change]], "Edit")),B1638)</f>
        <v>1</v>
      </c>
      <c r="C1639" s="20">
        <v>44706</v>
      </c>
      <c r="D1639" s="2" t="s">
        <v>2339</v>
      </c>
      <c r="E1639" t="s">
        <v>27</v>
      </c>
      <c r="F1639" s="14" t="s">
        <v>9</v>
      </c>
      <c r="G1639" t="s">
        <v>2364</v>
      </c>
      <c r="H1639" t="s">
        <v>48</v>
      </c>
      <c r="I1639" t="s">
        <v>1239</v>
      </c>
      <c r="K1639" s="3"/>
      <c r="L1639">
        <v>1</v>
      </c>
      <c r="M1639" s="3"/>
    </row>
    <row r="1640" spans="1:13">
      <c r="A1640" t="s">
        <v>28</v>
      </c>
      <c r="B1640">
        <f ca="1">IF(OR(changes[[#This Row],[Type]]="Checklist",changes[[#This Row],[Type]]="checklist-flat"),1+IF(changes[[#This Row],[Type of change]] = "Edit",COUNTIFS($I$4:changes[[#This Row],[Name]],changes[[#This Row],[Name]], $E$4:changes[[#This Row],[Type of change]], "Edit")),B1639)</f>
        <v>1</v>
      </c>
      <c r="C1640" s="20">
        <v>44706</v>
      </c>
      <c r="D1640" s="2" t="s">
        <v>2339</v>
      </c>
      <c r="E1640" t="s">
        <v>27</v>
      </c>
      <c r="F1640" s="14" t="s">
        <v>9</v>
      </c>
      <c r="G1640" t="s">
        <v>2365</v>
      </c>
      <c r="H1640" t="s">
        <v>49</v>
      </c>
      <c r="I1640" t="s">
        <v>1240</v>
      </c>
      <c r="K1640" s="3"/>
      <c r="M1640" s="3"/>
    </row>
    <row r="1641" spans="1:13">
      <c r="A1641" t="s">
        <v>28</v>
      </c>
      <c r="B1641">
        <f ca="1">IF(OR(changes[[#This Row],[Type]]="Checklist",changes[[#This Row],[Type]]="checklist-flat"),1+IF(changes[[#This Row],[Type of change]] = "Edit",COUNTIFS($I$4:changes[[#This Row],[Name]],changes[[#This Row],[Name]], $E$4:changes[[#This Row],[Type of change]], "Edit")),B1640)</f>
        <v>1</v>
      </c>
      <c r="C1641" s="20">
        <v>44706</v>
      </c>
      <c r="D1641" s="2" t="s">
        <v>2339</v>
      </c>
      <c r="E1641" t="s">
        <v>27</v>
      </c>
      <c r="F1641" s="14" t="s">
        <v>9</v>
      </c>
      <c r="G1641" t="s">
        <v>2365</v>
      </c>
      <c r="H1641" t="s">
        <v>124</v>
      </c>
      <c r="I1641" t="s">
        <v>1241</v>
      </c>
      <c r="K1641" s="3"/>
      <c r="M1641" s="3"/>
    </row>
    <row r="1642" spans="1:13">
      <c r="A1642" t="s">
        <v>28</v>
      </c>
      <c r="B1642">
        <f ca="1">IF(OR(changes[[#This Row],[Type]]="Checklist",changes[[#This Row],[Type]]="checklist-flat"),1+IF(changes[[#This Row],[Type of change]] = "Edit",COUNTIFS($I$4:changes[[#This Row],[Name]],changes[[#This Row],[Name]], $E$4:changes[[#This Row],[Type of change]], "Edit")),B1641)</f>
        <v>1</v>
      </c>
      <c r="C1642" s="20">
        <v>44706</v>
      </c>
      <c r="D1642" s="2" t="s">
        <v>2339</v>
      </c>
      <c r="E1642" t="s">
        <v>27</v>
      </c>
      <c r="F1642" s="14" t="s">
        <v>9</v>
      </c>
      <c r="G1642" t="s">
        <v>2365</v>
      </c>
      <c r="H1642" t="s">
        <v>124</v>
      </c>
      <c r="I1642" t="s">
        <v>1229</v>
      </c>
      <c r="K1642" s="3"/>
      <c r="M1642" s="3"/>
    </row>
    <row r="1643" spans="1:13">
      <c r="A1643" t="s">
        <v>28</v>
      </c>
      <c r="B1643">
        <f ca="1">IF(OR(changes[[#This Row],[Type]]="Checklist",changes[[#This Row],[Type]]="checklist-flat"),1+IF(changes[[#This Row],[Type of change]] = "Edit",COUNTIFS($I$4:changes[[#This Row],[Name]],changes[[#This Row],[Name]], $E$4:changes[[#This Row],[Type of change]], "Edit")),B1642)</f>
        <v>1</v>
      </c>
      <c r="C1643" s="20">
        <v>44706</v>
      </c>
      <c r="D1643" s="2" t="s">
        <v>2339</v>
      </c>
      <c r="E1643" t="s">
        <v>27</v>
      </c>
      <c r="F1643" s="14" t="s">
        <v>9</v>
      </c>
      <c r="G1643" t="s">
        <v>2365</v>
      </c>
      <c r="H1643" t="s">
        <v>124</v>
      </c>
      <c r="I1643" t="s">
        <v>1242</v>
      </c>
      <c r="K1643" s="3"/>
      <c r="M1643" s="3"/>
    </row>
    <row r="1644" spans="1:13">
      <c r="A1644" t="s">
        <v>28</v>
      </c>
      <c r="B1644">
        <f ca="1">IF(OR(changes[[#This Row],[Type]]="Checklist",changes[[#This Row],[Type]]="checklist-flat"),1+IF(changes[[#This Row],[Type of change]] = "Edit",COUNTIFS($I$4:changes[[#This Row],[Name]],changes[[#This Row],[Name]], $E$4:changes[[#This Row],[Type of change]], "Edit")),B1643)</f>
        <v>1</v>
      </c>
      <c r="C1644" s="20">
        <v>44706</v>
      </c>
      <c r="D1644" s="2" t="s">
        <v>2339</v>
      </c>
      <c r="E1644" t="s">
        <v>27</v>
      </c>
      <c r="F1644" s="14" t="s">
        <v>9</v>
      </c>
      <c r="G1644" t="s">
        <v>2365</v>
      </c>
      <c r="H1644" t="s">
        <v>124</v>
      </c>
      <c r="I1644" t="s">
        <v>793</v>
      </c>
      <c r="K1644" s="3"/>
      <c r="M1644" s="3"/>
    </row>
    <row r="1645" spans="1:13">
      <c r="A1645" t="s">
        <v>28</v>
      </c>
      <c r="B1645">
        <f ca="1">IF(OR(changes[[#This Row],[Type]]="Checklist",changes[[#This Row],[Type]]="checklist-flat"),1+IF(changes[[#This Row],[Type of change]] = "Edit",COUNTIFS($I$4:changes[[#This Row],[Name]],changes[[#This Row],[Name]], $E$4:changes[[#This Row],[Type of change]], "Edit")),B1644)</f>
        <v>1</v>
      </c>
      <c r="C1645" s="20">
        <v>44706</v>
      </c>
      <c r="D1645" s="2" t="s">
        <v>2339</v>
      </c>
      <c r="E1645" t="s">
        <v>27</v>
      </c>
      <c r="F1645" s="14" t="s">
        <v>9</v>
      </c>
      <c r="G1645" t="s">
        <v>2365</v>
      </c>
      <c r="H1645" t="s">
        <v>124</v>
      </c>
      <c r="I1645" t="s">
        <v>1243</v>
      </c>
      <c r="K1645" s="3"/>
      <c r="M1645" s="3"/>
    </row>
    <row r="1646" spans="1:13">
      <c r="A1646" t="s">
        <v>28</v>
      </c>
      <c r="B1646">
        <f ca="1">IF(OR(changes[[#This Row],[Type]]="Checklist",changes[[#This Row],[Type]]="checklist-flat"),1+IF(changes[[#This Row],[Type of change]] = "Edit",COUNTIFS($I$4:changes[[#This Row],[Name]],changes[[#This Row],[Name]], $E$4:changes[[#This Row],[Type of change]], "Edit")),B1645)</f>
        <v>1</v>
      </c>
      <c r="C1646" s="20">
        <v>44706</v>
      </c>
      <c r="D1646" s="2" t="s">
        <v>2339</v>
      </c>
      <c r="E1646" t="s">
        <v>27</v>
      </c>
      <c r="F1646" s="14" t="s">
        <v>9</v>
      </c>
      <c r="G1646" t="s">
        <v>2365</v>
      </c>
      <c r="H1646" t="s">
        <v>124</v>
      </c>
      <c r="I1646" t="s">
        <v>1244</v>
      </c>
      <c r="K1646" s="3"/>
      <c r="M1646" s="3"/>
    </row>
    <row r="1647" spans="1:13">
      <c r="A1647" t="s">
        <v>28</v>
      </c>
      <c r="B1647">
        <f ca="1">IF(OR(changes[[#This Row],[Type]]="Checklist",changes[[#This Row],[Type]]="checklist-flat"),1+IF(changes[[#This Row],[Type of change]] = "Edit",COUNTIFS($I$4:changes[[#This Row],[Name]],changes[[#This Row],[Name]], $E$4:changes[[#This Row],[Type of change]], "Edit")),B1646)</f>
        <v>1</v>
      </c>
      <c r="C1647" s="20">
        <v>44706</v>
      </c>
      <c r="D1647" s="2" t="s">
        <v>2339</v>
      </c>
      <c r="E1647" t="s">
        <v>27</v>
      </c>
      <c r="F1647" s="14" t="s">
        <v>9</v>
      </c>
      <c r="G1647" t="s">
        <v>2365</v>
      </c>
      <c r="H1647" t="s">
        <v>49</v>
      </c>
      <c r="I1647" t="s">
        <v>1245</v>
      </c>
      <c r="K1647" s="3"/>
      <c r="M1647" s="3"/>
    </row>
    <row r="1648" spans="1:13">
      <c r="A1648" t="s">
        <v>28</v>
      </c>
      <c r="B1648">
        <f ca="1">IF(OR(changes[[#This Row],[Type]]="Checklist",changes[[#This Row],[Type]]="checklist-flat"),1+IF(changes[[#This Row],[Type of change]] = "Edit",COUNTIFS($I$4:changes[[#This Row],[Name]],changes[[#This Row],[Name]], $E$4:changes[[#This Row],[Type of change]], "Edit")),B1647)</f>
        <v>1</v>
      </c>
      <c r="C1648" s="20">
        <v>44706</v>
      </c>
      <c r="D1648" s="2" t="s">
        <v>2339</v>
      </c>
      <c r="E1648" t="s">
        <v>27</v>
      </c>
      <c r="F1648" s="14" t="s">
        <v>9</v>
      </c>
      <c r="G1648" t="s">
        <v>2365</v>
      </c>
      <c r="H1648" t="s">
        <v>49</v>
      </c>
      <c r="I1648" t="s">
        <v>1246</v>
      </c>
      <c r="K1648" s="3"/>
      <c r="M1648" s="3"/>
    </row>
    <row r="1649" spans="1:13">
      <c r="A1649" t="s">
        <v>28</v>
      </c>
      <c r="B1649">
        <f ca="1">IF(OR(changes[[#This Row],[Type]]="Checklist",changes[[#This Row],[Type]]="checklist-flat"),1+IF(changes[[#This Row],[Type of change]] = "Edit",COUNTIFS($I$4:changes[[#This Row],[Name]],changes[[#This Row],[Name]], $E$4:changes[[#This Row],[Type of change]], "Edit")),B1648)</f>
        <v>1</v>
      </c>
      <c r="C1649" s="20">
        <v>44706</v>
      </c>
      <c r="D1649" s="2" t="s">
        <v>2339</v>
      </c>
      <c r="E1649" t="s">
        <v>27</v>
      </c>
      <c r="F1649" s="14" t="s">
        <v>9</v>
      </c>
      <c r="G1649" t="s">
        <v>2365</v>
      </c>
      <c r="H1649" t="s">
        <v>49</v>
      </c>
      <c r="I1649" t="s">
        <v>1247</v>
      </c>
      <c r="K1649" s="3"/>
      <c r="M1649" s="3"/>
    </row>
    <row r="1650" spans="1:13">
      <c r="A1650" t="s">
        <v>28</v>
      </c>
      <c r="B1650">
        <f ca="1">IF(OR(changes[[#This Row],[Type]]="Checklist",changes[[#This Row],[Type]]="checklist-flat"),1+IF(changes[[#This Row],[Type of change]] = "Edit",COUNTIFS($I$4:changes[[#This Row],[Name]],changes[[#This Row],[Name]], $E$4:changes[[#This Row],[Type of change]], "Edit")),B1649)</f>
        <v>1</v>
      </c>
      <c r="C1650" s="20">
        <v>44706</v>
      </c>
      <c r="D1650" s="2" t="s">
        <v>2339</v>
      </c>
      <c r="E1650" t="s">
        <v>27</v>
      </c>
      <c r="F1650" s="14" t="s">
        <v>9</v>
      </c>
      <c r="G1650" t="s">
        <v>2365</v>
      </c>
      <c r="H1650" t="s">
        <v>49</v>
      </c>
      <c r="I1650" t="s">
        <v>1248</v>
      </c>
      <c r="K1650" s="3"/>
      <c r="M1650" s="3"/>
    </row>
    <row r="1651" spans="1:13">
      <c r="A1651" t="s">
        <v>28</v>
      </c>
      <c r="B1651">
        <f ca="1">IF(OR(changes[[#This Row],[Type]]="Checklist",changes[[#This Row],[Type]]="checklist-flat"),1+IF(changes[[#This Row],[Type of change]] = "Edit",COUNTIFS($I$4:changes[[#This Row],[Name]],changes[[#This Row],[Name]], $E$4:changes[[#This Row],[Type of change]], "Edit")),B1650)</f>
        <v>3</v>
      </c>
      <c r="C1651" s="20">
        <v>44719</v>
      </c>
      <c r="D1651" s="2" t="s">
        <v>2339</v>
      </c>
      <c r="E1651" t="s">
        <v>15</v>
      </c>
      <c r="F1651" s="14" t="s">
        <v>9</v>
      </c>
      <c r="G1651" t="s">
        <v>417</v>
      </c>
      <c r="H1651" t="s">
        <v>119</v>
      </c>
      <c r="I1651" t="s">
        <v>417</v>
      </c>
      <c r="K1651" s="3" t="s">
        <v>6</v>
      </c>
      <c r="L1651" t="s">
        <v>2366</v>
      </c>
      <c r="M1651" s="3"/>
    </row>
    <row r="1652" spans="1:13">
      <c r="A1652" t="s">
        <v>28</v>
      </c>
      <c r="B1652">
        <f ca="1">IF(OR(changes[[#This Row],[Type]]="Checklist",changes[[#This Row],[Type]]="checklist-flat"),1+IF(changes[[#This Row],[Type of change]] = "Edit",COUNTIFS($I$4:changes[[#This Row],[Name]],changes[[#This Row],[Name]], $E$4:changes[[#This Row],[Type of change]], "Edit")),B1651)</f>
        <v>3</v>
      </c>
      <c r="C1652" s="20">
        <v>44719</v>
      </c>
      <c r="D1652" s="20" t="s">
        <v>2339</v>
      </c>
      <c r="E1652" s="20" t="s">
        <v>15</v>
      </c>
      <c r="F1652" s="20" t="s">
        <v>9</v>
      </c>
      <c r="G1652" s="20" t="s">
        <v>417</v>
      </c>
      <c r="H1652" s="20" t="s">
        <v>120</v>
      </c>
      <c r="I1652" s="20" t="s">
        <v>418</v>
      </c>
      <c r="K1652" s="3" t="s">
        <v>6</v>
      </c>
      <c r="L1652" t="s">
        <v>2366</v>
      </c>
      <c r="M1652" s="3"/>
    </row>
    <row r="1653" spans="1:13">
      <c r="A1653" t="s">
        <v>28</v>
      </c>
      <c r="B1653">
        <f ca="1">IF(OR(changes[[#This Row],[Type]]="Checklist",changes[[#This Row],[Type]]="checklist-flat"),1+IF(changes[[#This Row],[Type of change]] = "Edit",COUNTIFS($I$4:changes[[#This Row],[Name]],changes[[#This Row],[Name]], $E$4:changes[[#This Row],[Type of change]], "Edit")),B1652)</f>
        <v>3</v>
      </c>
      <c r="C1653" s="20">
        <v>44719</v>
      </c>
      <c r="D1653" s="20" t="s">
        <v>2339</v>
      </c>
      <c r="E1653" s="20" t="s">
        <v>15</v>
      </c>
      <c r="F1653" s="20" t="s">
        <v>9</v>
      </c>
      <c r="G1653" s="20" t="s">
        <v>417</v>
      </c>
      <c r="H1653" s="20" t="s">
        <v>49</v>
      </c>
      <c r="I1653" s="20" t="s">
        <v>419</v>
      </c>
      <c r="K1653" s="3" t="s">
        <v>6</v>
      </c>
      <c r="L1653" t="s">
        <v>2366</v>
      </c>
      <c r="M1653" s="3"/>
    </row>
    <row r="1654" spans="1:13">
      <c r="A1654" t="s">
        <v>28</v>
      </c>
      <c r="B1654">
        <f ca="1">IF(OR(changes[[#This Row],[Type]]="Checklist",changes[[#This Row],[Type]]="checklist-flat"),1+IF(changes[[#This Row],[Type of change]] = "Edit",COUNTIFS($I$4:changes[[#This Row],[Name]],changes[[#This Row],[Name]], $E$4:changes[[#This Row],[Type of change]], "Edit")),B1653)</f>
        <v>3</v>
      </c>
      <c r="C1654" s="20">
        <v>44719</v>
      </c>
      <c r="D1654" s="20" t="s">
        <v>2339</v>
      </c>
      <c r="E1654" s="20" t="s">
        <v>15</v>
      </c>
      <c r="F1654" s="20" t="s">
        <v>9</v>
      </c>
      <c r="G1654" s="20" t="s">
        <v>417</v>
      </c>
      <c r="H1654" s="20" t="s">
        <v>49</v>
      </c>
      <c r="I1654" s="20" t="s">
        <v>421</v>
      </c>
      <c r="K1654" s="3" t="s">
        <v>6</v>
      </c>
      <c r="L1654" t="s">
        <v>2366</v>
      </c>
      <c r="M1654" s="3"/>
    </row>
    <row r="1655" spans="1:13">
      <c r="A1655" t="s">
        <v>28</v>
      </c>
      <c r="B1655">
        <f ca="1">IF(OR(changes[[#This Row],[Type]]="Checklist",changes[[#This Row],[Type]]="checklist-flat"),1+IF(changes[[#This Row],[Type of change]] = "Edit",COUNTIFS($I$4:changes[[#This Row],[Name]],changes[[#This Row],[Name]], $E$4:changes[[#This Row],[Type of change]], "Edit")),B1654)</f>
        <v>3</v>
      </c>
      <c r="C1655" s="20">
        <v>44719</v>
      </c>
      <c r="D1655" s="20" t="s">
        <v>2339</v>
      </c>
      <c r="E1655" s="20" t="s">
        <v>15</v>
      </c>
      <c r="F1655" s="20" t="s">
        <v>9</v>
      </c>
      <c r="G1655" s="20" t="s">
        <v>417</v>
      </c>
      <c r="H1655" s="20" t="s">
        <v>49</v>
      </c>
      <c r="I1655" s="20" t="s">
        <v>420</v>
      </c>
      <c r="K1655" s="3" t="s">
        <v>6</v>
      </c>
      <c r="L1655" t="s">
        <v>2366</v>
      </c>
      <c r="M1655" s="3" t="s">
        <v>2367</v>
      </c>
    </row>
    <row r="1656" spans="1:13">
      <c r="A1656" t="s">
        <v>28</v>
      </c>
      <c r="B1656">
        <f ca="1">IF(OR(changes[[#This Row],[Type]]="Checklist",changes[[#This Row],[Type]]="checklist-flat"),1+IF(changes[[#This Row],[Type of change]] = "Edit",COUNTIFS($I$4:changes[[#This Row],[Name]],changes[[#This Row],[Name]], $E$4:changes[[#This Row],[Type of change]], "Edit")),B1655)</f>
        <v>3</v>
      </c>
      <c r="C1656" s="20">
        <v>44719</v>
      </c>
      <c r="D1656" s="20" t="s">
        <v>2339</v>
      </c>
      <c r="E1656" s="20" t="s">
        <v>15</v>
      </c>
      <c r="F1656" s="20" t="s">
        <v>9</v>
      </c>
      <c r="G1656" s="20" t="s">
        <v>417</v>
      </c>
      <c r="H1656" s="20" t="s">
        <v>120</v>
      </c>
      <c r="I1656" s="20" t="s">
        <v>422</v>
      </c>
      <c r="K1656" s="3" t="s">
        <v>6</v>
      </c>
      <c r="L1656" t="s">
        <v>2366</v>
      </c>
      <c r="M1656" s="3"/>
    </row>
    <row r="1657" spans="1:13">
      <c r="A1657" t="s">
        <v>28</v>
      </c>
      <c r="B1657">
        <f ca="1">IF(OR(changes[[#This Row],[Type]]="Checklist",changes[[#This Row],[Type]]="checklist-flat"),1+IF(changes[[#This Row],[Type of change]] = "Edit",COUNTIFS($I$4:changes[[#This Row],[Name]],changes[[#This Row],[Name]], $E$4:changes[[#This Row],[Type of change]], "Edit")),B1656)</f>
        <v>3</v>
      </c>
      <c r="C1657" s="20">
        <v>44719</v>
      </c>
      <c r="D1657" s="20" t="s">
        <v>2339</v>
      </c>
      <c r="E1657" s="20" t="s">
        <v>15</v>
      </c>
      <c r="F1657" s="20" t="s">
        <v>9</v>
      </c>
      <c r="G1657" s="20" t="s">
        <v>417</v>
      </c>
      <c r="H1657" s="20" t="s">
        <v>49</v>
      </c>
      <c r="I1657" s="20" t="s">
        <v>423</v>
      </c>
      <c r="K1657" s="3" t="s">
        <v>6</v>
      </c>
      <c r="L1657" t="s">
        <v>2366</v>
      </c>
      <c r="M1657" s="3"/>
    </row>
    <row r="1658" spans="1:13">
      <c r="A1658" t="s">
        <v>28</v>
      </c>
      <c r="B1658">
        <f ca="1">IF(OR(changes[[#This Row],[Type]]="Checklist",changes[[#This Row],[Type]]="checklist-flat"),1+IF(changes[[#This Row],[Type of change]] = "Edit",COUNTIFS($I$4:changes[[#This Row],[Name]],changes[[#This Row],[Name]], $E$4:changes[[#This Row],[Type of change]], "Edit")),B1657)</f>
        <v>3</v>
      </c>
      <c r="C1658" s="20">
        <v>44719</v>
      </c>
      <c r="D1658" s="20" t="s">
        <v>2339</v>
      </c>
      <c r="E1658" s="20" t="s">
        <v>15</v>
      </c>
      <c r="F1658" s="20" t="s">
        <v>9</v>
      </c>
      <c r="G1658" s="20" t="s">
        <v>417</v>
      </c>
      <c r="H1658" s="20" t="s">
        <v>49</v>
      </c>
      <c r="I1658" s="20" t="s">
        <v>424</v>
      </c>
      <c r="K1658" s="3" t="s">
        <v>6</v>
      </c>
      <c r="L1658" t="s">
        <v>2366</v>
      </c>
      <c r="M1658" s="3"/>
    </row>
    <row r="1659" spans="1:13">
      <c r="A1659" t="s">
        <v>28</v>
      </c>
      <c r="B1659">
        <f ca="1">IF(OR(changes[[#This Row],[Type]]="Checklist",changes[[#This Row],[Type]]="checklist-flat"),1+IF(changes[[#This Row],[Type of change]] = "Edit",COUNTIFS($I$4:changes[[#This Row],[Name]],changes[[#This Row],[Name]], $E$4:changes[[#This Row],[Type of change]], "Edit")),B1658)</f>
        <v>3</v>
      </c>
      <c r="C1659" s="20">
        <v>44719</v>
      </c>
      <c r="D1659" s="20" t="s">
        <v>2339</v>
      </c>
      <c r="E1659" s="20" t="s">
        <v>15</v>
      </c>
      <c r="F1659" s="20" t="s">
        <v>9</v>
      </c>
      <c r="G1659" s="20" t="s">
        <v>417</v>
      </c>
      <c r="H1659" s="20" t="s">
        <v>49</v>
      </c>
      <c r="I1659" s="20" t="s">
        <v>425</v>
      </c>
      <c r="K1659" s="3" t="s">
        <v>6</v>
      </c>
      <c r="L1659" t="s">
        <v>2366</v>
      </c>
      <c r="M1659" s="3"/>
    </row>
    <row r="1660" spans="1:13">
      <c r="A1660" t="s">
        <v>28</v>
      </c>
      <c r="B1660">
        <f ca="1">IF(OR(changes[[#This Row],[Type]]="Checklist",changes[[#This Row],[Type]]="checklist-flat"),1+IF(changes[[#This Row],[Type of change]] = "Edit",COUNTIFS($I$4:changes[[#This Row],[Name]],changes[[#This Row],[Name]], $E$4:changes[[#This Row],[Type of change]], "Edit")),B1659)</f>
        <v>3</v>
      </c>
      <c r="C1660" s="20">
        <v>44719</v>
      </c>
      <c r="D1660" s="20" t="s">
        <v>2339</v>
      </c>
      <c r="E1660" s="20" t="s">
        <v>15</v>
      </c>
      <c r="F1660" s="20" t="s">
        <v>9</v>
      </c>
      <c r="G1660" s="20" t="s">
        <v>417</v>
      </c>
      <c r="H1660" s="20" t="s">
        <v>49</v>
      </c>
      <c r="I1660" s="20" t="s">
        <v>426</v>
      </c>
      <c r="K1660" s="3" t="s">
        <v>6</v>
      </c>
      <c r="L1660" t="s">
        <v>2366</v>
      </c>
      <c r="M1660" s="3"/>
    </row>
    <row r="1661" spans="1:13">
      <c r="A1661" t="s">
        <v>28</v>
      </c>
      <c r="B1661">
        <f ca="1">IF(OR(changes[[#This Row],[Type]]="Checklist",changes[[#This Row],[Type]]="checklist-flat"),1+IF(changes[[#This Row],[Type of change]] = "Edit",COUNTIFS($I$4:changes[[#This Row],[Name]],changes[[#This Row],[Name]], $E$4:changes[[#This Row],[Type of change]], "Edit")),B1660)</f>
        <v>2</v>
      </c>
      <c r="C1661" s="20">
        <v>44719</v>
      </c>
      <c r="D1661" s="20" t="s">
        <v>2339</v>
      </c>
      <c r="E1661" s="20" t="s">
        <v>15</v>
      </c>
      <c r="F1661" s="20" t="s">
        <v>9</v>
      </c>
      <c r="G1661" t="s">
        <v>400</v>
      </c>
      <c r="H1661" t="s">
        <v>119</v>
      </c>
      <c r="I1661" t="s">
        <v>400</v>
      </c>
      <c r="K1661" s="3" t="s">
        <v>6</v>
      </c>
      <c r="L1661" t="s">
        <v>2366</v>
      </c>
      <c r="M1661" s="3"/>
    </row>
    <row r="1662" spans="1:13">
      <c r="A1662" t="s">
        <v>28</v>
      </c>
      <c r="B1662">
        <f ca="1">IF(OR(changes[[#This Row],[Type]]="Checklist",changes[[#This Row],[Type]]="checklist-flat"),1+IF(changes[[#This Row],[Type of change]] = "Edit",COUNTIFS($I$4:changes[[#This Row],[Name]],changes[[#This Row],[Name]], $E$4:changes[[#This Row],[Type of change]], "Edit")),B1661)</f>
        <v>2</v>
      </c>
      <c r="C1662" s="20">
        <v>44719</v>
      </c>
      <c r="D1662" s="20" t="s">
        <v>2339</v>
      </c>
      <c r="E1662" s="20" t="s">
        <v>15</v>
      </c>
      <c r="F1662" s="20" t="s">
        <v>9</v>
      </c>
      <c r="G1662" t="s">
        <v>400</v>
      </c>
      <c r="H1662" t="s">
        <v>120</v>
      </c>
      <c r="I1662" t="s">
        <v>360</v>
      </c>
      <c r="K1662" s="3" t="s">
        <v>6</v>
      </c>
      <c r="L1662" t="s">
        <v>2366</v>
      </c>
      <c r="M1662" s="3"/>
    </row>
    <row r="1663" spans="1:13">
      <c r="A1663" t="s">
        <v>28</v>
      </c>
      <c r="B1663">
        <f ca="1">IF(OR(changes[[#This Row],[Type]]="Checklist",changes[[#This Row],[Type]]="checklist-flat"),1+IF(changes[[#This Row],[Type of change]] = "Edit",COUNTIFS($I$4:changes[[#This Row],[Name]],changes[[#This Row],[Name]], $E$4:changes[[#This Row],[Type of change]], "Edit")),B1662)</f>
        <v>2</v>
      </c>
      <c r="C1663" s="20">
        <v>44719</v>
      </c>
      <c r="D1663" s="20" t="s">
        <v>2339</v>
      </c>
      <c r="E1663" s="20" t="s">
        <v>15</v>
      </c>
      <c r="F1663" s="20" t="s">
        <v>9</v>
      </c>
      <c r="G1663" t="s">
        <v>400</v>
      </c>
      <c r="H1663" t="s">
        <v>49</v>
      </c>
      <c r="I1663" t="s">
        <v>373</v>
      </c>
      <c r="K1663" s="3" t="s">
        <v>6</v>
      </c>
      <c r="L1663" t="s">
        <v>2366</v>
      </c>
      <c r="M1663" s="3"/>
    </row>
    <row r="1664" spans="1:13">
      <c r="A1664" t="s">
        <v>28</v>
      </c>
      <c r="B1664">
        <f ca="1">IF(OR(changes[[#This Row],[Type]]="Checklist",changes[[#This Row],[Type]]="checklist-flat"),1+IF(changes[[#This Row],[Type of change]] = "Edit",COUNTIFS($I$4:changes[[#This Row],[Name]],changes[[#This Row],[Name]], $E$4:changes[[#This Row],[Type of change]], "Edit")),B1663)</f>
        <v>2</v>
      </c>
      <c r="C1664" s="20">
        <v>44719</v>
      </c>
      <c r="D1664" s="20" t="s">
        <v>2339</v>
      </c>
      <c r="E1664" s="20" t="s">
        <v>15</v>
      </c>
      <c r="F1664" s="20" t="s">
        <v>9</v>
      </c>
      <c r="G1664" t="s">
        <v>400</v>
      </c>
      <c r="H1664" t="s">
        <v>49</v>
      </c>
      <c r="I1664" t="s">
        <v>374</v>
      </c>
      <c r="K1664" s="3" t="s">
        <v>6</v>
      </c>
      <c r="L1664" t="s">
        <v>2366</v>
      </c>
      <c r="M1664" s="3"/>
    </row>
    <row r="1665" spans="1:13">
      <c r="A1665" t="s">
        <v>28</v>
      </c>
      <c r="B1665">
        <f ca="1">IF(OR(changes[[#This Row],[Type]]="Checklist",changes[[#This Row],[Type]]="checklist-flat"),1+IF(changes[[#This Row],[Type of change]] = "Edit",COUNTIFS($I$4:changes[[#This Row],[Name]],changes[[#This Row],[Name]], $E$4:changes[[#This Row],[Type of change]], "Edit")),B1664)</f>
        <v>2</v>
      </c>
      <c r="C1665" s="20">
        <v>44719</v>
      </c>
      <c r="D1665" s="20" t="s">
        <v>2339</v>
      </c>
      <c r="E1665" s="20" t="s">
        <v>15</v>
      </c>
      <c r="F1665" s="20" t="s">
        <v>9</v>
      </c>
      <c r="G1665" t="s">
        <v>400</v>
      </c>
      <c r="H1665" t="s">
        <v>120</v>
      </c>
      <c r="I1665" t="s">
        <v>366</v>
      </c>
      <c r="K1665" s="3" t="s">
        <v>6</v>
      </c>
      <c r="L1665" t="s">
        <v>2366</v>
      </c>
      <c r="M1665" s="3"/>
    </row>
    <row r="1666" spans="1:13">
      <c r="A1666" t="s">
        <v>28</v>
      </c>
      <c r="B1666">
        <f ca="1">IF(OR(changes[[#This Row],[Type]]="Checklist",changes[[#This Row],[Type]]="checklist-flat"),1+IF(changes[[#This Row],[Type of change]] = "Edit",COUNTIFS($I$4:changes[[#This Row],[Name]],changes[[#This Row],[Name]], $E$4:changes[[#This Row],[Type of change]], "Edit")),B1665)</f>
        <v>2</v>
      </c>
      <c r="C1666" s="20">
        <v>44719</v>
      </c>
      <c r="D1666" s="20" t="s">
        <v>2339</v>
      </c>
      <c r="E1666" s="20" t="s">
        <v>15</v>
      </c>
      <c r="F1666" s="20" t="s">
        <v>9</v>
      </c>
      <c r="G1666" t="s">
        <v>400</v>
      </c>
      <c r="H1666" t="s">
        <v>49</v>
      </c>
      <c r="I1666" t="s">
        <v>375</v>
      </c>
      <c r="K1666" s="3" t="s">
        <v>6</v>
      </c>
      <c r="L1666" t="s">
        <v>2366</v>
      </c>
      <c r="M1666" s="3"/>
    </row>
    <row r="1667" spans="1:13">
      <c r="A1667" t="s">
        <v>28</v>
      </c>
      <c r="B1667">
        <f ca="1">IF(OR(changes[[#This Row],[Type]]="Checklist",changes[[#This Row],[Type]]="checklist-flat"),1+IF(changes[[#This Row],[Type of change]] = "Edit",COUNTIFS($I$4:changes[[#This Row],[Name]],changes[[#This Row],[Name]], $E$4:changes[[#This Row],[Type of change]], "Edit")),B1666)</f>
        <v>2</v>
      </c>
      <c r="C1667" s="20">
        <v>44719</v>
      </c>
      <c r="D1667" s="20" t="s">
        <v>2339</v>
      </c>
      <c r="E1667" s="20" t="s">
        <v>15</v>
      </c>
      <c r="F1667" s="20" t="s">
        <v>9</v>
      </c>
      <c r="G1667" t="s">
        <v>400</v>
      </c>
      <c r="H1667" t="s">
        <v>49</v>
      </c>
      <c r="I1667" t="s">
        <v>376</v>
      </c>
      <c r="K1667" s="3" t="s">
        <v>6</v>
      </c>
      <c r="L1667" t="s">
        <v>2366</v>
      </c>
      <c r="M1667" s="3"/>
    </row>
    <row r="1668" spans="1:13">
      <c r="A1668" t="s">
        <v>28</v>
      </c>
      <c r="B1668">
        <f ca="1">IF(OR(changes[[#This Row],[Type]]="Checklist",changes[[#This Row],[Type]]="checklist-flat"),1+IF(changes[[#This Row],[Type of change]] = "Edit",COUNTIFS($I$4:changes[[#This Row],[Name]],changes[[#This Row],[Name]], $E$4:changes[[#This Row],[Type of change]], "Edit")),B1667)</f>
        <v>2</v>
      </c>
      <c r="C1668" s="20">
        <v>44719</v>
      </c>
      <c r="D1668" s="20" t="s">
        <v>2339</v>
      </c>
      <c r="E1668" s="20" t="s">
        <v>15</v>
      </c>
      <c r="F1668" s="20" t="s">
        <v>9</v>
      </c>
      <c r="G1668" t="s">
        <v>400</v>
      </c>
      <c r="H1668" t="s">
        <v>49</v>
      </c>
      <c r="I1668" t="s">
        <v>377</v>
      </c>
      <c r="K1668" s="3" t="s">
        <v>6</v>
      </c>
      <c r="L1668" t="s">
        <v>2366</v>
      </c>
      <c r="M1668" s="3"/>
    </row>
    <row r="1669" spans="1:13">
      <c r="A1669" t="s">
        <v>28</v>
      </c>
      <c r="B1669">
        <f ca="1">IF(OR(changes[[#This Row],[Type]]="Checklist",changes[[#This Row],[Type]]="checklist-flat"),1+IF(changes[[#This Row],[Type of change]] = "Edit",COUNTIFS($I$4:changes[[#This Row],[Name]],changes[[#This Row],[Name]], $E$4:changes[[#This Row],[Type of change]], "Edit")),B1668)</f>
        <v>2</v>
      </c>
      <c r="C1669" s="20">
        <v>44719</v>
      </c>
      <c r="D1669" s="20" t="s">
        <v>2339</v>
      </c>
      <c r="E1669" s="20" t="s">
        <v>15</v>
      </c>
      <c r="F1669" s="20" t="s">
        <v>9</v>
      </c>
      <c r="G1669" t="s">
        <v>400</v>
      </c>
      <c r="H1669" t="s">
        <v>49</v>
      </c>
      <c r="I1669" t="s">
        <v>378</v>
      </c>
      <c r="K1669" s="3" t="s">
        <v>6</v>
      </c>
      <c r="L1669" t="s">
        <v>2366</v>
      </c>
      <c r="M1669" s="3"/>
    </row>
    <row r="1670" spans="1:13">
      <c r="A1670" t="s">
        <v>28</v>
      </c>
      <c r="B1670">
        <f ca="1">IF(OR(changes[[#This Row],[Type]]="Checklist",changes[[#This Row],[Type]]="checklist-flat"),1+IF(changes[[#This Row],[Type of change]] = "Edit",COUNTIFS($I$4:changes[[#This Row],[Name]],changes[[#This Row],[Name]], $E$4:changes[[#This Row],[Type of change]], "Edit")),B1669)</f>
        <v>2</v>
      </c>
      <c r="C1670" s="20">
        <v>44719</v>
      </c>
      <c r="D1670" s="20" t="s">
        <v>2339</v>
      </c>
      <c r="E1670" s="20" t="s">
        <v>15</v>
      </c>
      <c r="F1670" s="20" t="s">
        <v>9</v>
      </c>
      <c r="G1670" t="s">
        <v>400</v>
      </c>
      <c r="H1670" t="s">
        <v>49</v>
      </c>
      <c r="I1670" t="s">
        <v>379</v>
      </c>
      <c r="K1670" s="3" t="s">
        <v>6</v>
      </c>
      <c r="L1670" t="s">
        <v>2366</v>
      </c>
      <c r="M1670" s="3"/>
    </row>
    <row r="1671" spans="1:13">
      <c r="A1671" t="s">
        <v>28</v>
      </c>
      <c r="B1671">
        <f ca="1">IF(OR(changes[[#This Row],[Type]]="Checklist",changes[[#This Row],[Type]]="checklist-flat"),1+IF(changes[[#This Row],[Type of change]] = "Edit",COUNTIFS($I$4:changes[[#This Row],[Name]],changes[[#This Row],[Name]], $E$4:changes[[#This Row],[Type of change]], "Edit")),B1670)</f>
        <v>2</v>
      </c>
      <c r="C1671" s="20">
        <v>44719</v>
      </c>
      <c r="D1671" s="20" t="s">
        <v>2339</v>
      </c>
      <c r="E1671" s="20" t="s">
        <v>15</v>
      </c>
      <c r="F1671" s="20" t="s">
        <v>9</v>
      </c>
      <c r="G1671" t="s">
        <v>400</v>
      </c>
      <c r="H1671" t="s">
        <v>49</v>
      </c>
      <c r="I1671" t="s">
        <v>380</v>
      </c>
      <c r="K1671" s="3" t="s">
        <v>6</v>
      </c>
      <c r="L1671" t="s">
        <v>2366</v>
      </c>
      <c r="M1671" s="3"/>
    </row>
    <row r="1672" spans="1:13">
      <c r="A1672" t="s">
        <v>28</v>
      </c>
      <c r="B1672">
        <f ca="1">IF(OR(changes[[#This Row],[Type]]="Checklist",changes[[#This Row],[Type]]="checklist-flat"),1+IF(changes[[#This Row],[Type of change]] = "Edit",COUNTIFS($I$4:changes[[#This Row],[Name]],changes[[#This Row],[Name]], $E$4:changes[[#This Row],[Type of change]], "Edit")),B1671)</f>
        <v>2</v>
      </c>
      <c r="C1672" s="20">
        <v>44719</v>
      </c>
      <c r="D1672" s="20" t="s">
        <v>2339</v>
      </c>
      <c r="E1672" s="20" t="s">
        <v>15</v>
      </c>
      <c r="F1672" s="20" t="s">
        <v>9</v>
      </c>
      <c r="G1672" t="s">
        <v>400</v>
      </c>
      <c r="H1672" t="s">
        <v>120</v>
      </c>
      <c r="I1672" t="s">
        <v>401</v>
      </c>
      <c r="K1672" s="3" t="s">
        <v>6</v>
      </c>
      <c r="L1672" t="s">
        <v>2366</v>
      </c>
      <c r="M1672" s="3"/>
    </row>
    <row r="1673" spans="1:13">
      <c r="A1673" t="s">
        <v>28</v>
      </c>
      <c r="B1673">
        <f ca="1">IF(OR(changes[[#This Row],[Type]]="Checklist",changes[[#This Row],[Type]]="checklist-flat"),1+IF(changes[[#This Row],[Type of change]] = "Edit",COUNTIFS($I$4:changes[[#This Row],[Name]],changes[[#This Row],[Name]], $E$4:changes[[#This Row],[Type of change]], "Edit")),B1672)</f>
        <v>2</v>
      </c>
      <c r="C1673" s="20">
        <v>44719</v>
      </c>
      <c r="D1673" s="20" t="s">
        <v>2339</v>
      </c>
      <c r="E1673" s="20" t="s">
        <v>15</v>
      </c>
      <c r="F1673" s="20" t="s">
        <v>9</v>
      </c>
      <c r="G1673" t="s">
        <v>400</v>
      </c>
      <c r="H1673" t="s">
        <v>49</v>
      </c>
      <c r="I1673" t="s">
        <v>402</v>
      </c>
      <c r="K1673" s="3" t="s">
        <v>6</v>
      </c>
      <c r="L1673" t="s">
        <v>2366</v>
      </c>
      <c r="M1673" s="3" t="s">
        <v>2368</v>
      </c>
    </row>
    <row r="1674" spans="1:13">
      <c r="A1674" t="s">
        <v>28</v>
      </c>
      <c r="B1674">
        <f ca="1">IF(OR(changes[[#This Row],[Type]]="Checklist",changes[[#This Row],[Type]]="checklist-flat"),1+IF(changes[[#This Row],[Type of change]] = "Edit",COUNTIFS($I$4:changes[[#This Row],[Name]],changes[[#This Row],[Name]], $E$4:changes[[#This Row],[Type of change]], "Edit")),B1673)</f>
        <v>2</v>
      </c>
      <c r="C1674" s="20">
        <v>44719</v>
      </c>
      <c r="D1674" s="20" t="s">
        <v>2339</v>
      </c>
      <c r="E1674" s="20" t="s">
        <v>15</v>
      </c>
      <c r="F1674" s="20" t="s">
        <v>9</v>
      </c>
      <c r="G1674" t="s">
        <v>400</v>
      </c>
      <c r="H1674" t="s">
        <v>49</v>
      </c>
      <c r="I1674" t="s">
        <v>403</v>
      </c>
      <c r="K1674" s="3" t="s">
        <v>6</v>
      </c>
      <c r="L1674" t="s">
        <v>2366</v>
      </c>
      <c r="M1674" s="3"/>
    </row>
    <row r="1675" spans="1:13">
      <c r="A1675" t="s">
        <v>28</v>
      </c>
      <c r="B1675">
        <f ca="1">IF(OR(changes[[#This Row],[Type]]="Checklist",changes[[#This Row],[Type]]="checklist-flat"),1+IF(changes[[#This Row],[Type of change]] = "Edit",COUNTIFS($I$4:changes[[#This Row],[Name]],changes[[#This Row],[Name]], $E$4:changes[[#This Row],[Type of change]], "Edit")),B1674)</f>
        <v>2</v>
      </c>
      <c r="C1675" s="20">
        <v>44719</v>
      </c>
      <c r="D1675" s="20" t="s">
        <v>2339</v>
      </c>
      <c r="E1675" s="20" t="s">
        <v>15</v>
      </c>
      <c r="F1675" s="20" t="s">
        <v>9</v>
      </c>
      <c r="G1675" t="s">
        <v>400</v>
      </c>
      <c r="H1675" t="s">
        <v>66</v>
      </c>
      <c r="I1675" t="s">
        <v>404</v>
      </c>
      <c r="K1675" s="3" t="s">
        <v>6</v>
      </c>
      <c r="L1675" t="s">
        <v>2366</v>
      </c>
      <c r="M1675" s="3"/>
    </row>
    <row r="1676" spans="1:13">
      <c r="A1676" t="s">
        <v>28</v>
      </c>
      <c r="B1676">
        <f ca="1">IF(OR(changes[[#This Row],[Type]]="Checklist",changes[[#This Row],[Type]]="checklist-flat"),1+IF(changes[[#This Row],[Type of change]] = "Edit",COUNTIFS($I$4:changes[[#This Row],[Name]],changes[[#This Row],[Name]], $E$4:changes[[#This Row],[Type of change]], "Edit")),B1675)</f>
        <v>2</v>
      </c>
      <c r="C1676" s="20">
        <v>44719</v>
      </c>
      <c r="D1676" s="20" t="s">
        <v>2339</v>
      </c>
      <c r="E1676" s="20" t="s">
        <v>15</v>
      </c>
      <c r="F1676" s="20" t="s">
        <v>9</v>
      </c>
      <c r="G1676" t="s">
        <v>400</v>
      </c>
      <c r="H1676" t="s">
        <v>66</v>
      </c>
      <c r="I1676" t="s">
        <v>405</v>
      </c>
      <c r="K1676" s="3" t="s">
        <v>6</v>
      </c>
      <c r="L1676" t="s">
        <v>2366</v>
      </c>
      <c r="M1676" s="3"/>
    </row>
    <row r="1677" spans="1:13">
      <c r="A1677" t="s">
        <v>28</v>
      </c>
      <c r="B1677">
        <f ca="1">IF(OR(changes[[#This Row],[Type]]="Checklist",changes[[#This Row],[Type]]="checklist-flat"),1+IF(changes[[#This Row],[Type of change]] = "Edit",COUNTIFS($I$4:changes[[#This Row],[Name]],changes[[#This Row],[Name]], $E$4:changes[[#This Row],[Type of change]], "Edit")),B1676)</f>
        <v>2</v>
      </c>
      <c r="C1677" s="20">
        <v>44719</v>
      </c>
      <c r="D1677" s="20" t="s">
        <v>2339</v>
      </c>
      <c r="E1677" s="20" t="s">
        <v>15</v>
      </c>
      <c r="F1677" s="20" t="s">
        <v>9</v>
      </c>
      <c r="G1677" t="s">
        <v>400</v>
      </c>
      <c r="H1677" t="s">
        <v>66</v>
      </c>
      <c r="I1677" t="s">
        <v>406</v>
      </c>
      <c r="K1677" s="3" t="s">
        <v>6</v>
      </c>
      <c r="L1677" t="s">
        <v>2366</v>
      </c>
      <c r="M1677" s="3"/>
    </row>
    <row r="1678" spans="1:13">
      <c r="A1678" t="s">
        <v>28</v>
      </c>
      <c r="B1678">
        <f ca="1">IF(OR(changes[[#This Row],[Type]]="Checklist",changes[[#This Row],[Type]]="checklist-flat"),1+IF(changes[[#This Row],[Type of change]] = "Edit",COUNTIFS($I$4:changes[[#This Row],[Name]],changes[[#This Row],[Name]], $E$4:changes[[#This Row],[Type of change]], "Edit")),B1677)</f>
        <v>2</v>
      </c>
      <c r="C1678" s="20">
        <v>44719</v>
      </c>
      <c r="D1678" s="20" t="s">
        <v>2339</v>
      </c>
      <c r="E1678" s="20" t="s">
        <v>15</v>
      </c>
      <c r="F1678" s="20" t="s">
        <v>9</v>
      </c>
      <c r="G1678" t="s">
        <v>400</v>
      </c>
      <c r="H1678" t="s">
        <v>66</v>
      </c>
      <c r="I1678" t="s">
        <v>407</v>
      </c>
      <c r="K1678" s="3" t="s">
        <v>6</v>
      </c>
      <c r="L1678" t="s">
        <v>2366</v>
      </c>
      <c r="M1678" s="3"/>
    </row>
    <row r="1679" spans="1:13">
      <c r="A1679" t="s">
        <v>28</v>
      </c>
      <c r="B1679">
        <f ca="1">IF(OR(changes[[#This Row],[Type]]="Checklist",changes[[#This Row],[Type]]="checklist-flat"),1+IF(changes[[#This Row],[Type of change]] = "Edit",COUNTIFS($I$4:changes[[#This Row],[Name]],changes[[#This Row],[Name]], $E$4:changes[[#This Row],[Type of change]], "Edit")),B1678)</f>
        <v>2</v>
      </c>
      <c r="C1679" s="20">
        <v>44719</v>
      </c>
      <c r="D1679" s="20" t="s">
        <v>2339</v>
      </c>
      <c r="E1679" s="20" t="s">
        <v>15</v>
      </c>
      <c r="F1679" s="20" t="s">
        <v>9</v>
      </c>
      <c r="G1679" t="s">
        <v>400</v>
      </c>
      <c r="H1679" t="s">
        <v>49</v>
      </c>
      <c r="I1679" t="s">
        <v>408</v>
      </c>
      <c r="K1679" s="3" t="s">
        <v>6</v>
      </c>
      <c r="L1679" t="s">
        <v>2366</v>
      </c>
      <c r="M1679" s="3"/>
    </row>
    <row r="1680" spans="1:13">
      <c r="A1680" t="s">
        <v>28</v>
      </c>
      <c r="B1680">
        <f ca="1">IF(OR(changes[[#This Row],[Type]]="Checklist",changes[[#This Row],[Type]]="checklist-flat"),1+IF(changes[[#This Row],[Type of change]] = "Edit",COUNTIFS($I$4:changes[[#This Row],[Name]],changes[[#This Row],[Name]], $E$4:changes[[#This Row],[Type of change]], "Edit")),B1679)</f>
        <v>2</v>
      </c>
      <c r="C1680" s="20">
        <v>44719</v>
      </c>
      <c r="D1680" s="20" t="s">
        <v>2339</v>
      </c>
      <c r="E1680" s="20" t="s">
        <v>15</v>
      </c>
      <c r="F1680" s="20" t="s">
        <v>9</v>
      </c>
      <c r="G1680" t="s">
        <v>400</v>
      </c>
      <c r="H1680" t="s">
        <v>49</v>
      </c>
      <c r="I1680" t="s">
        <v>409</v>
      </c>
      <c r="K1680" s="3" t="s">
        <v>6</v>
      </c>
      <c r="L1680" t="s">
        <v>2366</v>
      </c>
      <c r="M1680" s="3"/>
    </row>
    <row r="1681" spans="1:13">
      <c r="A1681" t="s">
        <v>28</v>
      </c>
      <c r="B1681">
        <f ca="1">IF(OR(changes[[#This Row],[Type]]="Checklist",changes[[#This Row],[Type]]="checklist-flat"),1+IF(changes[[#This Row],[Type of change]] = "Edit",COUNTIFS($I$4:changes[[#This Row],[Name]],changes[[#This Row],[Name]], $E$4:changes[[#This Row],[Type of change]], "Edit")),B1680)</f>
        <v>2</v>
      </c>
      <c r="C1681" s="20">
        <v>44719</v>
      </c>
      <c r="D1681" s="20" t="s">
        <v>2339</v>
      </c>
      <c r="E1681" s="20" t="s">
        <v>15</v>
      </c>
      <c r="F1681" s="20" t="s">
        <v>9</v>
      </c>
      <c r="G1681" t="s">
        <v>400</v>
      </c>
      <c r="H1681" t="s">
        <v>66</v>
      </c>
      <c r="I1681" t="s">
        <v>410</v>
      </c>
      <c r="K1681" s="3" t="s">
        <v>6</v>
      </c>
      <c r="L1681" t="s">
        <v>2366</v>
      </c>
      <c r="M1681" s="3"/>
    </row>
    <row r="1682" spans="1:13">
      <c r="A1682" t="s">
        <v>28</v>
      </c>
      <c r="B1682">
        <f ca="1">IF(OR(changes[[#This Row],[Type]]="Checklist",changes[[#This Row],[Type]]="checklist-flat"),1+IF(changes[[#This Row],[Type of change]] = "Edit",COUNTIFS($I$4:changes[[#This Row],[Name]],changes[[#This Row],[Name]], $E$4:changes[[#This Row],[Type of change]], "Edit")),B1681)</f>
        <v>2</v>
      </c>
      <c r="C1682" s="20">
        <v>44719</v>
      </c>
      <c r="D1682" s="20" t="s">
        <v>2339</v>
      </c>
      <c r="E1682" s="20" t="s">
        <v>15</v>
      </c>
      <c r="F1682" s="20" t="s">
        <v>9</v>
      </c>
      <c r="G1682" t="s">
        <v>400</v>
      </c>
      <c r="H1682" t="s">
        <v>49</v>
      </c>
      <c r="I1682" t="s">
        <v>408</v>
      </c>
      <c r="K1682" s="3" t="s">
        <v>6</v>
      </c>
      <c r="L1682" t="s">
        <v>2366</v>
      </c>
      <c r="M1682" s="3"/>
    </row>
    <row r="1683" spans="1:13">
      <c r="A1683" t="s">
        <v>28</v>
      </c>
      <c r="B1683">
        <f ca="1">IF(OR(changes[[#This Row],[Type]]="Checklist",changes[[#This Row],[Type]]="checklist-flat"),1+IF(changes[[#This Row],[Type of change]] = "Edit",COUNTIFS($I$4:changes[[#This Row],[Name]],changes[[#This Row],[Name]], $E$4:changes[[#This Row],[Type of change]], "Edit")),B1682)</f>
        <v>2</v>
      </c>
      <c r="C1683" s="20">
        <v>44722</v>
      </c>
      <c r="D1683" s="20" t="s">
        <v>2339</v>
      </c>
      <c r="E1683" t="s">
        <v>15</v>
      </c>
      <c r="F1683" s="14" t="s">
        <v>9</v>
      </c>
      <c r="G1683" t="s">
        <v>804</v>
      </c>
      <c r="H1683" t="s">
        <v>43</v>
      </c>
      <c r="I1683" t="s">
        <v>804</v>
      </c>
      <c r="K1683" s="3" t="s">
        <v>6</v>
      </c>
      <c r="L1683" t="s">
        <v>2369</v>
      </c>
      <c r="M1683" s="3"/>
    </row>
    <row r="1684" spans="1:13">
      <c r="A1684" t="s">
        <v>28</v>
      </c>
      <c r="B1684">
        <f ca="1">IF(OR(changes[[#This Row],[Type]]="Checklist",changes[[#This Row],[Type]]="checklist-flat"),1+IF(changes[[#This Row],[Type of change]] = "Edit",COUNTIFS($I$4:changes[[#This Row],[Name]],changes[[#This Row],[Name]], $E$4:changes[[#This Row],[Type of change]], "Edit")),B1683)</f>
        <v>2</v>
      </c>
      <c r="C1684" s="20">
        <v>44722</v>
      </c>
      <c r="D1684" s="20" t="s">
        <v>2339</v>
      </c>
      <c r="E1684" t="s">
        <v>15</v>
      </c>
      <c r="F1684" s="14" t="s">
        <v>9</v>
      </c>
      <c r="G1684" t="s">
        <v>804</v>
      </c>
      <c r="H1684" t="s">
        <v>120</v>
      </c>
      <c r="I1684" t="s">
        <v>805</v>
      </c>
      <c r="K1684" s="3" t="s">
        <v>6</v>
      </c>
      <c r="L1684" t="s">
        <v>2369</v>
      </c>
      <c r="M1684" s="3"/>
    </row>
    <row r="1685" spans="1:13">
      <c r="A1685" t="s">
        <v>28</v>
      </c>
      <c r="B1685">
        <f ca="1">IF(OR(changes[[#This Row],[Type]]="Checklist",changes[[#This Row],[Type]]="checklist-flat"),1+IF(changes[[#This Row],[Type of change]] = "Edit",COUNTIFS($I$4:changes[[#This Row],[Name]],changes[[#This Row],[Name]], $E$4:changes[[#This Row],[Type of change]], "Edit")),B1684)</f>
        <v>2</v>
      </c>
      <c r="C1685" s="20">
        <v>44722</v>
      </c>
      <c r="D1685" s="20" t="s">
        <v>2339</v>
      </c>
      <c r="E1685" t="s">
        <v>15</v>
      </c>
      <c r="F1685" s="14" t="s">
        <v>9</v>
      </c>
      <c r="G1685" t="s">
        <v>804</v>
      </c>
      <c r="H1685" t="s">
        <v>49</v>
      </c>
      <c r="I1685" t="s">
        <v>806</v>
      </c>
      <c r="K1685" s="3" t="s">
        <v>6</v>
      </c>
      <c r="L1685" t="s">
        <v>2369</v>
      </c>
      <c r="M1685" s="3"/>
    </row>
    <row r="1686" spans="1:13">
      <c r="A1686" t="s">
        <v>28</v>
      </c>
      <c r="B1686">
        <f ca="1">IF(OR(changes[[#This Row],[Type]]="Checklist",changes[[#This Row],[Type]]="checklist-flat"),1+IF(changes[[#This Row],[Type of change]] = "Edit",COUNTIFS($I$4:changes[[#This Row],[Name]],changes[[#This Row],[Name]], $E$4:changes[[#This Row],[Type of change]], "Edit")),B1685)</f>
        <v>2</v>
      </c>
      <c r="C1686" s="20">
        <v>44722</v>
      </c>
      <c r="D1686" s="20" t="s">
        <v>2339</v>
      </c>
      <c r="E1686" t="s">
        <v>15</v>
      </c>
      <c r="F1686" s="14" t="s">
        <v>9</v>
      </c>
      <c r="G1686" t="s">
        <v>804</v>
      </c>
      <c r="H1686" t="s">
        <v>49</v>
      </c>
      <c r="I1686" t="s">
        <v>807</v>
      </c>
      <c r="K1686" s="3" t="s">
        <v>6</v>
      </c>
      <c r="L1686" t="s">
        <v>2369</v>
      </c>
      <c r="M1686" s="3"/>
    </row>
    <row r="1687" spans="1:13">
      <c r="A1687" t="s">
        <v>28</v>
      </c>
      <c r="B1687">
        <f ca="1">IF(OR(changes[[#This Row],[Type]]="Checklist",changes[[#This Row],[Type]]="checklist-flat"),1+IF(changes[[#This Row],[Type of change]] = "Edit",COUNTIFS($I$4:changes[[#This Row],[Name]],changes[[#This Row],[Name]], $E$4:changes[[#This Row],[Type of change]], "Edit")),B1686)</f>
        <v>2</v>
      </c>
      <c r="C1687" s="20">
        <v>44722</v>
      </c>
      <c r="D1687" s="20" t="s">
        <v>2339</v>
      </c>
      <c r="E1687" t="s">
        <v>15</v>
      </c>
      <c r="F1687" s="14" t="s">
        <v>9</v>
      </c>
      <c r="G1687" t="s">
        <v>804</v>
      </c>
      <c r="H1687" t="s">
        <v>49</v>
      </c>
      <c r="I1687" t="s">
        <v>808</v>
      </c>
      <c r="K1687" s="3" t="s">
        <v>6</v>
      </c>
      <c r="L1687" t="s">
        <v>2369</v>
      </c>
      <c r="M1687" s="3"/>
    </row>
    <row r="1688" spans="1:13">
      <c r="A1688" t="s">
        <v>28</v>
      </c>
      <c r="B1688">
        <f ca="1">IF(OR(changes[[#This Row],[Type]]="Checklist",changes[[#This Row],[Type]]="checklist-flat"),1+IF(changes[[#This Row],[Type of change]] = "Edit",COUNTIFS($I$4:changes[[#This Row],[Name]],changes[[#This Row],[Name]], $E$4:changes[[#This Row],[Type of change]], "Edit")),B1687)</f>
        <v>2</v>
      </c>
      <c r="C1688" s="20">
        <v>44722</v>
      </c>
      <c r="D1688" s="20" t="s">
        <v>2339</v>
      </c>
      <c r="E1688" t="s">
        <v>15</v>
      </c>
      <c r="F1688" s="14" t="s">
        <v>9</v>
      </c>
      <c r="G1688" t="s">
        <v>804</v>
      </c>
      <c r="H1688" t="s">
        <v>49</v>
      </c>
      <c r="I1688" t="s">
        <v>809</v>
      </c>
      <c r="K1688" s="3" t="s">
        <v>6</v>
      </c>
      <c r="L1688" t="s">
        <v>2369</v>
      </c>
      <c r="M1688" s="3"/>
    </row>
    <row r="1689" spans="1:13">
      <c r="A1689" t="s">
        <v>28</v>
      </c>
      <c r="B1689">
        <f ca="1">IF(OR(changes[[#This Row],[Type]]="Checklist",changes[[#This Row],[Type]]="checklist-flat"),1+IF(changes[[#This Row],[Type of change]] = "Edit",COUNTIFS($I$4:changes[[#This Row],[Name]],changes[[#This Row],[Name]], $E$4:changes[[#This Row],[Type of change]], "Edit")),B1688)</f>
        <v>2</v>
      </c>
      <c r="C1689" s="20">
        <v>44722</v>
      </c>
      <c r="D1689" s="20" t="s">
        <v>2339</v>
      </c>
      <c r="E1689" t="s">
        <v>15</v>
      </c>
      <c r="F1689" s="14" t="s">
        <v>9</v>
      </c>
      <c r="G1689" t="s">
        <v>804</v>
      </c>
      <c r="H1689" t="s">
        <v>791</v>
      </c>
      <c r="I1689" t="s">
        <v>810</v>
      </c>
      <c r="K1689" s="3" t="s">
        <v>6</v>
      </c>
      <c r="L1689" t="s">
        <v>2369</v>
      </c>
      <c r="M1689" s="3"/>
    </row>
    <row r="1690" spans="1:13">
      <c r="A1690" t="s">
        <v>28</v>
      </c>
      <c r="B1690">
        <f ca="1">IF(OR(changes[[#This Row],[Type]]="Checklist",changes[[#This Row],[Type]]="checklist-flat"),1+IF(changes[[#This Row],[Type of change]] = "Edit",COUNTIFS($I$4:changes[[#This Row],[Name]],changes[[#This Row],[Name]], $E$4:changes[[#This Row],[Type of change]], "Edit")),B1689)</f>
        <v>2</v>
      </c>
      <c r="C1690" s="20">
        <v>44722</v>
      </c>
      <c r="D1690" s="20" t="s">
        <v>2339</v>
      </c>
      <c r="E1690" t="s">
        <v>15</v>
      </c>
      <c r="F1690" s="14" t="s">
        <v>9</v>
      </c>
      <c r="G1690" t="s">
        <v>804</v>
      </c>
      <c r="H1690" t="s">
        <v>49</v>
      </c>
      <c r="I1690" t="s">
        <v>811</v>
      </c>
      <c r="K1690" s="3" t="s">
        <v>6</v>
      </c>
      <c r="L1690" t="s">
        <v>2369</v>
      </c>
      <c r="M1690" s="3"/>
    </row>
    <row r="1691" spans="1:13">
      <c r="A1691" t="s">
        <v>28</v>
      </c>
      <c r="B1691">
        <f ca="1">IF(OR(changes[[#This Row],[Type]]="Checklist",changes[[#This Row],[Type]]="checklist-flat"),1+IF(changes[[#This Row],[Type of change]] = "Edit",COUNTIFS($I$4:changes[[#This Row],[Name]],changes[[#This Row],[Name]], $E$4:changes[[#This Row],[Type of change]], "Edit")),B1690)</f>
        <v>2</v>
      </c>
      <c r="C1691" s="20">
        <v>44722</v>
      </c>
      <c r="D1691" s="20" t="s">
        <v>2339</v>
      </c>
      <c r="E1691" t="s">
        <v>15</v>
      </c>
      <c r="F1691" s="14" t="s">
        <v>9</v>
      </c>
      <c r="G1691" t="s">
        <v>804</v>
      </c>
      <c r="H1691" t="s">
        <v>49</v>
      </c>
      <c r="I1691" t="s">
        <v>812</v>
      </c>
      <c r="K1691" s="3" t="s">
        <v>6</v>
      </c>
      <c r="L1691" t="s">
        <v>2369</v>
      </c>
      <c r="M1691" s="3"/>
    </row>
    <row r="1692" spans="1:13">
      <c r="A1692" t="s">
        <v>28</v>
      </c>
      <c r="B1692">
        <f ca="1">IF(OR(changes[[#This Row],[Type]]="Checklist",changes[[#This Row],[Type]]="checklist-flat"),1+IF(changes[[#This Row],[Type of change]] = "Edit",COUNTIFS($I$4:changes[[#This Row],[Name]],changes[[#This Row],[Name]], $E$4:changes[[#This Row],[Type of change]], "Edit")),B1691)</f>
        <v>2</v>
      </c>
      <c r="C1692" s="20">
        <v>44722</v>
      </c>
      <c r="D1692" s="20" t="s">
        <v>2339</v>
      </c>
      <c r="E1692" t="s">
        <v>15</v>
      </c>
      <c r="F1692" s="14" t="s">
        <v>9</v>
      </c>
      <c r="G1692" t="s">
        <v>804</v>
      </c>
      <c r="H1692" t="s">
        <v>49</v>
      </c>
      <c r="I1692" t="s">
        <v>813</v>
      </c>
      <c r="K1692" s="3" t="s">
        <v>6</v>
      </c>
      <c r="L1692" t="s">
        <v>2369</v>
      </c>
      <c r="M1692" s="3" t="s">
        <v>2370</v>
      </c>
    </row>
    <row r="1693" spans="1:13">
      <c r="A1693" t="s">
        <v>28</v>
      </c>
      <c r="B1693">
        <f ca="1">IF(OR(changes[[#This Row],[Type]]="Checklist",changes[[#This Row],[Type]]="checklist-flat"),1+IF(changes[[#This Row],[Type of change]] = "Edit",COUNTIFS($I$4:changes[[#This Row],[Name]],changes[[#This Row],[Name]], $E$4:changes[[#This Row],[Type of change]], "Edit")),B1692)</f>
        <v>2</v>
      </c>
      <c r="C1693" s="20">
        <v>44722</v>
      </c>
      <c r="D1693" s="20" t="s">
        <v>2339</v>
      </c>
      <c r="E1693" t="s">
        <v>15</v>
      </c>
      <c r="F1693" s="14" t="s">
        <v>9</v>
      </c>
      <c r="G1693" t="s">
        <v>804</v>
      </c>
      <c r="H1693" t="s">
        <v>120</v>
      </c>
      <c r="I1693" t="s">
        <v>814</v>
      </c>
      <c r="K1693" s="3" t="s">
        <v>6</v>
      </c>
      <c r="L1693" t="s">
        <v>2369</v>
      </c>
      <c r="M1693" s="3"/>
    </row>
    <row r="1694" spans="1:13">
      <c r="A1694" t="s">
        <v>28</v>
      </c>
      <c r="B1694">
        <f ca="1">IF(OR(changes[[#This Row],[Type]]="Checklist",changes[[#This Row],[Type]]="checklist-flat"),1+IF(changes[[#This Row],[Type of change]] = "Edit",COUNTIFS($I$4:changes[[#This Row],[Name]],changes[[#This Row],[Name]], $E$4:changes[[#This Row],[Type of change]], "Edit")),B1693)</f>
        <v>2</v>
      </c>
      <c r="C1694" s="20">
        <v>44722</v>
      </c>
      <c r="D1694" s="20" t="s">
        <v>2339</v>
      </c>
      <c r="E1694" t="s">
        <v>15</v>
      </c>
      <c r="F1694" s="14" t="s">
        <v>9</v>
      </c>
      <c r="G1694" t="s">
        <v>804</v>
      </c>
      <c r="H1694" t="s">
        <v>49</v>
      </c>
      <c r="I1694" t="s">
        <v>806</v>
      </c>
      <c r="K1694" s="3" t="s">
        <v>6</v>
      </c>
      <c r="L1694" t="s">
        <v>2369</v>
      </c>
      <c r="M1694" s="3"/>
    </row>
    <row r="1695" spans="1:13">
      <c r="A1695" t="s">
        <v>28</v>
      </c>
      <c r="B1695">
        <f ca="1">IF(OR(changes[[#This Row],[Type]]="Checklist",changes[[#This Row],[Type]]="checklist-flat"),1+IF(changes[[#This Row],[Type of change]] = "Edit",COUNTIFS($I$4:changes[[#This Row],[Name]],changes[[#This Row],[Name]], $E$4:changes[[#This Row],[Type of change]], "Edit")),B1694)</f>
        <v>2</v>
      </c>
      <c r="C1695" s="20">
        <v>44722</v>
      </c>
      <c r="D1695" s="20" t="s">
        <v>2339</v>
      </c>
      <c r="E1695" t="s">
        <v>15</v>
      </c>
      <c r="F1695" s="14" t="s">
        <v>9</v>
      </c>
      <c r="G1695" t="s">
        <v>804</v>
      </c>
      <c r="H1695" t="s">
        <v>49</v>
      </c>
      <c r="I1695" t="s">
        <v>815</v>
      </c>
      <c r="K1695" s="3" t="s">
        <v>6</v>
      </c>
      <c r="L1695" t="s">
        <v>2369</v>
      </c>
      <c r="M1695" s="3"/>
    </row>
    <row r="1696" spans="1:13">
      <c r="A1696" t="s">
        <v>28</v>
      </c>
      <c r="B1696">
        <f ca="1">IF(OR(changes[[#This Row],[Type]]="Checklist",changes[[#This Row],[Type]]="checklist-flat"),1+IF(changes[[#This Row],[Type of change]] = "Edit",COUNTIFS($I$4:changes[[#This Row],[Name]],changes[[#This Row],[Name]], $E$4:changes[[#This Row],[Type of change]], "Edit")),B1695)</f>
        <v>2</v>
      </c>
      <c r="C1696" s="20">
        <v>44722</v>
      </c>
      <c r="D1696" s="20" t="s">
        <v>2339</v>
      </c>
      <c r="E1696" t="s">
        <v>15</v>
      </c>
      <c r="F1696" s="14" t="s">
        <v>9</v>
      </c>
      <c r="G1696" t="s">
        <v>804</v>
      </c>
      <c r="H1696" t="s">
        <v>49</v>
      </c>
      <c r="I1696" t="s">
        <v>816</v>
      </c>
      <c r="K1696" s="3" t="s">
        <v>6</v>
      </c>
      <c r="L1696" t="s">
        <v>2369</v>
      </c>
      <c r="M1696" s="3"/>
    </row>
    <row r="1697" spans="1:13">
      <c r="A1697" t="s">
        <v>28</v>
      </c>
      <c r="B1697">
        <f ca="1">IF(OR(changes[[#This Row],[Type]]="Checklist",changes[[#This Row],[Type]]="checklist-flat"),1+IF(changes[[#This Row],[Type of change]] = "Edit",COUNTIFS($I$4:changes[[#This Row],[Name]],changes[[#This Row],[Name]], $E$4:changes[[#This Row],[Type of change]], "Edit")),B1696)</f>
        <v>2</v>
      </c>
      <c r="C1697" s="20">
        <v>44722</v>
      </c>
      <c r="D1697" s="20" t="s">
        <v>2339</v>
      </c>
      <c r="E1697" t="s">
        <v>15</v>
      </c>
      <c r="F1697" s="14" t="s">
        <v>9</v>
      </c>
      <c r="G1697" t="s">
        <v>804</v>
      </c>
      <c r="H1697" t="s">
        <v>49</v>
      </c>
      <c r="I1697" t="s">
        <v>817</v>
      </c>
      <c r="K1697" s="3" t="s">
        <v>6</v>
      </c>
      <c r="L1697" t="s">
        <v>2369</v>
      </c>
      <c r="M1697" s="3"/>
    </row>
    <row r="1698" spans="1:13">
      <c r="A1698" t="s">
        <v>28</v>
      </c>
      <c r="B1698">
        <f ca="1">IF(OR(changes[[#This Row],[Type]]="Checklist",changes[[#This Row],[Type]]="checklist-flat"),1+IF(changes[[#This Row],[Type of change]] = "Edit",COUNTIFS($I$4:changes[[#This Row],[Name]],changes[[#This Row],[Name]], $E$4:changes[[#This Row],[Type of change]], "Edit")),B1697)</f>
        <v>2</v>
      </c>
      <c r="C1698" s="20">
        <v>44722</v>
      </c>
      <c r="D1698" s="20" t="s">
        <v>2339</v>
      </c>
      <c r="E1698" t="s">
        <v>15</v>
      </c>
      <c r="F1698" s="14" t="s">
        <v>9</v>
      </c>
      <c r="G1698" t="s">
        <v>804</v>
      </c>
      <c r="H1698" t="s">
        <v>49</v>
      </c>
      <c r="I1698" t="s">
        <v>818</v>
      </c>
      <c r="K1698" s="3" t="s">
        <v>6</v>
      </c>
      <c r="L1698" t="s">
        <v>2369</v>
      </c>
      <c r="M1698" s="3"/>
    </row>
    <row r="1699" spans="1:13">
      <c r="A1699" t="s">
        <v>28</v>
      </c>
      <c r="B1699">
        <f ca="1">IF(OR(changes[[#This Row],[Type]]="Checklist",changes[[#This Row],[Type]]="checklist-flat"),1+IF(changes[[#This Row],[Type of change]] = "Edit",COUNTIFS($I$4:changes[[#This Row],[Name]],changes[[#This Row],[Name]], $E$4:changes[[#This Row],[Type of change]], "Edit")),B1698)</f>
        <v>2</v>
      </c>
      <c r="C1699" s="20">
        <v>44722</v>
      </c>
      <c r="D1699" s="20" t="s">
        <v>2339</v>
      </c>
      <c r="E1699" t="s">
        <v>15</v>
      </c>
      <c r="F1699" s="14" t="s">
        <v>9</v>
      </c>
      <c r="G1699" t="s">
        <v>804</v>
      </c>
      <c r="H1699" t="s">
        <v>49</v>
      </c>
      <c r="I1699" t="s">
        <v>819</v>
      </c>
      <c r="K1699" s="3" t="s">
        <v>6</v>
      </c>
      <c r="L1699" t="s">
        <v>2369</v>
      </c>
      <c r="M1699" s="3"/>
    </row>
    <row r="1700" spans="1:13">
      <c r="A1700" t="s">
        <v>28</v>
      </c>
      <c r="B1700">
        <f ca="1">IF(OR(changes[[#This Row],[Type]]="Checklist",changes[[#This Row],[Type]]="checklist-flat"),1+IF(changes[[#This Row],[Type of change]] = "Edit",COUNTIFS($I$4:changes[[#This Row],[Name]],changes[[#This Row],[Name]], $E$4:changes[[#This Row],[Type of change]], "Edit")),B1699)</f>
        <v>2</v>
      </c>
      <c r="C1700" s="20">
        <v>44722</v>
      </c>
      <c r="D1700" s="20" t="s">
        <v>2339</v>
      </c>
      <c r="E1700" t="s">
        <v>15</v>
      </c>
      <c r="F1700" s="14" t="s">
        <v>9</v>
      </c>
      <c r="G1700" t="s">
        <v>804</v>
      </c>
      <c r="H1700" t="s">
        <v>49</v>
      </c>
      <c r="I1700" t="s">
        <v>820</v>
      </c>
      <c r="K1700" s="3" t="s">
        <v>6</v>
      </c>
      <c r="L1700" t="s">
        <v>2369</v>
      </c>
      <c r="M1700" s="3"/>
    </row>
    <row r="1701" spans="1:13">
      <c r="A1701" t="s">
        <v>28</v>
      </c>
      <c r="B1701">
        <f ca="1">IF(OR(changes[[#This Row],[Type]]="Checklist",changes[[#This Row],[Type]]="checklist-flat"),1+IF(changes[[#This Row],[Type of change]] = "Edit",COUNTIFS($I$4:changes[[#This Row],[Name]],changes[[#This Row],[Name]], $E$4:changes[[#This Row],[Type of change]], "Edit")),B1700)</f>
        <v>2</v>
      </c>
      <c r="C1701" s="20">
        <v>44722</v>
      </c>
      <c r="D1701" s="20" t="s">
        <v>2339</v>
      </c>
      <c r="E1701" t="s">
        <v>15</v>
      </c>
      <c r="F1701" s="14" t="s">
        <v>9</v>
      </c>
      <c r="G1701" t="s">
        <v>804</v>
      </c>
      <c r="H1701" t="s">
        <v>49</v>
      </c>
      <c r="I1701" t="s">
        <v>813</v>
      </c>
      <c r="K1701" s="3" t="s">
        <v>6</v>
      </c>
      <c r="L1701" t="s">
        <v>2369</v>
      </c>
      <c r="M1701" s="3" t="s">
        <v>2370</v>
      </c>
    </row>
    <row r="1702" spans="1:13">
      <c r="A1702" t="s">
        <v>28</v>
      </c>
      <c r="B1702">
        <f ca="1">IF(OR(changes[[#This Row],[Type]]="Checklist",changes[[#This Row],[Type]]="checklist-flat"),1+IF(changes[[#This Row],[Type of change]] = "Edit",COUNTIFS($I$4:changes[[#This Row],[Name]],changes[[#This Row],[Name]], $E$4:changes[[#This Row],[Type of change]], "Edit")),B1701)</f>
        <v>2</v>
      </c>
      <c r="C1702" s="20">
        <v>44722</v>
      </c>
      <c r="D1702" s="20" t="s">
        <v>2339</v>
      </c>
      <c r="E1702" t="s">
        <v>15</v>
      </c>
      <c r="F1702" s="14" t="s">
        <v>9</v>
      </c>
      <c r="G1702" t="s">
        <v>804</v>
      </c>
      <c r="H1702" t="s">
        <v>120</v>
      </c>
      <c r="I1702" t="s">
        <v>821</v>
      </c>
      <c r="K1702" s="3" t="s">
        <v>6</v>
      </c>
      <c r="L1702" t="s">
        <v>2369</v>
      </c>
      <c r="M1702" s="3"/>
    </row>
    <row r="1703" spans="1:13">
      <c r="A1703" t="s">
        <v>28</v>
      </c>
      <c r="B1703">
        <f ca="1">IF(OR(changes[[#This Row],[Type]]="Checklist",changes[[#This Row],[Type]]="checklist-flat"),1+IF(changes[[#This Row],[Type of change]] = "Edit",COUNTIFS($I$4:changes[[#This Row],[Name]],changes[[#This Row],[Name]], $E$4:changes[[#This Row],[Type of change]], "Edit")),B1702)</f>
        <v>2</v>
      </c>
      <c r="C1703" s="20">
        <v>44722</v>
      </c>
      <c r="D1703" s="20" t="s">
        <v>2339</v>
      </c>
      <c r="E1703" t="s">
        <v>15</v>
      </c>
      <c r="F1703" s="14" t="s">
        <v>9</v>
      </c>
      <c r="G1703" t="s">
        <v>804</v>
      </c>
      <c r="H1703" t="s">
        <v>49</v>
      </c>
      <c r="I1703" t="s">
        <v>822</v>
      </c>
      <c r="K1703" s="3" t="s">
        <v>6</v>
      </c>
      <c r="L1703" t="s">
        <v>2369</v>
      </c>
      <c r="M1703" s="3"/>
    </row>
    <row r="1704" spans="1:13">
      <c r="A1704" t="s">
        <v>28</v>
      </c>
      <c r="B1704">
        <f ca="1">IF(OR(changes[[#This Row],[Type]]="Checklist",changes[[#This Row],[Type]]="checklist-flat"),1+IF(changes[[#This Row],[Type of change]] = "Edit",COUNTIFS($I$4:changes[[#This Row],[Name]],changes[[#This Row],[Name]], $E$4:changes[[#This Row],[Type of change]], "Edit")),B1703)</f>
        <v>2</v>
      </c>
      <c r="C1704" s="20">
        <v>44722</v>
      </c>
      <c r="D1704" s="20" t="s">
        <v>2339</v>
      </c>
      <c r="E1704" t="s">
        <v>15</v>
      </c>
      <c r="F1704" s="14" t="s">
        <v>9</v>
      </c>
      <c r="G1704" t="s">
        <v>804</v>
      </c>
      <c r="H1704" t="s">
        <v>49</v>
      </c>
      <c r="I1704" t="s">
        <v>823</v>
      </c>
      <c r="K1704" s="3" t="s">
        <v>6</v>
      </c>
      <c r="L1704" t="s">
        <v>2369</v>
      </c>
      <c r="M1704" s="3"/>
    </row>
    <row r="1705" spans="1:13">
      <c r="A1705" t="s">
        <v>28</v>
      </c>
      <c r="B1705">
        <f ca="1">IF(OR(changes[[#This Row],[Type]]="Checklist",changes[[#This Row],[Type]]="checklist-flat"),1+IF(changes[[#This Row],[Type of change]] = "Edit",COUNTIFS($I$4:changes[[#This Row],[Name]],changes[[#This Row],[Name]], $E$4:changes[[#This Row],[Type of change]], "Edit")),B1704)</f>
        <v>1</v>
      </c>
      <c r="C1705" s="20">
        <v>44732</v>
      </c>
      <c r="D1705" s="2" t="s">
        <v>2048</v>
      </c>
      <c r="E1705" t="s">
        <v>27</v>
      </c>
      <c r="F1705" s="14" t="s">
        <v>1998</v>
      </c>
      <c r="G1705" t="s">
        <v>1657</v>
      </c>
      <c r="H1705" t="s">
        <v>48</v>
      </c>
      <c r="I1705" t="s">
        <v>1657</v>
      </c>
      <c r="K1705" s="3"/>
      <c r="M1705" s="3"/>
    </row>
    <row r="1706" spans="1:13">
      <c r="A1706" t="s">
        <v>28</v>
      </c>
      <c r="B1706">
        <f ca="1">IF(OR(changes[[#This Row],[Type]]="Checklist",changes[[#This Row],[Type]]="checklist-flat"),1+IF(changes[[#This Row],[Type of change]] = "Edit",COUNTIFS($I$4:changes[[#This Row],[Name]],changes[[#This Row],[Name]], $E$4:changes[[#This Row],[Type of change]], "Edit")),B1705)</f>
        <v>1</v>
      </c>
      <c r="C1706" s="20">
        <v>44732</v>
      </c>
      <c r="D1706" s="2" t="s">
        <v>2048</v>
      </c>
      <c r="E1706" t="s">
        <v>27</v>
      </c>
      <c r="F1706" s="14" t="s">
        <v>1998</v>
      </c>
      <c r="G1706" t="s">
        <v>1657</v>
      </c>
      <c r="H1706" t="s">
        <v>49</v>
      </c>
      <c r="I1706" t="s">
        <v>1263</v>
      </c>
      <c r="K1706" s="3"/>
      <c r="M1706" s="3"/>
    </row>
    <row r="1707" spans="1:13">
      <c r="A1707" t="s">
        <v>28</v>
      </c>
      <c r="B1707">
        <f ca="1">IF(OR(changes[[#This Row],[Type]]="Checklist",changes[[#This Row],[Type]]="checklist-flat"),1+IF(changes[[#This Row],[Type of change]] = "Edit",COUNTIFS($I$4:changes[[#This Row],[Name]],changes[[#This Row],[Name]], $E$4:changes[[#This Row],[Type of change]], "Edit")),B1706)</f>
        <v>1</v>
      </c>
      <c r="C1707" s="20">
        <v>44732</v>
      </c>
      <c r="D1707" s="2" t="s">
        <v>2048</v>
      </c>
      <c r="E1707" t="s">
        <v>27</v>
      </c>
      <c r="F1707" s="14" t="s">
        <v>1998</v>
      </c>
      <c r="G1707" t="s">
        <v>1657</v>
      </c>
      <c r="H1707" t="s">
        <v>49</v>
      </c>
      <c r="I1707" t="s">
        <v>1264</v>
      </c>
      <c r="K1707" s="3"/>
      <c r="M1707" s="3"/>
    </row>
    <row r="1708" spans="1:13">
      <c r="A1708" t="s">
        <v>28</v>
      </c>
      <c r="B1708">
        <f ca="1">IF(OR(changes[[#This Row],[Type]]="Checklist",changes[[#This Row],[Type]]="checklist-flat"),1+IF(changes[[#This Row],[Type of change]] = "Edit",COUNTIFS($I$4:changes[[#This Row],[Name]],changes[[#This Row],[Name]], $E$4:changes[[#This Row],[Type of change]], "Edit")),B1707)</f>
        <v>1</v>
      </c>
      <c r="C1708" s="20">
        <v>44732</v>
      </c>
      <c r="D1708" s="2" t="s">
        <v>2048</v>
      </c>
      <c r="E1708" t="s">
        <v>27</v>
      </c>
      <c r="F1708" s="14" t="s">
        <v>1998</v>
      </c>
      <c r="G1708" t="s">
        <v>1657</v>
      </c>
      <c r="H1708" t="s">
        <v>49</v>
      </c>
      <c r="I1708" t="s">
        <v>1658</v>
      </c>
      <c r="K1708" s="3"/>
      <c r="M1708" s="3"/>
    </row>
    <row r="1709" spans="1:13">
      <c r="A1709" t="s">
        <v>28</v>
      </c>
      <c r="B1709">
        <f ca="1">IF(OR(changes[[#This Row],[Type]]="Checklist",changes[[#This Row],[Type]]="checklist-flat"),1+IF(changes[[#This Row],[Type of change]] = "Edit",COUNTIFS($I$4:changes[[#This Row],[Name]],changes[[#This Row],[Name]], $E$4:changes[[#This Row],[Type of change]], "Edit")),B1708)</f>
        <v>1</v>
      </c>
      <c r="C1709" s="20">
        <v>44732</v>
      </c>
      <c r="D1709" s="2" t="s">
        <v>2048</v>
      </c>
      <c r="E1709" t="s">
        <v>27</v>
      </c>
      <c r="F1709" s="14" t="s">
        <v>1998</v>
      </c>
      <c r="G1709" s="14" t="s">
        <v>1657</v>
      </c>
      <c r="H1709" t="s">
        <v>58</v>
      </c>
      <c r="I1709" t="s">
        <v>306</v>
      </c>
      <c r="K1709" s="3"/>
      <c r="M1709" s="3"/>
    </row>
    <row r="1710" spans="1:13">
      <c r="A1710" t="s">
        <v>28</v>
      </c>
      <c r="B1710">
        <f ca="1">IF(OR(changes[[#This Row],[Type]]="Checklist",changes[[#This Row],[Type]]="checklist-flat"),1+IF(changes[[#This Row],[Type of change]] = "Edit",COUNTIFS($I$4:changes[[#This Row],[Name]],changes[[#This Row],[Name]], $E$4:changes[[#This Row],[Type of change]], "Edit")),B1709)</f>
        <v>1</v>
      </c>
      <c r="C1710" s="20">
        <v>44732</v>
      </c>
      <c r="D1710" s="2" t="s">
        <v>2048</v>
      </c>
      <c r="E1710" t="s">
        <v>27</v>
      </c>
      <c r="F1710" s="14" t="s">
        <v>1998</v>
      </c>
      <c r="G1710" s="14" t="s">
        <v>1657</v>
      </c>
      <c r="H1710" t="s">
        <v>49</v>
      </c>
      <c r="I1710" t="s">
        <v>1659</v>
      </c>
      <c r="K1710" s="3"/>
      <c r="M1710" s="3"/>
    </row>
    <row r="1711" spans="1:13">
      <c r="A1711" t="s">
        <v>28</v>
      </c>
      <c r="B1711">
        <f ca="1">IF(OR(changes[[#This Row],[Type]]="Checklist",changes[[#This Row],[Type]]="checklist-flat"),1+IF(changes[[#This Row],[Type of change]] = "Edit",COUNTIFS($I$4:changes[[#This Row],[Name]],changes[[#This Row],[Name]], $E$4:changes[[#This Row],[Type of change]], "Edit")),B1710)</f>
        <v>2</v>
      </c>
      <c r="C1711" s="20">
        <v>44732</v>
      </c>
      <c r="D1711" s="2" t="s">
        <v>2371</v>
      </c>
      <c r="E1711" t="s">
        <v>15</v>
      </c>
      <c r="F1711" s="14" t="s">
        <v>1998</v>
      </c>
      <c r="G1711" s="14" t="s">
        <v>1282</v>
      </c>
      <c r="H1711" t="s">
        <v>48</v>
      </c>
      <c r="I1711" t="s">
        <v>1282</v>
      </c>
      <c r="K1711" s="3"/>
      <c r="M1711" s="3" t="s">
        <v>2372</v>
      </c>
    </row>
    <row r="1712" spans="1:13">
      <c r="A1712" t="s">
        <v>28</v>
      </c>
      <c r="B1712">
        <f ca="1">IF(OR(changes[[#This Row],[Type]]="Checklist",changes[[#This Row],[Type]]="checklist-flat"),1+IF(changes[[#This Row],[Type of change]] = "Edit",COUNTIFS($I$4:changes[[#This Row],[Name]],changes[[#This Row],[Name]], $E$4:changes[[#This Row],[Type of change]], "Edit")),B1711)</f>
        <v>2</v>
      </c>
      <c r="C1712" s="20">
        <v>44732</v>
      </c>
      <c r="D1712" s="2" t="s">
        <v>2371</v>
      </c>
      <c r="E1712" t="s">
        <v>15</v>
      </c>
      <c r="F1712" s="14" t="s">
        <v>1998</v>
      </c>
      <c r="G1712" s="14" t="s">
        <v>1282</v>
      </c>
      <c r="H1712" t="s">
        <v>49</v>
      </c>
      <c r="I1712" s="34" t="s">
        <v>1283</v>
      </c>
      <c r="K1712" s="3"/>
      <c r="M1712" s="3"/>
    </row>
    <row r="1713" spans="1:13">
      <c r="A1713" t="s">
        <v>28</v>
      </c>
      <c r="B1713">
        <f ca="1">IF(OR(changes[[#This Row],[Type]]="Checklist",changes[[#This Row],[Type]]="checklist-flat"),1+IF(changes[[#This Row],[Type of change]] = "Edit",COUNTIFS($I$4:changes[[#This Row],[Name]],changes[[#This Row],[Name]], $E$4:changes[[#This Row],[Type of change]], "Edit")),B1712)</f>
        <v>2</v>
      </c>
      <c r="C1713" s="20">
        <v>44732</v>
      </c>
      <c r="D1713" s="2" t="s">
        <v>2371</v>
      </c>
      <c r="E1713" t="s">
        <v>15</v>
      </c>
      <c r="F1713" s="14" t="s">
        <v>1998</v>
      </c>
      <c r="G1713" s="14" t="s">
        <v>1282</v>
      </c>
      <c r="H1713" t="s">
        <v>49</v>
      </c>
      <c r="I1713" t="s">
        <v>1284</v>
      </c>
      <c r="K1713" s="3"/>
      <c r="M1713" s="3"/>
    </row>
    <row r="1714" spans="1:13">
      <c r="A1714" t="s">
        <v>28</v>
      </c>
      <c r="B1714">
        <f ca="1">IF(OR(changes[[#This Row],[Type]]="Checklist",changes[[#This Row],[Type]]="checklist-flat"),1+IF(changes[[#This Row],[Type of change]] = "Edit",COUNTIFS($I$4:changes[[#This Row],[Name]],changes[[#This Row],[Name]], $E$4:changes[[#This Row],[Type of change]], "Edit")),B1713)</f>
        <v>2</v>
      </c>
      <c r="C1714" s="20">
        <v>44732</v>
      </c>
      <c r="D1714" s="2" t="s">
        <v>2371</v>
      </c>
      <c r="E1714" t="s">
        <v>15</v>
      </c>
      <c r="F1714" s="14" t="s">
        <v>1998</v>
      </c>
      <c r="G1714" s="14" t="s">
        <v>1282</v>
      </c>
      <c r="H1714" t="s">
        <v>49</v>
      </c>
      <c r="I1714" t="s">
        <v>1285</v>
      </c>
      <c r="K1714" s="3"/>
      <c r="M1714" s="3"/>
    </row>
    <row r="1715" spans="1:13">
      <c r="A1715" t="s">
        <v>28</v>
      </c>
      <c r="B1715">
        <f ca="1">IF(OR(changes[[#This Row],[Type]]="Checklist",changes[[#This Row],[Type]]="checklist-flat"),1+IF(changes[[#This Row],[Type of change]] = "Edit",COUNTIFS($I$4:changes[[#This Row],[Name]],changes[[#This Row],[Name]], $E$4:changes[[#This Row],[Type of change]], "Edit")),B1714)</f>
        <v>2</v>
      </c>
      <c r="C1715" s="20">
        <v>44732</v>
      </c>
      <c r="D1715" s="2" t="s">
        <v>2371</v>
      </c>
      <c r="E1715" t="s">
        <v>15</v>
      </c>
      <c r="F1715" s="14" t="s">
        <v>1998</v>
      </c>
      <c r="G1715" s="14" t="s">
        <v>1282</v>
      </c>
      <c r="H1715" t="s">
        <v>49</v>
      </c>
      <c r="I1715" t="s">
        <v>1286</v>
      </c>
      <c r="K1715" s="3"/>
      <c r="M1715" s="3"/>
    </row>
    <row r="1716" spans="1:13">
      <c r="A1716" t="s">
        <v>28</v>
      </c>
      <c r="B1716">
        <f ca="1">IF(OR(changes[[#This Row],[Type]]="Checklist",changes[[#This Row],[Type]]="checklist-flat"),1+IF(changes[[#This Row],[Type of change]] = "Edit",COUNTIFS($I$4:changes[[#This Row],[Name]],changes[[#This Row],[Name]], $E$4:changes[[#This Row],[Type of change]], "Edit")),B1715)</f>
        <v>2</v>
      </c>
      <c r="C1716" s="20">
        <v>44732</v>
      </c>
      <c r="D1716" s="2" t="s">
        <v>2371</v>
      </c>
      <c r="E1716" t="s">
        <v>15</v>
      </c>
      <c r="F1716" s="14" t="s">
        <v>1998</v>
      </c>
      <c r="G1716" s="14" t="s">
        <v>1282</v>
      </c>
      <c r="H1716" t="s">
        <v>49</v>
      </c>
      <c r="I1716" t="s">
        <v>1287</v>
      </c>
      <c r="K1716" s="3"/>
      <c r="M1716" s="3"/>
    </row>
    <row r="1717" spans="1:13">
      <c r="A1717" t="s">
        <v>28</v>
      </c>
      <c r="B1717">
        <f ca="1">IF(OR(changes[[#This Row],[Type]]="Checklist",changes[[#This Row],[Type]]="checklist-flat"),1+IF(changes[[#This Row],[Type of change]] = "Edit",COUNTIFS($I$4:changes[[#This Row],[Name]],changes[[#This Row],[Name]], $E$4:changes[[#This Row],[Type of change]], "Edit")),B1716)</f>
        <v>2</v>
      </c>
      <c r="C1717" s="20">
        <v>44732</v>
      </c>
      <c r="D1717" s="2" t="s">
        <v>2339</v>
      </c>
      <c r="E1717" t="s">
        <v>15</v>
      </c>
      <c r="F1717" s="14" t="s">
        <v>9</v>
      </c>
      <c r="G1717" s="14" t="s">
        <v>1227</v>
      </c>
      <c r="H1717" t="s">
        <v>48</v>
      </c>
      <c r="I1717" t="s">
        <v>1227</v>
      </c>
      <c r="K1717" s="3" t="s">
        <v>6</v>
      </c>
      <c r="L1717" t="s">
        <v>2369</v>
      </c>
      <c r="M1717" s="3"/>
    </row>
    <row r="1718" spans="1:13">
      <c r="A1718" t="s">
        <v>28</v>
      </c>
      <c r="B1718">
        <f ca="1">IF(OR(changes[[#This Row],[Type]]="Checklist",changes[[#This Row],[Type]]="checklist-flat"),1+IF(changes[[#This Row],[Type of change]] = "Edit",COUNTIFS($I$4:changes[[#This Row],[Name]],changes[[#This Row],[Name]], $E$4:changes[[#This Row],[Type of change]], "Edit")),B1717)</f>
        <v>2</v>
      </c>
      <c r="C1718" s="20">
        <v>44732</v>
      </c>
      <c r="D1718" s="2" t="s">
        <v>2339</v>
      </c>
      <c r="E1718" t="s">
        <v>15</v>
      </c>
      <c r="F1718" s="14" t="s">
        <v>9</v>
      </c>
      <c r="G1718" s="14" t="s">
        <v>1227</v>
      </c>
      <c r="H1718" t="s">
        <v>49</v>
      </c>
      <c r="I1718" t="s">
        <v>1228</v>
      </c>
      <c r="K1718" s="3" t="s">
        <v>6</v>
      </c>
      <c r="L1718" t="s">
        <v>2369</v>
      </c>
      <c r="M1718" s="3"/>
    </row>
    <row r="1719" spans="1:13">
      <c r="A1719" t="s">
        <v>28</v>
      </c>
      <c r="B1719">
        <f ca="1">IF(OR(changes[[#This Row],[Type]]="Checklist",changes[[#This Row],[Type]]="checklist-flat"),1+IF(changes[[#This Row],[Type of change]] = "Edit",COUNTIFS($I$4:changes[[#This Row],[Name]],changes[[#This Row],[Name]], $E$4:changes[[#This Row],[Type of change]], "Edit")),B1718)</f>
        <v>2</v>
      </c>
      <c r="C1719" s="20">
        <v>44732</v>
      </c>
      <c r="D1719" s="2" t="s">
        <v>2339</v>
      </c>
      <c r="E1719" t="s">
        <v>15</v>
      </c>
      <c r="F1719" s="14" t="s">
        <v>9</v>
      </c>
      <c r="G1719" s="14" t="s">
        <v>1227</v>
      </c>
      <c r="H1719" t="s">
        <v>124</v>
      </c>
      <c r="I1719" t="s">
        <v>1229</v>
      </c>
      <c r="K1719" s="3" t="s">
        <v>6</v>
      </c>
      <c r="L1719" t="s">
        <v>2369</v>
      </c>
      <c r="M1719" s="3"/>
    </row>
    <row r="1720" spans="1:13">
      <c r="A1720" t="s">
        <v>28</v>
      </c>
      <c r="B1720">
        <f ca="1">IF(OR(changes[[#This Row],[Type]]="Checklist",changes[[#This Row],[Type]]="checklist-flat"),1+IF(changes[[#This Row],[Type of change]] = "Edit",COUNTIFS($I$4:changes[[#This Row],[Name]],changes[[#This Row],[Name]], $E$4:changes[[#This Row],[Type of change]], "Edit")),B1719)</f>
        <v>2</v>
      </c>
      <c r="C1720" s="20">
        <v>44732</v>
      </c>
      <c r="D1720" s="2" t="s">
        <v>2339</v>
      </c>
      <c r="E1720" t="s">
        <v>15</v>
      </c>
      <c r="F1720" s="14" t="s">
        <v>9</v>
      </c>
      <c r="G1720" s="14" t="s">
        <v>1227</v>
      </c>
      <c r="H1720" t="s">
        <v>49</v>
      </c>
      <c r="I1720" t="s">
        <v>1230</v>
      </c>
      <c r="K1720" s="3" t="s">
        <v>6</v>
      </c>
      <c r="L1720" t="s">
        <v>2369</v>
      </c>
      <c r="M1720" s="3"/>
    </row>
    <row r="1721" spans="1:13">
      <c r="A1721" t="s">
        <v>28</v>
      </c>
      <c r="B1721">
        <f ca="1">IF(OR(changes[[#This Row],[Type]]="Checklist",changes[[#This Row],[Type]]="checklist-flat"),1+IF(changes[[#This Row],[Type of change]] = "Edit",COUNTIFS($I$4:changes[[#This Row],[Name]],changes[[#This Row],[Name]], $E$4:changes[[#This Row],[Type of change]], "Edit")),B1720)</f>
        <v>2</v>
      </c>
      <c r="C1721" s="20">
        <v>44732</v>
      </c>
      <c r="D1721" s="2" t="s">
        <v>2339</v>
      </c>
      <c r="E1721" t="s">
        <v>15</v>
      </c>
      <c r="F1721" s="14" t="s">
        <v>9</v>
      </c>
      <c r="G1721" s="14" t="s">
        <v>1227</v>
      </c>
      <c r="H1721" t="s">
        <v>49</v>
      </c>
      <c r="I1721" t="s">
        <v>1231</v>
      </c>
      <c r="K1721" s="3" t="s">
        <v>6</v>
      </c>
      <c r="L1721" t="s">
        <v>2369</v>
      </c>
      <c r="M1721" s="3"/>
    </row>
    <row r="1722" spans="1:13">
      <c r="A1722" t="s">
        <v>28</v>
      </c>
      <c r="B1722">
        <f ca="1">IF(OR(changes[[#This Row],[Type]]="Checklist",changes[[#This Row],[Type]]="checklist-flat"),1+IF(changes[[#This Row],[Type of change]] = "Edit",COUNTIFS($I$4:changes[[#This Row],[Name]],changes[[#This Row],[Name]], $E$4:changes[[#This Row],[Type of change]], "Edit")),B1721)</f>
        <v>2</v>
      </c>
      <c r="C1722" s="20">
        <v>44732</v>
      </c>
      <c r="D1722" s="2" t="s">
        <v>2339</v>
      </c>
      <c r="E1722" t="s">
        <v>15</v>
      </c>
      <c r="F1722" s="14" t="s">
        <v>9</v>
      </c>
      <c r="G1722" s="14" t="s">
        <v>1227</v>
      </c>
      <c r="H1722" t="s">
        <v>49</v>
      </c>
      <c r="I1722" t="s">
        <v>1232</v>
      </c>
      <c r="K1722" s="3" t="s">
        <v>6</v>
      </c>
      <c r="L1722" t="s">
        <v>2369</v>
      </c>
      <c r="M1722" s="3"/>
    </row>
    <row r="1723" spans="1:13">
      <c r="A1723" t="s">
        <v>28</v>
      </c>
      <c r="B1723">
        <f ca="1">IF(OR(changes[[#This Row],[Type]]="Checklist",changes[[#This Row],[Type]]="checklist-flat"),1+IF(changes[[#This Row],[Type of change]] = "Edit",COUNTIFS($I$4:changes[[#This Row],[Name]],changes[[#This Row],[Name]], $E$4:changes[[#This Row],[Type of change]], "Edit")),B1722)</f>
        <v>2</v>
      </c>
      <c r="C1723" s="20">
        <v>44732</v>
      </c>
      <c r="D1723" s="2" t="s">
        <v>2339</v>
      </c>
      <c r="E1723" t="s">
        <v>15</v>
      </c>
      <c r="F1723" s="14" t="s">
        <v>9</v>
      </c>
      <c r="G1723" s="14" t="s">
        <v>1227</v>
      </c>
      <c r="H1723" t="s">
        <v>49</v>
      </c>
      <c r="I1723" t="s">
        <v>1233</v>
      </c>
      <c r="K1723" s="3" t="s">
        <v>6</v>
      </c>
      <c r="L1723" t="s">
        <v>2369</v>
      </c>
      <c r="M1723" s="3" t="s">
        <v>2373</v>
      </c>
    </row>
    <row r="1724" spans="1:13">
      <c r="A1724" t="s">
        <v>28</v>
      </c>
      <c r="B1724">
        <f ca="1">IF(OR(changes[[#This Row],[Type]]="Checklist",changes[[#This Row],[Type]]="checklist-flat"),1+IF(changes[[#This Row],[Type of change]] = "Edit",COUNTIFS($I$4:changes[[#This Row],[Name]],changes[[#This Row],[Name]], $E$4:changes[[#This Row],[Type of change]], "Edit")),B1723)</f>
        <v>2</v>
      </c>
      <c r="C1724" s="20">
        <v>44732</v>
      </c>
      <c r="D1724" s="2" t="s">
        <v>2339</v>
      </c>
      <c r="E1724" t="s">
        <v>15</v>
      </c>
      <c r="F1724" s="14" t="s">
        <v>9</v>
      </c>
      <c r="G1724" s="14" t="s">
        <v>1227</v>
      </c>
      <c r="H1724" t="s">
        <v>49</v>
      </c>
      <c r="I1724" t="s">
        <v>1234</v>
      </c>
      <c r="K1724" s="3" t="s">
        <v>6</v>
      </c>
      <c r="L1724" t="s">
        <v>2369</v>
      </c>
      <c r="M1724" s="3"/>
    </row>
    <row r="1725" spans="1:13">
      <c r="A1725" t="s">
        <v>28</v>
      </c>
      <c r="B1725">
        <f ca="1">IF(OR(changes[[#This Row],[Type]]="Checklist",changes[[#This Row],[Type]]="checklist-flat"),1+IF(changes[[#This Row],[Type of change]] = "Edit",COUNTIFS($I$4:changes[[#This Row],[Name]],changes[[#This Row],[Name]], $E$4:changes[[#This Row],[Type of change]], "Edit")),B1724)</f>
        <v>2</v>
      </c>
      <c r="C1725" s="20">
        <v>44732</v>
      </c>
      <c r="D1725" s="2" t="s">
        <v>2339</v>
      </c>
      <c r="E1725" t="s">
        <v>15</v>
      </c>
      <c r="F1725" s="14" t="s">
        <v>9</v>
      </c>
      <c r="G1725" s="14" t="s">
        <v>1227</v>
      </c>
      <c r="H1725" t="s">
        <v>124</v>
      </c>
      <c r="I1725" t="s">
        <v>1235</v>
      </c>
      <c r="K1725" s="3" t="s">
        <v>6</v>
      </c>
      <c r="L1725" t="s">
        <v>2369</v>
      </c>
      <c r="M1725" s="3"/>
    </row>
    <row r="1726" spans="1:13">
      <c r="A1726" t="s">
        <v>28</v>
      </c>
      <c r="B1726">
        <f ca="1">IF(OR(changes[[#This Row],[Type]]="Checklist",changes[[#This Row],[Type]]="checklist-flat"),1+IF(changes[[#This Row],[Type of change]] = "Edit",COUNTIFS($I$4:changes[[#This Row],[Name]],changes[[#This Row],[Name]], $E$4:changes[[#This Row],[Type of change]], "Edit")),B1725)</f>
        <v>2</v>
      </c>
      <c r="C1726" s="20">
        <v>44732</v>
      </c>
      <c r="D1726" s="2" t="s">
        <v>2339</v>
      </c>
      <c r="E1726" t="s">
        <v>15</v>
      </c>
      <c r="F1726" s="14" t="s">
        <v>9</v>
      </c>
      <c r="G1726" s="14" t="s">
        <v>1227</v>
      </c>
      <c r="H1726" t="s">
        <v>49</v>
      </c>
      <c r="I1726" t="s">
        <v>1236</v>
      </c>
      <c r="K1726" s="3" t="s">
        <v>6</v>
      </c>
      <c r="L1726" t="s">
        <v>2369</v>
      </c>
      <c r="M1726" s="3"/>
    </row>
    <row r="1727" spans="1:13">
      <c r="A1727" t="s">
        <v>28</v>
      </c>
      <c r="B1727">
        <f ca="1">IF(OR(changes[[#This Row],[Type]]="Checklist",changes[[#This Row],[Type]]="checklist-flat"),1+IF(changes[[#This Row],[Type of change]] = "Edit",COUNTIFS($I$4:changes[[#This Row],[Name]],changes[[#This Row],[Name]], $E$4:changes[[#This Row],[Type of change]], "Edit")),B1726)</f>
        <v>2</v>
      </c>
      <c r="C1727" s="20">
        <v>44732</v>
      </c>
      <c r="D1727" s="2" t="s">
        <v>2339</v>
      </c>
      <c r="E1727" t="s">
        <v>15</v>
      </c>
      <c r="F1727" s="14" t="s">
        <v>9</v>
      </c>
      <c r="G1727" s="14" t="s">
        <v>1227</v>
      </c>
      <c r="H1727" t="s">
        <v>124</v>
      </c>
      <c r="I1727" t="s">
        <v>1237</v>
      </c>
      <c r="K1727" s="3" t="s">
        <v>6</v>
      </c>
      <c r="L1727" t="s">
        <v>2369</v>
      </c>
      <c r="M1727" s="3"/>
    </row>
    <row r="1728" spans="1:13">
      <c r="A1728" t="s">
        <v>28</v>
      </c>
      <c r="B1728">
        <f ca="1">IF(OR(changes[[#This Row],[Type]]="Checklist",changes[[#This Row],[Type]]="checklist-flat"),1+IF(changes[[#This Row],[Type of change]] = "Edit",COUNTIFS($I$4:changes[[#This Row],[Name]],changes[[#This Row],[Name]], $E$4:changes[[#This Row],[Type of change]], "Edit")),B1727)</f>
        <v>2</v>
      </c>
      <c r="C1728" s="20">
        <v>44732</v>
      </c>
      <c r="D1728" s="2" t="s">
        <v>2339</v>
      </c>
      <c r="E1728" t="s">
        <v>15</v>
      </c>
      <c r="F1728" s="14" t="s">
        <v>9</v>
      </c>
      <c r="G1728" s="14" t="s">
        <v>1227</v>
      </c>
      <c r="H1728" t="s">
        <v>49</v>
      </c>
      <c r="I1728" t="s">
        <v>1238</v>
      </c>
      <c r="K1728" s="3" t="s">
        <v>6</v>
      </c>
      <c r="L1728" t="s">
        <v>2369</v>
      </c>
      <c r="M1728" s="3"/>
    </row>
    <row r="1729" spans="1:13">
      <c r="A1729" t="s">
        <v>28</v>
      </c>
      <c r="B1729">
        <f ca="1">IF(OR(changes[[#This Row],[Type]]="Checklist",changes[[#This Row],[Type]]="checklist-flat"),1+IF(changes[[#This Row],[Type of change]] = "Edit",COUNTIFS($I$4:changes[[#This Row],[Name]],changes[[#This Row],[Name]], $E$4:changes[[#This Row],[Type of change]], "Edit")),B1728)</f>
        <v>2</v>
      </c>
      <c r="C1729" s="20">
        <v>44740</v>
      </c>
      <c r="D1729" s="2" t="s">
        <v>2339</v>
      </c>
      <c r="E1729" t="s">
        <v>15</v>
      </c>
      <c r="F1729" s="14" t="s">
        <v>9</v>
      </c>
      <c r="G1729" t="s">
        <v>2374</v>
      </c>
      <c r="H1729" t="s">
        <v>48</v>
      </c>
      <c r="I1729" t="s">
        <v>2375</v>
      </c>
      <c r="K1729" s="3" t="s">
        <v>6</v>
      </c>
      <c r="L1729" t="s">
        <v>2376</v>
      </c>
      <c r="M1729" s="3" t="s">
        <v>2377</v>
      </c>
    </row>
    <row r="1730" spans="1:13">
      <c r="A1730" t="s">
        <v>28</v>
      </c>
      <c r="B1730">
        <f ca="1">IF(OR(changes[[#This Row],[Type]]="Checklist",changes[[#This Row],[Type]]="checklist-flat"),1+IF(changes[[#This Row],[Type of change]] = "Edit",COUNTIFS($I$4:changes[[#This Row],[Name]],changes[[#This Row],[Name]], $E$4:changes[[#This Row],[Type of change]], "Edit")),B1729)</f>
        <v>2</v>
      </c>
      <c r="C1730" s="20">
        <v>44740</v>
      </c>
      <c r="D1730" s="2" t="s">
        <v>2339</v>
      </c>
      <c r="E1730" t="s">
        <v>15</v>
      </c>
      <c r="F1730" s="14" t="s">
        <v>9</v>
      </c>
      <c r="G1730" t="s">
        <v>2374</v>
      </c>
      <c r="H1730" t="s">
        <v>49</v>
      </c>
      <c r="I1730" t="s">
        <v>806</v>
      </c>
      <c r="K1730" s="3" t="s">
        <v>6</v>
      </c>
      <c r="L1730" t="s">
        <v>2376</v>
      </c>
      <c r="M1730" s="3"/>
    </row>
    <row r="1731" spans="1:13">
      <c r="A1731" t="s">
        <v>28</v>
      </c>
      <c r="B1731">
        <f ca="1">IF(OR(changes[[#This Row],[Type]]="Checklist",changes[[#This Row],[Type]]="checklist-flat"),1+IF(changes[[#This Row],[Type of change]] = "Edit",COUNTIFS($I$4:changes[[#This Row],[Name]],changes[[#This Row],[Name]], $E$4:changes[[#This Row],[Type of change]], "Edit")),B1730)</f>
        <v>2</v>
      </c>
      <c r="C1731" s="20">
        <v>44740</v>
      </c>
      <c r="D1731" s="2" t="s">
        <v>2339</v>
      </c>
      <c r="E1731" t="s">
        <v>15</v>
      </c>
      <c r="F1731" s="14" t="s">
        <v>9</v>
      </c>
      <c r="G1731" t="s">
        <v>2374</v>
      </c>
      <c r="H1731" t="s">
        <v>49</v>
      </c>
      <c r="I1731" t="s">
        <v>1255</v>
      </c>
      <c r="K1731" s="3" t="s">
        <v>6</v>
      </c>
      <c r="L1731" t="s">
        <v>2376</v>
      </c>
      <c r="M1731" s="3"/>
    </row>
    <row r="1732" spans="1:13">
      <c r="A1732" t="s">
        <v>28</v>
      </c>
      <c r="B1732">
        <f ca="1">IF(OR(changes[[#This Row],[Type]]="Checklist",changes[[#This Row],[Type]]="checklist-flat"),1+IF(changes[[#This Row],[Type of change]] = "Edit",COUNTIFS($I$4:changes[[#This Row],[Name]],changes[[#This Row],[Name]], $E$4:changes[[#This Row],[Type of change]], "Edit")),B1731)</f>
        <v>2</v>
      </c>
      <c r="C1732" s="20">
        <v>44740</v>
      </c>
      <c r="D1732" s="2" t="s">
        <v>2339</v>
      </c>
      <c r="E1732" t="s">
        <v>15</v>
      </c>
      <c r="F1732" s="14" t="s">
        <v>9</v>
      </c>
      <c r="G1732" t="s">
        <v>2374</v>
      </c>
      <c r="H1732" t="s">
        <v>49</v>
      </c>
      <c r="I1732" t="s">
        <v>377</v>
      </c>
      <c r="K1732" s="3" t="s">
        <v>6</v>
      </c>
      <c r="L1732" t="s">
        <v>2376</v>
      </c>
      <c r="M1732" s="3"/>
    </row>
    <row r="1733" spans="1:13">
      <c r="A1733" t="s">
        <v>28</v>
      </c>
      <c r="B1733">
        <f ca="1">IF(OR(changes[[#This Row],[Type]]="Checklist",changes[[#This Row],[Type]]="checklist-flat"),1+IF(changes[[#This Row],[Type of change]] = "Edit",COUNTIFS($I$4:changes[[#This Row],[Name]],changes[[#This Row],[Name]], $E$4:changes[[#This Row],[Type of change]], "Edit")),B1732)</f>
        <v>2</v>
      </c>
      <c r="C1733" s="20">
        <v>44740</v>
      </c>
      <c r="D1733" s="2" t="s">
        <v>2339</v>
      </c>
      <c r="E1733" t="s">
        <v>15</v>
      </c>
      <c r="F1733" s="14" t="s">
        <v>9</v>
      </c>
      <c r="G1733" t="s">
        <v>2374</v>
      </c>
      <c r="H1733" t="s">
        <v>49</v>
      </c>
      <c r="I1733" t="s">
        <v>1256</v>
      </c>
      <c r="K1733" s="3" t="s">
        <v>6</v>
      </c>
      <c r="L1733" t="s">
        <v>2376</v>
      </c>
      <c r="M1733" s="3"/>
    </row>
    <row r="1734" spans="1:13">
      <c r="A1734" t="s">
        <v>28</v>
      </c>
      <c r="B1734">
        <f ca="1">IF(OR(changes[[#This Row],[Type]]="Checklist",changes[[#This Row],[Type]]="checklist-flat"),1+IF(changes[[#This Row],[Type of change]] = "Edit",COUNTIFS($I$4:changes[[#This Row],[Name]],changes[[#This Row],[Name]], $E$4:changes[[#This Row],[Type of change]], "Edit")),B1733)</f>
        <v>2</v>
      </c>
      <c r="C1734" s="20">
        <v>44740</v>
      </c>
      <c r="D1734" s="2" t="s">
        <v>2339</v>
      </c>
      <c r="E1734" t="s">
        <v>15</v>
      </c>
      <c r="F1734" s="14" t="s">
        <v>9</v>
      </c>
      <c r="G1734" t="s">
        <v>2374</v>
      </c>
      <c r="H1734" t="s">
        <v>49</v>
      </c>
      <c r="I1734" t="s">
        <v>1257</v>
      </c>
      <c r="K1734" s="3" t="s">
        <v>6</v>
      </c>
      <c r="L1734" t="s">
        <v>2376</v>
      </c>
      <c r="M1734" s="3"/>
    </row>
    <row r="1735" spans="1:13">
      <c r="A1735" t="s">
        <v>28</v>
      </c>
      <c r="B1735">
        <f ca="1">IF(OR(changes[[#This Row],[Type]]="Checklist",changes[[#This Row],[Type]]="checklist-flat"),1+IF(changes[[#This Row],[Type of change]] = "Edit",COUNTIFS($I$4:changes[[#This Row],[Name]],changes[[#This Row],[Name]], $E$4:changes[[#This Row],[Type of change]], "Edit")),B1734)</f>
        <v>1</v>
      </c>
      <c r="C1735" s="20">
        <v>44742</v>
      </c>
      <c r="D1735" s="2" t="s">
        <v>2371</v>
      </c>
      <c r="E1735" t="s">
        <v>27</v>
      </c>
      <c r="F1735" s="14" t="s">
        <v>9</v>
      </c>
      <c r="G1735" t="s">
        <v>1249</v>
      </c>
      <c r="H1735" t="s">
        <v>48</v>
      </c>
      <c r="I1735" t="s">
        <v>1249</v>
      </c>
      <c r="K1735" s="3" t="s">
        <v>6</v>
      </c>
      <c r="L1735" t="s">
        <v>2378</v>
      </c>
      <c r="M1735" s="3" t="s">
        <v>2379</v>
      </c>
    </row>
    <row r="1736" spans="1:13">
      <c r="A1736" t="s">
        <v>28</v>
      </c>
      <c r="B1736">
        <f ca="1">IF(OR(changes[[#This Row],[Type]]="Checklist",changes[[#This Row],[Type]]="checklist-flat"),1+IF(changes[[#This Row],[Type of change]] = "Edit",COUNTIFS($I$4:changes[[#This Row],[Name]],changes[[#This Row],[Name]], $E$4:changes[[#This Row],[Type of change]], "Edit")),B1735)</f>
        <v>1</v>
      </c>
      <c r="C1736" s="20">
        <v>44742</v>
      </c>
      <c r="D1736" s="2" t="s">
        <v>2371</v>
      </c>
      <c r="E1736" t="s">
        <v>27</v>
      </c>
      <c r="F1736" s="14" t="s">
        <v>9</v>
      </c>
      <c r="G1736" t="s">
        <v>1249</v>
      </c>
      <c r="H1736" t="s">
        <v>49</v>
      </c>
      <c r="I1736" t="s">
        <v>1250</v>
      </c>
      <c r="K1736" s="3" t="s">
        <v>6</v>
      </c>
      <c r="L1736" t="s">
        <v>2378</v>
      </c>
      <c r="M1736" s="3"/>
    </row>
    <row r="1737" spans="1:13">
      <c r="A1737" t="s">
        <v>28</v>
      </c>
      <c r="B1737">
        <f ca="1">IF(OR(changes[[#This Row],[Type]]="Checklist",changes[[#This Row],[Type]]="checklist-flat"),1+IF(changes[[#This Row],[Type of change]] = "Edit",COUNTIFS($I$4:changes[[#This Row],[Name]],changes[[#This Row],[Name]], $E$4:changes[[#This Row],[Type of change]], "Edit")),B1736)</f>
        <v>1</v>
      </c>
      <c r="C1737" s="20">
        <v>44742</v>
      </c>
      <c r="D1737" s="2" t="s">
        <v>2371</v>
      </c>
      <c r="E1737" t="s">
        <v>27</v>
      </c>
      <c r="F1737" s="14" t="s">
        <v>9</v>
      </c>
      <c r="G1737" t="s">
        <v>1249</v>
      </c>
      <c r="H1737" t="s">
        <v>49</v>
      </c>
      <c r="I1737" t="s">
        <v>1251</v>
      </c>
      <c r="K1737" s="3" t="s">
        <v>6</v>
      </c>
      <c r="L1737" t="s">
        <v>2378</v>
      </c>
      <c r="M1737" s="3"/>
    </row>
    <row r="1738" spans="1:13">
      <c r="A1738" t="s">
        <v>28</v>
      </c>
      <c r="B1738">
        <f ca="1">IF(OR(changes[[#This Row],[Type]]="Checklist",changes[[#This Row],[Type]]="checklist-flat"),1+IF(changes[[#This Row],[Type of change]] = "Edit",COUNTIFS($I$4:changes[[#This Row],[Name]],changes[[#This Row],[Name]], $E$4:changes[[#This Row],[Type of change]], "Edit")),B1737)</f>
        <v>1</v>
      </c>
      <c r="C1738" s="20">
        <v>44742</v>
      </c>
      <c r="D1738" s="2" t="s">
        <v>2371</v>
      </c>
      <c r="E1738" t="s">
        <v>27</v>
      </c>
      <c r="F1738" s="14" t="s">
        <v>9</v>
      </c>
      <c r="G1738" t="s">
        <v>1249</v>
      </c>
      <c r="H1738" t="s">
        <v>49</v>
      </c>
      <c r="I1738" t="s">
        <v>1252</v>
      </c>
      <c r="K1738" s="3" t="s">
        <v>6</v>
      </c>
      <c r="L1738" t="s">
        <v>2378</v>
      </c>
      <c r="M1738" s="3"/>
    </row>
    <row r="1739" spans="1:13">
      <c r="A1739" t="s">
        <v>28</v>
      </c>
      <c r="B1739">
        <f ca="1">IF(OR(changes[[#This Row],[Type]]="Checklist",changes[[#This Row],[Type]]="checklist-flat"),1+IF(changes[[#This Row],[Type of change]] = "Edit",COUNTIFS($I$4:changes[[#This Row],[Name]],changes[[#This Row],[Name]], $E$4:changes[[#This Row],[Type of change]], "Edit")),B1738)</f>
        <v>1</v>
      </c>
      <c r="C1739" s="20">
        <v>44742</v>
      </c>
      <c r="D1739" s="2" t="s">
        <v>2371</v>
      </c>
      <c r="E1739" t="s">
        <v>27</v>
      </c>
      <c r="F1739" s="14" t="s">
        <v>9</v>
      </c>
      <c r="G1739" t="s">
        <v>1249</v>
      </c>
      <c r="H1739" t="s">
        <v>49</v>
      </c>
      <c r="I1739" t="s">
        <v>1253</v>
      </c>
      <c r="K1739" s="3" t="s">
        <v>6</v>
      </c>
      <c r="L1739" t="s">
        <v>2378</v>
      </c>
      <c r="M1739" s="3"/>
    </row>
    <row r="1740" spans="1:13">
      <c r="A1740" t="s">
        <v>28</v>
      </c>
      <c r="B1740">
        <f ca="1">IF(OR(changes[[#This Row],[Type]]="Checklist",changes[[#This Row],[Type]]="checklist-flat"),1+IF(changes[[#This Row],[Type of change]] = "Edit",COUNTIFS($I$4:changes[[#This Row],[Name]],changes[[#This Row],[Name]], $E$4:changes[[#This Row],[Type of change]], "Edit")),B1739)</f>
        <v>1</v>
      </c>
      <c r="C1740" s="20">
        <v>44742</v>
      </c>
      <c r="D1740" s="2" t="s">
        <v>2371</v>
      </c>
      <c r="E1740" t="s">
        <v>27</v>
      </c>
      <c r="F1740" s="14" t="s">
        <v>1998</v>
      </c>
      <c r="G1740" t="s">
        <v>1660</v>
      </c>
      <c r="H1740" t="s">
        <v>48</v>
      </c>
      <c r="I1740" t="s">
        <v>1660</v>
      </c>
      <c r="K1740" s="3" t="s">
        <v>6</v>
      </c>
      <c r="M1740" s="3"/>
    </row>
    <row r="1741" spans="1:13">
      <c r="A1741" t="s">
        <v>28</v>
      </c>
      <c r="B1741">
        <f ca="1">IF(OR(changes[[#This Row],[Type]]="Checklist",changes[[#This Row],[Type]]="checklist-flat"),1+IF(changes[[#This Row],[Type of change]] = "Edit",COUNTIFS($I$4:changes[[#This Row],[Name]],changes[[#This Row],[Name]], $E$4:changes[[#This Row],[Type of change]], "Edit")),B1740)</f>
        <v>1</v>
      </c>
      <c r="C1741" s="20">
        <v>44742</v>
      </c>
      <c r="D1741" s="2" t="s">
        <v>2371</v>
      </c>
      <c r="E1741" t="s">
        <v>27</v>
      </c>
      <c r="F1741" s="14" t="s">
        <v>1998</v>
      </c>
      <c r="G1741" t="s">
        <v>1660</v>
      </c>
      <c r="H1741" t="s">
        <v>49</v>
      </c>
      <c r="I1741" t="s">
        <v>1391</v>
      </c>
      <c r="K1741" s="3" t="s">
        <v>6</v>
      </c>
      <c r="M1741" s="3"/>
    </row>
    <row r="1742" spans="1:13">
      <c r="A1742" t="s">
        <v>28</v>
      </c>
      <c r="B1742">
        <f ca="1">IF(OR(changes[[#This Row],[Type]]="Checklist",changes[[#This Row],[Type]]="checklist-flat"),1+IF(changes[[#This Row],[Type of change]] = "Edit",COUNTIFS($I$4:changes[[#This Row],[Name]],changes[[#This Row],[Name]], $E$4:changes[[#This Row],[Type of change]], "Edit")),B1741)</f>
        <v>1</v>
      </c>
      <c r="C1742" s="20">
        <v>44742</v>
      </c>
      <c r="D1742" s="2" t="s">
        <v>2371</v>
      </c>
      <c r="E1742" t="s">
        <v>27</v>
      </c>
      <c r="F1742" s="14" t="s">
        <v>1998</v>
      </c>
      <c r="G1742" t="s">
        <v>1660</v>
      </c>
      <c r="H1742" t="s">
        <v>49</v>
      </c>
      <c r="I1742" t="s">
        <v>1661</v>
      </c>
      <c r="K1742" s="3" t="s">
        <v>6</v>
      </c>
      <c r="M1742" s="3"/>
    </row>
    <row r="1743" spans="1:13">
      <c r="A1743" t="s">
        <v>28</v>
      </c>
      <c r="B1743">
        <f ca="1">IF(OR(changes[[#This Row],[Type]]="Checklist",changes[[#This Row],[Type]]="checklist-flat"),1+IF(changes[[#This Row],[Type of change]] = "Edit",COUNTIFS($I$4:changes[[#This Row],[Name]],changes[[#This Row],[Name]], $E$4:changes[[#This Row],[Type of change]], "Edit")),B1742)</f>
        <v>1</v>
      </c>
      <c r="C1743" s="20">
        <v>44742</v>
      </c>
      <c r="D1743" s="2" t="s">
        <v>2371</v>
      </c>
      <c r="E1743" t="s">
        <v>27</v>
      </c>
      <c r="F1743" s="14" t="s">
        <v>1998</v>
      </c>
      <c r="G1743" t="s">
        <v>1660</v>
      </c>
      <c r="H1743" t="s">
        <v>49</v>
      </c>
      <c r="I1743" t="s">
        <v>1662</v>
      </c>
      <c r="K1743" s="3" t="s">
        <v>6</v>
      </c>
      <c r="M1743" s="3"/>
    </row>
    <row r="1744" spans="1:13">
      <c r="A1744" t="s">
        <v>28</v>
      </c>
      <c r="B1744">
        <f ca="1">IF(OR(changes[[#This Row],[Type]]="Checklist",changes[[#This Row],[Type]]="checklist-flat"),1+IF(changes[[#This Row],[Type of change]] = "Edit",COUNTIFS($I$4:changes[[#This Row],[Name]],changes[[#This Row],[Name]], $E$4:changes[[#This Row],[Type of change]], "Edit")),B1743)</f>
        <v>1</v>
      </c>
      <c r="C1744" s="20">
        <v>44742</v>
      </c>
      <c r="D1744" s="2" t="s">
        <v>2371</v>
      </c>
      <c r="E1744" t="s">
        <v>27</v>
      </c>
      <c r="F1744" s="14" t="s">
        <v>1998</v>
      </c>
      <c r="G1744" t="s">
        <v>1660</v>
      </c>
      <c r="H1744" t="s">
        <v>49</v>
      </c>
      <c r="I1744" t="s">
        <v>1663</v>
      </c>
      <c r="K1744" s="3" t="s">
        <v>6</v>
      </c>
      <c r="M1744" s="3"/>
    </row>
    <row r="1745" spans="1:13">
      <c r="A1745" t="s">
        <v>28</v>
      </c>
      <c r="B1745">
        <f ca="1">IF(OR(changes[[#This Row],[Type]]="Checklist",changes[[#This Row],[Type]]="checklist-flat"),1+IF(changes[[#This Row],[Type of change]] = "Edit",COUNTIFS($I$4:changes[[#This Row],[Name]],changes[[#This Row],[Name]], $E$4:changes[[#This Row],[Type of change]], "Edit")),B1744)</f>
        <v>1</v>
      </c>
      <c r="C1745" s="20">
        <v>44742</v>
      </c>
      <c r="D1745" s="2" t="s">
        <v>2371</v>
      </c>
      <c r="E1745" t="s">
        <v>27</v>
      </c>
      <c r="F1745" s="14" t="s">
        <v>1998</v>
      </c>
      <c r="G1745" t="s">
        <v>1660</v>
      </c>
      <c r="H1745" t="s">
        <v>49</v>
      </c>
      <c r="I1745" t="s">
        <v>1664</v>
      </c>
      <c r="K1745" s="3" t="s">
        <v>6</v>
      </c>
      <c r="M1745" s="3"/>
    </row>
    <row r="1746" spans="1:13">
      <c r="A1746" t="s">
        <v>28</v>
      </c>
      <c r="B1746">
        <f ca="1">IF(OR(changes[[#This Row],[Type]]="Checklist",changes[[#This Row],[Type]]="checklist-flat"),1+IF(changes[[#This Row],[Type of change]] = "Edit",COUNTIFS($I$4:changes[[#This Row],[Name]],changes[[#This Row],[Name]], $E$4:changes[[#This Row],[Type of change]], "Edit")),B1745)</f>
        <v>1</v>
      </c>
      <c r="C1746" s="20">
        <v>44742</v>
      </c>
      <c r="D1746" s="2" t="s">
        <v>2371</v>
      </c>
      <c r="E1746" t="s">
        <v>27</v>
      </c>
      <c r="F1746" s="14" t="s">
        <v>1998</v>
      </c>
      <c r="G1746" t="s">
        <v>1660</v>
      </c>
      <c r="H1746" t="s">
        <v>49</v>
      </c>
      <c r="I1746" t="s">
        <v>1665</v>
      </c>
      <c r="K1746" s="3" t="s">
        <v>6</v>
      </c>
      <c r="M1746" s="3"/>
    </row>
    <row r="1747" spans="1:13">
      <c r="A1747" t="s">
        <v>28</v>
      </c>
      <c r="B1747">
        <f ca="1">IF(OR(changes[[#This Row],[Type]]="Checklist",changes[[#This Row],[Type]]="checklist-flat"),1+IF(changes[[#This Row],[Type of change]] = "Edit",COUNTIFS($I$4:changes[[#This Row],[Name]],changes[[#This Row],[Name]], $E$4:changes[[#This Row],[Type of change]], "Edit")),B1746)</f>
        <v>2</v>
      </c>
      <c r="C1747" s="20">
        <v>44767</v>
      </c>
      <c r="D1747" s="2" t="s">
        <v>2380</v>
      </c>
      <c r="E1747" t="s">
        <v>15</v>
      </c>
      <c r="F1747" s="14" t="s">
        <v>9</v>
      </c>
      <c r="G1747" t="s">
        <v>852</v>
      </c>
      <c r="H1747" t="s">
        <v>119</v>
      </c>
      <c r="I1747" t="s">
        <v>852</v>
      </c>
      <c r="K1747" s="3" t="s">
        <v>6</v>
      </c>
      <c r="L1747" t="s">
        <v>2381</v>
      </c>
      <c r="M1747" s="3" t="s">
        <v>2382</v>
      </c>
    </row>
    <row r="1748" spans="1:13">
      <c r="A1748" t="s">
        <v>28</v>
      </c>
      <c r="B1748">
        <f ca="1">IF(OR(changes[[#This Row],[Type]]="Checklist",changes[[#This Row],[Type]]="checklist-flat"),1+IF(changes[[#This Row],[Type of change]] = "Edit",COUNTIFS($I$4:changes[[#This Row],[Name]],changes[[#This Row],[Name]], $E$4:changes[[#This Row],[Type of change]], "Edit")),B1747)</f>
        <v>2</v>
      </c>
      <c r="C1748" s="20">
        <v>44767</v>
      </c>
      <c r="D1748" s="2" t="s">
        <v>2380</v>
      </c>
      <c r="E1748" t="s">
        <v>15</v>
      </c>
      <c r="F1748" s="14" t="s">
        <v>9</v>
      </c>
      <c r="G1748" t="s">
        <v>852</v>
      </c>
      <c r="H1748" t="s">
        <v>120</v>
      </c>
      <c r="I1748" t="s">
        <v>853</v>
      </c>
      <c r="K1748" s="3" t="s">
        <v>6</v>
      </c>
      <c r="L1748" t="s">
        <v>2381</v>
      </c>
      <c r="M1748" s="3"/>
    </row>
    <row r="1749" spans="1:13">
      <c r="A1749" t="s">
        <v>28</v>
      </c>
      <c r="B1749">
        <f ca="1">IF(OR(changes[[#This Row],[Type]]="Checklist",changes[[#This Row],[Type]]="checklist-flat"),1+IF(changes[[#This Row],[Type of change]] = "Edit",COUNTIFS($I$4:changes[[#This Row],[Name]],changes[[#This Row],[Name]], $E$4:changes[[#This Row],[Type of change]], "Edit")),B1748)</f>
        <v>2</v>
      </c>
      <c r="C1749" s="20">
        <v>44767</v>
      </c>
      <c r="D1749" s="2" t="s">
        <v>2380</v>
      </c>
      <c r="E1749" t="s">
        <v>15</v>
      </c>
      <c r="F1749" s="14" t="s">
        <v>9</v>
      </c>
      <c r="G1749" t="s">
        <v>852</v>
      </c>
      <c r="H1749" t="s">
        <v>49</v>
      </c>
      <c r="I1749" t="s">
        <v>854</v>
      </c>
      <c r="K1749" s="3" t="s">
        <v>6</v>
      </c>
      <c r="L1749" t="s">
        <v>2381</v>
      </c>
      <c r="M1749" s="3"/>
    </row>
    <row r="1750" spans="1:13">
      <c r="A1750" t="s">
        <v>28</v>
      </c>
      <c r="B1750">
        <f ca="1">IF(OR(changes[[#This Row],[Type]]="Checklist",changes[[#This Row],[Type]]="checklist-flat"),1+IF(changes[[#This Row],[Type of change]] = "Edit",COUNTIFS($I$4:changes[[#This Row],[Name]],changes[[#This Row],[Name]], $E$4:changes[[#This Row],[Type of change]], "Edit")),B1749)</f>
        <v>2</v>
      </c>
      <c r="C1750" s="20">
        <v>44767</v>
      </c>
      <c r="D1750" s="2" t="s">
        <v>2380</v>
      </c>
      <c r="E1750" t="s">
        <v>15</v>
      </c>
      <c r="F1750" s="14" t="s">
        <v>9</v>
      </c>
      <c r="G1750" t="s">
        <v>852</v>
      </c>
      <c r="H1750" t="s">
        <v>49</v>
      </c>
      <c r="I1750" t="s">
        <v>855</v>
      </c>
      <c r="K1750" s="3" t="s">
        <v>6</v>
      </c>
      <c r="L1750" t="s">
        <v>2381</v>
      </c>
      <c r="M1750" s="3"/>
    </row>
    <row r="1751" spans="1:13">
      <c r="A1751" t="s">
        <v>28</v>
      </c>
      <c r="B1751">
        <f ca="1">IF(OR(changes[[#This Row],[Type]]="Checklist",changes[[#This Row],[Type]]="checklist-flat"),1+IF(changes[[#This Row],[Type of change]] = "Edit",COUNTIFS($I$4:changes[[#This Row],[Name]],changes[[#This Row],[Name]], $E$4:changes[[#This Row],[Type of change]], "Edit")),B1750)</f>
        <v>2</v>
      </c>
      <c r="C1751" s="20">
        <v>44767</v>
      </c>
      <c r="D1751" s="2" t="s">
        <v>2380</v>
      </c>
      <c r="E1751" t="s">
        <v>15</v>
      </c>
      <c r="F1751" s="14" t="s">
        <v>9</v>
      </c>
      <c r="G1751" t="s">
        <v>852</v>
      </c>
      <c r="H1751" t="s">
        <v>831</v>
      </c>
      <c r="I1751" t="s">
        <v>856</v>
      </c>
      <c r="K1751" s="3" t="s">
        <v>6</v>
      </c>
      <c r="L1751" t="s">
        <v>2381</v>
      </c>
      <c r="M1751" s="3"/>
    </row>
    <row r="1752" spans="1:13">
      <c r="A1752" t="s">
        <v>28</v>
      </c>
      <c r="B1752">
        <f ca="1">IF(OR(changes[[#This Row],[Type]]="Checklist",changes[[#This Row],[Type]]="checklist-flat"),1+IF(changes[[#This Row],[Type of change]] = "Edit",COUNTIFS($I$4:changes[[#This Row],[Name]],changes[[#This Row],[Name]], $E$4:changes[[#This Row],[Type of change]], "Edit")),B1751)</f>
        <v>2</v>
      </c>
      <c r="C1752" s="20">
        <v>44767</v>
      </c>
      <c r="D1752" s="2" t="s">
        <v>2380</v>
      </c>
      <c r="E1752" t="s">
        <v>15</v>
      </c>
      <c r="F1752" s="14" t="s">
        <v>9</v>
      </c>
      <c r="G1752" t="s">
        <v>852</v>
      </c>
      <c r="H1752" t="s">
        <v>831</v>
      </c>
      <c r="I1752" t="s">
        <v>857</v>
      </c>
      <c r="K1752" s="3" t="s">
        <v>6</v>
      </c>
      <c r="L1752" t="s">
        <v>2381</v>
      </c>
      <c r="M1752" s="3"/>
    </row>
    <row r="1753" spans="1:13">
      <c r="A1753" t="s">
        <v>28</v>
      </c>
      <c r="B1753">
        <f ca="1">IF(OR(changes[[#This Row],[Type]]="Checklist",changes[[#This Row],[Type]]="checklist-flat"),1+IF(changes[[#This Row],[Type of change]] = "Edit",COUNTIFS($I$4:changes[[#This Row],[Name]],changes[[#This Row],[Name]], $E$4:changes[[#This Row],[Type of change]], "Edit")),B1752)</f>
        <v>2</v>
      </c>
      <c r="C1753" s="20">
        <v>44767</v>
      </c>
      <c r="D1753" s="2" t="s">
        <v>2380</v>
      </c>
      <c r="E1753" t="s">
        <v>15</v>
      </c>
      <c r="F1753" s="14" t="s">
        <v>9</v>
      </c>
      <c r="G1753" t="s">
        <v>852</v>
      </c>
      <c r="H1753" t="s">
        <v>831</v>
      </c>
      <c r="I1753" t="s">
        <v>858</v>
      </c>
      <c r="K1753" s="3" t="s">
        <v>6</v>
      </c>
      <c r="L1753" t="s">
        <v>2381</v>
      </c>
      <c r="M1753" s="3"/>
    </row>
    <row r="1754" spans="1:13">
      <c r="A1754" t="s">
        <v>28</v>
      </c>
      <c r="B1754">
        <f ca="1">IF(OR(changes[[#This Row],[Type]]="Checklist",changes[[#This Row],[Type]]="checklist-flat"),1+IF(changes[[#This Row],[Type of change]] = "Edit",COUNTIFS($I$4:changes[[#This Row],[Name]],changes[[#This Row],[Name]], $E$4:changes[[#This Row],[Type of change]], "Edit")),B1753)</f>
        <v>2</v>
      </c>
      <c r="C1754" s="20">
        <v>44767</v>
      </c>
      <c r="D1754" s="2" t="s">
        <v>2380</v>
      </c>
      <c r="E1754" t="s">
        <v>15</v>
      </c>
      <c r="F1754" s="14" t="s">
        <v>9</v>
      </c>
      <c r="G1754" t="s">
        <v>852</v>
      </c>
      <c r="H1754" t="s">
        <v>831</v>
      </c>
      <c r="I1754" t="s">
        <v>859</v>
      </c>
      <c r="K1754" s="3" t="s">
        <v>6</v>
      </c>
      <c r="L1754" t="s">
        <v>2381</v>
      </c>
      <c r="M1754" s="3"/>
    </row>
    <row r="1755" spans="1:13">
      <c r="A1755" t="s">
        <v>28</v>
      </c>
      <c r="B1755">
        <f ca="1">IF(OR(changes[[#This Row],[Type]]="Checklist",changes[[#This Row],[Type]]="checklist-flat"),1+IF(changes[[#This Row],[Type of change]] = "Edit",COUNTIFS($I$4:changes[[#This Row],[Name]],changes[[#This Row],[Name]], $E$4:changes[[#This Row],[Type of change]], "Edit")),B1754)</f>
        <v>2</v>
      </c>
      <c r="C1755" s="20">
        <v>44767</v>
      </c>
      <c r="D1755" s="2" t="s">
        <v>2380</v>
      </c>
      <c r="E1755" t="s">
        <v>15</v>
      </c>
      <c r="F1755" s="14" t="s">
        <v>9</v>
      </c>
      <c r="G1755" t="s">
        <v>852</v>
      </c>
      <c r="H1755" t="s">
        <v>831</v>
      </c>
      <c r="I1755" t="s">
        <v>860</v>
      </c>
      <c r="K1755" s="3" t="s">
        <v>6</v>
      </c>
      <c r="L1755" t="s">
        <v>2381</v>
      </c>
      <c r="M1755" s="3"/>
    </row>
    <row r="1756" spans="1:13">
      <c r="A1756" t="s">
        <v>28</v>
      </c>
      <c r="B1756">
        <f ca="1">IF(OR(changes[[#This Row],[Type]]="Checklist",changes[[#This Row],[Type]]="checklist-flat"),1+IF(changes[[#This Row],[Type of change]] = "Edit",COUNTIFS($I$4:changes[[#This Row],[Name]],changes[[#This Row],[Name]], $E$4:changes[[#This Row],[Type of change]], "Edit")),B1755)</f>
        <v>2</v>
      </c>
      <c r="C1756" s="20">
        <v>44767</v>
      </c>
      <c r="D1756" s="2" t="s">
        <v>2380</v>
      </c>
      <c r="E1756" t="s">
        <v>15</v>
      </c>
      <c r="F1756" s="14" t="s">
        <v>9</v>
      </c>
      <c r="G1756" t="s">
        <v>852</v>
      </c>
      <c r="H1756" t="s">
        <v>861</v>
      </c>
      <c r="I1756" t="s">
        <v>862</v>
      </c>
      <c r="K1756" s="3" t="s">
        <v>6</v>
      </c>
      <c r="L1756" t="s">
        <v>2381</v>
      </c>
      <c r="M1756" s="3"/>
    </row>
    <row r="1757" spans="1:13">
      <c r="A1757" t="s">
        <v>28</v>
      </c>
      <c r="B1757">
        <f ca="1">IF(OR(changes[[#This Row],[Type]]="Checklist",changes[[#This Row],[Type]]="checklist-flat"),1+IF(changes[[#This Row],[Type of change]] = "Edit",COUNTIFS($I$4:changes[[#This Row],[Name]],changes[[#This Row],[Name]], $E$4:changes[[#This Row],[Type of change]], "Edit")),B1756)</f>
        <v>2</v>
      </c>
      <c r="C1757" s="20">
        <v>44767</v>
      </c>
      <c r="D1757" s="2" t="s">
        <v>2380</v>
      </c>
      <c r="E1757" t="s">
        <v>15</v>
      </c>
      <c r="F1757" s="14" t="s">
        <v>9</v>
      </c>
      <c r="G1757" t="s">
        <v>852</v>
      </c>
      <c r="H1757" t="s">
        <v>831</v>
      </c>
      <c r="I1757" t="s">
        <v>863</v>
      </c>
      <c r="K1757" s="3" t="s">
        <v>6</v>
      </c>
      <c r="L1757" t="s">
        <v>2381</v>
      </c>
      <c r="M1757" s="3"/>
    </row>
    <row r="1758" spans="1:13">
      <c r="A1758" t="s">
        <v>28</v>
      </c>
      <c r="B1758">
        <f ca="1">IF(OR(changes[[#This Row],[Type]]="Checklist",changes[[#This Row],[Type]]="checklist-flat"),1+IF(changes[[#This Row],[Type of change]] = "Edit",COUNTIFS($I$4:changes[[#This Row],[Name]],changes[[#This Row],[Name]], $E$4:changes[[#This Row],[Type of change]], "Edit")),B1757)</f>
        <v>2</v>
      </c>
      <c r="C1758" s="20">
        <v>44767</v>
      </c>
      <c r="D1758" s="2" t="s">
        <v>2380</v>
      </c>
      <c r="E1758" t="s">
        <v>15</v>
      </c>
      <c r="F1758" s="14" t="s">
        <v>9</v>
      </c>
      <c r="G1758" t="s">
        <v>852</v>
      </c>
      <c r="H1758" t="s">
        <v>831</v>
      </c>
      <c r="I1758" t="s">
        <v>864</v>
      </c>
      <c r="K1758" s="3" t="s">
        <v>6</v>
      </c>
      <c r="L1758" t="s">
        <v>2381</v>
      </c>
      <c r="M1758" s="3"/>
    </row>
    <row r="1759" spans="1:13">
      <c r="A1759" t="s">
        <v>28</v>
      </c>
      <c r="B1759">
        <f ca="1">IF(OR(changes[[#This Row],[Type]]="Checklist",changes[[#This Row],[Type]]="checklist-flat"),1+IF(changes[[#This Row],[Type of change]] = "Edit",COUNTIFS($I$4:changes[[#This Row],[Name]],changes[[#This Row],[Name]], $E$4:changes[[#This Row],[Type of change]], "Edit")),B1758)</f>
        <v>2</v>
      </c>
      <c r="C1759" s="20">
        <v>44767</v>
      </c>
      <c r="D1759" s="2" t="s">
        <v>2380</v>
      </c>
      <c r="E1759" t="s">
        <v>15</v>
      </c>
      <c r="F1759" s="14" t="s">
        <v>9</v>
      </c>
      <c r="G1759" t="s">
        <v>852</v>
      </c>
      <c r="H1759" t="s">
        <v>831</v>
      </c>
      <c r="I1759" t="s">
        <v>865</v>
      </c>
      <c r="K1759" s="3" t="s">
        <v>6</v>
      </c>
      <c r="L1759" t="s">
        <v>2381</v>
      </c>
      <c r="M1759" s="3"/>
    </row>
    <row r="1760" spans="1:13">
      <c r="A1760" t="s">
        <v>28</v>
      </c>
      <c r="B1760">
        <f ca="1">IF(OR(changes[[#This Row],[Type]]="Checklist",changes[[#This Row],[Type]]="checklist-flat"),1+IF(changes[[#This Row],[Type of change]] = "Edit",COUNTIFS($I$4:changes[[#This Row],[Name]],changes[[#This Row],[Name]], $E$4:changes[[#This Row],[Type of change]], "Edit")),B1759)</f>
        <v>2</v>
      </c>
      <c r="C1760" s="20">
        <v>44767</v>
      </c>
      <c r="D1760" s="2" t="s">
        <v>2380</v>
      </c>
      <c r="E1760" t="s">
        <v>15</v>
      </c>
      <c r="F1760" s="14" t="s">
        <v>9</v>
      </c>
      <c r="G1760" t="s">
        <v>852</v>
      </c>
      <c r="H1760" t="s">
        <v>831</v>
      </c>
      <c r="I1760" t="s">
        <v>866</v>
      </c>
      <c r="K1760" s="3" t="s">
        <v>6</v>
      </c>
      <c r="L1760" t="s">
        <v>2381</v>
      </c>
      <c r="M1760" s="3"/>
    </row>
    <row r="1761" spans="1:13">
      <c r="A1761" t="s">
        <v>28</v>
      </c>
      <c r="B1761">
        <f ca="1">IF(OR(changes[[#This Row],[Type]]="Checklist",changes[[#This Row],[Type]]="checklist-flat"),1+IF(changes[[#This Row],[Type of change]] = "Edit",COUNTIFS($I$4:changes[[#This Row],[Name]],changes[[#This Row],[Name]], $E$4:changes[[#This Row],[Type of change]], "Edit")),B1760)</f>
        <v>2</v>
      </c>
      <c r="C1761" s="20">
        <v>44767</v>
      </c>
      <c r="D1761" s="2" t="s">
        <v>2380</v>
      </c>
      <c r="E1761" t="s">
        <v>15</v>
      </c>
      <c r="F1761" s="14" t="s">
        <v>9</v>
      </c>
      <c r="G1761" t="s">
        <v>852</v>
      </c>
      <c r="H1761" t="s">
        <v>831</v>
      </c>
      <c r="I1761" t="s">
        <v>867</v>
      </c>
      <c r="K1761" s="3" t="s">
        <v>6</v>
      </c>
      <c r="L1761" t="s">
        <v>2381</v>
      </c>
      <c r="M1761" s="3"/>
    </row>
    <row r="1762" spans="1:13">
      <c r="A1762" t="s">
        <v>28</v>
      </c>
      <c r="B1762">
        <f ca="1">IF(OR(changes[[#This Row],[Type]]="Checklist",changes[[#This Row],[Type]]="checklist-flat"),1+IF(changes[[#This Row],[Type of change]] = "Edit",COUNTIFS($I$4:changes[[#This Row],[Name]],changes[[#This Row],[Name]], $E$4:changes[[#This Row],[Type of change]], "Edit")),B1761)</f>
        <v>2</v>
      </c>
      <c r="C1762" s="20">
        <v>44767</v>
      </c>
      <c r="D1762" s="2" t="s">
        <v>2380</v>
      </c>
      <c r="E1762" t="s">
        <v>15</v>
      </c>
      <c r="F1762" s="14" t="s">
        <v>9</v>
      </c>
      <c r="G1762" t="s">
        <v>852</v>
      </c>
      <c r="H1762" t="s">
        <v>861</v>
      </c>
      <c r="I1762" t="s">
        <v>868</v>
      </c>
      <c r="K1762" s="3" t="s">
        <v>6</v>
      </c>
      <c r="L1762" t="s">
        <v>2381</v>
      </c>
      <c r="M1762" s="3"/>
    </row>
    <row r="1763" spans="1:13">
      <c r="A1763" t="s">
        <v>28</v>
      </c>
      <c r="B1763">
        <f ca="1">IF(OR(changes[[#This Row],[Type]]="Checklist",changes[[#This Row],[Type]]="checklist-flat"),1+IF(changes[[#This Row],[Type of change]] = "Edit",COUNTIFS($I$4:changes[[#This Row],[Name]],changes[[#This Row],[Name]], $E$4:changes[[#This Row],[Type of change]], "Edit")),B1762)</f>
        <v>2</v>
      </c>
      <c r="C1763" s="20">
        <v>44767</v>
      </c>
      <c r="D1763" s="2" t="s">
        <v>2380</v>
      </c>
      <c r="E1763" t="s">
        <v>15</v>
      </c>
      <c r="F1763" s="14" t="s">
        <v>9</v>
      </c>
      <c r="G1763" t="s">
        <v>852</v>
      </c>
      <c r="H1763" t="s">
        <v>831</v>
      </c>
      <c r="I1763" t="s">
        <v>869</v>
      </c>
      <c r="K1763" s="3" t="s">
        <v>6</v>
      </c>
      <c r="L1763" t="s">
        <v>2381</v>
      </c>
      <c r="M1763" s="3"/>
    </row>
    <row r="1764" spans="1:13">
      <c r="A1764" t="s">
        <v>28</v>
      </c>
      <c r="B1764">
        <f ca="1">IF(OR(changes[[#This Row],[Type]]="Checklist",changes[[#This Row],[Type]]="checklist-flat"),1+IF(changes[[#This Row],[Type of change]] = "Edit",COUNTIFS($I$4:changes[[#This Row],[Name]],changes[[#This Row],[Name]], $E$4:changes[[#This Row],[Type of change]], "Edit")),B1763)</f>
        <v>2</v>
      </c>
      <c r="C1764" s="20">
        <v>44767</v>
      </c>
      <c r="D1764" s="2" t="s">
        <v>2380</v>
      </c>
      <c r="E1764" t="s">
        <v>15</v>
      </c>
      <c r="F1764" s="14" t="s">
        <v>9</v>
      </c>
      <c r="G1764" t="s">
        <v>852</v>
      </c>
      <c r="H1764" t="s">
        <v>831</v>
      </c>
      <c r="I1764" t="s">
        <v>870</v>
      </c>
      <c r="K1764" s="3" t="s">
        <v>6</v>
      </c>
      <c r="L1764" t="s">
        <v>2381</v>
      </c>
      <c r="M1764" s="3"/>
    </row>
    <row r="1765" spans="1:13">
      <c r="A1765" t="s">
        <v>28</v>
      </c>
      <c r="B1765">
        <f ca="1">IF(OR(changes[[#This Row],[Type]]="Checklist",changes[[#This Row],[Type]]="checklist-flat"),1+IF(changes[[#This Row],[Type of change]] = "Edit",COUNTIFS($I$4:changes[[#This Row],[Name]],changes[[#This Row],[Name]], $E$4:changes[[#This Row],[Type of change]], "Edit")),B1764)</f>
        <v>2</v>
      </c>
      <c r="C1765" s="20">
        <v>44767</v>
      </c>
      <c r="D1765" s="2" t="s">
        <v>2380</v>
      </c>
      <c r="E1765" t="s">
        <v>15</v>
      </c>
      <c r="F1765" s="14" t="s">
        <v>9</v>
      </c>
      <c r="G1765" t="s">
        <v>852</v>
      </c>
      <c r="H1765" t="s">
        <v>831</v>
      </c>
      <c r="I1765" t="s">
        <v>871</v>
      </c>
      <c r="K1765" s="3" t="s">
        <v>6</v>
      </c>
      <c r="L1765" t="s">
        <v>2381</v>
      </c>
      <c r="M1765" s="3"/>
    </row>
    <row r="1766" spans="1:13">
      <c r="A1766" t="s">
        <v>28</v>
      </c>
      <c r="B1766">
        <f ca="1">IF(OR(changes[[#This Row],[Type]]="Checklist",changes[[#This Row],[Type]]="checklist-flat"),1+IF(changes[[#This Row],[Type of change]] = "Edit",COUNTIFS($I$4:changes[[#This Row],[Name]],changes[[#This Row],[Name]], $E$4:changes[[#This Row],[Type of change]], "Edit")),B1765)</f>
        <v>2</v>
      </c>
      <c r="C1766" s="20">
        <v>44767</v>
      </c>
      <c r="D1766" s="2" t="s">
        <v>2380</v>
      </c>
      <c r="E1766" t="s">
        <v>15</v>
      </c>
      <c r="F1766" s="14" t="s">
        <v>9</v>
      </c>
      <c r="G1766" t="s">
        <v>852</v>
      </c>
      <c r="H1766" t="s">
        <v>831</v>
      </c>
      <c r="I1766" t="s">
        <v>872</v>
      </c>
      <c r="K1766" s="3" t="s">
        <v>6</v>
      </c>
      <c r="L1766" t="s">
        <v>2381</v>
      </c>
      <c r="M1766" s="3"/>
    </row>
    <row r="1767" spans="1:13">
      <c r="A1767" t="s">
        <v>28</v>
      </c>
      <c r="B1767">
        <f ca="1">IF(OR(changes[[#This Row],[Type]]="Checklist",changes[[#This Row],[Type]]="checklist-flat"),1+IF(changes[[#This Row],[Type of change]] = "Edit",COUNTIFS($I$4:changes[[#This Row],[Name]],changes[[#This Row],[Name]], $E$4:changes[[#This Row],[Type of change]], "Edit")),B1766)</f>
        <v>2</v>
      </c>
      <c r="C1767" s="20">
        <v>44767</v>
      </c>
      <c r="D1767" s="2" t="s">
        <v>2380</v>
      </c>
      <c r="E1767" t="s">
        <v>15</v>
      </c>
      <c r="F1767" s="14" t="s">
        <v>9</v>
      </c>
      <c r="G1767" t="s">
        <v>852</v>
      </c>
      <c r="H1767" t="s">
        <v>831</v>
      </c>
      <c r="I1767" t="s">
        <v>873</v>
      </c>
      <c r="K1767" s="3" t="s">
        <v>6</v>
      </c>
      <c r="L1767" t="s">
        <v>2381</v>
      </c>
      <c r="M1767" s="3"/>
    </row>
    <row r="1768" spans="1:13">
      <c r="A1768" t="s">
        <v>28</v>
      </c>
      <c r="B1768">
        <f ca="1">IF(OR(changes[[#This Row],[Type]]="Checklist",changes[[#This Row],[Type]]="checklist-flat"),1+IF(changes[[#This Row],[Type of change]] = "Edit",COUNTIFS($I$4:changes[[#This Row],[Name]],changes[[#This Row],[Name]], $E$4:changes[[#This Row],[Type of change]], "Edit")),B1767)</f>
        <v>2</v>
      </c>
      <c r="C1768" s="20">
        <v>44767</v>
      </c>
      <c r="D1768" s="2" t="s">
        <v>2380</v>
      </c>
      <c r="E1768" t="s">
        <v>15</v>
      </c>
      <c r="F1768" s="14" t="s">
        <v>9</v>
      </c>
      <c r="G1768" t="s">
        <v>852</v>
      </c>
      <c r="H1768" t="s">
        <v>831</v>
      </c>
      <c r="I1768" t="s">
        <v>874</v>
      </c>
      <c r="K1768" s="3" t="s">
        <v>6</v>
      </c>
      <c r="L1768" t="s">
        <v>2381</v>
      </c>
      <c r="M1768" s="3"/>
    </row>
    <row r="1769" spans="1:13">
      <c r="A1769" t="s">
        <v>28</v>
      </c>
      <c r="B1769">
        <f ca="1">IF(OR(changes[[#This Row],[Type]]="Checklist",changes[[#This Row],[Type]]="checklist-flat"),1+IF(changes[[#This Row],[Type of change]] = "Edit",COUNTIFS($I$4:changes[[#This Row],[Name]],changes[[#This Row],[Name]], $E$4:changes[[#This Row],[Type of change]], "Edit")),B1768)</f>
        <v>2</v>
      </c>
      <c r="C1769" s="20">
        <v>44767</v>
      </c>
      <c r="D1769" s="2" t="s">
        <v>2380</v>
      </c>
      <c r="E1769" t="s">
        <v>15</v>
      </c>
      <c r="F1769" s="14" t="s">
        <v>9</v>
      </c>
      <c r="G1769" t="s">
        <v>852</v>
      </c>
      <c r="H1769" t="s">
        <v>861</v>
      </c>
      <c r="I1769" t="s">
        <v>875</v>
      </c>
      <c r="K1769" s="3" t="s">
        <v>6</v>
      </c>
      <c r="L1769" t="s">
        <v>2381</v>
      </c>
      <c r="M1769" s="3"/>
    </row>
    <row r="1770" spans="1:13">
      <c r="A1770" t="s">
        <v>28</v>
      </c>
      <c r="B1770">
        <f ca="1">IF(OR(changes[[#This Row],[Type]]="Checklist",changes[[#This Row],[Type]]="checklist-flat"),1+IF(changes[[#This Row],[Type of change]] = "Edit",COUNTIFS($I$4:changes[[#This Row],[Name]],changes[[#This Row],[Name]], $E$4:changes[[#This Row],[Type of change]], "Edit")),B1769)</f>
        <v>2</v>
      </c>
      <c r="C1770" s="20">
        <v>44767</v>
      </c>
      <c r="D1770" s="2" t="s">
        <v>2380</v>
      </c>
      <c r="E1770" t="s">
        <v>15</v>
      </c>
      <c r="F1770" s="14" t="s">
        <v>9</v>
      </c>
      <c r="G1770" t="s">
        <v>852</v>
      </c>
      <c r="H1770" t="s">
        <v>831</v>
      </c>
      <c r="I1770" t="s">
        <v>876</v>
      </c>
      <c r="K1770" s="3" t="s">
        <v>6</v>
      </c>
      <c r="L1770" t="s">
        <v>2381</v>
      </c>
      <c r="M1770" s="3"/>
    </row>
    <row r="1771" spans="1:13">
      <c r="A1771" t="s">
        <v>28</v>
      </c>
      <c r="B1771">
        <f ca="1">IF(OR(changes[[#This Row],[Type]]="Checklist",changes[[#This Row],[Type]]="checklist-flat"),1+IF(changes[[#This Row],[Type of change]] = "Edit",COUNTIFS($I$4:changes[[#This Row],[Name]],changes[[#This Row],[Name]], $E$4:changes[[#This Row],[Type of change]], "Edit")),B1770)</f>
        <v>2</v>
      </c>
      <c r="C1771" s="20">
        <v>44767</v>
      </c>
      <c r="D1771" s="2" t="s">
        <v>2380</v>
      </c>
      <c r="E1771" t="s">
        <v>15</v>
      </c>
      <c r="F1771" s="14" t="s">
        <v>9</v>
      </c>
      <c r="G1771" t="s">
        <v>852</v>
      </c>
      <c r="H1771" t="s">
        <v>831</v>
      </c>
      <c r="I1771" t="s">
        <v>877</v>
      </c>
      <c r="K1771" s="3" t="s">
        <v>6</v>
      </c>
      <c r="L1771" t="s">
        <v>2381</v>
      </c>
      <c r="M1771" s="3"/>
    </row>
    <row r="1772" spans="1:13">
      <c r="A1772" t="s">
        <v>28</v>
      </c>
      <c r="B1772">
        <f ca="1">IF(OR(changes[[#This Row],[Type]]="Checklist",changes[[#This Row],[Type]]="checklist-flat"),1+IF(changes[[#This Row],[Type of change]] = "Edit",COUNTIFS($I$4:changes[[#This Row],[Name]],changes[[#This Row],[Name]], $E$4:changes[[#This Row],[Type of change]], "Edit")),B1771)</f>
        <v>2</v>
      </c>
      <c r="C1772" s="20">
        <v>44767</v>
      </c>
      <c r="D1772" s="2" t="s">
        <v>2380</v>
      </c>
      <c r="E1772" t="s">
        <v>15</v>
      </c>
      <c r="F1772" s="14" t="s">
        <v>9</v>
      </c>
      <c r="G1772" t="s">
        <v>852</v>
      </c>
      <c r="H1772" t="s">
        <v>831</v>
      </c>
      <c r="I1772" t="s">
        <v>878</v>
      </c>
      <c r="K1772" s="3" t="s">
        <v>6</v>
      </c>
      <c r="L1772" t="s">
        <v>2381</v>
      </c>
      <c r="M1772" s="3"/>
    </row>
    <row r="1773" spans="1:13">
      <c r="A1773" t="s">
        <v>28</v>
      </c>
      <c r="B1773">
        <f ca="1">IF(OR(changes[[#This Row],[Type]]="Checklist",changes[[#This Row],[Type]]="checklist-flat"),1+IF(changes[[#This Row],[Type of change]] = "Edit",COUNTIFS($I$4:changes[[#This Row],[Name]],changes[[#This Row],[Name]], $E$4:changes[[#This Row],[Type of change]], "Edit")),B1772)</f>
        <v>2</v>
      </c>
      <c r="C1773" s="20">
        <v>44767</v>
      </c>
      <c r="D1773" s="2" t="s">
        <v>2380</v>
      </c>
      <c r="E1773" t="s">
        <v>15</v>
      </c>
      <c r="F1773" s="14" t="s">
        <v>9</v>
      </c>
      <c r="G1773" t="s">
        <v>852</v>
      </c>
      <c r="H1773" t="s">
        <v>831</v>
      </c>
      <c r="I1773" t="s">
        <v>879</v>
      </c>
      <c r="K1773" s="3" t="s">
        <v>6</v>
      </c>
      <c r="L1773" t="s">
        <v>2381</v>
      </c>
      <c r="M1773" s="3"/>
    </row>
    <row r="1774" spans="1:13">
      <c r="A1774" t="s">
        <v>28</v>
      </c>
      <c r="B1774">
        <f ca="1">IF(OR(changes[[#This Row],[Type]]="Checklist",changes[[#This Row],[Type]]="checklist-flat"),1+IF(changes[[#This Row],[Type of change]] = "Edit",COUNTIFS($I$4:changes[[#This Row],[Name]],changes[[#This Row],[Name]], $E$4:changes[[#This Row],[Type of change]], "Edit")),B1773)</f>
        <v>2</v>
      </c>
      <c r="C1774" s="20">
        <v>44767</v>
      </c>
      <c r="D1774" s="2" t="s">
        <v>2380</v>
      </c>
      <c r="E1774" t="s">
        <v>15</v>
      </c>
      <c r="F1774" s="14" t="s">
        <v>9</v>
      </c>
      <c r="G1774" t="s">
        <v>852</v>
      </c>
      <c r="H1774" t="s">
        <v>831</v>
      </c>
      <c r="I1774" t="s">
        <v>880</v>
      </c>
      <c r="K1774" s="3" t="s">
        <v>6</v>
      </c>
      <c r="L1774" t="s">
        <v>2381</v>
      </c>
      <c r="M1774" s="3"/>
    </row>
    <row r="1775" spans="1:13">
      <c r="A1775" t="s">
        <v>28</v>
      </c>
      <c r="B1775">
        <f ca="1">IF(OR(changes[[#This Row],[Type]]="Checklist",changes[[#This Row],[Type]]="checklist-flat"),1+IF(changes[[#This Row],[Type of change]] = "Edit",COUNTIFS($I$4:changes[[#This Row],[Name]],changes[[#This Row],[Name]], $E$4:changes[[#This Row],[Type of change]], "Edit")),B1774)</f>
        <v>2</v>
      </c>
      <c r="C1775" s="20">
        <v>44767</v>
      </c>
      <c r="D1775" s="2" t="s">
        <v>2380</v>
      </c>
      <c r="E1775" t="s">
        <v>15</v>
      </c>
      <c r="F1775" s="14" t="s">
        <v>9</v>
      </c>
      <c r="G1775" t="s">
        <v>852</v>
      </c>
      <c r="H1775" t="s">
        <v>831</v>
      </c>
      <c r="I1775" t="s">
        <v>881</v>
      </c>
      <c r="K1775" s="3" t="s">
        <v>6</v>
      </c>
      <c r="L1775" t="s">
        <v>2381</v>
      </c>
      <c r="M1775" s="3"/>
    </row>
    <row r="1776" spans="1:13">
      <c r="A1776" t="s">
        <v>28</v>
      </c>
      <c r="B1776">
        <f ca="1">IF(OR(changes[[#This Row],[Type]]="Checklist",changes[[#This Row],[Type]]="checklist-flat"),1+IF(changes[[#This Row],[Type of change]] = "Edit",COUNTIFS($I$4:changes[[#This Row],[Name]],changes[[#This Row],[Name]], $E$4:changes[[#This Row],[Type of change]], "Edit")),B1775)</f>
        <v>2</v>
      </c>
      <c r="C1776" s="20">
        <v>44767</v>
      </c>
      <c r="D1776" s="2" t="s">
        <v>2380</v>
      </c>
      <c r="E1776" t="s">
        <v>15</v>
      </c>
      <c r="F1776" s="14" t="s">
        <v>9</v>
      </c>
      <c r="G1776" t="s">
        <v>852</v>
      </c>
      <c r="H1776" t="s">
        <v>831</v>
      </c>
      <c r="I1776" t="s">
        <v>882</v>
      </c>
      <c r="K1776" s="3" t="s">
        <v>6</v>
      </c>
      <c r="L1776" t="s">
        <v>2381</v>
      </c>
      <c r="M1776" s="3"/>
    </row>
    <row r="1777" spans="1:13">
      <c r="A1777" t="s">
        <v>28</v>
      </c>
      <c r="B1777">
        <f ca="1">IF(OR(changes[[#This Row],[Type]]="Checklist",changes[[#This Row],[Type]]="checklist-flat"),1+IF(changes[[#This Row],[Type of change]] = "Edit",COUNTIFS($I$4:changes[[#This Row],[Name]],changes[[#This Row],[Name]], $E$4:changes[[#This Row],[Type of change]], "Edit")),B1776)</f>
        <v>2</v>
      </c>
      <c r="C1777" s="20">
        <v>44767</v>
      </c>
      <c r="D1777" s="2" t="s">
        <v>2380</v>
      </c>
      <c r="E1777" t="s">
        <v>15</v>
      </c>
      <c r="F1777" s="14" t="s">
        <v>9</v>
      </c>
      <c r="G1777" t="s">
        <v>852</v>
      </c>
      <c r="H1777" t="s">
        <v>58</v>
      </c>
      <c r="I1777" t="s">
        <v>883</v>
      </c>
      <c r="K1777" s="3" t="s">
        <v>6</v>
      </c>
      <c r="L1777" t="s">
        <v>2381</v>
      </c>
      <c r="M1777" s="3"/>
    </row>
    <row r="1778" spans="1:13">
      <c r="A1778" t="s">
        <v>28</v>
      </c>
      <c r="B1778">
        <f ca="1">IF(OR(changes[[#This Row],[Type]]="Checklist",changes[[#This Row],[Type]]="checklist-flat"),1+IF(changes[[#This Row],[Type of change]] = "Edit",COUNTIFS($I$4:changes[[#This Row],[Name]],changes[[#This Row],[Name]], $E$4:changes[[#This Row],[Type of change]], "Edit")),B1777)</f>
        <v>3</v>
      </c>
      <c r="C1778" s="20">
        <v>44767</v>
      </c>
      <c r="D1778" s="2" t="s">
        <v>2383</v>
      </c>
      <c r="E1778" t="s">
        <v>15</v>
      </c>
      <c r="F1778" s="14" t="s">
        <v>9</v>
      </c>
      <c r="G1778" t="s">
        <v>1207</v>
      </c>
      <c r="H1778" t="s">
        <v>48</v>
      </c>
      <c r="I1778" t="s">
        <v>1207</v>
      </c>
      <c r="K1778" s="3" t="s">
        <v>6</v>
      </c>
      <c r="M1778" s="3"/>
    </row>
    <row r="1779" spans="1:13">
      <c r="A1779" t="s">
        <v>28</v>
      </c>
      <c r="B1779">
        <f ca="1">IF(OR(changes[[#This Row],[Type]]="Checklist",changes[[#This Row],[Type]]="checklist-flat"),1+IF(changes[[#This Row],[Type of change]] = "Edit",COUNTIFS($I$4:changes[[#This Row],[Name]],changes[[#This Row],[Name]], $E$4:changes[[#This Row],[Type of change]], "Edit")),B1778)</f>
        <v>3</v>
      </c>
      <c r="C1779" s="20">
        <v>44767</v>
      </c>
      <c r="D1779" s="2" t="s">
        <v>2383</v>
      </c>
      <c r="E1779" t="s">
        <v>15</v>
      </c>
      <c r="F1779" s="14" t="s">
        <v>9</v>
      </c>
      <c r="G1779" t="s">
        <v>1207</v>
      </c>
      <c r="H1779" t="s">
        <v>49</v>
      </c>
      <c r="I1779" t="s">
        <v>1208</v>
      </c>
      <c r="K1779" s="3" t="s">
        <v>6</v>
      </c>
      <c r="M1779" s="3"/>
    </row>
    <row r="1780" spans="1:13">
      <c r="A1780" t="s">
        <v>28</v>
      </c>
      <c r="B1780">
        <f ca="1">IF(OR(changes[[#This Row],[Type]]="Checklist",changes[[#This Row],[Type]]="checklist-flat"),1+IF(changes[[#This Row],[Type of change]] = "Edit",COUNTIFS($I$4:changes[[#This Row],[Name]],changes[[#This Row],[Name]], $E$4:changes[[#This Row],[Type of change]], "Edit")),B1779)</f>
        <v>3</v>
      </c>
      <c r="C1780" s="20">
        <v>44767</v>
      </c>
      <c r="D1780" s="2" t="s">
        <v>2383</v>
      </c>
      <c r="E1780" t="s">
        <v>15</v>
      </c>
      <c r="F1780" s="14" t="s">
        <v>9</v>
      </c>
      <c r="G1780" t="s">
        <v>1207</v>
      </c>
      <c r="H1780" t="s">
        <v>66</v>
      </c>
      <c r="I1780" t="s">
        <v>1209</v>
      </c>
      <c r="K1780" s="3" t="s">
        <v>6</v>
      </c>
      <c r="M1780" s="3"/>
    </row>
    <row r="1781" spans="1:13">
      <c r="A1781" t="s">
        <v>28</v>
      </c>
      <c r="B1781">
        <f ca="1">IF(OR(changes[[#This Row],[Type]]="Checklist",changes[[#This Row],[Type]]="checklist-flat"),1+IF(changes[[#This Row],[Type of change]] = "Edit",COUNTIFS($I$4:changes[[#This Row],[Name]],changes[[#This Row],[Name]], $E$4:changes[[#This Row],[Type of change]], "Edit")),B1780)</f>
        <v>3</v>
      </c>
      <c r="C1781" s="20">
        <v>44767</v>
      </c>
      <c r="D1781" s="2" t="s">
        <v>2383</v>
      </c>
      <c r="E1781" t="s">
        <v>15</v>
      </c>
      <c r="F1781" s="14" t="s">
        <v>9</v>
      </c>
      <c r="G1781" t="s">
        <v>1207</v>
      </c>
      <c r="H1781" t="s">
        <v>901</v>
      </c>
      <c r="I1781" t="s">
        <v>1210</v>
      </c>
      <c r="K1781" s="3" t="s">
        <v>6</v>
      </c>
      <c r="M1781" s="3"/>
    </row>
    <row r="1782" spans="1:13">
      <c r="A1782" t="s">
        <v>28</v>
      </c>
      <c r="B1782">
        <f ca="1">IF(OR(changes[[#This Row],[Type]]="Checklist",changes[[#This Row],[Type]]="checklist-flat"),1+IF(changes[[#This Row],[Type of change]] = "Edit",COUNTIFS($I$4:changes[[#This Row],[Name]],changes[[#This Row],[Name]], $E$4:changes[[#This Row],[Type of change]], "Edit")),B1781)</f>
        <v>3</v>
      </c>
      <c r="C1782" s="20">
        <v>44767</v>
      </c>
      <c r="D1782" s="2" t="s">
        <v>2383</v>
      </c>
      <c r="E1782" t="s">
        <v>15</v>
      </c>
      <c r="F1782" s="14" t="s">
        <v>9</v>
      </c>
      <c r="G1782" t="s">
        <v>1207</v>
      </c>
      <c r="H1782" t="s">
        <v>58</v>
      </c>
      <c r="I1782" t="s">
        <v>209</v>
      </c>
      <c r="K1782" s="3" t="s">
        <v>6</v>
      </c>
      <c r="M1782" s="3"/>
    </row>
    <row r="1783" spans="1:13">
      <c r="A1783" t="s">
        <v>28</v>
      </c>
      <c r="B1783">
        <f ca="1">IF(OR(changes[[#This Row],[Type]]="Checklist",changes[[#This Row],[Type]]="checklist-flat"),1+IF(changes[[#This Row],[Type of change]] = "Edit",COUNTIFS($I$4:changes[[#This Row],[Name]],changes[[#This Row],[Name]], $E$4:changes[[#This Row],[Type of change]], "Edit")),B1782)</f>
        <v>1</v>
      </c>
      <c r="C1783" s="20">
        <v>44777</v>
      </c>
      <c r="D1783" s="2" t="s">
        <v>2360</v>
      </c>
      <c r="E1783" t="s">
        <v>27</v>
      </c>
      <c r="F1783" s="14" t="s">
        <v>1998</v>
      </c>
      <c r="G1783" t="s">
        <v>1666</v>
      </c>
      <c r="H1783" t="s">
        <v>48</v>
      </c>
      <c r="I1783" t="s">
        <v>1666</v>
      </c>
      <c r="K1783" s="3" t="s">
        <v>6</v>
      </c>
      <c r="M1783" s="3"/>
    </row>
    <row r="1784" spans="1:13">
      <c r="A1784" t="s">
        <v>28</v>
      </c>
      <c r="B1784">
        <f ca="1">IF(OR(changes[[#This Row],[Type]]="Checklist",changes[[#This Row],[Type]]="checklist-flat"),1+IF(changes[[#This Row],[Type of change]] = "Edit",COUNTIFS($I$4:changes[[#This Row],[Name]],changes[[#This Row],[Name]], $E$4:changes[[#This Row],[Type of change]], "Edit")),B1783)</f>
        <v>1</v>
      </c>
      <c r="C1784" s="20">
        <v>44777</v>
      </c>
      <c r="D1784" s="2" t="s">
        <v>2360</v>
      </c>
      <c r="E1784" t="s">
        <v>27</v>
      </c>
      <c r="F1784" s="14" t="s">
        <v>1998</v>
      </c>
      <c r="G1784" t="s">
        <v>1315</v>
      </c>
      <c r="H1784" t="s">
        <v>49</v>
      </c>
      <c r="I1784" t="s">
        <v>1263</v>
      </c>
      <c r="K1784" s="3" t="s">
        <v>6</v>
      </c>
      <c r="M1784" s="3"/>
    </row>
    <row r="1785" spans="1:13">
      <c r="A1785" t="s">
        <v>28</v>
      </c>
      <c r="B1785">
        <f ca="1">IF(OR(changes[[#This Row],[Type]]="Checklist",changes[[#This Row],[Type]]="checklist-flat"),1+IF(changes[[#This Row],[Type of change]] = "Edit",COUNTIFS($I$4:changes[[#This Row],[Name]],changes[[#This Row],[Name]], $E$4:changes[[#This Row],[Type of change]], "Edit")),B1784)</f>
        <v>1</v>
      </c>
      <c r="C1785" s="20">
        <v>44777</v>
      </c>
      <c r="D1785" s="2" t="s">
        <v>2360</v>
      </c>
      <c r="E1785" t="s">
        <v>27</v>
      </c>
      <c r="F1785" s="14" t="s">
        <v>1998</v>
      </c>
      <c r="G1785" t="s">
        <v>1315</v>
      </c>
      <c r="H1785" t="s">
        <v>49</v>
      </c>
      <c r="I1785" t="s">
        <v>1264</v>
      </c>
      <c r="K1785" s="3" t="s">
        <v>6</v>
      </c>
      <c r="M1785" s="3"/>
    </row>
    <row r="1786" spans="1:13">
      <c r="A1786" t="s">
        <v>28</v>
      </c>
      <c r="B1786">
        <f ca="1">IF(OR(changes[[#This Row],[Type]]="Checklist",changes[[#This Row],[Type]]="checklist-flat"),1+IF(changes[[#This Row],[Type of change]] = "Edit",COUNTIFS($I$4:changes[[#This Row],[Name]],changes[[#This Row],[Name]], $E$4:changes[[#This Row],[Type of change]], "Edit")),B1785)</f>
        <v>1</v>
      </c>
      <c r="C1786" s="20">
        <v>44777</v>
      </c>
      <c r="D1786" s="2" t="s">
        <v>2360</v>
      </c>
      <c r="E1786" t="s">
        <v>27</v>
      </c>
      <c r="F1786" s="14" t="s">
        <v>1998</v>
      </c>
      <c r="G1786" t="s">
        <v>1315</v>
      </c>
      <c r="H1786" t="s">
        <v>58</v>
      </c>
      <c r="I1786" t="s">
        <v>306</v>
      </c>
      <c r="K1786" s="3" t="s">
        <v>6</v>
      </c>
      <c r="M1786" s="3"/>
    </row>
    <row r="1787" spans="1:13">
      <c r="A1787" t="s">
        <v>28</v>
      </c>
      <c r="B1787">
        <f ca="1">IF(OR(changes[[#This Row],[Type]]="Checklist",changes[[#This Row],[Type]]="checklist-flat"),1+IF(changes[[#This Row],[Type of change]] = "Edit",COUNTIFS($I$4:changes[[#This Row],[Name]],changes[[#This Row],[Name]], $E$4:changes[[#This Row],[Type of change]], "Edit")),B1786)</f>
        <v>1</v>
      </c>
      <c r="C1787" s="20">
        <v>44777</v>
      </c>
      <c r="D1787" s="2" t="s">
        <v>2360</v>
      </c>
      <c r="E1787" t="s">
        <v>27</v>
      </c>
      <c r="F1787" s="14" t="s">
        <v>1998</v>
      </c>
      <c r="G1787" t="s">
        <v>1315</v>
      </c>
      <c r="H1787" t="s">
        <v>49</v>
      </c>
      <c r="I1787" t="s">
        <v>1667</v>
      </c>
      <c r="K1787" s="3" t="s">
        <v>6</v>
      </c>
      <c r="M1787" s="3"/>
    </row>
    <row r="1788" spans="1:13">
      <c r="A1788" t="s">
        <v>28</v>
      </c>
      <c r="B1788">
        <f ca="1">IF(OR(changes[[#This Row],[Type]]="Checklist",changes[[#This Row],[Type]]="checklist-flat"),1+IF(changes[[#This Row],[Type of change]] = "Edit",COUNTIFS($I$4:changes[[#This Row],[Name]],changes[[#This Row],[Name]], $E$4:changes[[#This Row],[Type of change]], "Edit")),B1787)</f>
        <v>1</v>
      </c>
      <c r="C1788" s="20">
        <v>44784</v>
      </c>
      <c r="D1788" s="2" t="s">
        <v>2380</v>
      </c>
      <c r="E1788" t="s">
        <v>10</v>
      </c>
      <c r="F1788" s="14" t="s">
        <v>1998</v>
      </c>
      <c r="G1788" t="s">
        <v>2384</v>
      </c>
      <c r="H1788" t="s">
        <v>48</v>
      </c>
      <c r="I1788" t="s">
        <v>2384</v>
      </c>
      <c r="K1788" s="3" t="s">
        <v>6</v>
      </c>
      <c r="M1788" s="3"/>
    </row>
    <row r="1789" spans="1:13">
      <c r="A1789" t="s">
        <v>28</v>
      </c>
      <c r="B1789">
        <f ca="1">IF(OR(changes[[#This Row],[Type]]="Checklist",changes[[#This Row],[Type]]="checklist-flat"),1+IF(changes[[#This Row],[Type of change]] = "Edit",COUNTIFS($I$4:changes[[#This Row],[Name]],changes[[#This Row],[Name]], $E$4:changes[[#This Row],[Type of change]], "Edit")),B1788)</f>
        <v>1</v>
      </c>
      <c r="C1789" s="20">
        <v>44784</v>
      </c>
      <c r="D1789" s="2" t="s">
        <v>2380</v>
      </c>
      <c r="E1789" t="s">
        <v>10</v>
      </c>
      <c r="F1789" s="14" t="s">
        <v>1998</v>
      </c>
      <c r="G1789" t="s">
        <v>2384</v>
      </c>
      <c r="H1789" t="s">
        <v>120</v>
      </c>
      <c r="I1789" t="s">
        <v>2385</v>
      </c>
      <c r="K1789" s="3" t="s">
        <v>6</v>
      </c>
      <c r="M1789" s="3"/>
    </row>
    <row r="1790" spans="1:13">
      <c r="A1790" t="s">
        <v>28</v>
      </c>
      <c r="B1790">
        <f ca="1">IF(OR(changes[[#This Row],[Type]]="Checklist",changes[[#This Row],[Type]]="checklist-flat"),1+IF(changes[[#This Row],[Type of change]] = "Edit",COUNTIFS($I$4:changes[[#This Row],[Name]],changes[[#This Row],[Name]], $E$4:changes[[#This Row],[Type of change]], "Edit")),B1789)</f>
        <v>1</v>
      </c>
      <c r="C1790" s="20">
        <v>44784</v>
      </c>
      <c r="D1790" s="2" t="s">
        <v>2380</v>
      </c>
      <c r="E1790" t="s">
        <v>10</v>
      </c>
      <c r="F1790" s="14" t="s">
        <v>1998</v>
      </c>
      <c r="G1790" t="s">
        <v>2384</v>
      </c>
      <c r="H1790" t="s">
        <v>49</v>
      </c>
      <c r="I1790" t="s">
        <v>2386</v>
      </c>
      <c r="K1790" s="3" t="s">
        <v>6</v>
      </c>
      <c r="M1790" s="3"/>
    </row>
    <row r="1791" spans="1:13">
      <c r="A1791" t="s">
        <v>28</v>
      </c>
      <c r="B1791">
        <f ca="1">IF(OR(changes[[#This Row],[Type]]="Checklist",changes[[#This Row],[Type]]="checklist-flat"),1+IF(changes[[#This Row],[Type of change]] = "Edit",COUNTIFS($I$4:changes[[#This Row],[Name]],changes[[#This Row],[Name]], $E$4:changes[[#This Row],[Type of change]], "Edit")),B1790)</f>
        <v>1</v>
      </c>
      <c r="C1791" s="20">
        <v>44784</v>
      </c>
      <c r="D1791" s="2" t="s">
        <v>2380</v>
      </c>
      <c r="E1791" t="s">
        <v>10</v>
      </c>
      <c r="F1791" s="14" t="s">
        <v>1998</v>
      </c>
      <c r="G1791" t="s">
        <v>2384</v>
      </c>
      <c r="H1791" t="s">
        <v>49</v>
      </c>
      <c r="I1791" t="s">
        <v>2387</v>
      </c>
      <c r="K1791" s="3" t="s">
        <v>6</v>
      </c>
      <c r="M1791" s="3"/>
    </row>
    <row r="1792" spans="1:13">
      <c r="A1792" t="s">
        <v>28</v>
      </c>
      <c r="B1792">
        <f ca="1">IF(OR(changes[[#This Row],[Type]]="Checklist",changes[[#This Row],[Type]]="checklist-flat"),1+IF(changes[[#This Row],[Type of change]] = "Edit",COUNTIFS($I$4:changes[[#This Row],[Name]],changes[[#This Row],[Name]], $E$4:changes[[#This Row],[Type of change]], "Edit")),B1791)</f>
        <v>1</v>
      </c>
      <c r="C1792" s="20">
        <v>44784</v>
      </c>
      <c r="D1792" s="2" t="s">
        <v>2380</v>
      </c>
      <c r="E1792" t="s">
        <v>10</v>
      </c>
      <c r="F1792" s="14" t="s">
        <v>1998</v>
      </c>
      <c r="G1792" t="s">
        <v>2384</v>
      </c>
      <c r="H1792" t="s">
        <v>49</v>
      </c>
      <c r="I1792" t="s">
        <v>2388</v>
      </c>
      <c r="K1792" s="3" t="s">
        <v>6</v>
      </c>
      <c r="M1792" s="3"/>
    </row>
    <row r="1793" spans="1:13">
      <c r="A1793" t="s">
        <v>28</v>
      </c>
      <c r="B1793">
        <f ca="1">IF(OR(changes[[#This Row],[Type]]="Checklist",changes[[#This Row],[Type]]="checklist-flat"),1+IF(changes[[#This Row],[Type of change]] = "Edit",COUNTIFS($I$4:changes[[#This Row],[Name]],changes[[#This Row],[Name]], $E$4:changes[[#This Row],[Type of change]], "Edit")),B1792)</f>
        <v>1</v>
      </c>
      <c r="C1793" s="20">
        <v>44784</v>
      </c>
      <c r="D1793" s="2" t="s">
        <v>2380</v>
      </c>
      <c r="E1793" t="s">
        <v>10</v>
      </c>
      <c r="F1793" s="14" t="s">
        <v>1998</v>
      </c>
      <c r="G1793" t="s">
        <v>2384</v>
      </c>
      <c r="H1793" t="s">
        <v>49</v>
      </c>
      <c r="I1793" t="s">
        <v>2389</v>
      </c>
      <c r="K1793" s="3" t="s">
        <v>6</v>
      </c>
      <c r="M1793" s="3"/>
    </row>
    <row r="1794" spans="1:13">
      <c r="A1794" t="s">
        <v>28</v>
      </c>
      <c r="B1794">
        <f ca="1">IF(OR(changes[[#This Row],[Type]]="Checklist",changes[[#This Row],[Type]]="checklist-flat"),1+IF(changes[[#This Row],[Type of change]] = "Edit",COUNTIFS($I$4:changes[[#This Row],[Name]],changes[[#This Row],[Name]], $E$4:changes[[#This Row],[Type of change]], "Edit")),B1793)</f>
        <v>1</v>
      </c>
      <c r="C1794" s="20">
        <v>44784</v>
      </c>
      <c r="D1794" s="2" t="s">
        <v>2380</v>
      </c>
      <c r="E1794" t="s">
        <v>10</v>
      </c>
      <c r="F1794" s="14" t="s">
        <v>1998</v>
      </c>
      <c r="G1794" t="s">
        <v>2384</v>
      </c>
      <c r="H1794" t="s">
        <v>49</v>
      </c>
      <c r="I1794" t="s">
        <v>2390</v>
      </c>
      <c r="K1794" s="3" t="s">
        <v>6</v>
      </c>
      <c r="M1794" s="3"/>
    </row>
    <row r="1795" spans="1:13">
      <c r="A1795" t="s">
        <v>28</v>
      </c>
      <c r="B1795">
        <f ca="1">IF(OR(changes[[#This Row],[Type]]="Checklist",changes[[#This Row],[Type]]="checklist-flat"),1+IF(changes[[#This Row],[Type of change]] = "Edit",COUNTIFS($I$4:changes[[#This Row],[Name]],changes[[#This Row],[Name]], $E$4:changes[[#This Row],[Type of change]], "Edit")),B1794)</f>
        <v>1</v>
      </c>
      <c r="C1795" s="20">
        <v>44784</v>
      </c>
      <c r="D1795" s="2" t="s">
        <v>2380</v>
      </c>
      <c r="E1795" t="s">
        <v>10</v>
      </c>
      <c r="F1795" s="14" t="s">
        <v>1998</v>
      </c>
      <c r="G1795" t="s">
        <v>2384</v>
      </c>
      <c r="H1795" t="s">
        <v>49</v>
      </c>
      <c r="I1795" t="s">
        <v>2391</v>
      </c>
      <c r="K1795" s="3" t="s">
        <v>6</v>
      </c>
      <c r="M1795" s="3"/>
    </row>
    <row r="1796" spans="1:13">
      <c r="A1796" t="s">
        <v>28</v>
      </c>
      <c r="B1796">
        <f ca="1">IF(OR(changes[[#This Row],[Type]]="Checklist",changes[[#This Row],[Type]]="checklist-flat"),1+IF(changes[[#This Row],[Type of change]] = "Edit",COUNTIFS($I$4:changes[[#This Row],[Name]],changes[[#This Row],[Name]], $E$4:changes[[#This Row],[Type of change]], "Edit")),B1795)</f>
        <v>1</v>
      </c>
      <c r="C1796" s="20">
        <v>44784</v>
      </c>
      <c r="D1796" s="2" t="s">
        <v>2380</v>
      </c>
      <c r="E1796" t="s">
        <v>10</v>
      </c>
      <c r="F1796" s="14" t="s">
        <v>1998</v>
      </c>
      <c r="G1796" t="s">
        <v>2384</v>
      </c>
      <c r="H1796" t="s">
        <v>49</v>
      </c>
      <c r="I1796" t="s">
        <v>2392</v>
      </c>
      <c r="K1796" s="3" t="s">
        <v>6</v>
      </c>
      <c r="M1796" s="3"/>
    </row>
    <row r="1797" spans="1:13">
      <c r="A1797" t="s">
        <v>28</v>
      </c>
      <c r="B1797">
        <f ca="1">IF(OR(changes[[#This Row],[Type]]="Checklist",changes[[#This Row],[Type]]="checklist-flat"),1+IF(changes[[#This Row],[Type of change]] = "Edit",COUNTIFS($I$4:changes[[#This Row],[Name]],changes[[#This Row],[Name]], $E$4:changes[[#This Row],[Type of change]], "Edit")),B1796)</f>
        <v>1</v>
      </c>
      <c r="C1797" s="20">
        <v>44784</v>
      </c>
      <c r="D1797" s="2" t="s">
        <v>2380</v>
      </c>
      <c r="E1797" t="s">
        <v>10</v>
      </c>
      <c r="F1797" s="14" t="s">
        <v>1998</v>
      </c>
      <c r="G1797" t="s">
        <v>2384</v>
      </c>
      <c r="H1797" t="s">
        <v>49</v>
      </c>
      <c r="I1797" t="s">
        <v>2393</v>
      </c>
      <c r="K1797" s="3" t="s">
        <v>6</v>
      </c>
      <c r="M1797" s="3"/>
    </row>
    <row r="1798" spans="1:13">
      <c r="A1798" t="s">
        <v>28</v>
      </c>
      <c r="B1798">
        <f ca="1">IF(OR(changes[[#This Row],[Type]]="Checklist",changes[[#This Row],[Type]]="checklist-flat"),1+IF(changes[[#This Row],[Type of change]] = "Edit",COUNTIFS($I$4:changes[[#This Row],[Name]],changes[[#This Row],[Name]], $E$4:changes[[#This Row],[Type of change]], "Edit")),B1797)</f>
        <v>1</v>
      </c>
      <c r="C1798" s="20">
        <v>44784</v>
      </c>
      <c r="D1798" s="2" t="s">
        <v>2380</v>
      </c>
      <c r="E1798" t="s">
        <v>10</v>
      </c>
      <c r="F1798" s="14" t="s">
        <v>1998</v>
      </c>
      <c r="G1798" t="s">
        <v>2384</v>
      </c>
      <c r="H1798" t="s">
        <v>49</v>
      </c>
      <c r="I1798" t="s">
        <v>2394</v>
      </c>
      <c r="K1798" s="3" t="s">
        <v>6</v>
      </c>
      <c r="M1798" s="3"/>
    </row>
    <row r="1799" spans="1:13">
      <c r="A1799" t="s">
        <v>28</v>
      </c>
      <c r="B1799">
        <f ca="1">IF(OR(changes[[#This Row],[Type]]="Checklist",changes[[#This Row],[Type]]="checklist-flat"),1+IF(changes[[#This Row],[Type of change]] = "Edit",COUNTIFS($I$4:changes[[#This Row],[Name]],changes[[#This Row],[Name]], $E$4:changes[[#This Row],[Type of change]], "Edit")),B1798)</f>
        <v>1</v>
      </c>
      <c r="C1799" s="20">
        <v>44784</v>
      </c>
      <c r="D1799" s="2" t="s">
        <v>2380</v>
      </c>
      <c r="E1799" t="s">
        <v>10</v>
      </c>
      <c r="F1799" s="14" t="s">
        <v>1998</v>
      </c>
      <c r="G1799" t="s">
        <v>2384</v>
      </c>
      <c r="H1799" t="s">
        <v>49</v>
      </c>
      <c r="I1799" t="s">
        <v>2395</v>
      </c>
      <c r="K1799" s="3" t="s">
        <v>6</v>
      </c>
      <c r="M1799" s="3"/>
    </row>
    <row r="1800" spans="1:13">
      <c r="A1800" t="s">
        <v>28</v>
      </c>
      <c r="B1800">
        <f ca="1">IF(OR(changes[[#This Row],[Type]]="Checklist",changes[[#This Row],[Type]]="checklist-flat"),1+IF(changes[[#This Row],[Type of change]] = "Edit",COUNTIFS($I$4:changes[[#This Row],[Name]],changes[[#This Row],[Name]], $E$4:changes[[#This Row],[Type of change]], "Edit")),B1799)</f>
        <v>1</v>
      </c>
      <c r="C1800" s="20">
        <v>44784</v>
      </c>
      <c r="D1800" s="2" t="s">
        <v>2380</v>
      </c>
      <c r="E1800" t="s">
        <v>10</v>
      </c>
      <c r="F1800" s="14" t="s">
        <v>1998</v>
      </c>
      <c r="G1800" t="s">
        <v>2384</v>
      </c>
      <c r="H1800" t="s">
        <v>120</v>
      </c>
      <c r="I1800" t="s">
        <v>2396</v>
      </c>
      <c r="K1800" s="3" t="s">
        <v>6</v>
      </c>
      <c r="M1800" s="3"/>
    </row>
    <row r="1801" spans="1:13">
      <c r="A1801" t="s">
        <v>28</v>
      </c>
      <c r="B1801">
        <f ca="1">IF(OR(changes[[#This Row],[Type]]="Checklist",changes[[#This Row],[Type]]="checklist-flat"),1+IF(changes[[#This Row],[Type of change]] = "Edit",COUNTIFS($I$4:changes[[#This Row],[Name]],changes[[#This Row],[Name]], $E$4:changes[[#This Row],[Type of change]], "Edit")),B1800)</f>
        <v>1</v>
      </c>
      <c r="C1801" s="20">
        <v>44784</v>
      </c>
      <c r="D1801" s="2" t="s">
        <v>2380</v>
      </c>
      <c r="E1801" t="s">
        <v>10</v>
      </c>
      <c r="F1801" s="14" t="s">
        <v>1998</v>
      </c>
      <c r="G1801" t="s">
        <v>2384</v>
      </c>
      <c r="H1801" t="s">
        <v>49</v>
      </c>
      <c r="I1801" t="s">
        <v>2397</v>
      </c>
      <c r="K1801" s="3" t="s">
        <v>6</v>
      </c>
      <c r="M1801" s="3"/>
    </row>
    <row r="1802" spans="1:13">
      <c r="A1802" t="s">
        <v>28</v>
      </c>
      <c r="B1802">
        <f ca="1">IF(OR(changes[[#This Row],[Type]]="Checklist",changes[[#This Row],[Type]]="checklist-flat"),1+IF(changes[[#This Row],[Type of change]] = "Edit",COUNTIFS($I$4:changes[[#This Row],[Name]],changes[[#This Row],[Name]], $E$4:changes[[#This Row],[Type of change]], "Edit")),B1801)</f>
        <v>1</v>
      </c>
      <c r="C1802" s="20">
        <v>44784</v>
      </c>
      <c r="D1802" s="2" t="s">
        <v>2380</v>
      </c>
      <c r="E1802" t="s">
        <v>10</v>
      </c>
      <c r="F1802" s="14" t="s">
        <v>1998</v>
      </c>
      <c r="G1802" t="s">
        <v>2384</v>
      </c>
      <c r="H1802" t="s">
        <v>49</v>
      </c>
      <c r="I1802" t="s">
        <v>2398</v>
      </c>
      <c r="K1802" s="3" t="s">
        <v>6</v>
      </c>
      <c r="M1802" s="3"/>
    </row>
    <row r="1803" spans="1:13">
      <c r="A1803" t="s">
        <v>28</v>
      </c>
      <c r="B1803">
        <f ca="1">IF(OR(changes[[#This Row],[Type]]="Checklist",changes[[#This Row],[Type]]="checklist-flat"),1+IF(changes[[#This Row],[Type of change]] = "Edit",COUNTIFS($I$4:changes[[#This Row],[Name]],changes[[#This Row],[Name]], $E$4:changes[[#This Row],[Type of change]], "Edit")),B1802)</f>
        <v>1</v>
      </c>
      <c r="C1803" s="20">
        <v>44784</v>
      </c>
      <c r="D1803" s="2" t="s">
        <v>2380</v>
      </c>
      <c r="E1803" t="s">
        <v>10</v>
      </c>
      <c r="F1803" s="14" t="s">
        <v>1998</v>
      </c>
      <c r="G1803" t="s">
        <v>2384</v>
      </c>
      <c r="H1803" t="s">
        <v>49</v>
      </c>
      <c r="I1803" t="s">
        <v>2399</v>
      </c>
      <c r="K1803" s="3" t="s">
        <v>6</v>
      </c>
      <c r="M1803" s="3"/>
    </row>
    <row r="1804" spans="1:13">
      <c r="A1804" t="s">
        <v>28</v>
      </c>
      <c r="B1804">
        <f ca="1">IF(OR(changes[[#This Row],[Type]]="Checklist",changes[[#This Row],[Type]]="checklist-flat"),1+IF(changes[[#This Row],[Type of change]] = "Edit",COUNTIFS($I$4:changes[[#This Row],[Name]],changes[[#This Row],[Name]], $E$4:changes[[#This Row],[Type of change]], "Edit")),B1803)</f>
        <v>1</v>
      </c>
      <c r="C1804" s="20">
        <v>44784</v>
      </c>
      <c r="D1804" s="2" t="s">
        <v>2380</v>
      </c>
      <c r="E1804" t="s">
        <v>10</v>
      </c>
      <c r="F1804" s="14" t="s">
        <v>1998</v>
      </c>
      <c r="G1804" t="s">
        <v>2384</v>
      </c>
      <c r="H1804" t="s">
        <v>49</v>
      </c>
      <c r="I1804" t="s">
        <v>2400</v>
      </c>
      <c r="K1804" s="3" t="s">
        <v>6</v>
      </c>
      <c r="M1804" s="3"/>
    </row>
    <row r="1805" spans="1:13">
      <c r="A1805" t="s">
        <v>28</v>
      </c>
      <c r="B1805">
        <f ca="1">IF(OR(changes[[#This Row],[Type]]="Checklist",changes[[#This Row],[Type]]="checklist-flat"),1+IF(changes[[#This Row],[Type of change]] = "Edit",COUNTIFS($I$4:changes[[#This Row],[Name]],changes[[#This Row],[Name]], $E$4:changes[[#This Row],[Type of change]], "Edit")),B1804)</f>
        <v>1</v>
      </c>
      <c r="C1805" s="20">
        <v>44784</v>
      </c>
      <c r="D1805" s="2" t="s">
        <v>2380</v>
      </c>
      <c r="E1805" t="s">
        <v>10</v>
      </c>
      <c r="F1805" s="14" t="s">
        <v>1998</v>
      </c>
      <c r="G1805" t="s">
        <v>2384</v>
      </c>
      <c r="H1805" t="s">
        <v>120</v>
      </c>
      <c r="I1805" t="s">
        <v>2401</v>
      </c>
      <c r="K1805" s="3" t="s">
        <v>6</v>
      </c>
      <c r="M1805" s="3"/>
    </row>
    <row r="1806" spans="1:13">
      <c r="A1806" t="s">
        <v>28</v>
      </c>
      <c r="B1806">
        <f ca="1">IF(OR(changes[[#This Row],[Type]]="Checklist",changes[[#This Row],[Type]]="checklist-flat"),1+IF(changes[[#This Row],[Type of change]] = "Edit",COUNTIFS($I$4:changes[[#This Row],[Name]],changes[[#This Row],[Name]], $E$4:changes[[#This Row],[Type of change]], "Edit")),B1805)</f>
        <v>1</v>
      </c>
      <c r="C1806" s="20">
        <v>44784</v>
      </c>
      <c r="D1806" s="2" t="s">
        <v>2380</v>
      </c>
      <c r="E1806" t="s">
        <v>10</v>
      </c>
      <c r="F1806" s="14" t="s">
        <v>1998</v>
      </c>
      <c r="G1806" t="s">
        <v>2384</v>
      </c>
      <c r="H1806" t="s">
        <v>49</v>
      </c>
      <c r="I1806" t="s">
        <v>2402</v>
      </c>
      <c r="K1806" s="3" t="s">
        <v>6</v>
      </c>
      <c r="M1806" s="3"/>
    </row>
    <row r="1807" spans="1:13">
      <c r="A1807" t="s">
        <v>28</v>
      </c>
      <c r="B1807">
        <f ca="1">IF(OR(changes[[#This Row],[Type]]="Checklist",changes[[#This Row],[Type]]="checklist-flat"),1+IF(changes[[#This Row],[Type of change]] = "Edit",COUNTIFS($I$4:changes[[#This Row],[Name]],changes[[#This Row],[Name]], $E$4:changes[[#This Row],[Type of change]], "Edit")),B1806)</f>
        <v>1</v>
      </c>
      <c r="C1807" s="20">
        <v>44784</v>
      </c>
      <c r="D1807" s="2" t="s">
        <v>2380</v>
      </c>
      <c r="E1807" t="s">
        <v>10</v>
      </c>
      <c r="F1807" s="14" t="s">
        <v>1998</v>
      </c>
      <c r="G1807" t="s">
        <v>2384</v>
      </c>
      <c r="H1807" t="s">
        <v>49</v>
      </c>
      <c r="I1807" t="s">
        <v>2403</v>
      </c>
      <c r="K1807" s="3" t="s">
        <v>6</v>
      </c>
      <c r="M1807" s="3"/>
    </row>
    <row r="1808" spans="1:13">
      <c r="A1808" t="s">
        <v>28</v>
      </c>
      <c r="B1808">
        <f ca="1">IF(OR(changes[[#This Row],[Type]]="Checklist",changes[[#This Row],[Type]]="checklist-flat"),1+IF(changes[[#This Row],[Type of change]] = "Edit",COUNTIFS($I$4:changes[[#This Row],[Name]],changes[[#This Row],[Name]], $E$4:changes[[#This Row],[Type of change]], "Edit")),B1807)</f>
        <v>1</v>
      </c>
      <c r="C1808" s="20">
        <v>44784</v>
      </c>
      <c r="D1808" s="2" t="s">
        <v>2380</v>
      </c>
      <c r="E1808" t="s">
        <v>10</v>
      </c>
      <c r="F1808" s="14" t="s">
        <v>1998</v>
      </c>
      <c r="G1808" t="s">
        <v>2384</v>
      </c>
      <c r="H1808" t="s">
        <v>49</v>
      </c>
      <c r="I1808" t="s">
        <v>2404</v>
      </c>
      <c r="K1808" s="3" t="s">
        <v>6</v>
      </c>
      <c r="M1808" s="3"/>
    </row>
    <row r="1809" spans="1:13">
      <c r="A1809" t="s">
        <v>28</v>
      </c>
      <c r="B1809">
        <f ca="1">IF(OR(changes[[#This Row],[Type]]="Checklist",changes[[#This Row],[Type]]="checklist-flat"),1+IF(changes[[#This Row],[Type of change]] = "Edit",COUNTIFS($I$4:changes[[#This Row],[Name]],changes[[#This Row],[Name]], $E$4:changes[[#This Row],[Type of change]], "Edit")),B1808)</f>
        <v>1</v>
      </c>
      <c r="C1809" s="20">
        <v>44784</v>
      </c>
      <c r="D1809" s="2" t="s">
        <v>2380</v>
      </c>
      <c r="E1809" t="s">
        <v>10</v>
      </c>
      <c r="F1809" s="14" t="s">
        <v>1998</v>
      </c>
      <c r="G1809" t="s">
        <v>2384</v>
      </c>
      <c r="H1809" t="s">
        <v>120</v>
      </c>
      <c r="I1809" t="s">
        <v>2405</v>
      </c>
      <c r="K1809" s="3" t="s">
        <v>6</v>
      </c>
      <c r="M1809" s="3"/>
    </row>
    <row r="1810" spans="1:13">
      <c r="A1810" t="s">
        <v>28</v>
      </c>
      <c r="B1810">
        <f ca="1">IF(OR(changes[[#This Row],[Type]]="Checklist",changes[[#This Row],[Type]]="checklist-flat"),1+IF(changes[[#This Row],[Type of change]] = "Edit",COUNTIFS($I$4:changes[[#This Row],[Name]],changes[[#This Row],[Name]], $E$4:changes[[#This Row],[Type of change]], "Edit")),B1809)</f>
        <v>1</v>
      </c>
      <c r="C1810" s="20">
        <v>44784</v>
      </c>
      <c r="D1810" s="2" t="s">
        <v>2380</v>
      </c>
      <c r="E1810" t="s">
        <v>10</v>
      </c>
      <c r="F1810" s="14" t="s">
        <v>1998</v>
      </c>
      <c r="G1810" t="s">
        <v>2384</v>
      </c>
      <c r="H1810" t="s">
        <v>49</v>
      </c>
      <c r="I1810" t="s">
        <v>2406</v>
      </c>
      <c r="K1810" s="3" t="s">
        <v>6</v>
      </c>
      <c r="M1810" s="3"/>
    </row>
    <row r="1811" spans="1:13">
      <c r="A1811" t="s">
        <v>28</v>
      </c>
      <c r="B1811">
        <f ca="1">IF(OR(changes[[#This Row],[Type]]="Checklist",changes[[#This Row],[Type]]="checklist-flat"),1+IF(changes[[#This Row],[Type of change]] = "Edit",COUNTIFS($I$4:changes[[#This Row],[Name]],changes[[#This Row],[Name]], $E$4:changes[[#This Row],[Type of change]], "Edit")),B1810)</f>
        <v>1</v>
      </c>
      <c r="C1811" s="20">
        <v>44784</v>
      </c>
      <c r="D1811" s="2" t="s">
        <v>2380</v>
      </c>
      <c r="E1811" t="s">
        <v>10</v>
      </c>
      <c r="F1811" s="14" t="s">
        <v>1998</v>
      </c>
      <c r="G1811" t="s">
        <v>2384</v>
      </c>
      <c r="H1811" t="s">
        <v>49</v>
      </c>
      <c r="I1811" t="s">
        <v>2407</v>
      </c>
      <c r="K1811" s="3" t="s">
        <v>6</v>
      </c>
      <c r="M1811" s="3"/>
    </row>
    <row r="1812" spans="1:13">
      <c r="A1812" t="s">
        <v>28</v>
      </c>
      <c r="B1812">
        <f ca="1">IF(OR(changes[[#This Row],[Type]]="Checklist",changes[[#This Row],[Type]]="checklist-flat"),1+IF(changes[[#This Row],[Type of change]] = "Edit",COUNTIFS($I$4:changes[[#This Row],[Name]],changes[[#This Row],[Name]], $E$4:changes[[#This Row],[Type of change]], "Edit")),B1811)</f>
        <v>1</v>
      </c>
      <c r="C1812" s="20">
        <v>44784</v>
      </c>
      <c r="D1812" s="2" t="s">
        <v>2380</v>
      </c>
      <c r="E1812" t="s">
        <v>10</v>
      </c>
      <c r="F1812" s="14" t="s">
        <v>1998</v>
      </c>
      <c r="G1812" s="14" t="s">
        <v>2384</v>
      </c>
      <c r="H1812" t="s">
        <v>58</v>
      </c>
      <c r="I1812" t="s">
        <v>306</v>
      </c>
      <c r="K1812" s="3" t="s">
        <v>6</v>
      </c>
      <c r="M1812" s="3"/>
    </row>
    <row r="1813" spans="1:13">
      <c r="A1813" t="s">
        <v>28</v>
      </c>
      <c r="B1813">
        <f ca="1">IF(OR(changes[[#This Row],[Type]]="Checklist",changes[[#This Row],[Type]]="checklist-flat"),1+IF(changes[[#This Row],[Type of change]] = "Edit",COUNTIFS($I$4:changes[[#This Row],[Name]],changes[[#This Row],[Name]], $E$4:changes[[#This Row],[Type of change]], "Edit")),B1812)</f>
        <v>1</v>
      </c>
      <c r="C1813" s="20">
        <v>44785</v>
      </c>
      <c r="D1813" s="2" t="s">
        <v>2009</v>
      </c>
      <c r="E1813" t="s">
        <v>27</v>
      </c>
      <c r="F1813" s="14" t="s">
        <v>2000</v>
      </c>
      <c r="G1813" t="s">
        <v>1719</v>
      </c>
      <c r="H1813" t="s">
        <v>119</v>
      </c>
      <c r="I1813" t="s">
        <v>1719</v>
      </c>
      <c r="K1813" s="3" t="s">
        <v>6</v>
      </c>
      <c r="M1813" s="3"/>
    </row>
    <row r="1814" spans="1:13">
      <c r="A1814" t="s">
        <v>28</v>
      </c>
      <c r="B1814">
        <f ca="1">IF(OR(changes[[#This Row],[Type]]="Checklist",changes[[#This Row],[Type]]="checklist-flat"),1+IF(changes[[#This Row],[Type of change]] = "Edit",COUNTIFS($I$4:changes[[#This Row],[Name]],changes[[#This Row],[Name]], $E$4:changes[[#This Row],[Type of change]], "Edit")),B1813)</f>
        <v>1</v>
      </c>
      <c r="C1814" s="20">
        <v>44785</v>
      </c>
      <c r="D1814" s="2" t="s">
        <v>2009</v>
      </c>
      <c r="E1814" t="s">
        <v>27</v>
      </c>
      <c r="F1814" s="14" t="s">
        <v>2000</v>
      </c>
      <c r="G1814" t="s">
        <v>1719</v>
      </c>
      <c r="H1814" t="s">
        <v>120</v>
      </c>
      <c r="I1814" t="s">
        <v>1720</v>
      </c>
      <c r="K1814" s="3" t="s">
        <v>6</v>
      </c>
      <c r="M1814" s="3"/>
    </row>
    <row r="1815" spans="1:13">
      <c r="A1815" t="s">
        <v>28</v>
      </c>
      <c r="B1815">
        <f ca="1">IF(OR(changes[[#This Row],[Type]]="Checklist",changes[[#This Row],[Type]]="checklist-flat"),1+IF(changes[[#This Row],[Type of change]] = "Edit",COUNTIFS($I$4:changes[[#This Row],[Name]],changes[[#This Row],[Name]], $E$4:changes[[#This Row],[Type of change]], "Edit")),B1814)</f>
        <v>1</v>
      </c>
      <c r="C1815" s="20">
        <v>44785</v>
      </c>
      <c r="D1815" s="2" t="s">
        <v>2009</v>
      </c>
      <c r="E1815" t="s">
        <v>27</v>
      </c>
      <c r="F1815" s="14" t="s">
        <v>2000</v>
      </c>
      <c r="G1815" t="s">
        <v>1719</v>
      </c>
      <c r="H1815" t="s">
        <v>49</v>
      </c>
      <c r="I1815" t="s">
        <v>1721</v>
      </c>
      <c r="K1815" s="3" t="s">
        <v>6</v>
      </c>
      <c r="M1815" s="3"/>
    </row>
    <row r="1816" spans="1:13">
      <c r="A1816" t="s">
        <v>28</v>
      </c>
      <c r="B1816">
        <f ca="1">IF(OR(changes[[#This Row],[Type]]="Checklist",changes[[#This Row],[Type]]="checklist-flat"),1+IF(changes[[#This Row],[Type of change]] = "Edit",COUNTIFS($I$4:changes[[#This Row],[Name]],changes[[#This Row],[Name]], $E$4:changes[[#This Row],[Type of change]], "Edit")),B1815)</f>
        <v>1</v>
      </c>
      <c r="C1816" s="20">
        <v>44785</v>
      </c>
      <c r="D1816" s="2" t="s">
        <v>2009</v>
      </c>
      <c r="E1816" t="s">
        <v>27</v>
      </c>
      <c r="F1816" s="14" t="s">
        <v>2000</v>
      </c>
      <c r="G1816" t="s">
        <v>1719</v>
      </c>
      <c r="H1816" t="s">
        <v>124</v>
      </c>
      <c r="I1816" t="s">
        <v>1722</v>
      </c>
      <c r="K1816" s="3" t="s">
        <v>6</v>
      </c>
      <c r="M1816" s="3"/>
    </row>
    <row r="1817" spans="1:13">
      <c r="A1817" t="s">
        <v>28</v>
      </c>
      <c r="B1817">
        <f ca="1">IF(OR(changes[[#This Row],[Type]]="Checklist",changes[[#This Row],[Type]]="checklist-flat"),1+IF(changes[[#This Row],[Type of change]] = "Edit",COUNTIFS($I$4:changes[[#This Row],[Name]],changes[[#This Row],[Name]], $E$4:changes[[#This Row],[Type of change]], "Edit")),B1816)</f>
        <v>1</v>
      </c>
      <c r="C1817" s="20">
        <v>44785</v>
      </c>
      <c r="D1817" s="2" t="s">
        <v>2009</v>
      </c>
      <c r="E1817" t="s">
        <v>27</v>
      </c>
      <c r="F1817" s="14" t="s">
        <v>2000</v>
      </c>
      <c r="G1817" t="s">
        <v>1719</v>
      </c>
      <c r="H1817" t="s">
        <v>124</v>
      </c>
      <c r="I1817" t="s">
        <v>1723</v>
      </c>
      <c r="K1817" s="3" t="s">
        <v>6</v>
      </c>
      <c r="M1817" s="3"/>
    </row>
    <row r="1818" spans="1:13">
      <c r="A1818" t="s">
        <v>28</v>
      </c>
      <c r="B1818">
        <f ca="1">IF(OR(changes[[#This Row],[Type]]="Checklist",changes[[#This Row],[Type]]="checklist-flat"),1+IF(changes[[#This Row],[Type of change]] = "Edit",COUNTIFS($I$4:changes[[#This Row],[Name]],changes[[#This Row],[Name]], $E$4:changes[[#This Row],[Type of change]], "Edit")),B1817)</f>
        <v>1</v>
      </c>
      <c r="C1818" s="20">
        <v>44785</v>
      </c>
      <c r="D1818" s="2" t="s">
        <v>2009</v>
      </c>
      <c r="E1818" t="s">
        <v>27</v>
      </c>
      <c r="F1818" s="14" t="s">
        <v>2000</v>
      </c>
      <c r="G1818" t="s">
        <v>1719</v>
      </c>
      <c r="H1818" t="s">
        <v>124</v>
      </c>
      <c r="I1818" t="s">
        <v>2408</v>
      </c>
      <c r="K1818" s="3" t="s">
        <v>6</v>
      </c>
      <c r="M1818" s="3"/>
    </row>
    <row r="1819" spans="1:13">
      <c r="A1819" t="s">
        <v>28</v>
      </c>
      <c r="B1819">
        <f ca="1">IF(OR(changes[[#This Row],[Type]]="Checklist",changes[[#This Row],[Type]]="checklist-flat"),1+IF(changes[[#This Row],[Type of change]] = "Edit",COUNTIFS($I$4:changes[[#This Row],[Name]],changes[[#This Row],[Name]], $E$4:changes[[#This Row],[Type of change]], "Edit")),B1818)</f>
        <v>1</v>
      </c>
      <c r="C1819" s="20">
        <v>44785</v>
      </c>
      <c r="D1819" s="2" t="s">
        <v>2009</v>
      </c>
      <c r="E1819" t="s">
        <v>27</v>
      </c>
      <c r="F1819" s="14" t="s">
        <v>2000</v>
      </c>
      <c r="G1819" t="s">
        <v>1719</v>
      </c>
      <c r="H1819" t="s">
        <v>124</v>
      </c>
      <c r="I1819" t="s">
        <v>1725</v>
      </c>
      <c r="K1819" s="3" t="s">
        <v>6</v>
      </c>
      <c r="M1819" s="3"/>
    </row>
    <row r="1820" spans="1:13">
      <c r="A1820" t="s">
        <v>28</v>
      </c>
      <c r="B1820">
        <f ca="1">IF(OR(changes[[#This Row],[Type]]="Checklist",changes[[#This Row],[Type]]="checklist-flat"),1+IF(changes[[#This Row],[Type of change]] = "Edit",COUNTIFS($I$4:changes[[#This Row],[Name]],changes[[#This Row],[Name]], $E$4:changes[[#This Row],[Type of change]], "Edit")),B1819)</f>
        <v>1</v>
      </c>
      <c r="C1820" s="20">
        <v>44785</v>
      </c>
      <c r="D1820" s="2" t="s">
        <v>2009</v>
      </c>
      <c r="E1820" t="s">
        <v>27</v>
      </c>
      <c r="F1820" s="14" t="s">
        <v>2000</v>
      </c>
      <c r="G1820" t="s">
        <v>1719</v>
      </c>
      <c r="H1820" t="s">
        <v>124</v>
      </c>
      <c r="I1820" t="s">
        <v>2409</v>
      </c>
      <c r="K1820" s="3" t="s">
        <v>6</v>
      </c>
      <c r="M1820" s="3"/>
    </row>
    <row r="1821" spans="1:13">
      <c r="A1821" t="s">
        <v>28</v>
      </c>
      <c r="B1821">
        <f ca="1">IF(OR(changes[[#This Row],[Type]]="Checklist",changes[[#This Row],[Type]]="checklist-flat"),1+IF(changes[[#This Row],[Type of change]] = "Edit",COUNTIFS($I$4:changes[[#This Row],[Name]],changes[[#This Row],[Name]], $E$4:changes[[#This Row],[Type of change]], "Edit")),B1820)</f>
        <v>1</v>
      </c>
      <c r="C1821" s="20">
        <v>44785</v>
      </c>
      <c r="D1821" s="2" t="s">
        <v>2009</v>
      </c>
      <c r="E1821" t="s">
        <v>27</v>
      </c>
      <c r="F1821" s="14" t="s">
        <v>2000</v>
      </c>
      <c r="G1821" t="s">
        <v>1719</v>
      </c>
      <c r="H1821" t="s">
        <v>131</v>
      </c>
      <c r="I1821" t="s">
        <v>1727</v>
      </c>
      <c r="J1821" t="s">
        <v>153</v>
      </c>
      <c r="K1821" s="3" t="s">
        <v>6</v>
      </c>
      <c r="M1821" s="3"/>
    </row>
    <row r="1822" spans="1:13">
      <c r="A1822" t="s">
        <v>28</v>
      </c>
      <c r="B1822">
        <f ca="1">IF(OR(changes[[#This Row],[Type]]="Checklist",changes[[#This Row],[Type]]="checklist-flat"),1+IF(changes[[#This Row],[Type of change]] = "Edit",COUNTIFS($I$4:changes[[#This Row],[Name]],changes[[#This Row],[Name]], $E$4:changes[[#This Row],[Type of change]], "Edit")),B1821)</f>
        <v>1</v>
      </c>
      <c r="C1822" s="20">
        <v>44785</v>
      </c>
      <c r="D1822" s="2" t="s">
        <v>2009</v>
      </c>
      <c r="E1822" t="s">
        <v>27</v>
      </c>
      <c r="F1822" s="14" t="s">
        <v>2000</v>
      </c>
      <c r="G1822" t="s">
        <v>1719</v>
      </c>
      <c r="H1822" t="s">
        <v>901</v>
      </c>
      <c r="I1822" t="s">
        <v>1728</v>
      </c>
      <c r="K1822" s="3" t="s">
        <v>6</v>
      </c>
      <c r="M1822" s="3"/>
    </row>
    <row r="1823" spans="1:13">
      <c r="A1823" t="s">
        <v>28</v>
      </c>
      <c r="B1823">
        <f ca="1">IF(OR(changes[[#This Row],[Type]]="Checklist",changes[[#This Row],[Type]]="checklist-flat"),1+IF(changes[[#This Row],[Type of change]] = "Edit",COUNTIFS($I$4:changes[[#This Row],[Name]],changes[[#This Row],[Name]], $E$4:changes[[#This Row],[Type of change]], "Edit")),B1822)</f>
        <v>1</v>
      </c>
      <c r="C1823" s="20">
        <v>44785</v>
      </c>
      <c r="D1823" s="2" t="s">
        <v>2009</v>
      </c>
      <c r="E1823" t="s">
        <v>27</v>
      </c>
      <c r="F1823" s="14" t="s">
        <v>2000</v>
      </c>
      <c r="G1823" t="s">
        <v>1719</v>
      </c>
      <c r="H1823" t="s">
        <v>901</v>
      </c>
      <c r="I1823" t="s">
        <v>1729</v>
      </c>
      <c r="K1823" s="3" t="s">
        <v>6</v>
      </c>
      <c r="M1823" s="3"/>
    </row>
    <row r="1824" spans="1:13">
      <c r="A1824" t="s">
        <v>28</v>
      </c>
      <c r="B1824">
        <f ca="1">IF(OR(changes[[#This Row],[Type]]="Checklist",changes[[#This Row],[Type]]="checklist-flat"),1+IF(changes[[#This Row],[Type of change]] = "Edit",COUNTIFS($I$4:changes[[#This Row],[Name]],changes[[#This Row],[Name]], $E$4:changes[[#This Row],[Type of change]], "Edit")),B1823)</f>
        <v>1</v>
      </c>
      <c r="C1824" s="20">
        <v>44785</v>
      </c>
      <c r="D1824" s="2" t="s">
        <v>2009</v>
      </c>
      <c r="E1824" t="s">
        <v>27</v>
      </c>
      <c r="F1824" s="14" t="s">
        <v>2000</v>
      </c>
      <c r="G1824" t="s">
        <v>1719</v>
      </c>
      <c r="H1824" t="s">
        <v>120</v>
      </c>
      <c r="I1824" t="s">
        <v>1730</v>
      </c>
      <c r="K1824" s="3" t="s">
        <v>6</v>
      </c>
      <c r="M1824" s="3"/>
    </row>
    <row r="1825" spans="1:13">
      <c r="A1825" t="s">
        <v>28</v>
      </c>
      <c r="B1825">
        <f ca="1">IF(OR(changes[[#This Row],[Type]]="Checklist",changes[[#This Row],[Type]]="checklist-flat"),1+IF(changes[[#This Row],[Type of change]] = "Edit",COUNTIFS($I$4:changes[[#This Row],[Name]],changes[[#This Row],[Name]], $E$4:changes[[#This Row],[Type of change]], "Edit")),B1824)</f>
        <v>1</v>
      </c>
      <c r="C1825" s="20">
        <v>44785</v>
      </c>
      <c r="D1825" s="2" t="s">
        <v>2009</v>
      </c>
      <c r="E1825" t="s">
        <v>27</v>
      </c>
      <c r="F1825" s="14" t="s">
        <v>2000</v>
      </c>
      <c r="G1825" t="s">
        <v>1719</v>
      </c>
      <c r="H1825" t="s">
        <v>49</v>
      </c>
      <c r="I1825" t="s">
        <v>1731</v>
      </c>
      <c r="K1825" s="3" t="s">
        <v>6</v>
      </c>
      <c r="M1825" s="3"/>
    </row>
    <row r="1826" spans="1:13">
      <c r="A1826" t="s">
        <v>28</v>
      </c>
      <c r="B1826">
        <f ca="1">IF(OR(changes[[#This Row],[Type]]="Checklist",changes[[#This Row],[Type]]="checklist-flat"),1+IF(changes[[#This Row],[Type of change]] = "Edit",COUNTIFS($I$4:changes[[#This Row],[Name]],changes[[#This Row],[Name]], $E$4:changes[[#This Row],[Type of change]], "Edit")),B1825)</f>
        <v>1</v>
      </c>
      <c r="C1826" s="20">
        <v>44785</v>
      </c>
      <c r="D1826" s="2" t="s">
        <v>2009</v>
      </c>
      <c r="E1826" t="s">
        <v>27</v>
      </c>
      <c r="F1826" s="14" t="s">
        <v>2000</v>
      </c>
      <c r="G1826" t="s">
        <v>1719</v>
      </c>
      <c r="H1826" t="s">
        <v>49</v>
      </c>
      <c r="I1826" t="s">
        <v>1732</v>
      </c>
      <c r="K1826" s="3" t="s">
        <v>6</v>
      </c>
      <c r="M1826" s="3"/>
    </row>
    <row r="1827" spans="1:13">
      <c r="A1827" t="s">
        <v>28</v>
      </c>
      <c r="B1827">
        <f ca="1">IF(OR(changes[[#This Row],[Type]]="Checklist",changes[[#This Row],[Type]]="checklist-flat"),1+IF(changes[[#This Row],[Type of change]] = "Edit",COUNTIFS($I$4:changes[[#This Row],[Name]],changes[[#This Row],[Name]], $E$4:changes[[#This Row],[Type of change]], "Edit")),B1826)</f>
        <v>1</v>
      </c>
      <c r="C1827" s="20">
        <v>44785</v>
      </c>
      <c r="D1827" s="2" t="s">
        <v>2009</v>
      </c>
      <c r="E1827" t="s">
        <v>27</v>
      </c>
      <c r="F1827" s="14" t="s">
        <v>2000</v>
      </c>
      <c r="G1827" t="s">
        <v>1719</v>
      </c>
      <c r="H1827" t="s">
        <v>120</v>
      </c>
      <c r="I1827" t="s">
        <v>1733</v>
      </c>
      <c r="K1827" s="3" t="s">
        <v>6</v>
      </c>
      <c r="M1827" s="3"/>
    </row>
    <row r="1828" spans="1:13">
      <c r="A1828" t="s">
        <v>28</v>
      </c>
      <c r="B1828">
        <f ca="1">IF(OR(changes[[#This Row],[Type]]="Checklist",changes[[#This Row],[Type]]="checklist-flat"),1+IF(changes[[#This Row],[Type of change]] = "Edit",COUNTIFS($I$4:changes[[#This Row],[Name]],changes[[#This Row],[Name]], $E$4:changes[[#This Row],[Type of change]], "Edit")),B1827)</f>
        <v>1</v>
      </c>
      <c r="C1828" s="20">
        <v>44785</v>
      </c>
      <c r="D1828" s="2" t="s">
        <v>2009</v>
      </c>
      <c r="E1828" t="s">
        <v>27</v>
      </c>
      <c r="F1828" s="14" t="s">
        <v>2000</v>
      </c>
      <c r="G1828" t="s">
        <v>1719</v>
      </c>
      <c r="H1828" t="s">
        <v>49</v>
      </c>
      <c r="I1828" t="s">
        <v>1734</v>
      </c>
      <c r="K1828" s="3" t="s">
        <v>6</v>
      </c>
      <c r="M1828" s="3"/>
    </row>
    <row r="1829" spans="1:13">
      <c r="A1829" t="s">
        <v>28</v>
      </c>
      <c r="B1829">
        <f ca="1">IF(OR(changes[[#This Row],[Type]]="Checklist",changes[[#This Row],[Type]]="checklist-flat"),1+IF(changes[[#This Row],[Type of change]] = "Edit",COUNTIFS($I$4:changes[[#This Row],[Name]],changes[[#This Row],[Name]], $E$4:changes[[#This Row],[Type of change]], "Edit")),B1828)</f>
        <v>1</v>
      </c>
      <c r="C1829" s="20">
        <v>44785</v>
      </c>
      <c r="D1829" s="2" t="s">
        <v>2009</v>
      </c>
      <c r="E1829" t="s">
        <v>27</v>
      </c>
      <c r="F1829" s="14" t="s">
        <v>2000</v>
      </c>
      <c r="G1829" t="s">
        <v>1719</v>
      </c>
      <c r="H1829" t="s">
        <v>58</v>
      </c>
      <c r="I1829" t="s">
        <v>1735</v>
      </c>
      <c r="K1829" s="3" t="s">
        <v>6</v>
      </c>
      <c r="M1829" s="3"/>
    </row>
    <row r="1830" spans="1:13">
      <c r="A1830" t="s">
        <v>28</v>
      </c>
      <c r="B1830">
        <f ca="1">IF(OR(changes[[#This Row],[Type]]="Checklist",changes[[#This Row],[Type]]="checklist-flat"),1+IF(changes[[#This Row],[Type of change]] = "Edit",COUNTIFS($I$4:changes[[#This Row],[Name]],changes[[#This Row],[Name]], $E$4:changes[[#This Row],[Type of change]], "Edit")),B1829)</f>
        <v>1</v>
      </c>
      <c r="C1830" s="20">
        <v>44785</v>
      </c>
      <c r="D1830" s="2" t="s">
        <v>2009</v>
      </c>
      <c r="E1830" t="s">
        <v>27</v>
      </c>
      <c r="F1830" s="14" t="s">
        <v>2000</v>
      </c>
      <c r="G1830" t="s">
        <v>1719</v>
      </c>
      <c r="H1830" t="s">
        <v>124</v>
      </c>
      <c r="I1830" t="s">
        <v>1736</v>
      </c>
      <c r="K1830" s="3" t="s">
        <v>6</v>
      </c>
      <c r="M1830" s="3"/>
    </row>
    <row r="1831" spans="1:13">
      <c r="A1831" t="s">
        <v>28</v>
      </c>
      <c r="B1831">
        <f ca="1">IF(OR(changes[[#This Row],[Type]]="Checklist",changes[[#This Row],[Type]]="checklist-flat"),1+IF(changes[[#This Row],[Type of change]] = "Edit",COUNTIFS($I$4:changes[[#This Row],[Name]],changes[[#This Row],[Name]], $E$4:changes[[#This Row],[Type of change]], "Edit")),B1830)</f>
        <v>1</v>
      </c>
      <c r="C1831" s="20">
        <v>44785</v>
      </c>
      <c r="D1831" s="2" t="s">
        <v>2009</v>
      </c>
      <c r="E1831" t="s">
        <v>27</v>
      </c>
      <c r="F1831" s="14" t="s">
        <v>2000</v>
      </c>
      <c r="G1831" t="s">
        <v>1737</v>
      </c>
      <c r="H1831" t="s">
        <v>119</v>
      </c>
      <c r="I1831" t="s">
        <v>1737</v>
      </c>
      <c r="K1831" s="3" t="s">
        <v>6</v>
      </c>
      <c r="M1831" s="3"/>
    </row>
    <row r="1832" spans="1:13">
      <c r="A1832" t="s">
        <v>28</v>
      </c>
      <c r="B1832">
        <f ca="1">IF(OR(changes[[#This Row],[Type]]="Checklist",changes[[#This Row],[Type]]="checklist-flat"),1+IF(changes[[#This Row],[Type of change]] = "Edit",COUNTIFS($I$4:changes[[#This Row],[Name]],changes[[#This Row],[Name]], $E$4:changes[[#This Row],[Type of change]], "Edit")),B1831)</f>
        <v>1</v>
      </c>
      <c r="C1832" s="20">
        <v>44785</v>
      </c>
      <c r="D1832" s="2" t="s">
        <v>2009</v>
      </c>
      <c r="E1832" t="s">
        <v>27</v>
      </c>
      <c r="F1832" s="14" t="s">
        <v>2000</v>
      </c>
      <c r="G1832" t="s">
        <v>1737</v>
      </c>
      <c r="H1832" t="s">
        <v>49</v>
      </c>
      <c r="I1832" t="s">
        <v>1738</v>
      </c>
      <c r="K1832" s="3" t="s">
        <v>6</v>
      </c>
      <c r="M1832" s="3"/>
    </row>
    <row r="1833" spans="1:13">
      <c r="A1833" t="s">
        <v>28</v>
      </c>
      <c r="B1833">
        <f ca="1">IF(OR(changes[[#This Row],[Type]]="Checklist",changes[[#This Row],[Type]]="checklist-flat"),1+IF(changes[[#This Row],[Type of change]] = "Edit",COUNTIFS($I$4:changes[[#This Row],[Name]],changes[[#This Row],[Name]], $E$4:changes[[#This Row],[Type of change]], "Edit")),B1832)</f>
        <v>1</v>
      </c>
      <c r="C1833" s="20">
        <v>44785</v>
      </c>
      <c r="D1833" s="2" t="s">
        <v>2009</v>
      </c>
      <c r="E1833" t="s">
        <v>27</v>
      </c>
      <c r="F1833" s="14" t="s">
        <v>2000</v>
      </c>
      <c r="G1833" t="s">
        <v>1737</v>
      </c>
      <c r="H1833" t="s">
        <v>1739</v>
      </c>
      <c r="I1833" t="s">
        <v>1740</v>
      </c>
      <c r="K1833" s="3" t="s">
        <v>6</v>
      </c>
      <c r="M1833" s="3"/>
    </row>
    <row r="1834" spans="1:13" ht="15.75">
      <c r="A1834" t="s">
        <v>28</v>
      </c>
      <c r="B1834">
        <f ca="1">IF(OR(changes[[#This Row],[Type]]="Checklist",changes[[#This Row],[Type]]="checklist-flat"),1+IF(changes[[#This Row],[Type of change]] = "Edit",COUNTIFS($I$4:changes[[#This Row],[Name]],changes[[#This Row],[Name]], $E$4:changes[[#This Row],[Type of change]], "Edit")),B1833)</f>
        <v>1</v>
      </c>
      <c r="C1834" s="20">
        <v>44785</v>
      </c>
      <c r="D1834" s="2" t="s">
        <v>2009</v>
      </c>
      <c r="E1834" t="s">
        <v>27</v>
      </c>
      <c r="F1834" s="14" t="s">
        <v>2000</v>
      </c>
      <c r="G1834" t="s">
        <v>1737</v>
      </c>
      <c r="H1834" t="s">
        <v>1739</v>
      </c>
      <c r="I1834" s="38" t="s">
        <v>1252</v>
      </c>
      <c r="J1834" s="39"/>
      <c r="K1834" s="3" t="s">
        <v>6</v>
      </c>
      <c r="M1834" s="3"/>
    </row>
    <row r="1835" spans="1:13" ht="15.75">
      <c r="A1835" t="s">
        <v>28</v>
      </c>
      <c r="B1835">
        <f ca="1">IF(OR(changes[[#This Row],[Type]]="Checklist",changes[[#This Row],[Type]]="checklist-flat"),1+IF(changes[[#This Row],[Type of change]] = "Edit",COUNTIFS($I$4:changes[[#This Row],[Name]],changes[[#This Row],[Name]], $E$4:changes[[#This Row],[Type of change]], "Edit")),B1834)</f>
        <v>1</v>
      </c>
      <c r="C1835" s="20">
        <v>44785</v>
      </c>
      <c r="D1835" s="2" t="s">
        <v>2009</v>
      </c>
      <c r="E1835" t="s">
        <v>27</v>
      </c>
      <c r="F1835" s="14" t="s">
        <v>2000</v>
      </c>
      <c r="G1835" t="s">
        <v>1737</v>
      </c>
      <c r="H1835" t="s">
        <v>1739</v>
      </c>
      <c r="I1835" s="38" t="s">
        <v>1250</v>
      </c>
      <c r="J1835" s="39"/>
      <c r="K1835" s="3" t="s">
        <v>6</v>
      </c>
      <c r="M1835" s="3"/>
    </row>
    <row r="1836" spans="1:13" ht="15.75">
      <c r="A1836" t="s">
        <v>28</v>
      </c>
      <c r="B1836">
        <f ca="1">IF(OR(changes[[#This Row],[Type]]="Checklist",changes[[#This Row],[Type]]="checklist-flat"),1+IF(changes[[#This Row],[Type of change]] = "Edit",COUNTIFS($I$4:changes[[#This Row],[Name]],changes[[#This Row],[Name]], $E$4:changes[[#This Row],[Type of change]], "Edit")),B1835)</f>
        <v>1</v>
      </c>
      <c r="C1836" s="20">
        <v>44785</v>
      </c>
      <c r="D1836" s="2" t="s">
        <v>2009</v>
      </c>
      <c r="E1836" t="s">
        <v>27</v>
      </c>
      <c r="F1836" s="14" t="s">
        <v>2000</v>
      </c>
      <c r="G1836" t="s">
        <v>1737</v>
      </c>
      <c r="H1836" t="s">
        <v>1739</v>
      </c>
      <c r="I1836" s="38" t="s">
        <v>1741</v>
      </c>
      <c r="J1836" s="39"/>
      <c r="K1836" s="3" t="s">
        <v>6</v>
      </c>
      <c r="M1836" s="3"/>
    </row>
    <row r="1837" spans="1:13">
      <c r="A1837" t="s">
        <v>28</v>
      </c>
      <c r="B1837">
        <f ca="1">IF(OR(changes[[#This Row],[Type]]="Checklist",changes[[#This Row],[Type]]="checklist-flat"),1+IF(changes[[#This Row],[Type of change]] = "Edit",COUNTIFS($I$4:changes[[#This Row],[Name]],changes[[#This Row],[Name]], $E$4:changes[[#This Row],[Type of change]], "Edit")),B1836)</f>
        <v>1</v>
      </c>
      <c r="C1837" s="20">
        <v>44785</v>
      </c>
      <c r="D1837" s="2" t="s">
        <v>2009</v>
      </c>
      <c r="E1837" t="s">
        <v>27</v>
      </c>
      <c r="F1837" s="14" t="s">
        <v>2000</v>
      </c>
      <c r="G1837" t="s">
        <v>1737</v>
      </c>
      <c r="H1837" t="s">
        <v>49</v>
      </c>
      <c r="I1837" t="s">
        <v>1742</v>
      </c>
      <c r="K1837" s="3" t="s">
        <v>6</v>
      </c>
      <c r="M1837" s="3"/>
    </row>
    <row r="1838" spans="1:13">
      <c r="A1838" t="s">
        <v>28</v>
      </c>
      <c r="B1838">
        <f ca="1">IF(OR(changes[[#This Row],[Type]]="Checklist",changes[[#This Row],[Type]]="checklist-flat"),1+IF(changes[[#This Row],[Type of change]] = "Edit",COUNTIFS($I$4:changes[[#This Row],[Name]],changes[[#This Row],[Name]], $E$4:changes[[#This Row],[Type of change]], "Edit")),B1837)</f>
        <v>1</v>
      </c>
      <c r="C1838" s="20">
        <v>44785</v>
      </c>
      <c r="D1838" s="2" t="s">
        <v>2009</v>
      </c>
      <c r="E1838" t="s">
        <v>27</v>
      </c>
      <c r="F1838" s="14" t="s">
        <v>2000</v>
      </c>
      <c r="G1838" t="s">
        <v>1743</v>
      </c>
      <c r="H1838" t="s">
        <v>119</v>
      </c>
      <c r="I1838" t="s">
        <v>1743</v>
      </c>
      <c r="K1838" s="3" t="s">
        <v>6</v>
      </c>
      <c r="M1838" s="3"/>
    </row>
    <row r="1839" spans="1:13">
      <c r="A1839" t="s">
        <v>28</v>
      </c>
      <c r="B1839">
        <f ca="1">IF(OR(changes[[#This Row],[Type]]="Checklist",changes[[#This Row],[Type]]="checklist-flat"),1+IF(changes[[#This Row],[Type of change]] = "Edit",COUNTIFS($I$4:changes[[#This Row],[Name]],changes[[#This Row],[Name]], $E$4:changes[[#This Row],[Type of change]], "Edit")),B1838)</f>
        <v>1</v>
      </c>
      <c r="C1839" s="20">
        <v>44785</v>
      </c>
      <c r="D1839" s="2" t="s">
        <v>2009</v>
      </c>
      <c r="E1839" t="s">
        <v>27</v>
      </c>
      <c r="F1839" s="14" t="s">
        <v>2000</v>
      </c>
      <c r="G1839" t="s">
        <v>1743</v>
      </c>
      <c r="H1839" t="s">
        <v>49</v>
      </c>
      <c r="I1839" t="s">
        <v>1744</v>
      </c>
      <c r="K1839" s="3" t="s">
        <v>6</v>
      </c>
      <c r="M1839" s="3"/>
    </row>
    <row r="1840" spans="1:13">
      <c r="A1840" t="s">
        <v>28</v>
      </c>
      <c r="B1840">
        <f ca="1">IF(OR(changes[[#This Row],[Type]]="Checklist",changes[[#This Row],[Type]]="checklist-flat"),1+IF(changes[[#This Row],[Type of change]] = "Edit",COUNTIFS($I$4:changes[[#This Row],[Name]],changes[[#This Row],[Name]], $E$4:changes[[#This Row],[Type of change]], "Edit")),B1839)</f>
        <v>1</v>
      </c>
      <c r="C1840" s="20">
        <v>44785</v>
      </c>
      <c r="D1840" s="2" t="s">
        <v>2009</v>
      </c>
      <c r="E1840" t="s">
        <v>27</v>
      </c>
      <c r="F1840" s="14" t="s">
        <v>2000</v>
      </c>
      <c r="G1840" t="s">
        <v>1743</v>
      </c>
      <c r="H1840" t="s">
        <v>124</v>
      </c>
      <c r="I1840" t="s">
        <v>1745</v>
      </c>
      <c r="K1840" s="3" t="s">
        <v>6</v>
      </c>
      <c r="M1840" s="3"/>
    </row>
    <row r="1841" spans="1:13">
      <c r="A1841" t="s">
        <v>28</v>
      </c>
      <c r="B1841">
        <f ca="1">IF(OR(changes[[#This Row],[Type]]="Checklist",changes[[#This Row],[Type]]="checklist-flat"),1+IF(changes[[#This Row],[Type of change]] = "Edit",COUNTIFS($I$4:changes[[#This Row],[Name]],changes[[#This Row],[Name]], $E$4:changes[[#This Row],[Type of change]], "Edit")),B1840)</f>
        <v>1</v>
      </c>
      <c r="C1841" s="20">
        <v>44785</v>
      </c>
      <c r="D1841" s="2" t="s">
        <v>2009</v>
      </c>
      <c r="E1841" t="s">
        <v>27</v>
      </c>
      <c r="F1841" s="14" t="s">
        <v>2000</v>
      </c>
      <c r="G1841" t="s">
        <v>1743</v>
      </c>
      <c r="H1841" t="s">
        <v>124</v>
      </c>
      <c r="I1841" t="s">
        <v>1746</v>
      </c>
      <c r="K1841" s="3" t="s">
        <v>6</v>
      </c>
      <c r="M1841" s="3"/>
    </row>
    <row r="1842" spans="1:13">
      <c r="A1842" t="s">
        <v>28</v>
      </c>
      <c r="B1842">
        <f ca="1">IF(OR(changes[[#This Row],[Type]]="Checklist",changes[[#This Row],[Type]]="checklist-flat"),1+IF(changes[[#This Row],[Type of change]] = "Edit",COUNTIFS($I$4:changes[[#This Row],[Name]],changes[[#This Row],[Name]], $E$4:changes[[#This Row],[Type of change]], "Edit")),B1841)</f>
        <v>1</v>
      </c>
      <c r="C1842" s="20">
        <v>44785</v>
      </c>
      <c r="D1842" s="2" t="s">
        <v>2009</v>
      </c>
      <c r="E1842" t="s">
        <v>27</v>
      </c>
      <c r="F1842" s="14" t="s">
        <v>2000</v>
      </c>
      <c r="G1842" t="s">
        <v>1743</v>
      </c>
      <c r="H1842" t="s">
        <v>124</v>
      </c>
      <c r="I1842" t="s">
        <v>1747</v>
      </c>
      <c r="K1842" s="3" t="s">
        <v>6</v>
      </c>
      <c r="M1842" s="3"/>
    </row>
    <row r="1843" spans="1:13">
      <c r="A1843" t="s">
        <v>28</v>
      </c>
      <c r="B1843">
        <f ca="1">IF(OR(changes[[#This Row],[Type]]="Checklist",changes[[#This Row],[Type]]="checklist-flat"),1+IF(changes[[#This Row],[Type of change]] = "Edit",COUNTIFS($I$4:changes[[#This Row],[Name]],changes[[#This Row],[Name]], $E$4:changes[[#This Row],[Type of change]], "Edit")),B1842)</f>
        <v>1</v>
      </c>
      <c r="C1843" s="20">
        <v>44785</v>
      </c>
      <c r="D1843" s="2" t="s">
        <v>2009</v>
      </c>
      <c r="E1843" t="s">
        <v>27</v>
      </c>
      <c r="F1843" s="14" t="s">
        <v>2000</v>
      </c>
      <c r="G1843" t="s">
        <v>1743</v>
      </c>
      <c r="H1843" t="s">
        <v>58</v>
      </c>
      <c r="I1843" t="s">
        <v>1748</v>
      </c>
      <c r="K1843" s="3" t="s">
        <v>6</v>
      </c>
      <c r="M1843" s="3"/>
    </row>
    <row r="1844" spans="1:13">
      <c r="A1844" t="s">
        <v>28</v>
      </c>
      <c r="B1844">
        <f ca="1">IF(OR(changes[[#This Row],[Type]]="Checklist",changes[[#This Row],[Type]]="checklist-flat"),1+IF(changes[[#This Row],[Type of change]] = "Edit",COUNTIFS($I$4:changes[[#This Row],[Name]],changes[[#This Row],[Name]], $E$4:changes[[#This Row],[Type of change]], "Edit")),B1843)</f>
        <v>1</v>
      </c>
      <c r="C1844" s="20">
        <v>44785</v>
      </c>
      <c r="D1844" s="2" t="s">
        <v>2009</v>
      </c>
      <c r="E1844" t="s">
        <v>27</v>
      </c>
      <c r="F1844" s="14" t="s">
        <v>2000</v>
      </c>
      <c r="G1844" t="s">
        <v>1749</v>
      </c>
      <c r="H1844" t="s">
        <v>119</v>
      </c>
      <c r="I1844" t="s">
        <v>1749</v>
      </c>
      <c r="K1844" s="3" t="s">
        <v>6</v>
      </c>
      <c r="M1844" s="3"/>
    </row>
    <row r="1845" spans="1:13">
      <c r="A1845" t="s">
        <v>28</v>
      </c>
      <c r="B1845">
        <f ca="1">IF(OR(changes[[#This Row],[Type]]="Checklist",changes[[#This Row],[Type]]="checklist-flat"),1+IF(changes[[#This Row],[Type of change]] = "Edit",COUNTIFS($I$4:changes[[#This Row],[Name]],changes[[#This Row],[Name]], $E$4:changes[[#This Row],[Type of change]], "Edit")),B1844)</f>
        <v>1</v>
      </c>
      <c r="C1845" s="20">
        <v>44785</v>
      </c>
      <c r="D1845" s="2" t="s">
        <v>2009</v>
      </c>
      <c r="E1845" t="s">
        <v>27</v>
      </c>
      <c r="F1845" s="14" t="s">
        <v>2000</v>
      </c>
      <c r="G1845" t="s">
        <v>1749</v>
      </c>
      <c r="H1845" t="s">
        <v>120</v>
      </c>
      <c r="I1845" t="s">
        <v>1750</v>
      </c>
      <c r="K1845" s="3" t="s">
        <v>6</v>
      </c>
      <c r="M1845" s="3"/>
    </row>
    <row r="1846" spans="1:13">
      <c r="A1846" t="s">
        <v>28</v>
      </c>
      <c r="B1846">
        <f ca="1">IF(OR(changes[[#This Row],[Type]]="Checklist",changes[[#This Row],[Type]]="checklist-flat"),1+IF(changes[[#This Row],[Type of change]] = "Edit",COUNTIFS($I$4:changes[[#This Row],[Name]],changes[[#This Row],[Name]], $E$4:changes[[#This Row],[Type of change]], "Edit")),B1845)</f>
        <v>1</v>
      </c>
      <c r="C1846" s="20">
        <v>44785</v>
      </c>
      <c r="D1846" s="2" t="s">
        <v>2009</v>
      </c>
      <c r="E1846" t="s">
        <v>27</v>
      </c>
      <c r="F1846" s="14" t="s">
        <v>2000</v>
      </c>
      <c r="G1846" t="s">
        <v>1749</v>
      </c>
      <c r="H1846" t="s">
        <v>49</v>
      </c>
      <c r="I1846" t="s">
        <v>1751</v>
      </c>
      <c r="K1846" s="3" t="s">
        <v>6</v>
      </c>
      <c r="M1846" s="3"/>
    </row>
    <row r="1847" spans="1:13">
      <c r="A1847" t="s">
        <v>28</v>
      </c>
      <c r="B1847">
        <f ca="1">IF(OR(changes[[#This Row],[Type]]="Checklist",changes[[#This Row],[Type]]="checklist-flat"),1+IF(changes[[#This Row],[Type of change]] = "Edit",COUNTIFS($I$4:changes[[#This Row],[Name]],changes[[#This Row],[Name]], $E$4:changes[[#This Row],[Type of change]], "Edit")),B1846)</f>
        <v>1</v>
      </c>
      <c r="C1847" s="20">
        <v>44785</v>
      </c>
      <c r="D1847" s="2" t="s">
        <v>2009</v>
      </c>
      <c r="E1847" t="s">
        <v>27</v>
      </c>
      <c r="F1847" s="14" t="s">
        <v>2000</v>
      </c>
      <c r="G1847" t="s">
        <v>1749</v>
      </c>
      <c r="H1847" t="s">
        <v>124</v>
      </c>
      <c r="I1847" t="s">
        <v>1752</v>
      </c>
      <c r="K1847" s="3" t="s">
        <v>6</v>
      </c>
      <c r="M1847" s="3"/>
    </row>
    <row r="1848" spans="1:13">
      <c r="A1848" t="s">
        <v>28</v>
      </c>
      <c r="B1848">
        <f ca="1">IF(OR(changes[[#This Row],[Type]]="Checklist",changes[[#This Row],[Type]]="checklist-flat"),1+IF(changes[[#This Row],[Type of change]] = "Edit",COUNTIFS($I$4:changes[[#This Row],[Name]],changes[[#This Row],[Name]], $E$4:changes[[#This Row],[Type of change]], "Edit")),B1847)</f>
        <v>1</v>
      </c>
      <c r="C1848" s="20">
        <v>44785</v>
      </c>
      <c r="D1848" s="2" t="s">
        <v>2009</v>
      </c>
      <c r="E1848" t="s">
        <v>27</v>
      </c>
      <c r="F1848" s="14" t="s">
        <v>2000</v>
      </c>
      <c r="G1848" t="s">
        <v>1749</v>
      </c>
      <c r="H1848" t="s">
        <v>124</v>
      </c>
      <c r="I1848" t="s">
        <v>1753</v>
      </c>
      <c r="K1848" s="3" t="s">
        <v>6</v>
      </c>
      <c r="M1848" s="3"/>
    </row>
    <row r="1849" spans="1:13">
      <c r="A1849" t="s">
        <v>28</v>
      </c>
      <c r="B1849">
        <f ca="1">IF(OR(changes[[#This Row],[Type]]="Checklist",changes[[#This Row],[Type]]="checklist-flat"),1+IF(changes[[#This Row],[Type of change]] = "Edit",COUNTIFS($I$4:changes[[#This Row],[Name]],changes[[#This Row],[Name]], $E$4:changes[[#This Row],[Type of change]], "Edit")),B1848)</f>
        <v>1</v>
      </c>
      <c r="C1849" s="20">
        <v>44785</v>
      </c>
      <c r="D1849" s="2" t="s">
        <v>2009</v>
      </c>
      <c r="E1849" t="s">
        <v>27</v>
      </c>
      <c r="F1849" s="14" t="s">
        <v>2000</v>
      </c>
      <c r="G1849" t="s">
        <v>1749</v>
      </c>
      <c r="H1849" t="s">
        <v>124</v>
      </c>
      <c r="I1849" t="s">
        <v>793</v>
      </c>
      <c r="K1849" s="3" t="s">
        <v>6</v>
      </c>
      <c r="M1849" s="3"/>
    </row>
    <row r="1850" spans="1:13">
      <c r="A1850" t="s">
        <v>28</v>
      </c>
      <c r="B1850">
        <f ca="1">IF(OR(changes[[#This Row],[Type]]="Checklist",changes[[#This Row],[Type]]="checklist-flat"),1+IF(changes[[#This Row],[Type of change]] = "Edit",COUNTIFS($I$4:changes[[#This Row],[Name]],changes[[#This Row],[Name]], $E$4:changes[[#This Row],[Type of change]], "Edit")),B1849)</f>
        <v>1</v>
      </c>
      <c r="C1850" s="20">
        <v>44785</v>
      </c>
      <c r="D1850" s="2" t="s">
        <v>2009</v>
      </c>
      <c r="E1850" t="s">
        <v>27</v>
      </c>
      <c r="F1850" s="14" t="s">
        <v>2000</v>
      </c>
      <c r="G1850" t="s">
        <v>1749</v>
      </c>
      <c r="H1850" t="s">
        <v>124</v>
      </c>
      <c r="I1850" t="s">
        <v>1754</v>
      </c>
      <c r="K1850" s="3" t="s">
        <v>6</v>
      </c>
      <c r="M1850" s="3"/>
    </row>
    <row r="1851" spans="1:13">
      <c r="A1851" t="s">
        <v>28</v>
      </c>
      <c r="B1851">
        <f ca="1">IF(OR(changes[[#This Row],[Type]]="Checklist",changes[[#This Row],[Type]]="checklist-flat"),1+IF(changes[[#This Row],[Type of change]] = "Edit",COUNTIFS($I$4:changes[[#This Row],[Name]],changes[[#This Row],[Name]], $E$4:changes[[#This Row],[Type of change]], "Edit")),B1850)</f>
        <v>1</v>
      </c>
      <c r="C1851" s="20">
        <v>44785</v>
      </c>
      <c r="D1851" s="2" t="s">
        <v>2009</v>
      </c>
      <c r="E1851" t="s">
        <v>27</v>
      </c>
      <c r="F1851" s="14" t="s">
        <v>2000</v>
      </c>
      <c r="G1851" t="s">
        <v>1749</v>
      </c>
      <c r="H1851" t="s">
        <v>124</v>
      </c>
      <c r="I1851" t="s">
        <v>1755</v>
      </c>
      <c r="K1851" s="3" t="s">
        <v>6</v>
      </c>
      <c r="M1851" s="3"/>
    </row>
    <row r="1852" spans="1:13">
      <c r="A1852" t="s">
        <v>28</v>
      </c>
      <c r="B1852">
        <f ca="1">IF(OR(changes[[#This Row],[Type]]="Checklist",changes[[#This Row],[Type]]="checklist-flat"),1+IF(changes[[#This Row],[Type of change]] = "Edit",COUNTIFS($I$4:changes[[#This Row],[Name]],changes[[#This Row],[Name]], $E$4:changes[[#This Row],[Type of change]], "Edit")),B1851)</f>
        <v>1</v>
      </c>
      <c r="C1852" s="20">
        <v>44785</v>
      </c>
      <c r="D1852" s="2" t="s">
        <v>2009</v>
      </c>
      <c r="E1852" t="s">
        <v>27</v>
      </c>
      <c r="F1852" s="14" t="s">
        <v>2000</v>
      </c>
      <c r="G1852" t="s">
        <v>1749</v>
      </c>
      <c r="H1852" t="s">
        <v>124</v>
      </c>
      <c r="I1852" t="s">
        <v>1756</v>
      </c>
      <c r="K1852" s="3" t="s">
        <v>6</v>
      </c>
      <c r="M1852" s="3"/>
    </row>
    <row r="1853" spans="1:13">
      <c r="A1853" t="s">
        <v>28</v>
      </c>
      <c r="B1853">
        <f ca="1">IF(OR(changes[[#This Row],[Type]]="Checklist",changes[[#This Row],[Type]]="checklist-flat"),1+IF(changes[[#This Row],[Type of change]] = "Edit",COUNTIFS($I$4:changes[[#This Row],[Name]],changes[[#This Row],[Name]], $E$4:changes[[#This Row],[Type of change]], "Edit")),B1852)</f>
        <v>1</v>
      </c>
      <c r="C1853" s="20">
        <v>44785</v>
      </c>
      <c r="D1853" s="2" t="s">
        <v>2009</v>
      </c>
      <c r="E1853" t="s">
        <v>27</v>
      </c>
      <c r="F1853" s="14" t="s">
        <v>2000</v>
      </c>
      <c r="G1853" t="s">
        <v>1749</v>
      </c>
      <c r="H1853" t="s">
        <v>124</v>
      </c>
      <c r="I1853" t="s">
        <v>1757</v>
      </c>
      <c r="K1853" s="3" t="s">
        <v>6</v>
      </c>
      <c r="M1853" s="3"/>
    </row>
    <row r="1854" spans="1:13">
      <c r="A1854" t="s">
        <v>28</v>
      </c>
      <c r="B1854">
        <f ca="1">IF(OR(changes[[#This Row],[Type]]="Checklist",changes[[#This Row],[Type]]="checklist-flat"),1+IF(changes[[#This Row],[Type of change]] = "Edit",COUNTIFS($I$4:changes[[#This Row],[Name]],changes[[#This Row],[Name]], $E$4:changes[[#This Row],[Type of change]], "Edit")),B1853)</f>
        <v>1</v>
      </c>
      <c r="C1854" s="20">
        <v>44785</v>
      </c>
      <c r="D1854" s="2" t="s">
        <v>2009</v>
      </c>
      <c r="E1854" t="s">
        <v>27</v>
      </c>
      <c r="F1854" s="14" t="s">
        <v>2000</v>
      </c>
      <c r="G1854" t="s">
        <v>1749</v>
      </c>
      <c r="H1854" t="s">
        <v>124</v>
      </c>
      <c r="I1854" t="s">
        <v>1758</v>
      </c>
      <c r="K1854" s="3" t="s">
        <v>6</v>
      </c>
      <c r="M1854" s="3"/>
    </row>
    <row r="1855" spans="1:13">
      <c r="A1855" t="s">
        <v>28</v>
      </c>
      <c r="B1855">
        <f ca="1">IF(OR(changes[[#This Row],[Type]]="Checklist",changes[[#This Row],[Type]]="checklist-flat"),1+IF(changes[[#This Row],[Type of change]] = "Edit",COUNTIFS($I$4:changes[[#This Row],[Name]],changes[[#This Row],[Name]], $E$4:changes[[#This Row],[Type of change]], "Edit")),B1854)</f>
        <v>1</v>
      </c>
      <c r="C1855" s="20">
        <v>44785</v>
      </c>
      <c r="D1855" s="2" t="s">
        <v>2009</v>
      </c>
      <c r="E1855" t="s">
        <v>27</v>
      </c>
      <c r="F1855" s="14" t="s">
        <v>2000</v>
      </c>
      <c r="G1855" t="s">
        <v>1749</v>
      </c>
      <c r="H1855" t="s">
        <v>49</v>
      </c>
      <c r="I1855" t="s">
        <v>1759</v>
      </c>
      <c r="K1855" s="3" t="s">
        <v>6</v>
      </c>
      <c r="M1855" s="3"/>
    </row>
    <row r="1856" spans="1:13">
      <c r="A1856" t="s">
        <v>28</v>
      </c>
      <c r="B1856">
        <f ca="1">IF(OR(changes[[#This Row],[Type]]="Checklist",changes[[#This Row],[Type]]="checklist-flat"),1+IF(changes[[#This Row],[Type of change]] = "Edit",COUNTIFS($I$4:changes[[#This Row],[Name]],changes[[#This Row],[Name]], $E$4:changes[[#This Row],[Type of change]], "Edit")),B1855)</f>
        <v>1</v>
      </c>
      <c r="C1856" s="20">
        <v>44785</v>
      </c>
      <c r="D1856" s="2" t="s">
        <v>2009</v>
      </c>
      <c r="E1856" t="s">
        <v>27</v>
      </c>
      <c r="F1856" s="14" t="s">
        <v>2000</v>
      </c>
      <c r="G1856" t="s">
        <v>1749</v>
      </c>
      <c r="H1856" t="s">
        <v>120</v>
      </c>
      <c r="I1856" t="s">
        <v>1760</v>
      </c>
      <c r="K1856" s="3" t="s">
        <v>6</v>
      </c>
      <c r="M1856" s="3"/>
    </row>
    <row r="1857" spans="1:13">
      <c r="A1857" t="s">
        <v>28</v>
      </c>
      <c r="B1857">
        <f ca="1">IF(OR(changes[[#This Row],[Type]]="Checklist",changes[[#This Row],[Type]]="checklist-flat"),1+IF(changes[[#This Row],[Type of change]] = "Edit",COUNTIFS($I$4:changes[[#This Row],[Name]],changes[[#This Row],[Name]], $E$4:changes[[#This Row],[Type of change]], "Edit")),B1856)</f>
        <v>1</v>
      </c>
      <c r="C1857" s="20">
        <v>44785</v>
      </c>
      <c r="D1857" s="2" t="s">
        <v>2009</v>
      </c>
      <c r="E1857" t="s">
        <v>27</v>
      </c>
      <c r="F1857" s="14" t="s">
        <v>2000</v>
      </c>
      <c r="G1857" t="s">
        <v>1749</v>
      </c>
      <c r="H1857" t="s">
        <v>49</v>
      </c>
      <c r="I1857" t="s">
        <v>1761</v>
      </c>
      <c r="K1857" s="3" t="s">
        <v>6</v>
      </c>
      <c r="M1857" s="3"/>
    </row>
    <row r="1858" spans="1:13">
      <c r="A1858" t="s">
        <v>28</v>
      </c>
      <c r="B1858">
        <f ca="1">IF(OR(changes[[#This Row],[Type]]="Checklist",changes[[#This Row],[Type]]="checklist-flat"),1+IF(changes[[#This Row],[Type of change]] = "Edit",COUNTIFS($I$4:changes[[#This Row],[Name]],changes[[#This Row],[Name]], $E$4:changes[[#This Row],[Type of change]], "Edit")),B1857)</f>
        <v>1</v>
      </c>
      <c r="C1858" s="20">
        <v>44785</v>
      </c>
      <c r="D1858" s="2" t="s">
        <v>2009</v>
      </c>
      <c r="E1858" t="s">
        <v>27</v>
      </c>
      <c r="F1858" s="14" t="s">
        <v>2000</v>
      </c>
      <c r="G1858" t="s">
        <v>1749</v>
      </c>
      <c r="H1858" t="s">
        <v>1739</v>
      </c>
      <c r="I1858" t="s">
        <v>1762</v>
      </c>
      <c r="K1858" s="3" t="s">
        <v>6</v>
      </c>
      <c r="M1858" s="3"/>
    </row>
    <row r="1859" spans="1:13">
      <c r="A1859" t="s">
        <v>28</v>
      </c>
      <c r="B1859">
        <f ca="1">IF(OR(changes[[#This Row],[Type]]="Checklist",changes[[#This Row],[Type]]="checklist-flat"),1+IF(changes[[#This Row],[Type of change]] = "Edit",COUNTIFS($I$4:changes[[#This Row],[Name]],changes[[#This Row],[Name]], $E$4:changes[[#This Row],[Type of change]], "Edit")),B1858)</f>
        <v>1</v>
      </c>
      <c r="C1859" s="20">
        <v>44785</v>
      </c>
      <c r="D1859" s="2" t="s">
        <v>2009</v>
      </c>
      <c r="E1859" t="s">
        <v>27</v>
      </c>
      <c r="F1859" s="14" t="s">
        <v>2000</v>
      </c>
      <c r="G1859" t="s">
        <v>1749</v>
      </c>
      <c r="H1859" t="s">
        <v>1739</v>
      </c>
      <c r="I1859" t="s">
        <v>1763</v>
      </c>
      <c r="K1859" s="3" t="s">
        <v>6</v>
      </c>
      <c r="M1859" s="3"/>
    </row>
    <row r="1860" spans="1:13">
      <c r="A1860" t="s">
        <v>28</v>
      </c>
      <c r="B1860">
        <f ca="1">IF(OR(changes[[#This Row],[Type]]="Checklist",changes[[#This Row],[Type]]="checklist-flat"),1+IF(changes[[#This Row],[Type of change]] = "Edit",COUNTIFS($I$4:changes[[#This Row],[Name]],changes[[#This Row],[Name]], $E$4:changes[[#This Row],[Type of change]], "Edit")),B1859)</f>
        <v>1</v>
      </c>
      <c r="C1860" s="20">
        <v>44785</v>
      </c>
      <c r="D1860" s="2" t="s">
        <v>2009</v>
      </c>
      <c r="E1860" t="s">
        <v>27</v>
      </c>
      <c r="F1860" s="14" t="s">
        <v>2000</v>
      </c>
      <c r="G1860" t="s">
        <v>1749</v>
      </c>
      <c r="H1860" t="s">
        <v>1739</v>
      </c>
      <c r="I1860" t="s">
        <v>1764</v>
      </c>
      <c r="K1860" s="3" t="s">
        <v>6</v>
      </c>
      <c r="M1860" s="3"/>
    </row>
    <row r="1861" spans="1:13">
      <c r="A1861" t="s">
        <v>28</v>
      </c>
      <c r="B1861">
        <f ca="1">IF(OR(changes[[#This Row],[Type]]="Checklist",changes[[#This Row],[Type]]="checklist-flat"),1+IF(changes[[#This Row],[Type of change]] = "Edit",COUNTIFS($I$4:changes[[#This Row],[Name]],changes[[#This Row],[Name]], $E$4:changes[[#This Row],[Type of change]], "Edit")),B1860)</f>
        <v>1</v>
      </c>
      <c r="C1861" s="20">
        <v>44785</v>
      </c>
      <c r="D1861" s="2" t="s">
        <v>2009</v>
      </c>
      <c r="E1861" t="s">
        <v>27</v>
      </c>
      <c r="F1861" s="14" t="s">
        <v>2000</v>
      </c>
      <c r="G1861" t="s">
        <v>1749</v>
      </c>
      <c r="H1861" t="s">
        <v>124</v>
      </c>
      <c r="I1861" t="s">
        <v>1765</v>
      </c>
      <c r="K1861" s="3" t="s">
        <v>6</v>
      </c>
      <c r="M1861" s="3"/>
    </row>
    <row r="1862" spans="1:13">
      <c r="A1862" t="s">
        <v>28</v>
      </c>
      <c r="B1862">
        <f ca="1">IF(OR(changes[[#This Row],[Type]]="Checklist",changes[[#This Row],[Type]]="checklist-flat"),1+IF(changes[[#This Row],[Type of change]] = "Edit",COUNTIFS($I$4:changes[[#This Row],[Name]],changes[[#This Row],[Name]], $E$4:changes[[#This Row],[Type of change]], "Edit")),B1861)</f>
        <v>1</v>
      </c>
      <c r="C1862" s="20">
        <v>44785</v>
      </c>
      <c r="D1862" s="2" t="s">
        <v>2009</v>
      </c>
      <c r="E1862" t="s">
        <v>27</v>
      </c>
      <c r="F1862" s="14" t="s">
        <v>2000</v>
      </c>
      <c r="G1862" t="s">
        <v>1749</v>
      </c>
      <c r="H1862" t="s">
        <v>124</v>
      </c>
      <c r="I1862" t="s">
        <v>1766</v>
      </c>
      <c r="K1862" s="3" t="s">
        <v>6</v>
      </c>
      <c r="M1862" s="3"/>
    </row>
    <row r="1863" spans="1:13">
      <c r="A1863" t="s">
        <v>28</v>
      </c>
      <c r="B1863">
        <f ca="1">IF(OR(changes[[#This Row],[Type]]="Checklist",changes[[#This Row],[Type]]="checklist-flat"),1+IF(changes[[#This Row],[Type of change]] = "Edit",COUNTIFS($I$4:changes[[#This Row],[Name]],changes[[#This Row],[Name]], $E$4:changes[[#This Row],[Type of change]], "Edit")),B1862)</f>
        <v>1</v>
      </c>
      <c r="C1863" s="20">
        <v>44785</v>
      </c>
      <c r="D1863" s="2" t="s">
        <v>2009</v>
      </c>
      <c r="E1863" t="s">
        <v>27</v>
      </c>
      <c r="F1863" s="14" t="s">
        <v>2000</v>
      </c>
      <c r="G1863" t="s">
        <v>1749</v>
      </c>
      <c r="H1863" t="s">
        <v>124</v>
      </c>
      <c r="I1863" t="s">
        <v>1767</v>
      </c>
      <c r="K1863" s="3" t="s">
        <v>6</v>
      </c>
      <c r="M1863" s="3"/>
    </row>
    <row r="1864" spans="1:13">
      <c r="A1864" t="s">
        <v>28</v>
      </c>
      <c r="B1864">
        <f ca="1">IF(OR(changes[[#This Row],[Type]]="Checklist",changes[[#This Row],[Type]]="checklist-flat"),1+IF(changes[[#This Row],[Type of change]] = "Edit",COUNTIFS($I$4:changes[[#This Row],[Name]],changes[[#This Row],[Name]], $E$4:changes[[#This Row],[Type of change]], "Edit")),B1863)</f>
        <v>1</v>
      </c>
      <c r="C1864" s="20">
        <v>44785</v>
      </c>
      <c r="D1864" s="2" t="s">
        <v>2009</v>
      </c>
      <c r="E1864" t="s">
        <v>27</v>
      </c>
      <c r="F1864" s="14" t="s">
        <v>2000</v>
      </c>
      <c r="G1864" t="s">
        <v>1749</v>
      </c>
      <c r="H1864" t="s">
        <v>120</v>
      </c>
      <c r="I1864" t="s">
        <v>1768</v>
      </c>
      <c r="K1864" s="3" t="s">
        <v>6</v>
      </c>
      <c r="M1864" s="3"/>
    </row>
    <row r="1865" spans="1:13">
      <c r="A1865" t="s">
        <v>28</v>
      </c>
      <c r="B1865">
        <f ca="1">IF(OR(changes[[#This Row],[Type]]="Checklist",changes[[#This Row],[Type]]="checklist-flat"),1+IF(changes[[#This Row],[Type of change]] = "Edit",COUNTIFS($I$4:changes[[#This Row],[Name]],changes[[#This Row],[Name]], $E$4:changes[[#This Row],[Type of change]], "Edit")),B1864)</f>
        <v>1</v>
      </c>
      <c r="C1865" s="20">
        <v>44785</v>
      </c>
      <c r="D1865" s="2" t="s">
        <v>2009</v>
      </c>
      <c r="E1865" t="s">
        <v>27</v>
      </c>
      <c r="F1865" s="14" t="s">
        <v>2000</v>
      </c>
      <c r="G1865" t="s">
        <v>1749</v>
      </c>
      <c r="H1865" t="s">
        <v>49</v>
      </c>
      <c r="I1865" t="s">
        <v>1769</v>
      </c>
      <c r="K1865" s="3" t="s">
        <v>6</v>
      </c>
      <c r="M1865" s="3"/>
    </row>
    <row r="1866" spans="1:13">
      <c r="A1866" t="s">
        <v>28</v>
      </c>
      <c r="B1866">
        <f ca="1">IF(OR(changes[[#This Row],[Type]]="Checklist",changes[[#This Row],[Type]]="checklist-flat"),1+IF(changes[[#This Row],[Type of change]] = "Edit",COUNTIFS($I$4:changes[[#This Row],[Name]],changes[[#This Row],[Name]], $E$4:changes[[#This Row],[Type of change]], "Edit")),B1865)</f>
        <v>1</v>
      </c>
      <c r="C1866" s="20">
        <v>44785</v>
      </c>
      <c r="D1866" s="2" t="s">
        <v>2009</v>
      </c>
      <c r="E1866" t="s">
        <v>27</v>
      </c>
      <c r="F1866" s="14" t="s">
        <v>2000</v>
      </c>
      <c r="G1866" t="s">
        <v>1749</v>
      </c>
      <c r="H1866" t="s">
        <v>124</v>
      </c>
      <c r="I1866" t="s">
        <v>1770</v>
      </c>
      <c r="K1866" s="3" t="s">
        <v>6</v>
      </c>
      <c r="M1866" s="3"/>
    </row>
    <row r="1867" spans="1:13">
      <c r="A1867" t="s">
        <v>28</v>
      </c>
      <c r="B1867">
        <f ca="1">IF(OR(changes[[#This Row],[Type]]="Checklist",changes[[#This Row],[Type]]="checklist-flat"),1+IF(changes[[#This Row],[Type of change]] = "Edit",COUNTIFS($I$4:changes[[#This Row],[Name]],changes[[#This Row],[Name]], $E$4:changes[[#This Row],[Type of change]], "Edit")),B1866)</f>
        <v>1</v>
      </c>
      <c r="C1867" s="20">
        <v>44785</v>
      </c>
      <c r="D1867" s="2" t="s">
        <v>2009</v>
      </c>
      <c r="E1867" t="s">
        <v>27</v>
      </c>
      <c r="F1867" s="14" t="s">
        <v>2000</v>
      </c>
      <c r="G1867" t="s">
        <v>1749</v>
      </c>
      <c r="H1867" t="s">
        <v>131</v>
      </c>
      <c r="I1867" t="s">
        <v>1771</v>
      </c>
      <c r="J1867" t="s">
        <v>1772</v>
      </c>
      <c r="K1867" s="3" t="s">
        <v>6</v>
      </c>
      <c r="M1867" s="3"/>
    </row>
    <row r="1868" spans="1:13">
      <c r="A1868" t="s">
        <v>28</v>
      </c>
      <c r="B1868">
        <f ca="1">IF(OR(changes[[#This Row],[Type]]="Checklist",changes[[#This Row],[Type]]="checklist-flat"),1+IF(changes[[#This Row],[Type of change]] = "Edit",COUNTIFS($I$4:changes[[#This Row],[Name]],changes[[#This Row],[Name]], $E$4:changes[[#This Row],[Type of change]], "Edit")),B1867)</f>
        <v>1</v>
      </c>
      <c r="C1868" s="20">
        <v>44785</v>
      </c>
      <c r="D1868" s="2" t="s">
        <v>2009</v>
      </c>
      <c r="E1868" t="s">
        <v>27</v>
      </c>
      <c r="F1868" s="14" t="s">
        <v>2000</v>
      </c>
      <c r="G1868" t="s">
        <v>1749</v>
      </c>
      <c r="H1868" t="s">
        <v>124</v>
      </c>
      <c r="I1868" t="s">
        <v>1773</v>
      </c>
      <c r="K1868" s="3" t="s">
        <v>6</v>
      </c>
      <c r="M1868" s="3"/>
    </row>
    <row r="1869" spans="1:13">
      <c r="A1869" t="s">
        <v>28</v>
      </c>
      <c r="B1869">
        <f ca="1">IF(OR(changes[[#This Row],[Type]]="Checklist",changes[[#This Row],[Type]]="checklist-flat"),1+IF(changes[[#This Row],[Type of change]] = "Edit",COUNTIFS($I$4:changes[[#This Row],[Name]],changes[[#This Row],[Name]], $E$4:changes[[#This Row],[Type of change]], "Edit")),B1868)</f>
        <v>1</v>
      </c>
      <c r="C1869" s="20">
        <v>44785</v>
      </c>
      <c r="D1869" s="2" t="s">
        <v>2009</v>
      </c>
      <c r="E1869" t="s">
        <v>27</v>
      </c>
      <c r="F1869" s="14" t="s">
        <v>2000</v>
      </c>
      <c r="G1869" t="s">
        <v>1749</v>
      </c>
      <c r="H1869" t="s">
        <v>124</v>
      </c>
      <c r="I1869" t="s">
        <v>1774</v>
      </c>
      <c r="K1869" s="3" t="s">
        <v>6</v>
      </c>
      <c r="M1869" s="3"/>
    </row>
    <row r="1870" spans="1:13">
      <c r="A1870" t="s">
        <v>28</v>
      </c>
      <c r="B1870">
        <f ca="1">IF(OR(changes[[#This Row],[Type]]="Checklist",changes[[#This Row],[Type]]="checklist-flat"),1+IF(changes[[#This Row],[Type of change]] = "Edit",COUNTIFS($I$4:changes[[#This Row],[Name]],changes[[#This Row],[Name]], $E$4:changes[[#This Row],[Type of change]], "Edit")),B1869)</f>
        <v>1</v>
      </c>
      <c r="C1870" s="20">
        <v>44785</v>
      </c>
      <c r="D1870" s="2" t="s">
        <v>2009</v>
      </c>
      <c r="E1870" t="s">
        <v>27</v>
      </c>
      <c r="F1870" s="14" t="s">
        <v>2000</v>
      </c>
      <c r="G1870" t="s">
        <v>1749</v>
      </c>
      <c r="H1870" t="s">
        <v>49</v>
      </c>
      <c r="I1870" t="s">
        <v>1775</v>
      </c>
      <c r="K1870" s="3" t="s">
        <v>6</v>
      </c>
      <c r="M1870" s="3"/>
    </row>
    <row r="1871" spans="1:13">
      <c r="A1871" t="s">
        <v>28</v>
      </c>
      <c r="B1871">
        <f ca="1">IF(OR(changes[[#This Row],[Type]]="Checklist",changes[[#This Row],[Type]]="checklist-flat"),1+IF(changes[[#This Row],[Type of change]] = "Edit",COUNTIFS($I$4:changes[[#This Row],[Name]],changes[[#This Row],[Name]], $E$4:changes[[#This Row],[Type of change]], "Edit")),B1870)</f>
        <v>1</v>
      </c>
      <c r="C1871" s="20">
        <v>44785</v>
      </c>
      <c r="D1871" s="2" t="s">
        <v>2009</v>
      </c>
      <c r="E1871" t="s">
        <v>27</v>
      </c>
      <c r="F1871" s="14" t="s">
        <v>2000</v>
      </c>
      <c r="G1871" t="s">
        <v>1749</v>
      </c>
      <c r="H1871" t="s">
        <v>49</v>
      </c>
      <c r="I1871" t="s">
        <v>1776</v>
      </c>
      <c r="K1871" s="3" t="s">
        <v>6</v>
      </c>
      <c r="M1871" s="3"/>
    </row>
    <row r="1872" spans="1:13">
      <c r="A1872" t="s">
        <v>28</v>
      </c>
      <c r="B1872">
        <f ca="1">IF(OR(changes[[#This Row],[Type]]="Checklist",changes[[#This Row],[Type]]="checklist-flat"),1+IF(changes[[#This Row],[Type of change]] = "Edit",COUNTIFS($I$4:changes[[#This Row],[Name]],changes[[#This Row],[Name]], $E$4:changes[[#This Row],[Type of change]], "Edit")),B1871)</f>
        <v>1</v>
      </c>
      <c r="C1872" s="20">
        <v>44785</v>
      </c>
      <c r="D1872" s="2" t="s">
        <v>2009</v>
      </c>
      <c r="E1872" t="s">
        <v>27</v>
      </c>
      <c r="F1872" s="14" t="s">
        <v>2000</v>
      </c>
      <c r="G1872" t="s">
        <v>1749</v>
      </c>
      <c r="H1872" t="s">
        <v>901</v>
      </c>
      <c r="I1872" t="s">
        <v>1777</v>
      </c>
      <c r="K1872" s="3" t="s">
        <v>6</v>
      </c>
      <c r="M1872" s="3"/>
    </row>
    <row r="1873" spans="1:13">
      <c r="A1873" t="s">
        <v>28</v>
      </c>
      <c r="B1873">
        <f ca="1">IF(OR(changes[[#This Row],[Type]]="Checklist",changes[[#This Row],[Type]]="checklist-flat"),1+IF(changes[[#This Row],[Type of change]] = "Edit",COUNTIFS($I$4:changes[[#This Row],[Name]],changes[[#This Row],[Name]], $E$4:changes[[#This Row],[Type of change]], "Edit")),B1872)</f>
        <v>1</v>
      </c>
      <c r="C1873" s="20">
        <v>44785</v>
      </c>
      <c r="D1873" s="2" t="s">
        <v>2009</v>
      </c>
      <c r="E1873" t="s">
        <v>27</v>
      </c>
      <c r="F1873" s="14" t="s">
        <v>2000</v>
      </c>
      <c r="G1873" t="s">
        <v>1749</v>
      </c>
      <c r="H1873" t="s">
        <v>901</v>
      </c>
      <c r="I1873" t="s">
        <v>1778</v>
      </c>
      <c r="K1873" s="3" t="s">
        <v>6</v>
      </c>
      <c r="M1873" s="3"/>
    </row>
    <row r="1874" spans="1:13">
      <c r="A1874" t="s">
        <v>28</v>
      </c>
      <c r="B1874">
        <f ca="1">IF(OR(changes[[#This Row],[Type]]="Checklist",changes[[#This Row],[Type]]="checklist-flat"),1+IF(changes[[#This Row],[Type of change]] = "Edit",COUNTIFS($I$4:changes[[#This Row],[Name]],changes[[#This Row],[Name]], $E$4:changes[[#This Row],[Type of change]], "Edit")),B1873)</f>
        <v>1</v>
      </c>
      <c r="C1874" s="20">
        <v>44785</v>
      </c>
      <c r="D1874" s="2" t="s">
        <v>2009</v>
      </c>
      <c r="E1874" t="s">
        <v>27</v>
      </c>
      <c r="F1874" s="14" t="s">
        <v>2000</v>
      </c>
      <c r="G1874" t="s">
        <v>1749</v>
      </c>
      <c r="H1874" t="s">
        <v>124</v>
      </c>
      <c r="I1874" t="s">
        <v>1779</v>
      </c>
      <c r="K1874" s="3" t="s">
        <v>6</v>
      </c>
      <c r="M1874" s="3"/>
    </row>
    <row r="1875" spans="1:13">
      <c r="A1875" t="s">
        <v>28</v>
      </c>
      <c r="B1875">
        <f ca="1">IF(OR(changes[[#This Row],[Type]]="Checklist",changes[[#This Row],[Type]]="checklist-flat"),1+IF(changes[[#This Row],[Type of change]] = "Edit",COUNTIFS($I$4:changes[[#This Row],[Name]],changes[[#This Row],[Name]], $E$4:changes[[#This Row],[Type of change]], "Edit")),B1874)</f>
        <v>1</v>
      </c>
      <c r="C1875" s="20">
        <v>44785</v>
      </c>
      <c r="D1875" s="2" t="s">
        <v>2009</v>
      </c>
      <c r="E1875" t="s">
        <v>27</v>
      </c>
      <c r="F1875" s="14" t="s">
        <v>2000</v>
      </c>
      <c r="G1875" t="s">
        <v>1749</v>
      </c>
      <c r="H1875" t="s">
        <v>124</v>
      </c>
      <c r="I1875" t="s">
        <v>1780</v>
      </c>
      <c r="K1875" s="3" t="s">
        <v>6</v>
      </c>
      <c r="M1875" s="3"/>
    </row>
    <row r="1876" spans="1:13">
      <c r="A1876" t="s">
        <v>28</v>
      </c>
      <c r="B1876">
        <f ca="1">IF(OR(changes[[#This Row],[Type]]="Checklist",changes[[#This Row],[Type]]="checklist-flat"),1+IF(changes[[#This Row],[Type of change]] = "Edit",COUNTIFS($I$4:changes[[#This Row],[Name]],changes[[#This Row],[Name]], $E$4:changes[[#This Row],[Type of change]], "Edit")),B1875)</f>
        <v>1</v>
      </c>
      <c r="C1876" s="20">
        <v>44785</v>
      </c>
      <c r="D1876" s="2" t="s">
        <v>2009</v>
      </c>
      <c r="E1876" t="s">
        <v>27</v>
      </c>
      <c r="F1876" s="14" t="s">
        <v>2000</v>
      </c>
      <c r="G1876" t="s">
        <v>1749</v>
      </c>
      <c r="H1876" t="s">
        <v>58</v>
      </c>
      <c r="I1876" t="s">
        <v>1735</v>
      </c>
      <c r="K1876" s="3" t="s">
        <v>6</v>
      </c>
      <c r="M1876" s="3"/>
    </row>
    <row r="1877" spans="1:13">
      <c r="A1877" t="s">
        <v>28</v>
      </c>
      <c r="B1877">
        <f ca="1">IF(OR(changes[[#This Row],[Type]]="Checklist",changes[[#This Row],[Type]]="checklist-flat"),1+IF(changes[[#This Row],[Type of change]] = "Edit",COUNTIFS($I$4:changes[[#This Row],[Name]],changes[[#This Row],[Name]], $E$4:changes[[#This Row],[Type of change]], "Edit")),B1876)</f>
        <v>1</v>
      </c>
      <c r="C1877" s="20">
        <v>44785</v>
      </c>
      <c r="D1877" s="2" t="s">
        <v>2009</v>
      </c>
      <c r="E1877" t="s">
        <v>27</v>
      </c>
      <c r="F1877" s="14" t="s">
        <v>2000</v>
      </c>
      <c r="G1877" t="s">
        <v>1781</v>
      </c>
      <c r="H1877" t="s">
        <v>119</v>
      </c>
      <c r="I1877" t="s">
        <v>1781</v>
      </c>
      <c r="K1877" s="3" t="s">
        <v>6</v>
      </c>
      <c r="M1877" s="3"/>
    </row>
    <row r="1878" spans="1:13">
      <c r="A1878" t="s">
        <v>28</v>
      </c>
      <c r="B1878">
        <f ca="1">IF(OR(changes[[#This Row],[Type]]="Checklist",changes[[#This Row],[Type]]="checklist-flat"),1+IF(changes[[#This Row],[Type of change]] = "Edit",COUNTIFS($I$4:changes[[#This Row],[Name]],changes[[#This Row],[Name]], $E$4:changes[[#This Row],[Type of change]], "Edit")),B1877)</f>
        <v>1</v>
      </c>
      <c r="C1878" s="20">
        <v>44785</v>
      </c>
      <c r="D1878" s="2" t="s">
        <v>2009</v>
      </c>
      <c r="E1878" t="s">
        <v>27</v>
      </c>
      <c r="F1878" s="14" t="s">
        <v>2000</v>
      </c>
      <c r="G1878" t="s">
        <v>1781</v>
      </c>
      <c r="H1878" t="s">
        <v>49</v>
      </c>
      <c r="I1878" t="s">
        <v>1782</v>
      </c>
      <c r="K1878" s="3" t="s">
        <v>6</v>
      </c>
      <c r="M1878" s="3"/>
    </row>
    <row r="1879" spans="1:13">
      <c r="A1879" t="s">
        <v>28</v>
      </c>
      <c r="B1879">
        <f ca="1">IF(OR(changes[[#This Row],[Type]]="Checklist",changes[[#This Row],[Type]]="checklist-flat"),1+IF(changes[[#This Row],[Type of change]] = "Edit",COUNTIFS($I$4:changes[[#This Row],[Name]],changes[[#This Row],[Name]], $E$4:changes[[#This Row],[Type of change]], "Edit")),B1878)</f>
        <v>1</v>
      </c>
      <c r="C1879" s="20">
        <v>44785</v>
      </c>
      <c r="D1879" s="2" t="s">
        <v>2009</v>
      </c>
      <c r="E1879" t="s">
        <v>27</v>
      </c>
      <c r="F1879" s="14" t="s">
        <v>2000</v>
      </c>
      <c r="G1879" t="s">
        <v>1781</v>
      </c>
      <c r="H1879" t="s">
        <v>124</v>
      </c>
      <c r="I1879" t="s">
        <v>1745</v>
      </c>
      <c r="K1879" s="3" t="s">
        <v>6</v>
      </c>
      <c r="M1879" s="3"/>
    </row>
    <row r="1880" spans="1:13">
      <c r="A1880" t="s">
        <v>28</v>
      </c>
      <c r="B1880">
        <f ca="1">IF(OR(changes[[#This Row],[Type]]="Checklist",changes[[#This Row],[Type]]="checklist-flat"),1+IF(changes[[#This Row],[Type of change]] = "Edit",COUNTIFS($I$4:changes[[#This Row],[Name]],changes[[#This Row],[Name]], $E$4:changes[[#This Row],[Type of change]], "Edit")),B1879)</f>
        <v>1</v>
      </c>
      <c r="C1880" s="20">
        <v>44785</v>
      </c>
      <c r="D1880" s="2" t="s">
        <v>2009</v>
      </c>
      <c r="E1880" t="s">
        <v>27</v>
      </c>
      <c r="F1880" s="14" t="s">
        <v>2000</v>
      </c>
      <c r="G1880" t="s">
        <v>1781</v>
      </c>
      <c r="H1880" t="s">
        <v>124</v>
      </c>
      <c r="I1880" t="s">
        <v>1746</v>
      </c>
      <c r="K1880" s="3" t="s">
        <v>6</v>
      </c>
      <c r="M1880" s="3"/>
    </row>
    <row r="1881" spans="1:13">
      <c r="A1881" t="s">
        <v>28</v>
      </c>
      <c r="B1881">
        <f ca="1">IF(OR(changes[[#This Row],[Type]]="Checklist",changes[[#This Row],[Type]]="checklist-flat"),1+IF(changes[[#This Row],[Type of change]] = "Edit",COUNTIFS($I$4:changes[[#This Row],[Name]],changes[[#This Row],[Name]], $E$4:changes[[#This Row],[Type of change]], "Edit")),B1880)</f>
        <v>1</v>
      </c>
      <c r="C1881" s="20">
        <v>44785</v>
      </c>
      <c r="D1881" s="2" t="s">
        <v>2009</v>
      </c>
      <c r="E1881" t="s">
        <v>27</v>
      </c>
      <c r="F1881" s="14" t="s">
        <v>2000</v>
      </c>
      <c r="G1881" t="s">
        <v>1781</v>
      </c>
      <c r="H1881" t="s">
        <v>124</v>
      </c>
      <c r="I1881" t="s">
        <v>1747</v>
      </c>
      <c r="K1881" s="3" t="s">
        <v>6</v>
      </c>
      <c r="M1881" s="3"/>
    </row>
    <row r="1882" spans="1:13">
      <c r="A1882" t="s">
        <v>28</v>
      </c>
      <c r="B1882">
        <f ca="1">IF(OR(changes[[#This Row],[Type]]="Checklist",changes[[#This Row],[Type]]="checklist-flat"),1+IF(changes[[#This Row],[Type of change]] = "Edit",COUNTIFS($I$4:changes[[#This Row],[Name]],changes[[#This Row],[Name]], $E$4:changes[[#This Row],[Type of change]], "Edit")),B1881)</f>
        <v>1</v>
      </c>
      <c r="C1882" s="20">
        <v>44785</v>
      </c>
      <c r="D1882" s="2" t="s">
        <v>2009</v>
      </c>
      <c r="E1882" t="s">
        <v>27</v>
      </c>
      <c r="F1882" s="14" t="s">
        <v>2000</v>
      </c>
      <c r="G1882" t="s">
        <v>1781</v>
      </c>
      <c r="H1882" t="s">
        <v>58</v>
      </c>
      <c r="I1882" t="s">
        <v>1783</v>
      </c>
      <c r="K1882" s="3" t="s">
        <v>6</v>
      </c>
      <c r="M1882" s="3"/>
    </row>
    <row r="1883" spans="1:13">
      <c r="A1883" t="s">
        <v>28</v>
      </c>
      <c r="B1883">
        <f ca="1">IF(OR(changes[[#This Row],[Type]]="Checklist",changes[[#This Row],[Type]]="checklist-flat"),1+IF(changes[[#This Row],[Type of change]] = "Edit",COUNTIFS($I$4:changes[[#This Row],[Name]],changes[[#This Row],[Name]], $E$4:changes[[#This Row],[Type of change]], "Edit")),B1882)</f>
        <v>1</v>
      </c>
      <c r="C1883" s="20">
        <v>44785</v>
      </c>
      <c r="D1883" s="2" t="s">
        <v>2009</v>
      </c>
      <c r="E1883" t="s">
        <v>27</v>
      </c>
      <c r="F1883" s="14" t="s">
        <v>2000</v>
      </c>
      <c r="G1883" t="s">
        <v>1784</v>
      </c>
      <c r="H1883" t="s">
        <v>119</v>
      </c>
      <c r="I1883" t="s">
        <v>1784</v>
      </c>
      <c r="K1883" s="3" t="s">
        <v>6</v>
      </c>
      <c r="M1883" s="3"/>
    </row>
    <row r="1884" spans="1:13">
      <c r="A1884" t="s">
        <v>28</v>
      </c>
      <c r="B1884">
        <f ca="1">IF(OR(changes[[#This Row],[Type]]="Checklist",changes[[#This Row],[Type]]="checklist-flat"),1+IF(changes[[#This Row],[Type of change]] = "Edit",COUNTIFS($I$4:changes[[#This Row],[Name]],changes[[#This Row],[Name]], $E$4:changes[[#This Row],[Type of change]], "Edit")),B1883)</f>
        <v>1</v>
      </c>
      <c r="C1884" s="20">
        <v>44785</v>
      </c>
      <c r="D1884" s="2" t="s">
        <v>2009</v>
      </c>
      <c r="E1884" t="s">
        <v>27</v>
      </c>
      <c r="F1884" s="14" t="s">
        <v>2000</v>
      </c>
      <c r="G1884" t="s">
        <v>1784</v>
      </c>
      <c r="H1884" t="s">
        <v>49</v>
      </c>
      <c r="I1884" t="s">
        <v>1785</v>
      </c>
      <c r="K1884" s="3" t="s">
        <v>6</v>
      </c>
      <c r="M1884" s="3"/>
    </row>
    <row r="1885" spans="1:13">
      <c r="A1885" t="s">
        <v>28</v>
      </c>
      <c r="B1885">
        <f ca="1">IF(OR(changes[[#This Row],[Type]]="Checklist",changes[[#This Row],[Type]]="checklist-flat"),1+IF(changes[[#This Row],[Type of change]] = "Edit",COUNTIFS($I$4:changes[[#This Row],[Name]],changes[[#This Row],[Name]], $E$4:changes[[#This Row],[Type of change]], "Edit")),B1884)</f>
        <v>1</v>
      </c>
      <c r="C1885" s="20">
        <v>44785</v>
      </c>
      <c r="D1885" s="2" t="s">
        <v>2009</v>
      </c>
      <c r="E1885" t="s">
        <v>27</v>
      </c>
      <c r="F1885" s="14" t="s">
        <v>2000</v>
      </c>
      <c r="G1885" t="s">
        <v>1786</v>
      </c>
      <c r="H1885" t="s">
        <v>119</v>
      </c>
      <c r="I1885" t="s">
        <v>1786</v>
      </c>
      <c r="K1885" s="3" t="s">
        <v>6</v>
      </c>
      <c r="M1885" s="3"/>
    </row>
    <row r="1886" spans="1:13">
      <c r="A1886" t="s">
        <v>28</v>
      </c>
      <c r="B1886">
        <f ca="1">IF(OR(changes[[#This Row],[Type]]="Checklist",changes[[#This Row],[Type]]="checklist-flat"),1+IF(changes[[#This Row],[Type of change]] = "Edit",COUNTIFS($I$4:changes[[#This Row],[Name]],changes[[#This Row],[Name]], $E$4:changes[[#This Row],[Type of change]], "Edit")),B1885)</f>
        <v>1</v>
      </c>
      <c r="C1886" s="20">
        <v>44785</v>
      </c>
      <c r="D1886" s="2" t="s">
        <v>2009</v>
      </c>
      <c r="E1886" t="s">
        <v>27</v>
      </c>
      <c r="F1886" s="14" t="s">
        <v>2000</v>
      </c>
      <c r="G1886" t="s">
        <v>1786</v>
      </c>
      <c r="H1886" t="s">
        <v>120</v>
      </c>
      <c r="I1886" t="s">
        <v>1787</v>
      </c>
      <c r="K1886" s="3" t="s">
        <v>6</v>
      </c>
      <c r="M1886" s="3"/>
    </row>
    <row r="1887" spans="1:13">
      <c r="A1887" t="s">
        <v>28</v>
      </c>
      <c r="B1887">
        <f ca="1">IF(OR(changes[[#This Row],[Type]]="Checklist",changes[[#This Row],[Type]]="checklist-flat"),1+IF(changes[[#This Row],[Type of change]] = "Edit",COUNTIFS($I$4:changes[[#This Row],[Name]],changes[[#This Row],[Name]], $E$4:changes[[#This Row],[Type of change]], "Edit")),B1886)</f>
        <v>1</v>
      </c>
      <c r="C1887" s="20">
        <v>44785</v>
      </c>
      <c r="D1887" s="2" t="s">
        <v>2009</v>
      </c>
      <c r="E1887" t="s">
        <v>27</v>
      </c>
      <c r="F1887" s="14" t="s">
        <v>2000</v>
      </c>
      <c r="G1887" t="s">
        <v>1786</v>
      </c>
      <c r="H1887" t="s">
        <v>49</v>
      </c>
      <c r="I1887" t="s">
        <v>1788</v>
      </c>
      <c r="K1887" s="3" t="s">
        <v>6</v>
      </c>
      <c r="M1887" s="3"/>
    </row>
    <row r="1888" spans="1:13">
      <c r="A1888" t="s">
        <v>28</v>
      </c>
      <c r="B1888">
        <f ca="1">IF(OR(changes[[#This Row],[Type]]="Checklist",changes[[#This Row],[Type]]="checklist-flat"),1+IF(changes[[#This Row],[Type of change]] = "Edit",COUNTIFS($I$4:changes[[#This Row],[Name]],changes[[#This Row],[Name]], $E$4:changes[[#This Row],[Type of change]], "Edit")),B1887)</f>
        <v>1</v>
      </c>
      <c r="C1888" s="20">
        <v>44785</v>
      </c>
      <c r="D1888" s="2" t="s">
        <v>2009</v>
      </c>
      <c r="E1888" t="s">
        <v>27</v>
      </c>
      <c r="F1888" s="14" t="s">
        <v>2000</v>
      </c>
      <c r="G1888" t="s">
        <v>1786</v>
      </c>
      <c r="H1888" t="s">
        <v>124</v>
      </c>
      <c r="I1888" t="s">
        <v>1789</v>
      </c>
      <c r="K1888" s="3" t="s">
        <v>6</v>
      </c>
      <c r="M1888" s="3"/>
    </row>
    <row r="1889" spans="1:13">
      <c r="A1889" t="s">
        <v>28</v>
      </c>
      <c r="B1889">
        <f ca="1">IF(OR(changes[[#This Row],[Type]]="Checklist",changes[[#This Row],[Type]]="checklist-flat"),1+IF(changes[[#This Row],[Type of change]] = "Edit",COUNTIFS($I$4:changes[[#This Row],[Name]],changes[[#This Row],[Name]], $E$4:changes[[#This Row],[Type of change]], "Edit")),B1888)</f>
        <v>1</v>
      </c>
      <c r="C1889" s="20">
        <v>44785</v>
      </c>
      <c r="D1889" s="2" t="s">
        <v>2009</v>
      </c>
      <c r="E1889" t="s">
        <v>27</v>
      </c>
      <c r="F1889" s="14" t="s">
        <v>2000</v>
      </c>
      <c r="G1889" t="s">
        <v>1786</v>
      </c>
      <c r="H1889" t="s">
        <v>124</v>
      </c>
      <c r="I1889" t="s">
        <v>1790</v>
      </c>
      <c r="K1889" s="3" t="s">
        <v>6</v>
      </c>
      <c r="M1889" s="3"/>
    </row>
    <row r="1890" spans="1:13">
      <c r="A1890" t="s">
        <v>28</v>
      </c>
      <c r="B1890">
        <f ca="1">IF(OR(changes[[#This Row],[Type]]="Checklist",changes[[#This Row],[Type]]="checklist-flat"),1+IF(changes[[#This Row],[Type of change]] = "Edit",COUNTIFS($I$4:changes[[#This Row],[Name]],changes[[#This Row],[Name]], $E$4:changes[[#This Row],[Type of change]], "Edit")),B1889)</f>
        <v>1</v>
      </c>
      <c r="C1890" s="20">
        <v>44785</v>
      </c>
      <c r="D1890" s="2" t="s">
        <v>2009</v>
      </c>
      <c r="E1890" t="s">
        <v>27</v>
      </c>
      <c r="F1890" s="14" t="s">
        <v>2000</v>
      </c>
      <c r="G1890" t="s">
        <v>1786</v>
      </c>
      <c r="H1890" t="s">
        <v>124</v>
      </c>
      <c r="I1890" t="s">
        <v>1791</v>
      </c>
      <c r="K1890" s="3" t="s">
        <v>6</v>
      </c>
      <c r="M1890" s="3"/>
    </row>
    <row r="1891" spans="1:13">
      <c r="A1891" t="s">
        <v>28</v>
      </c>
      <c r="B1891">
        <f ca="1">IF(OR(changes[[#This Row],[Type]]="Checklist",changes[[#This Row],[Type]]="checklist-flat"),1+IF(changes[[#This Row],[Type of change]] = "Edit",COUNTIFS($I$4:changes[[#This Row],[Name]],changes[[#This Row],[Name]], $E$4:changes[[#This Row],[Type of change]], "Edit")),B1890)</f>
        <v>1</v>
      </c>
      <c r="C1891" s="20">
        <v>44785</v>
      </c>
      <c r="D1891" s="2" t="s">
        <v>2009</v>
      </c>
      <c r="E1891" t="s">
        <v>27</v>
      </c>
      <c r="F1891" s="14" t="s">
        <v>2000</v>
      </c>
      <c r="G1891" t="s">
        <v>1786</v>
      </c>
      <c r="H1891" t="s">
        <v>124</v>
      </c>
      <c r="I1891" t="s">
        <v>1792</v>
      </c>
      <c r="K1891" s="3" t="s">
        <v>6</v>
      </c>
      <c r="M1891" s="3"/>
    </row>
    <row r="1892" spans="1:13">
      <c r="A1892" t="s">
        <v>28</v>
      </c>
      <c r="B1892">
        <f ca="1">IF(OR(changes[[#This Row],[Type]]="Checklist",changes[[#This Row],[Type]]="checklist-flat"),1+IF(changes[[#This Row],[Type of change]] = "Edit",COUNTIFS($I$4:changes[[#This Row],[Name]],changes[[#This Row],[Name]], $E$4:changes[[#This Row],[Type of change]], "Edit")),B1891)</f>
        <v>1</v>
      </c>
      <c r="C1892" s="20">
        <v>44785</v>
      </c>
      <c r="D1892" s="2" t="s">
        <v>2009</v>
      </c>
      <c r="E1892" t="s">
        <v>27</v>
      </c>
      <c r="F1892" s="14" t="s">
        <v>2000</v>
      </c>
      <c r="G1892" t="s">
        <v>1786</v>
      </c>
      <c r="H1892" t="s">
        <v>124</v>
      </c>
      <c r="I1892" t="s">
        <v>1793</v>
      </c>
      <c r="K1892" s="3" t="s">
        <v>6</v>
      </c>
      <c r="M1892" s="3"/>
    </row>
    <row r="1893" spans="1:13">
      <c r="A1893" t="s">
        <v>28</v>
      </c>
      <c r="B1893">
        <f ca="1">IF(OR(changes[[#This Row],[Type]]="Checklist",changes[[#This Row],[Type]]="checklist-flat"),1+IF(changes[[#This Row],[Type of change]] = "Edit",COUNTIFS($I$4:changes[[#This Row],[Name]],changes[[#This Row],[Name]], $E$4:changes[[#This Row],[Type of change]], "Edit")),B1892)</f>
        <v>1</v>
      </c>
      <c r="C1893" s="20">
        <v>44785</v>
      </c>
      <c r="D1893" s="2" t="s">
        <v>2009</v>
      </c>
      <c r="E1893" t="s">
        <v>27</v>
      </c>
      <c r="F1893" s="14" t="s">
        <v>2000</v>
      </c>
      <c r="G1893" t="s">
        <v>1786</v>
      </c>
      <c r="H1893" t="s">
        <v>124</v>
      </c>
      <c r="I1893" t="s">
        <v>1794</v>
      </c>
      <c r="K1893" s="3" t="s">
        <v>6</v>
      </c>
      <c r="M1893" s="3"/>
    </row>
    <row r="1894" spans="1:13">
      <c r="A1894" t="s">
        <v>28</v>
      </c>
      <c r="B1894">
        <f ca="1">IF(OR(changes[[#This Row],[Type]]="Checklist",changes[[#This Row],[Type]]="checklist-flat"),1+IF(changes[[#This Row],[Type of change]] = "Edit",COUNTIFS($I$4:changes[[#This Row],[Name]],changes[[#This Row],[Name]], $E$4:changes[[#This Row],[Type of change]], "Edit")),B1893)</f>
        <v>1</v>
      </c>
      <c r="C1894" s="20">
        <v>44785</v>
      </c>
      <c r="D1894" s="2" t="s">
        <v>2009</v>
      </c>
      <c r="E1894" t="s">
        <v>27</v>
      </c>
      <c r="F1894" s="14" t="s">
        <v>2000</v>
      </c>
      <c r="G1894" t="s">
        <v>1786</v>
      </c>
      <c r="H1894" t="s">
        <v>131</v>
      </c>
      <c r="I1894" t="s">
        <v>793</v>
      </c>
      <c r="J1894" t="s">
        <v>1795</v>
      </c>
      <c r="K1894" s="3" t="s">
        <v>6</v>
      </c>
      <c r="M1894" s="3"/>
    </row>
    <row r="1895" spans="1:13">
      <c r="A1895" t="s">
        <v>28</v>
      </c>
      <c r="B1895">
        <f ca="1">IF(OR(changes[[#This Row],[Type]]="Checklist",changes[[#This Row],[Type]]="checklist-flat"),1+IF(changes[[#This Row],[Type of change]] = "Edit",COUNTIFS($I$4:changes[[#This Row],[Name]],changes[[#This Row],[Name]], $E$4:changes[[#This Row],[Type of change]], "Edit")),B1894)</f>
        <v>1</v>
      </c>
      <c r="C1895" s="20">
        <v>44785</v>
      </c>
      <c r="D1895" s="2" t="s">
        <v>2009</v>
      </c>
      <c r="E1895" t="s">
        <v>27</v>
      </c>
      <c r="F1895" s="14" t="s">
        <v>2000</v>
      </c>
      <c r="G1895" t="s">
        <v>1786</v>
      </c>
      <c r="H1895" t="s">
        <v>49</v>
      </c>
      <c r="I1895" t="s">
        <v>1796</v>
      </c>
      <c r="K1895" s="3" t="s">
        <v>6</v>
      </c>
      <c r="M1895" s="3"/>
    </row>
    <row r="1896" spans="1:13">
      <c r="A1896" t="s">
        <v>28</v>
      </c>
      <c r="B1896">
        <f ca="1">IF(OR(changes[[#This Row],[Type]]="Checklist",changes[[#This Row],[Type]]="checklist-flat"),1+IF(changes[[#This Row],[Type of change]] = "Edit",COUNTIFS($I$4:changes[[#This Row],[Name]],changes[[#This Row],[Name]], $E$4:changes[[#This Row],[Type of change]], "Edit")),B1895)</f>
        <v>1</v>
      </c>
      <c r="C1896" s="20">
        <v>44785</v>
      </c>
      <c r="D1896" s="2" t="s">
        <v>2009</v>
      </c>
      <c r="E1896" t="s">
        <v>27</v>
      </c>
      <c r="F1896" s="14" t="s">
        <v>2000</v>
      </c>
      <c r="G1896" t="s">
        <v>1786</v>
      </c>
      <c r="H1896" t="s">
        <v>49</v>
      </c>
      <c r="I1896" t="s">
        <v>1797</v>
      </c>
      <c r="K1896" s="3" t="s">
        <v>6</v>
      </c>
      <c r="M1896" s="3"/>
    </row>
    <row r="1897" spans="1:13">
      <c r="A1897" t="s">
        <v>28</v>
      </c>
      <c r="B1897">
        <f ca="1">IF(OR(changes[[#This Row],[Type]]="Checklist",changes[[#This Row],[Type]]="checklist-flat"),1+IF(changes[[#This Row],[Type of change]] = "Edit",COUNTIFS($I$4:changes[[#This Row],[Name]],changes[[#This Row],[Name]], $E$4:changes[[#This Row],[Type of change]], "Edit")),B1896)</f>
        <v>1</v>
      </c>
      <c r="C1897" s="20">
        <v>44785</v>
      </c>
      <c r="D1897" s="2" t="s">
        <v>2009</v>
      </c>
      <c r="E1897" t="s">
        <v>27</v>
      </c>
      <c r="F1897" s="14" t="s">
        <v>2000</v>
      </c>
      <c r="G1897" t="s">
        <v>1786</v>
      </c>
      <c r="H1897" t="s">
        <v>901</v>
      </c>
      <c r="I1897" t="s">
        <v>1798</v>
      </c>
      <c r="K1897" s="3" t="s">
        <v>6</v>
      </c>
      <c r="M1897" s="3"/>
    </row>
    <row r="1898" spans="1:13">
      <c r="A1898" t="s">
        <v>28</v>
      </c>
      <c r="B1898">
        <f ca="1">IF(OR(changes[[#This Row],[Type]]="Checklist",changes[[#This Row],[Type]]="checklist-flat"),1+IF(changes[[#This Row],[Type of change]] = "Edit",COUNTIFS($I$4:changes[[#This Row],[Name]],changes[[#This Row],[Name]], $E$4:changes[[#This Row],[Type of change]], "Edit")),B1897)</f>
        <v>1</v>
      </c>
      <c r="C1898" s="20">
        <v>44785</v>
      </c>
      <c r="D1898" s="2" t="s">
        <v>2009</v>
      </c>
      <c r="E1898" t="s">
        <v>27</v>
      </c>
      <c r="F1898" s="14" t="s">
        <v>2000</v>
      </c>
      <c r="G1898" t="s">
        <v>1786</v>
      </c>
      <c r="H1898" t="s">
        <v>901</v>
      </c>
      <c r="I1898" t="s">
        <v>1799</v>
      </c>
      <c r="K1898" s="3" t="s">
        <v>6</v>
      </c>
      <c r="M1898" s="3"/>
    </row>
    <row r="1899" spans="1:13">
      <c r="A1899" t="s">
        <v>28</v>
      </c>
      <c r="B1899">
        <f ca="1">IF(OR(changes[[#This Row],[Type]]="Checklist",changes[[#This Row],[Type]]="checklist-flat"),1+IF(changes[[#This Row],[Type of change]] = "Edit",COUNTIFS($I$4:changes[[#This Row],[Name]],changes[[#This Row],[Name]], $E$4:changes[[#This Row],[Type of change]], "Edit")),B1898)</f>
        <v>1</v>
      </c>
      <c r="C1899" s="20">
        <v>44785</v>
      </c>
      <c r="D1899" s="2" t="s">
        <v>2009</v>
      </c>
      <c r="E1899" t="s">
        <v>27</v>
      </c>
      <c r="F1899" s="14" t="s">
        <v>2000</v>
      </c>
      <c r="G1899" t="s">
        <v>1786</v>
      </c>
      <c r="H1899" t="s">
        <v>120</v>
      </c>
      <c r="I1899" t="s">
        <v>1736</v>
      </c>
      <c r="K1899" s="3" t="s">
        <v>6</v>
      </c>
      <c r="M1899" s="3"/>
    </row>
    <row r="1900" spans="1:13">
      <c r="A1900" t="s">
        <v>28</v>
      </c>
      <c r="B1900">
        <f ca="1">IF(OR(changes[[#This Row],[Type]]="Checklist",changes[[#This Row],[Type]]="checklist-flat"),1+IF(changes[[#This Row],[Type of change]] = "Edit",COUNTIFS($I$4:changes[[#This Row],[Name]],changes[[#This Row],[Name]], $E$4:changes[[#This Row],[Type of change]], "Edit")),B1899)</f>
        <v>1</v>
      </c>
      <c r="C1900" s="20">
        <v>44785</v>
      </c>
      <c r="D1900" s="2" t="s">
        <v>2009</v>
      </c>
      <c r="E1900" t="s">
        <v>27</v>
      </c>
      <c r="F1900" s="14" t="s">
        <v>2000</v>
      </c>
      <c r="G1900" t="s">
        <v>1786</v>
      </c>
      <c r="H1900" t="s">
        <v>49</v>
      </c>
      <c r="I1900" t="s">
        <v>1800</v>
      </c>
      <c r="K1900" s="3" t="s">
        <v>6</v>
      </c>
      <c r="M1900" s="3"/>
    </row>
    <row r="1901" spans="1:13">
      <c r="A1901" t="s">
        <v>28</v>
      </c>
      <c r="B1901">
        <f ca="1">IF(OR(changes[[#This Row],[Type]]="Checklist",changes[[#This Row],[Type]]="checklist-flat"),1+IF(changes[[#This Row],[Type of change]] = "Edit",COUNTIFS($I$4:changes[[#This Row],[Name]],changes[[#This Row],[Name]], $E$4:changes[[#This Row],[Type of change]], "Edit")),B1900)</f>
        <v>1</v>
      </c>
      <c r="C1901" s="20">
        <v>44785</v>
      </c>
      <c r="D1901" s="2" t="s">
        <v>2009</v>
      </c>
      <c r="E1901" t="s">
        <v>27</v>
      </c>
      <c r="F1901" s="14" t="s">
        <v>2000</v>
      </c>
      <c r="G1901" t="s">
        <v>1786</v>
      </c>
      <c r="H1901" t="s">
        <v>58</v>
      </c>
      <c r="I1901" t="s">
        <v>1801</v>
      </c>
      <c r="K1901" s="3" t="s">
        <v>6</v>
      </c>
      <c r="M1901" s="3"/>
    </row>
    <row r="1902" spans="1:13">
      <c r="A1902" t="s">
        <v>28</v>
      </c>
      <c r="B1902">
        <f ca="1">IF(OR(changes[[#This Row],[Type]]="Checklist",changes[[#This Row],[Type]]="checklist-flat"),1+IF(changes[[#This Row],[Type of change]] = "Edit",COUNTIFS($I$4:changes[[#This Row],[Name]],changes[[#This Row],[Name]], $E$4:changes[[#This Row],[Type of change]], "Edit")),B1901)</f>
        <v>1</v>
      </c>
      <c r="C1902" s="20">
        <v>44785</v>
      </c>
      <c r="D1902" s="2" t="s">
        <v>2009</v>
      </c>
      <c r="E1902" t="s">
        <v>27</v>
      </c>
      <c r="F1902" s="14" t="s">
        <v>2000</v>
      </c>
      <c r="G1902" t="s">
        <v>1802</v>
      </c>
      <c r="H1902" t="s">
        <v>119</v>
      </c>
      <c r="I1902" t="s">
        <v>1802</v>
      </c>
      <c r="K1902" s="3" t="s">
        <v>6</v>
      </c>
      <c r="M1902" s="3"/>
    </row>
    <row r="1903" spans="1:13">
      <c r="A1903" t="s">
        <v>28</v>
      </c>
      <c r="B1903">
        <f ca="1">IF(OR(changes[[#This Row],[Type]]="Checklist",changes[[#This Row],[Type]]="checklist-flat"),1+IF(changes[[#This Row],[Type of change]] = "Edit",COUNTIFS($I$4:changes[[#This Row],[Name]],changes[[#This Row],[Name]], $E$4:changes[[#This Row],[Type of change]], "Edit")),B1902)</f>
        <v>1</v>
      </c>
      <c r="C1903" s="20">
        <v>44785</v>
      </c>
      <c r="D1903" s="2" t="s">
        <v>2009</v>
      </c>
      <c r="E1903" t="s">
        <v>27</v>
      </c>
      <c r="F1903" s="14" t="s">
        <v>2000</v>
      </c>
      <c r="G1903" t="s">
        <v>1802</v>
      </c>
      <c r="H1903" t="s">
        <v>49</v>
      </c>
      <c r="I1903" t="s">
        <v>1803</v>
      </c>
      <c r="K1903" s="3" t="s">
        <v>6</v>
      </c>
      <c r="M1903" s="3"/>
    </row>
    <row r="1904" spans="1:13">
      <c r="A1904" t="s">
        <v>28</v>
      </c>
      <c r="B1904">
        <f ca="1">IF(OR(changes[[#This Row],[Type]]="Checklist",changes[[#This Row],[Type]]="checklist-flat"),1+IF(changes[[#This Row],[Type of change]] = "Edit",COUNTIFS($I$4:changes[[#This Row],[Name]],changes[[#This Row],[Name]], $E$4:changes[[#This Row],[Type of change]], "Edit")),B1903)</f>
        <v>1</v>
      </c>
      <c r="C1904" s="20">
        <v>44785</v>
      </c>
      <c r="D1904" s="2" t="s">
        <v>2009</v>
      </c>
      <c r="E1904" t="s">
        <v>27</v>
      </c>
      <c r="F1904" s="14" t="s">
        <v>2000</v>
      </c>
      <c r="G1904" t="s">
        <v>1802</v>
      </c>
      <c r="H1904" t="s">
        <v>124</v>
      </c>
      <c r="I1904" t="s">
        <v>1745</v>
      </c>
      <c r="K1904" s="3" t="s">
        <v>6</v>
      </c>
      <c r="M1904" s="3"/>
    </row>
    <row r="1905" spans="1:13">
      <c r="A1905" t="s">
        <v>28</v>
      </c>
      <c r="B1905">
        <f ca="1">IF(OR(changes[[#This Row],[Type]]="Checklist",changes[[#This Row],[Type]]="checklist-flat"),1+IF(changes[[#This Row],[Type of change]] = "Edit",COUNTIFS($I$4:changes[[#This Row],[Name]],changes[[#This Row],[Name]], $E$4:changes[[#This Row],[Type of change]], "Edit")),B1904)</f>
        <v>1</v>
      </c>
      <c r="C1905" s="20">
        <v>44785</v>
      </c>
      <c r="D1905" s="2" t="s">
        <v>2009</v>
      </c>
      <c r="E1905" t="s">
        <v>27</v>
      </c>
      <c r="F1905" s="14" t="s">
        <v>2000</v>
      </c>
      <c r="G1905" t="s">
        <v>1802</v>
      </c>
      <c r="H1905" t="s">
        <v>124</v>
      </c>
      <c r="I1905" t="s">
        <v>1804</v>
      </c>
      <c r="K1905" s="3" t="s">
        <v>6</v>
      </c>
      <c r="M1905" s="3"/>
    </row>
    <row r="1906" spans="1:13">
      <c r="A1906" t="s">
        <v>28</v>
      </c>
      <c r="B1906">
        <f ca="1">IF(OR(changes[[#This Row],[Type]]="Checklist",changes[[#This Row],[Type]]="checklist-flat"),1+IF(changes[[#This Row],[Type of change]] = "Edit",COUNTIFS($I$4:changes[[#This Row],[Name]],changes[[#This Row],[Name]], $E$4:changes[[#This Row],[Type of change]], "Edit")),B1905)</f>
        <v>1</v>
      </c>
      <c r="C1906" s="20">
        <v>44785</v>
      </c>
      <c r="D1906" s="2" t="s">
        <v>2009</v>
      </c>
      <c r="E1906" t="s">
        <v>27</v>
      </c>
      <c r="F1906" s="14" t="s">
        <v>2000</v>
      </c>
      <c r="G1906" t="s">
        <v>1802</v>
      </c>
      <c r="H1906" t="s">
        <v>124</v>
      </c>
      <c r="I1906" t="s">
        <v>1747</v>
      </c>
      <c r="K1906" s="3" t="s">
        <v>6</v>
      </c>
      <c r="M1906" s="3"/>
    </row>
    <row r="1907" spans="1:13">
      <c r="A1907" t="s">
        <v>28</v>
      </c>
      <c r="B1907">
        <f ca="1">IF(OR(changes[[#This Row],[Type]]="Checklist",changes[[#This Row],[Type]]="checklist-flat"),1+IF(changes[[#This Row],[Type of change]] = "Edit",COUNTIFS($I$4:changes[[#This Row],[Name]],changes[[#This Row],[Name]], $E$4:changes[[#This Row],[Type of change]], "Edit")),B1906)</f>
        <v>1</v>
      </c>
      <c r="C1907" s="20">
        <v>44785</v>
      </c>
      <c r="D1907" s="2" t="s">
        <v>2009</v>
      </c>
      <c r="E1907" t="s">
        <v>27</v>
      </c>
      <c r="F1907" s="14" t="s">
        <v>2000</v>
      </c>
      <c r="G1907" t="s">
        <v>1802</v>
      </c>
      <c r="H1907" t="s">
        <v>58</v>
      </c>
      <c r="I1907" t="s">
        <v>1805</v>
      </c>
      <c r="K1907" s="3" t="s">
        <v>6</v>
      </c>
      <c r="M1907" s="3"/>
    </row>
    <row r="1908" spans="1:13">
      <c r="A1908" t="s">
        <v>28</v>
      </c>
      <c r="B1908">
        <f ca="1">IF(OR(changes[[#This Row],[Type]]="Checklist",changes[[#This Row],[Type]]="checklist-flat"),1+IF(changes[[#This Row],[Type of change]] = "Edit",COUNTIFS($I$4:changes[[#This Row],[Name]],changes[[#This Row],[Name]], $E$4:changes[[#This Row],[Type of change]], "Edit")),B1907)</f>
        <v>1</v>
      </c>
      <c r="C1908" s="20">
        <v>44785</v>
      </c>
      <c r="D1908" s="2" t="s">
        <v>2009</v>
      </c>
      <c r="E1908" t="s">
        <v>27</v>
      </c>
      <c r="F1908" s="14" t="s">
        <v>2000</v>
      </c>
      <c r="G1908" t="s">
        <v>1806</v>
      </c>
      <c r="H1908" t="s">
        <v>119</v>
      </c>
      <c r="I1908" t="s">
        <v>1806</v>
      </c>
      <c r="K1908" s="3" t="s">
        <v>6</v>
      </c>
      <c r="M1908" s="3"/>
    </row>
    <row r="1909" spans="1:13">
      <c r="A1909" t="s">
        <v>28</v>
      </c>
      <c r="B1909">
        <f ca="1">IF(OR(changes[[#This Row],[Type]]="Checklist",changes[[#This Row],[Type]]="checklist-flat"),1+IF(changes[[#This Row],[Type of change]] = "Edit",COUNTIFS($I$4:changes[[#This Row],[Name]],changes[[#This Row],[Name]], $E$4:changes[[#This Row],[Type of change]], "Edit")),B1908)</f>
        <v>1</v>
      </c>
      <c r="C1909" s="20">
        <v>44785</v>
      </c>
      <c r="D1909" s="2" t="s">
        <v>2009</v>
      </c>
      <c r="E1909" t="s">
        <v>27</v>
      </c>
      <c r="F1909" s="14" t="s">
        <v>2000</v>
      </c>
      <c r="G1909" t="s">
        <v>1806</v>
      </c>
      <c r="H1909" t="s">
        <v>120</v>
      </c>
      <c r="I1909" t="s">
        <v>1750</v>
      </c>
      <c r="K1909" s="3" t="s">
        <v>6</v>
      </c>
      <c r="M1909" s="3"/>
    </row>
    <row r="1910" spans="1:13">
      <c r="A1910" t="s">
        <v>28</v>
      </c>
      <c r="B1910">
        <f ca="1">IF(OR(changes[[#This Row],[Type]]="Checklist",changes[[#This Row],[Type]]="checklist-flat"),1+IF(changes[[#This Row],[Type of change]] = "Edit",COUNTIFS($I$4:changes[[#This Row],[Name]],changes[[#This Row],[Name]], $E$4:changes[[#This Row],[Type of change]], "Edit")),B1909)</f>
        <v>1</v>
      </c>
      <c r="C1910" s="20">
        <v>44785</v>
      </c>
      <c r="D1910" s="2" t="s">
        <v>2009</v>
      </c>
      <c r="E1910" t="s">
        <v>27</v>
      </c>
      <c r="F1910" s="14" t="s">
        <v>2000</v>
      </c>
      <c r="G1910" t="s">
        <v>1806</v>
      </c>
      <c r="H1910" t="s">
        <v>49</v>
      </c>
      <c r="I1910" t="s">
        <v>1769</v>
      </c>
      <c r="K1910" s="3" t="s">
        <v>6</v>
      </c>
      <c r="M1910" s="3"/>
    </row>
    <row r="1911" spans="1:13">
      <c r="A1911" t="s">
        <v>28</v>
      </c>
      <c r="B1911">
        <f ca="1">IF(OR(changes[[#This Row],[Type]]="Checklist",changes[[#This Row],[Type]]="checklist-flat"),1+IF(changes[[#This Row],[Type of change]] = "Edit",COUNTIFS($I$4:changes[[#This Row],[Name]],changes[[#This Row],[Name]], $E$4:changes[[#This Row],[Type of change]], "Edit")),B1910)</f>
        <v>1</v>
      </c>
      <c r="C1911" s="20">
        <v>44785</v>
      </c>
      <c r="D1911" s="2" t="s">
        <v>2009</v>
      </c>
      <c r="E1911" t="s">
        <v>27</v>
      </c>
      <c r="F1911" s="14" t="s">
        <v>2000</v>
      </c>
      <c r="G1911" t="s">
        <v>1806</v>
      </c>
      <c r="H1911" t="s">
        <v>124</v>
      </c>
      <c r="I1911" t="s">
        <v>1789</v>
      </c>
      <c r="K1911" s="3" t="s">
        <v>6</v>
      </c>
      <c r="M1911" s="3"/>
    </row>
    <row r="1912" spans="1:13">
      <c r="A1912" t="s">
        <v>28</v>
      </c>
      <c r="B1912">
        <f ca="1">IF(OR(changes[[#This Row],[Type]]="Checklist",changes[[#This Row],[Type]]="checklist-flat"),1+IF(changes[[#This Row],[Type of change]] = "Edit",COUNTIFS($I$4:changes[[#This Row],[Name]],changes[[#This Row],[Name]], $E$4:changes[[#This Row],[Type of change]], "Edit")),B1911)</f>
        <v>1</v>
      </c>
      <c r="C1912" s="20">
        <v>44785</v>
      </c>
      <c r="D1912" s="2" t="s">
        <v>2009</v>
      </c>
      <c r="E1912" t="s">
        <v>27</v>
      </c>
      <c r="F1912" s="14" t="s">
        <v>2000</v>
      </c>
      <c r="G1912" t="s">
        <v>1806</v>
      </c>
      <c r="H1912" t="s">
        <v>124</v>
      </c>
      <c r="I1912" t="s">
        <v>1790</v>
      </c>
      <c r="K1912" s="3" t="s">
        <v>6</v>
      </c>
      <c r="M1912" s="3"/>
    </row>
    <row r="1913" spans="1:13">
      <c r="A1913" t="s">
        <v>28</v>
      </c>
      <c r="B1913">
        <f ca="1">IF(OR(changes[[#This Row],[Type]]="Checklist",changes[[#This Row],[Type]]="checklist-flat"),1+IF(changes[[#This Row],[Type of change]] = "Edit",COUNTIFS($I$4:changes[[#This Row],[Name]],changes[[#This Row],[Name]], $E$4:changes[[#This Row],[Type of change]], "Edit")),B1912)</f>
        <v>1</v>
      </c>
      <c r="C1913" s="20">
        <v>44785</v>
      </c>
      <c r="D1913" s="2" t="s">
        <v>2009</v>
      </c>
      <c r="E1913" t="s">
        <v>27</v>
      </c>
      <c r="F1913" s="14" t="s">
        <v>2000</v>
      </c>
      <c r="G1913" t="s">
        <v>1806</v>
      </c>
      <c r="H1913" t="s">
        <v>124</v>
      </c>
      <c r="I1913" t="s">
        <v>1791</v>
      </c>
      <c r="K1913" s="3" t="s">
        <v>6</v>
      </c>
      <c r="M1913" s="3"/>
    </row>
    <row r="1914" spans="1:13">
      <c r="A1914" t="s">
        <v>28</v>
      </c>
      <c r="B1914">
        <f ca="1">IF(OR(changes[[#This Row],[Type]]="Checklist",changes[[#This Row],[Type]]="checklist-flat"),1+IF(changes[[#This Row],[Type of change]] = "Edit",COUNTIFS($I$4:changes[[#This Row],[Name]],changes[[#This Row],[Name]], $E$4:changes[[#This Row],[Type of change]], "Edit")),B1913)</f>
        <v>1</v>
      </c>
      <c r="C1914" s="20">
        <v>44785</v>
      </c>
      <c r="D1914" s="2" t="s">
        <v>2009</v>
      </c>
      <c r="E1914" t="s">
        <v>27</v>
      </c>
      <c r="F1914" s="14" t="s">
        <v>2000</v>
      </c>
      <c r="G1914" t="s">
        <v>1806</v>
      </c>
      <c r="H1914" t="s">
        <v>124</v>
      </c>
      <c r="I1914" t="s">
        <v>1792</v>
      </c>
      <c r="K1914" s="3" t="s">
        <v>6</v>
      </c>
      <c r="M1914" s="3"/>
    </row>
    <row r="1915" spans="1:13">
      <c r="A1915" t="s">
        <v>28</v>
      </c>
      <c r="B1915">
        <f ca="1">IF(OR(changes[[#This Row],[Type]]="Checklist",changes[[#This Row],[Type]]="checklist-flat"),1+IF(changes[[#This Row],[Type of change]] = "Edit",COUNTIFS($I$4:changes[[#This Row],[Name]],changes[[#This Row],[Name]], $E$4:changes[[#This Row],[Type of change]], "Edit")),B1914)</f>
        <v>1</v>
      </c>
      <c r="C1915" s="20">
        <v>44785</v>
      </c>
      <c r="D1915" s="2" t="s">
        <v>2009</v>
      </c>
      <c r="E1915" t="s">
        <v>27</v>
      </c>
      <c r="F1915" s="14" t="s">
        <v>2000</v>
      </c>
      <c r="G1915" t="s">
        <v>1806</v>
      </c>
      <c r="H1915" t="s">
        <v>124</v>
      </c>
      <c r="I1915" t="s">
        <v>1807</v>
      </c>
      <c r="K1915" s="3" t="s">
        <v>6</v>
      </c>
      <c r="M1915" s="3"/>
    </row>
    <row r="1916" spans="1:13">
      <c r="A1916" t="s">
        <v>28</v>
      </c>
      <c r="B1916">
        <f ca="1">IF(OR(changes[[#This Row],[Type]]="Checklist",changes[[#This Row],[Type]]="checklist-flat"),1+IF(changes[[#This Row],[Type of change]] = "Edit",COUNTIFS($I$4:changes[[#This Row],[Name]],changes[[#This Row],[Name]], $E$4:changes[[#This Row],[Type of change]], "Edit")),B1915)</f>
        <v>1</v>
      </c>
      <c r="C1916" s="20">
        <v>44785</v>
      </c>
      <c r="D1916" s="2" t="s">
        <v>2009</v>
      </c>
      <c r="E1916" t="s">
        <v>27</v>
      </c>
      <c r="F1916" s="14" t="s">
        <v>2000</v>
      </c>
      <c r="G1916" t="s">
        <v>1806</v>
      </c>
      <c r="H1916" t="s">
        <v>124</v>
      </c>
      <c r="I1916" t="s">
        <v>1794</v>
      </c>
      <c r="K1916" s="3" t="s">
        <v>6</v>
      </c>
      <c r="M1916" s="3"/>
    </row>
    <row r="1917" spans="1:13">
      <c r="A1917" t="s">
        <v>28</v>
      </c>
      <c r="B1917">
        <f ca="1">IF(OR(changes[[#This Row],[Type]]="Checklist",changes[[#This Row],[Type]]="checklist-flat"),1+IF(changes[[#This Row],[Type of change]] = "Edit",COUNTIFS($I$4:changes[[#This Row],[Name]],changes[[#This Row],[Name]], $E$4:changes[[#This Row],[Type of change]], "Edit")),B1916)</f>
        <v>1</v>
      </c>
      <c r="C1917" s="20">
        <v>44785</v>
      </c>
      <c r="D1917" s="2" t="s">
        <v>2009</v>
      </c>
      <c r="E1917" t="s">
        <v>27</v>
      </c>
      <c r="F1917" s="14" t="s">
        <v>2000</v>
      </c>
      <c r="G1917" t="s">
        <v>1806</v>
      </c>
      <c r="H1917" t="s">
        <v>124</v>
      </c>
      <c r="I1917" t="s">
        <v>1808</v>
      </c>
      <c r="K1917" s="3" t="s">
        <v>6</v>
      </c>
      <c r="M1917" s="3"/>
    </row>
    <row r="1918" spans="1:13">
      <c r="A1918" t="s">
        <v>28</v>
      </c>
      <c r="B1918">
        <f ca="1">IF(OR(changes[[#This Row],[Type]]="Checklist",changes[[#This Row],[Type]]="checklist-flat"),1+IF(changes[[#This Row],[Type of change]] = "Edit",COUNTIFS($I$4:changes[[#This Row],[Name]],changes[[#This Row],[Name]], $E$4:changes[[#This Row],[Type of change]], "Edit")),B1917)</f>
        <v>1</v>
      </c>
      <c r="C1918" s="20">
        <v>44785</v>
      </c>
      <c r="D1918" s="2" t="s">
        <v>2009</v>
      </c>
      <c r="E1918" t="s">
        <v>27</v>
      </c>
      <c r="F1918" s="14" t="s">
        <v>2000</v>
      </c>
      <c r="G1918" t="s">
        <v>1806</v>
      </c>
      <c r="H1918" t="s">
        <v>49</v>
      </c>
      <c r="I1918" t="s">
        <v>1809</v>
      </c>
      <c r="K1918" s="3" t="s">
        <v>6</v>
      </c>
      <c r="M1918" s="3"/>
    </row>
    <row r="1919" spans="1:13">
      <c r="A1919" t="s">
        <v>28</v>
      </c>
      <c r="B1919">
        <f ca="1">IF(OR(changes[[#This Row],[Type]]="Checklist",changes[[#This Row],[Type]]="checklist-flat"),1+IF(changes[[#This Row],[Type of change]] = "Edit",COUNTIFS($I$4:changes[[#This Row],[Name]],changes[[#This Row],[Name]], $E$4:changes[[#This Row],[Type of change]], "Edit")),B1918)</f>
        <v>1</v>
      </c>
      <c r="C1919" s="20">
        <v>44785</v>
      </c>
      <c r="D1919" s="2" t="s">
        <v>2009</v>
      </c>
      <c r="E1919" t="s">
        <v>27</v>
      </c>
      <c r="F1919" s="14" t="s">
        <v>2000</v>
      </c>
      <c r="G1919" t="s">
        <v>1806</v>
      </c>
      <c r="H1919" t="s">
        <v>49</v>
      </c>
      <c r="I1919" t="s">
        <v>1732</v>
      </c>
      <c r="K1919" s="3" t="s">
        <v>6</v>
      </c>
      <c r="M1919" s="3"/>
    </row>
    <row r="1920" spans="1:13">
      <c r="A1920" t="s">
        <v>28</v>
      </c>
      <c r="B1920">
        <f ca="1">IF(OR(changes[[#This Row],[Type]]="Checklist",changes[[#This Row],[Type]]="checklist-flat"),1+IF(changes[[#This Row],[Type of change]] = "Edit",COUNTIFS($I$4:changes[[#This Row],[Name]],changes[[#This Row],[Name]], $E$4:changes[[#This Row],[Type of change]], "Edit")),B1919)</f>
        <v>1</v>
      </c>
      <c r="C1920" s="20">
        <v>44785</v>
      </c>
      <c r="D1920" s="2" t="s">
        <v>2009</v>
      </c>
      <c r="E1920" t="s">
        <v>27</v>
      </c>
      <c r="F1920" s="14" t="s">
        <v>2000</v>
      </c>
      <c r="G1920" t="s">
        <v>1806</v>
      </c>
      <c r="H1920" t="s">
        <v>120</v>
      </c>
      <c r="I1920" t="s">
        <v>1736</v>
      </c>
      <c r="K1920" s="3" t="s">
        <v>6</v>
      </c>
      <c r="M1920" s="3"/>
    </row>
    <row r="1921" spans="1:13">
      <c r="A1921" t="s">
        <v>28</v>
      </c>
      <c r="B1921">
        <f ca="1">IF(OR(changes[[#This Row],[Type]]="Checklist",changes[[#This Row],[Type]]="checklist-flat"),1+IF(changes[[#This Row],[Type of change]] = "Edit",COUNTIFS($I$4:changes[[#This Row],[Name]],changes[[#This Row],[Name]], $E$4:changes[[#This Row],[Type of change]], "Edit")),B1920)</f>
        <v>1</v>
      </c>
      <c r="C1921" s="20">
        <v>44785</v>
      </c>
      <c r="D1921" s="2" t="s">
        <v>2009</v>
      </c>
      <c r="E1921" t="s">
        <v>27</v>
      </c>
      <c r="F1921" s="14" t="s">
        <v>2000</v>
      </c>
      <c r="G1921" t="s">
        <v>1806</v>
      </c>
      <c r="H1921" t="s">
        <v>49</v>
      </c>
      <c r="I1921" t="s">
        <v>1800</v>
      </c>
      <c r="K1921" s="3" t="s">
        <v>6</v>
      </c>
      <c r="M1921" s="3"/>
    </row>
    <row r="1922" spans="1:13">
      <c r="A1922" t="s">
        <v>28</v>
      </c>
      <c r="B1922">
        <f ca="1">IF(OR(changes[[#This Row],[Type]]="Checklist",changes[[#This Row],[Type]]="checklist-flat"),1+IF(changes[[#This Row],[Type of change]] = "Edit",COUNTIFS($I$4:changes[[#This Row],[Name]],changes[[#This Row],[Name]], $E$4:changes[[#This Row],[Type of change]], "Edit")),B1921)</f>
        <v>1</v>
      </c>
      <c r="C1922" s="20">
        <v>44785</v>
      </c>
      <c r="D1922" s="2" t="s">
        <v>2009</v>
      </c>
      <c r="E1922" t="s">
        <v>27</v>
      </c>
      <c r="F1922" s="14" t="s">
        <v>2000</v>
      </c>
      <c r="G1922" t="s">
        <v>1806</v>
      </c>
      <c r="H1922" t="s">
        <v>58</v>
      </c>
      <c r="I1922" t="s">
        <v>1801</v>
      </c>
      <c r="K1922" s="3" t="s">
        <v>6</v>
      </c>
      <c r="M1922" s="3"/>
    </row>
    <row r="1923" spans="1:13">
      <c r="A1923" t="s">
        <v>28</v>
      </c>
      <c r="B1923">
        <f ca="1">IF(OR(changes[[#This Row],[Type]]="Checklist",changes[[#This Row],[Type]]="checklist-flat"),1+IF(changes[[#This Row],[Type of change]] = "Edit",COUNTIFS($I$4:changes[[#This Row],[Name]],changes[[#This Row],[Name]], $E$4:changes[[#This Row],[Type of change]], "Edit")),B1922)</f>
        <v>1</v>
      </c>
      <c r="C1923" s="20">
        <v>44785</v>
      </c>
      <c r="D1923" s="2" t="s">
        <v>2009</v>
      </c>
      <c r="E1923" t="s">
        <v>27</v>
      </c>
      <c r="F1923" s="14" t="s">
        <v>2000</v>
      </c>
      <c r="G1923" t="s">
        <v>1810</v>
      </c>
      <c r="H1923" t="s">
        <v>119</v>
      </c>
      <c r="I1923" t="s">
        <v>1810</v>
      </c>
      <c r="K1923" s="3" t="s">
        <v>6</v>
      </c>
      <c r="M1923" s="3"/>
    </row>
    <row r="1924" spans="1:13">
      <c r="A1924" t="s">
        <v>28</v>
      </c>
      <c r="B1924">
        <f ca="1">IF(OR(changes[[#This Row],[Type]]="Checklist",changes[[#This Row],[Type]]="checklist-flat"),1+IF(changes[[#This Row],[Type of change]] = "Edit",COUNTIFS($I$4:changes[[#This Row],[Name]],changes[[#This Row],[Name]], $E$4:changes[[#This Row],[Type of change]], "Edit")),B1923)</f>
        <v>1</v>
      </c>
      <c r="C1924" s="20">
        <v>44785</v>
      </c>
      <c r="D1924" s="2" t="s">
        <v>2009</v>
      </c>
      <c r="E1924" t="s">
        <v>27</v>
      </c>
      <c r="F1924" s="14" t="s">
        <v>2000</v>
      </c>
      <c r="G1924" t="s">
        <v>1810</v>
      </c>
      <c r="H1924" t="s">
        <v>120</v>
      </c>
      <c r="I1924" t="s">
        <v>1811</v>
      </c>
      <c r="K1924" s="3" t="s">
        <v>6</v>
      </c>
      <c r="M1924" s="3"/>
    </row>
    <row r="1925" spans="1:13">
      <c r="A1925" t="s">
        <v>28</v>
      </c>
      <c r="B1925">
        <f ca="1">IF(OR(changes[[#This Row],[Type]]="Checklist",changes[[#This Row],[Type]]="checklist-flat"),1+IF(changes[[#This Row],[Type of change]] = "Edit",COUNTIFS($I$4:changes[[#This Row],[Name]],changes[[#This Row],[Name]], $E$4:changes[[#This Row],[Type of change]], "Edit")),B1924)</f>
        <v>1</v>
      </c>
      <c r="C1925" s="20">
        <v>44785</v>
      </c>
      <c r="D1925" s="2" t="s">
        <v>2009</v>
      </c>
      <c r="E1925" t="s">
        <v>27</v>
      </c>
      <c r="F1925" s="14" t="s">
        <v>2000</v>
      </c>
      <c r="G1925" t="s">
        <v>1810</v>
      </c>
      <c r="H1925" t="s">
        <v>49</v>
      </c>
      <c r="I1925" t="s">
        <v>1721</v>
      </c>
      <c r="K1925" s="3" t="s">
        <v>6</v>
      </c>
      <c r="M1925" s="3"/>
    </row>
    <row r="1926" spans="1:13">
      <c r="A1926" t="s">
        <v>28</v>
      </c>
      <c r="B1926">
        <f ca="1">IF(OR(changes[[#This Row],[Type]]="Checklist",changes[[#This Row],[Type]]="checklist-flat"),1+IF(changes[[#This Row],[Type of change]] = "Edit",COUNTIFS($I$4:changes[[#This Row],[Name]],changes[[#This Row],[Name]], $E$4:changes[[#This Row],[Type of change]], "Edit")),B1925)</f>
        <v>1</v>
      </c>
      <c r="C1926" s="20">
        <v>44785</v>
      </c>
      <c r="D1926" s="2" t="s">
        <v>2009</v>
      </c>
      <c r="E1926" t="s">
        <v>27</v>
      </c>
      <c r="F1926" s="14" t="s">
        <v>2000</v>
      </c>
      <c r="G1926" t="s">
        <v>1810</v>
      </c>
      <c r="H1926" t="s">
        <v>124</v>
      </c>
      <c r="I1926" t="s">
        <v>1812</v>
      </c>
      <c r="K1926" s="3" t="s">
        <v>6</v>
      </c>
      <c r="M1926" s="3"/>
    </row>
    <row r="1927" spans="1:13">
      <c r="A1927" t="s">
        <v>28</v>
      </c>
      <c r="B1927">
        <f ca="1">IF(OR(changes[[#This Row],[Type]]="Checklist",changes[[#This Row],[Type]]="checklist-flat"),1+IF(changes[[#This Row],[Type of change]] = "Edit",COUNTIFS($I$4:changes[[#This Row],[Name]],changes[[#This Row],[Name]], $E$4:changes[[#This Row],[Type of change]], "Edit")),B1926)</f>
        <v>1</v>
      </c>
      <c r="C1927" s="20">
        <v>44785</v>
      </c>
      <c r="D1927" s="2" t="s">
        <v>2009</v>
      </c>
      <c r="E1927" t="s">
        <v>27</v>
      </c>
      <c r="F1927" s="14" t="s">
        <v>2000</v>
      </c>
      <c r="G1927" t="s">
        <v>1810</v>
      </c>
      <c r="H1927" t="s">
        <v>124</v>
      </c>
      <c r="I1927" t="s">
        <v>1813</v>
      </c>
      <c r="K1927" s="3" t="s">
        <v>6</v>
      </c>
      <c r="M1927" s="3"/>
    </row>
    <row r="1928" spans="1:13">
      <c r="A1928" t="s">
        <v>28</v>
      </c>
      <c r="B1928">
        <f ca="1">IF(OR(changes[[#This Row],[Type]]="Checklist",changes[[#This Row],[Type]]="checklist-flat"),1+IF(changes[[#This Row],[Type of change]] = "Edit",COUNTIFS($I$4:changes[[#This Row],[Name]],changes[[#This Row],[Name]], $E$4:changes[[#This Row],[Type of change]], "Edit")),B1927)</f>
        <v>1</v>
      </c>
      <c r="C1928" s="20">
        <v>44785</v>
      </c>
      <c r="D1928" s="2" t="s">
        <v>2009</v>
      </c>
      <c r="E1928" t="s">
        <v>27</v>
      </c>
      <c r="F1928" s="14" t="s">
        <v>2000</v>
      </c>
      <c r="G1928" t="s">
        <v>1810</v>
      </c>
      <c r="H1928" t="s">
        <v>124</v>
      </c>
      <c r="I1928" t="s">
        <v>1814</v>
      </c>
      <c r="K1928" s="3" t="s">
        <v>6</v>
      </c>
      <c r="M1928" s="3"/>
    </row>
    <row r="1929" spans="1:13">
      <c r="A1929" t="s">
        <v>28</v>
      </c>
      <c r="B1929">
        <f ca="1">IF(OR(changes[[#This Row],[Type]]="Checklist",changes[[#This Row],[Type]]="checklist-flat"),1+IF(changes[[#This Row],[Type of change]] = "Edit",COUNTIFS($I$4:changes[[#This Row],[Name]],changes[[#This Row],[Name]], $E$4:changes[[#This Row],[Type of change]], "Edit")),B1928)</f>
        <v>1</v>
      </c>
      <c r="C1929" s="20">
        <v>44785</v>
      </c>
      <c r="D1929" s="2" t="s">
        <v>2009</v>
      </c>
      <c r="E1929" t="s">
        <v>27</v>
      </c>
      <c r="F1929" s="14" t="s">
        <v>2000</v>
      </c>
      <c r="G1929" t="s">
        <v>1810</v>
      </c>
      <c r="H1929" t="s">
        <v>124</v>
      </c>
      <c r="I1929" t="s">
        <v>1723</v>
      </c>
      <c r="K1929" s="3" t="s">
        <v>6</v>
      </c>
      <c r="M1929" s="3"/>
    </row>
    <row r="1930" spans="1:13">
      <c r="A1930" t="s">
        <v>28</v>
      </c>
      <c r="B1930">
        <f ca="1">IF(OR(changes[[#This Row],[Type]]="Checklist",changes[[#This Row],[Type]]="checklist-flat"),1+IF(changes[[#This Row],[Type of change]] = "Edit",COUNTIFS($I$4:changes[[#This Row],[Name]],changes[[#This Row],[Name]], $E$4:changes[[#This Row],[Type of change]], "Edit")),B1929)</f>
        <v>1</v>
      </c>
      <c r="C1930" s="20">
        <v>44785</v>
      </c>
      <c r="D1930" s="2" t="s">
        <v>2009</v>
      </c>
      <c r="E1930" t="s">
        <v>27</v>
      </c>
      <c r="F1930" s="14" t="s">
        <v>2000</v>
      </c>
      <c r="G1930" t="s">
        <v>1810</v>
      </c>
      <c r="H1930" t="s">
        <v>124</v>
      </c>
      <c r="I1930" t="s">
        <v>1815</v>
      </c>
      <c r="K1930" s="3" t="s">
        <v>6</v>
      </c>
      <c r="M1930" s="3"/>
    </row>
    <row r="1931" spans="1:13">
      <c r="A1931" t="s">
        <v>28</v>
      </c>
      <c r="B1931">
        <f ca="1">IF(OR(changes[[#This Row],[Type]]="Checklist",changes[[#This Row],[Type]]="checklist-flat"),1+IF(changes[[#This Row],[Type of change]] = "Edit",COUNTIFS($I$4:changes[[#This Row],[Name]],changes[[#This Row],[Name]], $E$4:changes[[#This Row],[Type of change]], "Edit")),B1930)</f>
        <v>1</v>
      </c>
      <c r="C1931" s="20">
        <v>44785</v>
      </c>
      <c r="D1931" s="2" t="s">
        <v>2009</v>
      </c>
      <c r="E1931" t="s">
        <v>27</v>
      </c>
      <c r="F1931" s="14" t="s">
        <v>2000</v>
      </c>
      <c r="G1931" t="s">
        <v>1810</v>
      </c>
      <c r="H1931" t="s">
        <v>124</v>
      </c>
      <c r="I1931" t="s">
        <v>1816</v>
      </c>
      <c r="K1931" s="3" t="s">
        <v>6</v>
      </c>
      <c r="M1931" s="3"/>
    </row>
    <row r="1932" spans="1:13">
      <c r="A1932" t="s">
        <v>28</v>
      </c>
      <c r="B1932">
        <f ca="1">IF(OR(changes[[#This Row],[Type]]="Checklist",changes[[#This Row],[Type]]="checklist-flat"),1+IF(changes[[#This Row],[Type of change]] = "Edit",COUNTIFS($I$4:changes[[#This Row],[Name]],changes[[#This Row],[Name]], $E$4:changes[[#This Row],[Type of change]], "Edit")),B1931)</f>
        <v>1</v>
      </c>
      <c r="C1932" s="20">
        <v>44785</v>
      </c>
      <c r="D1932" s="2" t="s">
        <v>2009</v>
      </c>
      <c r="E1932" t="s">
        <v>27</v>
      </c>
      <c r="F1932" s="14" t="s">
        <v>2000</v>
      </c>
      <c r="G1932" t="s">
        <v>1810</v>
      </c>
      <c r="H1932" t="s">
        <v>124</v>
      </c>
      <c r="I1932" t="s">
        <v>1725</v>
      </c>
      <c r="K1932" s="3" t="s">
        <v>6</v>
      </c>
      <c r="M1932" s="3"/>
    </row>
    <row r="1933" spans="1:13">
      <c r="A1933" t="s">
        <v>28</v>
      </c>
      <c r="B1933">
        <f ca="1">IF(OR(changes[[#This Row],[Type]]="Checklist",changes[[#This Row],[Type]]="checklist-flat"),1+IF(changes[[#This Row],[Type of change]] = "Edit",COUNTIFS($I$4:changes[[#This Row],[Name]],changes[[#This Row],[Name]], $E$4:changes[[#This Row],[Type of change]], "Edit")),B1932)</f>
        <v>1</v>
      </c>
      <c r="C1933" s="20">
        <v>44785</v>
      </c>
      <c r="D1933" s="2" t="s">
        <v>2009</v>
      </c>
      <c r="E1933" t="s">
        <v>27</v>
      </c>
      <c r="F1933" s="14" t="s">
        <v>2000</v>
      </c>
      <c r="G1933" t="s">
        <v>1810</v>
      </c>
      <c r="H1933" t="s">
        <v>124</v>
      </c>
      <c r="I1933" t="s">
        <v>1726</v>
      </c>
      <c r="K1933" s="3" t="s">
        <v>6</v>
      </c>
      <c r="M1933" s="3"/>
    </row>
    <row r="1934" spans="1:13">
      <c r="A1934" t="s">
        <v>28</v>
      </c>
      <c r="B1934">
        <f ca="1">IF(OR(changes[[#This Row],[Type]]="Checklist",changes[[#This Row],[Type]]="checklist-flat"),1+IF(changes[[#This Row],[Type of change]] = "Edit",COUNTIFS($I$4:changes[[#This Row],[Name]],changes[[#This Row],[Name]], $E$4:changes[[#This Row],[Type of change]], "Edit")),B1933)</f>
        <v>1</v>
      </c>
      <c r="C1934" s="20">
        <v>44785</v>
      </c>
      <c r="D1934" s="2" t="s">
        <v>2009</v>
      </c>
      <c r="E1934" t="s">
        <v>27</v>
      </c>
      <c r="F1934" s="14" t="s">
        <v>2000</v>
      </c>
      <c r="G1934" t="s">
        <v>1810</v>
      </c>
      <c r="H1934" t="s">
        <v>49</v>
      </c>
      <c r="I1934" t="s">
        <v>1817</v>
      </c>
      <c r="K1934" s="3" t="s">
        <v>6</v>
      </c>
      <c r="M1934" s="3"/>
    </row>
    <row r="1935" spans="1:13">
      <c r="A1935" t="s">
        <v>28</v>
      </c>
      <c r="B1935">
        <f ca="1">IF(OR(changes[[#This Row],[Type]]="Checklist",changes[[#This Row],[Type]]="checklist-flat"),1+IF(changes[[#This Row],[Type of change]] = "Edit",COUNTIFS($I$4:changes[[#This Row],[Name]],changes[[#This Row],[Name]], $E$4:changes[[#This Row],[Type of change]], "Edit")),B1934)</f>
        <v>1</v>
      </c>
      <c r="C1935" s="20">
        <v>44785</v>
      </c>
      <c r="D1935" s="2" t="s">
        <v>2009</v>
      </c>
      <c r="E1935" t="s">
        <v>27</v>
      </c>
      <c r="F1935" s="14" t="s">
        <v>2000</v>
      </c>
      <c r="G1935" t="s">
        <v>1810</v>
      </c>
      <c r="H1935" t="s">
        <v>49</v>
      </c>
      <c r="I1935" t="s">
        <v>1818</v>
      </c>
      <c r="K1935" s="3" t="s">
        <v>6</v>
      </c>
      <c r="M1935" s="3"/>
    </row>
    <row r="1936" spans="1:13">
      <c r="A1936" t="s">
        <v>28</v>
      </c>
      <c r="B1936">
        <f ca="1">IF(OR(changes[[#This Row],[Type]]="Checklist",changes[[#This Row],[Type]]="checklist-flat"),1+IF(changes[[#This Row],[Type of change]] = "Edit",COUNTIFS($I$4:changes[[#This Row],[Name]],changes[[#This Row],[Name]], $E$4:changes[[#This Row],[Type of change]], "Edit")),B1935)</f>
        <v>1</v>
      </c>
      <c r="C1936" s="20">
        <v>44785</v>
      </c>
      <c r="D1936" s="2" t="s">
        <v>2009</v>
      </c>
      <c r="E1936" t="s">
        <v>27</v>
      </c>
      <c r="F1936" s="14" t="s">
        <v>2000</v>
      </c>
      <c r="G1936" t="s">
        <v>1810</v>
      </c>
      <c r="H1936" t="s">
        <v>49</v>
      </c>
      <c r="I1936" t="s">
        <v>1731</v>
      </c>
      <c r="K1936" s="3" t="s">
        <v>6</v>
      </c>
      <c r="M1936" s="3"/>
    </row>
    <row r="1937" spans="1:13">
      <c r="A1937" t="s">
        <v>28</v>
      </c>
      <c r="B1937">
        <f ca="1">IF(OR(changes[[#This Row],[Type]]="Checklist",changes[[#This Row],[Type]]="checklist-flat"),1+IF(changes[[#This Row],[Type of change]] = "Edit",COUNTIFS($I$4:changes[[#This Row],[Name]],changes[[#This Row],[Name]], $E$4:changes[[#This Row],[Type of change]], "Edit")),B1936)</f>
        <v>1</v>
      </c>
      <c r="C1937" s="20">
        <v>44785</v>
      </c>
      <c r="D1937" s="2" t="s">
        <v>2009</v>
      </c>
      <c r="E1937" t="s">
        <v>27</v>
      </c>
      <c r="F1937" s="14" t="s">
        <v>2000</v>
      </c>
      <c r="G1937" t="s">
        <v>1810</v>
      </c>
      <c r="H1937" t="s">
        <v>124</v>
      </c>
      <c r="I1937" t="s">
        <v>1819</v>
      </c>
      <c r="K1937" s="3" t="s">
        <v>6</v>
      </c>
      <c r="M1937" s="3"/>
    </row>
    <row r="1938" spans="1:13">
      <c r="A1938" t="s">
        <v>28</v>
      </c>
      <c r="B1938">
        <f ca="1">IF(OR(changes[[#This Row],[Type]]="Checklist",changes[[#This Row],[Type]]="checklist-flat"),1+IF(changes[[#This Row],[Type of change]] = "Edit",COUNTIFS($I$4:changes[[#This Row],[Name]],changes[[#This Row],[Name]], $E$4:changes[[#This Row],[Type of change]], "Edit")),B1937)</f>
        <v>1</v>
      </c>
      <c r="C1938" s="20">
        <v>44785</v>
      </c>
      <c r="D1938" s="2" t="s">
        <v>2009</v>
      </c>
      <c r="E1938" t="s">
        <v>27</v>
      </c>
      <c r="F1938" s="14" t="s">
        <v>2000</v>
      </c>
      <c r="G1938" t="s">
        <v>1810</v>
      </c>
      <c r="H1938" t="s">
        <v>49</v>
      </c>
      <c r="I1938" t="s">
        <v>1732</v>
      </c>
      <c r="K1938" s="3" t="s">
        <v>6</v>
      </c>
      <c r="M1938" s="3"/>
    </row>
    <row r="1939" spans="1:13">
      <c r="A1939" t="s">
        <v>28</v>
      </c>
      <c r="B1939">
        <f ca="1">IF(OR(changes[[#This Row],[Type]]="Checklist",changes[[#This Row],[Type]]="checklist-flat"),1+IF(changes[[#This Row],[Type of change]] = "Edit",COUNTIFS($I$4:changes[[#This Row],[Name]],changes[[#This Row],[Name]], $E$4:changes[[#This Row],[Type of change]], "Edit")),B1938)</f>
        <v>1</v>
      </c>
      <c r="C1939" s="20">
        <v>44785</v>
      </c>
      <c r="D1939" s="2" t="s">
        <v>2009</v>
      </c>
      <c r="E1939" t="s">
        <v>27</v>
      </c>
      <c r="F1939" s="14" t="s">
        <v>2000</v>
      </c>
      <c r="G1939" t="s">
        <v>1810</v>
      </c>
      <c r="H1939" t="s">
        <v>901</v>
      </c>
      <c r="I1939" t="s">
        <v>1820</v>
      </c>
      <c r="K1939" s="3" t="s">
        <v>6</v>
      </c>
      <c r="M1939" s="3"/>
    </row>
    <row r="1940" spans="1:13">
      <c r="A1940" t="s">
        <v>28</v>
      </c>
      <c r="B1940">
        <f ca="1">IF(OR(changes[[#This Row],[Type]]="Checklist",changes[[#This Row],[Type]]="checklist-flat"),1+IF(changes[[#This Row],[Type of change]] = "Edit",COUNTIFS($I$4:changes[[#This Row],[Name]],changes[[#This Row],[Name]], $E$4:changes[[#This Row],[Type of change]], "Edit")),B1939)</f>
        <v>1</v>
      </c>
      <c r="C1940" s="20">
        <v>44785</v>
      </c>
      <c r="D1940" s="2" t="s">
        <v>2009</v>
      </c>
      <c r="E1940" t="s">
        <v>27</v>
      </c>
      <c r="F1940" s="14" t="s">
        <v>2000</v>
      </c>
      <c r="G1940" t="s">
        <v>1810</v>
      </c>
      <c r="H1940" t="s">
        <v>131</v>
      </c>
      <c r="I1940" t="s">
        <v>1727</v>
      </c>
      <c r="J1940" t="s">
        <v>153</v>
      </c>
      <c r="K1940" s="3" t="s">
        <v>6</v>
      </c>
      <c r="M1940" s="3"/>
    </row>
    <row r="1941" spans="1:13">
      <c r="A1941" t="s">
        <v>28</v>
      </c>
      <c r="B1941">
        <f ca="1">IF(OR(changes[[#This Row],[Type]]="Checklist",changes[[#This Row],[Type]]="checklist-flat"),1+IF(changes[[#This Row],[Type of change]] = "Edit",COUNTIFS($I$4:changes[[#This Row],[Name]],changes[[#This Row],[Name]], $E$4:changes[[#This Row],[Type of change]], "Edit")),B1940)</f>
        <v>1</v>
      </c>
      <c r="C1941" s="20">
        <v>44785</v>
      </c>
      <c r="D1941" s="2" t="s">
        <v>2009</v>
      </c>
      <c r="E1941" t="s">
        <v>27</v>
      </c>
      <c r="F1941" s="14" t="s">
        <v>2000</v>
      </c>
      <c r="G1941" t="s">
        <v>1810</v>
      </c>
      <c r="H1941" t="s">
        <v>901</v>
      </c>
      <c r="I1941" t="s">
        <v>1728</v>
      </c>
      <c r="K1941" s="3" t="s">
        <v>6</v>
      </c>
      <c r="M1941" s="3"/>
    </row>
    <row r="1942" spans="1:13">
      <c r="A1942" t="s">
        <v>28</v>
      </c>
      <c r="B1942">
        <f ca="1">IF(OR(changes[[#This Row],[Type]]="Checklist",changes[[#This Row],[Type]]="checklist-flat"),1+IF(changes[[#This Row],[Type of change]] = "Edit",COUNTIFS($I$4:changes[[#This Row],[Name]],changes[[#This Row],[Name]], $E$4:changes[[#This Row],[Type of change]], "Edit")),B1941)</f>
        <v>1</v>
      </c>
      <c r="C1942" s="20">
        <v>44785</v>
      </c>
      <c r="D1942" s="2" t="s">
        <v>2009</v>
      </c>
      <c r="E1942" t="s">
        <v>27</v>
      </c>
      <c r="F1942" s="14" t="s">
        <v>2000</v>
      </c>
      <c r="G1942" t="s">
        <v>1810</v>
      </c>
      <c r="H1942" t="s">
        <v>901</v>
      </c>
      <c r="I1942" t="s">
        <v>1729</v>
      </c>
      <c r="K1942" s="3" t="s">
        <v>6</v>
      </c>
      <c r="M1942" s="3"/>
    </row>
    <row r="1943" spans="1:13">
      <c r="A1943" t="s">
        <v>28</v>
      </c>
      <c r="B1943">
        <f ca="1">IF(OR(changes[[#This Row],[Type]]="Checklist",changes[[#This Row],[Type]]="checklist-flat"),1+IF(changes[[#This Row],[Type of change]] = "Edit",COUNTIFS($I$4:changes[[#This Row],[Name]],changes[[#This Row],[Name]], $E$4:changes[[#This Row],[Type of change]], "Edit")),B1942)</f>
        <v>1</v>
      </c>
      <c r="C1943" s="20">
        <v>44785</v>
      </c>
      <c r="D1943" s="2" t="s">
        <v>2009</v>
      </c>
      <c r="E1943" t="s">
        <v>27</v>
      </c>
      <c r="F1943" s="14" t="s">
        <v>2000</v>
      </c>
      <c r="G1943" t="s">
        <v>1810</v>
      </c>
      <c r="H1943" t="s">
        <v>49</v>
      </c>
      <c r="I1943" t="s">
        <v>1821</v>
      </c>
      <c r="K1943" s="3" t="s">
        <v>6</v>
      </c>
      <c r="M1943" s="3"/>
    </row>
    <row r="1944" spans="1:13">
      <c r="A1944" t="s">
        <v>28</v>
      </c>
      <c r="B1944">
        <f ca="1">IF(OR(changes[[#This Row],[Type]]="Checklist",changes[[#This Row],[Type]]="checklist-flat"),1+IF(changes[[#This Row],[Type of change]] = "Edit",COUNTIFS($I$4:changes[[#This Row],[Name]],changes[[#This Row],[Name]], $E$4:changes[[#This Row],[Type of change]], "Edit")),B1943)</f>
        <v>1</v>
      </c>
      <c r="C1944" s="20">
        <v>44785</v>
      </c>
      <c r="D1944" s="2" t="s">
        <v>2009</v>
      </c>
      <c r="E1944" t="s">
        <v>27</v>
      </c>
      <c r="F1944" s="14" t="s">
        <v>2000</v>
      </c>
      <c r="G1944" t="s">
        <v>1810</v>
      </c>
      <c r="H1944" t="s">
        <v>796</v>
      </c>
      <c r="I1944" t="s">
        <v>1822</v>
      </c>
      <c r="J1944" t="s">
        <v>1823</v>
      </c>
      <c r="K1944" s="3" t="s">
        <v>6</v>
      </c>
      <c r="M1944" s="3"/>
    </row>
    <row r="1945" spans="1:13">
      <c r="A1945" t="s">
        <v>28</v>
      </c>
      <c r="B1945">
        <f ca="1">IF(OR(changes[[#This Row],[Type]]="Checklist",changes[[#This Row],[Type]]="checklist-flat"),1+IF(changes[[#This Row],[Type of change]] = "Edit",COUNTIFS($I$4:changes[[#This Row],[Name]],changes[[#This Row],[Name]], $E$4:changes[[#This Row],[Type of change]], "Edit")),B1944)</f>
        <v>1</v>
      </c>
      <c r="C1945" s="20">
        <v>44785</v>
      </c>
      <c r="D1945" s="2" t="s">
        <v>2009</v>
      </c>
      <c r="E1945" t="s">
        <v>27</v>
      </c>
      <c r="F1945" s="14" t="s">
        <v>2000</v>
      </c>
      <c r="G1945" t="s">
        <v>1810</v>
      </c>
      <c r="H1945" t="s">
        <v>1824</v>
      </c>
      <c r="I1945" t="s">
        <v>1778</v>
      </c>
      <c r="K1945" s="3" t="s">
        <v>6</v>
      </c>
      <c r="M1945" s="3"/>
    </row>
    <row r="1946" spans="1:13">
      <c r="A1946" t="s">
        <v>28</v>
      </c>
      <c r="B1946">
        <f ca="1">IF(OR(changes[[#This Row],[Type]]="Checklist",changes[[#This Row],[Type]]="checklist-flat"),1+IF(changes[[#This Row],[Type of change]] = "Edit",COUNTIFS($I$4:changes[[#This Row],[Name]],changes[[#This Row],[Name]], $E$4:changes[[#This Row],[Type of change]], "Edit")),B1945)</f>
        <v>1</v>
      </c>
      <c r="C1946" s="20">
        <v>44785</v>
      </c>
      <c r="D1946" s="2" t="s">
        <v>2009</v>
      </c>
      <c r="E1946" t="s">
        <v>27</v>
      </c>
      <c r="F1946" s="14" t="s">
        <v>2000</v>
      </c>
      <c r="G1946" t="s">
        <v>1810</v>
      </c>
      <c r="H1946" t="s">
        <v>49</v>
      </c>
      <c r="I1946" t="s">
        <v>1825</v>
      </c>
      <c r="K1946" s="3" t="s">
        <v>6</v>
      </c>
      <c r="M1946" s="3"/>
    </row>
    <row r="1947" spans="1:13">
      <c r="A1947" t="s">
        <v>28</v>
      </c>
      <c r="B1947">
        <f ca="1">IF(OR(changes[[#This Row],[Type]]="Checklist",changes[[#This Row],[Type]]="checklist-flat"),1+IF(changes[[#This Row],[Type of change]] = "Edit",COUNTIFS($I$4:changes[[#This Row],[Name]],changes[[#This Row],[Name]], $E$4:changes[[#This Row],[Type of change]], "Edit")),B1946)</f>
        <v>1</v>
      </c>
      <c r="C1947" s="20">
        <v>44785</v>
      </c>
      <c r="D1947" s="2" t="s">
        <v>2009</v>
      </c>
      <c r="E1947" t="s">
        <v>27</v>
      </c>
      <c r="F1947" s="14" t="s">
        <v>2000</v>
      </c>
      <c r="G1947" t="s">
        <v>1810</v>
      </c>
      <c r="H1947" t="s">
        <v>58</v>
      </c>
      <c r="I1947" t="s">
        <v>1801</v>
      </c>
      <c r="K1947" s="3" t="s">
        <v>6</v>
      </c>
      <c r="M1947" s="3"/>
    </row>
    <row r="1948" spans="1:13">
      <c r="A1948" t="s">
        <v>28</v>
      </c>
      <c r="B1948">
        <f ca="1">IF(OR(changes[[#This Row],[Type]]="Checklist",changes[[#This Row],[Type]]="checklist-flat"),1+IF(changes[[#This Row],[Type of change]] = "Edit",COUNTIFS($I$4:changes[[#This Row],[Name]],changes[[#This Row],[Name]], $E$4:changes[[#This Row],[Type of change]], "Edit")),B1947)</f>
        <v>1</v>
      </c>
      <c r="C1948" s="20">
        <v>44785</v>
      </c>
      <c r="D1948" s="2" t="s">
        <v>2009</v>
      </c>
      <c r="E1948" t="s">
        <v>27</v>
      </c>
      <c r="F1948" s="14" t="s">
        <v>2000</v>
      </c>
      <c r="G1948" t="s">
        <v>1826</v>
      </c>
      <c r="H1948" t="s">
        <v>119</v>
      </c>
      <c r="I1948" t="s">
        <v>1826</v>
      </c>
      <c r="K1948" s="3" t="s">
        <v>6</v>
      </c>
      <c r="M1948" s="3"/>
    </row>
    <row r="1949" spans="1:13">
      <c r="A1949" t="s">
        <v>28</v>
      </c>
      <c r="B1949">
        <f ca="1">IF(OR(changes[[#This Row],[Type]]="Checklist",changes[[#This Row],[Type]]="checklist-flat"),1+IF(changes[[#This Row],[Type of change]] = "Edit",COUNTIFS($I$4:changes[[#This Row],[Name]],changes[[#This Row],[Name]], $E$4:changes[[#This Row],[Type of change]], "Edit")),B1948)</f>
        <v>1</v>
      </c>
      <c r="C1949" s="20">
        <v>44785</v>
      </c>
      <c r="D1949" s="2" t="s">
        <v>2009</v>
      </c>
      <c r="E1949" t="s">
        <v>27</v>
      </c>
      <c r="F1949" s="14" t="s">
        <v>2000</v>
      </c>
      <c r="G1949" t="s">
        <v>1826</v>
      </c>
      <c r="H1949" t="s">
        <v>49</v>
      </c>
      <c r="I1949" t="s">
        <v>1827</v>
      </c>
      <c r="K1949" s="3" t="s">
        <v>6</v>
      </c>
      <c r="M1949" s="3"/>
    </row>
    <row r="1950" spans="1:13">
      <c r="A1950" t="s">
        <v>28</v>
      </c>
      <c r="B1950">
        <f ca="1">IF(OR(changes[[#This Row],[Type]]="Checklist",changes[[#This Row],[Type]]="checklist-flat"),1+IF(changes[[#This Row],[Type of change]] = "Edit",COUNTIFS($I$4:changes[[#This Row],[Name]],changes[[#This Row],[Name]], $E$4:changes[[#This Row],[Type of change]], "Edit")),B1949)</f>
        <v>1</v>
      </c>
      <c r="C1950" s="20">
        <v>44785</v>
      </c>
      <c r="D1950" s="2" t="s">
        <v>2009</v>
      </c>
      <c r="E1950" t="s">
        <v>27</v>
      </c>
      <c r="F1950" s="14" t="s">
        <v>2000</v>
      </c>
      <c r="G1950" t="s">
        <v>1826</v>
      </c>
      <c r="H1950" t="s">
        <v>124</v>
      </c>
      <c r="I1950" t="s">
        <v>1745</v>
      </c>
      <c r="K1950" s="3" t="s">
        <v>6</v>
      </c>
      <c r="M1950" s="3"/>
    </row>
    <row r="1951" spans="1:13">
      <c r="A1951" t="s">
        <v>28</v>
      </c>
      <c r="B1951">
        <f ca="1">IF(OR(changes[[#This Row],[Type]]="Checklist",changes[[#This Row],[Type]]="checklist-flat"),1+IF(changes[[#This Row],[Type of change]] = "Edit",COUNTIFS($I$4:changes[[#This Row],[Name]],changes[[#This Row],[Name]], $E$4:changes[[#This Row],[Type of change]], "Edit")),B1950)</f>
        <v>1</v>
      </c>
      <c r="C1951" s="20">
        <v>44785</v>
      </c>
      <c r="D1951" s="2" t="s">
        <v>2009</v>
      </c>
      <c r="E1951" t="s">
        <v>27</v>
      </c>
      <c r="F1951" s="14" t="s">
        <v>2000</v>
      </c>
      <c r="G1951" t="s">
        <v>1826</v>
      </c>
      <c r="H1951" t="s">
        <v>124</v>
      </c>
      <c r="I1951" t="s">
        <v>1746</v>
      </c>
      <c r="K1951" s="3" t="s">
        <v>6</v>
      </c>
      <c r="M1951" s="3"/>
    </row>
    <row r="1952" spans="1:13">
      <c r="A1952" t="s">
        <v>28</v>
      </c>
      <c r="B1952">
        <f ca="1">IF(OR(changes[[#This Row],[Type]]="Checklist",changes[[#This Row],[Type]]="checklist-flat"),1+IF(changes[[#This Row],[Type of change]] = "Edit",COUNTIFS($I$4:changes[[#This Row],[Name]],changes[[#This Row],[Name]], $E$4:changes[[#This Row],[Type of change]], "Edit")),B1951)</f>
        <v>1</v>
      </c>
      <c r="C1952" s="20">
        <v>44785</v>
      </c>
      <c r="D1952" s="2" t="s">
        <v>2009</v>
      </c>
      <c r="E1952" t="s">
        <v>27</v>
      </c>
      <c r="F1952" s="14" t="s">
        <v>2000</v>
      </c>
      <c r="G1952" t="s">
        <v>1826</v>
      </c>
      <c r="H1952" t="s">
        <v>124</v>
      </c>
      <c r="I1952" t="s">
        <v>1747</v>
      </c>
      <c r="K1952" s="3" t="s">
        <v>6</v>
      </c>
      <c r="M1952" s="3"/>
    </row>
    <row r="1953" spans="1:13">
      <c r="A1953" t="s">
        <v>28</v>
      </c>
      <c r="B1953">
        <f ca="1">IF(OR(changes[[#This Row],[Type]]="Checklist",changes[[#This Row],[Type]]="checklist-flat"),1+IF(changes[[#This Row],[Type of change]] = "Edit",COUNTIFS($I$4:changes[[#This Row],[Name]],changes[[#This Row],[Name]], $E$4:changes[[#This Row],[Type of change]], "Edit")),B1952)</f>
        <v>1</v>
      </c>
      <c r="C1953" s="20">
        <v>44785</v>
      </c>
      <c r="D1953" s="2" t="s">
        <v>2009</v>
      </c>
      <c r="E1953" t="s">
        <v>27</v>
      </c>
      <c r="F1953" s="14" t="s">
        <v>2000</v>
      </c>
      <c r="G1953" t="s">
        <v>1826</v>
      </c>
      <c r="H1953" t="s">
        <v>58</v>
      </c>
      <c r="I1953" t="s">
        <v>1828</v>
      </c>
      <c r="K1953" s="3" t="s">
        <v>6</v>
      </c>
      <c r="M1953" s="3"/>
    </row>
    <row r="1954" spans="1:13">
      <c r="A1954" t="s">
        <v>28</v>
      </c>
      <c r="B1954">
        <f ca="1">IF(OR(changes[[#This Row],[Type]]="Checklist",changes[[#This Row],[Type]]="checklist-flat"),1+IF(changes[[#This Row],[Type of change]] = "Edit",COUNTIFS($I$4:changes[[#This Row],[Name]],changes[[#This Row],[Name]], $E$4:changes[[#This Row],[Type of change]], "Edit")),B1953)</f>
        <v>1</v>
      </c>
      <c r="C1954" s="20">
        <v>44785</v>
      </c>
      <c r="D1954" s="2" t="s">
        <v>2009</v>
      </c>
      <c r="E1954" t="s">
        <v>27</v>
      </c>
      <c r="F1954" s="14" t="s">
        <v>2000</v>
      </c>
      <c r="G1954" t="s">
        <v>1829</v>
      </c>
      <c r="H1954" t="s">
        <v>119</v>
      </c>
      <c r="I1954" t="s">
        <v>1829</v>
      </c>
      <c r="K1954" s="3" t="s">
        <v>6</v>
      </c>
      <c r="M1954" s="3"/>
    </row>
    <row r="1955" spans="1:13">
      <c r="A1955" t="s">
        <v>28</v>
      </c>
      <c r="B1955">
        <f ca="1">IF(OR(changes[[#This Row],[Type]]="Checklist",changes[[#This Row],[Type]]="checklist-flat"),1+IF(changes[[#This Row],[Type of change]] = "Edit",COUNTIFS($I$4:changes[[#This Row],[Name]],changes[[#This Row],[Name]], $E$4:changes[[#This Row],[Type of change]], "Edit")),B1954)</f>
        <v>1</v>
      </c>
      <c r="C1955" s="20">
        <v>44785</v>
      </c>
      <c r="D1955" s="2" t="s">
        <v>2009</v>
      </c>
      <c r="E1955" t="s">
        <v>27</v>
      </c>
      <c r="F1955" s="14" t="s">
        <v>2000</v>
      </c>
      <c r="G1955" t="s">
        <v>1829</v>
      </c>
      <c r="H1955" t="s">
        <v>49</v>
      </c>
      <c r="I1955" t="s">
        <v>1721</v>
      </c>
      <c r="K1955" s="3" t="s">
        <v>6</v>
      </c>
      <c r="M1955" s="3"/>
    </row>
    <row r="1956" spans="1:13">
      <c r="A1956" t="s">
        <v>28</v>
      </c>
      <c r="B1956">
        <f ca="1">IF(OR(changes[[#This Row],[Type]]="Checklist",changes[[#This Row],[Type]]="checklist-flat"),1+IF(changes[[#This Row],[Type of change]] = "Edit",COUNTIFS($I$4:changes[[#This Row],[Name]],changes[[#This Row],[Name]], $E$4:changes[[#This Row],[Type of change]], "Edit")),B1955)</f>
        <v>1</v>
      </c>
      <c r="C1956" s="20">
        <v>44785</v>
      </c>
      <c r="D1956" s="2" t="s">
        <v>2009</v>
      </c>
      <c r="E1956" t="s">
        <v>27</v>
      </c>
      <c r="F1956" s="14" t="s">
        <v>2000</v>
      </c>
      <c r="G1956" t="s">
        <v>1829</v>
      </c>
      <c r="H1956" t="s">
        <v>124</v>
      </c>
      <c r="I1956" t="s">
        <v>1830</v>
      </c>
      <c r="K1956" s="3" t="s">
        <v>6</v>
      </c>
      <c r="M1956" s="3"/>
    </row>
    <row r="1957" spans="1:13">
      <c r="A1957" t="s">
        <v>28</v>
      </c>
      <c r="B1957">
        <f ca="1">IF(OR(changes[[#This Row],[Type]]="Checklist",changes[[#This Row],[Type]]="checklist-flat"),1+IF(changes[[#This Row],[Type of change]] = "Edit",COUNTIFS($I$4:changes[[#This Row],[Name]],changes[[#This Row],[Name]], $E$4:changes[[#This Row],[Type of change]], "Edit")),B1956)</f>
        <v>1</v>
      </c>
      <c r="C1957" s="20">
        <v>44785</v>
      </c>
      <c r="D1957" s="2" t="s">
        <v>2009</v>
      </c>
      <c r="E1957" t="s">
        <v>27</v>
      </c>
      <c r="F1957" s="14" t="s">
        <v>2000</v>
      </c>
      <c r="G1957" t="s">
        <v>1829</v>
      </c>
      <c r="H1957" t="s">
        <v>124</v>
      </c>
      <c r="I1957" t="s">
        <v>1831</v>
      </c>
      <c r="K1957" s="3" t="s">
        <v>6</v>
      </c>
      <c r="M1957" s="3"/>
    </row>
    <row r="1958" spans="1:13">
      <c r="A1958" t="s">
        <v>28</v>
      </c>
      <c r="B1958">
        <f ca="1">IF(OR(changes[[#This Row],[Type]]="Checklist",changes[[#This Row],[Type]]="checklist-flat"),1+IF(changes[[#This Row],[Type of change]] = "Edit",COUNTIFS($I$4:changes[[#This Row],[Name]],changes[[#This Row],[Name]], $E$4:changes[[#This Row],[Type of change]], "Edit")),B1957)</f>
        <v>1</v>
      </c>
      <c r="C1958" s="20">
        <v>44785</v>
      </c>
      <c r="D1958" s="2" t="s">
        <v>2009</v>
      </c>
      <c r="E1958" t="s">
        <v>27</v>
      </c>
      <c r="F1958" s="14" t="s">
        <v>2000</v>
      </c>
      <c r="G1958" t="s">
        <v>1829</v>
      </c>
      <c r="H1958" t="s">
        <v>124</v>
      </c>
      <c r="I1958" t="s">
        <v>1832</v>
      </c>
      <c r="K1958" s="3" t="s">
        <v>6</v>
      </c>
      <c r="M1958" s="3"/>
    </row>
    <row r="1959" spans="1:13">
      <c r="A1959" t="s">
        <v>28</v>
      </c>
      <c r="B1959">
        <f ca="1">IF(OR(changes[[#This Row],[Type]]="Checklist",changes[[#This Row],[Type]]="checklist-flat"),1+IF(changes[[#This Row],[Type of change]] = "Edit",COUNTIFS($I$4:changes[[#This Row],[Name]],changes[[#This Row],[Name]], $E$4:changes[[#This Row],[Type of change]], "Edit")),B1958)</f>
        <v>1</v>
      </c>
      <c r="C1959" s="20">
        <v>44785</v>
      </c>
      <c r="D1959" s="2" t="s">
        <v>2009</v>
      </c>
      <c r="E1959" t="s">
        <v>27</v>
      </c>
      <c r="F1959" s="14" t="s">
        <v>2000</v>
      </c>
      <c r="G1959" t="s">
        <v>1829</v>
      </c>
      <c r="H1959" t="s">
        <v>49</v>
      </c>
      <c r="I1959" t="s">
        <v>1833</v>
      </c>
      <c r="K1959" s="3" t="s">
        <v>6</v>
      </c>
      <c r="M1959" s="3"/>
    </row>
    <row r="1960" spans="1:13">
      <c r="A1960" t="s">
        <v>28</v>
      </c>
      <c r="B1960">
        <f ca="1">IF(OR(changes[[#This Row],[Type]]="Checklist",changes[[#This Row],[Type]]="checklist-flat"),1+IF(changes[[#This Row],[Type of change]] = "Edit",COUNTIFS($I$4:changes[[#This Row],[Name]],changes[[#This Row],[Name]], $E$4:changes[[#This Row],[Type of change]], "Edit")),B1959)</f>
        <v>1</v>
      </c>
      <c r="C1960" s="20">
        <v>44785</v>
      </c>
      <c r="D1960" s="2" t="s">
        <v>2009</v>
      </c>
      <c r="E1960" t="s">
        <v>27</v>
      </c>
      <c r="F1960" s="14" t="s">
        <v>2000</v>
      </c>
      <c r="G1960" t="s">
        <v>1829</v>
      </c>
      <c r="H1960" t="s">
        <v>1739</v>
      </c>
      <c r="I1960" t="s">
        <v>1834</v>
      </c>
      <c r="K1960" s="3" t="s">
        <v>6</v>
      </c>
      <c r="M1960" s="3"/>
    </row>
    <row r="1961" spans="1:13">
      <c r="A1961" t="s">
        <v>28</v>
      </c>
      <c r="B1961">
        <f ca="1">IF(OR(changes[[#This Row],[Type]]="Checklist",changes[[#This Row],[Type]]="checklist-flat"),1+IF(changes[[#This Row],[Type of change]] = "Edit",COUNTIFS($I$4:changes[[#This Row],[Name]],changes[[#This Row],[Name]], $E$4:changes[[#This Row],[Type of change]], "Edit")),B1960)</f>
        <v>1</v>
      </c>
      <c r="C1961" s="20">
        <v>44785</v>
      </c>
      <c r="D1961" s="2" t="s">
        <v>2009</v>
      </c>
      <c r="E1961" t="s">
        <v>27</v>
      </c>
      <c r="F1961" s="14" t="s">
        <v>2000</v>
      </c>
      <c r="G1961" t="s">
        <v>1829</v>
      </c>
      <c r="H1961" t="s">
        <v>1739</v>
      </c>
      <c r="I1961" t="s">
        <v>1835</v>
      </c>
      <c r="J1961" s="39"/>
      <c r="K1961" s="3" t="s">
        <v>6</v>
      </c>
      <c r="M1961" s="3"/>
    </row>
    <row r="1962" spans="1:13">
      <c r="A1962" t="s">
        <v>28</v>
      </c>
      <c r="B1962">
        <f ca="1">IF(OR(changes[[#This Row],[Type]]="Checklist",changes[[#This Row],[Type]]="checklist-flat"),1+IF(changes[[#This Row],[Type of change]] = "Edit",COUNTIFS($I$4:changes[[#This Row],[Name]],changes[[#This Row],[Name]], $E$4:changes[[#This Row],[Type of change]], "Edit")),B1961)</f>
        <v>1</v>
      </c>
      <c r="C1962" s="20">
        <v>44785</v>
      </c>
      <c r="D1962" s="2" t="s">
        <v>2009</v>
      </c>
      <c r="E1962" t="s">
        <v>27</v>
      </c>
      <c r="F1962" s="14" t="s">
        <v>2000</v>
      </c>
      <c r="G1962" t="s">
        <v>1829</v>
      </c>
      <c r="H1962" t="s">
        <v>1739</v>
      </c>
      <c r="I1962" t="s">
        <v>1836</v>
      </c>
      <c r="J1962" s="39"/>
      <c r="K1962" s="3" t="s">
        <v>6</v>
      </c>
      <c r="M1962" s="3"/>
    </row>
    <row r="1963" spans="1:13">
      <c r="A1963" t="s">
        <v>28</v>
      </c>
      <c r="B1963">
        <f ca="1">IF(OR(changes[[#This Row],[Type]]="Checklist",changes[[#This Row],[Type]]="checklist-flat"),1+IF(changes[[#This Row],[Type of change]] = "Edit",COUNTIFS($I$4:changes[[#This Row],[Name]],changes[[#This Row],[Name]], $E$4:changes[[#This Row],[Type of change]], "Edit")),B1962)</f>
        <v>1</v>
      </c>
      <c r="C1963" s="20">
        <v>44785</v>
      </c>
      <c r="D1963" s="2" t="s">
        <v>2009</v>
      </c>
      <c r="E1963" t="s">
        <v>27</v>
      </c>
      <c r="F1963" s="14" t="s">
        <v>2000</v>
      </c>
      <c r="G1963" t="s">
        <v>1829</v>
      </c>
      <c r="H1963" t="s">
        <v>1739</v>
      </c>
      <c r="I1963" t="s">
        <v>1837</v>
      </c>
      <c r="J1963" s="39"/>
      <c r="K1963" s="3" t="s">
        <v>6</v>
      </c>
      <c r="M1963" s="3"/>
    </row>
    <row r="1964" spans="1:13">
      <c r="A1964" t="s">
        <v>28</v>
      </c>
      <c r="B1964">
        <f ca="1">IF(OR(changes[[#This Row],[Type]]="Checklist",changes[[#This Row],[Type]]="checklist-flat"),1+IF(changes[[#This Row],[Type of change]] = "Edit",COUNTIFS($I$4:changes[[#This Row],[Name]],changes[[#This Row],[Name]], $E$4:changes[[#This Row],[Type of change]], "Edit")),B1963)</f>
        <v>1</v>
      </c>
      <c r="C1964" s="20">
        <v>44785</v>
      </c>
      <c r="D1964" s="2" t="s">
        <v>2009</v>
      </c>
      <c r="E1964" t="s">
        <v>27</v>
      </c>
      <c r="F1964" s="14" t="s">
        <v>2000</v>
      </c>
      <c r="G1964" t="s">
        <v>1829</v>
      </c>
      <c r="H1964" t="s">
        <v>49</v>
      </c>
      <c r="I1964" t="s">
        <v>1838</v>
      </c>
      <c r="K1964" s="3" t="s">
        <v>6</v>
      </c>
      <c r="M1964" s="3"/>
    </row>
    <row r="1965" spans="1:13">
      <c r="A1965" t="s">
        <v>28</v>
      </c>
      <c r="B1965">
        <f ca="1">IF(OR(changes[[#This Row],[Type]]="Checklist",changes[[#This Row],[Type]]="checklist-flat"),1+IF(changes[[#This Row],[Type of change]] = "Edit",COUNTIFS($I$4:changes[[#This Row],[Name]],changes[[#This Row],[Name]], $E$4:changes[[#This Row],[Type of change]], "Edit")),B1964)</f>
        <v>1</v>
      </c>
      <c r="C1965" s="20">
        <v>44785</v>
      </c>
      <c r="D1965" s="2" t="s">
        <v>2009</v>
      </c>
      <c r="E1965" t="s">
        <v>27</v>
      </c>
      <c r="F1965" s="14" t="s">
        <v>2000</v>
      </c>
      <c r="G1965" t="s">
        <v>1829</v>
      </c>
      <c r="H1965" t="s">
        <v>1739</v>
      </c>
      <c r="I1965" t="s">
        <v>1839</v>
      </c>
      <c r="K1965" s="3" t="s">
        <v>6</v>
      </c>
      <c r="M1965" s="3"/>
    </row>
    <row r="1966" spans="1:13">
      <c r="A1966" t="s">
        <v>28</v>
      </c>
      <c r="B1966">
        <f ca="1">IF(OR(changes[[#This Row],[Type]]="Checklist",changes[[#This Row],[Type]]="checklist-flat"),1+IF(changes[[#This Row],[Type of change]] = "Edit",COUNTIFS($I$4:changes[[#This Row],[Name]],changes[[#This Row],[Name]], $E$4:changes[[#This Row],[Type of change]], "Edit")),B1965)</f>
        <v>1</v>
      </c>
      <c r="C1966" s="20">
        <v>44785</v>
      </c>
      <c r="D1966" s="2" t="s">
        <v>2009</v>
      </c>
      <c r="E1966" t="s">
        <v>27</v>
      </c>
      <c r="F1966" s="14" t="s">
        <v>2000</v>
      </c>
      <c r="G1966" t="s">
        <v>1829</v>
      </c>
      <c r="H1966" t="s">
        <v>49</v>
      </c>
      <c r="I1966" t="s">
        <v>1840</v>
      </c>
      <c r="K1966" s="3" t="s">
        <v>6</v>
      </c>
      <c r="M1966" s="3"/>
    </row>
    <row r="1967" spans="1:13">
      <c r="A1967" t="s">
        <v>28</v>
      </c>
      <c r="B1967">
        <f ca="1">IF(OR(changes[[#This Row],[Type]]="Checklist",changes[[#This Row],[Type]]="checklist-flat"),1+IF(changes[[#This Row],[Type of change]] = "Edit",COUNTIFS($I$4:changes[[#This Row],[Name]],changes[[#This Row],[Name]], $E$4:changes[[#This Row],[Type of change]], "Edit")),B1966)</f>
        <v>1</v>
      </c>
      <c r="C1967" s="20">
        <v>44785</v>
      </c>
      <c r="D1967" s="2" t="s">
        <v>2009</v>
      </c>
      <c r="E1967" t="s">
        <v>27</v>
      </c>
      <c r="F1967" s="14" t="s">
        <v>2000</v>
      </c>
      <c r="G1967" t="s">
        <v>1829</v>
      </c>
      <c r="H1967" t="s">
        <v>1739</v>
      </c>
      <c r="I1967" t="s">
        <v>1841</v>
      </c>
      <c r="K1967" s="3" t="s">
        <v>6</v>
      </c>
      <c r="M1967" s="3"/>
    </row>
    <row r="1968" spans="1:13">
      <c r="A1968" t="s">
        <v>28</v>
      </c>
      <c r="B1968">
        <f ca="1">IF(OR(changes[[#This Row],[Type]]="Checklist",changes[[#This Row],[Type]]="checklist-flat"),1+IF(changes[[#This Row],[Type of change]] = "Edit",COUNTIFS($I$4:changes[[#This Row],[Name]],changes[[#This Row],[Name]], $E$4:changes[[#This Row],[Type of change]], "Edit")),B1967)</f>
        <v>1</v>
      </c>
      <c r="C1968" s="20">
        <v>44785</v>
      </c>
      <c r="D1968" s="2" t="s">
        <v>2009</v>
      </c>
      <c r="E1968" t="s">
        <v>27</v>
      </c>
      <c r="F1968" s="14" t="s">
        <v>2000</v>
      </c>
      <c r="G1968" t="s">
        <v>1829</v>
      </c>
      <c r="H1968" t="s">
        <v>1739</v>
      </c>
      <c r="I1968" t="s">
        <v>1842</v>
      </c>
      <c r="J1968" s="39"/>
      <c r="K1968" s="3" t="s">
        <v>6</v>
      </c>
      <c r="M1968" s="3"/>
    </row>
    <row r="1969" spans="1:13">
      <c r="A1969" t="s">
        <v>28</v>
      </c>
      <c r="B1969">
        <f ca="1">IF(OR(changes[[#This Row],[Type]]="Checklist",changes[[#This Row],[Type]]="checklist-flat"),1+IF(changes[[#This Row],[Type of change]] = "Edit",COUNTIFS($I$4:changes[[#This Row],[Name]],changes[[#This Row],[Name]], $E$4:changes[[#This Row],[Type of change]], "Edit")),B1968)</f>
        <v>1</v>
      </c>
      <c r="C1969" s="20">
        <v>44785</v>
      </c>
      <c r="D1969" s="2" t="s">
        <v>2009</v>
      </c>
      <c r="E1969" t="s">
        <v>27</v>
      </c>
      <c r="F1969" s="14" t="s">
        <v>2000</v>
      </c>
      <c r="G1969" t="s">
        <v>1829</v>
      </c>
      <c r="H1969" t="s">
        <v>1739</v>
      </c>
      <c r="I1969" t="s">
        <v>1843</v>
      </c>
      <c r="J1969" s="39"/>
      <c r="K1969" s="3" t="s">
        <v>6</v>
      </c>
      <c r="M1969" s="3"/>
    </row>
    <row r="1970" spans="1:13">
      <c r="A1970" t="s">
        <v>28</v>
      </c>
      <c r="B1970">
        <f ca="1">IF(OR(changes[[#This Row],[Type]]="Checklist",changes[[#This Row],[Type]]="checklist-flat"),1+IF(changes[[#This Row],[Type of change]] = "Edit",COUNTIFS($I$4:changes[[#This Row],[Name]],changes[[#This Row],[Name]], $E$4:changes[[#This Row],[Type of change]], "Edit")),B1969)</f>
        <v>1</v>
      </c>
      <c r="C1970" s="20">
        <v>44785</v>
      </c>
      <c r="D1970" s="2" t="s">
        <v>2009</v>
      </c>
      <c r="E1970" t="s">
        <v>27</v>
      </c>
      <c r="F1970" s="14" t="s">
        <v>2000</v>
      </c>
      <c r="G1970" t="s">
        <v>1829</v>
      </c>
      <c r="H1970" t="s">
        <v>1739</v>
      </c>
      <c r="I1970" t="s">
        <v>1844</v>
      </c>
      <c r="J1970" s="39"/>
      <c r="K1970" s="3" t="s">
        <v>6</v>
      </c>
      <c r="M1970" s="3"/>
    </row>
    <row r="1971" spans="1:13">
      <c r="A1971" t="s">
        <v>28</v>
      </c>
      <c r="B1971">
        <f ca="1">IF(OR(changes[[#This Row],[Type]]="Checklist",changes[[#This Row],[Type]]="checklist-flat"),1+IF(changes[[#This Row],[Type of change]] = "Edit",COUNTIFS($I$4:changes[[#This Row],[Name]],changes[[#This Row],[Name]], $E$4:changes[[#This Row],[Type of change]], "Edit")),B1970)</f>
        <v>1</v>
      </c>
      <c r="C1971" s="20">
        <v>44785</v>
      </c>
      <c r="D1971" s="2" t="s">
        <v>2009</v>
      </c>
      <c r="E1971" t="s">
        <v>27</v>
      </c>
      <c r="F1971" s="14" t="s">
        <v>2000</v>
      </c>
      <c r="G1971" t="s">
        <v>1829</v>
      </c>
      <c r="H1971" t="s">
        <v>1739</v>
      </c>
      <c r="I1971" t="s">
        <v>1845</v>
      </c>
      <c r="J1971" s="39"/>
      <c r="K1971" s="3" t="s">
        <v>6</v>
      </c>
      <c r="M1971" s="3"/>
    </row>
    <row r="1972" spans="1:13">
      <c r="A1972" t="s">
        <v>28</v>
      </c>
      <c r="B1972">
        <f ca="1">IF(OR(changes[[#This Row],[Type]]="Checklist",changes[[#This Row],[Type]]="checklist-flat"),1+IF(changes[[#This Row],[Type of change]] = "Edit",COUNTIFS($I$4:changes[[#This Row],[Name]],changes[[#This Row],[Name]], $E$4:changes[[#This Row],[Type of change]], "Edit")),B1971)</f>
        <v>1</v>
      </c>
      <c r="C1972" s="20">
        <v>44785</v>
      </c>
      <c r="D1972" s="2" t="s">
        <v>2009</v>
      </c>
      <c r="E1972" t="s">
        <v>27</v>
      </c>
      <c r="F1972" s="14" t="s">
        <v>2000</v>
      </c>
      <c r="G1972" t="s">
        <v>1829</v>
      </c>
      <c r="H1972" t="s">
        <v>49</v>
      </c>
      <c r="I1972" t="s">
        <v>1846</v>
      </c>
      <c r="K1972" s="3" t="s">
        <v>6</v>
      </c>
      <c r="M1972" s="3"/>
    </row>
    <row r="1973" spans="1:13" ht="15.75">
      <c r="A1973" t="s">
        <v>28</v>
      </c>
      <c r="B1973">
        <f ca="1">IF(OR(changes[[#This Row],[Type]]="Checklist",changes[[#This Row],[Type]]="checklist-flat"),1+IF(changes[[#This Row],[Type of change]] = "Edit",COUNTIFS($I$4:changes[[#This Row],[Name]],changes[[#This Row],[Name]], $E$4:changes[[#This Row],[Type of change]], "Edit")),B1972)</f>
        <v>3</v>
      </c>
      <c r="C1973" s="20">
        <v>44799</v>
      </c>
      <c r="D1973" s="2" t="s">
        <v>2009</v>
      </c>
      <c r="E1973" t="s">
        <v>15</v>
      </c>
      <c r="F1973" s="14" t="s">
        <v>9</v>
      </c>
      <c r="G1973" s="38" t="s">
        <v>359</v>
      </c>
      <c r="H1973" s="30" t="s">
        <v>119</v>
      </c>
      <c r="I1973" s="38" t="s">
        <v>359</v>
      </c>
      <c r="J1973" s="39"/>
      <c r="K1973" s="3" t="s">
        <v>6</v>
      </c>
      <c r="L1973" t="s">
        <v>2410</v>
      </c>
      <c r="M1973" s="3" t="s">
        <v>2411</v>
      </c>
    </row>
    <row r="1974" spans="1:13" ht="15.75">
      <c r="A1974" t="s">
        <v>28</v>
      </c>
      <c r="B1974">
        <f ca="1">IF(OR(changes[[#This Row],[Type]]="Checklist",changes[[#This Row],[Type]]="checklist-flat"),1+IF(changes[[#This Row],[Type of change]] = "Edit",COUNTIFS($I$4:changes[[#This Row],[Name]],changes[[#This Row],[Name]], $E$4:changes[[#This Row],[Type of change]], "Edit")),B1973)</f>
        <v>3</v>
      </c>
      <c r="C1974" s="20">
        <v>44799</v>
      </c>
      <c r="D1974" s="2" t="s">
        <v>2009</v>
      </c>
      <c r="E1974" t="s">
        <v>15</v>
      </c>
      <c r="F1974" s="14" t="s">
        <v>9</v>
      </c>
      <c r="G1974" s="38" t="s">
        <v>359</v>
      </c>
      <c r="H1974" s="30" t="s">
        <v>120</v>
      </c>
      <c r="I1974" s="38" t="s">
        <v>360</v>
      </c>
      <c r="J1974" s="39"/>
      <c r="K1974" s="3" t="s">
        <v>6</v>
      </c>
      <c r="L1974" t="s">
        <v>2410</v>
      </c>
      <c r="M1974" s="3"/>
    </row>
    <row r="1975" spans="1:13" ht="15.75">
      <c r="A1975" t="s">
        <v>28</v>
      </c>
      <c r="B1975">
        <f ca="1">IF(OR(changes[[#This Row],[Type]]="Checklist",changes[[#This Row],[Type]]="checklist-flat"),1+IF(changes[[#This Row],[Type of change]] = "Edit",COUNTIFS($I$4:changes[[#This Row],[Name]],changes[[#This Row],[Name]], $E$4:changes[[#This Row],[Type of change]], "Edit")),B1974)</f>
        <v>3</v>
      </c>
      <c r="C1975" s="20">
        <v>44799</v>
      </c>
      <c r="D1975" s="2" t="s">
        <v>2009</v>
      </c>
      <c r="E1975" t="s">
        <v>15</v>
      </c>
      <c r="F1975" s="14" t="s">
        <v>9</v>
      </c>
      <c r="G1975" s="38" t="s">
        <v>359</v>
      </c>
      <c r="H1975" s="30" t="s">
        <v>49</v>
      </c>
      <c r="I1975" s="38" t="s">
        <v>1677</v>
      </c>
      <c r="J1975" s="39"/>
      <c r="K1975" s="3" t="s">
        <v>6</v>
      </c>
      <c r="L1975" t="s">
        <v>2410</v>
      </c>
      <c r="M1975" s="3"/>
    </row>
    <row r="1976" spans="1:13" ht="15.75">
      <c r="A1976" t="s">
        <v>28</v>
      </c>
      <c r="B1976">
        <f ca="1">IF(OR(changes[[#This Row],[Type]]="Checklist",changes[[#This Row],[Type]]="checklist-flat"),1+IF(changes[[#This Row],[Type of change]] = "Edit",COUNTIFS($I$4:changes[[#This Row],[Name]],changes[[#This Row],[Name]], $E$4:changes[[#This Row],[Type of change]], "Edit")),B1975)</f>
        <v>3</v>
      </c>
      <c r="C1976" s="20">
        <v>44799</v>
      </c>
      <c r="D1976" s="2" t="s">
        <v>2009</v>
      </c>
      <c r="E1976" t="s">
        <v>15</v>
      </c>
      <c r="F1976" s="14" t="s">
        <v>9</v>
      </c>
      <c r="G1976" s="38" t="s">
        <v>359</v>
      </c>
      <c r="H1976" s="3" t="s">
        <v>49</v>
      </c>
      <c r="I1976" s="24" t="s">
        <v>1322</v>
      </c>
      <c r="J1976" s="40"/>
      <c r="K1976" s="3" t="s">
        <v>6</v>
      </c>
      <c r="L1976" t="s">
        <v>2410</v>
      </c>
      <c r="M1976" s="3"/>
    </row>
    <row r="1977" spans="1:13" ht="15.75">
      <c r="A1977" t="s">
        <v>28</v>
      </c>
      <c r="B1977">
        <f ca="1">IF(OR(changes[[#This Row],[Type]]="Checklist",changes[[#This Row],[Type]]="checklist-flat"),1+IF(changes[[#This Row],[Type of change]] = "Edit",COUNTIFS($I$4:changes[[#This Row],[Name]],changes[[#This Row],[Name]], $E$4:changes[[#This Row],[Type of change]], "Edit")),B1976)</f>
        <v>3</v>
      </c>
      <c r="C1977" s="20">
        <v>44799</v>
      </c>
      <c r="D1977" s="2" t="s">
        <v>2009</v>
      </c>
      <c r="E1977" t="s">
        <v>15</v>
      </c>
      <c r="F1977" s="14" t="s">
        <v>9</v>
      </c>
      <c r="G1977" s="38" t="s">
        <v>359</v>
      </c>
      <c r="H1977" s="3" t="s">
        <v>49</v>
      </c>
      <c r="I1977" s="24" t="s">
        <v>1678</v>
      </c>
      <c r="J1977" s="40"/>
      <c r="K1977" s="3" t="s">
        <v>6</v>
      </c>
      <c r="L1977" t="s">
        <v>2410</v>
      </c>
      <c r="M1977" s="3"/>
    </row>
    <row r="1978" spans="1:13" ht="15.75">
      <c r="A1978" t="s">
        <v>28</v>
      </c>
      <c r="B1978">
        <f ca="1">IF(OR(changes[[#This Row],[Type]]="Checklist",changes[[#This Row],[Type]]="checklist-flat"),1+IF(changes[[#This Row],[Type of change]] = "Edit",COUNTIFS($I$4:changes[[#This Row],[Name]],changes[[#This Row],[Name]], $E$4:changes[[#This Row],[Type of change]], "Edit")),B1977)</f>
        <v>3</v>
      </c>
      <c r="C1978" s="20">
        <v>44799</v>
      </c>
      <c r="D1978" s="2" t="s">
        <v>2009</v>
      </c>
      <c r="E1978" t="s">
        <v>15</v>
      </c>
      <c r="F1978" s="14" t="s">
        <v>9</v>
      </c>
      <c r="G1978" s="38" t="s">
        <v>359</v>
      </c>
      <c r="H1978" s="3" t="s">
        <v>49</v>
      </c>
      <c r="I1978" s="24" t="s">
        <v>1679</v>
      </c>
      <c r="J1978" s="40"/>
      <c r="K1978" s="3" t="s">
        <v>6</v>
      </c>
      <c r="L1978" t="s">
        <v>2410</v>
      </c>
      <c r="M1978" s="3"/>
    </row>
    <row r="1979" spans="1:13" ht="15.75">
      <c r="A1979" t="s">
        <v>28</v>
      </c>
      <c r="B1979">
        <f ca="1">IF(OR(changes[[#This Row],[Type]]="Checklist",changes[[#This Row],[Type]]="checklist-flat"),1+IF(changes[[#This Row],[Type of change]] = "Edit",COUNTIFS($I$4:changes[[#This Row],[Name]],changes[[#This Row],[Name]], $E$4:changes[[#This Row],[Type of change]], "Edit")),B1978)</f>
        <v>3</v>
      </c>
      <c r="C1979" s="20">
        <v>44799</v>
      </c>
      <c r="D1979" s="2" t="s">
        <v>2009</v>
      </c>
      <c r="E1979" t="s">
        <v>15</v>
      </c>
      <c r="F1979" s="14" t="s">
        <v>9</v>
      </c>
      <c r="G1979" s="38" t="s">
        <v>359</v>
      </c>
      <c r="H1979" s="3" t="s">
        <v>49</v>
      </c>
      <c r="I1979" s="24" t="s">
        <v>1680</v>
      </c>
      <c r="J1979" s="40"/>
      <c r="K1979" s="3" t="s">
        <v>6</v>
      </c>
      <c r="L1979" t="s">
        <v>2410</v>
      </c>
      <c r="M1979" s="3"/>
    </row>
    <row r="1980" spans="1:13" ht="15.75">
      <c r="A1980" t="s">
        <v>28</v>
      </c>
      <c r="B1980">
        <f ca="1">IF(OR(changes[[#This Row],[Type]]="Checklist",changes[[#This Row],[Type]]="checklist-flat"),1+IF(changes[[#This Row],[Type of change]] = "Edit",COUNTIFS($I$4:changes[[#This Row],[Name]],changes[[#This Row],[Name]], $E$4:changes[[#This Row],[Type of change]], "Edit")),B1979)</f>
        <v>3</v>
      </c>
      <c r="C1980" s="20">
        <v>44799</v>
      </c>
      <c r="D1980" s="2" t="s">
        <v>2009</v>
      </c>
      <c r="E1980" t="s">
        <v>15</v>
      </c>
      <c r="F1980" s="14" t="s">
        <v>9</v>
      </c>
      <c r="G1980" s="38" t="s">
        <v>359</v>
      </c>
      <c r="H1980" s="3" t="s">
        <v>49</v>
      </c>
      <c r="I1980" s="24" t="s">
        <v>365</v>
      </c>
      <c r="J1980" s="40"/>
      <c r="K1980" s="3" t="s">
        <v>6</v>
      </c>
      <c r="L1980" t="s">
        <v>2410</v>
      </c>
      <c r="M1980" s="3"/>
    </row>
    <row r="1981" spans="1:13" ht="15.75">
      <c r="A1981" t="s">
        <v>28</v>
      </c>
      <c r="B1981">
        <f ca="1">IF(OR(changes[[#This Row],[Type]]="Checklist",changes[[#This Row],[Type]]="checklist-flat"),1+IF(changes[[#This Row],[Type of change]] = "Edit",COUNTIFS($I$4:changes[[#This Row],[Name]],changes[[#This Row],[Name]], $E$4:changes[[#This Row],[Type of change]], "Edit")),B1980)</f>
        <v>3</v>
      </c>
      <c r="C1981" s="20">
        <v>44799</v>
      </c>
      <c r="D1981" s="2" t="s">
        <v>2009</v>
      </c>
      <c r="E1981" t="s">
        <v>15</v>
      </c>
      <c r="F1981" s="14" t="s">
        <v>9</v>
      </c>
      <c r="G1981" s="38" t="s">
        <v>359</v>
      </c>
      <c r="H1981" s="3" t="s">
        <v>120</v>
      </c>
      <c r="I1981" s="24" t="s">
        <v>1681</v>
      </c>
      <c r="J1981" s="40"/>
      <c r="K1981" s="3" t="s">
        <v>6</v>
      </c>
      <c r="L1981" t="s">
        <v>2410</v>
      </c>
      <c r="M1981" s="3"/>
    </row>
    <row r="1982" spans="1:13" ht="15.75">
      <c r="A1982" t="s">
        <v>28</v>
      </c>
      <c r="B1982">
        <f ca="1">IF(OR(changes[[#This Row],[Type]]="Checklist",changes[[#This Row],[Type]]="checklist-flat"),1+IF(changes[[#This Row],[Type of change]] = "Edit",COUNTIFS($I$4:changes[[#This Row],[Name]],changes[[#This Row],[Name]], $E$4:changes[[#This Row],[Type of change]], "Edit")),B1981)</f>
        <v>3</v>
      </c>
      <c r="C1982" s="20">
        <v>44799</v>
      </c>
      <c r="D1982" s="2" t="s">
        <v>2009</v>
      </c>
      <c r="E1982" t="s">
        <v>15</v>
      </c>
      <c r="F1982" s="14" t="s">
        <v>9</v>
      </c>
      <c r="G1982" s="38" t="s">
        <v>359</v>
      </c>
      <c r="H1982" s="3" t="s">
        <v>49</v>
      </c>
      <c r="I1982" s="24" t="s">
        <v>1324</v>
      </c>
      <c r="J1982" s="40"/>
      <c r="K1982" s="3" t="s">
        <v>6</v>
      </c>
      <c r="L1982" t="s">
        <v>2410</v>
      </c>
      <c r="M1982" s="3"/>
    </row>
    <row r="1983" spans="1:13" ht="15.75">
      <c r="A1983" t="s">
        <v>28</v>
      </c>
      <c r="B1983">
        <f ca="1">IF(OR(changes[[#This Row],[Type]]="Checklist",changes[[#This Row],[Type]]="checklist-flat"),1+IF(changes[[#This Row],[Type of change]] = "Edit",COUNTIFS($I$4:changes[[#This Row],[Name]],changes[[#This Row],[Name]], $E$4:changes[[#This Row],[Type of change]], "Edit")),B1982)</f>
        <v>3</v>
      </c>
      <c r="C1983" s="20">
        <v>44799</v>
      </c>
      <c r="D1983" s="2" t="s">
        <v>2009</v>
      </c>
      <c r="E1983" t="s">
        <v>15</v>
      </c>
      <c r="F1983" s="14" t="s">
        <v>9</v>
      </c>
      <c r="G1983" s="38" t="s">
        <v>359</v>
      </c>
      <c r="H1983" s="3" t="s">
        <v>49</v>
      </c>
      <c r="I1983" s="24" t="s">
        <v>1682</v>
      </c>
      <c r="J1983" s="40"/>
      <c r="K1983" s="3" t="s">
        <v>6</v>
      </c>
      <c r="L1983" t="s">
        <v>2410</v>
      </c>
      <c r="M1983" s="3"/>
    </row>
    <row r="1984" spans="1:13" ht="15.75">
      <c r="A1984" t="s">
        <v>28</v>
      </c>
      <c r="B1984">
        <f ca="1">IF(OR(changes[[#This Row],[Type]]="Checklist",changes[[#This Row],[Type]]="checklist-flat"),1+IF(changes[[#This Row],[Type of change]] = "Edit",COUNTIFS($I$4:changes[[#This Row],[Name]],changes[[#This Row],[Name]], $E$4:changes[[#This Row],[Type of change]], "Edit")),B1983)</f>
        <v>3</v>
      </c>
      <c r="C1984" s="20">
        <v>44799</v>
      </c>
      <c r="D1984" s="2" t="s">
        <v>2009</v>
      </c>
      <c r="E1984" t="s">
        <v>15</v>
      </c>
      <c r="F1984" s="14" t="s">
        <v>9</v>
      </c>
      <c r="G1984" s="38" t="s">
        <v>359</v>
      </c>
      <c r="H1984" s="3" t="s">
        <v>49</v>
      </c>
      <c r="I1984" s="24" t="s">
        <v>1683</v>
      </c>
      <c r="J1984" s="40"/>
      <c r="K1984" s="3" t="s">
        <v>6</v>
      </c>
      <c r="L1984" t="s">
        <v>2410</v>
      </c>
      <c r="M1984" s="3"/>
    </row>
    <row r="1985" spans="1:13" ht="15.75">
      <c r="A1985" t="s">
        <v>28</v>
      </c>
      <c r="B1985">
        <f ca="1">IF(OR(changes[[#This Row],[Type]]="Checklist",changes[[#This Row],[Type]]="checklist-flat"),1+IF(changes[[#This Row],[Type of change]] = "Edit",COUNTIFS($I$4:changes[[#This Row],[Name]],changes[[#This Row],[Name]], $E$4:changes[[#This Row],[Type of change]], "Edit")),B1984)</f>
        <v>3</v>
      </c>
      <c r="C1985" s="20">
        <v>44799</v>
      </c>
      <c r="D1985" s="2" t="s">
        <v>2009</v>
      </c>
      <c r="E1985" t="s">
        <v>15</v>
      </c>
      <c r="F1985" s="14" t="s">
        <v>9</v>
      </c>
      <c r="G1985" s="38" t="s">
        <v>359</v>
      </c>
      <c r="H1985" s="3" t="s">
        <v>49</v>
      </c>
      <c r="I1985" s="24" t="s">
        <v>364</v>
      </c>
      <c r="J1985" s="40"/>
      <c r="K1985" s="3" t="s">
        <v>6</v>
      </c>
      <c r="L1985" t="s">
        <v>2410</v>
      </c>
      <c r="M1985" s="3"/>
    </row>
    <row r="1986" spans="1:13" ht="15.75">
      <c r="A1986" t="s">
        <v>28</v>
      </c>
      <c r="B1986">
        <f ca="1">IF(OR(changes[[#This Row],[Type]]="Checklist",changes[[#This Row],[Type]]="checklist-flat"),1+IF(changes[[#This Row],[Type of change]] = "Edit",COUNTIFS($I$4:changes[[#This Row],[Name]],changes[[#This Row],[Name]], $E$4:changes[[#This Row],[Type of change]], "Edit")),B1985)</f>
        <v>3</v>
      </c>
      <c r="C1986" s="20">
        <v>44799</v>
      </c>
      <c r="D1986" s="2" t="s">
        <v>2009</v>
      </c>
      <c r="E1986" t="s">
        <v>15</v>
      </c>
      <c r="F1986" s="14" t="s">
        <v>9</v>
      </c>
      <c r="G1986" s="38" t="s">
        <v>359</v>
      </c>
      <c r="H1986" s="3" t="s">
        <v>120</v>
      </c>
      <c r="I1986" s="24" t="s">
        <v>1326</v>
      </c>
      <c r="J1986" s="40"/>
      <c r="K1986" s="3" t="s">
        <v>6</v>
      </c>
      <c r="L1986" t="s">
        <v>2410</v>
      </c>
      <c r="M1986" s="3"/>
    </row>
    <row r="1987" spans="1:13" ht="15.75">
      <c r="A1987" t="s">
        <v>28</v>
      </c>
      <c r="B1987">
        <f ca="1">IF(OR(changes[[#This Row],[Type]]="Checklist",changes[[#This Row],[Type]]="checklist-flat"),1+IF(changes[[#This Row],[Type of change]] = "Edit",COUNTIFS($I$4:changes[[#This Row],[Name]],changes[[#This Row],[Name]], $E$4:changes[[#This Row],[Type of change]], "Edit")),B1986)</f>
        <v>3</v>
      </c>
      <c r="C1987" s="20">
        <v>44799</v>
      </c>
      <c r="D1987" s="2" t="s">
        <v>2009</v>
      </c>
      <c r="E1987" t="s">
        <v>15</v>
      </c>
      <c r="F1987" s="14" t="s">
        <v>9</v>
      </c>
      <c r="G1987" s="38" t="s">
        <v>359</v>
      </c>
      <c r="H1987" s="3" t="s">
        <v>49</v>
      </c>
      <c r="I1987" s="24" t="s">
        <v>1684</v>
      </c>
      <c r="J1987" s="40"/>
      <c r="K1987" s="3" t="s">
        <v>6</v>
      </c>
      <c r="L1987" t="s">
        <v>2410</v>
      </c>
      <c r="M1987" s="3"/>
    </row>
    <row r="1988" spans="1:13" ht="15.75">
      <c r="A1988" t="s">
        <v>28</v>
      </c>
      <c r="B1988">
        <f ca="1">IF(OR(changes[[#This Row],[Type]]="Checklist",changes[[#This Row],[Type]]="checklist-flat"),1+IF(changes[[#This Row],[Type of change]] = "Edit",COUNTIFS($I$4:changes[[#This Row],[Name]],changes[[#This Row],[Name]], $E$4:changes[[#This Row],[Type of change]], "Edit")),B1987)</f>
        <v>3</v>
      </c>
      <c r="C1988" s="20">
        <v>44799</v>
      </c>
      <c r="D1988" s="2" t="s">
        <v>2009</v>
      </c>
      <c r="E1988" t="s">
        <v>15</v>
      </c>
      <c r="F1988" s="14" t="s">
        <v>9</v>
      </c>
      <c r="G1988" s="38" t="s">
        <v>359</v>
      </c>
      <c r="H1988" s="3" t="s">
        <v>49</v>
      </c>
      <c r="I1988" s="24" t="s">
        <v>1685</v>
      </c>
      <c r="J1988" s="40"/>
      <c r="K1988" s="3" t="s">
        <v>6</v>
      </c>
      <c r="L1988" t="s">
        <v>2410</v>
      </c>
      <c r="M1988" s="3"/>
    </row>
    <row r="1989" spans="1:13" ht="15.75">
      <c r="A1989" t="s">
        <v>28</v>
      </c>
      <c r="B1989">
        <f ca="1">IF(OR(changes[[#This Row],[Type]]="Checklist",changes[[#This Row],[Type]]="checklist-flat"),1+IF(changes[[#This Row],[Type of change]] = "Edit",COUNTIFS($I$4:changes[[#This Row],[Name]],changes[[#This Row],[Name]], $E$4:changes[[#This Row],[Type of change]], "Edit")),B1988)</f>
        <v>3</v>
      </c>
      <c r="C1989" s="20">
        <v>44799</v>
      </c>
      <c r="D1989" s="2" t="s">
        <v>2009</v>
      </c>
      <c r="E1989" t="s">
        <v>15</v>
      </c>
      <c r="F1989" s="14" t="s">
        <v>9</v>
      </c>
      <c r="G1989" s="38" t="s">
        <v>359</v>
      </c>
      <c r="H1989" s="3" t="s">
        <v>49</v>
      </c>
      <c r="I1989" s="24" t="s">
        <v>1686</v>
      </c>
      <c r="J1989" s="40"/>
      <c r="K1989" s="3" t="s">
        <v>6</v>
      </c>
      <c r="L1989" t="s">
        <v>2410</v>
      </c>
      <c r="M1989" s="3"/>
    </row>
    <row r="1990" spans="1:13" ht="15.75">
      <c r="A1990" t="s">
        <v>28</v>
      </c>
      <c r="B1990">
        <f ca="1">IF(OR(changes[[#This Row],[Type]]="Checklist",changes[[#This Row],[Type]]="checklist-flat"),1+IF(changes[[#This Row],[Type of change]] = "Edit",COUNTIFS($I$4:changes[[#This Row],[Name]],changes[[#This Row],[Name]], $E$4:changes[[#This Row],[Type of change]], "Edit")),B1989)</f>
        <v>3</v>
      </c>
      <c r="C1990" s="20">
        <v>44799</v>
      </c>
      <c r="D1990" s="2" t="s">
        <v>2009</v>
      </c>
      <c r="E1990" t="s">
        <v>15</v>
      </c>
      <c r="F1990" s="14" t="s">
        <v>9</v>
      </c>
      <c r="G1990" s="38" t="s">
        <v>359</v>
      </c>
      <c r="H1990" s="3" t="s">
        <v>58</v>
      </c>
      <c r="I1990" s="24" t="s">
        <v>59</v>
      </c>
      <c r="J1990" s="40"/>
      <c r="K1990" s="3" t="s">
        <v>6</v>
      </c>
      <c r="L1990" t="s">
        <v>2410</v>
      </c>
      <c r="M1990" s="3"/>
    </row>
    <row r="1991" spans="1:13" ht="15.75">
      <c r="A1991" t="s">
        <v>28</v>
      </c>
      <c r="B1991">
        <f ca="1">IF(OR(changes[[#This Row],[Type]]="Checklist",changes[[#This Row],[Type]]="checklist-flat"),1+IF(changes[[#This Row],[Type of change]] = "Edit",COUNTIFS($I$4:changes[[#This Row],[Name]],changes[[#This Row],[Name]], $E$4:changes[[#This Row],[Type of change]], "Edit")),B1990)</f>
        <v>3</v>
      </c>
      <c r="C1991" s="20">
        <v>44799</v>
      </c>
      <c r="D1991" s="2" t="s">
        <v>2009</v>
      </c>
      <c r="E1991" t="s">
        <v>15</v>
      </c>
      <c r="F1991" s="14" t="s">
        <v>9</v>
      </c>
      <c r="G1991" s="38" t="s">
        <v>359</v>
      </c>
      <c r="H1991" s="3" t="s">
        <v>120</v>
      </c>
      <c r="I1991" s="24" t="s">
        <v>1330</v>
      </c>
      <c r="J1991" s="40"/>
      <c r="K1991" s="3" t="s">
        <v>6</v>
      </c>
      <c r="L1991" t="s">
        <v>2410</v>
      </c>
      <c r="M1991" s="3"/>
    </row>
    <row r="1992" spans="1:13" ht="15.75">
      <c r="A1992" t="s">
        <v>28</v>
      </c>
      <c r="B1992">
        <f ca="1">IF(OR(changes[[#This Row],[Type]]="Checklist",changes[[#This Row],[Type]]="checklist-flat"),1+IF(changes[[#This Row],[Type of change]] = "Edit",COUNTIFS($I$4:changes[[#This Row],[Name]],changes[[#This Row],[Name]], $E$4:changes[[#This Row],[Type of change]], "Edit")),B1991)</f>
        <v>3</v>
      </c>
      <c r="C1992" s="20">
        <v>44799</v>
      </c>
      <c r="D1992" s="2" t="s">
        <v>2009</v>
      </c>
      <c r="E1992" t="s">
        <v>15</v>
      </c>
      <c r="F1992" s="14" t="s">
        <v>9</v>
      </c>
      <c r="G1992" s="38" t="s">
        <v>359</v>
      </c>
      <c r="H1992" s="3" t="s">
        <v>49</v>
      </c>
      <c r="I1992" s="24" t="s">
        <v>1687</v>
      </c>
      <c r="J1992" s="40"/>
      <c r="K1992" s="3" t="s">
        <v>6</v>
      </c>
      <c r="L1992" t="s">
        <v>2410</v>
      </c>
      <c r="M1992" s="3"/>
    </row>
    <row r="1993" spans="1:13" ht="15.75">
      <c r="A1993" t="s">
        <v>28</v>
      </c>
      <c r="B1993">
        <f ca="1">IF(OR(changes[[#This Row],[Type]]="Checklist",changes[[#This Row],[Type]]="checklist-flat"),1+IF(changes[[#This Row],[Type of change]] = "Edit",COUNTIFS($I$4:changes[[#This Row],[Name]],changes[[#This Row],[Name]], $E$4:changes[[#This Row],[Type of change]], "Edit")),B1992)</f>
        <v>3</v>
      </c>
      <c r="C1993" s="20">
        <v>44799</v>
      </c>
      <c r="D1993" s="2" t="s">
        <v>2009</v>
      </c>
      <c r="E1993" t="s">
        <v>15</v>
      </c>
      <c r="F1993" s="14" t="s">
        <v>9</v>
      </c>
      <c r="G1993" s="38" t="s">
        <v>359</v>
      </c>
      <c r="H1993" s="3" t="s">
        <v>49</v>
      </c>
      <c r="I1993" s="24" t="s">
        <v>1688</v>
      </c>
      <c r="J1993" s="40"/>
      <c r="K1993" s="3" t="s">
        <v>6</v>
      </c>
      <c r="L1993" t="s">
        <v>2410</v>
      </c>
      <c r="M1993" s="3"/>
    </row>
    <row r="1994" spans="1:13" ht="15.75">
      <c r="A1994" t="s">
        <v>28</v>
      </c>
      <c r="B1994">
        <f ca="1">IF(OR(changes[[#This Row],[Type]]="Checklist",changes[[#This Row],[Type]]="checklist-flat"),1+IF(changes[[#This Row],[Type of change]] = "Edit",COUNTIFS($I$4:changes[[#This Row],[Name]],changes[[#This Row],[Name]], $E$4:changes[[#This Row],[Type of change]], "Edit")),B1993)</f>
        <v>3</v>
      </c>
      <c r="C1994" s="20">
        <v>44799</v>
      </c>
      <c r="D1994" s="2" t="s">
        <v>2009</v>
      </c>
      <c r="E1994" t="s">
        <v>15</v>
      </c>
      <c r="F1994" s="14" t="s">
        <v>9</v>
      </c>
      <c r="G1994" s="38" t="s">
        <v>359</v>
      </c>
      <c r="H1994" s="3" t="s">
        <v>49</v>
      </c>
      <c r="I1994" s="24" t="s">
        <v>1689</v>
      </c>
      <c r="J1994" s="40"/>
      <c r="K1994" s="3" t="s">
        <v>6</v>
      </c>
      <c r="L1994" t="s">
        <v>2410</v>
      </c>
      <c r="M1994" s="3"/>
    </row>
    <row r="1995" spans="1:13" ht="15.75">
      <c r="A1995" t="s">
        <v>28</v>
      </c>
      <c r="B1995">
        <f ca="1">IF(OR(changes[[#This Row],[Type]]="Checklist",changes[[#This Row],[Type]]="checklist-flat"),1+IF(changes[[#This Row],[Type of change]] = "Edit",COUNTIFS($I$4:changes[[#This Row],[Name]],changes[[#This Row],[Name]], $E$4:changes[[#This Row],[Type of change]], "Edit")),B1994)</f>
        <v>3</v>
      </c>
      <c r="C1995" s="20">
        <v>44799</v>
      </c>
      <c r="D1995" s="2" t="s">
        <v>2009</v>
      </c>
      <c r="E1995" t="s">
        <v>15</v>
      </c>
      <c r="F1995" s="14" t="s">
        <v>9</v>
      </c>
      <c r="G1995" s="38" t="s">
        <v>359</v>
      </c>
      <c r="H1995" s="3" t="s">
        <v>49</v>
      </c>
      <c r="I1995" s="24" t="s">
        <v>1690</v>
      </c>
      <c r="J1995" s="40"/>
      <c r="K1995" s="3" t="s">
        <v>6</v>
      </c>
      <c r="L1995" t="s">
        <v>2410</v>
      </c>
      <c r="M1995" s="3"/>
    </row>
    <row r="1996" spans="1:13" ht="15.75">
      <c r="A1996" t="s">
        <v>28</v>
      </c>
      <c r="B1996">
        <f ca="1">IF(OR(changes[[#This Row],[Type]]="Checklist",changes[[#This Row],[Type]]="checklist-flat"),1+IF(changes[[#This Row],[Type of change]] = "Edit",COUNTIFS($I$4:changes[[#This Row],[Name]],changes[[#This Row],[Name]], $E$4:changes[[#This Row],[Type of change]], "Edit")),B1995)</f>
        <v>3</v>
      </c>
      <c r="C1996" s="20">
        <v>44799</v>
      </c>
      <c r="D1996" s="2" t="s">
        <v>2009</v>
      </c>
      <c r="E1996" t="s">
        <v>15</v>
      </c>
      <c r="F1996" s="14" t="s">
        <v>9</v>
      </c>
      <c r="G1996" s="38" t="s">
        <v>359</v>
      </c>
      <c r="H1996" s="3" t="s">
        <v>49</v>
      </c>
      <c r="I1996" s="24" t="s">
        <v>1691</v>
      </c>
      <c r="J1996" s="40"/>
      <c r="K1996" s="3" t="s">
        <v>6</v>
      </c>
      <c r="L1996" t="s">
        <v>2410</v>
      </c>
      <c r="M1996" s="3"/>
    </row>
    <row r="1997" spans="1:13" ht="15.75">
      <c r="A1997" t="s">
        <v>28</v>
      </c>
      <c r="B1997">
        <f ca="1">IF(OR(changes[[#This Row],[Type]]="Checklist",changes[[#This Row],[Type]]="checklist-flat"),1+IF(changes[[#This Row],[Type of change]] = "Edit",COUNTIFS($I$4:changes[[#This Row],[Name]],changes[[#This Row],[Name]], $E$4:changes[[#This Row],[Type of change]], "Edit")),B1996)</f>
        <v>3</v>
      </c>
      <c r="C1997" s="20">
        <v>44799</v>
      </c>
      <c r="D1997" s="2" t="s">
        <v>2009</v>
      </c>
      <c r="E1997" t="s">
        <v>15</v>
      </c>
      <c r="F1997" s="14" t="s">
        <v>9</v>
      </c>
      <c r="G1997" s="38" t="s">
        <v>359</v>
      </c>
      <c r="H1997" s="3" t="s">
        <v>49</v>
      </c>
      <c r="I1997" s="24" t="s">
        <v>1334</v>
      </c>
      <c r="J1997" s="40"/>
      <c r="K1997" s="3" t="s">
        <v>6</v>
      </c>
      <c r="L1997" t="s">
        <v>2410</v>
      </c>
      <c r="M1997" s="3"/>
    </row>
    <row r="1998" spans="1:13" ht="15.75">
      <c r="A1998" t="s">
        <v>28</v>
      </c>
      <c r="B1998">
        <f ca="1">IF(OR(changes[[#This Row],[Type]]="Checklist",changes[[#This Row],[Type]]="checklist-flat"),1+IF(changes[[#This Row],[Type of change]] = "Edit",COUNTIFS($I$4:changes[[#This Row],[Name]],changes[[#This Row],[Name]], $E$4:changes[[#This Row],[Type of change]], "Edit")),B1997)</f>
        <v>3</v>
      </c>
      <c r="C1998" s="20">
        <v>44799</v>
      </c>
      <c r="D1998" s="2" t="s">
        <v>2009</v>
      </c>
      <c r="E1998" t="s">
        <v>15</v>
      </c>
      <c r="F1998" s="14" t="s">
        <v>9</v>
      </c>
      <c r="G1998" s="38" t="s">
        <v>359</v>
      </c>
      <c r="H1998" s="3" t="s">
        <v>49</v>
      </c>
      <c r="I1998" s="24" t="s">
        <v>1692</v>
      </c>
      <c r="J1998" s="40"/>
      <c r="K1998" s="3" t="s">
        <v>6</v>
      </c>
      <c r="L1998" t="s">
        <v>2410</v>
      </c>
      <c r="M1998" s="3"/>
    </row>
    <row r="1999" spans="1:13" ht="15.75">
      <c r="A1999" t="s">
        <v>28</v>
      </c>
      <c r="B1999">
        <f ca="1">IF(OR(changes[[#This Row],[Type]]="Checklist",changes[[#This Row],[Type]]="checklist-flat"),1+IF(changes[[#This Row],[Type of change]] = "Edit",COUNTIFS($I$4:changes[[#This Row],[Name]],changes[[#This Row],[Name]], $E$4:changes[[#This Row],[Type of change]], "Edit")),B1998)</f>
        <v>3</v>
      </c>
      <c r="C1999" s="20">
        <v>44799</v>
      </c>
      <c r="D1999" s="2" t="s">
        <v>2009</v>
      </c>
      <c r="E1999" t="s">
        <v>15</v>
      </c>
      <c r="F1999" s="14" t="s">
        <v>9</v>
      </c>
      <c r="G1999" s="38" t="s">
        <v>359</v>
      </c>
      <c r="H1999" s="3" t="s">
        <v>49</v>
      </c>
      <c r="I1999" s="24" t="s">
        <v>1693</v>
      </c>
      <c r="J1999" s="40"/>
      <c r="K1999" s="3" t="s">
        <v>6</v>
      </c>
      <c r="L1999" t="s">
        <v>2410</v>
      </c>
      <c r="M1999" s="3"/>
    </row>
    <row r="2000" spans="1:13" ht="15.75">
      <c r="A2000" t="s">
        <v>28</v>
      </c>
      <c r="B2000">
        <f ca="1">IF(OR(changes[[#This Row],[Type]]="Checklist",changes[[#This Row],[Type]]="checklist-flat"),1+IF(changes[[#This Row],[Type of change]] = "Edit",COUNTIFS($I$4:changes[[#This Row],[Name]],changes[[#This Row],[Name]], $E$4:changes[[#This Row],[Type of change]], "Edit")),B1999)</f>
        <v>3</v>
      </c>
      <c r="C2000" s="20">
        <v>44799</v>
      </c>
      <c r="D2000" s="2" t="s">
        <v>2009</v>
      </c>
      <c r="E2000" t="s">
        <v>15</v>
      </c>
      <c r="F2000" s="14" t="s">
        <v>9</v>
      </c>
      <c r="G2000" s="38" t="s">
        <v>359</v>
      </c>
      <c r="H2000" s="3" t="s">
        <v>58</v>
      </c>
      <c r="I2000" s="24" t="s">
        <v>59</v>
      </c>
      <c r="J2000" s="40"/>
      <c r="K2000" s="3" t="s">
        <v>6</v>
      </c>
      <c r="L2000" t="s">
        <v>2410</v>
      </c>
      <c r="M2000" s="3"/>
    </row>
    <row r="2001" spans="1:13" ht="15.75">
      <c r="A2001" t="s">
        <v>28</v>
      </c>
      <c r="B2001">
        <f ca="1">IF(OR(changes[[#This Row],[Type]]="Checklist",changes[[#This Row],[Type]]="checklist-flat"),1+IF(changes[[#This Row],[Type of change]] = "Edit",COUNTIFS($I$4:changes[[#This Row],[Name]],changes[[#This Row],[Name]], $E$4:changes[[#This Row],[Type of change]], "Edit")),B2000)</f>
        <v>2</v>
      </c>
      <c r="C2001" s="20">
        <v>44799</v>
      </c>
      <c r="D2001" s="2" t="s">
        <v>2009</v>
      </c>
      <c r="E2001" t="s">
        <v>15</v>
      </c>
      <c r="F2001" s="14" t="s">
        <v>1998</v>
      </c>
      <c r="G2001" s="38" t="s">
        <v>1321</v>
      </c>
      <c r="H2001" s="30" t="s">
        <v>119</v>
      </c>
      <c r="I2001" s="38" t="s">
        <v>1321</v>
      </c>
      <c r="J2001" s="39"/>
      <c r="K2001" s="3" t="s">
        <v>6</v>
      </c>
      <c r="M2001" s="3" t="s">
        <v>2411</v>
      </c>
    </row>
    <row r="2002" spans="1:13" ht="15.75">
      <c r="A2002" t="s">
        <v>28</v>
      </c>
      <c r="B2002">
        <f ca="1">IF(OR(changes[[#This Row],[Type]]="Checklist",changes[[#This Row],[Type]]="checklist-flat"),1+IF(changes[[#This Row],[Type of change]] = "Edit",COUNTIFS($I$4:changes[[#This Row],[Name]],changes[[#This Row],[Name]], $E$4:changes[[#This Row],[Type of change]], "Edit")),B2001)</f>
        <v>2</v>
      </c>
      <c r="C2002" s="20">
        <v>44799</v>
      </c>
      <c r="D2002" s="2" t="s">
        <v>2009</v>
      </c>
      <c r="E2002" t="s">
        <v>15</v>
      </c>
      <c r="F2002" s="14" t="s">
        <v>1998</v>
      </c>
      <c r="G2002" s="38" t="s">
        <v>1321</v>
      </c>
      <c r="H2002" s="3" t="s">
        <v>120</v>
      </c>
      <c r="I2002" s="24" t="s">
        <v>360</v>
      </c>
      <c r="J2002" s="40"/>
      <c r="K2002" s="3" t="s">
        <v>6</v>
      </c>
      <c r="M2002" s="3"/>
    </row>
    <row r="2003" spans="1:13" ht="15.75">
      <c r="A2003" t="s">
        <v>28</v>
      </c>
      <c r="B2003">
        <f ca="1">IF(OR(changes[[#This Row],[Type]]="Checklist",changes[[#This Row],[Type]]="checklist-flat"),1+IF(changes[[#This Row],[Type of change]] = "Edit",COUNTIFS($I$4:changes[[#This Row],[Name]],changes[[#This Row],[Name]], $E$4:changes[[#This Row],[Type of change]], "Edit")),B2002)</f>
        <v>2</v>
      </c>
      <c r="C2003" s="20">
        <v>44799</v>
      </c>
      <c r="D2003" s="2" t="s">
        <v>2009</v>
      </c>
      <c r="E2003" t="s">
        <v>15</v>
      </c>
      <c r="F2003" s="14" t="s">
        <v>1998</v>
      </c>
      <c r="G2003" s="38" t="s">
        <v>1321</v>
      </c>
      <c r="H2003" s="3" t="s">
        <v>49</v>
      </c>
      <c r="I2003" s="24" t="s">
        <v>1322</v>
      </c>
      <c r="J2003" s="40"/>
      <c r="K2003" s="3" t="s">
        <v>6</v>
      </c>
      <c r="M2003" s="3"/>
    </row>
    <row r="2004" spans="1:13" ht="15.75">
      <c r="A2004" t="s">
        <v>28</v>
      </c>
      <c r="B2004">
        <f ca="1">IF(OR(changes[[#This Row],[Type]]="Checklist",changes[[#This Row],[Type]]="checklist-flat"),1+IF(changes[[#This Row],[Type of change]] = "Edit",COUNTIFS($I$4:changes[[#This Row],[Name]],changes[[#This Row],[Name]], $E$4:changes[[#This Row],[Type of change]], "Edit")),B2003)</f>
        <v>2</v>
      </c>
      <c r="C2004" s="20">
        <v>44799</v>
      </c>
      <c r="D2004" s="2" t="s">
        <v>2009</v>
      </c>
      <c r="E2004" t="s">
        <v>15</v>
      </c>
      <c r="F2004" s="14" t="s">
        <v>1998</v>
      </c>
      <c r="G2004" s="38" t="s">
        <v>1321</v>
      </c>
      <c r="H2004" s="3" t="s">
        <v>49</v>
      </c>
      <c r="I2004" s="24" t="s">
        <v>1323</v>
      </c>
      <c r="J2004" s="40"/>
      <c r="K2004" s="3" t="s">
        <v>6</v>
      </c>
      <c r="M2004" s="3"/>
    </row>
    <row r="2005" spans="1:13" ht="15.75">
      <c r="A2005" t="s">
        <v>28</v>
      </c>
      <c r="B2005">
        <f ca="1">IF(OR(changes[[#This Row],[Type]]="Checklist",changes[[#This Row],[Type]]="checklist-flat"),1+IF(changes[[#This Row],[Type of change]] = "Edit",COUNTIFS($I$4:changes[[#This Row],[Name]],changes[[#This Row],[Name]], $E$4:changes[[#This Row],[Type of change]], "Edit")),B2004)</f>
        <v>2</v>
      </c>
      <c r="C2005" s="20">
        <v>44799</v>
      </c>
      <c r="D2005" s="2" t="s">
        <v>2009</v>
      </c>
      <c r="E2005" t="s">
        <v>15</v>
      </c>
      <c r="F2005" s="14" t="s">
        <v>1998</v>
      </c>
      <c r="G2005" s="38" t="s">
        <v>1321</v>
      </c>
      <c r="H2005" s="3" t="s">
        <v>49</v>
      </c>
      <c r="I2005" s="24" t="s">
        <v>1324</v>
      </c>
      <c r="J2005" s="40"/>
      <c r="K2005" s="3" t="s">
        <v>6</v>
      </c>
      <c r="M2005" s="3"/>
    </row>
    <row r="2006" spans="1:13" ht="15.75">
      <c r="A2006" t="s">
        <v>28</v>
      </c>
      <c r="B2006">
        <f ca="1">IF(OR(changes[[#This Row],[Type]]="Checklist",changes[[#This Row],[Type]]="checklist-flat"),1+IF(changes[[#This Row],[Type of change]] = "Edit",COUNTIFS($I$4:changes[[#This Row],[Name]],changes[[#This Row],[Name]], $E$4:changes[[#This Row],[Type of change]], "Edit")),B2005)</f>
        <v>2</v>
      </c>
      <c r="C2006" s="20">
        <v>44799</v>
      </c>
      <c r="D2006" s="2" t="s">
        <v>2009</v>
      </c>
      <c r="E2006" t="s">
        <v>15</v>
      </c>
      <c r="F2006" s="14" t="s">
        <v>1998</v>
      </c>
      <c r="G2006" s="38" t="s">
        <v>1321</v>
      </c>
      <c r="H2006" s="3" t="s">
        <v>49</v>
      </c>
      <c r="I2006" s="24" t="s">
        <v>1325</v>
      </c>
      <c r="J2006" s="40"/>
      <c r="K2006" s="3" t="s">
        <v>6</v>
      </c>
      <c r="M2006" s="3"/>
    </row>
    <row r="2007" spans="1:13" ht="15.75">
      <c r="A2007" t="s">
        <v>28</v>
      </c>
      <c r="B2007">
        <f ca="1">IF(OR(changes[[#This Row],[Type]]="Checklist",changes[[#This Row],[Type]]="checklist-flat"),1+IF(changes[[#This Row],[Type of change]] = "Edit",COUNTIFS($I$4:changes[[#This Row],[Name]],changes[[#This Row],[Name]], $E$4:changes[[#This Row],[Type of change]], "Edit")),B2006)</f>
        <v>2</v>
      </c>
      <c r="C2007" s="20">
        <v>44799</v>
      </c>
      <c r="D2007" s="2" t="s">
        <v>2009</v>
      </c>
      <c r="E2007" t="s">
        <v>15</v>
      </c>
      <c r="F2007" s="14" t="s">
        <v>1998</v>
      </c>
      <c r="G2007" s="38" t="s">
        <v>1321</v>
      </c>
      <c r="H2007" s="3" t="s">
        <v>120</v>
      </c>
      <c r="I2007" s="24" t="s">
        <v>1326</v>
      </c>
      <c r="J2007" s="40"/>
      <c r="K2007" s="3" t="s">
        <v>6</v>
      </c>
      <c r="M2007" s="3"/>
    </row>
    <row r="2008" spans="1:13" ht="15.75">
      <c r="A2008" t="s">
        <v>28</v>
      </c>
      <c r="B2008">
        <f ca="1">IF(OR(changes[[#This Row],[Type]]="Checklist",changes[[#This Row],[Type]]="checklist-flat"),1+IF(changes[[#This Row],[Type of change]] = "Edit",COUNTIFS($I$4:changes[[#This Row],[Name]],changes[[#This Row],[Name]], $E$4:changes[[#This Row],[Type of change]], "Edit")),B2007)</f>
        <v>2</v>
      </c>
      <c r="C2008" s="20">
        <v>44799</v>
      </c>
      <c r="D2008" s="2" t="s">
        <v>2009</v>
      </c>
      <c r="E2008" t="s">
        <v>15</v>
      </c>
      <c r="F2008" s="14" t="s">
        <v>1998</v>
      </c>
      <c r="G2008" s="38" t="s">
        <v>1321</v>
      </c>
      <c r="H2008" s="3" t="s">
        <v>49</v>
      </c>
      <c r="I2008" s="24" t="s">
        <v>1327</v>
      </c>
      <c r="J2008" s="40"/>
      <c r="K2008" s="3" t="s">
        <v>6</v>
      </c>
      <c r="M2008" s="3"/>
    </row>
    <row r="2009" spans="1:13" ht="15.75">
      <c r="A2009" t="s">
        <v>28</v>
      </c>
      <c r="B2009">
        <f ca="1">IF(OR(changes[[#This Row],[Type]]="Checklist",changes[[#This Row],[Type]]="checklist-flat"),1+IF(changes[[#This Row],[Type of change]] = "Edit",COUNTIFS($I$4:changes[[#This Row],[Name]],changes[[#This Row],[Name]], $E$4:changes[[#This Row],[Type of change]], "Edit")),B2008)</f>
        <v>2</v>
      </c>
      <c r="C2009" s="20">
        <v>44799</v>
      </c>
      <c r="D2009" s="2" t="s">
        <v>2009</v>
      </c>
      <c r="E2009" t="s">
        <v>15</v>
      </c>
      <c r="F2009" s="14" t="s">
        <v>1998</v>
      </c>
      <c r="G2009" s="38" t="s">
        <v>1321</v>
      </c>
      <c r="H2009" s="3" t="s">
        <v>49</v>
      </c>
      <c r="I2009" s="24" t="s">
        <v>1328</v>
      </c>
      <c r="J2009" s="40"/>
      <c r="K2009" s="3" t="s">
        <v>6</v>
      </c>
      <c r="M2009" s="3"/>
    </row>
    <row r="2010" spans="1:13" ht="15.75">
      <c r="A2010" t="s">
        <v>28</v>
      </c>
      <c r="B2010">
        <f ca="1">IF(OR(changes[[#This Row],[Type]]="Checklist",changes[[#This Row],[Type]]="checklist-flat"),1+IF(changes[[#This Row],[Type of change]] = "Edit",COUNTIFS($I$4:changes[[#This Row],[Name]],changes[[#This Row],[Name]], $E$4:changes[[#This Row],[Type of change]], "Edit")),B2009)</f>
        <v>2</v>
      </c>
      <c r="C2010" s="20">
        <v>44799</v>
      </c>
      <c r="D2010" s="2" t="s">
        <v>2009</v>
      </c>
      <c r="E2010" t="s">
        <v>15</v>
      </c>
      <c r="F2010" s="14" t="s">
        <v>1998</v>
      </c>
      <c r="G2010" s="38" t="s">
        <v>1321</v>
      </c>
      <c r="H2010" s="3" t="s">
        <v>49</v>
      </c>
      <c r="I2010" s="24" t="s">
        <v>1329</v>
      </c>
      <c r="J2010" s="40"/>
      <c r="K2010" s="3" t="s">
        <v>6</v>
      </c>
      <c r="M2010" s="3"/>
    </row>
    <row r="2011" spans="1:13" ht="15.75">
      <c r="A2011" t="s">
        <v>28</v>
      </c>
      <c r="B2011">
        <f ca="1">IF(OR(changes[[#This Row],[Type]]="Checklist",changes[[#This Row],[Type]]="checklist-flat"),1+IF(changes[[#This Row],[Type of change]] = "Edit",COUNTIFS($I$4:changes[[#This Row],[Name]],changes[[#This Row],[Name]], $E$4:changes[[#This Row],[Type of change]], "Edit")),B2010)</f>
        <v>2</v>
      </c>
      <c r="C2011" s="20">
        <v>44799</v>
      </c>
      <c r="D2011" s="2" t="s">
        <v>2009</v>
      </c>
      <c r="E2011" t="s">
        <v>15</v>
      </c>
      <c r="F2011" s="14" t="s">
        <v>1998</v>
      </c>
      <c r="G2011" s="38" t="s">
        <v>1321</v>
      </c>
      <c r="H2011" s="3" t="s">
        <v>120</v>
      </c>
      <c r="I2011" s="24" t="s">
        <v>1330</v>
      </c>
      <c r="J2011" s="40"/>
      <c r="K2011" s="3" t="s">
        <v>6</v>
      </c>
      <c r="M2011" s="3"/>
    </row>
    <row r="2012" spans="1:13" ht="15.75">
      <c r="A2012" t="s">
        <v>28</v>
      </c>
      <c r="B2012">
        <f ca="1">IF(OR(changes[[#This Row],[Type]]="Checklist",changes[[#This Row],[Type]]="checklist-flat"),1+IF(changes[[#This Row],[Type of change]] = "Edit",COUNTIFS($I$4:changes[[#This Row],[Name]],changes[[#This Row],[Name]], $E$4:changes[[#This Row],[Type of change]], "Edit")),B2011)</f>
        <v>2</v>
      </c>
      <c r="C2012" s="20">
        <v>44799</v>
      </c>
      <c r="D2012" s="2" t="s">
        <v>2009</v>
      </c>
      <c r="E2012" t="s">
        <v>15</v>
      </c>
      <c r="F2012" s="14" t="s">
        <v>1998</v>
      </c>
      <c r="G2012" s="38" t="s">
        <v>1321</v>
      </c>
      <c r="H2012" s="3" t="s">
        <v>49</v>
      </c>
      <c r="I2012" s="24" t="s">
        <v>1331</v>
      </c>
      <c r="J2012" s="40"/>
      <c r="K2012" s="3" t="s">
        <v>6</v>
      </c>
      <c r="M2012" s="3"/>
    </row>
    <row r="2013" spans="1:13" ht="15.75">
      <c r="A2013" t="s">
        <v>28</v>
      </c>
      <c r="B2013">
        <f ca="1">IF(OR(changes[[#This Row],[Type]]="Checklist",changes[[#This Row],[Type]]="checklist-flat"),1+IF(changes[[#This Row],[Type of change]] = "Edit",COUNTIFS($I$4:changes[[#This Row],[Name]],changes[[#This Row],[Name]], $E$4:changes[[#This Row],[Type of change]], "Edit")),B2012)</f>
        <v>2</v>
      </c>
      <c r="C2013" s="20">
        <v>44799</v>
      </c>
      <c r="D2013" s="2" t="s">
        <v>2009</v>
      </c>
      <c r="E2013" t="s">
        <v>15</v>
      </c>
      <c r="F2013" s="14" t="s">
        <v>1998</v>
      </c>
      <c r="G2013" s="38" t="s">
        <v>1321</v>
      </c>
      <c r="H2013" s="3" t="s">
        <v>49</v>
      </c>
      <c r="I2013" s="24" t="s">
        <v>1332</v>
      </c>
      <c r="J2013" s="40"/>
      <c r="K2013" s="3" t="s">
        <v>6</v>
      </c>
      <c r="M2013" s="3"/>
    </row>
    <row r="2014" spans="1:13" ht="15.75">
      <c r="A2014" t="s">
        <v>28</v>
      </c>
      <c r="B2014">
        <f ca="1">IF(OR(changes[[#This Row],[Type]]="Checklist",changes[[#This Row],[Type]]="checklist-flat"),1+IF(changes[[#This Row],[Type of change]] = "Edit",COUNTIFS($I$4:changes[[#This Row],[Name]],changes[[#This Row],[Name]], $E$4:changes[[#This Row],[Type of change]], "Edit")),B2013)</f>
        <v>2</v>
      </c>
      <c r="C2014" s="20">
        <v>44799</v>
      </c>
      <c r="D2014" s="2" t="s">
        <v>2009</v>
      </c>
      <c r="E2014" t="s">
        <v>15</v>
      </c>
      <c r="F2014" s="14" t="s">
        <v>1998</v>
      </c>
      <c r="G2014" s="38" t="s">
        <v>1321</v>
      </c>
      <c r="H2014" s="3" t="s">
        <v>49</v>
      </c>
      <c r="I2014" s="24" t="s">
        <v>1333</v>
      </c>
      <c r="J2014" s="40"/>
      <c r="K2014" s="3" t="s">
        <v>6</v>
      </c>
      <c r="M2014" s="3"/>
    </row>
    <row r="2015" spans="1:13" ht="15.75">
      <c r="A2015" t="s">
        <v>28</v>
      </c>
      <c r="B2015">
        <f ca="1">IF(OR(changes[[#This Row],[Type]]="Checklist",changes[[#This Row],[Type]]="checklist-flat"),1+IF(changes[[#This Row],[Type of change]] = "Edit",COUNTIFS($I$4:changes[[#This Row],[Name]],changes[[#This Row],[Name]], $E$4:changes[[#This Row],[Type of change]], "Edit")),B2014)</f>
        <v>2</v>
      </c>
      <c r="C2015" s="20">
        <v>44799</v>
      </c>
      <c r="D2015" s="2" t="s">
        <v>2009</v>
      </c>
      <c r="E2015" t="s">
        <v>15</v>
      </c>
      <c r="F2015" s="14" t="s">
        <v>1998</v>
      </c>
      <c r="G2015" s="38" t="s">
        <v>1321</v>
      </c>
      <c r="H2015" s="3" t="s">
        <v>49</v>
      </c>
      <c r="I2015" s="24" t="s">
        <v>1334</v>
      </c>
      <c r="J2015" s="40"/>
      <c r="K2015" s="3" t="s">
        <v>6</v>
      </c>
      <c r="M2015" s="3"/>
    </row>
    <row r="2016" spans="1:13" ht="15.75">
      <c r="A2016" t="s">
        <v>28</v>
      </c>
      <c r="B2016">
        <f ca="1">IF(OR(changes[[#This Row],[Type]]="Checklist",changes[[#This Row],[Type]]="checklist-flat"),1+IF(changes[[#This Row],[Type of change]] = "Edit",COUNTIFS($I$4:changes[[#This Row],[Name]],changes[[#This Row],[Name]], $E$4:changes[[#This Row],[Type of change]], "Edit")),B2015)</f>
        <v>2</v>
      </c>
      <c r="C2016" s="20">
        <v>44799</v>
      </c>
      <c r="D2016" s="2" t="s">
        <v>2009</v>
      </c>
      <c r="E2016" t="s">
        <v>15</v>
      </c>
      <c r="F2016" s="14" t="s">
        <v>1998</v>
      </c>
      <c r="G2016" s="38" t="s">
        <v>1321</v>
      </c>
      <c r="H2016" s="3" t="s">
        <v>120</v>
      </c>
      <c r="I2016" s="24" t="s">
        <v>1335</v>
      </c>
      <c r="J2016" s="40"/>
      <c r="K2016" s="3" t="s">
        <v>6</v>
      </c>
      <c r="M2016" s="3"/>
    </row>
    <row r="2017" spans="1:13" ht="15.75">
      <c r="A2017" t="s">
        <v>28</v>
      </c>
      <c r="B2017">
        <f ca="1">IF(OR(changes[[#This Row],[Type]]="Checklist",changes[[#This Row],[Type]]="checklist-flat"),1+IF(changes[[#This Row],[Type of change]] = "Edit",COUNTIFS($I$4:changes[[#This Row],[Name]],changes[[#This Row],[Name]], $E$4:changes[[#This Row],[Type of change]], "Edit")),B2016)</f>
        <v>2</v>
      </c>
      <c r="C2017" s="20">
        <v>44799</v>
      </c>
      <c r="D2017" s="2" t="s">
        <v>2009</v>
      </c>
      <c r="E2017" t="s">
        <v>15</v>
      </c>
      <c r="F2017" s="14" t="s">
        <v>1998</v>
      </c>
      <c r="G2017" s="38" t="s">
        <v>1321</v>
      </c>
      <c r="H2017" s="3" t="s">
        <v>49</v>
      </c>
      <c r="I2017" s="24" t="s">
        <v>1336</v>
      </c>
      <c r="J2017" s="40"/>
      <c r="K2017" s="3" t="s">
        <v>6</v>
      </c>
      <c r="M2017" s="3"/>
    </row>
    <row r="2018" spans="1:13" ht="15.75">
      <c r="A2018" t="s">
        <v>28</v>
      </c>
      <c r="B2018">
        <f ca="1">IF(OR(changes[[#This Row],[Type]]="Checklist",changes[[#This Row],[Type]]="checklist-flat"),1+IF(changes[[#This Row],[Type of change]] = "Edit",COUNTIFS($I$4:changes[[#This Row],[Name]],changes[[#This Row],[Name]], $E$4:changes[[#This Row],[Type of change]], "Edit")),B2017)</f>
        <v>2</v>
      </c>
      <c r="C2018" s="20">
        <v>44799</v>
      </c>
      <c r="D2018" s="2" t="s">
        <v>2009</v>
      </c>
      <c r="E2018" t="s">
        <v>15</v>
      </c>
      <c r="F2018" s="14" t="s">
        <v>1998</v>
      </c>
      <c r="G2018" s="38" t="s">
        <v>1321</v>
      </c>
      <c r="H2018" s="3" t="s">
        <v>49</v>
      </c>
      <c r="I2018" s="24" t="s">
        <v>1337</v>
      </c>
      <c r="J2018" s="40"/>
      <c r="K2018" s="3" t="s">
        <v>6</v>
      </c>
      <c r="M2018" s="3"/>
    </row>
    <row r="2019" spans="1:13" ht="15.75">
      <c r="A2019" t="s">
        <v>28</v>
      </c>
      <c r="B2019">
        <f ca="1">IF(OR(changes[[#This Row],[Type]]="Checklist",changes[[#This Row],[Type]]="checklist-flat"),1+IF(changes[[#This Row],[Type of change]] = "Edit",COUNTIFS($I$4:changes[[#This Row],[Name]],changes[[#This Row],[Name]], $E$4:changes[[#This Row],[Type of change]], "Edit")),B2018)</f>
        <v>2</v>
      </c>
      <c r="C2019" s="20">
        <v>44799</v>
      </c>
      <c r="D2019" s="2" t="s">
        <v>2009</v>
      </c>
      <c r="E2019" t="s">
        <v>15</v>
      </c>
      <c r="F2019" s="14" t="s">
        <v>1998</v>
      </c>
      <c r="G2019" s="38" t="s">
        <v>1321</v>
      </c>
      <c r="H2019" s="3" t="s">
        <v>49</v>
      </c>
      <c r="I2019" s="24" t="s">
        <v>1338</v>
      </c>
      <c r="J2019" s="40"/>
      <c r="K2019" s="3" t="s">
        <v>6</v>
      </c>
      <c r="M2019" s="3"/>
    </row>
    <row r="2020" spans="1:13" ht="15.75">
      <c r="A2020" t="s">
        <v>28</v>
      </c>
      <c r="B2020">
        <f ca="1">IF(OR(changes[[#This Row],[Type]]="Checklist",changes[[#This Row],[Type]]="checklist-flat"),1+IF(changes[[#This Row],[Type of change]] = "Edit",COUNTIFS($I$4:changes[[#This Row],[Name]],changes[[#This Row],[Name]], $E$4:changes[[#This Row],[Type of change]], "Edit")),B2019)</f>
        <v>2</v>
      </c>
      <c r="C2020" s="20">
        <v>44799</v>
      </c>
      <c r="D2020" s="2" t="s">
        <v>2009</v>
      </c>
      <c r="E2020" t="s">
        <v>15</v>
      </c>
      <c r="F2020" s="14" t="s">
        <v>1998</v>
      </c>
      <c r="G2020" s="38" t="s">
        <v>1321</v>
      </c>
      <c r="H2020" s="3" t="s">
        <v>49</v>
      </c>
      <c r="I2020" s="24" t="s">
        <v>1339</v>
      </c>
      <c r="J2020" s="40"/>
      <c r="K2020" s="3" t="s">
        <v>6</v>
      </c>
      <c r="M2020" s="3"/>
    </row>
    <row r="2021" spans="1:13" ht="15.75">
      <c r="A2021" t="s">
        <v>28</v>
      </c>
      <c r="B2021">
        <f ca="1">IF(OR(changes[[#This Row],[Type]]="Checklist",changes[[#This Row],[Type]]="checklist-flat"),1+IF(changes[[#This Row],[Type of change]] = "Edit",COUNTIFS($I$4:changes[[#This Row],[Name]],changes[[#This Row],[Name]], $E$4:changes[[#This Row],[Type of change]], "Edit")),B2020)</f>
        <v>2</v>
      </c>
      <c r="C2021" s="20">
        <v>44799</v>
      </c>
      <c r="D2021" s="2" t="s">
        <v>2009</v>
      </c>
      <c r="E2021" t="s">
        <v>15</v>
      </c>
      <c r="F2021" s="14" t="s">
        <v>1998</v>
      </c>
      <c r="G2021" s="38" t="s">
        <v>1321</v>
      </c>
      <c r="H2021" s="3" t="s">
        <v>58</v>
      </c>
      <c r="I2021" s="24" t="s">
        <v>1340</v>
      </c>
      <c r="J2021" s="40"/>
      <c r="K2021" s="3" t="s">
        <v>6</v>
      </c>
      <c r="M2021" s="3"/>
    </row>
    <row r="2022" spans="1:13" ht="15.75">
      <c r="A2022" t="s">
        <v>28</v>
      </c>
      <c r="B2022">
        <f ca="1">IF(OR(changes[[#This Row],[Type]]="Checklist",changes[[#This Row],[Type]]="checklist-flat"),1+IF(changes[[#This Row],[Type of change]] = "Edit",COUNTIFS($I$4:changes[[#This Row],[Name]],changes[[#This Row],[Name]], $E$4:changes[[#This Row],[Type of change]], "Edit")),B2021)</f>
        <v>2</v>
      </c>
      <c r="C2022" s="20">
        <v>44804</v>
      </c>
      <c r="D2022" s="2" t="s">
        <v>2048</v>
      </c>
      <c r="E2022" t="s">
        <v>15</v>
      </c>
      <c r="F2022" s="14" t="s">
        <v>9</v>
      </c>
      <c r="G2022" s="14" t="s">
        <v>965</v>
      </c>
      <c r="H2022" s="30" t="s">
        <v>48</v>
      </c>
      <c r="I2022" s="38" t="s">
        <v>965</v>
      </c>
      <c r="J2022" s="39"/>
      <c r="K2022" s="3" t="s">
        <v>6</v>
      </c>
      <c r="L2022" t="s">
        <v>2412</v>
      </c>
      <c r="M2022" s="3"/>
    </row>
    <row r="2023" spans="1:13" ht="15.75">
      <c r="A2023" t="s">
        <v>28</v>
      </c>
      <c r="B2023">
        <f ca="1">IF(OR(changes[[#This Row],[Type]]="Checklist",changes[[#This Row],[Type]]="checklist-flat"),1+IF(changes[[#This Row],[Type of change]] = "Edit",COUNTIFS($I$4:changes[[#This Row],[Name]],changes[[#This Row],[Name]], $E$4:changes[[#This Row],[Type of change]], "Edit")),B2022)</f>
        <v>2</v>
      </c>
      <c r="C2023" s="20">
        <v>44804</v>
      </c>
      <c r="D2023" s="2" t="s">
        <v>2048</v>
      </c>
      <c r="E2023" t="s">
        <v>15</v>
      </c>
      <c r="F2023" s="14" t="s">
        <v>9</v>
      </c>
      <c r="G2023" s="14" t="s">
        <v>965</v>
      </c>
      <c r="H2023" s="3" t="s">
        <v>49</v>
      </c>
      <c r="I2023" s="24" t="s">
        <v>966</v>
      </c>
      <c r="J2023" s="40"/>
      <c r="K2023" s="3" t="s">
        <v>6</v>
      </c>
      <c r="L2023" t="s">
        <v>2412</v>
      </c>
      <c r="M2023" s="3"/>
    </row>
    <row r="2024" spans="1:13" ht="15.75">
      <c r="A2024" t="s">
        <v>28</v>
      </c>
      <c r="B2024">
        <f ca="1">IF(OR(changes[[#This Row],[Type]]="Checklist",changes[[#This Row],[Type]]="checklist-flat"),1+IF(changes[[#This Row],[Type of change]] = "Edit",COUNTIFS($I$4:changes[[#This Row],[Name]],changes[[#This Row],[Name]], $E$4:changes[[#This Row],[Type of change]], "Edit")),B2023)</f>
        <v>2</v>
      </c>
      <c r="C2024" s="20">
        <v>44804</v>
      </c>
      <c r="D2024" s="2" t="s">
        <v>2048</v>
      </c>
      <c r="E2024" t="s">
        <v>15</v>
      </c>
      <c r="F2024" s="14" t="s">
        <v>9</v>
      </c>
      <c r="G2024" s="14" t="s">
        <v>965</v>
      </c>
      <c r="H2024" s="3" t="s">
        <v>49</v>
      </c>
      <c r="I2024" s="24" t="s">
        <v>967</v>
      </c>
      <c r="J2024" s="40"/>
      <c r="K2024" s="3" t="s">
        <v>6</v>
      </c>
      <c r="L2024" t="s">
        <v>2412</v>
      </c>
      <c r="M2024" s="3"/>
    </row>
    <row r="2025" spans="1:13" ht="15.75">
      <c r="A2025" t="s">
        <v>28</v>
      </c>
      <c r="B2025">
        <f ca="1">IF(OR(changes[[#This Row],[Type]]="Checklist",changes[[#This Row],[Type]]="checklist-flat"),1+IF(changes[[#This Row],[Type of change]] = "Edit",COUNTIFS($I$4:changes[[#This Row],[Name]],changes[[#This Row],[Name]], $E$4:changes[[#This Row],[Type of change]], "Edit")),B2024)</f>
        <v>2</v>
      </c>
      <c r="C2025" s="20">
        <v>44804</v>
      </c>
      <c r="D2025" s="2" t="s">
        <v>2048</v>
      </c>
      <c r="E2025" t="s">
        <v>15</v>
      </c>
      <c r="F2025" s="14" t="s">
        <v>9</v>
      </c>
      <c r="G2025" s="14" t="s">
        <v>965</v>
      </c>
      <c r="H2025" s="3" t="s">
        <v>49</v>
      </c>
      <c r="I2025" s="24" t="s">
        <v>968</v>
      </c>
      <c r="J2025" s="40"/>
      <c r="K2025" s="3" t="s">
        <v>6</v>
      </c>
      <c r="L2025" t="s">
        <v>2412</v>
      </c>
      <c r="M2025" s="3"/>
    </row>
    <row r="2026" spans="1:13" ht="15.75">
      <c r="A2026" t="s">
        <v>28</v>
      </c>
      <c r="B2026">
        <f ca="1">IF(OR(changes[[#This Row],[Type]]="Checklist",changes[[#This Row],[Type]]="checklist-flat"),1+IF(changes[[#This Row],[Type of change]] = "Edit",COUNTIFS($I$4:changes[[#This Row],[Name]],changes[[#This Row],[Name]], $E$4:changes[[#This Row],[Type of change]], "Edit")),B2025)</f>
        <v>2</v>
      </c>
      <c r="C2026" s="20">
        <v>44804</v>
      </c>
      <c r="D2026" s="2" t="s">
        <v>2048</v>
      </c>
      <c r="E2026" t="s">
        <v>15</v>
      </c>
      <c r="F2026" s="14" t="s">
        <v>9</v>
      </c>
      <c r="G2026" s="14" t="s">
        <v>965</v>
      </c>
      <c r="H2026" s="3" t="s">
        <v>49</v>
      </c>
      <c r="I2026" s="24" t="s">
        <v>969</v>
      </c>
      <c r="J2026" s="40"/>
      <c r="K2026" s="3" t="s">
        <v>6</v>
      </c>
      <c r="L2026" t="s">
        <v>2412</v>
      </c>
      <c r="M2026" s="3"/>
    </row>
    <row r="2027" spans="1:13" ht="15.75">
      <c r="A2027" t="s">
        <v>28</v>
      </c>
      <c r="B2027">
        <f ca="1">IF(OR(changes[[#This Row],[Type]]="Checklist",changes[[#This Row],[Type]]="checklist-flat"),1+IF(changes[[#This Row],[Type of change]] = "Edit",COUNTIFS($I$4:changes[[#This Row],[Name]],changes[[#This Row],[Name]], $E$4:changes[[#This Row],[Type of change]], "Edit")),B2026)</f>
        <v>2</v>
      </c>
      <c r="C2027" s="20">
        <v>44804</v>
      </c>
      <c r="D2027" s="2" t="s">
        <v>2048</v>
      </c>
      <c r="E2027" t="s">
        <v>15</v>
      </c>
      <c r="F2027" s="14" t="s">
        <v>9</v>
      </c>
      <c r="G2027" s="14" t="s">
        <v>965</v>
      </c>
      <c r="H2027" s="3" t="s">
        <v>49</v>
      </c>
      <c r="I2027" s="24" t="s">
        <v>970</v>
      </c>
      <c r="J2027" s="40"/>
      <c r="K2027" s="3" t="s">
        <v>6</v>
      </c>
      <c r="L2027" t="s">
        <v>2412</v>
      </c>
      <c r="M2027" s="3"/>
    </row>
    <row r="2028" spans="1:13" ht="15.75">
      <c r="A2028" t="s">
        <v>28</v>
      </c>
      <c r="B2028">
        <f ca="1">IF(OR(changes[[#This Row],[Type]]="Checklist",changes[[#This Row],[Type]]="checklist-flat"),1+IF(changes[[#This Row],[Type of change]] = "Edit",COUNTIFS($I$4:changes[[#This Row],[Name]],changes[[#This Row],[Name]], $E$4:changes[[#This Row],[Type of change]], "Edit")),B2027)</f>
        <v>2</v>
      </c>
      <c r="C2028" s="20">
        <v>44804</v>
      </c>
      <c r="D2028" s="2" t="s">
        <v>2048</v>
      </c>
      <c r="E2028" t="s">
        <v>15</v>
      </c>
      <c r="F2028" s="14" t="s">
        <v>9</v>
      </c>
      <c r="G2028" s="14" t="s">
        <v>965</v>
      </c>
      <c r="H2028" s="3" t="s">
        <v>49</v>
      </c>
      <c r="I2028" s="24" t="s">
        <v>971</v>
      </c>
      <c r="J2028" s="40"/>
      <c r="K2028" s="3" t="s">
        <v>6</v>
      </c>
      <c r="L2028" t="s">
        <v>2412</v>
      </c>
      <c r="M2028" s="3"/>
    </row>
    <row r="2029" spans="1:13" ht="15.75">
      <c r="A2029" t="s">
        <v>28</v>
      </c>
      <c r="B2029">
        <f ca="1">IF(OR(changes[[#This Row],[Type]]="Checklist",changes[[#This Row],[Type]]="checklist-flat"),1+IF(changes[[#This Row],[Type of change]] = "Edit",COUNTIFS($I$4:changes[[#This Row],[Name]],changes[[#This Row],[Name]], $E$4:changes[[#This Row],[Type of change]], "Edit")),B2028)</f>
        <v>2</v>
      </c>
      <c r="C2029" s="20">
        <v>44804</v>
      </c>
      <c r="D2029" s="2" t="s">
        <v>2048</v>
      </c>
      <c r="E2029" t="s">
        <v>15</v>
      </c>
      <c r="F2029" s="14" t="s">
        <v>9</v>
      </c>
      <c r="G2029" s="14" t="s">
        <v>965</v>
      </c>
      <c r="H2029" s="3" t="s">
        <v>49</v>
      </c>
      <c r="I2029" s="24" t="s">
        <v>972</v>
      </c>
      <c r="J2029" s="40"/>
      <c r="K2029" s="3" t="s">
        <v>6</v>
      </c>
      <c r="L2029" t="s">
        <v>2412</v>
      </c>
      <c r="M2029" s="3"/>
    </row>
    <row r="2030" spans="1:13" ht="15.75">
      <c r="A2030" t="s">
        <v>28</v>
      </c>
      <c r="B2030">
        <f ca="1">IF(OR(changes[[#This Row],[Type]]="Checklist",changes[[#This Row],[Type]]="checklist-flat"),1+IF(changes[[#This Row],[Type of change]] = "Edit",COUNTIFS($I$4:changes[[#This Row],[Name]],changes[[#This Row],[Name]], $E$4:changes[[#This Row],[Type of change]], "Edit")),B2029)</f>
        <v>2</v>
      </c>
      <c r="C2030" s="20">
        <v>44804</v>
      </c>
      <c r="D2030" s="2" t="s">
        <v>2048</v>
      </c>
      <c r="E2030" t="s">
        <v>15</v>
      </c>
      <c r="F2030" s="14" t="s">
        <v>9</v>
      </c>
      <c r="G2030" s="14" t="s">
        <v>965</v>
      </c>
      <c r="H2030" s="3" t="s">
        <v>49</v>
      </c>
      <c r="I2030" s="24" t="s">
        <v>973</v>
      </c>
      <c r="J2030" s="40"/>
      <c r="K2030" s="3" t="s">
        <v>6</v>
      </c>
      <c r="L2030" t="s">
        <v>2412</v>
      </c>
      <c r="M2030" s="3"/>
    </row>
    <row r="2031" spans="1:13" ht="15.75">
      <c r="A2031" t="s">
        <v>28</v>
      </c>
      <c r="B2031">
        <f ca="1">IF(OR(changes[[#This Row],[Type]]="Checklist",changes[[#This Row],[Type]]="checklist-flat"),1+IF(changes[[#This Row],[Type of change]] = "Edit",COUNTIFS($I$4:changes[[#This Row],[Name]],changes[[#This Row],[Name]], $E$4:changes[[#This Row],[Type of change]], "Edit")),B2030)</f>
        <v>2</v>
      </c>
      <c r="C2031" s="20">
        <v>44804</v>
      </c>
      <c r="D2031" s="2" t="s">
        <v>2048</v>
      </c>
      <c r="E2031" t="s">
        <v>15</v>
      </c>
      <c r="F2031" s="14" t="s">
        <v>9</v>
      </c>
      <c r="G2031" s="14" t="s">
        <v>965</v>
      </c>
      <c r="H2031" s="3" t="s">
        <v>49</v>
      </c>
      <c r="I2031" s="24" t="s">
        <v>974</v>
      </c>
      <c r="J2031" s="40"/>
      <c r="K2031" s="3" t="s">
        <v>6</v>
      </c>
      <c r="L2031" t="s">
        <v>2412</v>
      </c>
      <c r="M2031" s="3"/>
    </row>
    <row r="2032" spans="1:13" ht="15.75">
      <c r="A2032" t="s">
        <v>28</v>
      </c>
      <c r="B2032">
        <f ca="1">IF(OR(changes[[#This Row],[Type]]="Checklist",changes[[#This Row],[Type]]="checklist-flat"),1+IF(changes[[#This Row],[Type of change]] = "Edit",COUNTIFS($I$4:changes[[#This Row],[Name]],changes[[#This Row],[Name]], $E$4:changes[[#This Row],[Type of change]], "Edit")),B2031)</f>
        <v>2</v>
      </c>
      <c r="C2032" s="20">
        <v>44804</v>
      </c>
      <c r="D2032" s="2" t="s">
        <v>2048</v>
      </c>
      <c r="E2032" t="s">
        <v>15</v>
      </c>
      <c r="F2032" s="14" t="s">
        <v>9</v>
      </c>
      <c r="G2032" s="14" t="s">
        <v>965</v>
      </c>
      <c r="H2032" s="3" t="s">
        <v>49</v>
      </c>
      <c r="I2032" s="24" t="s">
        <v>975</v>
      </c>
      <c r="J2032" s="40"/>
      <c r="K2032" s="3" t="s">
        <v>6</v>
      </c>
      <c r="L2032" t="s">
        <v>2412</v>
      </c>
      <c r="M2032" s="3"/>
    </row>
    <row r="2033" spans="1:13" ht="15.75">
      <c r="A2033" t="s">
        <v>28</v>
      </c>
      <c r="B2033">
        <f ca="1">IF(OR(changes[[#This Row],[Type]]="Checklist",changes[[#This Row],[Type]]="checklist-flat"),1+IF(changes[[#This Row],[Type of change]] = "Edit",COUNTIFS($I$4:changes[[#This Row],[Name]],changes[[#This Row],[Name]], $E$4:changes[[#This Row],[Type of change]], "Edit")),B2032)</f>
        <v>2</v>
      </c>
      <c r="C2033" s="20">
        <v>44804</v>
      </c>
      <c r="D2033" s="2" t="s">
        <v>2048</v>
      </c>
      <c r="E2033" t="s">
        <v>15</v>
      </c>
      <c r="F2033" s="14" t="s">
        <v>9</v>
      </c>
      <c r="G2033" s="14" t="s">
        <v>965</v>
      </c>
      <c r="H2033" s="3" t="s">
        <v>124</v>
      </c>
      <c r="I2033" s="24" t="s">
        <v>1714</v>
      </c>
      <c r="J2033" s="40"/>
      <c r="K2033" s="3" t="s">
        <v>6</v>
      </c>
      <c r="L2033" t="s">
        <v>2412</v>
      </c>
      <c r="M2033" s="3" t="s">
        <v>2413</v>
      </c>
    </row>
    <row r="2034" spans="1:13" ht="15.75">
      <c r="A2034" t="s">
        <v>28</v>
      </c>
      <c r="B2034">
        <f ca="1">IF(OR(changes[[#This Row],[Type]]="Checklist",changes[[#This Row],[Type]]="checklist-flat"),1+IF(changes[[#This Row],[Type of change]] = "Edit",COUNTIFS($I$4:changes[[#This Row],[Name]],changes[[#This Row],[Name]], $E$4:changes[[#This Row],[Type of change]], "Edit")),B2033)</f>
        <v>2</v>
      </c>
      <c r="C2034" s="20">
        <v>44804</v>
      </c>
      <c r="D2034" s="2" t="s">
        <v>2048</v>
      </c>
      <c r="E2034" t="s">
        <v>15</v>
      </c>
      <c r="F2034" s="14" t="s">
        <v>9</v>
      </c>
      <c r="G2034" s="14" t="s">
        <v>965</v>
      </c>
      <c r="H2034" s="3" t="s">
        <v>49</v>
      </c>
      <c r="I2034" s="24" t="s">
        <v>977</v>
      </c>
      <c r="J2034" s="40"/>
      <c r="K2034" s="3" t="s">
        <v>6</v>
      </c>
      <c r="L2034" t="s">
        <v>2412</v>
      </c>
      <c r="M2034" s="3"/>
    </row>
    <row r="2035" spans="1:13" ht="15.75">
      <c r="A2035" t="s">
        <v>28</v>
      </c>
      <c r="B2035">
        <f ca="1">IF(OR(changes[[#This Row],[Type]]="Checklist",changes[[#This Row],[Type]]="checklist-flat"),1+IF(changes[[#This Row],[Type of change]] = "Edit",COUNTIFS($I$4:changes[[#This Row],[Name]],changes[[#This Row],[Name]], $E$4:changes[[#This Row],[Type of change]], "Edit")),B2034)</f>
        <v>2</v>
      </c>
      <c r="C2035" s="20">
        <v>44804</v>
      </c>
      <c r="D2035" s="2" t="s">
        <v>2048</v>
      </c>
      <c r="E2035" t="s">
        <v>15</v>
      </c>
      <c r="F2035" s="14" t="s">
        <v>9</v>
      </c>
      <c r="G2035" s="14" t="s">
        <v>965</v>
      </c>
      <c r="H2035" s="3" t="s">
        <v>49</v>
      </c>
      <c r="I2035" s="24" t="s">
        <v>978</v>
      </c>
      <c r="J2035" s="40"/>
      <c r="K2035" s="3" t="s">
        <v>6</v>
      </c>
      <c r="L2035" t="s">
        <v>2412</v>
      </c>
      <c r="M2035" s="3"/>
    </row>
    <row r="2036" spans="1:13" ht="15.75">
      <c r="A2036" t="s">
        <v>28</v>
      </c>
      <c r="B2036">
        <f ca="1">IF(OR(changes[[#This Row],[Type]]="Checklist",changes[[#This Row],[Type]]="checklist-flat"),1+IF(changes[[#This Row],[Type of change]] = "Edit",COUNTIFS($I$4:changes[[#This Row],[Name]],changes[[#This Row],[Name]], $E$4:changes[[#This Row],[Type of change]], "Edit")),B2035)</f>
        <v>2</v>
      </c>
      <c r="C2036" s="20">
        <v>44804</v>
      </c>
      <c r="D2036" s="2" t="s">
        <v>2048</v>
      </c>
      <c r="E2036" t="s">
        <v>15</v>
      </c>
      <c r="F2036" s="14" t="s">
        <v>9</v>
      </c>
      <c r="G2036" s="14" t="s">
        <v>965</v>
      </c>
      <c r="H2036" s="3" t="s">
        <v>49</v>
      </c>
      <c r="I2036" s="24" t="s">
        <v>979</v>
      </c>
      <c r="J2036" s="40"/>
      <c r="K2036" s="3" t="s">
        <v>6</v>
      </c>
      <c r="L2036" t="s">
        <v>2412</v>
      </c>
      <c r="M2036" s="3"/>
    </row>
    <row r="2037" spans="1:13" ht="15.75">
      <c r="A2037" t="s">
        <v>28</v>
      </c>
      <c r="B2037">
        <f ca="1">IF(OR(changes[[#This Row],[Type]]="Checklist",changes[[#This Row],[Type]]="checklist-flat"),1+IF(changes[[#This Row],[Type of change]] = "Edit",COUNTIFS($I$4:changes[[#This Row],[Name]],changes[[#This Row],[Name]], $E$4:changes[[#This Row],[Type of change]], "Edit")),B2036)</f>
        <v>2</v>
      </c>
      <c r="C2037" s="20">
        <v>44804</v>
      </c>
      <c r="D2037" s="2" t="s">
        <v>2048</v>
      </c>
      <c r="E2037" t="s">
        <v>15</v>
      </c>
      <c r="F2037" s="14" t="s">
        <v>9</v>
      </c>
      <c r="G2037" s="14" t="s">
        <v>965</v>
      </c>
      <c r="H2037" s="3" t="s">
        <v>49</v>
      </c>
      <c r="I2037" s="24" t="s">
        <v>980</v>
      </c>
      <c r="J2037" s="40"/>
      <c r="K2037" s="3" t="s">
        <v>6</v>
      </c>
      <c r="L2037" t="s">
        <v>2412</v>
      </c>
      <c r="M2037" s="3"/>
    </row>
    <row r="2038" spans="1:13" ht="15.75">
      <c r="A2038" t="s">
        <v>28</v>
      </c>
      <c r="B2038">
        <f ca="1">IF(OR(changes[[#This Row],[Type]]="Checklist",changes[[#This Row],[Type]]="checklist-flat"),1+IF(changes[[#This Row],[Type of change]] = "Edit",COUNTIFS($I$4:changes[[#This Row],[Name]],changes[[#This Row],[Name]], $E$4:changes[[#This Row],[Type of change]], "Edit")),B2037)</f>
        <v>2</v>
      </c>
      <c r="C2038" s="20">
        <v>44804</v>
      </c>
      <c r="D2038" s="2" t="s">
        <v>2048</v>
      </c>
      <c r="E2038" t="s">
        <v>15</v>
      </c>
      <c r="F2038" s="14" t="s">
        <v>9</v>
      </c>
      <c r="G2038" s="14" t="s">
        <v>965</v>
      </c>
      <c r="H2038" s="3" t="s">
        <v>49</v>
      </c>
      <c r="I2038" s="24" t="s">
        <v>981</v>
      </c>
      <c r="J2038" s="40"/>
      <c r="K2038" s="3" t="s">
        <v>6</v>
      </c>
      <c r="L2038" t="s">
        <v>2412</v>
      </c>
      <c r="M2038" s="3"/>
    </row>
    <row r="2039" spans="1:13" ht="15.75">
      <c r="A2039" t="s">
        <v>28</v>
      </c>
      <c r="B2039">
        <f ca="1">IF(OR(changes[[#This Row],[Type]]="Checklist",changes[[#This Row],[Type]]="checklist-flat"),1+IF(changes[[#This Row],[Type of change]] = "Edit",COUNTIFS($I$4:changes[[#This Row],[Name]],changes[[#This Row],[Name]], $E$4:changes[[#This Row],[Type of change]], "Edit")),B2038)</f>
        <v>2</v>
      </c>
      <c r="C2039" s="20">
        <v>44804</v>
      </c>
      <c r="D2039" s="2" t="s">
        <v>2048</v>
      </c>
      <c r="E2039" t="s">
        <v>15</v>
      </c>
      <c r="F2039" s="14" t="s">
        <v>9</v>
      </c>
      <c r="G2039" s="14" t="s">
        <v>965</v>
      </c>
      <c r="H2039" s="3" t="s">
        <v>49</v>
      </c>
      <c r="I2039" s="24" t="s">
        <v>982</v>
      </c>
      <c r="J2039" s="40"/>
      <c r="K2039" s="3" t="s">
        <v>6</v>
      </c>
      <c r="L2039" t="s">
        <v>2412</v>
      </c>
      <c r="M2039" s="3"/>
    </row>
    <row r="2040" spans="1:13" ht="15.75">
      <c r="A2040" t="s">
        <v>28</v>
      </c>
      <c r="B2040">
        <f ca="1">IF(OR(changes[[#This Row],[Type]]="Checklist",changes[[#This Row],[Type]]="checklist-flat"),1+IF(changes[[#This Row],[Type of change]] = "Edit",COUNTIFS($I$4:changes[[#This Row],[Name]],changes[[#This Row],[Name]], $E$4:changes[[#This Row],[Type of change]], "Edit")),B2039)</f>
        <v>2</v>
      </c>
      <c r="C2040" s="20">
        <v>44804</v>
      </c>
      <c r="D2040" s="2" t="s">
        <v>2048</v>
      </c>
      <c r="E2040" t="s">
        <v>15</v>
      </c>
      <c r="F2040" s="14" t="s">
        <v>9</v>
      </c>
      <c r="G2040" s="14" t="s">
        <v>965</v>
      </c>
      <c r="H2040" s="3" t="s">
        <v>49</v>
      </c>
      <c r="I2040" s="24" t="s">
        <v>57</v>
      </c>
      <c r="J2040" s="40"/>
      <c r="K2040" s="3" t="s">
        <v>6</v>
      </c>
      <c r="L2040" t="s">
        <v>2412</v>
      </c>
      <c r="M2040" s="3"/>
    </row>
    <row r="2041" spans="1:13" ht="15.75">
      <c r="A2041" t="s">
        <v>28</v>
      </c>
      <c r="B2041">
        <f ca="1">IF(OR(changes[[#This Row],[Type]]="Checklist",changes[[#This Row],[Type]]="checklist-flat"),1+IF(changes[[#This Row],[Type of change]] = "Edit",COUNTIFS($I$4:changes[[#This Row],[Name]],changes[[#This Row],[Name]], $E$4:changes[[#This Row],[Type of change]], "Edit")),B2040)</f>
        <v>2</v>
      </c>
      <c r="C2041" s="20">
        <v>44804</v>
      </c>
      <c r="D2041" s="2" t="s">
        <v>2048</v>
      </c>
      <c r="E2041" t="s">
        <v>15</v>
      </c>
      <c r="F2041" s="14" t="s">
        <v>9</v>
      </c>
      <c r="G2041" s="14" t="s">
        <v>965</v>
      </c>
      <c r="H2041" s="3" t="s">
        <v>58</v>
      </c>
      <c r="I2041" s="24" t="s">
        <v>59</v>
      </c>
      <c r="J2041" s="40"/>
      <c r="K2041" s="3" t="s">
        <v>6</v>
      </c>
      <c r="L2041" t="s">
        <v>2412</v>
      </c>
      <c r="M2041" s="3"/>
    </row>
    <row r="2042" spans="1:13" ht="15.75">
      <c r="A2042" t="s">
        <v>28</v>
      </c>
      <c r="B2042">
        <f ca="1">IF(OR(changes[[#This Row],[Type]]="Checklist",changes[[#This Row],[Type]]="checklist-flat"),1+IF(changes[[#This Row],[Type of change]] = "Edit",COUNTIFS($I$4:changes[[#This Row],[Name]],changes[[#This Row],[Name]], $E$4:changes[[#This Row],[Type of change]], "Edit")),B2041)</f>
        <v>1</v>
      </c>
      <c r="C2042" s="20">
        <v>44804</v>
      </c>
      <c r="D2042" s="2" t="s">
        <v>2165</v>
      </c>
      <c r="E2042" t="s">
        <v>27</v>
      </c>
      <c r="F2042" s="14" t="s">
        <v>1998</v>
      </c>
      <c r="G2042" s="14" t="s">
        <v>1877</v>
      </c>
      <c r="H2042" s="3" t="s">
        <v>119</v>
      </c>
      <c r="I2042" s="24" t="s">
        <v>1877</v>
      </c>
      <c r="J2042" s="40"/>
      <c r="K2042" s="3" t="s">
        <v>2414</v>
      </c>
      <c r="M2042" s="3"/>
    </row>
    <row r="2043" spans="1:13" ht="15.75">
      <c r="A2043" t="s">
        <v>28</v>
      </c>
      <c r="B2043">
        <f ca="1">IF(OR(changes[[#This Row],[Type]]="Checklist",changes[[#This Row],[Type]]="checklist-flat"),1+IF(changes[[#This Row],[Type of change]] = "Edit",COUNTIFS($I$4:changes[[#This Row],[Name]],changes[[#This Row],[Name]], $E$4:changes[[#This Row],[Type of change]], "Edit")),B2042)</f>
        <v>1</v>
      </c>
      <c r="C2043" s="20">
        <v>44804</v>
      </c>
      <c r="D2043" s="2" t="s">
        <v>2165</v>
      </c>
      <c r="E2043" t="s">
        <v>27</v>
      </c>
      <c r="F2043" s="14" t="s">
        <v>1998</v>
      </c>
      <c r="G2043" s="14" t="s">
        <v>1877</v>
      </c>
      <c r="H2043" s="3" t="s">
        <v>120</v>
      </c>
      <c r="I2043" s="24" t="s">
        <v>1878</v>
      </c>
      <c r="J2043" s="40"/>
      <c r="K2043" s="3" t="s">
        <v>2415</v>
      </c>
      <c r="M2043" s="3"/>
    </row>
    <row r="2044" spans="1:13" ht="15.75">
      <c r="A2044" t="s">
        <v>28</v>
      </c>
      <c r="B2044">
        <f ca="1">IF(OR(changes[[#This Row],[Type]]="Checklist",changes[[#This Row],[Type]]="checklist-flat"),1+IF(changes[[#This Row],[Type of change]] = "Edit",COUNTIFS($I$4:changes[[#This Row],[Name]],changes[[#This Row],[Name]], $E$4:changes[[#This Row],[Type of change]], "Edit")),B2043)</f>
        <v>1</v>
      </c>
      <c r="C2044" s="20">
        <v>44804</v>
      </c>
      <c r="D2044" s="2" t="s">
        <v>2165</v>
      </c>
      <c r="E2044" t="s">
        <v>27</v>
      </c>
      <c r="F2044" s="14" t="s">
        <v>1998</v>
      </c>
      <c r="G2044" s="14" t="s">
        <v>1877</v>
      </c>
      <c r="H2044" s="30" t="s">
        <v>1879</v>
      </c>
      <c r="I2044" s="24" t="s">
        <v>1878</v>
      </c>
      <c r="J2044" s="39"/>
      <c r="K2044" s="3" t="s">
        <v>2415</v>
      </c>
      <c r="M2044" s="63" t="s">
        <v>2416</v>
      </c>
    </row>
    <row r="2045" spans="1:13" ht="15.75">
      <c r="A2045" t="s">
        <v>28</v>
      </c>
      <c r="B2045">
        <f ca="1">IF(OR(changes[[#This Row],[Type]]="Checklist",changes[[#This Row],[Type]]="checklist-flat"),1+IF(changes[[#This Row],[Type of change]] = "Edit",COUNTIFS($I$4:changes[[#This Row],[Name]],changes[[#This Row],[Name]], $E$4:changes[[#This Row],[Type of change]], "Edit")),B2044)</f>
        <v>1</v>
      </c>
      <c r="C2045" s="20">
        <v>44804</v>
      </c>
      <c r="D2045" s="2" t="s">
        <v>2165</v>
      </c>
      <c r="E2045" t="s">
        <v>27</v>
      </c>
      <c r="F2045" s="14" t="s">
        <v>1998</v>
      </c>
      <c r="G2045" s="14" t="s">
        <v>1877</v>
      </c>
      <c r="H2045" s="3" t="s">
        <v>124</v>
      </c>
      <c r="I2045" s="24" t="s">
        <v>251</v>
      </c>
      <c r="J2045" s="40"/>
      <c r="K2045" s="3" t="s">
        <v>2415</v>
      </c>
      <c r="M2045" s="64" t="s">
        <v>2417</v>
      </c>
    </row>
    <row r="2046" spans="1:13" ht="15.75">
      <c r="A2046" t="s">
        <v>28</v>
      </c>
      <c r="B2046">
        <f ca="1">IF(OR(changes[[#This Row],[Type]]="Checklist",changes[[#This Row],[Type]]="checklist-flat"),1+IF(changes[[#This Row],[Type of change]] = "Edit",COUNTIFS($I$4:changes[[#This Row],[Name]],changes[[#This Row],[Name]], $E$4:changes[[#This Row],[Type of change]], "Edit")),B2045)</f>
        <v>1</v>
      </c>
      <c r="C2046" s="20">
        <v>44804</v>
      </c>
      <c r="D2046" s="2" t="s">
        <v>2165</v>
      </c>
      <c r="E2046" t="s">
        <v>27</v>
      </c>
      <c r="F2046" s="14" t="s">
        <v>1998</v>
      </c>
      <c r="G2046" s="14" t="s">
        <v>1877</v>
      </c>
      <c r="H2046" s="3" t="s">
        <v>124</v>
      </c>
      <c r="I2046" s="24" t="s">
        <v>252</v>
      </c>
      <c r="J2046" s="40"/>
      <c r="K2046" s="3" t="s">
        <v>2415</v>
      </c>
      <c r="M2046" s="3"/>
    </row>
    <row r="2047" spans="1:13" ht="15.75">
      <c r="A2047" t="s">
        <v>28</v>
      </c>
      <c r="B2047">
        <f ca="1">IF(OR(changes[[#This Row],[Type]]="Checklist",changes[[#This Row],[Type]]="checklist-flat"),1+IF(changes[[#This Row],[Type of change]] = "Edit",COUNTIFS($I$4:changes[[#This Row],[Name]],changes[[#This Row],[Name]], $E$4:changes[[#This Row],[Type of change]], "Edit")),B2046)</f>
        <v>1</v>
      </c>
      <c r="C2047" s="20">
        <v>44804</v>
      </c>
      <c r="D2047" s="2" t="s">
        <v>2165</v>
      </c>
      <c r="E2047" t="s">
        <v>27</v>
      </c>
      <c r="F2047" s="14" t="s">
        <v>1998</v>
      </c>
      <c r="G2047" s="14" t="s">
        <v>1877</v>
      </c>
      <c r="H2047" s="3" t="s">
        <v>120</v>
      </c>
      <c r="I2047" s="24" t="s">
        <v>1882</v>
      </c>
      <c r="J2047" s="40"/>
      <c r="K2047" s="3" t="s">
        <v>2415</v>
      </c>
      <c r="M2047" s="3"/>
    </row>
    <row r="2048" spans="1:13" ht="15.75">
      <c r="A2048" t="s">
        <v>28</v>
      </c>
      <c r="B2048">
        <f ca="1">IF(OR(changes[[#This Row],[Type]]="Checklist",changes[[#This Row],[Type]]="checklist-flat"),1+IF(changes[[#This Row],[Type of change]] = "Edit",COUNTIFS($I$4:changes[[#This Row],[Name]],changes[[#This Row],[Name]], $E$4:changes[[#This Row],[Type of change]], "Edit")),B2047)</f>
        <v>1</v>
      </c>
      <c r="C2048" s="20">
        <v>44804</v>
      </c>
      <c r="D2048" s="2" t="s">
        <v>2165</v>
      </c>
      <c r="E2048" t="s">
        <v>27</v>
      </c>
      <c r="F2048" s="14" t="s">
        <v>1998</v>
      </c>
      <c r="G2048" s="14" t="s">
        <v>1877</v>
      </c>
      <c r="H2048" s="30" t="s">
        <v>1879</v>
      </c>
      <c r="I2048" s="38" t="s">
        <v>1882</v>
      </c>
      <c r="J2048" s="39"/>
      <c r="K2048" s="3" t="s">
        <v>2415</v>
      </c>
      <c r="M2048" s="3"/>
    </row>
    <row r="2049" spans="1:13" ht="15.75">
      <c r="A2049" t="s">
        <v>28</v>
      </c>
      <c r="B2049">
        <f ca="1">IF(OR(changes[[#This Row],[Type]]="Checklist",changes[[#This Row],[Type]]="checklist-flat"),1+IF(changes[[#This Row],[Type of change]] = "Edit",COUNTIFS($I$4:changes[[#This Row],[Name]],changes[[#This Row],[Name]], $E$4:changes[[#This Row],[Type of change]], "Edit")),B2048)</f>
        <v>1</v>
      </c>
      <c r="C2049" s="20">
        <v>44804</v>
      </c>
      <c r="D2049" s="2" t="s">
        <v>2165</v>
      </c>
      <c r="E2049" t="s">
        <v>27</v>
      </c>
      <c r="F2049" s="14" t="s">
        <v>1998</v>
      </c>
      <c r="G2049" s="14" t="s">
        <v>1877</v>
      </c>
      <c r="H2049" s="3" t="s">
        <v>124</v>
      </c>
      <c r="I2049" s="24" t="s">
        <v>281</v>
      </c>
      <c r="J2049" s="40"/>
      <c r="K2049" s="3" t="s">
        <v>2415</v>
      </c>
      <c r="M2049" s="63" t="s">
        <v>2418</v>
      </c>
    </row>
    <row r="2050" spans="1:13" ht="15.75">
      <c r="A2050" t="s">
        <v>28</v>
      </c>
      <c r="B2050">
        <f ca="1">IF(OR(changes[[#This Row],[Type]]="Checklist",changes[[#This Row],[Type]]="checklist-flat"),1+IF(changes[[#This Row],[Type of change]] = "Edit",COUNTIFS($I$4:changes[[#This Row],[Name]],changes[[#This Row],[Name]], $E$4:changes[[#This Row],[Type of change]], "Edit")),B2049)</f>
        <v>1</v>
      </c>
      <c r="C2050" s="20">
        <v>44804</v>
      </c>
      <c r="D2050" s="2" t="s">
        <v>2165</v>
      </c>
      <c r="E2050" t="s">
        <v>27</v>
      </c>
      <c r="F2050" s="14" t="s">
        <v>1998</v>
      </c>
      <c r="G2050" s="14" t="s">
        <v>1877</v>
      </c>
      <c r="H2050" s="3" t="s">
        <v>124</v>
      </c>
      <c r="I2050" s="24" t="s">
        <v>283</v>
      </c>
      <c r="J2050" s="40"/>
      <c r="K2050" s="3" t="s">
        <v>2415</v>
      </c>
      <c r="M2050" s="3"/>
    </row>
    <row r="2051" spans="1:13" ht="15.75">
      <c r="A2051" t="s">
        <v>28</v>
      </c>
      <c r="B2051">
        <f ca="1">IF(OR(changes[[#This Row],[Type]]="Checklist",changes[[#This Row],[Type]]="checklist-flat"),1+IF(changes[[#This Row],[Type of change]] = "Edit",COUNTIFS($I$4:changes[[#This Row],[Name]],changes[[#This Row],[Name]], $E$4:changes[[#This Row],[Type of change]], "Edit")),B2050)</f>
        <v>1</v>
      </c>
      <c r="C2051" s="20">
        <v>44804</v>
      </c>
      <c r="D2051" s="2" t="s">
        <v>2165</v>
      </c>
      <c r="E2051" t="s">
        <v>27</v>
      </c>
      <c r="F2051" s="14" t="s">
        <v>1998</v>
      </c>
      <c r="G2051" s="14" t="s">
        <v>1877</v>
      </c>
      <c r="H2051" s="3" t="s">
        <v>124</v>
      </c>
      <c r="I2051" s="24" t="s">
        <v>284</v>
      </c>
      <c r="J2051" s="40"/>
      <c r="K2051" s="3" t="s">
        <v>2415</v>
      </c>
      <c r="M2051" s="3"/>
    </row>
    <row r="2052" spans="1:13" ht="15.75">
      <c r="A2052" t="s">
        <v>28</v>
      </c>
      <c r="B2052">
        <f ca="1">IF(OR(changes[[#This Row],[Type]]="Checklist",changes[[#This Row],[Type]]="checklist-flat"),1+IF(changes[[#This Row],[Type of change]] = "Edit",COUNTIFS($I$4:changes[[#This Row],[Name]],changes[[#This Row],[Name]], $E$4:changes[[#This Row],[Type of change]], "Edit")),B2051)</f>
        <v>1</v>
      </c>
      <c r="C2052" s="20">
        <v>44804</v>
      </c>
      <c r="D2052" s="2" t="s">
        <v>2165</v>
      </c>
      <c r="E2052" t="s">
        <v>27</v>
      </c>
      <c r="F2052" s="14" t="s">
        <v>1998</v>
      </c>
      <c r="G2052" s="14" t="s">
        <v>1877</v>
      </c>
      <c r="H2052" s="3" t="s">
        <v>49</v>
      </c>
      <c r="I2052" s="24" t="s">
        <v>286</v>
      </c>
      <c r="J2052" s="40"/>
      <c r="K2052" s="3" t="s">
        <v>2415</v>
      </c>
      <c r="M2052" s="3"/>
    </row>
    <row r="2053" spans="1:13" ht="15.75">
      <c r="A2053" t="s">
        <v>28</v>
      </c>
      <c r="B2053">
        <f ca="1">IF(OR(changes[[#This Row],[Type]]="Checklist",changes[[#This Row],[Type]]="checklist-flat"),1+IF(changes[[#This Row],[Type of change]] = "Edit",COUNTIFS($I$4:changes[[#This Row],[Name]],changes[[#This Row],[Name]], $E$4:changes[[#This Row],[Type of change]], "Edit")),B2052)</f>
        <v>1</v>
      </c>
      <c r="C2053" s="20">
        <v>44804</v>
      </c>
      <c r="D2053" s="2" t="s">
        <v>2165</v>
      </c>
      <c r="E2053" t="s">
        <v>27</v>
      </c>
      <c r="F2053" s="14" t="s">
        <v>1998</v>
      </c>
      <c r="G2053" s="14" t="s">
        <v>1877</v>
      </c>
      <c r="H2053" s="3" t="s">
        <v>120</v>
      </c>
      <c r="I2053" s="24" t="s">
        <v>1883</v>
      </c>
      <c r="J2053" s="40"/>
      <c r="K2053" s="3" t="s">
        <v>2415</v>
      </c>
      <c r="M2053" s="3"/>
    </row>
    <row r="2054" spans="1:13" ht="15.75">
      <c r="A2054" t="s">
        <v>28</v>
      </c>
      <c r="B2054">
        <f ca="1">IF(OR(changes[[#This Row],[Type]]="Checklist",changes[[#This Row],[Type]]="checklist-flat"),1+IF(changes[[#This Row],[Type of change]] = "Edit",COUNTIFS($I$4:changes[[#This Row],[Name]],changes[[#This Row],[Name]], $E$4:changes[[#This Row],[Type of change]], "Edit")),B2053)</f>
        <v>1</v>
      </c>
      <c r="C2054" s="20">
        <v>44804</v>
      </c>
      <c r="D2054" s="2" t="s">
        <v>2165</v>
      </c>
      <c r="E2054" t="s">
        <v>27</v>
      </c>
      <c r="F2054" s="14" t="s">
        <v>1998</v>
      </c>
      <c r="G2054" s="14" t="s">
        <v>1877</v>
      </c>
      <c r="H2054" s="3" t="s">
        <v>49</v>
      </c>
      <c r="I2054" s="24" t="s">
        <v>1884</v>
      </c>
      <c r="J2054" s="40"/>
      <c r="K2054" s="3" t="s">
        <v>2415</v>
      </c>
      <c r="M2054" s="3"/>
    </row>
    <row r="2055" spans="1:13" ht="15.75">
      <c r="A2055" t="s">
        <v>28</v>
      </c>
      <c r="B2055">
        <f ca="1">IF(OR(changes[[#This Row],[Type]]="Checklist",changes[[#This Row],[Type]]="checklist-flat"),1+IF(changes[[#This Row],[Type of change]] = "Edit",COUNTIFS($I$4:changes[[#This Row],[Name]],changes[[#This Row],[Name]], $E$4:changes[[#This Row],[Type of change]], "Edit")),B2054)</f>
        <v>1</v>
      </c>
      <c r="C2055" s="20">
        <v>44804</v>
      </c>
      <c r="D2055" s="2" t="s">
        <v>2165</v>
      </c>
      <c r="E2055" t="s">
        <v>27</v>
      </c>
      <c r="F2055" s="14" t="s">
        <v>1998</v>
      </c>
      <c r="G2055" s="14" t="s">
        <v>1877</v>
      </c>
      <c r="H2055" s="3" t="s">
        <v>49</v>
      </c>
      <c r="I2055" s="24" t="s">
        <v>1885</v>
      </c>
      <c r="J2055" s="40"/>
      <c r="K2055" s="3" t="s">
        <v>2415</v>
      </c>
      <c r="M2055" s="3"/>
    </row>
    <row r="2056" spans="1:13" ht="15.75">
      <c r="A2056" t="s">
        <v>28</v>
      </c>
      <c r="B2056">
        <f ca="1">IF(OR(changes[[#This Row],[Type]]="Checklist",changes[[#This Row],[Type]]="checklist-flat"),1+IF(changes[[#This Row],[Type of change]] = "Edit",COUNTIFS($I$4:changes[[#This Row],[Name]],changes[[#This Row],[Name]], $E$4:changes[[#This Row],[Type of change]], "Edit")),B2055)</f>
        <v>1</v>
      </c>
      <c r="C2056" s="20">
        <v>44804</v>
      </c>
      <c r="D2056" s="2" t="s">
        <v>2165</v>
      </c>
      <c r="E2056" t="s">
        <v>27</v>
      </c>
      <c r="F2056" s="14" t="s">
        <v>1998</v>
      </c>
      <c r="G2056" s="14" t="s">
        <v>1877</v>
      </c>
      <c r="H2056" s="3" t="s">
        <v>49</v>
      </c>
      <c r="I2056" s="24" t="s">
        <v>422</v>
      </c>
      <c r="J2056" s="40"/>
      <c r="K2056" s="3" t="s">
        <v>2415</v>
      </c>
      <c r="M2056" s="3"/>
    </row>
    <row r="2057" spans="1:13" ht="15.75">
      <c r="A2057" t="s">
        <v>28</v>
      </c>
      <c r="B2057">
        <f ca="1">IF(OR(changes[[#This Row],[Type]]="Checklist",changes[[#This Row],[Type]]="checklist-flat"),1+IF(changes[[#This Row],[Type of change]] = "Edit",COUNTIFS($I$4:changes[[#This Row],[Name]],changes[[#This Row],[Name]], $E$4:changes[[#This Row],[Type of change]], "Edit")),B2056)</f>
        <v>1</v>
      </c>
      <c r="C2057" s="20">
        <v>44804</v>
      </c>
      <c r="D2057" s="2" t="s">
        <v>2165</v>
      </c>
      <c r="E2057" t="s">
        <v>27</v>
      </c>
      <c r="F2057" s="14" t="s">
        <v>1998</v>
      </c>
      <c r="G2057" s="14" t="s">
        <v>1877</v>
      </c>
      <c r="H2057" s="3" t="s">
        <v>49</v>
      </c>
      <c r="I2057" s="24" t="s">
        <v>1886</v>
      </c>
      <c r="J2057" s="40"/>
      <c r="K2057" s="3" t="s">
        <v>2415</v>
      </c>
      <c r="M2057" s="3"/>
    </row>
    <row r="2058" spans="1:13" ht="15.75">
      <c r="A2058" t="s">
        <v>28</v>
      </c>
      <c r="B2058">
        <f ca="1">IF(OR(changes[[#This Row],[Type]]="Checklist",changes[[#This Row],[Type]]="checklist-flat"),1+IF(changes[[#This Row],[Type of change]] = "Edit",COUNTIFS($I$4:changes[[#This Row],[Name]],changes[[#This Row],[Name]], $E$4:changes[[#This Row],[Type of change]], "Edit")),B2057)</f>
        <v>1</v>
      </c>
      <c r="C2058" s="20">
        <v>44804</v>
      </c>
      <c r="D2058" s="2" t="s">
        <v>2165</v>
      </c>
      <c r="E2058" t="s">
        <v>27</v>
      </c>
      <c r="F2058" s="14" t="s">
        <v>1998</v>
      </c>
      <c r="G2058" s="14" t="s">
        <v>1877</v>
      </c>
      <c r="H2058" s="3" t="s">
        <v>49</v>
      </c>
      <c r="I2058" s="24" t="s">
        <v>1887</v>
      </c>
      <c r="J2058" s="40"/>
      <c r="K2058" s="3" t="s">
        <v>2415</v>
      </c>
      <c r="M2058" s="3"/>
    </row>
    <row r="2059" spans="1:13" ht="15.75">
      <c r="A2059" t="s">
        <v>28</v>
      </c>
      <c r="B2059">
        <f ca="1">IF(OR(changes[[#This Row],[Type]]="Checklist",changes[[#This Row],[Type]]="checklist-flat"),1+IF(changes[[#This Row],[Type of change]] = "Edit",COUNTIFS($I$4:changes[[#This Row],[Name]],changes[[#This Row],[Name]], $E$4:changes[[#This Row],[Type of change]], "Edit")),B2058)</f>
        <v>1</v>
      </c>
      <c r="C2059" s="20">
        <v>44804</v>
      </c>
      <c r="D2059" s="2" t="s">
        <v>2165</v>
      </c>
      <c r="E2059" t="s">
        <v>27</v>
      </c>
      <c r="F2059" s="14" t="s">
        <v>1998</v>
      </c>
      <c r="G2059" s="14" t="s">
        <v>1877</v>
      </c>
      <c r="H2059" s="3" t="s">
        <v>49</v>
      </c>
      <c r="I2059" s="24" t="s">
        <v>1888</v>
      </c>
      <c r="J2059" s="40"/>
      <c r="K2059" s="3" t="s">
        <v>2415</v>
      </c>
      <c r="M2059" s="3"/>
    </row>
    <row r="2060" spans="1:13" ht="15.75">
      <c r="A2060" t="s">
        <v>28</v>
      </c>
      <c r="B2060">
        <f ca="1">IF(OR(changes[[#This Row],[Type]]="Checklist",changes[[#This Row],[Type]]="checklist-flat"),1+IF(changes[[#This Row],[Type of change]] = "Edit",COUNTIFS($I$4:changes[[#This Row],[Name]],changes[[#This Row],[Name]], $E$4:changes[[#This Row],[Type of change]], "Edit")),B2059)</f>
        <v>1</v>
      </c>
      <c r="C2060" s="20">
        <v>44804</v>
      </c>
      <c r="D2060" s="2" t="s">
        <v>2165</v>
      </c>
      <c r="E2060" t="s">
        <v>27</v>
      </c>
      <c r="F2060" s="14" t="s">
        <v>1998</v>
      </c>
      <c r="G2060" s="14" t="s">
        <v>1877</v>
      </c>
      <c r="H2060" s="3" t="s">
        <v>58</v>
      </c>
      <c r="I2060" s="24" t="s">
        <v>1889</v>
      </c>
      <c r="J2060" s="40"/>
      <c r="K2060" s="3" t="s">
        <v>2415</v>
      </c>
      <c r="M2060" s="3"/>
    </row>
    <row r="2061" spans="1:13" ht="15.75">
      <c r="A2061" t="s">
        <v>28</v>
      </c>
      <c r="B2061">
        <f ca="1">IF(OR(changes[[#This Row],[Type]]="Checklist",changes[[#This Row],[Type]]="checklist-flat"),1+IF(changes[[#This Row],[Type of change]] = "Edit",COUNTIFS($I$4:changes[[#This Row],[Name]],changes[[#This Row],[Name]], $E$4:changes[[#This Row],[Type of change]], "Edit")),B2060)</f>
        <v>1</v>
      </c>
      <c r="C2061" s="20">
        <v>44804</v>
      </c>
      <c r="D2061" s="2" t="s">
        <v>2165</v>
      </c>
      <c r="E2061" t="s">
        <v>27</v>
      </c>
      <c r="F2061" s="14" t="s">
        <v>1998</v>
      </c>
      <c r="G2061" s="14" t="s">
        <v>2419</v>
      </c>
      <c r="H2061" s="3" t="s">
        <v>119</v>
      </c>
      <c r="I2061" s="24" t="s">
        <v>2419</v>
      </c>
      <c r="J2061" s="40"/>
      <c r="K2061" s="3" t="s">
        <v>2415</v>
      </c>
      <c r="M2061" s="3"/>
    </row>
    <row r="2062" spans="1:13" ht="15.75">
      <c r="A2062" t="s">
        <v>28</v>
      </c>
      <c r="B2062">
        <f ca="1">IF(OR(changes[[#This Row],[Type]]="Checklist",changes[[#This Row],[Type]]="checklist-flat"),1+IF(changes[[#This Row],[Type of change]] = "Edit",COUNTIFS($I$4:changes[[#This Row],[Name]],changes[[#This Row],[Name]], $E$4:changes[[#This Row],[Type of change]], "Edit")),B2061)</f>
        <v>1</v>
      </c>
      <c r="C2062" s="20">
        <v>44804</v>
      </c>
      <c r="D2062" s="2" t="s">
        <v>2165</v>
      </c>
      <c r="E2062" t="s">
        <v>27</v>
      </c>
      <c r="F2062" s="14" t="s">
        <v>1998</v>
      </c>
      <c r="G2062" s="14" t="s">
        <v>2419</v>
      </c>
      <c r="H2062" s="3" t="s">
        <v>120</v>
      </c>
      <c r="I2062" s="24" t="s">
        <v>1891</v>
      </c>
      <c r="J2062" s="40"/>
      <c r="K2062" s="3" t="s">
        <v>2415</v>
      </c>
      <c r="M2062" s="3"/>
    </row>
    <row r="2063" spans="1:13" ht="15.75">
      <c r="A2063" t="s">
        <v>28</v>
      </c>
      <c r="B2063">
        <f ca="1">IF(OR(changes[[#This Row],[Type]]="Checklist",changes[[#This Row],[Type]]="checklist-flat"),1+IF(changes[[#This Row],[Type of change]] = "Edit",COUNTIFS($I$4:changes[[#This Row],[Name]],changes[[#This Row],[Name]], $E$4:changes[[#This Row],[Type of change]], "Edit")),B2062)</f>
        <v>1</v>
      </c>
      <c r="C2063" s="20">
        <v>44804</v>
      </c>
      <c r="D2063" s="2" t="s">
        <v>2165</v>
      </c>
      <c r="E2063" t="s">
        <v>27</v>
      </c>
      <c r="F2063" s="14" t="s">
        <v>1998</v>
      </c>
      <c r="G2063" s="14" t="s">
        <v>2419</v>
      </c>
      <c r="H2063" s="30" t="s">
        <v>1879</v>
      </c>
      <c r="I2063" s="38" t="s">
        <v>1891</v>
      </c>
      <c r="J2063" s="39"/>
      <c r="K2063" s="3" t="s">
        <v>2415</v>
      </c>
      <c r="M2063" s="3"/>
    </row>
    <row r="2064" spans="1:13" ht="15.75">
      <c r="A2064" t="s">
        <v>28</v>
      </c>
      <c r="B2064">
        <f ca="1">IF(OR(changes[[#This Row],[Type]]="Checklist",changes[[#This Row],[Type]]="checklist-flat"),1+IF(changes[[#This Row],[Type of change]] = "Edit",COUNTIFS($I$4:changes[[#This Row],[Name]],changes[[#This Row],[Name]], $E$4:changes[[#This Row],[Type of change]], "Edit")),B2063)</f>
        <v>1</v>
      </c>
      <c r="C2064" s="20">
        <v>44804</v>
      </c>
      <c r="D2064" s="2" t="s">
        <v>2165</v>
      </c>
      <c r="E2064" t="s">
        <v>27</v>
      </c>
      <c r="F2064" s="14" t="s">
        <v>1998</v>
      </c>
      <c r="G2064" s="14" t="s">
        <v>2419</v>
      </c>
      <c r="H2064" s="3" t="s">
        <v>124</v>
      </c>
      <c r="I2064" s="24" t="s">
        <v>1892</v>
      </c>
      <c r="J2064" s="40"/>
      <c r="K2064" s="3" t="s">
        <v>2415</v>
      </c>
      <c r="M2064" s="63" t="s">
        <v>2418</v>
      </c>
    </row>
    <row r="2065" spans="1:13" ht="15.75">
      <c r="A2065" t="s">
        <v>28</v>
      </c>
      <c r="B2065">
        <f ca="1">IF(OR(changes[[#This Row],[Type]]="Checklist",changes[[#This Row],[Type]]="checklist-flat"),1+IF(changes[[#This Row],[Type of change]] = "Edit",COUNTIFS($I$4:changes[[#This Row],[Name]],changes[[#This Row],[Name]], $E$4:changes[[#This Row],[Type of change]], "Edit")),B2064)</f>
        <v>1</v>
      </c>
      <c r="C2065" s="20">
        <v>44804</v>
      </c>
      <c r="D2065" s="2" t="s">
        <v>2165</v>
      </c>
      <c r="E2065" t="s">
        <v>27</v>
      </c>
      <c r="F2065" s="14" t="s">
        <v>1998</v>
      </c>
      <c r="G2065" s="14" t="s">
        <v>2419</v>
      </c>
      <c r="H2065" s="3" t="s">
        <v>66</v>
      </c>
      <c r="I2065" s="24" t="s">
        <v>1893</v>
      </c>
      <c r="J2065" s="40"/>
      <c r="K2065" s="3" t="s">
        <v>2415</v>
      </c>
      <c r="M2065" s="63" t="s">
        <v>2420</v>
      </c>
    </row>
    <row r="2066" spans="1:13" ht="15.75">
      <c r="A2066" t="s">
        <v>28</v>
      </c>
      <c r="B2066">
        <f ca="1">IF(OR(changes[[#This Row],[Type]]="Checklist",changes[[#This Row],[Type]]="checklist-flat"),1+IF(changes[[#This Row],[Type of change]] = "Edit",COUNTIFS($I$4:changes[[#This Row],[Name]],changes[[#This Row],[Name]], $E$4:changes[[#This Row],[Type of change]], "Edit")),B2065)</f>
        <v>1</v>
      </c>
      <c r="C2066" s="20">
        <v>44804</v>
      </c>
      <c r="D2066" s="2" t="s">
        <v>2165</v>
      </c>
      <c r="E2066" t="s">
        <v>27</v>
      </c>
      <c r="F2066" s="14" t="s">
        <v>1998</v>
      </c>
      <c r="G2066" s="14" t="s">
        <v>2419</v>
      </c>
      <c r="H2066" s="3" t="s">
        <v>66</v>
      </c>
      <c r="I2066" s="24" t="s">
        <v>1894</v>
      </c>
      <c r="J2066" s="40"/>
      <c r="K2066" s="3" t="s">
        <v>2415</v>
      </c>
      <c r="M2066" s="63" t="s">
        <v>2420</v>
      </c>
    </row>
    <row r="2067" spans="1:13" ht="15.75">
      <c r="A2067" t="s">
        <v>28</v>
      </c>
      <c r="B2067">
        <f ca="1">IF(OR(changes[[#This Row],[Type]]="Checklist",changes[[#This Row],[Type]]="checklist-flat"),1+IF(changes[[#This Row],[Type of change]] = "Edit",COUNTIFS($I$4:changes[[#This Row],[Name]],changes[[#This Row],[Name]], $E$4:changes[[#This Row],[Type of change]], "Edit")),B2066)</f>
        <v>1</v>
      </c>
      <c r="C2067" s="20">
        <v>44804</v>
      </c>
      <c r="D2067" s="2" t="s">
        <v>2165</v>
      </c>
      <c r="E2067" t="s">
        <v>27</v>
      </c>
      <c r="F2067" s="14" t="s">
        <v>1998</v>
      </c>
      <c r="G2067" s="14" t="s">
        <v>2419</v>
      </c>
      <c r="H2067" s="3" t="s">
        <v>49</v>
      </c>
      <c r="I2067" s="24" t="s">
        <v>1895</v>
      </c>
      <c r="J2067" s="40"/>
      <c r="K2067" s="3" t="s">
        <v>2415</v>
      </c>
      <c r="M2067" s="3"/>
    </row>
    <row r="2068" spans="1:13" ht="15.75">
      <c r="A2068" t="s">
        <v>28</v>
      </c>
      <c r="B2068">
        <f ca="1">IF(OR(changes[[#This Row],[Type]]="Checklist",changes[[#This Row],[Type]]="checklist-flat"),1+IF(changes[[#This Row],[Type of change]] = "Edit",COUNTIFS($I$4:changes[[#This Row],[Name]],changes[[#This Row],[Name]], $E$4:changes[[#This Row],[Type of change]], "Edit")),B2067)</f>
        <v>1</v>
      </c>
      <c r="C2068" s="20">
        <v>44804</v>
      </c>
      <c r="D2068" s="2" t="s">
        <v>2165</v>
      </c>
      <c r="E2068" t="s">
        <v>27</v>
      </c>
      <c r="F2068" s="14" t="s">
        <v>1998</v>
      </c>
      <c r="G2068" s="14" t="s">
        <v>2419</v>
      </c>
      <c r="H2068" s="3" t="s">
        <v>49</v>
      </c>
      <c r="I2068" s="24" t="s">
        <v>1896</v>
      </c>
      <c r="J2068" s="40"/>
      <c r="K2068" s="3" t="s">
        <v>2415</v>
      </c>
      <c r="M2068" s="3"/>
    </row>
    <row r="2069" spans="1:13" ht="15.75">
      <c r="A2069" t="s">
        <v>28</v>
      </c>
      <c r="B2069">
        <f ca="1">IF(OR(changes[[#This Row],[Type]]="Checklist",changes[[#This Row],[Type]]="checklist-flat"),1+IF(changes[[#This Row],[Type of change]] = "Edit",COUNTIFS($I$4:changes[[#This Row],[Name]],changes[[#This Row],[Name]], $E$4:changes[[#This Row],[Type of change]], "Edit")),B2068)</f>
        <v>1</v>
      </c>
      <c r="C2069" s="20">
        <v>44804</v>
      </c>
      <c r="D2069" s="2" t="s">
        <v>2165</v>
      </c>
      <c r="E2069" t="s">
        <v>27</v>
      </c>
      <c r="F2069" s="14" t="s">
        <v>1998</v>
      </c>
      <c r="G2069" s="14" t="s">
        <v>2419</v>
      </c>
      <c r="H2069" s="3" t="s">
        <v>49</v>
      </c>
      <c r="I2069" s="24" t="s">
        <v>1897</v>
      </c>
      <c r="J2069" s="40"/>
      <c r="K2069" s="3" t="s">
        <v>2415</v>
      </c>
      <c r="M2069" s="3"/>
    </row>
    <row r="2070" spans="1:13" ht="15.75">
      <c r="A2070" t="s">
        <v>28</v>
      </c>
      <c r="B2070">
        <f ca="1">IF(OR(changes[[#This Row],[Type]]="Checklist",changes[[#This Row],[Type]]="checklist-flat"),1+IF(changes[[#This Row],[Type of change]] = "Edit",COUNTIFS($I$4:changes[[#This Row],[Name]],changes[[#This Row],[Name]], $E$4:changes[[#This Row],[Type of change]], "Edit")),B2069)</f>
        <v>1</v>
      </c>
      <c r="C2070" s="20">
        <v>44804</v>
      </c>
      <c r="D2070" s="2" t="s">
        <v>2165</v>
      </c>
      <c r="E2070" t="s">
        <v>27</v>
      </c>
      <c r="F2070" s="14" t="s">
        <v>1998</v>
      </c>
      <c r="G2070" s="14" t="s">
        <v>2419</v>
      </c>
      <c r="H2070" s="3" t="s">
        <v>49</v>
      </c>
      <c r="I2070" s="24" t="s">
        <v>1898</v>
      </c>
      <c r="J2070" s="40"/>
      <c r="K2070" s="3" t="s">
        <v>2415</v>
      </c>
      <c r="M2070" s="3"/>
    </row>
    <row r="2071" spans="1:13" ht="15.75">
      <c r="A2071" t="s">
        <v>28</v>
      </c>
      <c r="B2071">
        <f ca="1">IF(OR(changes[[#This Row],[Type]]="Checklist",changes[[#This Row],[Type]]="checklist-flat"),1+IF(changes[[#This Row],[Type of change]] = "Edit",COUNTIFS($I$4:changes[[#This Row],[Name]],changes[[#This Row],[Name]], $E$4:changes[[#This Row],[Type of change]], "Edit")),B2070)</f>
        <v>1</v>
      </c>
      <c r="C2071" s="20">
        <v>44804</v>
      </c>
      <c r="D2071" s="2" t="s">
        <v>2165</v>
      </c>
      <c r="E2071" t="s">
        <v>27</v>
      </c>
      <c r="F2071" s="14" t="s">
        <v>1998</v>
      </c>
      <c r="G2071" s="14" t="s">
        <v>2419</v>
      </c>
      <c r="H2071" s="3" t="s">
        <v>49</v>
      </c>
      <c r="I2071" s="24" t="s">
        <v>1899</v>
      </c>
      <c r="J2071" s="40"/>
      <c r="K2071" s="3" t="s">
        <v>2415</v>
      </c>
      <c r="M2071" s="3"/>
    </row>
    <row r="2072" spans="1:13" ht="15.75">
      <c r="A2072" t="s">
        <v>28</v>
      </c>
      <c r="B2072">
        <f ca="1">IF(OR(changes[[#This Row],[Type]]="Checklist",changes[[#This Row],[Type]]="checklist-flat"),1+IF(changes[[#This Row],[Type of change]] = "Edit",COUNTIFS($I$4:changes[[#This Row],[Name]],changes[[#This Row],[Name]], $E$4:changes[[#This Row],[Type of change]], "Edit")),B2071)</f>
        <v>1</v>
      </c>
      <c r="C2072" s="20">
        <v>44804</v>
      </c>
      <c r="D2072" s="2" t="s">
        <v>2165</v>
      </c>
      <c r="E2072" t="s">
        <v>27</v>
      </c>
      <c r="F2072" s="14" t="s">
        <v>1998</v>
      </c>
      <c r="G2072" s="14" t="s">
        <v>2419</v>
      </c>
      <c r="H2072" s="3" t="s">
        <v>120</v>
      </c>
      <c r="I2072" s="24" t="s">
        <v>1900</v>
      </c>
      <c r="J2072" s="40"/>
      <c r="K2072" s="3" t="s">
        <v>2415</v>
      </c>
      <c r="M2072" s="3"/>
    </row>
    <row r="2073" spans="1:13" ht="15.75">
      <c r="A2073" t="s">
        <v>28</v>
      </c>
      <c r="B2073">
        <f ca="1">IF(OR(changes[[#This Row],[Type]]="Checklist",changes[[#This Row],[Type]]="checklist-flat"),1+IF(changes[[#This Row],[Type of change]] = "Edit",COUNTIFS($I$4:changes[[#This Row],[Name]],changes[[#This Row],[Name]], $E$4:changes[[#This Row],[Type of change]], "Edit")),B2072)</f>
        <v>1</v>
      </c>
      <c r="C2073" s="20">
        <v>44804</v>
      </c>
      <c r="D2073" s="2" t="s">
        <v>2165</v>
      </c>
      <c r="E2073" t="s">
        <v>27</v>
      </c>
      <c r="F2073" s="14" t="s">
        <v>1998</v>
      </c>
      <c r="G2073" s="14" t="s">
        <v>2419</v>
      </c>
      <c r="H2073" s="3" t="s">
        <v>49</v>
      </c>
      <c r="I2073" s="24" t="s">
        <v>1901</v>
      </c>
      <c r="J2073" s="40"/>
      <c r="K2073" s="3" t="s">
        <v>2415</v>
      </c>
      <c r="M2073" s="3"/>
    </row>
    <row r="2074" spans="1:13" ht="15.75">
      <c r="A2074" t="s">
        <v>28</v>
      </c>
      <c r="B2074">
        <f ca="1">IF(OR(changes[[#This Row],[Type]]="Checklist",changes[[#This Row],[Type]]="checklist-flat"),1+IF(changes[[#This Row],[Type of change]] = "Edit",COUNTIFS($I$4:changes[[#This Row],[Name]],changes[[#This Row],[Name]], $E$4:changes[[#This Row],[Type of change]], "Edit")),B2073)</f>
        <v>1</v>
      </c>
      <c r="C2074" s="20">
        <v>44804</v>
      </c>
      <c r="D2074" s="2" t="s">
        <v>2165</v>
      </c>
      <c r="E2074" t="s">
        <v>27</v>
      </c>
      <c r="F2074" s="14" t="s">
        <v>1998</v>
      </c>
      <c r="G2074" s="14" t="s">
        <v>2419</v>
      </c>
      <c r="H2074" s="3" t="s">
        <v>49</v>
      </c>
      <c r="I2074" s="24" t="s">
        <v>1902</v>
      </c>
      <c r="J2074" s="40"/>
      <c r="K2074" s="3" t="s">
        <v>2415</v>
      </c>
      <c r="M2074" s="3"/>
    </row>
    <row r="2075" spans="1:13" ht="15.75">
      <c r="A2075" t="s">
        <v>28</v>
      </c>
      <c r="B2075">
        <f ca="1">IF(OR(changes[[#This Row],[Type]]="Checklist",changes[[#This Row],[Type]]="checklist-flat"),1+IF(changes[[#This Row],[Type of change]] = "Edit",COUNTIFS($I$4:changes[[#This Row],[Name]],changes[[#This Row],[Name]], $E$4:changes[[#This Row],[Type of change]], "Edit")),B2074)</f>
        <v>1</v>
      </c>
      <c r="C2075" s="20">
        <v>44804</v>
      </c>
      <c r="D2075" s="2" t="s">
        <v>2165</v>
      </c>
      <c r="E2075" t="s">
        <v>27</v>
      </c>
      <c r="F2075" s="14" t="s">
        <v>1998</v>
      </c>
      <c r="G2075" s="14" t="s">
        <v>2419</v>
      </c>
      <c r="H2075" s="3" t="s">
        <v>49</v>
      </c>
      <c r="I2075" s="24" t="s">
        <v>1903</v>
      </c>
      <c r="J2075" s="40"/>
      <c r="K2075" s="3" t="s">
        <v>2415</v>
      </c>
      <c r="M2075" s="3"/>
    </row>
    <row r="2076" spans="1:13" ht="15.75">
      <c r="A2076" t="s">
        <v>28</v>
      </c>
      <c r="B2076">
        <f ca="1">IF(OR(changes[[#This Row],[Type]]="Checklist",changes[[#This Row],[Type]]="checklist-flat"),1+IF(changes[[#This Row],[Type of change]] = "Edit",COUNTIFS($I$4:changes[[#This Row],[Name]],changes[[#This Row],[Name]], $E$4:changes[[#This Row],[Type of change]], "Edit")),B2075)</f>
        <v>1</v>
      </c>
      <c r="C2076" s="20">
        <v>44804</v>
      </c>
      <c r="D2076" s="2" t="s">
        <v>2165</v>
      </c>
      <c r="E2076" t="s">
        <v>27</v>
      </c>
      <c r="F2076" s="14" t="s">
        <v>1998</v>
      </c>
      <c r="G2076" s="14" t="s">
        <v>2419</v>
      </c>
      <c r="H2076" s="3" t="s">
        <v>49</v>
      </c>
      <c r="I2076" s="24" t="s">
        <v>1904</v>
      </c>
      <c r="J2076" s="40"/>
      <c r="K2076" s="3" t="s">
        <v>2415</v>
      </c>
      <c r="M2076" s="3"/>
    </row>
    <row r="2077" spans="1:13" ht="15.75">
      <c r="A2077" t="s">
        <v>28</v>
      </c>
      <c r="B2077">
        <f ca="1">IF(OR(changes[[#This Row],[Type]]="Checklist",changes[[#This Row],[Type]]="checklist-flat"),1+IF(changes[[#This Row],[Type of change]] = "Edit",COUNTIFS($I$4:changes[[#This Row],[Name]],changes[[#This Row],[Name]], $E$4:changes[[#This Row],[Type of change]], "Edit")),B2076)</f>
        <v>1</v>
      </c>
      <c r="C2077" s="20">
        <v>44804</v>
      </c>
      <c r="D2077" s="2" t="s">
        <v>2165</v>
      </c>
      <c r="E2077" t="s">
        <v>27</v>
      </c>
      <c r="F2077" s="14" t="s">
        <v>1998</v>
      </c>
      <c r="G2077" s="14" t="s">
        <v>2419</v>
      </c>
      <c r="H2077" s="3" t="s">
        <v>49</v>
      </c>
      <c r="I2077" s="24" t="s">
        <v>1905</v>
      </c>
      <c r="J2077" s="40"/>
      <c r="K2077" s="3" t="s">
        <v>2415</v>
      </c>
      <c r="M2077" s="3"/>
    </row>
    <row r="2078" spans="1:13" ht="15.75">
      <c r="A2078" t="s">
        <v>28</v>
      </c>
      <c r="B2078">
        <f ca="1">IF(OR(changes[[#This Row],[Type]]="Checklist",changes[[#This Row],[Type]]="checklist-flat"),1+IF(changes[[#This Row],[Type of change]] = "Edit",COUNTIFS($I$4:changes[[#This Row],[Name]],changes[[#This Row],[Name]], $E$4:changes[[#This Row],[Type of change]], "Edit")),B2077)</f>
        <v>1</v>
      </c>
      <c r="C2078" s="20">
        <v>44804</v>
      </c>
      <c r="D2078" s="2" t="s">
        <v>2165</v>
      </c>
      <c r="E2078" t="s">
        <v>27</v>
      </c>
      <c r="F2078" s="14" t="s">
        <v>1998</v>
      </c>
      <c r="G2078" s="14" t="s">
        <v>2419</v>
      </c>
      <c r="H2078" s="3" t="s">
        <v>49</v>
      </c>
      <c r="I2078" s="24" t="s">
        <v>1906</v>
      </c>
      <c r="J2078" s="40"/>
      <c r="K2078" s="3" t="s">
        <v>2415</v>
      </c>
      <c r="M2078" s="3"/>
    </row>
    <row r="2079" spans="1:13" ht="15.75">
      <c r="A2079" t="s">
        <v>28</v>
      </c>
      <c r="B2079">
        <f ca="1">IF(OR(changes[[#This Row],[Type]]="Checklist",changes[[#This Row],[Type]]="checklist-flat"),1+IF(changes[[#This Row],[Type of change]] = "Edit",COUNTIFS($I$4:changes[[#This Row],[Name]],changes[[#This Row],[Name]], $E$4:changes[[#This Row],[Type of change]], "Edit")),B2078)</f>
        <v>1</v>
      </c>
      <c r="C2079" s="20">
        <v>44804</v>
      </c>
      <c r="D2079" s="2" t="s">
        <v>2165</v>
      </c>
      <c r="E2079" t="s">
        <v>27</v>
      </c>
      <c r="F2079" s="14" t="s">
        <v>1998</v>
      </c>
      <c r="G2079" s="14" t="s">
        <v>2419</v>
      </c>
      <c r="H2079" s="3" t="s">
        <v>49</v>
      </c>
      <c r="I2079" s="24" t="s">
        <v>1907</v>
      </c>
      <c r="J2079" s="40"/>
      <c r="K2079" s="3" t="s">
        <v>2415</v>
      </c>
      <c r="M2079" s="3"/>
    </row>
    <row r="2080" spans="1:13" ht="15.75">
      <c r="A2080" t="s">
        <v>28</v>
      </c>
      <c r="B2080">
        <f ca="1">IF(OR(changes[[#This Row],[Type]]="Checklist",changes[[#This Row],[Type]]="checklist-flat"),1+IF(changes[[#This Row],[Type of change]] = "Edit",COUNTIFS($I$4:changes[[#This Row],[Name]],changes[[#This Row],[Name]], $E$4:changes[[#This Row],[Type of change]], "Edit")),B2079)</f>
        <v>1</v>
      </c>
      <c r="C2080" s="20">
        <v>44804</v>
      </c>
      <c r="D2080" s="2" t="s">
        <v>2165</v>
      </c>
      <c r="E2080" t="s">
        <v>27</v>
      </c>
      <c r="F2080" s="14" t="s">
        <v>1998</v>
      </c>
      <c r="G2080" s="14" t="s">
        <v>2419</v>
      </c>
      <c r="H2080" s="3" t="s">
        <v>49</v>
      </c>
      <c r="I2080" s="24" t="s">
        <v>1908</v>
      </c>
      <c r="J2080" s="40"/>
      <c r="K2080" s="3" t="s">
        <v>2415</v>
      </c>
      <c r="M2080" s="3"/>
    </row>
    <row r="2081" spans="1:13" ht="15.75">
      <c r="A2081" t="s">
        <v>28</v>
      </c>
      <c r="B2081">
        <f ca="1">IF(OR(changes[[#This Row],[Type]]="Checklist",changes[[#This Row],[Type]]="checklist-flat"),1+IF(changes[[#This Row],[Type of change]] = "Edit",COUNTIFS($I$4:changes[[#This Row],[Name]],changes[[#This Row],[Name]], $E$4:changes[[#This Row],[Type of change]], "Edit")),B2080)</f>
        <v>1</v>
      </c>
      <c r="C2081" s="20">
        <v>44804</v>
      </c>
      <c r="D2081" s="2" t="s">
        <v>2165</v>
      </c>
      <c r="E2081" t="s">
        <v>27</v>
      </c>
      <c r="F2081" s="14" t="s">
        <v>1998</v>
      </c>
      <c r="G2081" s="14" t="s">
        <v>2419</v>
      </c>
      <c r="H2081" s="3" t="s">
        <v>120</v>
      </c>
      <c r="I2081" s="24" t="s">
        <v>1909</v>
      </c>
      <c r="J2081" s="40"/>
      <c r="K2081" s="3" t="s">
        <v>2415</v>
      </c>
      <c r="M2081" s="3"/>
    </row>
    <row r="2082" spans="1:13" ht="15.75">
      <c r="A2082" t="s">
        <v>28</v>
      </c>
      <c r="B2082">
        <f ca="1">IF(OR(changes[[#This Row],[Type]]="Checklist",changes[[#This Row],[Type]]="checklist-flat"),1+IF(changes[[#This Row],[Type of change]] = "Edit",COUNTIFS($I$4:changes[[#This Row],[Name]],changes[[#This Row],[Name]], $E$4:changes[[#This Row],[Type of change]], "Edit")),B2081)</f>
        <v>1</v>
      </c>
      <c r="C2082" s="20">
        <v>44804</v>
      </c>
      <c r="D2082" s="2" t="s">
        <v>2165</v>
      </c>
      <c r="E2082" t="s">
        <v>27</v>
      </c>
      <c r="F2082" s="14" t="s">
        <v>1998</v>
      </c>
      <c r="G2082" s="14" t="s">
        <v>2419</v>
      </c>
      <c r="H2082" s="30" t="s">
        <v>1879</v>
      </c>
      <c r="I2082" s="38" t="s">
        <v>1909</v>
      </c>
      <c r="J2082" s="39"/>
      <c r="K2082" s="3" t="s">
        <v>2415</v>
      </c>
      <c r="M2082" s="3"/>
    </row>
    <row r="2083" spans="1:13" ht="15.75">
      <c r="A2083" t="s">
        <v>28</v>
      </c>
      <c r="B2083">
        <f ca="1">IF(OR(changes[[#This Row],[Type]]="Checklist",changes[[#This Row],[Type]]="checklist-flat"),1+IF(changes[[#This Row],[Type of change]] = "Edit",COUNTIFS($I$4:changes[[#This Row],[Name]],changes[[#This Row],[Name]], $E$4:changes[[#This Row],[Type of change]], "Edit")),B2082)</f>
        <v>1</v>
      </c>
      <c r="C2083" s="20">
        <v>44804</v>
      </c>
      <c r="D2083" s="2" t="s">
        <v>2165</v>
      </c>
      <c r="E2083" t="s">
        <v>27</v>
      </c>
      <c r="F2083" s="14" t="s">
        <v>1998</v>
      </c>
      <c r="G2083" s="14" t="s">
        <v>2419</v>
      </c>
      <c r="H2083" s="3" t="s">
        <v>124</v>
      </c>
      <c r="I2083" s="24" t="s">
        <v>1910</v>
      </c>
      <c r="J2083" s="40"/>
      <c r="K2083" s="3" t="s">
        <v>2415</v>
      </c>
      <c r="M2083" s="63" t="s">
        <v>2418</v>
      </c>
    </row>
    <row r="2084" spans="1:13" ht="15.75">
      <c r="A2084" t="s">
        <v>28</v>
      </c>
      <c r="B2084">
        <f ca="1">IF(OR(changes[[#This Row],[Type]]="Checklist",changes[[#This Row],[Type]]="checklist-flat"),1+IF(changes[[#This Row],[Type of change]] = "Edit",COUNTIFS($I$4:changes[[#This Row],[Name]],changes[[#This Row],[Name]], $E$4:changes[[#This Row],[Type of change]], "Edit")),B2083)</f>
        <v>1</v>
      </c>
      <c r="C2084" s="20">
        <v>44804</v>
      </c>
      <c r="D2084" s="2" t="s">
        <v>2165</v>
      </c>
      <c r="E2084" t="s">
        <v>27</v>
      </c>
      <c r="F2084" s="14" t="s">
        <v>1998</v>
      </c>
      <c r="G2084" s="14" t="s">
        <v>2419</v>
      </c>
      <c r="H2084" s="3" t="s">
        <v>49</v>
      </c>
      <c r="I2084" s="24" t="s">
        <v>1911</v>
      </c>
      <c r="J2084" s="40"/>
      <c r="K2084" s="3" t="s">
        <v>2415</v>
      </c>
      <c r="M2084" s="3"/>
    </row>
    <row r="2085" spans="1:13" ht="15.75">
      <c r="A2085" t="s">
        <v>28</v>
      </c>
      <c r="B2085">
        <f ca="1">IF(OR(changes[[#This Row],[Type]]="Checklist",changes[[#This Row],[Type]]="checklist-flat"),1+IF(changes[[#This Row],[Type of change]] = "Edit",COUNTIFS($I$4:changes[[#This Row],[Name]],changes[[#This Row],[Name]], $E$4:changes[[#This Row],[Type of change]], "Edit")),B2084)</f>
        <v>1</v>
      </c>
      <c r="C2085" s="20">
        <v>44804</v>
      </c>
      <c r="D2085" s="2" t="s">
        <v>2165</v>
      </c>
      <c r="E2085" t="s">
        <v>27</v>
      </c>
      <c r="F2085" s="14" t="s">
        <v>1998</v>
      </c>
      <c r="G2085" s="14" t="s">
        <v>2419</v>
      </c>
      <c r="H2085" s="3" t="s">
        <v>49</v>
      </c>
      <c r="I2085" s="24" t="s">
        <v>1912</v>
      </c>
      <c r="J2085" s="40"/>
      <c r="K2085" s="3" t="s">
        <v>2415</v>
      </c>
      <c r="M2085" s="3"/>
    </row>
    <row r="2086" spans="1:13" ht="15.75">
      <c r="A2086" t="s">
        <v>28</v>
      </c>
      <c r="B2086">
        <f ca="1">IF(OR(changes[[#This Row],[Type]]="Checklist",changes[[#This Row],[Type]]="checklist-flat"),1+IF(changes[[#This Row],[Type of change]] = "Edit",COUNTIFS($I$4:changes[[#This Row],[Name]],changes[[#This Row],[Name]], $E$4:changes[[#This Row],[Type of change]], "Edit")),B2085)</f>
        <v>1</v>
      </c>
      <c r="C2086" s="20">
        <v>44804</v>
      </c>
      <c r="D2086" s="2" t="s">
        <v>2165</v>
      </c>
      <c r="E2086" t="s">
        <v>27</v>
      </c>
      <c r="F2086" s="14" t="s">
        <v>1998</v>
      </c>
      <c r="G2086" s="14" t="s">
        <v>2419</v>
      </c>
      <c r="H2086" s="3" t="s">
        <v>49</v>
      </c>
      <c r="I2086" s="24" t="s">
        <v>1913</v>
      </c>
      <c r="J2086" s="40"/>
      <c r="K2086" s="3" t="s">
        <v>2415</v>
      </c>
      <c r="M2086" s="3"/>
    </row>
    <row r="2087" spans="1:13" ht="15.75">
      <c r="A2087" t="s">
        <v>28</v>
      </c>
      <c r="B2087">
        <f ca="1">IF(OR(changes[[#This Row],[Type]]="Checklist",changes[[#This Row],[Type]]="checklist-flat"),1+IF(changes[[#This Row],[Type of change]] = "Edit",COUNTIFS($I$4:changes[[#This Row],[Name]],changes[[#This Row],[Name]], $E$4:changes[[#This Row],[Type of change]], "Edit")),B2086)</f>
        <v>1</v>
      </c>
      <c r="C2087" s="20">
        <v>44804</v>
      </c>
      <c r="D2087" s="2" t="s">
        <v>2165</v>
      </c>
      <c r="E2087" t="s">
        <v>27</v>
      </c>
      <c r="F2087" s="14" t="s">
        <v>1998</v>
      </c>
      <c r="G2087" s="14" t="s">
        <v>2419</v>
      </c>
      <c r="H2087" s="3" t="s">
        <v>58</v>
      </c>
      <c r="I2087" s="24" t="s">
        <v>1889</v>
      </c>
      <c r="J2087" s="40"/>
      <c r="K2087" s="3" t="s">
        <v>2415</v>
      </c>
      <c r="M2087" s="3"/>
    </row>
    <row r="2088" spans="1:13" ht="15.75">
      <c r="A2088" t="s">
        <v>28</v>
      </c>
      <c r="B2088">
        <f ca="1">IF(OR(changes[[#This Row],[Type]]="Checklist",changes[[#This Row],[Type]]="checklist-flat"),1+IF(changes[[#This Row],[Type of change]] = "Edit",COUNTIFS($I$4:changes[[#This Row],[Name]],changes[[#This Row],[Name]], $E$4:changes[[#This Row],[Type of change]], "Edit")),B2087)</f>
        <v>1</v>
      </c>
      <c r="C2088" s="20">
        <v>44804</v>
      </c>
      <c r="D2088" s="2" t="s">
        <v>2165</v>
      </c>
      <c r="E2088" t="s">
        <v>27</v>
      </c>
      <c r="F2088" s="14" t="s">
        <v>1998</v>
      </c>
      <c r="G2088" s="14" t="s">
        <v>1847</v>
      </c>
      <c r="H2088" s="3" t="s">
        <v>119</v>
      </c>
      <c r="I2088" s="24" t="s">
        <v>1847</v>
      </c>
      <c r="J2088" s="40"/>
      <c r="K2088" s="3" t="s">
        <v>2415</v>
      </c>
      <c r="M2088" s="3"/>
    </row>
    <row r="2089" spans="1:13" ht="15.75">
      <c r="A2089" t="s">
        <v>28</v>
      </c>
      <c r="B2089">
        <f ca="1">IF(OR(changes[[#This Row],[Type]]="Checklist",changes[[#This Row],[Type]]="checklist-flat"),1+IF(changes[[#This Row],[Type of change]] = "Edit",COUNTIFS($I$4:changes[[#This Row],[Name]],changes[[#This Row],[Name]], $E$4:changes[[#This Row],[Type of change]], "Edit")),B2088)</f>
        <v>1</v>
      </c>
      <c r="C2089" s="20">
        <v>44804</v>
      </c>
      <c r="D2089" s="2" t="s">
        <v>2165</v>
      </c>
      <c r="E2089" t="s">
        <v>27</v>
      </c>
      <c r="F2089" s="14" t="s">
        <v>1998</v>
      </c>
      <c r="G2089" s="14" t="s">
        <v>1847</v>
      </c>
      <c r="H2089" s="3" t="s">
        <v>49</v>
      </c>
      <c r="I2089" s="24" t="s">
        <v>1849</v>
      </c>
      <c r="J2089" s="40"/>
      <c r="K2089" s="3" t="s">
        <v>2415</v>
      </c>
      <c r="M2089" s="3"/>
    </row>
    <row r="2090" spans="1:13" ht="15.75">
      <c r="A2090" t="s">
        <v>28</v>
      </c>
      <c r="B2090">
        <f ca="1">IF(OR(changes[[#This Row],[Type]]="Checklist",changes[[#This Row],[Type]]="checklist-flat"),1+IF(changes[[#This Row],[Type of change]] = "Edit",COUNTIFS($I$4:changes[[#This Row],[Name]],changes[[#This Row],[Name]], $E$4:changes[[#This Row],[Type of change]], "Edit")),B2089)</f>
        <v>1</v>
      </c>
      <c r="C2090" s="20">
        <v>44804</v>
      </c>
      <c r="D2090" s="2" t="s">
        <v>2165</v>
      </c>
      <c r="E2090" t="s">
        <v>27</v>
      </c>
      <c r="F2090" s="14" t="s">
        <v>1998</v>
      </c>
      <c r="G2090" s="14" t="s">
        <v>1847</v>
      </c>
      <c r="H2090" s="3" t="s">
        <v>49</v>
      </c>
      <c r="I2090" s="24" t="s">
        <v>1850</v>
      </c>
      <c r="J2090" s="40"/>
      <c r="K2090" s="3" t="s">
        <v>2415</v>
      </c>
      <c r="M2090" s="3"/>
    </row>
    <row r="2091" spans="1:13" ht="15.75">
      <c r="A2091" t="s">
        <v>28</v>
      </c>
      <c r="B2091">
        <f ca="1">IF(OR(changes[[#This Row],[Type]]="Checklist",changes[[#This Row],[Type]]="checklist-flat"),1+IF(changes[[#This Row],[Type of change]] = "Edit",COUNTIFS($I$4:changes[[#This Row],[Name]],changes[[#This Row],[Name]], $E$4:changes[[#This Row],[Type of change]], "Edit")),B2090)</f>
        <v>1</v>
      </c>
      <c r="C2091" s="20">
        <v>44804</v>
      </c>
      <c r="D2091" s="2" t="s">
        <v>2165</v>
      </c>
      <c r="E2091" t="s">
        <v>27</v>
      </c>
      <c r="F2091" s="14" t="s">
        <v>1998</v>
      </c>
      <c r="G2091" s="14" t="s">
        <v>1847</v>
      </c>
      <c r="H2091" s="3" t="s">
        <v>49</v>
      </c>
      <c r="I2091" s="24" t="s">
        <v>1851</v>
      </c>
      <c r="J2091" s="40"/>
      <c r="K2091" s="3" t="s">
        <v>2415</v>
      </c>
      <c r="M2091" s="3"/>
    </row>
    <row r="2092" spans="1:13" ht="15.75">
      <c r="A2092" t="s">
        <v>28</v>
      </c>
      <c r="B2092">
        <f ca="1">IF(OR(changes[[#This Row],[Type]]="Checklist",changes[[#This Row],[Type]]="checklist-flat"),1+IF(changes[[#This Row],[Type of change]] = "Edit",COUNTIFS($I$4:changes[[#This Row],[Name]],changes[[#This Row],[Name]], $E$4:changes[[#This Row],[Type of change]], "Edit")),B2091)</f>
        <v>1</v>
      </c>
      <c r="C2092" s="20">
        <v>44804</v>
      </c>
      <c r="D2092" s="2" t="s">
        <v>2165</v>
      </c>
      <c r="E2092" t="s">
        <v>27</v>
      </c>
      <c r="F2092" s="14" t="s">
        <v>1998</v>
      </c>
      <c r="G2092" s="14" t="s">
        <v>1847</v>
      </c>
      <c r="H2092" s="3" t="s">
        <v>49</v>
      </c>
      <c r="I2092" s="24" t="s">
        <v>256</v>
      </c>
      <c r="J2092" s="40"/>
      <c r="K2092" s="3" t="s">
        <v>2415</v>
      </c>
      <c r="M2092" s="3"/>
    </row>
    <row r="2093" spans="1:13" ht="15.75">
      <c r="A2093" t="s">
        <v>28</v>
      </c>
      <c r="B2093">
        <f ca="1">IF(OR(changes[[#This Row],[Type]]="Checklist",changes[[#This Row],[Type]]="checklist-flat"),1+IF(changes[[#This Row],[Type of change]] = "Edit",COUNTIFS($I$4:changes[[#This Row],[Name]],changes[[#This Row],[Name]], $E$4:changes[[#This Row],[Type of change]], "Edit")),B2092)</f>
        <v>1</v>
      </c>
      <c r="C2093" s="20">
        <v>44804</v>
      </c>
      <c r="D2093" s="2" t="s">
        <v>2165</v>
      </c>
      <c r="E2093" t="s">
        <v>27</v>
      </c>
      <c r="F2093" s="14" t="s">
        <v>1998</v>
      </c>
      <c r="G2093" s="14" t="s">
        <v>1847</v>
      </c>
      <c r="H2093" s="3" t="s">
        <v>49</v>
      </c>
      <c r="I2093" s="24" t="s">
        <v>305</v>
      </c>
      <c r="J2093" s="40"/>
      <c r="K2093" s="3" t="s">
        <v>2415</v>
      </c>
      <c r="M2093" s="3"/>
    </row>
    <row r="2094" spans="1:13" ht="15.75">
      <c r="A2094" t="s">
        <v>28</v>
      </c>
      <c r="B2094">
        <f ca="1">IF(OR(changes[[#This Row],[Type]]="Checklist",changes[[#This Row],[Type]]="checklist-flat"),1+IF(changes[[#This Row],[Type of change]] = "Edit",COUNTIFS($I$4:changes[[#This Row],[Name]],changes[[#This Row],[Name]], $E$4:changes[[#This Row],[Type of change]], "Edit")),B2093)</f>
        <v>1</v>
      </c>
      <c r="C2094" s="20">
        <v>44804</v>
      </c>
      <c r="D2094" s="2" t="s">
        <v>2165</v>
      </c>
      <c r="E2094" t="s">
        <v>27</v>
      </c>
      <c r="F2094" s="14" t="s">
        <v>1998</v>
      </c>
      <c r="G2094" s="14" t="s">
        <v>1847</v>
      </c>
      <c r="H2094" s="3" t="s">
        <v>49</v>
      </c>
      <c r="I2094" s="24" t="s">
        <v>258</v>
      </c>
      <c r="J2094" s="40"/>
      <c r="K2094" s="3" t="s">
        <v>2415</v>
      </c>
      <c r="M2094" s="3"/>
    </row>
    <row r="2095" spans="1:13" ht="15.75">
      <c r="A2095" t="s">
        <v>28</v>
      </c>
      <c r="B2095">
        <f ca="1">IF(OR(changes[[#This Row],[Type]]="Checklist",changes[[#This Row],[Type]]="checklist-flat"),1+IF(changes[[#This Row],[Type of change]] = "Edit",COUNTIFS($I$4:changes[[#This Row],[Name]],changes[[#This Row],[Name]], $E$4:changes[[#This Row],[Type of change]], "Edit")),B2094)</f>
        <v>1</v>
      </c>
      <c r="C2095" s="20">
        <v>44804</v>
      </c>
      <c r="D2095" s="2" t="s">
        <v>2165</v>
      </c>
      <c r="E2095" t="s">
        <v>27</v>
      </c>
      <c r="F2095" s="14" t="s">
        <v>1998</v>
      </c>
      <c r="G2095" s="14" t="s">
        <v>1847</v>
      </c>
      <c r="H2095" s="3" t="s">
        <v>58</v>
      </c>
      <c r="I2095" s="24" t="s">
        <v>59</v>
      </c>
      <c r="J2095" s="40"/>
      <c r="K2095" s="3" t="s">
        <v>2415</v>
      </c>
      <c r="M2095" s="3"/>
    </row>
    <row r="2096" spans="1:13" ht="15.75">
      <c r="A2096" t="s">
        <v>28</v>
      </c>
      <c r="B2096">
        <f ca="1">IF(OR(changes[[#This Row],[Type]]="Checklist",changes[[#This Row],[Type]]="checklist-flat"),1+IF(changes[[#This Row],[Type of change]] = "Edit",COUNTIFS($I$4:changes[[#This Row],[Name]],changes[[#This Row],[Name]], $E$4:changes[[#This Row],[Type of change]], "Edit")),B2095)</f>
        <v>1</v>
      </c>
      <c r="C2096" s="20">
        <v>44804</v>
      </c>
      <c r="D2096" s="2" t="s">
        <v>2165</v>
      </c>
      <c r="E2096" t="s">
        <v>27</v>
      </c>
      <c r="F2096" s="14" t="s">
        <v>1998</v>
      </c>
      <c r="G2096" s="14" t="s">
        <v>1852</v>
      </c>
      <c r="H2096" s="3" t="s">
        <v>119</v>
      </c>
      <c r="I2096" s="24" t="s">
        <v>1852</v>
      </c>
      <c r="J2096" s="40"/>
      <c r="K2096" s="3" t="s">
        <v>2415</v>
      </c>
      <c r="M2096" s="3"/>
    </row>
    <row r="2097" spans="1:13" ht="15.75">
      <c r="A2097" t="s">
        <v>28</v>
      </c>
      <c r="B2097">
        <f ca="1">IF(OR(changes[[#This Row],[Type]]="Checklist",changes[[#This Row],[Type]]="checklist-flat"),1+IF(changes[[#This Row],[Type of change]] = "Edit",COUNTIFS($I$4:changes[[#This Row],[Name]],changes[[#This Row],[Name]], $E$4:changes[[#This Row],[Type of change]], "Edit")),B2096)</f>
        <v>1</v>
      </c>
      <c r="C2097" s="20">
        <v>44804</v>
      </c>
      <c r="D2097" s="2" t="s">
        <v>2165</v>
      </c>
      <c r="E2097" t="s">
        <v>27</v>
      </c>
      <c r="F2097" s="14" t="s">
        <v>1998</v>
      </c>
      <c r="G2097" s="14" t="s">
        <v>1852</v>
      </c>
      <c r="H2097" s="3" t="s">
        <v>49</v>
      </c>
      <c r="I2097" s="24" t="s">
        <v>1853</v>
      </c>
      <c r="J2097" s="40"/>
      <c r="K2097" s="3" t="s">
        <v>2415</v>
      </c>
      <c r="M2097" s="3"/>
    </row>
    <row r="2098" spans="1:13" ht="15.75">
      <c r="A2098" t="s">
        <v>28</v>
      </c>
      <c r="B2098">
        <f ca="1">IF(OR(changes[[#This Row],[Type]]="Checklist",changes[[#This Row],[Type]]="checklist-flat"),1+IF(changes[[#This Row],[Type of change]] = "Edit",COUNTIFS($I$4:changes[[#This Row],[Name]],changes[[#This Row],[Name]], $E$4:changes[[#This Row],[Type of change]], "Edit")),B2097)</f>
        <v>1</v>
      </c>
      <c r="C2098" s="20">
        <v>44804</v>
      </c>
      <c r="D2098" s="2" t="s">
        <v>2165</v>
      </c>
      <c r="E2098" t="s">
        <v>27</v>
      </c>
      <c r="F2098" s="14" t="s">
        <v>1998</v>
      </c>
      <c r="G2098" s="14" t="s">
        <v>1852</v>
      </c>
      <c r="H2098" s="3" t="s">
        <v>49</v>
      </c>
      <c r="I2098" s="24" t="s">
        <v>1854</v>
      </c>
      <c r="J2098" s="40"/>
      <c r="K2098" s="3" t="s">
        <v>2415</v>
      </c>
      <c r="M2098" s="3"/>
    </row>
    <row r="2099" spans="1:13" ht="15.75">
      <c r="A2099" t="s">
        <v>28</v>
      </c>
      <c r="B2099">
        <f ca="1">IF(OR(changes[[#This Row],[Type]]="Checklist",changes[[#This Row],[Type]]="checklist-flat"),1+IF(changes[[#This Row],[Type of change]] = "Edit",COUNTIFS($I$4:changes[[#This Row],[Name]],changes[[#This Row],[Name]], $E$4:changes[[#This Row],[Type of change]], "Edit")),B2098)</f>
        <v>1</v>
      </c>
      <c r="C2099" s="20">
        <v>44804</v>
      </c>
      <c r="D2099" s="2" t="s">
        <v>2165</v>
      </c>
      <c r="E2099" t="s">
        <v>27</v>
      </c>
      <c r="F2099" s="14" t="s">
        <v>1998</v>
      </c>
      <c r="G2099" s="14" t="s">
        <v>1852</v>
      </c>
      <c r="H2099" s="3" t="s">
        <v>49</v>
      </c>
      <c r="I2099" s="24" t="s">
        <v>1855</v>
      </c>
      <c r="J2099" s="40"/>
      <c r="K2099" s="3" t="s">
        <v>2415</v>
      </c>
      <c r="M2099" s="3"/>
    </row>
    <row r="2100" spans="1:13" ht="15.75">
      <c r="A2100" t="s">
        <v>28</v>
      </c>
      <c r="B2100">
        <f ca="1">IF(OR(changes[[#This Row],[Type]]="Checklist",changes[[#This Row],[Type]]="checklist-flat"),1+IF(changes[[#This Row],[Type of change]] = "Edit",COUNTIFS($I$4:changes[[#This Row],[Name]],changes[[#This Row],[Name]], $E$4:changes[[#This Row],[Type of change]], "Edit")),B2099)</f>
        <v>1</v>
      </c>
      <c r="C2100" s="20">
        <v>44804</v>
      </c>
      <c r="D2100" s="2" t="s">
        <v>2165</v>
      </c>
      <c r="E2100" t="s">
        <v>27</v>
      </c>
      <c r="F2100" s="14" t="s">
        <v>1998</v>
      </c>
      <c r="G2100" s="14" t="s">
        <v>1852</v>
      </c>
      <c r="H2100" s="3" t="s">
        <v>49</v>
      </c>
      <c r="I2100" s="24" t="s">
        <v>1856</v>
      </c>
      <c r="J2100" s="40"/>
      <c r="K2100" s="3" t="s">
        <v>2415</v>
      </c>
      <c r="M2100" s="3"/>
    </row>
    <row r="2101" spans="1:13" ht="15.75">
      <c r="A2101" t="s">
        <v>28</v>
      </c>
      <c r="B2101">
        <f ca="1">IF(OR(changes[[#This Row],[Type]]="Checklist",changes[[#This Row],[Type]]="checklist-flat"),1+IF(changes[[#This Row],[Type of change]] = "Edit",COUNTIFS($I$4:changes[[#This Row],[Name]],changes[[#This Row],[Name]], $E$4:changes[[#This Row],[Type of change]], "Edit")),B2100)</f>
        <v>1</v>
      </c>
      <c r="C2101" s="20">
        <v>44804</v>
      </c>
      <c r="D2101" s="2" t="s">
        <v>2165</v>
      </c>
      <c r="E2101" t="s">
        <v>27</v>
      </c>
      <c r="F2101" s="14" t="s">
        <v>1998</v>
      </c>
      <c r="G2101" s="14" t="s">
        <v>1852</v>
      </c>
      <c r="H2101" s="3" t="s">
        <v>49</v>
      </c>
      <c r="I2101" s="24" t="s">
        <v>1857</v>
      </c>
      <c r="J2101" s="40"/>
      <c r="K2101" s="3" t="s">
        <v>2415</v>
      </c>
      <c r="M2101" s="3"/>
    </row>
    <row r="2102" spans="1:13" ht="15.75">
      <c r="A2102" t="s">
        <v>28</v>
      </c>
      <c r="B2102">
        <f ca="1">IF(OR(changes[[#This Row],[Type]]="Checklist",changes[[#This Row],[Type]]="checklist-flat"),1+IF(changes[[#This Row],[Type of change]] = "Edit",COUNTIFS($I$4:changes[[#This Row],[Name]],changes[[#This Row],[Name]], $E$4:changes[[#This Row],[Type of change]], "Edit")),B2101)</f>
        <v>1</v>
      </c>
      <c r="C2102" s="20">
        <v>44804</v>
      </c>
      <c r="D2102" s="2" t="s">
        <v>2165</v>
      </c>
      <c r="E2102" t="s">
        <v>27</v>
      </c>
      <c r="F2102" s="14" t="s">
        <v>1998</v>
      </c>
      <c r="G2102" s="14" t="s">
        <v>1852</v>
      </c>
      <c r="H2102" s="3" t="s">
        <v>49</v>
      </c>
      <c r="I2102" s="24" t="s">
        <v>1858</v>
      </c>
      <c r="J2102" s="40"/>
      <c r="K2102" s="3" t="s">
        <v>2415</v>
      </c>
      <c r="M2102" s="3"/>
    </row>
    <row r="2103" spans="1:13" ht="15.75">
      <c r="A2103" t="s">
        <v>28</v>
      </c>
      <c r="B2103">
        <f ca="1">IF(OR(changes[[#This Row],[Type]]="Checklist",changes[[#This Row],[Type]]="checklist-flat"),1+IF(changes[[#This Row],[Type of change]] = "Edit",COUNTIFS($I$4:changes[[#This Row],[Name]],changes[[#This Row],[Name]], $E$4:changes[[#This Row],[Type of change]], "Edit")),B2102)</f>
        <v>1</v>
      </c>
      <c r="C2103" s="20">
        <v>44804</v>
      </c>
      <c r="D2103" s="2" t="s">
        <v>2165</v>
      </c>
      <c r="E2103" t="s">
        <v>27</v>
      </c>
      <c r="F2103" s="14" t="s">
        <v>1998</v>
      </c>
      <c r="G2103" s="14" t="s">
        <v>1852</v>
      </c>
      <c r="H2103" s="3" t="s">
        <v>49</v>
      </c>
      <c r="I2103" s="24" t="s">
        <v>1859</v>
      </c>
      <c r="J2103" s="40"/>
      <c r="K2103" s="3" t="s">
        <v>2415</v>
      </c>
      <c r="M2103" s="3"/>
    </row>
    <row r="2104" spans="1:13" ht="15.75">
      <c r="A2104" t="s">
        <v>28</v>
      </c>
      <c r="B2104">
        <f ca="1">IF(OR(changes[[#This Row],[Type]]="Checklist",changes[[#This Row],[Type]]="checklist-flat"),1+IF(changes[[#This Row],[Type of change]] = "Edit",COUNTIFS($I$4:changes[[#This Row],[Name]],changes[[#This Row],[Name]], $E$4:changes[[#This Row],[Type of change]], "Edit")),B2103)</f>
        <v>1</v>
      </c>
      <c r="C2104" s="20">
        <v>44804</v>
      </c>
      <c r="D2104" s="2" t="s">
        <v>2165</v>
      </c>
      <c r="E2104" t="s">
        <v>27</v>
      </c>
      <c r="F2104" s="14" t="s">
        <v>1998</v>
      </c>
      <c r="G2104" s="14" t="s">
        <v>1852</v>
      </c>
      <c r="H2104" s="3" t="s">
        <v>49</v>
      </c>
      <c r="I2104" s="24" t="s">
        <v>2421</v>
      </c>
      <c r="J2104" s="40"/>
      <c r="K2104" s="3" t="s">
        <v>2415</v>
      </c>
      <c r="M2104" s="3"/>
    </row>
    <row r="2105" spans="1:13" ht="15.75">
      <c r="A2105" t="s">
        <v>28</v>
      </c>
      <c r="B2105">
        <f ca="1">IF(OR(changes[[#This Row],[Type]]="Checklist",changes[[#This Row],[Type]]="checklist-flat"),1+IF(changes[[#This Row],[Type of change]] = "Edit",COUNTIFS($I$4:changes[[#This Row],[Name]],changes[[#This Row],[Name]], $E$4:changes[[#This Row],[Type of change]], "Edit")),B2104)</f>
        <v>1</v>
      </c>
      <c r="C2105" s="20">
        <v>44804</v>
      </c>
      <c r="D2105" s="2" t="s">
        <v>2165</v>
      </c>
      <c r="E2105" t="s">
        <v>27</v>
      </c>
      <c r="F2105" s="14" t="s">
        <v>1998</v>
      </c>
      <c r="G2105" s="14" t="s">
        <v>1852</v>
      </c>
      <c r="H2105" s="3" t="s">
        <v>49</v>
      </c>
      <c r="I2105" s="24" t="s">
        <v>1861</v>
      </c>
      <c r="J2105" s="40"/>
      <c r="K2105" s="3" t="s">
        <v>2415</v>
      </c>
      <c r="M2105" s="3"/>
    </row>
    <row r="2106" spans="1:13" ht="15.75">
      <c r="A2106" t="s">
        <v>28</v>
      </c>
      <c r="B2106">
        <f ca="1">IF(OR(changes[[#This Row],[Type]]="Checklist",changes[[#This Row],[Type]]="checklist-flat"),1+IF(changes[[#This Row],[Type of change]] = "Edit",COUNTIFS($I$4:changes[[#This Row],[Name]],changes[[#This Row],[Name]], $E$4:changes[[#This Row],[Type of change]], "Edit")),B2105)</f>
        <v>1</v>
      </c>
      <c r="C2106" s="20">
        <v>44804</v>
      </c>
      <c r="D2106" s="2" t="s">
        <v>2165</v>
      </c>
      <c r="E2106" t="s">
        <v>27</v>
      </c>
      <c r="F2106" s="14" t="s">
        <v>1998</v>
      </c>
      <c r="G2106" s="14" t="s">
        <v>1852</v>
      </c>
      <c r="H2106" s="3" t="s">
        <v>58</v>
      </c>
      <c r="I2106" s="24" t="s">
        <v>59</v>
      </c>
      <c r="J2106" s="40"/>
      <c r="K2106" s="3" t="s">
        <v>2415</v>
      </c>
      <c r="M2106" s="3"/>
    </row>
    <row r="2107" spans="1:13" ht="15.75">
      <c r="A2107" t="s">
        <v>28</v>
      </c>
      <c r="B2107">
        <f ca="1">IF(OR(changes[[#This Row],[Type]]="Checklist",changes[[#This Row],[Type]]="checklist-flat"),1+IF(changes[[#This Row],[Type of change]] = "Edit",COUNTIFS($I$4:changes[[#This Row],[Name]],changes[[#This Row],[Name]], $E$4:changes[[#This Row],[Type of change]], "Edit")),B2106)</f>
        <v>1</v>
      </c>
      <c r="C2107" s="20">
        <v>44804</v>
      </c>
      <c r="D2107" s="2" t="s">
        <v>2165</v>
      </c>
      <c r="E2107" t="s">
        <v>27</v>
      </c>
      <c r="F2107" s="14" t="s">
        <v>2422</v>
      </c>
      <c r="G2107" s="14" t="s">
        <v>1914</v>
      </c>
      <c r="H2107" s="3" t="s">
        <v>43</v>
      </c>
      <c r="I2107" s="24" t="s">
        <v>1914</v>
      </c>
      <c r="J2107" s="40"/>
      <c r="K2107" s="3" t="s">
        <v>2415</v>
      </c>
      <c r="M2107" s="3"/>
    </row>
    <row r="2108" spans="1:13" ht="15.75">
      <c r="A2108" t="s">
        <v>28</v>
      </c>
      <c r="B2108">
        <f ca="1">IF(OR(changes[[#This Row],[Type]]="Checklist",changes[[#This Row],[Type]]="checklist-flat"),1+IF(changes[[#This Row],[Type of change]] = "Edit",COUNTIFS($I$4:changes[[#This Row],[Name]],changes[[#This Row],[Name]], $E$4:changes[[#This Row],[Type of change]], "Edit")),B2107)</f>
        <v>1</v>
      </c>
      <c r="C2108" s="20">
        <v>44804</v>
      </c>
      <c r="D2108" s="2" t="s">
        <v>2165</v>
      </c>
      <c r="E2108" t="s">
        <v>27</v>
      </c>
      <c r="F2108" s="14" t="s">
        <v>2422</v>
      </c>
      <c r="G2108" s="14" t="s">
        <v>1914</v>
      </c>
      <c r="H2108" s="3" t="s">
        <v>120</v>
      </c>
      <c r="I2108" s="24" t="s">
        <v>1915</v>
      </c>
      <c r="J2108" s="40"/>
      <c r="K2108" s="3" t="s">
        <v>2415</v>
      </c>
      <c r="M2108" s="3"/>
    </row>
    <row r="2109" spans="1:13" ht="15.75">
      <c r="A2109" t="s">
        <v>28</v>
      </c>
      <c r="B2109">
        <f ca="1">IF(OR(changes[[#This Row],[Type]]="Checklist",changes[[#This Row],[Type]]="checklist-flat"),1+IF(changes[[#This Row],[Type of change]] = "Edit",COUNTIFS($I$4:changes[[#This Row],[Name]],changes[[#This Row],[Name]], $E$4:changes[[#This Row],[Type of change]], "Edit")),B2108)</f>
        <v>1</v>
      </c>
      <c r="C2109" s="20">
        <v>44804</v>
      </c>
      <c r="D2109" s="2" t="s">
        <v>2165</v>
      </c>
      <c r="E2109" t="s">
        <v>27</v>
      </c>
      <c r="F2109" s="14" t="s">
        <v>2422</v>
      </c>
      <c r="G2109" s="14" t="s">
        <v>1914</v>
      </c>
      <c r="H2109" s="3" t="s">
        <v>49</v>
      </c>
      <c r="I2109" s="24" t="s">
        <v>1916</v>
      </c>
      <c r="J2109" s="40"/>
      <c r="K2109" s="3" t="s">
        <v>2415</v>
      </c>
      <c r="M2109" s="3"/>
    </row>
    <row r="2110" spans="1:13" ht="15.75">
      <c r="A2110" t="s">
        <v>28</v>
      </c>
      <c r="B2110">
        <f ca="1">IF(OR(changes[[#This Row],[Type]]="Checklist",changes[[#This Row],[Type]]="checklist-flat"),1+IF(changes[[#This Row],[Type of change]] = "Edit",COUNTIFS($I$4:changes[[#This Row],[Name]],changes[[#This Row],[Name]], $E$4:changes[[#This Row],[Type of change]], "Edit")),B2109)</f>
        <v>1</v>
      </c>
      <c r="C2110" s="20">
        <v>44804</v>
      </c>
      <c r="D2110" s="2" t="s">
        <v>2165</v>
      </c>
      <c r="E2110" t="s">
        <v>27</v>
      </c>
      <c r="F2110" s="14" t="s">
        <v>2422</v>
      </c>
      <c r="G2110" s="14" t="s">
        <v>1914</v>
      </c>
      <c r="H2110" s="3" t="s">
        <v>49</v>
      </c>
      <c r="I2110" s="24" t="s">
        <v>1917</v>
      </c>
      <c r="J2110" s="40"/>
      <c r="K2110" s="3" t="s">
        <v>2415</v>
      </c>
      <c r="M2110" s="3"/>
    </row>
    <row r="2111" spans="1:13" ht="15.75">
      <c r="A2111" t="s">
        <v>28</v>
      </c>
      <c r="B2111">
        <f ca="1">IF(OR(changes[[#This Row],[Type]]="Checklist",changes[[#This Row],[Type]]="checklist-flat"),1+IF(changes[[#This Row],[Type of change]] = "Edit",COUNTIFS($I$4:changes[[#This Row],[Name]],changes[[#This Row],[Name]], $E$4:changes[[#This Row],[Type of change]], "Edit")),B2110)</f>
        <v>1</v>
      </c>
      <c r="C2111" s="20">
        <v>44804</v>
      </c>
      <c r="D2111" s="2" t="s">
        <v>2165</v>
      </c>
      <c r="E2111" t="s">
        <v>27</v>
      </c>
      <c r="F2111" s="14" t="s">
        <v>2422</v>
      </c>
      <c r="G2111" s="14" t="s">
        <v>1914</v>
      </c>
      <c r="H2111" s="3" t="s">
        <v>49</v>
      </c>
      <c r="I2111" s="24" t="s">
        <v>1918</v>
      </c>
      <c r="J2111" s="40"/>
      <c r="K2111" s="3" t="s">
        <v>2415</v>
      </c>
      <c r="M2111" s="3"/>
    </row>
    <row r="2112" spans="1:13" ht="15.75">
      <c r="A2112" t="s">
        <v>28</v>
      </c>
      <c r="B2112">
        <f ca="1">IF(OR(changes[[#This Row],[Type]]="Checklist",changes[[#This Row],[Type]]="checklist-flat"),1+IF(changes[[#This Row],[Type of change]] = "Edit",COUNTIFS($I$4:changes[[#This Row],[Name]],changes[[#This Row],[Name]], $E$4:changes[[#This Row],[Type of change]], "Edit")),B2111)</f>
        <v>1</v>
      </c>
      <c r="C2112" s="20">
        <v>44804</v>
      </c>
      <c r="D2112" s="2" t="s">
        <v>2165</v>
      </c>
      <c r="E2112" t="s">
        <v>27</v>
      </c>
      <c r="F2112" s="14" t="s">
        <v>2422</v>
      </c>
      <c r="G2112" s="14" t="s">
        <v>1914</v>
      </c>
      <c r="H2112" s="3" t="s">
        <v>120</v>
      </c>
      <c r="I2112" s="24" t="s">
        <v>1919</v>
      </c>
      <c r="J2112" s="40"/>
      <c r="K2112" s="3" t="s">
        <v>2415</v>
      </c>
      <c r="M2112" s="3"/>
    </row>
    <row r="2113" spans="1:13" ht="15.75">
      <c r="A2113" t="s">
        <v>28</v>
      </c>
      <c r="B2113">
        <f ca="1">IF(OR(changes[[#This Row],[Type]]="Checklist",changes[[#This Row],[Type]]="checklist-flat"),1+IF(changes[[#This Row],[Type of change]] = "Edit",COUNTIFS($I$4:changes[[#This Row],[Name]],changes[[#This Row],[Name]], $E$4:changes[[#This Row],[Type of change]], "Edit")),B2112)</f>
        <v>1</v>
      </c>
      <c r="C2113" s="20">
        <v>44804</v>
      </c>
      <c r="D2113" s="2" t="s">
        <v>2165</v>
      </c>
      <c r="E2113" t="s">
        <v>27</v>
      </c>
      <c r="F2113" s="14" t="s">
        <v>2422</v>
      </c>
      <c r="G2113" s="14" t="s">
        <v>1914</v>
      </c>
      <c r="H2113" s="30" t="s">
        <v>1879</v>
      </c>
      <c r="I2113" s="38" t="s">
        <v>1919</v>
      </c>
      <c r="J2113" s="39"/>
      <c r="K2113" s="3" t="s">
        <v>2415</v>
      </c>
      <c r="M2113" s="3"/>
    </row>
    <row r="2114" spans="1:13" ht="15.75">
      <c r="A2114" t="s">
        <v>28</v>
      </c>
      <c r="B2114">
        <f ca="1">IF(OR(changes[[#This Row],[Type]]="Checklist",changes[[#This Row],[Type]]="checklist-flat"),1+IF(changes[[#This Row],[Type of change]] = "Edit",COUNTIFS($I$4:changes[[#This Row],[Name]],changes[[#This Row],[Name]], $E$4:changes[[#This Row],[Type of change]], "Edit")),B2113)</f>
        <v>1</v>
      </c>
      <c r="C2114" s="20">
        <v>44804</v>
      </c>
      <c r="D2114" s="2" t="s">
        <v>2165</v>
      </c>
      <c r="E2114" t="s">
        <v>27</v>
      </c>
      <c r="F2114" s="14" t="s">
        <v>2422</v>
      </c>
      <c r="G2114" s="14" t="s">
        <v>1914</v>
      </c>
      <c r="H2114" s="3" t="s">
        <v>58</v>
      </c>
      <c r="I2114" s="24" t="s">
        <v>1920</v>
      </c>
      <c r="J2114" s="40"/>
      <c r="K2114" s="3" t="s">
        <v>2415</v>
      </c>
      <c r="M2114" s="63" t="s">
        <v>2423</v>
      </c>
    </row>
    <row r="2115" spans="1:13" ht="15.75">
      <c r="A2115" t="s">
        <v>28</v>
      </c>
      <c r="B2115">
        <f ca="1">IF(OR(changes[[#This Row],[Type]]="Checklist",changes[[#This Row],[Type]]="checklist-flat"),1+IF(changes[[#This Row],[Type of change]] = "Edit",COUNTIFS($I$4:changes[[#This Row],[Name]],changes[[#This Row],[Name]], $E$4:changes[[#This Row],[Type of change]], "Edit")),B2114)</f>
        <v>1</v>
      </c>
      <c r="C2115" s="20">
        <v>44804</v>
      </c>
      <c r="D2115" s="2" t="s">
        <v>2165</v>
      </c>
      <c r="E2115" t="s">
        <v>27</v>
      </c>
      <c r="F2115" s="14" t="s">
        <v>2422</v>
      </c>
      <c r="G2115" s="14" t="s">
        <v>1914</v>
      </c>
      <c r="H2115" s="3" t="s">
        <v>49</v>
      </c>
      <c r="I2115" s="24" t="s">
        <v>1921</v>
      </c>
      <c r="J2115" s="40"/>
      <c r="K2115" s="3" t="s">
        <v>2415</v>
      </c>
      <c r="M2115" s="3"/>
    </row>
    <row r="2116" spans="1:13" ht="15.75">
      <c r="A2116" t="s">
        <v>28</v>
      </c>
      <c r="B2116">
        <f ca="1">IF(OR(changes[[#This Row],[Type]]="Checklist",changes[[#This Row],[Type]]="checklist-flat"),1+IF(changes[[#This Row],[Type of change]] = "Edit",COUNTIFS($I$4:changes[[#This Row],[Name]],changes[[#This Row],[Name]], $E$4:changes[[#This Row],[Type of change]], "Edit")),B2115)</f>
        <v>1</v>
      </c>
      <c r="C2116" s="20">
        <v>44804</v>
      </c>
      <c r="D2116" s="2" t="s">
        <v>2165</v>
      </c>
      <c r="E2116" t="s">
        <v>27</v>
      </c>
      <c r="F2116" s="14" t="s">
        <v>2422</v>
      </c>
      <c r="G2116" s="14" t="s">
        <v>1914</v>
      </c>
      <c r="H2116" s="3" t="s">
        <v>49</v>
      </c>
      <c r="I2116" s="24" t="s">
        <v>1922</v>
      </c>
      <c r="J2116" s="40"/>
      <c r="K2116" s="3" t="s">
        <v>2415</v>
      </c>
      <c r="M2116" s="3"/>
    </row>
    <row r="2117" spans="1:13" ht="15.75">
      <c r="A2117" t="s">
        <v>28</v>
      </c>
      <c r="B2117">
        <f ca="1">IF(OR(changes[[#This Row],[Type]]="Checklist",changes[[#This Row],[Type]]="checklist-flat"),1+IF(changes[[#This Row],[Type of change]] = "Edit",COUNTIFS($I$4:changes[[#This Row],[Name]],changes[[#This Row],[Name]], $E$4:changes[[#This Row],[Type of change]], "Edit")),B2116)</f>
        <v>1</v>
      </c>
      <c r="C2117" s="20">
        <v>44804</v>
      </c>
      <c r="D2117" s="2" t="s">
        <v>2165</v>
      </c>
      <c r="E2117" t="s">
        <v>27</v>
      </c>
      <c r="F2117" s="14" t="s">
        <v>2422</v>
      </c>
      <c r="G2117" s="14" t="s">
        <v>1914</v>
      </c>
      <c r="H2117" s="3" t="s">
        <v>49</v>
      </c>
      <c r="I2117" s="24" t="s">
        <v>1923</v>
      </c>
      <c r="J2117" s="40"/>
      <c r="K2117" s="3" t="s">
        <v>2415</v>
      </c>
      <c r="M2117" s="3"/>
    </row>
    <row r="2118" spans="1:13" ht="15.75">
      <c r="A2118" t="s">
        <v>28</v>
      </c>
      <c r="B2118">
        <f ca="1">IF(OR(changes[[#This Row],[Type]]="Checklist",changes[[#This Row],[Type]]="checklist-flat"),1+IF(changes[[#This Row],[Type of change]] = "Edit",COUNTIFS($I$4:changes[[#This Row],[Name]],changes[[#This Row],[Name]], $E$4:changes[[#This Row],[Type of change]], "Edit")),B2117)</f>
        <v>1</v>
      </c>
      <c r="C2118" s="20">
        <v>44804</v>
      </c>
      <c r="D2118" s="2" t="s">
        <v>2165</v>
      </c>
      <c r="E2118" t="s">
        <v>27</v>
      </c>
      <c r="F2118" s="14" t="s">
        <v>2422</v>
      </c>
      <c r="G2118" s="14" t="s">
        <v>1914</v>
      </c>
      <c r="H2118" s="3" t="s">
        <v>49</v>
      </c>
      <c r="I2118" s="24" t="s">
        <v>1924</v>
      </c>
      <c r="J2118" s="40"/>
      <c r="K2118" s="3" t="s">
        <v>2415</v>
      </c>
      <c r="M2118" s="3"/>
    </row>
    <row r="2119" spans="1:13" ht="15.75">
      <c r="A2119" t="s">
        <v>28</v>
      </c>
      <c r="B2119">
        <f ca="1">IF(OR(changes[[#This Row],[Type]]="Checklist",changes[[#This Row],[Type]]="checklist-flat"),1+IF(changes[[#This Row],[Type of change]] = "Edit",COUNTIFS($I$4:changes[[#This Row],[Name]],changes[[#This Row],[Name]], $E$4:changes[[#This Row],[Type of change]], "Edit")),B2118)</f>
        <v>1</v>
      </c>
      <c r="C2119" s="20">
        <v>44804</v>
      </c>
      <c r="D2119" s="2" t="s">
        <v>2165</v>
      </c>
      <c r="E2119" t="s">
        <v>27</v>
      </c>
      <c r="F2119" s="14" t="s">
        <v>2422</v>
      </c>
      <c r="G2119" s="14" t="s">
        <v>1914</v>
      </c>
      <c r="H2119" s="3" t="s">
        <v>49</v>
      </c>
      <c r="I2119" s="24" t="s">
        <v>1925</v>
      </c>
      <c r="J2119" s="40"/>
      <c r="K2119" s="3" t="s">
        <v>2415</v>
      </c>
      <c r="M2119" s="3"/>
    </row>
    <row r="2120" spans="1:13" ht="15.75">
      <c r="A2120" t="s">
        <v>28</v>
      </c>
      <c r="B2120">
        <f ca="1">IF(OR(changes[[#This Row],[Type]]="Checklist",changes[[#This Row],[Type]]="checklist-flat"),1+IF(changes[[#This Row],[Type of change]] = "Edit",COUNTIFS($I$4:changes[[#This Row],[Name]],changes[[#This Row],[Name]], $E$4:changes[[#This Row],[Type of change]], "Edit")),B2119)</f>
        <v>1</v>
      </c>
      <c r="C2120" s="20">
        <v>44804</v>
      </c>
      <c r="D2120" s="2" t="s">
        <v>2165</v>
      </c>
      <c r="E2120" t="s">
        <v>27</v>
      </c>
      <c r="F2120" s="14" t="s">
        <v>2422</v>
      </c>
      <c r="G2120" s="14" t="s">
        <v>1914</v>
      </c>
      <c r="H2120" s="3" t="s">
        <v>58</v>
      </c>
      <c r="I2120" s="24" t="s">
        <v>1926</v>
      </c>
      <c r="J2120" s="40"/>
      <c r="K2120" s="3" t="s">
        <v>2415</v>
      </c>
      <c r="M2120" s="3"/>
    </row>
    <row r="2121" spans="1:13" ht="15.75">
      <c r="A2121" t="s">
        <v>28</v>
      </c>
      <c r="B2121">
        <f ca="1">IF(OR(changes[[#This Row],[Type]]="Checklist",changes[[#This Row],[Type]]="checklist-flat"),1+IF(changes[[#This Row],[Type of change]] = "Edit",COUNTIFS($I$4:changes[[#This Row],[Name]],changes[[#This Row],[Name]], $E$4:changes[[#This Row],[Type of change]], "Edit")),B2120)</f>
        <v>1</v>
      </c>
      <c r="C2121" s="20">
        <v>44804</v>
      </c>
      <c r="D2121" s="2" t="s">
        <v>2165</v>
      </c>
      <c r="E2121" t="s">
        <v>27</v>
      </c>
      <c r="F2121" s="14" t="s">
        <v>2422</v>
      </c>
      <c r="G2121" s="14" t="s">
        <v>1914</v>
      </c>
      <c r="H2121" s="3" t="s">
        <v>120</v>
      </c>
      <c r="I2121" s="24" t="s">
        <v>1927</v>
      </c>
      <c r="J2121" s="40"/>
      <c r="K2121" s="3" t="s">
        <v>2415</v>
      </c>
      <c r="M2121" s="3"/>
    </row>
    <row r="2122" spans="1:13" ht="15.75">
      <c r="A2122" t="s">
        <v>28</v>
      </c>
      <c r="B2122">
        <f ca="1">IF(OR(changes[[#This Row],[Type]]="Checklist",changes[[#This Row],[Type]]="checklist-flat"),1+IF(changes[[#This Row],[Type of change]] = "Edit",COUNTIFS($I$4:changes[[#This Row],[Name]],changes[[#This Row],[Name]], $E$4:changes[[#This Row],[Type of change]], "Edit")),B2121)</f>
        <v>1</v>
      </c>
      <c r="C2122" s="20">
        <v>44804</v>
      </c>
      <c r="D2122" s="2" t="s">
        <v>2165</v>
      </c>
      <c r="E2122" t="s">
        <v>27</v>
      </c>
      <c r="F2122" s="14" t="s">
        <v>2422</v>
      </c>
      <c r="G2122" s="14" t="s">
        <v>1914</v>
      </c>
      <c r="H2122" s="3" t="s">
        <v>49</v>
      </c>
      <c r="I2122" s="24" t="s">
        <v>1928</v>
      </c>
      <c r="J2122" s="40"/>
      <c r="K2122" s="3" t="s">
        <v>2415</v>
      </c>
      <c r="M2122" s="3"/>
    </row>
    <row r="2123" spans="1:13" ht="15.75">
      <c r="A2123" t="s">
        <v>28</v>
      </c>
      <c r="B2123">
        <f ca="1">IF(OR(changes[[#This Row],[Type]]="Checklist",changes[[#This Row],[Type]]="checklist-flat"),1+IF(changes[[#This Row],[Type of change]] = "Edit",COUNTIFS($I$4:changes[[#This Row],[Name]],changes[[#This Row],[Name]], $E$4:changes[[#This Row],[Type of change]], "Edit")),B2122)</f>
        <v>1</v>
      </c>
      <c r="C2123" s="20">
        <v>44804</v>
      </c>
      <c r="D2123" s="2" t="s">
        <v>2165</v>
      </c>
      <c r="E2123" t="s">
        <v>27</v>
      </c>
      <c r="F2123" s="14" t="s">
        <v>2422</v>
      </c>
      <c r="G2123" s="14" t="s">
        <v>1914</v>
      </c>
      <c r="H2123" s="3" t="s">
        <v>49</v>
      </c>
      <c r="I2123" s="24" t="s">
        <v>1929</v>
      </c>
      <c r="J2123" s="40"/>
      <c r="K2123" s="3" t="s">
        <v>2415</v>
      </c>
      <c r="M2123" s="3"/>
    </row>
    <row r="2124" spans="1:13" ht="15.75">
      <c r="A2124" t="s">
        <v>28</v>
      </c>
      <c r="B2124">
        <f ca="1">IF(OR(changes[[#This Row],[Type]]="Checklist",changes[[#This Row],[Type]]="checklist-flat"),1+IF(changes[[#This Row],[Type of change]] = "Edit",COUNTIFS($I$4:changes[[#This Row],[Name]],changes[[#This Row],[Name]], $E$4:changes[[#This Row],[Type of change]], "Edit")),B2123)</f>
        <v>1</v>
      </c>
      <c r="C2124" s="20">
        <v>44804</v>
      </c>
      <c r="D2124" s="2" t="s">
        <v>2165</v>
      </c>
      <c r="E2124" t="s">
        <v>27</v>
      </c>
      <c r="F2124" s="14" t="s">
        <v>2422</v>
      </c>
      <c r="G2124" s="14" t="s">
        <v>1914</v>
      </c>
      <c r="H2124" s="3" t="s">
        <v>120</v>
      </c>
      <c r="I2124" s="24" t="s">
        <v>1930</v>
      </c>
      <c r="J2124" s="40"/>
      <c r="K2124" s="3" t="s">
        <v>2415</v>
      </c>
      <c r="M2124" s="3"/>
    </row>
    <row r="2125" spans="1:13" ht="15.75">
      <c r="A2125" t="s">
        <v>28</v>
      </c>
      <c r="B2125">
        <f ca="1">IF(OR(changes[[#This Row],[Type]]="Checklist",changes[[#This Row],[Type]]="checklist-flat"),1+IF(changes[[#This Row],[Type of change]] = "Edit",COUNTIFS($I$4:changes[[#This Row],[Name]],changes[[#This Row],[Name]], $E$4:changes[[#This Row],[Type of change]], "Edit")),B2124)</f>
        <v>1</v>
      </c>
      <c r="C2125" s="20">
        <v>44804</v>
      </c>
      <c r="D2125" s="2" t="s">
        <v>2165</v>
      </c>
      <c r="E2125" t="s">
        <v>27</v>
      </c>
      <c r="F2125" s="14" t="s">
        <v>2422</v>
      </c>
      <c r="G2125" s="14" t="s">
        <v>1914</v>
      </c>
      <c r="H2125" s="3" t="s">
        <v>49</v>
      </c>
      <c r="I2125" s="24" t="s">
        <v>1931</v>
      </c>
      <c r="J2125" s="40"/>
      <c r="K2125" s="3" t="s">
        <v>2415</v>
      </c>
      <c r="M2125" s="3"/>
    </row>
    <row r="2126" spans="1:13" ht="15.75">
      <c r="A2126" t="s">
        <v>28</v>
      </c>
      <c r="B2126">
        <f ca="1">IF(OR(changes[[#This Row],[Type]]="Checklist",changes[[#This Row],[Type]]="checklist-flat"),1+IF(changes[[#This Row],[Type of change]] = "Edit",COUNTIFS($I$4:changes[[#This Row],[Name]],changes[[#This Row],[Name]], $E$4:changes[[#This Row],[Type of change]], "Edit")),B2125)</f>
        <v>1</v>
      </c>
      <c r="C2126" s="20">
        <v>44804</v>
      </c>
      <c r="D2126" s="2" t="s">
        <v>2165</v>
      </c>
      <c r="E2126" t="s">
        <v>27</v>
      </c>
      <c r="F2126" s="14" t="s">
        <v>2422</v>
      </c>
      <c r="G2126" s="14" t="s">
        <v>1914</v>
      </c>
      <c r="H2126" s="3" t="s">
        <v>49</v>
      </c>
      <c r="I2126" s="24" t="s">
        <v>1932</v>
      </c>
      <c r="J2126" s="40"/>
      <c r="K2126" s="3" t="s">
        <v>2415</v>
      </c>
      <c r="M2126" s="3"/>
    </row>
    <row r="2127" spans="1:13" ht="15.75">
      <c r="A2127" t="s">
        <v>28</v>
      </c>
      <c r="B2127">
        <f ca="1">IF(OR(changes[[#This Row],[Type]]="Checklist",changes[[#This Row],[Type]]="checklist-flat"),1+IF(changes[[#This Row],[Type of change]] = "Edit",COUNTIFS($I$4:changes[[#This Row],[Name]],changes[[#This Row],[Name]], $E$4:changes[[#This Row],[Type of change]], "Edit")),B2126)</f>
        <v>1</v>
      </c>
      <c r="C2127" s="20">
        <v>44804</v>
      </c>
      <c r="D2127" s="2" t="s">
        <v>2165</v>
      </c>
      <c r="E2127" t="s">
        <v>27</v>
      </c>
      <c r="F2127" s="14" t="s">
        <v>2422</v>
      </c>
      <c r="G2127" s="14" t="s">
        <v>1914</v>
      </c>
      <c r="H2127" s="3" t="s">
        <v>58</v>
      </c>
      <c r="I2127" s="24" t="s">
        <v>1933</v>
      </c>
      <c r="J2127" s="40"/>
      <c r="K2127" s="3" t="s">
        <v>2415</v>
      </c>
      <c r="M2127" s="3"/>
    </row>
    <row r="2128" spans="1:13" ht="15.75">
      <c r="A2128" t="s">
        <v>28</v>
      </c>
      <c r="B2128">
        <f ca="1">IF(OR(changes[[#This Row],[Type]]="Checklist",changes[[#This Row],[Type]]="checklist-flat"),1+IF(changes[[#This Row],[Type of change]] = "Edit",COUNTIFS($I$4:changes[[#This Row],[Name]],changes[[#This Row],[Name]], $E$4:changes[[#This Row],[Type of change]], "Edit")),B2127)</f>
        <v>1</v>
      </c>
      <c r="C2128" s="20">
        <v>44804</v>
      </c>
      <c r="D2128" s="2" t="s">
        <v>2165</v>
      </c>
      <c r="E2128" t="s">
        <v>27</v>
      </c>
      <c r="F2128" s="14" t="s">
        <v>2422</v>
      </c>
      <c r="G2128" s="14" t="s">
        <v>1914</v>
      </c>
      <c r="H2128" s="3" t="s">
        <v>49</v>
      </c>
      <c r="I2128" s="24" t="s">
        <v>1934</v>
      </c>
      <c r="J2128" s="40"/>
      <c r="K2128" s="3" t="s">
        <v>2415</v>
      </c>
      <c r="M2128" s="3"/>
    </row>
    <row r="2129" spans="1:13" ht="15.75">
      <c r="A2129" t="s">
        <v>28</v>
      </c>
      <c r="B2129">
        <f ca="1">IF(OR(changes[[#This Row],[Type]]="Checklist",changes[[#This Row],[Type]]="checklist-flat"),1+IF(changes[[#This Row],[Type of change]] = "Edit",COUNTIFS($I$4:changes[[#This Row],[Name]],changes[[#This Row],[Name]], $E$4:changes[[#This Row],[Type of change]], "Edit")),B2128)</f>
        <v>1</v>
      </c>
      <c r="C2129" s="20">
        <v>44804</v>
      </c>
      <c r="D2129" s="2" t="s">
        <v>2165</v>
      </c>
      <c r="E2129" t="s">
        <v>27</v>
      </c>
      <c r="F2129" s="14" t="s">
        <v>2422</v>
      </c>
      <c r="G2129" s="14" t="s">
        <v>1914</v>
      </c>
      <c r="H2129" s="3" t="s">
        <v>58</v>
      </c>
      <c r="I2129" s="24" t="s">
        <v>1935</v>
      </c>
      <c r="J2129" s="40"/>
      <c r="K2129" s="3" t="s">
        <v>2415</v>
      </c>
      <c r="M2129" s="3"/>
    </row>
    <row r="2130" spans="1:13" ht="15.75">
      <c r="A2130" t="s">
        <v>28</v>
      </c>
      <c r="B2130">
        <f ca="1">IF(OR(changes[[#This Row],[Type]]="Checklist",changes[[#This Row],[Type]]="checklist-flat"),1+IF(changes[[#This Row],[Type of change]] = "Edit",COUNTIFS($I$4:changes[[#This Row],[Name]],changes[[#This Row],[Name]], $E$4:changes[[#This Row],[Type of change]], "Edit")),B2129)</f>
        <v>1</v>
      </c>
      <c r="C2130" s="20">
        <v>44804</v>
      </c>
      <c r="D2130" s="2" t="s">
        <v>2165</v>
      </c>
      <c r="E2130" t="s">
        <v>27</v>
      </c>
      <c r="F2130" s="14" t="s">
        <v>2422</v>
      </c>
      <c r="G2130" s="14" t="s">
        <v>1914</v>
      </c>
      <c r="H2130" s="3" t="s">
        <v>49</v>
      </c>
      <c r="I2130" s="24" t="s">
        <v>1936</v>
      </c>
      <c r="J2130" s="40"/>
      <c r="K2130" s="3" t="s">
        <v>2415</v>
      </c>
      <c r="M2130" s="3"/>
    </row>
    <row r="2131" spans="1:13" ht="15.75">
      <c r="A2131" t="s">
        <v>28</v>
      </c>
      <c r="B2131">
        <f ca="1">IF(OR(changes[[#This Row],[Type]]="Checklist",changes[[#This Row],[Type]]="checklist-flat"),1+IF(changes[[#This Row],[Type of change]] = "Edit",COUNTIFS($I$4:changes[[#This Row],[Name]],changes[[#This Row],[Name]], $E$4:changes[[#This Row],[Type of change]], "Edit")),B2130)</f>
        <v>1</v>
      </c>
      <c r="C2131" s="20">
        <v>44804</v>
      </c>
      <c r="D2131" s="2" t="s">
        <v>2165</v>
      </c>
      <c r="E2131" t="s">
        <v>27</v>
      </c>
      <c r="F2131" s="14" t="s">
        <v>2422</v>
      </c>
      <c r="G2131" s="14" t="s">
        <v>1914</v>
      </c>
      <c r="H2131" s="3" t="s">
        <v>49</v>
      </c>
      <c r="I2131" s="24" t="s">
        <v>1937</v>
      </c>
      <c r="J2131" s="40"/>
      <c r="K2131" s="3" t="s">
        <v>2415</v>
      </c>
      <c r="M2131" s="3"/>
    </row>
    <row r="2132" spans="1:13" ht="15.75">
      <c r="A2132" t="s">
        <v>28</v>
      </c>
      <c r="B2132">
        <f ca="1">IF(OR(changes[[#This Row],[Type]]="Checklist",changes[[#This Row],[Type]]="checklist-flat"),1+IF(changes[[#This Row],[Type of change]] = "Edit",COUNTIFS($I$4:changes[[#This Row],[Name]],changes[[#This Row],[Name]], $E$4:changes[[#This Row],[Type of change]], "Edit")),B2131)</f>
        <v>1</v>
      </c>
      <c r="C2132" s="20">
        <v>44804</v>
      </c>
      <c r="D2132" s="2" t="s">
        <v>2165</v>
      </c>
      <c r="E2132" t="s">
        <v>27</v>
      </c>
      <c r="F2132" s="14" t="s">
        <v>2422</v>
      </c>
      <c r="G2132" s="14" t="s">
        <v>1914</v>
      </c>
      <c r="H2132" s="3" t="s">
        <v>49</v>
      </c>
      <c r="I2132" s="24" t="s">
        <v>2424</v>
      </c>
      <c r="J2132" s="40"/>
      <c r="K2132" s="3" t="s">
        <v>2415</v>
      </c>
      <c r="M2132" s="3"/>
    </row>
    <row r="2133" spans="1:13" ht="15.75">
      <c r="A2133" t="s">
        <v>28</v>
      </c>
      <c r="B2133">
        <f ca="1">IF(OR(changes[[#This Row],[Type]]="Checklist",changes[[#This Row],[Type]]="checklist-flat"),1+IF(changes[[#This Row],[Type of change]] = "Edit",COUNTIFS($I$4:changes[[#This Row],[Name]],changes[[#This Row],[Name]], $E$4:changes[[#This Row],[Type of change]], "Edit")),B2132)</f>
        <v>1</v>
      </c>
      <c r="C2133" s="20">
        <v>44804</v>
      </c>
      <c r="D2133" s="2" t="s">
        <v>2165</v>
      </c>
      <c r="E2133" t="s">
        <v>27</v>
      </c>
      <c r="F2133" s="14" t="s">
        <v>2422</v>
      </c>
      <c r="G2133" s="14" t="s">
        <v>1914</v>
      </c>
      <c r="H2133" s="3" t="s">
        <v>49</v>
      </c>
      <c r="I2133" s="24" t="s">
        <v>1940</v>
      </c>
      <c r="J2133" s="40"/>
      <c r="K2133" s="3" t="s">
        <v>2415</v>
      </c>
      <c r="M2133" s="3"/>
    </row>
    <row r="2134" spans="1:13" ht="15.75">
      <c r="A2134" t="s">
        <v>28</v>
      </c>
      <c r="B2134">
        <f ca="1">IF(OR(changes[[#This Row],[Type]]="Checklist",changes[[#This Row],[Type]]="checklist-flat"),1+IF(changes[[#This Row],[Type of change]] = "Edit",COUNTIFS($I$4:changes[[#This Row],[Name]],changes[[#This Row],[Name]], $E$4:changes[[#This Row],[Type of change]], "Edit")),B2133)</f>
        <v>1</v>
      </c>
      <c r="C2134" s="20">
        <v>44804</v>
      </c>
      <c r="D2134" s="2" t="s">
        <v>2165</v>
      </c>
      <c r="E2134" t="s">
        <v>27</v>
      </c>
      <c r="F2134" s="14" t="s">
        <v>2422</v>
      </c>
      <c r="G2134" s="14" t="s">
        <v>1914</v>
      </c>
      <c r="H2134" s="3" t="s">
        <v>120</v>
      </c>
      <c r="I2134" s="24" t="s">
        <v>1941</v>
      </c>
      <c r="J2134" s="40"/>
      <c r="K2134" s="3" t="s">
        <v>2415</v>
      </c>
      <c r="M2134" s="3"/>
    </row>
    <row r="2135" spans="1:13" ht="15.75">
      <c r="A2135" t="s">
        <v>28</v>
      </c>
      <c r="B2135">
        <f ca="1">IF(OR(changes[[#This Row],[Type]]="Checklist",changes[[#This Row],[Type]]="checklist-flat"),1+IF(changes[[#This Row],[Type of change]] = "Edit",COUNTIFS($I$4:changes[[#This Row],[Name]],changes[[#This Row],[Name]], $E$4:changes[[#This Row],[Type of change]], "Edit")),B2134)</f>
        <v>1</v>
      </c>
      <c r="C2135" s="20">
        <v>44804</v>
      </c>
      <c r="D2135" s="2" t="s">
        <v>2165</v>
      </c>
      <c r="E2135" t="s">
        <v>27</v>
      </c>
      <c r="F2135" s="14" t="s">
        <v>2422</v>
      </c>
      <c r="G2135" s="14" t="s">
        <v>1914</v>
      </c>
      <c r="H2135" s="3" t="s">
        <v>49</v>
      </c>
      <c r="I2135" s="24" t="s">
        <v>1942</v>
      </c>
      <c r="J2135" s="40"/>
      <c r="K2135" s="3" t="s">
        <v>2415</v>
      </c>
      <c r="M2135" s="3"/>
    </row>
    <row r="2136" spans="1:13" ht="15.75">
      <c r="A2136" t="s">
        <v>28</v>
      </c>
      <c r="B2136">
        <f ca="1">IF(OR(changes[[#This Row],[Type]]="Checklist",changes[[#This Row],[Type]]="checklist-flat"),1+IF(changes[[#This Row],[Type of change]] = "Edit",COUNTIFS($I$4:changes[[#This Row],[Name]],changes[[#This Row],[Name]], $E$4:changes[[#This Row],[Type of change]], "Edit")),B2135)</f>
        <v>1</v>
      </c>
      <c r="C2136" s="20">
        <v>44804</v>
      </c>
      <c r="D2136" s="2" t="s">
        <v>2165</v>
      </c>
      <c r="E2136" t="s">
        <v>27</v>
      </c>
      <c r="F2136" s="14" t="s">
        <v>2422</v>
      </c>
      <c r="G2136" s="14" t="s">
        <v>1914</v>
      </c>
      <c r="H2136" s="3" t="s">
        <v>58</v>
      </c>
      <c r="I2136" s="24" t="s">
        <v>1943</v>
      </c>
      <c r="J2136" s="40"/>
      <c r="K2136" s="3" t="s">
        <v>2415</v>
      </c>
      <c r="M2136" s="3"/>
    </row>
    <row r="2137" spans="1:13" ht="15.75">
      <c r="A2137" t="s">
        <v>28</v>
      </c>
      <c r="B2137">
        <f ca="1">IF(OR(changes[[#This Row],[Type]]="Checklist",changes[[#This Row],[Type]]="checklist-flat"),1+IF(changes[[#This Row],[Type of change]] = "Edit",COUNTIFS($I$4:changes[[#This Row],[Name]],changes[[#This Row],[Name]], $E$4:changes[[#This Row],[Type of change]], "Edit")),B2136)</f>
        <v>1</v>
      </c>
      <c r="C2137" s="20">
        <v>44804</v>
      </c>
      <c r="D2137" s="2" t="s">
        <v>2165</v>
      </c>
      <c r="E2137" t="s">
        <v>27</v>
      </c>
      <c r="F2137" s="14" t="s">
        <v>2422</v>
      </c>
      <c r="G2137" s="14" t="s">
        <v>1914</v>
      </c>
      <c r="H2137" s="3" t="s">
        <v>49</v>
      </c>
      <c r="I2137" s="24" t="s">
        <v>1944</v>
      </c>
      <c r="J2137" s="40"/>
      <c r="K2137" s="3" t="s">
        <v>2415</v>
      </c>
      <c r="M2137" s="3"/>
    </row>
    <row r="2138" spans="1:13" ht="15.75">
      <c r="A2138" t="s">
        <v>28</v>
      </c>
      <c r="B2138">
        <f ca="1">IF(OR(changes[[#This Row],[Type]]="Checklist",changes[[#This Row],[Type]]="checklist-flat"),1+IF(changes[[#This Row],[Type of change]] = "Edit",COUNTIFS($I$4:changes[[#This Row],[Name]],changes[[#This Row],[Name]], $E$4:changes[[#This Row],[Type of change]], "Edit")),B2137)</f>
        <v>1</v>
      </c>
      <c r="C2138" s="20">
        <v>44804</v>
      </c>
      <c r="D2138" s="2" t="s">
        <v>2165</v>
      </c>
      <c r="E2138" t="s">
        <v>27</v>
      </c>
      <c r="F2138" s="14" t="s">
        <v>2422</v>
      </c>
      <c r="G2138" s="14" t="s">
        <v>1914</v>
      </c>
      <c r="H2138" s="3" t="s">
        <v>49</v>
      </c>
      <c r="I2138" s="24" t="s">
        <v>1945</v>
      </c>
      <c r="J2138" s="40"/>
      <c r="K2138" s="3" t="s">
        <v>2415</v>
      </c>
      <c r="M2138" s="3"/>
    </row>
    <row r="2139" spans="1:13" ht="15.75">
      <c r="A2139" t="s">
        <v>28</v>
      </c>
      <c r="B2139">
        <f ca="1">IF(OR(changes[[#This Row],[Type]]="Checklist",changes[[#This Row],[Type]]="checklist-flat"),1+IF(changes[[#This Row],[Type of change]] = "Edit",COUNTIFS($I$4:changes[[#This Row],[Name]],changes[[#This Row],[Name]], $E$4:changes[[#This Row],[Type of change]], "Edit")),B2138)</f>
        <v>1</v>
      </c>
      <c r="C2139" s="20">
        <v>44804</v>
      </c>
      <c r="D2139" s="2" t="s">
        <v>2165</v>
      </c>
      <c r="E2139" t="s">
        <v>27</v>
      </c>
      <c r="F2139" s="14" t="s">
        <v>2422</v>
      </c>
      <c r="G2139" s="14" t="s">
        <v>1914</v>
      </c>
      <c r="H2139" s="3" t="s">
        <v>49</v>
      </c>
      <c r="I2139" s="24" t="s">
        <v>1946</v>
      </c>
      <c r="J2139" s="40"/>
      <c r="K2139" s="3" t="s">
        <v>2415</v>
      </c>
      <c r="M2139" s="3"/>
    </row>
    <row r="2140" spans="1:13" ht="15.75">
      <c r="A2140" t="s">
        <v>28</v>
      </c>
      <c r="B2140">
        <f ca="1">IF(OR(changes[[#This Row],[Type]]="Checklist",changes[[#This Row],[Type]]="checklist-flat"),1+IF(changes[[#This Row],[Type of change]] = "Edit",COUNTIFS($I$4:changes[[#This Row],[Name]],changes[[#This Row],[Name]], $E$4:changes[[#This Row],[Type of change]], "Edit")),B2139)</f>
        <v>1</v>
      </c>
      <c r="C2140" s="20">
        <v>44804</v>
      </c>
      <c r="D2140" s="2" t="s">
        <v>2165</v>
      </c>
      <c r="E2140" t="s">
        <v>27</v>
      </c>
      <c r="F2140" s="14" t="s">
        <v>2422</v>
      </c>
      <c r="G2140" s="14" t="s">
        <v>1914</v>
      </c>
      <c r="H2140" s="3" t="s">
        <v>49</v>
      </c>
      <c r="I2140" s="24" t="s">
        <v>1947</v>
      </c>
      <c r="J2140" s="40"/>
      <c r="K2140" s="3" t="s">
        <v>2415</v>
      </c>
      <c r="M2140" s="3"/>
    </row>
    <row r="2141" spans="1:13" ht="15.75">
      <c r="A2141" t="s">
        <v>28</v>
      </c>
      <c r="B2141">
        <f ca="1">IF(OR(changes[[#This Row],[Type]]="Checklist",changes[[#This Row],[Type]]="checklist-flat"),1+IF(changes[[#This Row],[Type of change]] = "Edit",COUNTIFS($I$4:changes[[#This Row],[Name]],changes[[#This Row],[Name]], $E$4:changes[[#This Row],[Type of change]], "Edit")),B2140)</f>
        <v>1</v>
      </c>
      <c r="C2141" s="20">
        <v>44804</v>
      </c>
      <c r="D2141" s="2" t="s">
        <v>2165</v>
      </c>
      <c r="E2141" t="s">
        <v>27</v>
      </c>
      <c r="F2141" s="14" t="s">
        <v>2422</v>
      </c>
      <c r="G2141" s="14" t="s">
        <v>1914</v>
      </c>
      <c r="H2141" s="3" t="s">
        <v>120</v>
      </c>
      <c r="I2141" s="24" t="s">
        <v>1948</v>
      </c>
      <c r="J2141" s="40"/>
      <c r="K2141" s="3" t="s">
        <v>2415</v>
      </c>
      <c r="M2141" s="3"/>
    </row>
    <row r="2142" spans="1:13" ht="15.75">
      <c r="A2142" t="s">
        <v>28</v>
      </c>
      <c r="B2142">
        <f ca="1">IF(OR(changes[[#This Row],[Type]]="Checklist",changes[[#This Row],[Type]]="checklist-flat"),1+IF(changes[[#This Row],[Type of change]] = "Edit",COUNTIFS($I$4:changes[[#This Row],[Name]],changes[[#This Row],[Name]], $E$4:changes[[#This Row],[Type of change]], "Edit")),B2141)</f>
        <v>1</v>
      </c>
      <c r="C2142" s="20">
        <v>44804</v>
      </c>
      <c r="D2142" s="2" t="s">
        <v>2165</v>
      </c>
      <c r="E2142" t="s">
        <v>27</v>
      </c>
      <c r="F2142" s="14" t="s">
        <v>2422</v>
      </c>
      <c r="G2142" s="14" t="s">
        <v>1914</v>
      </c>
      <c r="H2142" s="3" t="s">
        <v>49</v>
      </c>
      <c r="I2142" s="24" t="s">
        <v>1949</v>
      </c>
      <c r="J2142" s="40"/>
      <c r="K2142" s="3" t="s">
        <v>2415</v>
      </c>
      <c r="M2142" s="3"/>
    </row>
    <row r="2143" spans="1:13" ht="15.75">
      <c r="A2143" t="s">
        <v>28</v>
      </c>
      <c r="B2143">
        <f ca="1">IF(OR(changes[[#This Row],[Type]]="Checklist",changes[[#This Row],[Type]]="checklist-flat"),1+IF(changes[[#This Row],[Type of change]] = "Edit",COUNTIFS($I$4:changes[[#This Row],[Name]],changes[[#This Row],[Name]], $E$4:changes[[#This Row],[Type of change]], "Edit")),B2142)</f>
        <v>1</v>
      </c>
      <c r="C2143" s="20">
        <v>44804</v>
      </c>
      <c r="D2143" s="2" t="s">
        <v>2165</v>
      </c>
      <c r="E2143" t="s">
        <v>27</v>
      </c>
      <c r="F2143" s="14" t="s">
        <v>2422</v>
      </c>
      <c r="G2143" s="14" t="s">
        <v>1914</v>
      </c>
      <c r="H2143" s="3" t="s">
        <v>58</v>
      </c>
      <c r="I2143" s="24" t="s">
        <v>1943</v>
      </c>
      <c r="J2143" s="40"/>
      <c r="K2143" s="3" t="s">
        <v>2415</v>
      </c>
      <c r="M2143" s="3"/>
    </row>
    <row r="2144" spans="1:13" ht="15.75">
      <c r="A2144" t="s">
        <v>28</v>
      </c>
      <c r="B2144">
        <f ca="1">IF(OR(changes[[#This Row],[Type]]="Checklist",changes[[#This Row],[Type]]="checklist-flat"),1+IF(changes[[#This Row],[Type of change]] = "Edit",COUNTIFS($I$4:changes[[#This Row],[Name]],changes[[#This Row],[Name]], $E$4:changes[[#This Row],[Type of change]], "Edit")),B2143)</f>
        <v>1</v>
      </c>
      <c r="C2144" s="20">
        <v>44804</v>
      </c>
      <c r="D2144" s="2" t="s">
        <v>2165</v>
      </c>
      <c r="E2144" t="s">
        <v>27</v>
      </c>
      <c r="F2144" s="14" t="s">
        <v>2422</v>
      </c>
      <c r="G2144" s="14" t="s">
        <v>1914</v>
      </c>
      <c r="H2144" s="3" t="s">
        <v>49</v>
      </c>
      <c r="I2144" s="24" t="s">
        <v>1950</v>
      </c>
      <c r="J2144" s="40"/>
      <c r="K2144" s="3" t="s">
        <v>2415</v>
      </c>
      <c r="M2144" s="3"/>
    </row>
    <row r="2145" spans="1:13" ht="15.75">
      <c r="A2145" t="s">
        <v>28</v>
      </c>
      <c r="B2145">
        <f ca="1">IF(OR(changes[[#This Row],[Type]]="Checklist",changes[[#This Row],[Type]]="checklist-flat"),1+IF(changes[[#This Row],[Type of change]] = "Edit",COUNTIFS($I$4:changes[[#This Row],[Name]],changes[[#This Row],[Name]], $E$4:changes[[#This Row],[Type of change]], "Edit")),B2144)</f>
        <v>1</v>
      </c>
      <c r="C2145" s="20">
        <v>44804</v>
      </c>
      <c r="D2145" s="2" t="s">
        <v>2165</v>
      </c>
      <c r="E2145" t="s">
        <v>27</v>
      </c>
      <c r="F2145" s="14" t="s">
        <v>2422</v>
      </c>
      <c r="G2145" s="14" t="s">
        <v>1914</v>
      </c>
      <c r="H2145" s="3" t="s">
        <v>49</v>
      </c>
      <c r="I2145" s="24" t="s">
        <v>1951</v>
      </c>
      <c r="J2145" s="40"/>
      <c r="K2145" s="3" t="s">
        <v>2415</v>
      </c>
      <c r="M2145" s="3"/>
    </row>
    <row r="2146" spans="1:13" ht="15.75">
      <c r="A2146" t="s">
        <v>28</v>
      </c>
      <c r="B2146">
        <f ca="1">IF(OR(changes[[#This Row],[Type]]="Checklist",changes[[#This Row],[Type]]="checklist-flat"),1+IF(changes[[#This Row],[Type of change]] = "Edit",COUNTIFS($I$4:changes[[#This Row],[Name]],changes[[#This Row],[Name]], $E$4:changes[[#This Row],[Type of change]], "Edit")),B2145)</f>
        <v>1</v>
      </c>
      <c r="C2146" s="20">
        <v>44804</v>
      </c>
      <c r="D2146" s="2" t="s">
        <v>2165</v>
      </c>
      <c r="E2146" t="s">
        <v>27</v>
      </c>
      <c r="F2146" s="14" t="s">
        <v>2422</v>
      </c>
      <c r="G2146" s="14" t="s">
        <v>1914</v>
      </c>
      <c r="H2146" s="3" t="s">
        <v>120</v>
      </c>
      <c r="I2146" s="24" t="s">
        <v>1952</v>
      </c>
      <c r="J2146" s="40"/>
      <c r="K2146" s="3" t="s">
        <v>2415</v>
      </c>
      <c r="M2146" s="3"/>
    </row>
    <row r="2147" spans="1:13" ht="15.75">
      <c r="A2147" t="s">
        <v>28</v>
      </c>
      <c r="B2147">
        <f ca="1">IF(OR(changes[[#This Row],[Type]]="Checklist",changes[[#This Row],[Type]]="checklist-flat"),1+IF(changes[[#This Row],[Type of change]] = "Edit",COUNTIFS($I$4:changes[[#This Row],[Name]],changes[[#This Row],[Name]], $E$4:changes[[#This Row],[Type of change]], "Edit")),B2146)</f>
        <v>1</v>
      </c>
      <c r="C2147" s="20">
        <v>44804</v>
      </c>
      <c r="D2147" s="2" t="s">
        <v>2165</v>
      </c>
      <c r="E2147" t="s">
        <v>27</v>
      </c>
      <c r="F2147" s="14" t="s">
        <v>2422</v>
      </c>
      <c r="G2147" s="14" t="s">
        <v>1914</v>
      </c>
      <c r="H2147" s="3" t="s">
        <v>49</v>
      </c>
      <c r="I2147" s="24" t="s">
        <v>1953</v>
      </c>
      <c r="J2147" s="40"/>
      <c r="K2147" s="3" t="s">
        <v>2415</v>
      </c>
      <c r="M2147" s="3"/>
    </row>
    <row r="2148" spans="1:13" ht="15.75">
      <c r="A2148" t="s">
        <v>28</v>
      </c>
      <c r="B2148">
        <f ca="1">IF(OR(changes[[#This Row],[Type]]="Checklist",changes[[#This Row],[Type]]="checklist-flat"),1+IF(changes[[#This Row],[Type of change]] = "Edit",COUNTIFS($I$4:changes[[#This Row],[Name]],changes[[#This Row],[Name]], $E$4:changes[[#This Row],[Type of change]], "Edit")),B2147)</f>
        <v>2</v>
      </c>
      <c r="C2148" s="20">
        <v>44806</v>
      </c>
      <c r="D2148" s="2" t="s">
        <v>2380</v>
      </c>
      <c r="E2148" t="s">
        <v>15</v>
      </c>
      <c r="F2148" s="14" t="s">
        <v>9</v>
      </c>
      <c r="G2148" s="14" t="s">
        <v>939</v>
      </c>
      <c r="H2148" s="3" t="s">
        <v>48</v>
      </c>
      <c r="I2148" s="24" t="s">
        <v>939</v>
      </c>
      <c r="J2148" s="40"/>
      <c r="K2148" s="3" t="s">
        <v>6</v>
      </c>
      <c r="L2148" t="s">
        <v>2425</v>
      </c>
      <c r="M2148" s="3"/>
    </row>
    <row r="2149" spans="1:13" ht="15.75">
      <c r="A2149" t="s">
        <v>28</v>
      </c>
      <c r="B2149">
        <f ca="1">IF(OR(changes[[#This Row],[Type]]="Checklist",changes[[#This Row],[Type]]="checklist-flat"),1+IF(changes[[#This Row],[Type of change]] = "Edit",COUNTIFS($I$4:changes[[#This Row],[Name]],changes[[#This Row],[Name]], $E$4:changes[[#This Row],[Type of change]], "Edit")),B2148)</f>
        <v>2</v>
      </c>
      <c r="C2149" s="20">
        <v>44806</v>
      </c>
      <c r="D2149" s="2" t="s">
        <v>2380</v>
      </c>
      <c r="E2149" t="s">
        <v>15</v>
      </c>
      <c r="F2149" s="14" t="s">
        <v>9</v>
      </c>
      <c r="G2149" s="14" t="s">
        <v>939</v>
      </c>
      <c r="H2149" s="3" t="s">
        <v>49</v>
      </c>
      <c r="I2149" s="24" t="s">
        <v>940</v>
      </c>
      <c r="J2149" s="40"/>
      <c r="K2149" s="3" t="s">
        <v>6</v>
      </c>
      <c r="L2149" t="s">
        <v>2425</v>
      </c>
      <c r="M2149" s="3"/>
    </row>
    <row r="2150" spans="1:13" ht="15.75">
      <c r="A2150" t="s">
        <v>28</v>
      </c>
      <c r="B2150">
        <f ca="1">IF(OR(changes[[#This Row],[Type]]="Checklist",changes[[#This Row],[Type]]="checklist-flat"),1+IF(changes[[#This Row],[Type of change]] = "Edit",COUNTIFS($I$4:changes[[#This Row],[Name]],changes[[#This Row],[Name]], $E$4:changes[[#This Row],[Type of change]], "Edit")),B2149)</f>
        <v>2</v>
      </c>
      <c r="C2150" s="20">
        <v>44806</v>
      </c>
      <c r="D2150" s="2" t="s">
        <v>2380</v>
      </c>
      <c r="E2150" t="s">
        <v>15</v>
      </c>
      <c r="F2150" s="14" t="s">
        <v>9</v>
      </c>
      <c r="G2150" s="14" t="s">
        <v>939</v>
      </c>
      <c r="H2150" s="3" t="s">
        <v>124</v>
      </c>
      <c r="I2150" s="24" t="s">
        <v>941</v>
      </c>
      <c r="J2150" s="40"/>
      <c r="K2150" s="3" t="s">
        <v>6</v>
      </c>
      <c r="L2150" t="s">
        <v>2425</v>
      </c>
      <c r="M2150" s="3"/>
    </row>
    <row r="2151" spans="1:13" ht="15.75">
      <c r="A2151" t="s">
        <v>28</v>
      </c>
      <c r="B2151">
        <f ca="1">IF(OR(changes[[#This Row],[Type]]="Checklist",changes[[#This Row],[Type]]="checklist-flat"),1+IF(changes[[#This Row],[Type of change]] = "Edit",COUNTIFS($I$4:changes[[#This Row],[Name]],changes[[#This Row],[Name]], $E$4:changes[[#This Row],[Type of change]], "Edit")),B2150)</f>
        <v>2</v>
      </c>
      <c r="C2151" s="20">
        <v>44806</v>
      </c>
      <c r="D2151" s="2" t="s">
        <v>2380</v>
      </c>
      <c r="E2151" t="s">
        <v>15</v>
      </c>
      <c r="F2151" s="14" t="s">
        <v>9</v>
      </c>
      <c r="G2151" s="14" t="s">
        <v>939</v>
      </c>
      <c r="H2151" s="3" t="s">
        <v>49</v>
      </c>
      <c r="I2151" s="24" t="s">
        <v>942</v>
      </c>
      <c r="J2151" s="40"/>
      <c r="K2151" s="3" t="s">
        <v>6</v>
      </c>
      <c r="L2151" t="s">
        <v>2425</v>
      </c>
      <c r="M2151" s="3"/>
    </row>
    <row r="2152" spans="1:13" ht="15.75">
      <c r="A2152" t="s">
        <v>28</v>
      </c>
      <c r="B2152">
        <f ca="1">IF(OR(changes[[#This Row],[Type]]="Checklist",changes[[#This Row],[Type]]="checklist-flat"),1+IF(changes[[#This Row],[Type of change]] = "Edit",COUNTIFS($I$4:changes[[#This Row],[Name]],changes[[#This Row],[Name]], $E$4:changes[[#This Row],[Type of change]], "Edit")),B2151)</f>
        <v>2</v>
      </c>
      <c r="C2152" s="20">
        <v>44806</v>
      </c>
      <c r="D2152" s="2" t="s">
        <v>2380</v>
      </c>
      <c r="E2152" t="s">
        <v>15</v>
      </c>
      <c r="F2152" s="14" t="s">
        <v>9</v>
      </c>
      <c r="G2152" s="14" t="s">
        <v>939</v>
      </c>
      <c r="H2152" s="3" t="s">
        <v>49</v>
      </c>
      <c r="I2152" s="24" t="s">
        <v>943</v>
      </c>
      <c r="J2152" s="40"/>
      <c r="K2152" s="3" t="s">
        <v>6</v>
      </c>
      <c r="L2152" t="s">
        <v>2425</v>
      </c>
      <c r="M2152" s="3"/>
    </row>
    <row r="2153" spans="1:13" ht="15.75">
      <c r="A2153" t="s">
        <v>28</v>
      </c>
      <c r="B2153">
        <f ca="1">IF(OR(changes[[#This Row],[Type]]="Checklist",changes[[#This Row],[Type]]="checklist-flat"),1+IF(changes[[#This Row],[Type of change]] = "Edit",COUNTIFS($I$4:changes[[#This Row],[Name]],changes[[#This Row],[Name]], $E$4:changes[[#This Row],[Type of change]], "Edit")),B2152)</f>
        <v>2</v>
      </c>
      <c r="C2153" s="20">
        <v>44806</v>
      </c>
      <c r="D2153" s="2" t="s">
        <v>2380</v>
      </c>
      <c r="E2153" t="s">
        <v>15</v>
      </c>
      <c r="F2153" s="14" t="s">
        <v>9</v>
      </c>
      <c r="G2153" s="14" t="s">
        <v>939</v>
      </c>
      <c r="H2153" s="3" t="s">
        <v>49</v>
      </c>
      <c r="I2153" s="24" t="s">
        <v>1712</v>
      </c>
      <c r="J2153" s="40"/>
      <c r="K2153" s="3" t="s">
        <v>6</v>
      </c>
      <c r="L2153" t="s">
        <v>2425</v>
      </c>
      <c r="M2153" s="3"/>
    </row>
    <row r="2154" spans="1:13" ht="15.75">
      <c r="A2154" t="s">
        <v>28</v>
      </c>
      <c r="B2154">
        <f ca="1">IF(OR(changes[[#This Row],[Type]]="Checklist",changes[[#This Row],[Type]]="checklist-flat"),1+IF(changes[[#This Row],[Type of change]] = "Edit",COUNTIFS($I$4:changes[[#This Row],[Name]],changes[[#This Row],[Name]], $E$4:changes[[#This Row],[Type of change]], "Edit")),B2153)</f>
        <v>2</v>
      </c>
      <c r="C2154" s="20">
        <v>44806</v>
      </c>
      <c r="D2154" s="2" t="s">
        <v>2380</v>
      </c>
      <c r="E2154" t="s">
        <v>15</v>
      </c>
      <c r="F2154" s="14" t="s">
        <v>9</v>
      </c>
      <c r="G2154" s="14" t="s">
        <v>939</v>
      </c>
      <c r="H2154" s="3" t="s">
        <v>49</v>
      </c>
      <c r="I2154" s="24" t="s">
        <v>945</v>
      </c>
      <c r="J2154" s="40"/>
      <c r="K2154" s="3" t="s">
        <v>6</v>
      </c>
      <c r="L2154" t="s">
        <v>2425</v>
      </c>
      <c r="M2154" s="3"/>
    </row>
    <row r="2155" spans="1:13" ht="15.75">
      <c r="A2155" t="s">
        <v>28</v>
      </c>
      <c r="B2155">
        <f ca="1">IF(OR(changes[[#This Row],[Type]]="Checklist",changes[[#This Row],[Type]]="checklist-flat"),1+IF(changes[[#This Row],[Type of change]] = "Edit",COUNTIFS($I$4:changes[[#This Row],[Name]],changes[[#This Row],[Name]], $E$4:changes[[#This Row],[Type of change]], "Edit")),B2154)</f>
        <v>2</v>
      </c>
      <c r="C2155" s="20">
        <v>44806</v>
      </c>
      <c r="D2155" s="2" t="s">
        <v>2380</v>
      </c>
      <c r="E2155" t="s">
        <v>15</v>
      </c>
      <c r="F2155" s="14" t="s">
        <v>9</v>
      </c>
      <c r="G2155" s="14" t="s">
        <v>939</v>
      </c>
      <c r="H2155" s="3" t="s">
        <v>49</v>
      </c>
      <c r="I2155" s="24" t="s">
        <v>946</v>
      </c>
      <c r="J2155" s="40"/>
      <c r="K2155" s="3" t="s">
        <v>6</v>
      </c>
      <c r="L2155" t="s">
        <v>2425</v>
      </c>
      <c r="M2155" s="3"/>
    </row>
    <row r="2156" spans="1:13" ht="15.75">
      <c r="A2156" t="s">
        <v>28</v>
      </c>
      <c r="B2156">
        <f ca="1">IF(OR(changes[[#This Row],[Type]]="Checklist",changes[[#This Row],[Type]]="checklist-flat"),1+IF(changes[[#This Row],[Type of change]] = "Edit",COUNTIFS($I$4:changes[[#This Row],[Name]],changes[[#This Row],[Name]], $E$4:changes[[#This Row],[Type of change]], "Edit")),B2155)</f>
        <v>2</v>
      </c>
      <c r="C2156" s="20">
        <v>44806</v>
      </c>
      <c r="D2156" s="2" t="s">
        <v>2380</v>
      </c>
      <c r="E2156" t="s">
        <v>15</v>
      </c>
      <c r="F2156" s="14" t="s">
        <v>9</v>
      </c>
      <c r="G2156" s="14" t="s">
        <v>939</v>
      </c>
      <c r="H2156" s="3" t="s">
        <v>901</v>
      </c>
      <c r="I2156" s="24" t="s">
        <v>947</v>
      </c>
      <c r="J2156" s="40"/>
      <c r="K2156" s="3" t="s">
        <v>6</v>
      </c>
      <c r="L2156" t="s">
        <v>2425</v>
      </c>
      <c r="M2156" s="3"/>
    </row>
    <row r="2157" spans="1:13" ht="15.75">
      <c r="A2157" t="s">
        <v>28</v>
      </c>
      <c r="B2157">
        <f ca="1">IF(OR(changes[[#This Row],[Type]]="Checklist",changes[[#This Row],[Type]]="checklist-flat"),1+IF(changes[[#This Row],[Type of change]] = "Edit",COUNTIFS($I$4:changes[[#This Row],[Name]],changes[[#This Row],[Name]], $E$4:changes[[#This Row],[Type of change]], "Edit")),B2156)</f>
        <v>2</v>
      </c>
      <c r="C2157" s="20">
        <v>44806</v>
      </c>
      <c r="D2157" s="2" t="s">
        <v>2380</v>
      </c>
      <c r="E2157" t="s">
        <v>15</v>
      </c>
      <c r="F2157" s="14" t="s">
        <v>9</v>
      </c>
      <c r="G2157" s="14" t="s">
        <v>939</v>
      </c>
      <c r="H2157" s="3" t="s">
        <v>49</v>
      </c>
      <c r="I2157" s="24" t="s">
        <v>948</v>
      </c>
      <c r="J2157" s="40"/>
      <c r="K2157" s="3" t="s">
        <v>6</v>
      </c>
      <c r="L2157" t="s">
        <v>2425</v>
      </c>
      <c r="M2157" s="3"/>
    </row>
    <row r="2158" spans="1:13" ht="15.75">
      <c r="A2158" t="s">
        <v>28</v>
      </c>
      <c r="B2158">
        <f ca="1">IF(OR(changes[[#This Row],[Type]]="Checklist",changes[[#This Row],[Type]]="checklist-flat"),1+IF(changes[[#This Row],[Type of change]] = "Edit",COUNTIFS($I$4:changes[[#This Row],[Name]],changes[[#This Row],[Name]], $E$4:changes[[#This Row],[Type of change]], "Edit")),B2157)</f>
        <v>2</v>
      </c>
      <c r="C2158" s="20">
        <v>44806</v>
      </c>
      <c r="D2158" s="2" t="s">
        <v>2380</v>
      </c>
      <c r="E2158" t="s">
        <v>15</v>
      </c>
      <c r="F2158" s="14" t="s">
        <v>9</v>
      </c>
      <c r="G2158" s="14" t="s">
        <v>939</v>
      </c>
      <c r="H2158" s="3" t="s">
        <v>58</v>
      </c>
      <c r="I2158" s="24" t="s">
        <v>908</v>
      </c>
      <c r="J2158" s="40"/>
      <c r="K2158" s="3" t="s">
        <v>6</v>
      </c>
      <c r="L2158" t="s">
        <v>2425</v>
      </c>
      <c r="M2158" s="3"/>
    </row>
    <row r="2159" spans="1:13" ht="15.75">
      <c r="A2159" t="s">
        <v>28</v>
      </c>
      <c r="B2159">
        <f ca="1">IF(OR(changes[[#This Row],[Type]]="Checklist",changes[[#This Row],[Type]]="checklist-flat"),1+IF(changes[[#This Row],[Type of change]] = "Edit",COUNTIFS($I$4:changes[[#This Row],[Name]],changes[[#This Row],[Name]], $E$4:changes[[#This Row],[Type of change]], "Edit")),B2158)</f>
        <v>2</v>
      </c>
      <c r="C2159" s="20">
        <v>44806</v>
      </c>
      <c r="D2159" s="2" t="s">
        <v>2380</v>
      </c>
      <c r="E2159" t="s">
        <v>15</v>
      </c>
      <c r="F2159" s="14" t="s">
        <v>9</v>
      </c>
      <c r="G2159" s="14" t="s">
        <v>939</v>
      </c>
      <c r="H2159" s="3" t="s">
        <v>49</v>
      </c>
      <c r="I2159" s="24" t="s">
        <v>57</v>
      </c>
      <c r="J2159" s="40"/>
      <c r="K2159" s="3" t="s">
        <v>6</v>
      </c>
      <c r="L2159" t="s">
        <v>2425</v>
      </c>
      <c r="M2159" s="3"/>
    </row>
    <row r="2160" spans="1:13" ht="15.75">
      <c r="A2160" t="s">
        <v>28</v>
      </c>
      <c r="B2160">
        <f ca="1">IF(OR(changes[[#This Row],[Type]]="Checklist",changes[[#This Row],[Type]]="checklist-flat"),1+IF(changes[[#This Row],[Type of change]] = "Edit",COUNTIFS($I$4:changes[[#This Row],[Name]],changes[[#This Row],[Name]], $E$4:changes[[#This Row],[Type of change]], "Edit")),B2159)</f>
        <v>2</v>
      </c>
      <c r="C2160" s="20">
        <v>44806</v>
      </c>
      <c r="D2160" s="2" t="s">
        <v>2380</v>
      </c>
      <c r="E2160" t="s">
        <v>15</v>
      </c>
      <c r="F2160" s="14" t="s">
        <v>9</v>
      </c>
      <c r="G2160" s="14" t="s">
        <v>939</v>
      </c>
      <c r="H2160" s="3" t="s">
        <v>58</v>
      </c>
      <c r="I2160" s="24" t="s">
        <v>59</v>
      </c>
      <c r="J2160" s="40"/>
      <c r="K2160" s="3" t="s">
        <v>6</v>
      </c>
      <c r="L2160" t="s">
        <v>2425</v>
      </c>
      <c r="M2160" s="3"/>
    </row>
    <row r="2161" spans="1:13" ht="15.75">
      <c r="A2161" t="s">
        <v>28</v>
      </c>
      <c r="B2161">
        <f ca="1">IF(OR(changes[[#This Row],[Type]]="Checklist",changes[[#This Row],[Type]]="checklist-flat"),1+IF(changes[[#This Row],[Type of change]] = "Edit",COUNTIFS($I$4:changes[[#This Row],[Name]],changes[[#This Row],[Name]], $E$4:changes[[#This Row],[Type of change]], "Edit")),B2160)</f>
        <v>2</v>
      </c>
      <c r="C2161" s="20">
        <v>44819</v>
      </c>
      <c r="D2161" s="2" t="s">
        <v>2339</v>
      </c>
      <c r="E2161" t="s">
        <v>15</v>
      </c>
      <c r="F2161" s="14" t="s">
        <v>9</v>
      </c>
      <c r="G2161" s="38" t="s">
        <v>343</v>
      </c>
      <c r="H2161" s="30" t="s">
        <v>48</v>
      </c>
      <c r="I2161" s="38" t="s">
        <v>1675</v>
      </c>
      <c r="J2161" s="39"/>
      <c r="K2161" s="3" t="s">
        <v>6</v>
      </c>
      <c r="L2161" t="s">
        <v>2425</v>
      </c>
      <c r="M2161" s="3" t="s">
        <v>2426</v>
      </c>
    </row>
    <row r="2162" spans="1:13" ht="15.75">
      <c r="A2162" t="s">
        <v>28</v>
      </c>
      <c r="B2162">
        <f ca="1">IF(OR(changes[[#This Row],[Type]]="Checklist",changes[[#This Row],[Type]]="checklist-flat"),1+IF(changes[[#This Row],[Type of change]] = "Edit",COUNTIFS($I$4:changes[[#This Row],[Name]],changes[[#This Row],[Name]], $E$4:changes[[#This Row],[Type of change]], "Edit")),B2161)</f>
        <v>2</v>
      </c>
      <c r="C2162" s="20">
        <v>44819</v>
      </c>
      <c r="D2162" s="2" t="s">
        <v>2339</v>
      </c>
      <c r="E2162" t="s">
        <v>15</v>
      </c>
      <c r="F2162" s="14" t="s">
        <v>9</v>
      </c>
      <c r="G2162" s="38" t="s">
        <v>343</v>
      </c>
      <c r="H2162" s="3" t="s">
        <v>49</v>
      </c>
      <c r="I2162" s="24" t="s">
        <v>339</v>
      </c>
      <c r="J2162" s="40"/>
      <c r="K2162" s="3" t="s">
        <v>6</v>
      </c>
      <c r="L2162" t="s">
        <v>2425</v>
      </c>
      <c r="M2162" s="3"/>
    </row>
    <row r="2163" spans="1:13" ht="15.75">
      <c r="A2163" t="s">
        <v>28</v>
      </c>
      <c r="B2163">
        <f ca="1">IF(OR(changes[[#This Row],[Type]]="Checklist",changes[[#This Row],[Type]]="checklist-flat"),1+IF(changes[[#This Row],[Type of change]] = "Edit",COUNTIFS($I$4:changes[[#This Row],[Name]],changes[[#This Row],[Name]], $E$4:changes[[#This Row],[Type of change]], "Edit")),B2162)</f>
        <v>2</v>
      </c>
      <c r="C2163" s="20">
        <v>44819</v>
      </c>
      <c r="D2163" s="2" t="s">
        <v>2339</v>
      </c>
      <c r="E2163" t="s">
        <v>15</v>
      </c>
      <c r="F2163" s="14" t="s">
        <v>9</v>
      </c>
      <c r="G2163" s="38" t="s">
        <v>343</v>
      </c>
      <c r="H2163" s="3" t="s">
        <v>49</v>
      </c>
      <c r="I2163" s="24" t="s">
        <v>340</v>
      </c>
      <c r="J2163" s="40"/>
      <c r="K2163" s="3" t="s">
        <v>6</v>
      </c>
      <c r="L2163" t="s">
        <v>2425</v>
      </c>
      <c r="M2163" s="3"/>
    </row>
    <row r="2164" spans="1:13" ht="15.75">
      <c r="A2164" t="s">
        <v>28</v>
      </c>
      <c r="B2164">
        <f ca="1">IF(OR(changes[[#This Row],[Type]]="Checklist",changes[[#This Row],[Type]]="checklist-flat"),1+IF(changes[[#This Row],[Type of change]] = "Edit",COUNTIFS($I$4:changes[[#This Row],[Name]],changes[[#This Row],[Name]], $E$4:changes[[#This Row],[Type of change]], "Edit")),B2163)</f>
        <v>2</v>
      </c>
      <c r="C2164" s="20">
        <v>44819</v>
      </c>
      <c r="D2164" s="2" t="s">
        <v>2339</v>
      </c>
      <c r="E2164" t="s">
        <v>15</v>
      </c>
      <c r="F2164" s="14" t="s">
        <v>9</v>
      </c>
      <c r="G2164" s="38" t="s">
        <v>343</v>
      </c>
      <c r="H2164" s="3" t="s">
        <v>49</v>
      </c>
      <c r="I2164" s="24" t="s">
        <v>341</v>
      </c>
      <c r="J2164" s="40"/>
      <c r="K2164" s="3" t="s">
        <v>6</v>
      </c>
      <c r="L2164" t="s">
        <v>2425</v>
      </c>
      <c r="M2164" s="3"/>
    </row>
    <row r="2165" spans="1:13" ht="15.75">
      <c r="A2165" t="s">
        <v>28</v>
      </c>
      <c r="B2165">
        <f ca="1">IF(OR(changes[[#This Row],[Type]]="Checklist",changes[[#This Row],[Type]]="checklist-flat"),1+IF(changes[[#This Row],[Type of change]] = "Edit",COUNTIFS($I$4:changes[[#This Row],[Name]],changes[[#This Row],[Name]], $E$4:changes[[#This Row],[Type of change]], "Edit")),B2164)</f>
        <v>2</v>
      </c>
      <c r="C2165" s="20">
        <v>44819</v>
      </c>
      <c r="D2165" s="2" t="s">
        <v>2339</v>
      </c>
      <c r="E2165" t="s">
        <v>15</v>
      </c>
      <c r="F2165" s="14" t="s">
        <v>9</v>
      </c>
      <c r="G2165" s="38" t="s">
        <v>343</v>
      </c>
      <c r="H2165" s="3" t="s">
        <v>49</v>
      </c>
      <c r="I2165" s="24" t="s">
        <v>1676</v>
      </c>
      <c r="J2165" s="40"/>
      <c r="K2165" s="3" t="s">
        <v>6</v>
      </c>
      <c r="L2165" t="s">
        <v>2425</v>
      </c>
      <c r="M2165" s="3" t="s">
        <v>2427</v>
      </c>
    </row>
    <row r="2166" spans="1:13" ht="15.75">
      <c r="A2166" t="s">
        <v>28</v>
      </c>
      <c r="B2166">
        <f ca="1">IF(OR(changes[[#This Row],[Type]]="Checklist",changes[[#This Row],[Type]]="checklist-flat"),1+IF(changes[[#This Row],[Type of change]] = "Edit",COUNTIFS($I$4:changes[[#This Row],[Name]],changes[[#This Row],[Name]], $E$4:changes[[#This Row],[Type of change]], "Edit")),B2165)</f>
        <v>2</v>
      </c>
      <c r="C2166" s="20">
        <v>44819</v>
      </c>
      <c r="D2166" s="2" t="s">
        <v>2339</v>
      </c>
      <c r="E2166" t="s">
        <v>15</v>
      </c>
      <c r="F2166" s="14" t="s">
        <v>9</v>
      </c>
      <c r="G2166" s="38" t="s">
        <v>343</v>
      </c>
      <c r="H2166" s="3" t="s">
        <v>49</v>
      </c>
      <c r="I2166" s="24" t="s">
        <v>57</v>
      </c>
      <c r="J2166" s="40"/>
      <c r="K2166" s="3" t="s">
        <v>6</v>
      </c>
      <c r="L2166" t="s">
        <v>2425</v>
      </c>
      <c r="M2166" s="3"/>
    </row>
    <row r="2167" spans="1:13" ht="15.75">
      <c r="A2167" t="s">
        <v>28</v>
      </c>
      <c r="B2167">
        <f ca="1">IF(OR(changes[[#This Row],[Type]]="Checklist",changes[[#This Row],[Type]]="checklist-flat"),1+IF(changes[[#This Row],[Type of change]] = "Edit",COUNTIFS($I$4:changes[[#This Row],[Name]],changes[[#This Row],[Name]], $E$4:changes[[#This Row],[Type of change]], "Edit")),B2166)</f>
        <v>2</v>
      </c>
      <c r="C2167" s="20">
        <v>44819</v>
      </c>
      <c r="D2167" s="2" t="s">
        <v>2339</v>
      </c>
      <c r="E2167" t="s">
        <v>15</v>
      </c>
      <c r="F2167" s="14" t="s">
        <v>9</v>
      </c>
      <c r="G2167" s="38" t="s">
        <v>343</v>
      </c>
      <c r="H2167" s="3" t="s">
        <v>58</v>
      </c>
      <c r="I2167" s="24" t="s">
        <v>59</v>
      </c>
      <c r="J2167" s="40"/>
      <c r="K2167" s="3" t="s">
        <v>6</v>
      </c>
      <c r="L2167" t="s">
        <v>2425</v>
      </c>
      <c r="M2167" s="3"/>
    </row>
    <row r="2168" spans="1:13" ht="15.75">
      <c r="A2168" t="s">
        <v>28</v>
      </c>
      <c r="B2168">
        <f ca="1">IF(OR(changes[[#This Row],[Type]]="Checklist",changes[[#This Row],[Type]]="checklist-flat"),1+IF(changes[[#This Row],[Type of change]] = "Edit",COUNTIFS($I$4:changes[[#This Row],[Name]],changes[[#This Row],[Name]], $E$4:changes[[#This Row],[Type of change]], "Edit")),B2167)</f>
        <v>1</v>
      </c>
      <c r="C2168" s="20">
        <v>44819</v>
      </c>
      <c r="D2168" s="2" t="s">
        <v>2333</v>
      </c>
      <c r="E2168" t="s">
        <v>27</v>
      </c>
      <c r="F2168" s="14" t="s">
        <v>9</v>
      </c>
      <c r="G2168" s="38" t="s">
        <v>1867</v>
      </c>
      <c r="H2168" s="30" t="s">
        <v>48</v>
      </c>
      <c r="I2168" s="38" t="s">
        <v>1867</v>
      </c>
      <c r="J2168" s="39"/>
      <c r="K2168" s="3" t="s">
        <v>6</v>
      </c>
      <c r="L2168" t="s">
        <v>2369</v>
      </c>
      <c r="M2168" s="3"/>
    </row>
    <row r="2169" spans="1:13" ht="15.75">
      <c r="A2169" t="s">
        <v>28</v>
      </c>
      <c r="B2169">
        <f ca="1">IF(OR(changes[[#This Row],[Type]]="Checklist",changes[[#This Row],[Type]]="checklist-flat"),1+IF(changes[[#This Row],[Type of change]] = "Edit",COUNTIFS($I$4:changes[[#This Row],[Name]],changes[[#This Row],[Name]], $E$4:changes[[#This Row],[Type of change]], "Edit")),B2168)</f>
        <v>1</v>
      </c>
      <c r="C2169" s="20">
        <v>44819</v>
      </c>
      <c r="D2169" s="2" t="s">
        <v>2333</v>
      </c>
      <c r="E2169" t="s">
        <v>27</v>
      </c>
      <c r="F2169" s="14" t="s">
        <v>9</v>
      </c>
      <c r="G2169" s="38" t="s">
        <v>1867</v>
      </c>
      <c r="H2169" s="30" t="s">
        <v>49</v>
      </c>
      <c r="I2169" s="38" t="s">
        <v>1868</v>
      </c>
      <c r="J2169" s="39"/>
      <c r="K2169" s="3" t="s">
        <v>6</v>
      </c>
      <c r="L2169" t="s">
        <v>2369</v>
      </c>
      <c r="M2169" s="3"/>
    </row>
    <row r="2170" spans="1:13" ht="15.75">
      <c r="A2170" t="s">
        <v>28</v>
      </c>
      <c r="B2170">
        <f ca="1">IF(OR(changes[[#This Row],[Type]]="Checklist",changes[[#This Row],[Type]]="checklist-flat"),1+IF(changes[[#This Row],[Type of change]] = "Edit",COUNTIFS($I$4:changes[[#This Row],[Name]],changes[[#This Row],[Name]], $E$4:changes[[#This Row],[Type of change]], "Edit")),B2169)</f>
        <v>1</v>
      </c>
      <c r="C2170" s="20">
        <v>44819</v>
      </c>
      <c r="D2170" s="2" t="s">
        <v>2333</v>
      </c>
      <c r="E2170" t="s">
        <v>27</v>
      </c>
      <c r="F2170" s="14" t="s">
        <v>9</v>
      </c>
      <c r="G2170" s="38" t="s">
        <v>1867</v>
      </c>
      <c r="H2170" s="30" t="s">
        <v>49</v>
      </c>
      <c r="I2170" s="38" t="s">
        <v>1869</v>
      </c>
      <c r="J2170" s="39"/>
      <c r="K2170" s="3" t="s">
        <v>6</v>
      </c>
      <c r="L2170" t="s">
        <v>2369</v>
      </c>
      <c r="M2170" s="3"/>
    </row>
    <row r="2171" spans="1:13" ht="15.75">
      <c r="A2171" t="s">
        <v>28</v>
      </c>
      <c r="B2171">
        <f ca="1">IF(OR(changes[[#This Row],[Type]]="Checklist",changes[[#This Row],[Type]]="checklist-flat"),1+IF(changes[[#This Row],[Type of change]] = "Edit",COUNTIFS($I$4:changes[[#This Row],[Name]],changes[[#This Row],[Name]], $E$4:changes[[#This Row],[Type of change]], "Edit")),B2170)</f>
        <v>1</v>
      </c>
      <c r="C2171" s="20">
        <v>44819</v>
      </c>
      <c r="D2171" s="2" t="s">
        <v>2333</v>
      </c>
      <c r="E2171" t="s">
        <v>27</v>
      </c>
      <c r="F2171" s="14" t="s">
        <v>9</v>
      </c>
      <c r="G2171" s="38" t="s">
        <v>1867</v>
      </c>
      <c r="H2171" s="30" t="s">
        <v>49</v>
      </c>
      <c r="I2171" s="38" t="s">
        <v>1870</v>
      </c>
      <c r="J2171" s="39"/>
      <c r="K2171" s="3" t="s">
        <v>6</v>
      </c>
      <c r="L2171" t="s">
        <v>2369</v>
      </c>
      <c r="M2171" s="3"/>
    </row>
    <row r="2172" spans="1:13" ht="15.75">
      <c r="A2172" t="s">
        <v>28</v>
      </c>
      <c r="B2172">
        <f ca="1">IF(OR(changes[[#This Row],[Type]]="Checklist",changes[[#This Row],[Type]]="checklist-flat"),1+IF(changes[[#This Row],[Type of change]] = "Edit",COUNTIFS($I$4:changes[[#This Row],[Name]],changes[[#This Row],[Name]], $E$4:changes[[#This Row],[Type of change]], "Edit")),B2171)</f>
        <v>1</v>
      </c>
      <c r="C2172" s="20">
        <v>44819</v>
      </c>
      <c r="D2172" s="2" t="s">
        <v>2333</v>
      </c>
      <c r="E2172" t="s">
        <v>27</v>
      </c>
      <c r="F2172" s="14" t="s">
        <v>9</v>
      </c>
      <c r="G2172" s="38" t="s">
        <v>1867</v>
      </c>
      <c r="H2172" s="30" t="s">
        <v>49</v>
      </c>
      <c r="I2172" s="38" t="s">
        <v>1871</v>
      </c>
      <c r="J2172" s="39"/>
      <c r="K2172" s="3" t="s">
        <v>6</v>
      </c>
      <c r="L2172" t="s">
        <v>2369</v>
      </c>
      <c r="M2172" s="3"/>
    </row>
    <row r="2173" spans="1:13" ht="15.75">
      <c r="A2173" t="s">
        <v>28</v>
      </c>
      <c r="B2173">
        <f ca="1">IF(OR(changes[[#This Row],[Type]]="Checklist",changes[[#This Row],[Type]]="checklist-flat"),1+IF(changes[[#This Row],[Type of change]] = "Edit",COUNTIFS($I$4:changes[[#This Row],[Name]],changes[[#This Row],[Name]], $E$4:changes[[#This Row],[Type of change]], "Edit")),B2172)</f>
        <v>1</v>
      </c>
      <c r="C2173" s="20">
        <v>44819</v>
      </c>
      <c r="D2173" s="2" t="s">
        <v>2333</v>
      </c>
      <c r="E2173" t="s">
        <v>27</v>
      </c>
      <c r="F2173" s="14" t="s">
        <v>9</v>
      </c>
      <c r="G2173" s="38" t="s">
        <v>1867</v>
      </c>
      <c r="H2173" s="30" t="s">
        <v>49</v>
      </c>
      <c r="I2173" s="38" t="s">
        <v>1872</v>
      </c>
      <c r="J2173" s="39"/>
      <c r="K2173" s="3" t="s">
        <v>6</v>
      </c>
      <c r="L2173" t="s">
        <v>2369</v>
      </c>
      <c r="M2173" s="3"/>
    </row>
    <row r="2174" spans="1:13" ht="15.75">
      <c r="A2174" t="s">
        <v>28</v>
      </c>
      <c r="B2174">
        <f ca="1">IF(OR(changes[[#This Row],[Type]]="Checklist",changes[[#This Row],[Type]]="checklist-flat"),1+IF(changes[[#This Row],[Type of change]] = "Edit",COUNTIFS($I$4:changes[[#This Row],[Name]],changes[[#This Row],[Name]], $E$4:changes[[#This Row],[Type of change]], "Edit")),B2173)</f>
        <v>1</v>
      </c>
      <c r="C2174" s="20">
        <v>44819</v>
      </c>
      <c r="D2174" s="2" t="s">
        <v>2333</v>
      </c>
      <c r="E2174" t="s">
        <v>27</v>
      </c>
      <c r="F2174" s="14" t="s">
        <v>9</v>
      </c>
      <c r="G2174" s="38" t="s">
        <v>1867</v>
      </c>
      <c r="H2174" s="30" t="s">
        <v>49</v>
      </c>
      <c r="I2174" s="38" t="s">
        <v>1873</v>
      </c>
      <c r="J2174" s="39"/>
      <c r="K2174" s="3" t="s">
        <v>6</v>
      </c>
      <c r="L2174" t="s">
        <v>2369</v>
      </c>
      <c r="M2174" s="3"/>
    </row>
    <row r="2175" spans="1:13" ht="15.75">
      <c r="A2175" t="s">
        <v>28</v>
      </c>
      <c r="B2175">
        <f ca="1">IF(OR(changes[[#This Row],[Type]]="Checklist",changes[[#This Row],[Type]]="checklist-flat"),1+IF(changes[[#This Row],[Type of change]] = "Edit",COUNTIFS($I$4:changes[[#This Row],[Name]],changes[[#This Row],[Name]], $E$4:changes[[#This Row],[Type of change]], "Edit")),B2174)</f>
        <v>1</v>
      </c>
      <c r="C2175" s="20">
        <v>44819</v>
      </c>
      <c r="D2175" s="2" t="s">
        <v>2333</v>
      </c>
      <c r="E2175" t="s">
        <v>27</v>
      </c>
      <c r="F2175" s="14" t="s">
        <v>9</v>
      </c>
      <c r="G2175" s="38" t="s">
        <v>1867</v>
      </c>
      <c r="H2175" s="30" t="s">
        <v>49</v>
      </c>
      <c r="I2175" s="38" t="s">
        <v>1874</v>
      </c>
      <c r="J2175" s="39"/>
      <c r="K2175" s="3" t="s">
        <v>6</v>
      </c>
      <c r="L2175" t="s">
        <v>2369</v>
      </c>
      <c r="M2175" s="3"/>
    </row>
    <row r="2176" spans="1:13" ht="15.75">
      <c r="A2176" t="s">
        <v>28</v>
      </c>
      <c r="B2176">
        <f ca="1">IF(OR(changes[[#This Row],[Type]]="Checklist",changes[[#This Row],[Type]]="checklist-flat"),1+IF(changes[[#This Row],[Type of change]] = "Edit",COUNTIFS($I$4:changes[[#This Row],[Name]],changes[[#This Row],[Name]], $E$4:changes[[#This Row],[Type of change]], "Edit")),B2175)</f>
        <v>1</v>
      </c>
      <c r="C2176" s="20">
        <v>44819</v>
      </c>
      <c r="D2176" s="2" t="s">
        <v>2333</v>
      </c>
      <c r="E2176" t="s">
        <v>27</v>
      </c>
      <c r="F2176" s="14" t="s">
        <v>9</v>
      </c>
      <c r="G2176" s="38" t="s">
        <v>1867</v>
      </c>
      <c r="H2176" s="30" t="s">
        <v>49</v>
      </c>
      <c r="I2176" s="24" t="s">
        <v>57</v>
      </c>
      <c r="J2176" s="39"/>
      <c r="K2176" s="3" t="s">
        <v>6</v>
      </c>
      <c r="L2176" t="s">
        <v>2369</v>
      </c>
      <c r="M2176" s="3"/>
    </row>
    <row r="2177" spans="1:13" ht="15.75">
      <c r="A2177" t="s">
        <v>28</v>
      </c>
      <c r="B2177">
        <f ca="1">IF(OR(changes[[#This Row],[Type]]="Checklist",changes[[#This Row],[Type]]="checklist-flat"),1+IF(changes[[#This Row],[Type of change]] = "Edit",COUNTIFS($I$4:changes[[#This Row],[Name]],changes[[#This Row],[Name]], $E$4:changes[[#This Row],[Type of change]], "Edit")),B2176)</f>
        <v>1</v>
      </c>
      <c r="C2177" s="20">
        <v>44819</v>
      </c>
      <c r="D2177" s="2" t="s">
        <v>2333</v>
      </c>
      <c r="E2177" t="s">
        <v>27</v>
      </c>
      <c r="F2177" s="14" t="s">
        <v>9</v>
      </c>
      <c r="G2177" s="38" t="s">
        <v>1867</v>
      </c>
      <c r="H2177" s="3" t="s">
        <v>58</v>
      </c>
      <c r="I2177" s="24" t="s">
        <v>59</v>
      </c>
      <c r="J2177" s="40"/>
      <c r="K2177" s="3" t="s">
        <v>6</v>
      </c>
      <c r="L2177" t="s">
        <v>2369</v>
      </c>
      <c r="M2177" s="3"/>
    </row>
    <row r="2178" spans="1:13" ht="15.75">
      <c r="A2178" t="s">
        <v>28</v>
      </c>
      <c r="B2178">
        <f ca="1">IF(OR(changes[[#This Row],[Type]]="Checklist",changes[[#This Row],[Type]]="checklist-flat"),1+IF(changes[[#This Row],[Type of change]] = "Edit",COUNTIFS($I$4:changes[[#This Row],[Name]],changes[[#This Row],[Name]], $E$4:changes[[#This Row],[Type of change]], "Edit")),B2177)</f>
        <v>1</v>
      </c>
      <c r="C2178" s="20">
        <v>44819</v>
      </c>
      <c r="D2178" s="2" t="s">
        <v>2339</v>
      </c>
      <c r="E2178" t="s">
        <v>27</v>
      </c>
      <c r="F2178" s="14" t="s">
        <v>9</v>
      </c>
      <c r="G2178" s="14" t="s">
        <v>1875</v>
      </c>
      <c r="H2178" s="30" t="s">
        <v>48</v>
      </c>
      <c r="I2178" s="38" t="s">
        <v>1875</v>
      </c>
      <c r="J2178" s="39"/>
      <c r="K2178" s="3" t="s">
        <v>6</v>
      </c>
      <c r="L2178" t="s">
        <v>2425</v>
      </c>
      <c r="M2178" s="3"/>
    </row>
    <row r="2179" spans="1:13">
      <c r="A2179" t="s">
        <v>28</v>
      </c>
      <c r="B2179">
        <f ca="1">IF(OR(changes[[#This Row],[Type]]="Checklist",changes[[#This Row],[Type]]="checklist-flat"),1+IF(changes[[#This Row],[Type of change]] = "Edit",COUNTIFS($I$4:changes[[#This Row],[Name]],changes[[#This Row],[Name]], $E$4:changes[[#This Row],[Type of change]], "Edit")),B2178)</f>
        <v>1</v>
      </c>
      <c r="C2179" s="20">
        <v>44819</v>
      </c>
      <c r="D2179" s="2" t="s">
        <v>2339</v>
      </c>
      <c r="E2179" t="s">
        <v>27</v>
      </c>
      <c r="F2179" s="14" t="s">
        <v>9</v>
      </c>
      <c r="G2179" s="14" t="s">
        <v>1875</v>
      </c>
      <c r="H2179" s="30" t="s">
        <v>49</v>
      </c>
      <c r="I2179" t="s">
        <v>1876</v>
      </c>
      <c r="J2179" s="39"/>
      <c r="K2179" s="3" t="s">
        <v>6</v>
      </c>
      <c r="L2179" t="s">
        <v>2425</v>
      </c>
      <c r="M2179" s="3"/>
    </row>
    <row r="2180" spans="1:13" ht="15.75">
      <c r="A2180" t="s">
        <v>28</v>
      </c>
      <c r="B2180">
        <f ca="1">IF(OR(changes[[#This Row],[Type]]="Checklist",changes[[#This Row],[Type]]="checklist-flat"),1+IF(changes[[#This Row],[Type of change]] = "Edit",COUNTIFS($I$4:changes[[#This Row],[Name]],changes[[#This Row],[Name]], $E$4:changes[[#This Row],[Type of change]], "Edit")),B2179)</f>
        <v>1</v>
      </c>
      <c r="C2180" s="20">
        <v>44819</v>
      </c>
      <c r="D2180" s="2" t="s">
        <v>2339</v>
      </c>
      <c r="E2180" t="s">
        <v>27</v>
      </c>
      <c r="F2180" s="14" t="s">
        <v>9</v>
      </c>
      <c r="G2180" s="14" t="s">
        <v>1875</v>
      </c>
      <c r="H2180" s="30" t="s">
        <v>58</v>
      </c>
      <c r="I2180" s="38" t="s">
        <v>59</v>
      </c>
      <c r="J2180" s="39"/>
      <c r="K2180" s="3" t="s">
        <v>6</v>
      </c>
      <c r="L2180" t="s">
        <v>2425</v>
      </c>
      <c r="M2180" s="3"/>
    </row>
    <row r="2181" spans="1:13" ht="15.75">
      <c r="A2181" t="s">
        <v>28</v>
      </c>
      <c r="B2181">
        <f ca="1">IF(OR(changes[[#This Row],[Type]]="Checklist",changes[[#This Row],[Type]]="checklist-flat"),1+IF(changes[[#This Row],[Type of change]] = "Edit",COUNTIFS($I$4:changes[[#This Row],[Name]],changes[[#This Row],[Name]], $E$4:changes[[#This Row],[Type of change]], "Edit")),B2180)</f>
        <v>1</v>
      </c>
      <c r="C2181" s="20">
        <v>44826</v>
      </c>
      <c r="D2181" s="2" t="s">
        <v>2428</v>
      </c>
      <c r="E2181" t="s">
        <v>27</v>
      </c>
      <c r="F2181" s="14" t="s">
        <v>2000</v>
      </c>
      <c r="G2181" s="67" t="s">
        <v>1964</v>
      </c>
      <c r="H2181" s="73" t="s">
        <v>119</v>
      </c>
      <c r="I2181" s="67" t="s">
        <v>1964</v>
      </c>
      <c r="J2181" s="39"/>
      <c r="K2181" s="3" t="s">
        <v>6</v>
      </c>
      <c r="M2181" s="3"/>
    </row>
    <row r="2182" spans="1:13" ht="15.75">
      <c r="A2182" t="s">
        <v>28</v>
      </c>
      <c r="B2182">
        <f ca="1">IF(OR(changes[[#This Row],[Type]]="Checklist",changes[[#This Row],[Type]]="checklist-flat"),1+IF(changes[[#This Row],[Type of change]] = "Edit",COUNTIFS($I$4:changes[[#This Row],[Name]],changes[[#This Row],[Name]], $E$4:changes[[#This Row],[Type of change]], "Edit")),B2181)</f>
        <v>1</v>
      </c>
      <c r="C2182" s="20">
        <v>44826</v>
      </c>
      <c r="D2182" s="2" t="s">
        <v>2428</v>
      </c>
      <c r="E2182" t="s">
        <v>27</v>
      </c>
      <c r="F2182" s="14" t="s">
        <v>2000</v>
      </c>
      <c r="G2182" s="67" t="s">
        <v>1964</v>
      </c>
      <c r="H2182" s="74" t="s">
        <v>120</v>
      </c>
      <c r="I2182" s="68" t="s">
        <v>1750</v>
      </c>
      <c r="J2182" s="40"/>
      <c r="K2182" s="3" t="s">
        <v>6</v>
      </c>
      <c r="M2182" s="3"/>
    </row>
    <row r="2183" spans="1:13" ht="15.75">
      <c r="A2183" t="s">
        <v>28</v>
      </c>
      <c r="B2183">
        <f ca="1">IF(OR(changes[[#This Row],[Type]]="Checklist",changes[[#This Row],[Type]]="checklist-flat"),1+IF(changes[[#This Row],[Type of change]] = "Edit",COUNTIFS($I$4:changes[[#This Row],[Name]],changes[[#This Row],[Name]], $E$4:changes[[#This Row],[Type of change]], "Edit")),B2182)</f>
        <v>1</v>
      </c>
      <c r="C2183" s="20">
        <v>44826</v>
      </c>
      <c r="D2183" s="2" t="s">
        <v>2428</v>
      </c>
      <c r="E2183" t="s">
        <v>27</v>
      </c>
      <c r="F2183" s="14" t="s">
        <v>2000</v>
      </c>
      <c r="G2183" s="67" t="s">
        <v>1964</v>
      </c>
      <c r="H2183" s="65" t="s">
        <v>1879</v>
      </c>
      <c r="I2183" s="69" t="s">
        <v>1965</v>
      </c>
      <c r="J2183" s="40"/>
      <c r="K2183" s="3" t="s">
        <v>6</v>
      </c>
      <c r="M2183" s="3"/>
    </row>
    <row r="2184" spans="1:13" ht="15.75">
      <c r="A2184" t="s">
        <v>28</v>
      </c>
      <c r="B2184">
        <f ca="1">IF(OR(changes[[#This Row],[Type]]="Checklist",changes[[#This Row],[Type]]="checklist-flat"),1+IF(changes[[#This Row],[Type of change]] = "Edit",COUNTIFS($I$4:changes[[#This Row],[Name]],changes[[#This Row],[Name]], $E$4:changes[[#This Row],[Type of change]], "Edit")),B2183)</f>
        <v>1</v>
      </c>
      <c r="C2184" s="20">
        <v>44826</v>
      </c>
      <c r="D2184" s="2" t="s">
        <v>2428</v>
      </c>
      <c r="E2184" t="s">
        <v>27</v>
      </c>
      <c r="F2184" s="14" t="s">
        <v>2000</v>
      </c>
      <c r="G2184" s="67" t="s">
        <v>1964</v>
      </c>
      <c r="H2184" s="74" t="s">
        <v>124</v>
      </c>
      <c r="I2184" s="68" t="s">
        <v>1966</v>
      </c>
      <c r="J2184" s="40"/>
      <c r="K2184" s="3" t="s">
        <v>6</v>
      </c>
      <c r="M2184" s="3"/>
    </row>
    <row r="2185" spans="1:13" ht="15.75">
      <c r="A2185" t="s">
        <v>28</v>
      </c>
      <c r="B2185">
        <f ca="1">IF(OR(changes[[#This Row],[Type]]="Checklist",changes[[#This Row],[Type]]="checklist-flat"),1+IF(changes[[#This Row],[Type of change]] = "Edit",COUNTIFS($I$4:changes[[#This Row],[Name]],changes[[#This Row],[Name]], $E$4:changes[[#This Row],[Type of change]], "Edit")),B2184)</f>
        <v>1</v>
      </c>
      <c r="C2185" s="20">
        <v>44826</v>
      </c>
      <c r="D2185" s="2" t="s">
        <v>2428</v>
      </c>
      <c r="E2185" t="s">
        <v>27</v>
      </c>
      <c r="F2185" s="14" t="s">
        <v>2000</v>
      </c>
      <c r="G2185" s="67" t="s">
        <v>1964</v>
      </c>
      <c r="H2185" s="74" t="s">
        <v>124</v>
      </c>
      <c r="I2185" s="68" t="s">
        <v>1967</v>
      </c>
      <c r="J2185" s="40"/>
      <c r="K2185" s="3" t="s">
        <v>6</v>
      </c>
      <c r="M2185" s="3"/>
    </row>
    <row r="2186" spans="1:13" ht="15.75">
      <c r="A2186" t="s">
        <v>28</v>
      </c>
      <c r="B2186">
        <f ca="1">IF(OR(changes[[#This Row],[Type]]="Checklist",changes[[#This Row],[Type]]="checklist-flat"),1+IF(changes[[#This Row],[Type of change]] = "Edit",COUNTIFS($I$4:changes[[#This Row],[Name]],changes[[#This Row],[Name]], $E$4:changes[[#This Row],[Type of change]], "Edit")),B2185)</f>
        <v>1</v>
      </c>
      <c r="C2186" s="20">
        <v>44826</v>
      </c>
      <c r="D2186" s="2" t="s">
        <v>2428</v>
      </c>
      <c r="E2186" t="s">
        <v>27</v>
      </c>
      <c r="F2186" s="14" t="s">
        <v>2000</v>
      </c>
      <c r="G2186" s="67" t="s">
        <v>1964</v>
      </c>
      <c r="H2186" s="74" t="s">
        <v>124</v>
      </c>
      <c r="I2186" s="68" t="s">
        <v>1968</v>
      </c>
      <c r="J2186" s="40"/>
      <c r="K2186" s="3" t="s">
        <v>6</v>
      </c>
      <c r="M2186" s="3"/>
    </row>
    <row r="2187" spans="1:13" ht="15.75">
      <c r="A2187" t="s">
        <v>28</v>
      </c>
      <c r="B2187">
        <f ca="1">IF(OR(changes[[#This Row],[Type]]="Checklist",changes[[#This Row],[Type]]="checklist-flat"),1+IF(changes[[#This Row],[Type of change]] = "Edit",COUNTIFS($I$4:changes[[#This Row],[Name]],changes[[#This Row],[Name]], $E$4:changes[[#This Row],[Type of change]], "Edit")),B2186)</f>
        <v>1</v>
      </c>
      <c r="C2187" s="20">
        <v>44826</v>
      </c>
      <c r="D2187" s="2" t="s">
        <v>2428</v>
      </c>
      <c r="E2187" t="s">
        <v>27</v>
      </c>
      <c r="F2187" s="14" t="s">
        <v>2000</v>
      </c>
      <c r="G2187" s="67" t="s">
        <v>1964</v>
      </c>
      <c r="H2187" s="74" t="s">
        <v>124</v>
      </c>
      <c r="I2187" s="68" t="s">
        <v>1969</v>
      </c>
      <c r="J2187" s="40"/>
      <c r="K2187" s="3" t="s">
        <v>6</v>
      </c>
      <c r="M2187" s="3"/>
    </row>
    <row r="2188" spans="1:13" ht="15.75">
      <c r="A2188" t="s">
        <v>28</v>
      </c>
      <c r="B2188">
        <f ca="1">IF(OR(changes[[#This Row],[Type]]="Checklist",changes[[#This Row],[Type]]="checklist-flat"),1+IF(changes[[#This Row],[Type of change]] = "Edit",COUNTIFS($I$4:changes[[#This Row],[Name]],changes[[#This Row],[Name]], $E$4:changes[[#This Row],[Type of change]], "Edit")),B2187)</f>
        <v>1</v>
      </c>
      <c r="C2188" s="20">
        <v>44826</v>
      </c>
      <c r="D2188" s="2" t="s">
        <v>2428</v>
      </c>
      <c r="E2188" t="s">
        <v>27</v>
      </c>
      <c r="F2188" s="14" t="s">
        <v>2000</v>
      </c>
      <c r="G2188" s="67" t="s">
        <v>1964</v>
      </c>
      <c r="H2188" s="74" t="s">
        <v>124</v>
      </c>
      <c r="I2188" s="68" t="s">
        <v>1970</v>
      </c>
      <c r="J2188" s="40"/>
      <c r="K2188" s="3" t="s">
        <v>6</v>
      </c>
      <c r="M2188" s="3"/>
    </row>
    <row r="2189" spans="1:13" ht="15.75">
      <c r="A2189" t="s">
        <v>28</v>
      </c>
      <c r="B2189">
        <f ca="1">IF(OR(changes[[#This Row],[Type]]="Checklist",changes[[#This Row],[Type]]="checklist-flat"),1+IF(changes[[#This Row],[Type of change]] = "Edit",COUNTIFS($I$4:changes[[#This Row],[Name]],changes[[#This Row],[Name]], $E$4:changes[[#This Row],[Type of change]], "Edit")),B2188)</f>
        <v>1</v>
      </c>
      <c r="C2189" s="20">
        <v>44826</v>
      </c>
      <c r="D2189" s="2" t="s">
        <v>2428</v>
      </c>
      <c r="E2189" t="s">
        <v>27</v>
      </c>
      <c r="F2189" s="14" t="s">
        <v>2000</v>
      </c>
      <c r="G2189" s="67" t="s">
        <v>1964</v>
      </c>
      <c r="H2189" s="74" t="s">
        <v>124</v>
      </c>
      <c r="I2189" s="68" t="s">
        <v>1971</v>
      </c>
      <c r="J2189" s="40"/>
      <c r="K2189" s="3" t="s">
        <v>6</v>
      </c>
      <c r="M2189" s="3"/>
    </row>
    <row r="2190" spans="1:13" ht="15.75">
      <c r="A2190" t="s">
        <v>28</v>
      </c>
      <c r="B2190">
        <f ca="1">IF(OR(changes[[#This Row],[Type]]="Checklist",changes[[#This Row],[Type]]="checklist-flat"),1+IF(changes[[#This Row],[Type of change]] = "Edit",COUNTIFS($I$4:changes[[#This Row],[Name]],changes[[#This Row],[Name]], $E$4:changes[[#This Row],[Type of change]], "Edit")),B2189)</f>
        <v>1</v>
      </c>
      <c r="C2190" s="20">
        <v>44826</v>
      </c>
      <c r="D2190" s="2" t="s">
        <v>2428</v>
      </c>
      <c r="E2190" t="s">
        <v>27</v>
      </c>
      <c r="F2190" s="14" t="s">
        <v>2000</v>
      </c>
      <c r="G2190" s="67" t="s">
        <v>1964</v>
      </c>
      <c r="H2190" s="75" t="s">
        <v>124</v>
      </c>
      <c r="I2190" s="70" t="s">
        <v>1972</v>
      </c>
      <c r="J2190" s="40"/>
      <c r="K2190" s="3" t="s">
        <v>6</v>
      </c>
      <c r="M2190" s="3"/>
    </row>
    <row r="2191" spans="1:13" ht="15.75">
      <c r="A2191" t="s">
        <v>28</v>
      </c>
      <c r="B2191">
        <f ca="1">IF(OR(changes[[#This Row],[Type]]="Checklist",changes[[#This Row],[Type]]="checklist-flat"),1+IF(changes[[#This Row],[Type of change]] = "Edit",COUNTIFS($I$4:changes[[#This Row],[Name]],changes[[#This Row],[Name]], $E$4:changes[[#This Row],[Type of change]], "Edit")),B2190)</f>
        <v>1</v>
      </c>
      <c r="C2191" s="20">
        <v>44826</v>
      </c>
      <c r="D2191" s="2" t="s">
        <v>2428</v>
      </c>
      <c r="E2191" t="s">
        <v>27</v>
      </c>
      <c r="F2191" s="14" t="s">
        <v>2000</v>
      </c>
      <c r="G2191" s="67" t="s">
        <v>1964</v>
      </c>
      <c r="H2191" s="76" t="s">
        <v>49</v>
      </c>
      <c r="I2191" s="69" t="s">
        <v>1731</v>
      </c>
      <c r="J2191" s="40"/>
      <c r="K2191" s="3" t="s">
        <v>6</v>
      </c>
      <c r="M2191" s="3"/>
    </row>
    <row r="2192" spans="1:13" ht="15.75">
      <c r="A2192" t="s">
        <v>28</v>
      </c>
      <c r="B2192">
        <f ca="1">IF(OR(changes[[#This Row],[Type]]="Checklist",changes[[#This Row],[Type]]="checklist-flat"),1+IF(changes[[#This Row],[Type of change]] = "Edit",COUNTIFS($I$4:changes[[#This Row],[Name]],changes[[#This Row],[Name]], $E$4:changes[[#This Row],[Type of change]], "Edit")),B2191)</f>
        <v>1</v>
      </c>
      <c r="C2192" s="20">
        <v>44826</v>
      </c>
      <c r="D2192" s="2" t="s">
        <v>2428</v>
      </c>
      <c r="E2192" t="s">
        <v>27</v>
      </c>
      <c r="F2192" s="14" t="s">
        <v>2000</v>
      </c>
      <c r="G2192" s="67" t="s">
        <v>1964</v>
      </c>
      <c r="H2192" s="74" t="s">
        <v>124</v>
      </c>
      <c r="I2192" s="68" t="s">
        <v>1973</v>
      </c>
      <c r="J2192" s="40"/>
      <c r="K2192" s="3" t="s">
        <v>6</v>
      </c>
      <c r="M2192" s="3"/>
    </row>
    <row r="2193" spans="1:13" ht="15.75">
      <c r="A2193" t="s">
        <v>28</v>
      </c>
      <c r="B2193">
        <f ca="1">IF(OR(changes[[#This Row],[Type]]="Checklist",changes[[#This Row],[Type]]="checklist-flat"),1+IF(changes[[#This Row],[Type of change]] = "Edit",COUNTIFS($I$4:changes[[#This Row],[Name]],changes[[#This Row],[Name]], $E$4:changes[[#This Row],[Type of change]], "Edit")),B2192)</f>
        <v>1</v>
      </c>
      <c r="C2193" s="20">
        <v>44826</v>
      </c>
      <c r="D2193" s="2" t="s">
        <v>2428</v>
      </c>
      <c r="E2193" t="s">
        <v>27</v>
      </c>
      <c r="F2193" s="14" t="s">
        <v>2000</v>
      </c>
      <c r="G2193" s="67" t="s">
        <v>1964</v>
      </c>
      <c r="H2193" s="75" t="s">
        <v>124</v>
      </c>
      <c r="I2193" s="70" t="s">
        <v>1974</v>
      </c>
      <c r="J2193" s="40"/>
      <c r="K2193" s="3" t="s">
        <v>6</v>
      </c>
      <c r="M2193" s="3"/>
    </row>
    <row r="2194" spans="1:13" ht="15.75">
      <c r="A2194" t="s">
        <v>28</v>
      </c>
      <c r="B2194">
        <f ca="1">IF(OR(changes[[#This Row],[Type]]="Checklist",changes[[#This Row],[Type]]="checklist-flat"),1+IF(changes[[#This Row],[Type of change]] = "Edit",COUNTIFS($I$4:changes[[#This Row],[Name]],changes[[#This Row],[Name]], $E$4:changes[[#This Row],[Type of change]], "Edit")),B2193)</f>
        <v>1</v>
      </c>
      <c r="C2194" s="20">
        <v>44826</v>
      </c>
      <c r="D2194" s="2" t="s">
        <v>2428</v>
      </c>
      <c r="E2194" t="s">
        <v>27</v>
      </c>
      <c r="F2194" s="14" t="s">
        <v>2000</v>
      </c>
      <c r="G2194" s="67" t="s">
        <v>1964</v>
      </c>
      <c r="H2194" s="77" t="s">
        <v>49</v>
      </c>
      <c r="I2194" s="71" t="s">
        <v>1975</v>
      </c>
      <c r="J2194" s="40"/>
      <c r="K2194" s="3" t="s">
        <v>6</v>
      </c>
      <c r="M2194" s="3"/>
    </row>
    <row r="2195" spans="1:13" ht="15.75">
      <c r="A2195" t="s">
        <v>28</v>
      </c>
      <c r="B2195">
        <f ca="1">IF(OR(changes[[#This Row],[Type]]="Checklist",changes[[#This Row],[Type]]="checklist-flat"),1+IF(changes[[#This Row],[Type of change]] = "Edit",COUNTIFS($I$4:changes[[#This Row],[Name]],changes[[#This Row],[Name]], $E$4:changes[[#This Row],[Type of change]], "Edit")),B2194)</f>
        <v>1</v>
      </c>
      <c r="C2195" s="20">
        <v>44826</v>
      </c>
      <c r="D2195" s="2" t="s">
        <v>2428</v>
      </c>
      <c r="E2195" t="s">
        <v>27</v>
      </c>
      <c r="F2195" s="14" t="s">
        <v>2000</v>
      </c>
      <c r="G2195" s="67" t="s">
        <v>1964</v>
      </c>
      <c r="H2195" s="74" t="s">
        <v>120</v>
      </c>
      <c r="I2195" s="68" t="s">
        <v>1733</v>
      </c>
      <c r="J2195" s="40"/>
      <c r="K2195" s="3" t="s">
        <v>6</v>
      </c>
      <c r="M2195" s="3"/>
    </row>
    <row r="2196" spans="1:13" ht="15.75">
      <c r="A2196" t="s">
        <v>28</v>
      </c>
      <c r="B2196">
        <f ca="1">IF(OR(changes[[#This Row],[Type]]="Checklist",changes[[#This Row],[Type]]="checklist-flat"),1+IF(changes[[#This Row],[Type of change]] = "Edit",COUNTIFS($I$4:changes[[#This Row],[Name]],changes[[#This Row],[Name]], $E$4:changes[[#This Row],[Type of change]], "Edit")),B2195)</f>
        <v>1</v>
      </c>
      <c r="C2196" s="20">
        <v>44826</v>
      </c>
      <c r="D2196" s="2" t="s">
        <v>2428</v>
      </c>
      <c r="E2196" t="s">
        <v>27</v>
      </c>
      <c r="F2196" s="14" t="s">
        <v>2000</v>
      </c>
      <c r="G2196" s="67" t="s">
        <v>1964</v>
      </c>
      <c r="H2196" s="76" t="s">
        <v>49</v>
      </c>
      <c r="I2196" s="69" t="s">
        <v>1976</v>
      </c>
      <c r="J2196" s="40"/>
      <c r="K2196" s="3" t="s">
        <v>6</v>
      </c>
      <c r="M2196" s="3"/>
    </row>
    <row r="2197" spans="1:13" ht="15.75">
      <c r="A2197" t="s">
        <v>28</v>
      </c>
      <c r="B2197">
        <f ca="1">IF(OR(changes[[#This Row],[Type]]="Checklist",changes[[#This Row],[Type]]="checklist-flat"),1+IF(changes[[#This Row],[Type of change]] = "Edit",COUNTIFS($I$4:changes[[#This Row],[Name]],changes[[#This Row],[Name]], $E$4:changes[[#This Row],[Type of change]], "Edit")),B2196)</f>
        <v>1</v>
      </c>
      <c r="C2197" s="20">
        <v>44826</v>
      </c>
      <c r="D2197" s="2" t="s">
        <v>2428</v>
      </c>
      <c r="E2197" t="s">
        <v>27</v>
      </c>
      <c r="F2197" s="14" t="s">
        <v>2000</v>
      </c>
      <c r="G2197" s="67" t="s">
        <v>1964</v>
      </c>
      <c r="H2197" s="66" t="s">
        <v>1977</v>
      </c>
      <c r="I2197" s="68" t="s">
        <v>1978</v>
      </c>
      <c r="J2197" s="40"/>
      <c r="K2197" s="3" t="s">
        <v>6</v>
      </c>
      <c r="M2197" s="3"/>
    </row>
    <row r="2198" spans="1:13" ht="15.75">
      <c r="A2198" t="s">
        <v>28</v>
      </c>
      <c r="B2198">
        <f ca="1">IF(OR(changes[[#This Row],[Type]]="Checklist",changes[[#This Row],[Type]]="checklist-flat"),1+IF(changes[[#This Row],[Type of change]] = "Edit",COUNTIFS($I$4:changes[[#This Row],[Name]],changes[[#This Row],[Name]], $E$4:changes[[#This Row],[Type of change]], "Edit")),B2197)</f>
        <v>1</v>
      </c>
      <c r="C2198" s="20">
        <v>44826</v>
      </c>
      <c r="D2198" s="2" t="s">
        <v>2428</v>
      </c>
      <c r="E2198" t="s">
        <v>27</v>
      </c>
      <c r="F2198" s="14" t="s">
        <v>2000</v>
      </c>
      <c r="G2198" s="67" t="s">
        <v>1964</v>
      </c>
      <c r="H2198" s="66" t="s">
        <v>1739</v>
      </c>
      <c r="I2198" s="68" t="s">
        <v>1979</v>
      </c>
      <c r="J2198" s="40"/>
      <c r="K2198" s="3" t="s">
        <v>6</v>
      </c>
      <c r="M2198" s="3"/>
    </row>
    <row r="2199" spans="1:13" ht="15.75">
      <c r="A2199" t="s">
        <v>28</v>
      </c>
      <c r="B2199">
        <f ca="1">IF(OR(changes[[#This Row],[Type]]="Checklist",changes[[#This Row],[Type]]="checklist-flat"),1+IF(changes[[#This Row],[Type of change]] = "Edit",COUNTIFS($I$4:changes[[#This Row],[Name]],changes[[#This Row],[Name]], $E$4:changes[[#This Row],[Type of change]], "Edit")),B2198)</f>
        <v>1</v>
      </c>
      <c r="C2199" s="20">
        <v>44826</v>
      </c>
      <c r="D2199" s="2" t="s">
        <v>2428</v>
      </c>
      <c r="E2199" t="s">
        <v>27</v>
      </c>
      <c r="F2199" s="14" t="s">
        <v>2000</v>
      </c>
      <c r="G2199" s="67" t="s">
        <v>1964</v>
      </c>
      <c r="H2199" s="66" t="s">
        <v>124</v>
      </c>
      <c r="I2199" s="68" t="s">
        <v>1980</v>
      </c>
      <c r="J2199" s="40"/>
      <c r="K2199" s="3" t="s">
        <v>6</v>
      </c>
      <c r="M2199" s="3"/>
    </row>
    <row r="2200" spans="1:13" ht="15.75">
      <c r="A2200" t="s">
        <v>28</v>
      </c>
      <c r="B2200">
        <f ca="1">IF(OR(changes[[#This Row],[Type]]="Checklist",changes[[#This Row],[Type]]="checklist-flat"),1+IF(changes[[#This Row],[Type of change]] = "Edit",COUNTIFS($I$4:changes[[#This Row],[Name]],changes[[#This Row],[Name]], $E$4:changes[[#This Row],[Type of change]], "Edit")),B2199)</f>
        <v>1</v>
      </c>
      <c r="C2200" s="20">
        <v>44826</v>
      </c>
      <c r="D2200" s="2" t="s">
        <v>2428</v>
      </c>
      <c r="E2200" t="s">
        <v>27</v>
      </c>
      <c r="F2200" s="14" t="s">
        <v>2000</v>
      </c>
      <c r="G2200" s="67" t="s">
        <v>1964</v>
      </c>
      <c r="H2200" s="66" t="s">
        <v>1119</v>
      </c>
      <c r="I2200" s="68" t="s">
        <v>209</v>
      </c>
      <c r="J2200" s="40"/>
      <c r="K2200" s="3" t="s">
        <v>6</v>
      </c>
      <c r="M2200" s="3"/>
    </row>
    <row r="2201" spans="1:13" ht="15.75">
      <c r="A2201" t="s">
        <v>28</v>
      </c>
      <c r="B2201">
        <f ca="1">IF(OR(changes[[#This Row],[Type]]="Checklist",changes[[#This Row],[Type]]="checklist-flat"),1+IF(changes[[#This Row],[Type of change]] = "Edit",COUNTIFS($I$4:changes[[#This Row],[Name]],changes[[#This Row],[Name]], $E$4:changes[[#This Row],[Type of change]], "Edit")),B2200)</f>
        <v>1</v>
      </c>
      <c r="C2201" s="20">
        <v>44837</v>
      </c>
      <c r="D2201" s="2" t="s">
        <v>2428</v>
      </c>
      <c r="E2201" t="s">
        <v>27</v>
      </c>
      <c r="F2201" s="14" t="s">
        <v>1998</v>
      </c>
      <c r="G2201" s="38" t="s">
        <v>1981</v>
      </c>
      <c r="H2201" s="30" t="s">
        <v>48</v>
      </c>
      <c r="I2201" s="38" t="s">
        <v>1981</v>
      </c>
      <c r="J2201" s="39"/>
      <c r="K2201" s="3" t="s">
        <v>6</v>
      </c>
      <c r="M2201" s="3"/>
    </row>
    <row r="2202" spans="1:13" ht="15.75">
      <c r="A2202" t="s">
        <v>28</v>
      </c>
      <c r="B2202">
        <f ca="1">IF(OR(changes[[#This Row],[Type]]="Checklist",changes[[#This Row],[Type]]="checklist-flat"),1+IF(changes[[#This Row],[Type of change]] = "Edit",COUNTIFS($I$4:changes[[#This Row],[Name]],changes[[#This Row],[Name]], $E$4:changes[[#This Row],[Type of change]], "Edit")),B2201)</f>
        <v>1</v>
      </c>
      <c r="C2202" s="20">
        <v>44837</v>
      </c>
      <c r="D2202" s="2" t="s">
        <v>2428</v>
      </c>
      <c r="E2202" t="s">
        <v>27</v>
      </c>
      <c r="F2202" s="14" t="s">
        <v>1998</v>
      </c>
      <c r="G2202" s="38" t="s">
        <v>1981</v>
      </c>
      <c r="H2202" s="3" t="s">
        <v>1982</v>
      </c>
      <c r="I2202" s="24" t="s">
        <v>1263</v>
      </c>
      <c r="J2202" s="40"/>
      <c r="K2202" s="3" t="s">
        <v>6</v>
      </c>
      <c r="M2202" s="3"/>
    </row>
    <row r="2203" spans="1:13" ht="15.75">
      <c r="A2203" t="s">
        <v>28</v>
      </c>
      <c r="B2203">
        <f ca="1">IF(OR(changes[[#This Row],[Type]]="Checklist",changes[[#This Row],[Type]]="checklist-flat"),1+IF(changes[[#This Row],[Type of change]] = "Edit",COUNTIFS($I$4:changes[[#This Row],[Name]],changes[[#This Row],[Name]], $E$4:changes[[#This Row],[Type of change]], "Edit")),B2202)</f>
        <v>1</v>
      </c>
      <c r="C2203" s="20">
        <v>44837</v>
      </c>
      <c r="D2203" s="2" t="s">
        <v>2428</v>
      </c>
      <c r="E2203" t="s">
        <v>27</v>
      </c>
      <c r="F2203" s="14" t="s">
        <v>1998</v>
      </c>
      <c r="G2203" s="38" t="s">
        <v>1981</v>
      </c>
      <c r="H2203" s="3" t="s">
        <v>1982</v>
      </c>
      <c r="I2203" s="24" t="s">
        <v>1264</v>
      </c>
      <c r="J2203" s="40"/>
      <c r="K2203" s="3" t="s">
        <v>6</v>
      </c>
      <c r="M2203" s="3"/>
    </row>
    <row r="2204" spans="1:13" ht="15.75">
      <c r="A2204" t="s">
        <v>28</v>
      </c>
      <c r="B2204">
        <f ca="1">IF(OR(changes[[#This Row],[Type]]="Checklist",changes[[#This Row],[Type]]="checklist-flat"),1+IF(changes[[#This Row],[Type of change]] = "Edit",COUNTIFS($I$4:changes[[#This Row],[Name]],changes[[#This Row],[Name]], $E$4:changes[[#This Row],[Type of change]], "Edit")),B2203)</f>
        <v>1</v>
      </c>
      <c r="C2204" s="20">
        <v>44837</v>
      </c>
      <c r="D2204" s="2" t="s">
        <v>2428</v>
      </c>
      <c r="E2204" t="s">
        <v>27</v>
      </c>
      <c r="F2204" s="14" t="s">
        <v>1998</v>
      </c>
      <c r="G2204" s="38" t="s">
        <v>1981</v>
      </c>
      <c r="H2204" s="3" t="s">
        <v>58</v>
      </c>
      <c r="I2204" s="24" t="s">
        <v>306</v>
      </c>
      <c r="J2204" s="40"/>
      <c r="K2204" s="3" t="s">
        <v>6</v>
      </c>
      <c r="M2204" s="3"/>
    </row>
    <row r="2205" spans="1:13" ht="15.75">
      <c r="A2205" t="s">
        <v>28</v>
      </c>
      <c r="B2205">
        <f ca="1">IF(OR(changes[[#This Row],[Type]]="Checklist",changes[[#This Row],[Type]]="checklist-flat"),1+IF(changes[[#This Row],[Type of change]] = "Edit",COUNTIFS($I$4:changes[[#This Row],[Name]],changes[[#This Row],[Name]], $E$4:changes[[#This Row],[Type of change]], "Edit")),B2204)</f>
        <v>1</v>
      </c>
      <c r="C2205" s="20">
        <v>44837</v>
      </c>
      <c r="D2205" s="2" t="s">
        <v>2428</v>
      </c>
      <c r="E2205" t="s">
        <v>27</v>
      </c>
      <c r="F2205" s="14" t="s">
        <v>1998</v>
      </c>
      <c r="G2205" s="38" t="s">
        <v>1981</v>
      </c>
      <c r="H2205" s="3" t="s">
        <v>1982</v>
      </c>
      <c r="I2205" s="24" t="s">
        <v>1983</v>
      </c>
      <c r="J2205" s="40"/>
      <c r="K2205" s="3" t="s">
        <v>6</v>
      </c>
      <c r="M2205" s="3"/>
    </row>
    <row r="2206" spans="1:13" ht="15.75">
      <c r="A2206" t="s">
        <v>28</v>
      </c>
      <c r="B2206">
        <f ca="1">IF(OR(changes[[#This Row],[Type]]="Checklist",changes[[#This Row],[Type]]="checklist-flat"),1+IF(changes[[#This Row],[Type of change]] = "Edit",COUNTIFS($I$4:changes[[#This Row],[Name]],changes[[#This Row],[Name]], $E$4:changes[[#This Row],[Type of change]], "Edit")),B2205)</f>
        <v>1</v>
      </c>
      <c r="C2206" s="20">
        <v>44838</v>
      </c>
      <c r="D2206" s="2" t="s">
        <v>2380</v>
      </c>
      <c r="E2206" t="s">
        <v>27</v>
      </c>
      <c r="F2206" s="14" t="s">
        <v>9</v>
      </c>
      <c r="G2206" s="38" t="s">
        <v>1984</v>
      </c>
      <c r="H2206" s="30" t="s">
        <v>119</v>
      </c>
      <c r="I2206" s="38" t="s">
        <v>1984</v>
      </c>
      <c r="J2206" s="39"/>
      <c r="K2206" s="3" t="s">
        <v>6</v>
      </c>
      <c r="L2206" s="3" t="s">
        <v>2429</v>
      </c>
      <c r="M2206" s="3"/>
    </row>
    <row r="2207" spans="1:13" ht="15.75">
      <c r="A2207" t="s">
        <v>28</v>
      </c>
      <c r="B2207">
        <f ca="1">IF(OR(changes[[#This Row],[Type]]="Checklist",changes[[#This Row],[Type]]="checklist-flat"),1+IF(changes[[#This Row],[Type of change]] = "Edit",COUNTIFS($I$4:changes[[#This Row],[Name]],changes[[#This Row],[Name]], $E$4:changes[[#This Row],[Type of change]], "Edit")),B2206)</f>
        <v>1</v>
      </c>
      <c r="C2207" s="20">
        <v>44838</v>
      </c>
      <c r="D2207" s="2" t="s">
        <v>2380</v>
      </c>
      <c r="E2207" t="s">
        <v>27</v>
      </c>
      <c r="F2207" s="14" t="s">
        <v>9</v>
      </c>
      <c r="G2207" s="38" t="s">
        <v>1984</v>
      </c>
      <c r="H2207" s="30" t="s">
        <v>120</v>
      </c>
      <c r="I2207" s="38" t="s">
        <v>1985</v>
      </c>
      <c r="J2207" s="39"/>
      <c r="K2207" s="3" t="s">
        <v>6</v>
      </c>
      <c r="L2207" s="3" t="s">
        <v>2429</v>
      </c>
      <c r="M2207" s="3"/>
    </row>
    <row r="2208" spans="1:13" ht="15.75">
      <c r="A2208" t="s">
        <v>28</v>
      </c>
      <c r="B2208">
        <f ca="1">IF(OR(changes[[#This Row],[Type]]="Checklist",changes[[#This Row],[Type]]="checklist-flat"),1+IF(changes[[#This Row],[Type of change]] = "Edit",COUNTIFS($I$4:changes[[#This Row],[Name]],changes[[#This Row],[Name]], $E$4:changes[[#This Row],[Type of change]], "Edit")),B2207)</f>
        <v>1</v>
      </c>
      <c r="C2208" s="20">
        <v>44838</v>
      </c>
      <c r="D2208" s="2" t="s">
        <v>2380</v>
      </c>
      <c r="E2208" t="s">
        <v>27</v>
      </c>
      <c r="F2208" s="14" t="s">
        <v>9</v>
      </c>
      <c r="G2208" s="38" t="s">
        <v>1984</v>
      </c>
      <c r="H2208" s="30" t="s">
        <v>49</v>
      </c>
      <c r="I2208" s="38" t="s">
        <v>1986</v>
      </c>
      <c r="J2208" s="39"/>
      <c r="K2208" s="3" t="s">
        <v>6</v>
      </c>
      <c r="L2208" s="3" t="s">
        <v>2429</v>
      </c>
      <c r="M2208" s="3"/>
    </row>
    <row r="2209" spans="1:13" ht="15.75">
      <c r="A2209" t="s">
        <v>28</v>
      </c>
      <c r="B2209">
        <f ca="1">IF(OR(changes[[#This Row],[Type]]="Checklist",changes[[#This Row],[Type]]="checklist-flat"),1+IF(changes[[#This Row],[Type of change]] = "Edit",COUNTIFS($I$4:changes[[#This Row],[Name]],changes[[#This Row],[Name]], $E$4:changes[[#This Row],[Type of change]], "Edit")),B2208)</f>
        <v>1</v>
      </c>
      <c r="C2209" s="20">
        <v>44838</v>
      </c>
      <c r="D2209" s="2" t="s">
        <v>2380</v>
      </c>
      <c r="E2209" t="s">
        <v>27</v>
      </c>
      <c r="F2209" s="14" t="s">
        <v>9</v>
      </c>
      <c r="G2209" s="38" t="s">
        <v>1984</v>
      </c>
      <c r="H2209" s="30" t="s">
        <v>49</v>
      </c>
      <c r="I2209" s="38" t="s">
        <v>1987</v>
      </c>
      <c r="J2209" s="39"/>
      <c r="K2209" s="3" t="s">
        <v>6</v>
      </c>
      <c r="L2209" s="3" t="s">
        <v>2429</v>
      </c>
      <c r="M2209" s="3"/>
    </row>
    <row r="2210" spans="1:13" ht="15.75">
      <c r="A2210" t="s">
        <v>28</v>
      </c>
      <c r="B2210">
        <f ca="1">IF(OR(changes[[#This Row],[Type]]="Checklist",changes[[#This Row],[Type]]="checklist-flat"),1+IF(changes[[#This Row],[Type of change]] = "Edit",COUNTIFS($I$4:changes[[#This Row],[Name]],changes[[#This Row],[Name]], $E$4:changes[[#This Row],[Type of change]], "Edit")),B2209)</f>
        <v>1</v>
      </c>
      <c r="C2210" s="20">
        <v>44838</v>
      </c>
      <c r="D2210" s="2" t="s">
        <v>2380</v>
      </c>
      <c r="E2210" t="s">
        <v>27</v>
      </c>
      <c r="F2210" s="14" t="s">
        <v>9</v>
      </c>
      <c r="G2210" s="38" t="s">
        <v>1984</v>
      </c>
      <c r="H2210" s="30" t="s">
        <v>49</v>
      </c>
      <c r="I2210" s="38" t="s">
        <v>1988</v>
      </c>
      <c r="J2210" s="39"/>
      <c r="K2210" s="3" t="s">
        <v>6</v>
      </c>
      <c r="L2210" s="3" t="s">
        <v>2429</v>
      </c>
      <c r="M2210" s="3"/>
    </row>
    <row r="2211" spans="1:13" ht="15.75">
      <c r="A2211" t="s">
        <v>28</v>
      </c>
      <c r="B2211">
        <f ca="1">IF(OR(changes[[#This Row],[Type]]="Checklist",changes[[#This Row],[Type]]="checklist-flat"),1+IF(changes[[#This Row],[Type of change]] = "Edit",COUNTIFS($I$4:changes[[#This Row],[Name]],changes[[#This Row],[Name]], $E$4:changes[[#This Row],[Type of change]], "Edit")),B2210)</f>
        <v>1</v>
      </c>
      <c r="C2211" s="20">
        <v>44838</v>
      </c>
      <c r="D2211" s="2" t="s">
        <v>2380</v>
      </c>
      <c r="E2211" t="s">
        <v>27</v>
      </c>
      <c r="F2211" s="14" t="s">
        <v>9</v>
      </c>
      <c r="G2211" s="38" t="s">
        <v>1984</v>
      </c>
      <c r="H2211" s="30" t="s">
        <v>49</v>
      </c>
      <c r="I2211" s="38" t="s">
        <v>1989</v>
      </c>
      <c r="J2211" s="39"/>
      <c r="K2211" s="3" t="s">
        <v>6</v>
      </c>
      <c r="L2211" s="3" t="s">
        <v>2429</v>
      </c>
      <c r="M2211" s="3"/>
    </row>
    <row r="2212" spans="1:13" ht="15.75">
      <c r="A2212" t="s">
        <v>28</v>
      </c>
      <c r="B2212">
        <f ca="1">IF(OR(changes[[#This Row],[Type]]="Checklist",changes[[#This Row],[Type]]="checklist-flat"),1+IF(changes[[#This Row],[Type of change]] = "Edit",COUNTIFS($I$4:changes[[#This Row],[Name]],changes[[#This Row],[Name]], $E$4:changes[[#This Row],[Type of change]], "Edit")),B2211)</f>
        <v>1</v>
      </c>
      <c r="C2212" s="20">
        <v>44838</v>
      </c>
      <c r="D2212" s="2" t="s">
        <v>2380</v>
      </c>
      <c r="E2212" t="s">
        <v>27</v>
      </c>
      <c r="F2212" s="14" t="s">
        <v>9</v>
      </c>
      <c r="G2212" s="38" t="s">
        <v>1984</v>
      </c>
      <c r="H2212" s="30" t="s">
        <v>49</v>
      </c>
      <c r="I2212" s="38" t="s">
        <v>1990</v>
      </c>
      <c r="J2212" s="39"/>
      <c r="K2212" s="3" t="s">
        <v>6</v>
      </c>
      <c r="L2212" s="3" t="s">
        <v>2429</v>
      </c>
      <c r="M2212" s="3"/>
    </row>
    <row r="2213" spans="1:13" ht="15.75">
      <c r="A2213" t="s">
        <v>28</v>
      </c>
      <c r="B2213">
        <f ca="1">IF(OR(changes[[#This Row],[Type]]="Checklist",changes[[#This Row],[Type]]="checklist-flat"),1+IF(changes[[#This Row],[Type of change]] = "Edit",COUNTIFS($I$4:changes[[#This Row],[Name]],changes[[#This Row],[Name]], $E$4:changes[[#This Row],[Type of change]], "Edit")),B2212)</f>
        <v>1</v>
      </c>
      <c r="C2213" s="20">
        <v>44838</v>
      </c>
      <c r="D2213" s="2" t="s">
        <v>2380</v>
      </c>
      <c r="E2213" t="s">
        <v>27</v>
      </c>
      <c r="F2213" s="14" t="s">
        <v>9</v>
      </c>
      <c r="G2213" s="38" t="s">
        <v>1984</v>
      </c>
      <c r="H2213" s="30" t="s">
        <v>49</v>
      </c>
      <c r="I2213" s="38" t="s">
        <v>1991</v>
      </c>
      <c r="J2213" s="39"/>
      <c r="K2213" s="3" t="s">
        <v>6</v>
      </c>
      <c r="L2213" s="3" t="s">
        <v>2429</v>
      </c>
      <c r="M2213" s="3"/>
    </row>
    <row r="2214" spans="1:13" ht="15.75">
      <c r="A2214" t="s">
        <v>28</v>
      </c>
      <c r="B2214">
        <f ca="1">IF(OR(changes[[#This Row],[Type]]="Checklist",changes[[#This Row],[Type]]="checklist-flat"),1+IF(changes[[#This Row],[Type of change]] = "Edit",COUNTIFS($I$4:changes[[#This Row],[Name]],changes[[#This Row],[Name]], $E$4:changes[[#This Row],[Type of change]], "Edit")),B2213)</f>
        <v>1</v>
      </c>
      <c r="C2214" s="20">
        <v>44838</v>
      </c>
      <c r="D2214" s="2" t="s">
        <v>2380</v>
      </c>
      <c r="E2214" t="s">
        <v>27</v>
      </c>
      <c r="F2214" s="14" t="s">
        <v>9</v>
      </c>
      <c r="G2214" s="38" t="s">
        <v>1984</v>
      </c>
      <c r="H2214" s="30" t="s">
        <v>49</v>
      </c>
      <c r="I2214" s="38" t="s">
        <v>1992</v>
      </c>
      <c r="J2214" s="39"/>
      <c r="K2214" s="3" t="s">
        <v>6</v>
      </c>
      <c r="L2214" s="3" t="s">
        <v>2429</v>
      </c>
      <c r="M2214" s="3"/>
    </row>
    <row r="2215" spans="1:13">
      <c r="A2215" t="s">
        <v>28</v>
      </c>
      <c r="B2215">
        <f ca="1">IF(OR(changes[[#This Row],[Type]]="Checklist",changes[[#This Row],[Type]]="checklist-flat"),1+IF(changes[[#This Row],[Type of change]] = "Edit",COUNTIFS($I$4:changes[[#This Row],[Name]],changes[[#This Row],[Name]], $E$4:changes[[#This Row],[Type of change]], "Edit")),B2214)</f>
        <v>1</v>
      </c>
      <c r="C2215" s="20">
        <v>44838</v>
      </c>
      <c r="D2215" s="2" t="s">
        <v>2380</v>
      </c>
      <c r="E2215" t="s">
        <v>27</v>
      </c>
      <c r="F2215" t="s">
        <v>9</v>
      </c>
      <c r="G2215" t="s">
        <v>1984</v>
      </c>
      <c r="H2215" t="s">
        <v>120</v>
      </c>
      <c r="I2215" t="s">
        <v>1993</v>
      </c>
      <c r="K2215" s="3" t="s">
        <v>6</v>
      </c>
      <c r="L2215" s="3" t="s">
        <v>2429</v>
      </c>
      <c r="M2215" s="3"/>
    </row>
    <row r="2216" spans="1:13">
      <c r="A2216" t="s">
        <v>28</v>
      </c>
      <c r="B2216">
        <f ca="1">IF(OR(changes[[#This Row],[Type]]="Checklist",changes[[#This Row],[Type]]="checklist-flat"),1+IF(changes[[#This Row],[Type of change]] = "Edit",COUNTIFS($I$4:changes[[#This Row],[Name]],changes[[#This Row],[Name]], $E$4:changes[[#This Row],[Type of change]], "Edit")),B2215)</f>
        <v>1</v>
      </c>
      <c r="C2216" s="20">
        <v>44838</v>
      </c>
      <c r="D2216" s="2" t="s">
        <v>2380</v>
      </c>
      <c r="E2216" t="s">
        <v>27</v>
      </c>
      <c r="F2216" t="s">
        <v>9</v>
      </c>
      <c r="G2216" t="s">
        <v>1984</v>
      </c>
      <c r="H2216" t="s">
        <v>49</v>
      </c>
      <c r="I2216" t="s">
        <v>1994</v>
      </c>
      <c r="K2216" s="3" t="s">
        <v>6</v>
      </c>
      <c r="L2216" s="3" t="s">
        <v>2429</v>
      </c>
      <c r="M2216" s="3"/>
    </row>
    <row r="2217" spans="1:13">
      <c r="A2217" t="s">
        <v>28</v>
      </c>
      <c r="B2217">
        <f ca="1">IF(OR(changes[[#This Row],[Type]]="Checklist",changes[[#This Row],[Type]]="checklist-flat"),1+IF(changes[[#This Row],[Type of change]] = "Edit",COUNTIFS($I$4:changes[[#This Row],[Name]],changes[[#This Row],[Name]], $E$4:changes[[#This Row],[Type of change]], "Edit")),B2216)</f>
        <v>2</v>
      </c>
      <c r="C2217" s="20">
        <v>44841</v>
      </c>
      <c r="D2217" s="2" t="s">
        <v>2430</v>
      </c>
      <c r="E2217" t="s">
        <v>15</v>
      </c>
      <c r="F2217" t="s">
        <v>9</v>
      </c>
      <c r="G2217" t="s">
        <v>47</v>
      </c>
      <c r="H2217" t="s">
        <v>48</v>
      </c>
      <c r="I2217" t="s">
        <v>47</v>
      </c>
      <c r="K2217" s="3" t="s">
        <v>2431</v>
      </c>
      <c r="L2217" s="3" t="s">
        <v>2432</v>
      </c>
      <c r="M2217" s="3"/>
    </row>
    <row r="2218" spans="1:13">
      <c r="A2218" t="s">
        <v>28</v>
      </c>
      <c r="B2218">
        <f ca="1">IF(OR(changes[[#This Row],[Type]]="Checklist",changes[[#This Row],[Type]]="checklist-flat"),1+IF(changes[[#This Row],[Type of change]] = "Edit",COUNTIFS($I$4:changes[[#This Row],[Name]],changes[[#This Row],[Name]], $E$4:changes[[#This Row],[Type of change]], "Edit")),B2217)</f>
        <v>2</v>
      </c>
      <c r="C2218" s="20">
        <v>44841</v>
      </c>
      <c r="D2218" s="2" t="s">
        <v>2430</v>
      </c>
      <c r="E2218" t="s">
        <v>15</v>
      </c>
      <c r="F2218" t="s">
        <v>9</v>
      </c>
      <c r="G2218" t="s">
        <v>47</v>
      </c>
      <c r="H2218" t="s">
        <v>49</v>
      </c>
      <c r="I2218" t="s">
        <v>50</v>
      </c>
      <c r="K2218" s="3" t="s">
        <v>2431</v>
      </c>
      <c r="L2218" s="3" t="s">
        <v>2432</v>
      </c>
      <c r="M2218" s="3"/>
    </row>
    <row r="2219" spans="1:13">
      <c r="A2219" t="s">
        <v>28</v>
      </c>
      <c r="B2219">
        <f ca="1">IF(OR(changes[[#This Row],[Type]]="Checklist",changes[[#This Row],[Type]]="checklist-flat"),1+IF(changes[[#This Row],[Type of change]] = "Edit",COUNTIFS($I$4:changes[[#This Row],[Name]],changes[[#This Row],[Name]], $E$4:changes[[#This Row],[Type of change]], "Edit")),B2218)</f>
        <v>2</v>
      </c>
      <c r="C2219" s="20">
        <v>44841</v>
      </c>
      <c r="D2219" s="2" t="s">
        <v>2430</v>
      </c>
      <c r="E2219" t="s">
        <v>15</v>
      </c>
      <c r="F2219" t="s">
        <v>9</v>
      </c>
      <c r="G2219" t="s">
        <v>47</v>
      </c>
      <c r="H2219" t="s">
        <v>49</v>
      </c>
      <c r="I2219" t="s">
        <v>51</v>
      </c>
      <c r="K2219" s="3" t="s">
        <v>2431</v>
      </c>
      <c r="L2219" s="3" t="s">
        <v>2432</v>
      </c>
      <c r="M2219" s="3"/>
    </row>
    <row r="2220" spans="1:13">
      <c r="A2220" t="s">
        <v>28</v>
      </c>
      <c r="B2220">
        <f ca="1">IF(OR(changes[[#This Row],[Type]]="Checklist",changes[[#This Row],[Type]]="checklist-flat"),1+IF(changes[[#This Row],[Type of change]] = "Edit",COUNTIFS($I$4:changes[[#This Row],[Name]],changes[[#This Row],[Name]], $E$4:changes[[#This Row],[Type of change]], "Edit")),B2219)</f>
        <v>2</v>
      </c>
      <c r="C2220" s="20">
        <v>44841</v>
      </c>
      <c r="D2220" s="2" t="s">
        <v>2430</v>
      </c>
      <c r="E2220" t="s">
        <v>15</v>
      </c>
      <c r="F2220" t="s">
        <v>9</v>
      </c>
      <c r="G2220" t="s">
        <v>47</v>
      </c>
      <c r="H2220" t="s">
        <v>49</v>
      </c>
      <c r="I2220" t="s">
        <v>52</v>
      </c>
      <c r="K2220" s="3" t="s">
        <v>2431</v>
      </c>
      <c r="L2220" s="3" t="s">
        <v>2432</v>
      </c>
      <c r="M2220" s="3"/>
    </row>
    <row r="2221" spans="1:13">
      <c r="A2221" t="s">
        <v>28</v>
      </c>
      <c r="B2221">
        <f ca="1">IF(OR(changes[[#This Row],[Type]]="Checklist",changes[[#This Row],[Type]]="checklist-flat"),1+IF(changes[[#This Row],[Type of change]] = "Edit",COUNTIFS($I$4:changes[[#This Row],[Name]],changes[[#This Row],[Name]], $E$4:changes[[#This Row],[Type of change]], "Edit")),B2220)</f>
        <v>2</v>
      </c>
      <c r="C2221" s="20">
        <v>44841</v>
      </c>
      <c r="D2221" s="2" t="s">
        <v>2430</v>
      </c>
      <c r="E2221" t="s">
        <v>15</v>
      </c>
      <c r="F2221" t="s">
        <v>9</v>
      </c>
      <c r="G2221" t="s">
        <v>47</v>
      </c>
      <c r="H2221" t="s">
        <v>49</v>
      </c>
      <c r="I2221" t="s">
        <v>53</v>
      </c>
      <c r="K2221" s="3" t="s">
        <v>2431</v>
      </c>
      <c r="L2221" s="3" t="s">
        <v>2432</v>
      </c>
      <c r="M2221" s="3"/>
    </row>
    <row r="2222" spans="1:13">
      <c r="A2222" t="s">
        <v>28</v>
      </c>
      <c r="B2222">
        <f ca="1">IF(OR(changes[[#This Row],[Type]]="Checklist",changes[[#This Row],[Type]]="checklist-flat"),1+IF(changes[[#This Row],[Type of change]] = "Edit",COUNTIFS($I$4:changes[[#This Row],[Name]],changes[[#This Row],[Name]], $E$4:changes[[#This Row],[Type of change]], "Edit")),B2221)</f>
        <v>2</v>
      </c>
      <c r="C2222" s="20">
        <v>44841</v>
      </c>
      <c r="D2222" s="2" t="s">
        <v>2430</v>
      </c>
      <c r="E2222" t="s">
        <v>15</v>
      </c>
      <c r="F2222" t="s">
        <v>9</v>
      </c>
      <c r="G2222" t="s">
        <v>47</v>
      </c>
      <c r="H2222" t="s">
        <v>49</v>
      </c>
      <c r="I2222" t="s">
        <v>54</v>
      </c>
      <c r="K2222" s="3" t="s">
        <v>2431</v>
      </c>
      <c r="L2222" s="3" t="s">
        <v>2432</v>
      </c>
      <c r="M2222" s="3"/>
    </row>
    <row r="2223" spans="1:13">
      <c r="A2223" t="s">
        <v>28</v>
      </c>
      <c r="B2223">
        <f ca="1">IF(OR(changes[[#This Row],[Type]]="Checklist",changes[[#This Row],[Type]]="checklist-flat"),1+IF(changes[[#This Row],[Type of change]] = "Edit",COUNTIFS($I$4:changes[[#This Row],[Name]],changes[[#This Row],[Name]], $E$4:changes[[#This Row],[Type of change]], "Edit")),B2222)</f>
        <v>2</v>
      </c>
      <c r="C2223" s="20">
        <v>44841</v>
      </c>
      <c r="D2223" s="2" t="s">
        <v>2430</v>
      </c>
      <c r="E2223" t="s">
        <v>15</v>
      </c>
      <c r="F2223" t="s">
        <v>9</v>
      </c>
      <c r="G2223" t="s">
        <v>47</v>
      </c>
      <c r="H2223" t="s">
        <v>49</v>
      </c>
      <c r="I2223" t="s">
        <v>55</v>
      </c>
      <c r="K2223" s="3" t="s">
        <v>2431</v>
      </c>
      <c r="L2223" s="3" t="s">
        <v>2432</v>
      </c>
      <c r="M2223" s="3"/>
    </row>
    <row r="2224" spans="1:13">
      <c r="A2224" t="s">
        <v>28</v>
      </c>
      <c r="B2224">
        <f ca="1">IF(OR(changes[[#This Row],[Type]]="Checklist",changes[[#This Row],[Type]]="checklist-flat"),1+IF(changes[[#This Row],[Type of change]] = "Edit",COUNTIFS($I$4:changes[[#This Row],[Name]],changes[[#This Row],[Name]], $E$4:changes[[#This Row],[Type of change]], "Edit")),B2223)</f>
        <v>2</v>
      </c>
      <c r="C2224" s="20">
        <v>44841</v>
      </c>
      <c r="D2224" s="2" t="s">
        <v>2430</v>
      </c>
      <c r="E2224" t="s">
        <v>15</v>
      </c>
      <c r="F2224" t="s">
        <v>9</v>
      </c>
      <c r="G2224" t="s">
        <v>47</v>
      </c>
      <c r="H2224" t="s">
        <v>49</v>
      </c>
      <c r="I2224" t="s">
        <v>1954</v>
      </c>
      <c r="K2224" s="3" t="s">
        <v>2431</v>
      </c>
      <c r="L2224" s="3" t="s">
        <v>2432</v>
      </c>
      <c r="M2224" s="3"/>
    </row>
    <row r="2225" spans="1:13">
      <c r="A2225" t="s">
        <v>28</v>
      </c>
      <c r="B2225">
        <f ca="1">IF(OR(changes[[#This Row],[Type]]="Checklist",changes[[#This Row],[Type]]="checklist-flat"),1+IF(changes[[#This Row],[Type of change]] = "Edit",COUNTIFS($I$4:changes[[#This Row],[Name]],changes[[#This Row],[Name]], $E$4:changes[[#This Row],[Type of change]], "Edit")),B2224)</f>
        <v>2</v>
      </c>
      <c r="C2225" s="20">
        <v>44841</v>
      </c>
      <c r="D2225" s="2" t="s">
        <v>2430</v>
      </c>
      <c r="E2225" t="s">
        <v>15</v>
      </c>
      <c r="F2225" t="s">
        <v>9</v>
      </c>
      <c r="G2225" t="s">
        <v>47</v>
      </c>
      <c r="H2225" t="s">
        <v>49</v>
      </c>
      <c r="I2225" t="s">
        <v>1955</v>
      </c>
      <c r="K2225" s="3" t="s">
        <v>2431</v>
      </c>
      <c r="L2225" s="3" t="s">
        <v>2432</v>
      </c>
      <c r="M2225" s="3"/>
    </row>
    <row r="2226" spans="1:13">
      <c r="A2226" t="s">
        <v>28</v>
      </c>
      <c r="B2226">
        <f ca="1">IF(OR(changes[[#This Row],[Type]]="Checklist",changes[[#This Row],[Type]]="checklist-flat"),1+IF(changes[[#This Row],[Type of change]] = "Edit",COUNTIFS($I$4:changes[[#This Row],[Name]],changes[[#This Row],[Name]], $E$4:changes[[#This Row],[Type of change]], "Edit")),B2225)</f>
        <v>2</v>
      </c>
      <c r="C2226" s="20">
        <v>44841</v>
      </c>
      <c r="D2226" s="2" t="s">
        <v>2430</v>
      </c>
      <c r="E2226" t="s">
        <v>15</v>
      </c>
      <c r="F2226" t="s">
        <v>9</v>
      </c>
      <c r="G2226" t="s">
        <v>47</v>
      </c>
      <c r="H2226" t="s">
        <v>49</v>
      </c>
      <c r="I2226" t="s">
        <v>56</v>
      </c>
      <c r="K2226" s="3" t="s">
        <v>2431</v>
      </c>
      <c r="L2226" s="3" t="s">
        <v>2432</v>
      </c>
      <c r="M2226" s="3"/>
    </row>
    <row r="2227" spans="1:13">
      <c r="A2227" t="s">
        <v>28</v>
      </c>
      <c r="B2227">
        <f ca="1">IF(OR(changes[[#This Row],[Type]]="Checklist",changes[[#This Row],[Type]]="checklist-flat"),1+IF(changes[[#This Row],[Type of change]] = "Edit",COUNTIFS($I$4:changes[[#This Row],[Name]],changes[[#This Row],[Name]], $E$4:changes[[#This Row],[Type of change]], "Edit")),B2226)</f>
        <v>2</v>
      </c>
      <c r="C2227" s="20">
        <v>44841</v>
      </c>
      <c r="D2227" s="2" t="s">
        <v>2430</v>
      </c>
      <c r="E2227" t="s">
        <v>15</v>
      </c>
      <c r="F2227" t="s">
        <v>9</v>
      </c>
      <c r="G2227" t="s">
        <v>47</v>
      </c>
      <c r="H2227" t="s">
        <v>49</v>
      </c>
      <c r="I2227" t="s">
        <v>57</v>
      </c>
      <c r="K2227" s="3" t="s">
        <v>2431</v>
      </c>
      <c r="L2227" s="3" t="s">
        <v>2432</v>
      </c>
      <c r="M2227" s="3"/>
    </row>
    <row r="2228" spans="1:13">
      <c r="A2228" t="s">
        <v>28</v>
      </c>
      <c r="B2228">
        <f ca="1">IF(OR(changes[[#This Row],[Type]]="Checklist",changes[[#This Row],[Type]]="checklist-flat"),1+IF(changes[[#This Row],[Type of change]] = "Edit",COUNTIFS($I$4:changes[[#This Row],[Name]],changes[[#This Row],[Name]], $E$4:changes[[#This Row],[Type of change]], "Edit")),B2227)</f>
        <v>2</v>
      </c>
      <c r="C2228" s="20">
        <v>44841</v>
      </c>
      <c r="D2228" s="2" t="s">
        <v>2430</v>
      </c>
      <c r="E2228" t="s">
        <v>15</v>
      </c>
      <c r="F2228" t="s">
        <v>9</v>
      </c>
      <c r="G2228" t="s">
        <v>47</v>
      </c>
      <c r="H2228" t="s">
        <v>58</v>
      </c>
      <c r="I2228" t="s">
        <v>59</v>
      </c>
      <c r="K2228" s="3" t="s">
        <v>2431</v>
      </c>
      <c r="L2228" s="3" t="s">
        <v>2432</v>
      </c>
      <c r="M2228" s="3"/>
    </row>
    <row r="2229" spans="1:13">
      <c r="A2229" t="s">
        <v>28</v>
      </c>
      <c r="B2229">
        <f ca="1">IF(OR(changes[[#This Row],[Type]]="Checklist",changes[[#This Row],[Type]]="checklist-flat"),1+IF(changes[[#This Row],[Type of change]] = "Edit",COUNTIFS($I$4:changes[[#This Row],[Name]],changes[[#This Row],[Name]], $E$4:changes[[#This Row],[Type of change]], "Edit")),B2228)</f>
        <v>3</v>
      </c>
      <c r="C2229" s="20">
        <v>44841</v>
      </c>
      <c r="D2229" s="2" t="s">
        <v>2430</v>
      </c>
      <c r="E2229" t="s">
        <v>15</v>
      </c>
      <c r="F2229" t="s">
        <v>9</v>
      </c>
      <c r="G2229" t="s">
        <v>2433</v>
      </c>
      <c r="H2229" t="s">
        <v>48</v>
      </c>
      <c r="I2229" t="s">
        <v>60</v>
      </c>
      <c r="K2229" s="3" t="s">
        <v>2431</v>
      </c>
      <c r="L2229" s="3" t="s">
        <v>2432</v>
      </c>
      <c r="M2229" s="3"/>
    </row>
    <row r="2230" spans="1:13">
      <c r="A2230" t="s">
        <v>28</v>
      </c>
      <c r="B2230">
        <f ca="1">IF(OR(changes[[#This Row],[Type]]="Checklist",changes[[#This Row],[Type]]="checklist-flat"),1+IF(changes[[#This Row],[Type of change]] = "Edit",COUNTIFS($I$4:changes[[#This Row],[Name]],changes[[#This Row],[Name]], $E$4:changes[[#This Row],[Type of change]], "Edit")),B2229)</f>
        <v>3</v>
      </c>
      <c r="C2230" s="20">
        <v>44841</v>
      </c>
      <c r="D2230" s="2" t="s">
        <v>2430</v>
      </c>
      <c r="E2230" t="s">
        <v>15</v>
      </c>
      <c r="F2230" t="s">
        <v>9</v>
      </c>
      <c r="G2230" t="s">
        <v>2433</v>
      </c>
      <c r="H2230" t="s">
        <v>49</v>
      </c>
      <c r="I2230" t="s">
        <v>61</v>
      </c>
      <c r="K2230" s="3" t="s">
        <v>2431</v>
      </c>
      <c r="L2230" s="3" t="s">
        <v>2432</v>
      </c>
      <c r="M2230" s="3"/>
    </row>
    <row r="2231" spans="1:13">
      <c r="A2231" t="s">
        <v>28</v>
      </c>
      <c r="B2231">
        <f ca="1">IF(OR(changes[[#This Row],[Type]]="Checklist",changes[[#This Row],[Type]]="checklist-flat"),1+IF(changes[[#This Row],[Type of change]] = "Edit",COUNTIFS($I$4:changes[[#This Row],[Name]],changes[[#This Row],[Name]], $E$4:changes[[#This Row],[Type of change]], "Edit")),B2230)</f>
        <v>3</v>
      </c>
      <c r="C2231" s="20">
        <v>44841</v>
      </c>
      <c r="D2231" s="2" t="s">
        <v>2430</v>
      </c>
      <c r="E2231" t="s">
        <v>15</v>
      </c>
      <c r="F2231" t="s">
        <v>9</v>
      </c>
      <c r="G2231" t="s">
        <v>2433</v>
      </c>
      <c r="H2231" t="s">
        <v>49</v>
      </c>
      <c r="I2231" t="s">
        <v>62</v>
      </c>
      <c r="K2231" s="3" t="s">
        <v>2431</v>
      </c>
      <c r="L2231" s="3" t="s">
        <v>2432</v>
      </c>
      <c r="M2231" s="3"/>
    </row>
    <row r="2232" spans="1:13">
      <c r="A2232" t="s">
        <v>28</v>
      </c>
      <c r="B2232">
        <f ca="1">IF(OR(changes[[#This Row],[Type]]="Checklist",changes[[#This Row],[Type]]="checklist-flat"),1+IF(changes[[#This Row],[Type of change]] = "Edit",COUNTIFS($I$4:changes[[#This Row],[Name]],changes[[#This Row],[Name]], $E$4:changes[[#This Row],[Type of change]], "Edit")),B2231)</f>
        <v>3</v>
      </c>
      <c r="C2232" s="20">
        <v>44841</v>
      </c>
      <c r="D2232" s="2" t="s">
        <v>2430</v>
      </c>
      <c r="E2232" t="s">
        <v>15</v>
      </c>
      <c r="F2232" t="s">
        <v>9</v>
      </c>
      <c r="G2232" t="s">
        <v>2433</v>
      </c>
      <c r="H2232" t="s">
        <v>49</v>
      </c>
      <c r="I2232" t="s">
        <v>63</v>
      </c>
      <c r="K2232" s="3" t="s">
        <v>2431</v>
      </c>
      <c r="L2232" s="3" t="s">
        <v>2432</v>
      </c>
      <c r="M2232" s="3"/>
    </row>
    <row r="2233" spans="1:13">
      <c r="A2233" t="s">
        <v>28</v>
      </c>
      <c r="B2233">
        <f ca="1">IF(OR(changes[[#This Row],[Type]]="Checklist",changes[[#This Row],[Type]]="checklist-flat"),1+IF(changes[[#This Row],[Type of change]] = "Edit",COUNTIFS($I$4:changes[[#This Row],[Name]],changes[[#This Row],[Name]], $E$4:changes[[#This Row],[Type of change]], "Edit")),B2232)</f>
        <v>3</v>
      </c>
      <c r="C2233" s="20">
        <v>44841</v>
      </c>
      <c r="D2233" s="2" t="s">
        <v>2430</v>
      </c>
      <c r="E2233" t="s">
        <v>15</v>
      </c>
      <c r="F2233" t="s">
        <v>9</v>
      </c>
      <c r="G2233" t="s">
        <v>2433</v>
      </c>
      <c r="H2233" t="s">
        <v>49</v>
      </c>
      <c r="I2233" t="s">
        <v>64</v>
      </c>
      <c r="K2233" s="3" t="s">
        <v>2431</v>
      </c>
      <c r="L2233" s="3" t="s">
        <v>2432</v>
      </c>
      <c r="M2233" s="3"/>
    </row>
    <row r="2234" spans="1:13">
      <c r="A2234" t="s">
        <v>28</v>
      </c>
      <c r="B2234">
        <f ca="1">IF(OR(changes[[#This Row],[Type]]="Checklist",changes[[#This Row],[Type]]="checklist-flat"),1+IF(changes[[#This Row],[Type of change]] = "Edit",COUNTIFS($I$4:changes[[#This Row],[Name]],changes[[#This Row],[Name]], $E$4:changes[[#This Row],[Type of change]], "Edit")),B2233)</f>
        <v>3</v>
      </c>
      <c r="C2234" s="20">
        <v>44841</v>
      </c>
      <c r="D2234" s="2" t="s">
        <v>2430</v>
      </c>
      <c r="E2234" t="s">
        <v>15</v>
      </c>
      <c r="F2234" t="s">
        <v>9</v>
      </c>
      <c r="G2234" t="s">
        <v>2433</v>
      </c>
      <c r="H2234" t="s">
        <v>49</v>
      </c>
      <c r="I2234" t="s">
        <v>65</v>
      </c>
      <c r="K2234" s="3" t="s">
        <v>2431</v>
      </c>
      <c r="L2234" s="3" t="s">
        <v>2432</v>
      </c>
      <c r="M2234" s="3"/>
    </row>
    <row r="2235" spans="1:13">
      <c r="A2235" t="s">
        <v>28</v>
      </c>
      <c r="B2235">
        <f ca="1">IF(OR(changes[[#This Row],[Type]]="Checklist",changes[[#This Row],[Type]]="checklist-flat"),1+IF(changes[[#This Row],[Type of change]] = "Edit",COUNTIFS($I$4:changes[[#This Row],[Name]],changes[[#This Row],[Name]], $E$4:changes[[#This Row],[Type of change]], "Edit")),B2234)</f>
        <v>3</v>
      </c>
      <c r="C2235" s="20">
        <v>44841</v>
      </c>
      <c r="D2235" s="2" t="s">
        <v>2430</v>
      </c>
      <c r="E2235" t="s">
        <v>15</v>
      </c>
      <c r="F2235" t="s">
        <v>9</v>
      </c>
      <c r="G2235" t="s">
        <v>2433</v>
      </c>
      <c r="H2235" t="s">
        <v>66</v>
      </c>
      <c r="I2235" t="s">
        <v>67</v>
      </c>
      <c r="K2235" s="3" t="s">
        <v>2431</v>
      </c>
      <c r="L2235" s="3" t="s">
        <v>2432</v>
      </c>
      <c r="M2235" s="3"/>
    </row>
    <row r="2236" spans="1:13">
      <c r="A2236" t="s">
        <v>28</v>
      </c>
      <c r="B2236">
        <f ca="1">IF(OR(changes[[#This Row],[Type]]="Checklist",changes[[#This Row],[Type]]="checklist-flat"),1+IF(changes[[#This Row],[Type of change]] = "Edit",COUNTIFS($I$4:changes[[#This Row],[Name]],changes[[#This Row],[Name]], $E$4:changes[[#This Row],[Type of change]], "Edit")),B2235)</f>
        <v>3</v>
      </c>
      <c r="C2236" s="20">
        <v>44841</v>
      </c>
      <c r="D2236" s="2" t="s">
        <v>2430</v>
      </c>
      <c r="E2236" t="s">
        <v>15</v>
      </c>
      <c r="F2236" t="s">
        <v>9</v>
      </c>
      <c r="G2236" t="s">
        <v>2433</v>
      </c>
      <c r="H2236" t="s">
        <v>66</v>
      </c>
      <c r="I2236" t="s">
        <v>68</v>
      </c>
      <c r="K2236" s="3" t="s">
        <v>2431</v>
      </c>
      <c r="L2236" s="3" t="s">
        <v>2432</v>
      </c>
      <c r="M2236" s="3"/>
    </row>
    <row r="2237" spans="1:13">
      <c r="A2237" t="s">
        <v>28</v>
      </c>
      <c r="B2237">
        <f ca="1">IF(OR(changes[[#This Row],[Type]]="Checklist",changes[[#This Row],[Type]]="checklist-flat"),1+IF(changes[[#This Row],[Type of change]] = "Edit",COUNTIFS($I$4:changes[[#This Row],[Name]],changes[[#This Row],[Name]], $E$4:changes[[#This Row],[Type of change]], "Edit")),B2236)</f>
        <v>3</v>
      </c>
      <c r="C2237" s="20">
        <v>44841</v>
      </c>
      <c r="D2237" s="2" t="s">
        <v>2430</v>
      </c>
      <c r="E2237" t="s">
        <v>15</v>
      </c>
      <c r="F2237" t="s">
        <v>9</v>
      </c>
      <c r="G2237" t="s">
        <v>2433</v>
      </c>
      <c r="H2237" t="s">
        <v>66</v>
      </c>
      <c r="I2237" t="s">
        <v>69</v>
      </c>
      <c r="K2237" s="3" t="s">
        <v>2431</v>
      </c>
      <c r="L2237" s="3" t="s">
        <v>2432</v>
      </c>
      <c r="M2237" s="3"/>
    </row>
    <row r="2238" spans="1:13">
      <c r="A2238" t="s">
        <v>28</v>
      </c>
      <c r="B2238">
        <f ca="1">IF(OR(changes[[#This Row],[Type]]="Checklist",changes[[#This Row],[Type]]="checklist-flat"),1+IF(changes[[#This Row],[Type of change]] = "Edit",COUNTIFS($I$4:changes[[#This Row],[Name]],changes[[#This Row],[Name]], $E$4:changes[[#This Row],[Type of change]], "Edit")),B2237)</f>
        <v>3</v>
      </c>
      <c r="C2238" s="20">
        <v>44841</v>
      </c>
      <c r="D2238" s="2" t="s">
        <v>2430</v>
      </c>
      <c r="E2238" t="s">
        <v>15</v>
      </c>
      <c r="F2238" t="s">
        <v>9</v>
      </c>
      <c r="G2238" t="s">
        <v>2433</v>
      </c>
      <c r="H2238" t="s">
        <v>49</v>
      </c>
      <c r="I2238" t="s">
        <v>1956</v>
      </c>
      <c r="K2238" s="3" t="s">
        <v>2431</v>
      </c>
      <c r="L2238" s="3" t="s">
        <v>2432</v>
      </c>
      <c r="M2238" s="3"/>
    </row>
    <row r="2239" spans="1:13">
      <c r="A2239" t="s">
        <v>28</v>
      </c>
      <c r="B2239">
        <f ca="1">IF(OR(changes[[#This Row],[Type]]="Checklist",changes[[#This Row],[Type]]="checklist-flat"),1+IF(changes[[#This Row],[Type of change]] = "Edit",COUNTIFS($I$4:changes[[#This Row],[Name]],changes[[#This Row],[Name]], $E$4:changes[[#This Row],[Type of change]], "Edit")),B2238)</f>
        <v>3</v>
      </c>
      <c r="C2239" s="20">
        <v>44841</v>
      </c>
      <c r="D2239" s="2" t="s">
        <v>2430</v>
      </c>
      <c r="E2239" t="s">
        <v>15</v>
      </c>
      <c r="F2239" t="s">
        <v>9</v>
      </c>
      <c r="G2239" t="s">
        <v>2433</v>
      </c>
      <c r="H2239" t="s">
        <v>49</v>
      </c>
      <c r="I2239" t="s">
        <v>1957</v>
      </c>
      <c r="K2239" s="3" t="s">
        <v>2431</v>
      </c>
      <c r="L2239" s="3" t="s">
        <v>2432</v>
      </c>
      <c r="M2239" s="3"/>
    </row>
    <row r="2240" spans="1:13">
      <c r="A2240" t="s">
        <v>28</v>
      </c>
      <c r="B2240">
        <f ca="1">IF(OR(changes[[#This Row],[Type]]="Checklist",changes[[#This Row],[Type]]="checklist-flat"),1+IF(changes[[#This Row],[Type of change]] = "Edit",COUNTIFS($I$4:changes[[#This Row],[Name]],changes[[#This Row],[Name]], $E$4:changes[[#This Row],[Type of change]], "Edit")),B2239)</f>
        <v>3</v>
      </c>
      <c r="C2240" s="20">
        <v>44841</v>
      </c>
      <c r="D2240" s="2" t="s">
        <v>2430</v>
      </c>
      <c r="E2240" t="s">
        <v>15</v>
      </c>
      <c r="F2240" t="s">
        <v>9</v>
      </c>
      <c r="G2240" t="s">
        <v>2433</v>
      </c>
      <c r="H2240" t="s">
        <v>49</v>
      </c>
      <c r="I2240" t="s">
        <v>1958</v>
      </c>
      <c r="K2240" s="3" t="s">
        <v>2431</v>
      </c>
      <c r="L2240" s="3" t="s">
        <v>2432</v>
      </c>
      <c r="M2240" s="3"/>
    </row>
    <row r="2241" spans="1:13">
      <c r="A2241" t="s">
        <v>28</v>
      </c>
      <c r="B2241">
        <f ca="1">IF(OR(changes[[#This Row],[Type]]="Checklist",changes[[#This Row],[Type]]="checklist-flat"),1+IF(changes[[#This Row],[Type of change]] = "Edit",COUNTIFS($I$4:changes[[#This Row],[Name]],changes[[#This Row],[Name]], $E$4:changes[[#This Row],[Type of change]], "Edit")),B2240)</f>
        <v>3</v>
      </c>
      <c r="C2241" s="20">
        <v>44841</v>
      </c>
      <c r="D2241" s="2" t="s">
        <v>2430</v>
      </c>
      <c r="E2241" t="s">
        <v>15</v>
      </c>
      <c r="F2241" t="s">
        <v>9</v>
      </c>
      <c r="G2241" t="s">
        <v>2433</v>
      </c>
      <c r="H2241" t="s">
        <v>49</v>
      </c>
      <c r="I2241" t="s">
        <v>1959</v>
      </c>
      <c r="K2241" s="3" t="s">
        <v>2431</v>
      </c>
      <c r="L2241" s="3" t="s">
        <v>2432</v>
      </c>
      <c r="M2241" s="3"/>
    </row>
    <row r="2242" spans="1:13">
      <c r="A2242" t="s">
        <v>28</v>
      </c>
      <c r="B2242">
        <f ca="1">IF(OR(changes[[#This Row],[Type]]="Checklist",changes[[#This Row],[Type]]="checklist-flat"),1+IF(changes[[#This Row],[Type of change]] = "Edit",COUNTIFS($I$4:changes[[#This Row],[Name]],changes[[#This Row],[Name]], $E$4:changes[[#This Row],[Type of change]], "Edit")),B2241)</f>
        <v>3</v>
      </c>
      <c r="C2242" s="20">
        <v>44841</v>
      </c>
      <c r="D2242" s="2" t="s">
        <v>2430</v>
      </c>
      <c r="E2242" t="s">
        <v>15</v>
      </c>
      <c r="F2242" t="s">
        <v>9</v>
      </c>
      <c r="G2242" t="s">
        <v>2433</v>
      </c>
      <c r="H2242" t="s">
        <v>49</v>
      </c>
      <c r="I2242" t="s">
        <v>1960</v>
      </c>
      <c r="K2242" s="3" t="s">
        <v>2431</v>
      </c>
      <c r="L2242" s="3" t="s">
        <v>2432</v>
      </c>
      <c r="M2242" s="3"/>
    </row>
    <row r="2243" spans="1:13">
      <c r="A2243" t="s">
        <v>28</v>
      </c>
      <c r="B2243">
        <f ca="1">IF(OR(changes[[#This Row],[Type]]="Checklist",changes[[#This Row],[Type]]="checklist-flat"),1+IF(changes[[#This Row],[Type of change]] = "Edit",COUNTIFS($I$4:changes[[#This Row],[Name]],changes[[#This Row],[Name]], $E$4:changes[[#This Row],[Type of change]], "Edit")),B2242)</f>
        <v>3</v>
      </c>
      <c r="C2243" s="20">
        <v>44841</v>
      </c>
      <c r="D2243" s="2" t="s">
        <v>2430</v>
      </c>
      <c r="E2243" t="s">
        <v>15</v>
      </c>
      <c r="F2243" t="s">
        <v>9</v>
      </c>
      <c r="G2243" t="s">
        <v>2433</v>
      </c>
      <c r="H2243" t="s">
        <v>49</v>
      </c>
      <c r="I2243" t="s">
        <v>1961</v>
      </c>
      <c r="K2243" s="3" t="s">
        <v>2431</v>
      </c>
      <c r="L2243" s="3" t="s">
        <v>2432</v>
      </c>
      <c r="M2243" s="3"/>
    </row>
    <row r="2244" spans="1:13">
      <c r="A2244" t="s">
        <v>28</v>
      </c>
      <c r="B2244">
        <f ca="1">IF(OR(changes[[#This Row],[Type]]="Checklist",changes[[#This Row],[Type]]="checklist-flat"),1+IF(changes[[#This Row],[Type of change]] = "Edit",COUNTIFS($I$4:changes[[#This Row],[Name]],changes[[#This Row],[Name]], $E$4:changes[[#This Row],[Type of change]], "Edit")),B2243)</f>
        <v>3</v>
      </c>
      <c r="C2244" s="20">
        <v>44841</v>
      </c>
      <c r="D2244" s="2" t="s">
        <v>2430</v>
      </c>
      <c r="E2244" t="s">
        <v>15</v>
      </c>
      <c r="F2244" t="s">
        <v>9</v>
      </c>
      <c r="G2244" t="s">
        <v>2433</v>
      </c>
      <c r="H2244" t="s">
        <v>58</v>
      </c>
      <c r="I2244" t="s">
        <v>1963</v>
      </c>
      <c r="K2244" s="3" t="s">
        <v>2431</v>
      </c>
      <c r="L2244" s="3" t="s">
        <v>2432</v>
      </c>
      <c r="M2244" s="3"/>
    </row>
    <row r="2245" spans="1:13">
      <c r="A2245" t="s">
        <v>28</v>
      </c>
      <c r="B2245">
        <f ca="1">IF(OR(changes[[#This Row],[Type]]="Checklist",changes[[#This Row],[Type]]="checklist-flat"),1+IF(changes[[#This Row],[Type of change]] = "Edit",COUNTIFS($I$4:changes[[#This Row],[Name]],changes[[#This Row],[Name]], $E$4:changes[[#This Row],[Type of change]], "Edit")),B2244)</f>
        <v>3</v>
      </c>
      <c r="C2245" s="20">
        <v>44841</v>
      </c>
      <c r="D2245" s="2" t="s">
        <v>2430</v>
      </c>
      <c r="E2245" t="s">
        <v>15</v>
      </c>
      <c r="F2245" t="s">
        <v>9</v>
      </c>
      <c r="G2245" t="s">
        <v>2433</v>
      </c>
      <c r="H2245" t="s">
        <v>49</v>
      </c>
      <c r="I2245" t="s">
        <v>70</v>
      </c>
      <c r="K2245" s="3" t="s">
        <v>2431</v>
      </c>
      <c r="L2245" s="3" t="s">
        <v>2432</v>
      </c>
      <c r="M2245" s="3"/>
    </row>
    <row r="2246" spans="1:13">
      <c r="A2246" t="s">
        <v>28</v>
      </c>
      <c r="B2246">
        <f ca="1">IF(OR(changes[[#This Row],[Type]]="Checklist",changes[[#This Row],[Type]]="checklist-flat"),1+IF(changes[[#This Row],[Type of change]] = "Edit",COUNTIFS($I$4:changes[[#This Row],[Name]],changes[[#This Row],[Name]], $E$4:changes[[#This Row],[Type of change]], "Edit")),B2245)</f>
        <v>3</v>
      </c>
      <c r="C2246" s="20">
        <v>44841</v>
      </c>
      <c r="D2246" s="2" t="s">
        <v>2430</v>
      </c>
      <c r="E2246" t="s">
        <v>15</v>
      </c>
      <c r="F2246" t="s">
        <v>9</v>
      </c>
      <c r="G2246" t="s">
        <v>2433</v>
      </c>
      <c r="H2246" t="s">
        <v>49</v>
      </c>
      <c r="I2246" t="s">
        <v>71</v>
      </c>
      <c r="K2246" s="3" t="s">
        <v>2431</v>
      </c>
      <c r="L2246" s="3" t="s">
        <v>2432</v>
      </c>
      <c r="M2246" s="3"/>
    </row>
    <row r="2247" spans="1:13">
      <c r="A2247" t="s">
        <v>28</v>
      </c>
      <c r="B2247">
        <f ca="1">IF(OR(changes[[#This Row],[Type]]="Checklist",changes[[#This Row],[Type]]="checklist-flat"),1+IF(changes[[#This Row],[Type of change]] = "Edit",COUNTIFS($I$4:changes[[#This Row],[Name]],changes[[#This Row],[Name]], $E$4:changes[[#This Row],[Type of change]], "Edit")),B2246)</f>
        <v>3</v>
      </c>
      <c r="C2247" s="20">
        <v>44841</v>
      </c>
      <c r="D2247" s="2" t="s">
        <v>2430</v>
      </c>
      <c r="E2247" t="s">
        <v>15</v>
      </c>
      <c r="F2247" t="s">
        <v>9</v>
      </c>
      <c r="G2247" t="s">
        <v>2433</v>
      </c>
      <c r="H2247" t="s">
        <v>49</v>
      </c>
      <c r="I2247" t="s">
        <v>72</v>
      </c>
      <c r="K2247" s="3" t="s">
        <v>2431</v>
      </c>
      <c r="L2247" s="3" t="s">
        <v>2432</v>
      </c>
      <c r="M2247" s="3"/>
    </row>
    <row r="2248" spans="1:13">
      <c r="A2248" t="s">
        <v>28</v>
      </c>
      <c r="B2248">
        <f ca="1">IF(OR(changes[[#This Row],[Type]]="Checklist",changes[[#This Row],[Type]]="checklist-flat"),1+IF(changes[[#This Row],[Type of change]] = "Edit",COUNTIFS($I$4:changes[[#This Row],[Name]],changes[[#This Row],[Name]], $E$4:changes[[#This Row],[Type of change]], "Edit")),B2247)</f>
        <v>3</v>
      </c>
      <c r="C2248" s="20">
        <v>44841</v>
      </c>
      <c r="D2248" s="2" t="s">
        <v>2430</v>
      </c>
      <c r="E2248" t="s">
        <v>15</v>
      </c>
      <c r="F2248" t="s">
        <v>9</v>
      </c>
      <c r="G2248" t="s">
        <v>2433</v>
      </c>
      <c r="H2248" t="s">
        <v>49</v>
      </c>
      <c r="I2248" t="s">
        <v>57</v>
      </c>
      <c r="K2248" s="3" t="s">
        <v>2431</v>
      </c>
      <c r="L2248" s="3" t="s">
        <v>2432</v>
      </c>
      <c r="M2248" s="3"/>
    </row>
    <row r="2249" spans="1:13">
      <c r="A2249" t="s">
        <v>28</v>
      </c>
      <c r="B2249">
        <f ca="1">IF(OR(changes[[#This Row],[Type]]="Checklist",changes[[#This Row],[Type]]="checklist-flat"),1+IF(changes[[#This Row],[Type of change]] = "Edit",COUNTIFS($I$4:changes[[#This Row],[Name]],changes[[#This Row],[Name]], $E$4:changes[[#This Row],[Type of change]], "Edit")),B2248)</f>
        <v>3</v>
      </c>
      <c r="C2249" s="20">
        <v>44841</v>
      </c>
      <c r="D2249" s="2" t="s">
        <v>2430</v>
      </c>
      <c r="E2249" t="s">
        <v>15</v>
      </c>
      <c r="F2249" t="s">
        <v>9</v>
      </c>
      <c r="G2249" t="s">
        <v>2433</v>
      </c>
      <c r="H2249" t="s">
        <v>58</v>
      </c>
      <c r="I2249" t="s">
        <v>59</v>
      </c>
      <c r="K2249" s="3" t="s">
        <v>2431</v>
      </c>
      <c r="L2249" s="3" t="s">
        <v>2432</v>
      </c>
      <c r="M2249" s="3"/>
    </row>
    <row r="2250" spans="1:13">
      <c r="A2250" t="s">
        <v>16</v>
      </c>
      <c r="B2250">
        <v>2</v>
      </c>
      <c r="C2250" s="20">
        <v>44841</v>
      </c>
      <c r="D2250" s="2" t="s">
        <v>2434</v>
      </c>
      <c r="E2250" t="s">
        <v>15</v>
      </c>
      <c r="F2250" s="14" t="s">
        <v>9</v>
      </c>
      <c r="G2250" s="14" t="s">
        <v>745</v>
      </c>
      <c r="H2250" s="30" t="s">
        <v>119</v>
      </c>
      <c r="I2250" s="14" t="s">
        <v>745</v>
      </c>
      <c r="J2250" s="39"/>
      <c r="K2250" s="3" t="s">
        <v>2431</v>
      </c>
      <c r="L2250" s="3" t="s">
        <v>2435</v>
      </c>
      <c r="M2250" s="3" t="s">
        <v>2436</v>
      </c>
    </row>
    <row r="2251" spans="1:13" ht="15.75">
      <c r="A2251" t="s">
        <v>16</v>
      </c>
      <c r="B2251">
        <f ca="1">IF(OR(changes[[#This Row],[Type]]="Checklist",changes[[#This Row],[Type]]="checklist-flat"),1+IF(changes[[#This Row],[Type of change]] = "Edit",COUNTIFS($I$4:changes[[#This Row],[Name]],changes[[#This Row],[Name]], $E$4:changes[[#This Row],[Type of change]], "Edit")),B2250)</f>
        <v>2</v>
      </c>
      <c r="C2251" s="20">
        <v>44841</v>
      </c>
      <c r="D2251" s="2" t="s">
        <v>2434</v>
      </c>
      <c r="E2251" t="s">
        <v>15</v>
      </c>
      <c r="F2251" s="14" t="s">
        <v>9</v>
      </c>
      <c r="G2251" s="14" t="s">
        <v>745</v>
      </c>
      <c r="H2251" s="30" t="s">
        <v>120</v>
      </c>
      <c r="I2251" s="38" t="s">
        <v>2437</v>
      </c>
      <c r="J2251" s="39"/>
      <c r="K2251" s="3" t="s">
        <v>2431</v>
      </c>
      <c r="L2251" s="3" t="s">
        <v>2435</v>
      </c>
      <c r="M2251" s="3"/>
    </row>
    <row r="2252" spans="1:13" ht="15.75">
      <c r="A2252" t="s">
        <v>16</v>
      </c>
      <c r="B2252">
        <f ca="1">IF(OR(changes[[#This Row],[Type]]="Checklist",changes[[#This Row],[Type]]="checklist-flat"),1+IF(changes[[#This Row],[Type of change]] = "Edit",COUNTIFS($I$4:changes[[#This Row],[Name]],changes[[#This Row],[Name]], $E$4:changes[[#This Row],[Type of change]], "Edit")),B2251)</f>
        <v>2</v>
      </c>
      <c r="C2252" s="20">
        <v>44841</v>
      </c>
      <c r="D2252" s="2" t="s">
        <v>2434</v>
      </c>
      <c r="E2252" t="s">
        <v>15</v>
      </c>
      <c r="F2252" s="14" t="s">
        <v>9</v>
      </c>
      <c r="G2252" s="14" t="s">
        <v>745</v>
      </c>
      <c r="H2252" s="3" t="s">
        <v>49</v>
      </c>
      <c r="I2252" s="24" t="s">
        <v>2438</v>
      </c>
      <c r="J2252" s="40"/>
      <c r="K2252" s="3" t="s">
        <v>2431</v>
      </c>
      <c r="L2252" s="3" t="s">
        <v>2435</v>
      </c>
      <c r="M2252" s="3"/>
    </row>
    <row r="2253" spans="1:13" ht="15.75">
      <c r="A2253" t="s">
        <v>16</v>
      </c>
      <c r="B2253">
        <f ca="1">IF(OR(changes[[#This Row],[Type]]="Checklist",changes[[#This Row],[Type]]="checklist-flat"),1+IF(changes[[#This Row],[Type of change]] = "Edit",COUNTIFS($I$4:changes[[#This Row],[Name]],changes[[#This Row],[Name]], $E$4:changes[[#This Row],[Type of change]], "Edit")),B2252)</f>
        <v>2</v>
      </c>
      <c r="C2253" s="20">
        <v>44841</v>
      </c>
      <c r="D2253" s="2" t="s">
        <v>2434</v>
      </c>
      <c r="E2253" t="s">
        <v>15</v>
      </c>
      <c r="F2253" s="14" t="s">
        <v>9</v>
      </c>
      <c r="G2253" s="14" t="s">
        <v>745</v>
      </c>
      <c r="H2253" s="3" t="s">
        <v>49</v>
      </c>
      <c r="I2253" s="24" t="s">
        <v>741</v>
      </c>
      <c r="J2253" s="40"/>
      <c r="K2253" s="3" t="s">
        <v>2431</v>
      </c>
      <c r="L2253" s="3" t="s">
        <v>2435</v>
      </c>
      <c r="M2253" s="3"/>
    </row>
    <row r="2254" spans="1:13" ht="15.75">
      <c r="A2254" t="s">
        <v>16</v>
      </c>
      <c r="B2254">
        <f ca="1">IF(OR(changes[[#This Row],[Type]]="Checklist",changes[[#This Row],[Type]]="checklist-flat"),1+IF(changes[[#This Row],[Type of change]] = "Edit",COUNTIFS($I$4:changes[[#This Row],[Name]],changes[[#This Row],[Name]], $E$4:changes[[#This Row],[Type of change]], "Edit")),B2253)</f>
        <v>2</v>
      </c>
      <c r="C2254" s="20">
        <v>44841</v>
      </c>
      <c r="D2254" s="2" t="s">
        <v>2434</v>
      </c>
      <c r="E2254" t="s">
        <v>15</v>
      </c>
      <c r="F2254" s="14" t="s">
        <v>9</v>
      </c>
      <c r="G2254" s="14" t="s">
        <v>745</v>
      </c>
      <c r="H2254" s="3" t="s">
        <v>49</v>
      </c>
      <c r="I2254" s="24" t="s">
        <v>736</v>
      </c>
      <c r="J2254" s="40"/>
      <c r="K2254" s="3" t="s">
        <v>2431</v>
      </c>
      <c r="L2254" s="3" t="s">
        <v>2435</v>
      </c>
      <c r="M2254" s="3"/>
    </row>
    <row r="2255" spans="1:13" ht="15.75">
      <c r="A2255" t="s">
        <v>16</v>
      </c>
      <c r="B2255">
        <f ca="1">IF(OR(changes[[#This Row],[Type]]="Checklist",changes[[#This Row],[Type]]="checklist-flat"),1+IF(changes[[#This Row],[Type of change]] = "Edit",COUNTIFS($I$4:changes[[#This Row],[Name]],changes[[#This Row],[Name]], $E$4:changes[[#This Row],[Type of change]], "Edit")),B2254)</f>
        <v>2</v>
      </c>
      <c r="C2255" s="20">
        <v>44841</v>
      </c>
      <c r="D2255" s="2" t="s">
        <v>2434</v>
      </c>
      <c r="E2255" t="s">
        <v>15</v>
      </c>
      <c r="F2255" s="14" t="s">
        <v>9</v>
      </c>
      <c r="G2255" s="14" t="s">
        <v>745</v>
      </c>
      <c r="H2255" s="3" t="s">
        <v>120</v>
      </c>
      <c r="I2255" s="24" t="s">
        <v>690</v>
      </c>
      <c r="J2255" s="40"/>
      <c r="K2255" s="3" t="s">
        <v>2431</v>
      </c>
      <c r="L2255" s="3" t="s">
        <v>2435</v>
      </c>
      <c r="M2255" s="3"/>
    </row>
    <row r="2256" spans="1:13" ht="15.75">
      <c r="A2256" t="s">
        <v>16</v>
      </c>
      <c r="B2256">
        <f ca="1">IF(OR(changes[[#This Row],[Type]]="Checklist",changes[[#This Row],[Type]]="checklist-flat"),1+IF(changes[[#This Row],[Type of change]] = "Edit",COUNTIFS($I$4:changes[[#This Row],[Name]],changes[[#This Row],[Name]], $E$4:changes[[#This Row],[Type of change]], "Edit")),B2255)</f>
        <v>2</v>
      </c>
      <c r="C2256" s="20">
        <v>44841</v>
      </c>
      <c r="D2256" s="2" t="s">
        <v>2434</v>
      </c>
      <c r="E2256" t="s">
        <v>15</v>
      </c>
      <c r="F2256" s="14" t="s">
        <v>9</v>
      </c>
      <c r="G2256" s="14" t="s">
        <v>745</v>
      </c>
      <c r="H2256" s="3" t="s">
        <v>49</v>
      </c>
      <c r="I2256" s="24" t="s">
        <v>737</v>
      </c>
      <c r="J2256" s="40"/>
      <c r="K2256" s="3" t="s">
        <v>2431</v>
      </c>
      <c r="L2256" s="3" t="s">
        <v>2435</v>
      </c>
      <c r="M2256" s="3"/>
    </row>
    <row r="2257" spans="1:13" ht="15.75">
      <c r="A2257" t="s">
        <v>16</v>
      </c>
      <c r="B2257">
        <f ca="1">IF(OR(changes[[#This Row],[Type]]="Checklist",changes[[#This Row],[Type]]="checklist-flat"),1+IF(changes[[#This Row],[Type of change]] = "Edit",COUNTIFS($I$4:changes[[#This Row],[Name]],changes[[#This Row],[Name]], $E$4:changes[[#This Row],[Type of change]], "Edit")),B2256)</f>
        <v>2</v>
      </c>
      <c r="C2257" s="20">
        <v>44841</v>
      </c>
      <c r="D2257" s="2" t="s">
        <v>2434</v>
      </c>
      <c r="E2257" t="s">
        <v>15</v>
      </c>
      <c r="F2257" s="14" t="s">
        <v>9</v>
      </c>
      <c r="G2257" s="14" t="s">
        <v>745</v>
      </c>
      <c r="H2257" s="3" t="s">
        <v>49</v>
      </c>
      <c r="I2257" s="24" t="s">
        <v>1702</v>
      </c>
      <c r="J2257" s="40"/>
      <c r="K2257" s="3" t="s">
        <v>2431</v>
      </c>
      <c r="L2257" s="3" t="s">
        <v>2435</v>
      </c>
      <c r="M2257" s="3"/>
    </row>
    <row r="2258" spans="1:13" ht="15.75">
      <c r="A2258" t="s">
        <v>16</v>
      </c>
      <c r="B2258">
        <f ca="1">IF(OR(changes[[#This Row],[Type]]="Checklist",changes[[#This Row],[Type]]="checklist-flat"),1+IF(changes[[#This Row],[Type of change]] = "Edit",COUNTIFS($I$4:changes[[#This Row],[Name]],changes[[#This Row],[Name]], $E$4:changes[[#This Row],[Type of change]], "Edit")),B2257)</f>
        <v>2</v>
      </c>
      <c r="C2258" s="20">
        <v>44841</v>
      </c>
      <c r="D2258" s="2" t="s">
        <v>2434</v>
      </c>
      <c r="E2258" t="s">
        <v>15</v>
      </c>
      <c r="F2258" s="14" t="s">
        <v>9</v>
      </c>
      <c r="G2258" s="14" t="s">
        <v>745</v>
      </c>
      <c r="H2258" s="3" t="s">
        <v>49</v>
      </c>
      <c r="I2258" s="24" t="s">
        <v>719</v>
      </c>
      <c r="J2258" s="40"/>
      <c r="K2258" s="3" t="s">
        <v>2431</v>
      </c>
      <c r="L2258" s="3" t="s">
        <v>2435</v>
      </c>
      <c r="M2258" s="3"/>
    </row>
    <row r="2259" spans="1:13">
      <c r="A2259" t="s">
        <v>16</v>
      </c>
      <c r="B2259">
        <f ca="1">IF(OR(changes[[#This Row],[Type]]="Checklist",changes[[#This Row],[Type]]="checklist-flat"),1+IF(changes[[#This Row],[Type of change]] = "Edit",COUNTIFS($I$4:changes[[#This Row],[Name]],changes[[#This Row],[Name]], $E$4:changes[[#This Row],[Type of change]], "Edit")),B2258)</f>
        <v>2</v>
      </c>
      <c r="C2259" s="20">
        <v>44841</v>
      </c>
      <c r="D2259" s="2" t="s">
        <v>2434</v>
      </c>
      <c r="E2259" t="s">
        <v>15</v>
      </c>
      <c r="F2259" s="14" t="s">
        <v>9</v>
      </c>
      <c r="G2259" s="14" t="s">
        <v>745</v>
      </c>
      <c r="H2259" s="3" t="s">
        <v>49</v>
      </c>
      <c r="I2259" s="47" t="s">
        <v>722</v>
      </c>
      <c r="J2259" s="40"/>
      <c r="K2259" s="3" t="s">
        <v>2431</v>
      </c>
      <c r="L2259" s="3" t="s">
        <v>2435</v>
      </c>
      <c r="M2259" s="3"/>
    </row>
    <row r="2260" spans="1:13" ht="15.75">
      <c r="A2260" t="s">
        <v>16</v>
      </c>
      <c r="B2260">
        <f ca="1">IF(OR(changes[[#This Row],[Type]]="Checklist",changes[[#This Row],[Type]]="checklist-flat"),1+IF(changes[[#This Row],[Type of change]] = "Edit",COUNTIFS($I$4:changes[[#This Row],[Name]],changes[[#This Row],[Name]], $E$4:changes[[#This Row],[Type of change]], "Edit")),B2259)</f>
        <v>2</v>
      </c>
      <c r="C2260" s="20">
        <v>44841</v>
      </c>
      <c r="D2260" s="2" t="s">
        <v>2434</v>
      </c>
      <c r="E2260" t="s">
        <v>15</v>
      </c>
      <c r="F2260" s="14" t="s">
        <v>9</v>
      </c>
      <c r="G2260" s="14" t="s">
        <v>745</v>
      </c>
      <c r="H2260" s="3" t="s">
        <v>120</v>
      </c>
      <c r="I2260" s="24" t="s">
        <v>697</v>
      </c>
      <c r="J2260" s="40"/>
      <c r="K2260" s="3" t="s">
        <v>2431</v>
      </c>
      <c r="L2260" s="3" t="s">
        <v>2435</v>
      </c>
      <c r="M2260" s="3"/>
    </row>
    <row r="2261" spans="1:13">
      <c r="A2261" t="s">
        <v>16</v>
      </c>
      <c r="B2261">
        <f ca="1">IF(OR(changes[[#This Row],[Type]]="Checklist",changes[[#This Row],[Type]]="checklist-flat"),1+IF(changes[[#This Row],[Type of change]] = "Edit",COUNTIFS($I$4:changes[[#This Row],[Name]],changes[[#This Row],[Name]], $E$4:changes[[#This Row],[Type of change]], "Edit")),B2260)</f>
        <v>2</v>
      </c>
      <c r="C2261" s="20">
        <v>44841</v>
      </c>
      <c r="D2261" s="2" t="s">
        <v>2434</v>
      </c>
      <c r="E2261" t="s">
        <v>15</v>
      </c>
      <c r="F2261" s="14" t="s">
        <v>9</v>
      </c>
      <c r="G2261" s="14" t="s">
        <v>745</v>
      </c>
      <c r="H2261" s="3" t="s">
        <v>49</v>
      </c>
      <c r="I2261" s="47" t="s">
        <v>1703</v>
      </c>
      <c r="J2261" s="40"/>
      <c r="K2261" s="3" t="s">
        <v>2431</v>
      </c>
      <c r="L2261" s="3" t="s">
        <v>2435</v>
      </c>
      <c r="M2261" s="3"/>
    </row>
    <row r="2262" spans="1:13" ht="15.75">
      <c r="A2262" t="s">
        <v>16</v>
      </c>
      <c r="B2262">
        <f ca="1">IF(OR(changes[[#This Row],[Type]]="Checklist",changes[[#This Row],[Type]]="checklist-flat"),1+IF(changes[[#This Row],[Type of change]] = "Edit",COUNTIFS($I$4:changes[[#This Row],[Name]],changes[[#This Row],[Name]], $E$4:changes[[#This Row],[Type of change]], "Edit")),B2261)</f>
        <v>2</v>
      </c>
      <c r="C2262" s="20">
        <v>44841</v>
      </c>
      <c r="D2262" s="2" t="s">
        <v>2434</v>
      </c>
      <c r="E2262" t="s">
        <v>15</v>
      </c>
      <c r="F2262" s="14" t="s">
        <v>9</v>
      </c>
      <c r="G2262" s="14" t="s">
        <v>745</v>
      </c>
      <c r="H2262" s="3" t="s">
        <v>49</v>
      </c>
      <c r="I2262" s="24" t="s">
        <v>729</v>
      </c>
      <c r="J2262" s="40"/>
      <c r="K2262" s="3" t="s">
        <v>2431</v>
      </c>
      <c r="L2262" s="3" t="s">
        <v>2435</v>
      </c>
      <c r="M2262" s="3"/>
    </row>
    <row r="2263" spans="1:13" ht="15.75">
      <c r="A2263" t="s">
        <v>16</v>
      </c>
      <c r="B2263">
        <f ca="1">IF(OR(changes[[#This Row],[Type]]="Checklist",changes[[#This Row],[Type]]="checklist-flat"),1+IF(changes[[#This Row],[Type of change]] = "Edit",COUNTIFS($I$4:changes[[#This Row],[Name]],changes[[#This Row],[Name]], $E$4:changes[[#This Row],[Type of change]], "Edit")),B2262)</f>
        <v>2</v>
      </c>
      <c r="C2263" s="20">
        <v>44841</v>
      </c>
      <c r="D2263" s="2" t="s">
        <v>2434</v>
      </c>
      <c r="E2263" t="s">
        <v>15</v>
      </c>
      <c r="F2263" s="14" t="s">
        <v>9</v>
      </c>
      <c r="G2263" s="14" t="s">
        <v>745</v>
      </c>
      <c r="H2263" s="3" t="s">
        <v>120</v>
      </c>
      <c r="I2263" s="24" t="s">
        <v>705</v>
      </c>
      <c r="J2263" s="40"/>
      <c r="K2263" s="3" t="s">
        <v>2431</v>
      </c>
      <c r="L2263" s="3" t="s">
        <v>2435</v>
      </c>
      <c r="M2263" s="3"/>
    </row>
    <row r="2264" spans="1:13" ht="15.75">
      <c r="A2264" t="s">
        <v>16</v>
      </c>
      <c r="B2264">
        <f ca="1">IF(OR(changes[[#This Row],[Type]]="Checklist",changes[[#This Row],[Type]]="checklist-flat"),1+IF(changes[[#This Row],[Type of change]] = "Edit",COUNTIFS($I$4:changes[[#This Row],[Name]],changes[[#This Row],[Name]], $E$4:changes[[#This Row],[Type of change]], "Edit")),B2263)</f>
        <v>2</v>
      </c>
      <c r="C2264" s="20">
        <v>44841</v>
      </c>
      <c r="D2264" s="2" t="s">
        <v>2434</v>
      </c>
      <c r="E2264" t="s">
        <v>15</v>
      </c>
      <c r="F2264" s="14" t="s">
        <v>9</v>
      </c>
      <c r="G2264" s="14" t="s">
        <v>745</v>
      </c>
      <c r="H2264" s="3" t="s">
        <v>49</v>
      </c>
      <c r="I2264" s="24" t="s">
        <v>746</v>
      </c>
      <c r="J2264" s="40"/>
      <c r="K2264" s="3" t="s">
        <v>2431</v>
      </c>
      <c r="L2264" s="3" t="s">
        <v>2435</v>
      </c>
      <c r="M2264" s="3"/>
    </row>
    <row r="2265" spans="1:13" ht="15.75">
      <c r="A2265" t="s">
        <v>16</v>
      </c>
      <c r="B2265">
        <f ca="1">IF(OR(changes[[#This Row],[Type]]="Checklist",changes[[#This Row],[Type]]="checklist-flat"),1+IF(changes[[#This Row],[Type of change]] = "Edit",COUNTIFS($I$4:changes[[#This Row],[Name]],changes[[#This Row],[Name]], $E$4:changes[[#This Row],[Type of change]], "Edit")),B2264)</f>
        <v>2</v>
      </c>
      <c r="C2265" s="20">
        <v>44841</v>
      </c>
      <c r="D2265" s="2" t="s">
        <v>2434</v>
      </c>
      <c r="E2265" t="s">
        <v>15</v>
      </c>
      <c r="F2265" s="14" t="s">
        <v>9</v>
      </c>
      <c r="G2265" s="14" t="s">
        <v>745</v>
      </c>
      <c r="H2265" s="3" t="s">
        <v>49</v>
      </c>
      <c r="I2265" s="24" t="s">
        <v>747</v>
      </c>
      <c r="J2265" s="40"/>
      <c r="K2265" s="3" t="s">
        <v>2431</v>
      </c>
      <c r="L2265" s="3" t="s">
        <v>2435</v>
      </c>
      <c r="M2265" s="3"/>
    </row>
    <row r="2266" spans="1:13" ht="15.75">
      <c r="A2266" t="s">
        <v>16</v>
      </c>
      <c r="B2266">
        <f ca="1">IF(OR(changes[[#This Row],[Type]]="Checklist",changes[[#This Row],[Type]]="checklist-flat"),1+IF(changes[[#This Row],[Type of change]] = "Edit",COUNTIFS($I$4:changes[[#This Row],[Name]],changes[[#This Row],[Name]], $E$4:changes[[#This Row],[Type of change]], "Edit")),B2265)</f>
        <v>2</v>
      </c>
      <c r="C2266" s="20">
        <v>44841</v>
      </c>
      <c r="D2266" s="2" t="s">
        <v>2434</v>
      </c>
      <c r="E2266" t="s">
        <v>15</v>
      </c>
      <c r="F2266" s="14" t="s">
        <v>9</v>
      </c>
      <c r="G2266" s="14" t="s">
        <v>745</v>
      </c>
      <c r="H2266" s="3" t="s">
        <v>49</v>
      </c>
      <c r="I2266" s="24" t="s">
        <v>732</v>
      </c>
      <c r="J2266" s="40"/>
      <c r="K2266" s="3" t="s">
        <v>2431</v>
      </c>
      <c r="L2266" s="3" t="s">
        <v>2435</v>
      </c>
      <c r="M2266" s="3"/>
    </row>
    <row r="2267" spans="1:13" ht="15.75">
      <c r="A2267" t="s">
        <v>16</v>
      </c>
      <c r="B2267">
        <f ca="1">IF(OR(changes[[#This Row],[Type]]="Checklist",changes[[#This Row],[Type]]="checklist-flat"),1+IF(changes[[#This Row],[Type of change]] = "Edit",COUNTIFS($I$4:changes[[#This Row],[Name]],changes[[#This Row],[Name]], $E$4:changes[[#This Row],[Type of change]], "Edit")),B2266)</f>
        <v>2</v>
      </c>
      <c r="C2267" s="20">
        <v>44841</v>
      </c>
      <c r="D2267" s="2" t="s">
        <v>2434</v>
      </c>
      <c r="E2267" t="s">
        <v>15</v>
      </c>
      <c r="F2267" s="14" t="s">
        <v>9</v>
      </c>
      <c r="G2267" s="14" t="s">
        <v>745</v>
      </c>
      <c r="H2267" s="3" t="s">
        <v>49</v>
      </c>
      <c r="I2267" s="24" t="s">
        <v>57</v>
      </c>
      <c r="J2267" s="40"/>
      <c r="K2267" s="3" t="s">
        <v>2431</v>
      </c>
      <c r="L2267" s="3" t="s">
        <v>2435</v>
      </c>
      <c r="M2267" s="3"/>
    </row>
    <row r="2268" spans="1:13" ht="15.75">
      <c r="A2268" t="s">
        <v>16</v>
      </c>
      <c r="B2268">
        <f ca="1">IF(OR(changes[[#This Row],[Type]]="Checklist",changes[[#This Row],[Type]]="checklist-flat"),1+IF(changes[[#This Row],[Type of change]] = "Edit",COUNTIFS($I$4:changes[[#This Row],[Name]],changes[[#This Row],[Name]], $E$4:changes[[#This Row],[Type of change]], "Edit")),B2267)</f>
        <v>2</v>
      </c>
      <c r="C2268" s="20">
        <v>44841</v>
      </c>
      <c r="D2268" s="2" t="s">
        <v>2434</v>
      </c>
      <c r="E2268" t="s">
        <v>15</v>
      </c>
      <c r="F2268" s="14" t="s">
        <v>9</v>
      </c>
      <c r="G2268" s="14" t="s">
        <v>745</v>
      </c>
      <c r="H2268" s="3" t="s">
        <v>58</v>
      </c>
      <c r="I2268" s="24" t="s">
        <v>59</v>
      </c>
      <c r="J2268" s="40"/>
      <c r="K2268" s="3" t="s">
        <v>2431</v>
      </c>
      <c r="L2268" s="3" t="s">
        <v>2435</v>
      </c>
      <c r="M2268" s="3"/>
    </row>
    <row r="2269" spans="1:13" ht="15.75">
      <c r="A2269" t="s">
        <v>16</v>
      </c>
      <c r="B2269">
        <f ca="1">IF(OR(changes[[#This Row],[Type]]="Checklist",changes[[#This Row],[Type]]="checklist-flat"),1+IF(changes[[#This Row],[Type of change]] = "Edit",COUNTIFS($I$4:changes[[#This Row],[Name]],changes[[#This Row],[Name]], $E$4:changes[[#This Row],[Type of change]], "Edit")),B2268)</f>
        <v>2</v>
      </c>
      <c r="C2269" s="20">
        <v>44841</v>
      </c>
      <c r="D2269" s="2" t="s">
        <v>2434</v>
      </c>
      <c r="E2269" t="s">
        <v>15</v>
      </c>
      <c r="F2269" s="14" t="s">
        <v>9</v>
      </c>
      <c r="G2269" s="14" t="s">
        <v>733</v>
      </c>
      <c r="H2269" s="30" t="s">
        <v>119</v>
      </c>
      <c r="I2269" s="38" t="s">
        <v>733</v>
      </c>
      <c r="J2269" s="39"/>
      <c r="K2269" s="3" t="s">
        <v>2431</v>
      </c>
      <c r="L2269" s="3" t="s">
        <v>2435</v>
      </c>
      <c r="M2269" s="3" t="s">
        <v>2436</v>
      </c>
    </row>
    <row r="2270" spans="1:13" ht="15.75">
      <c r="A2270" t="s">
        <v>16</v>
      </c>
      <c r="B2270">
        <f ca="1">IF(OR(changes[[#This Row],[Type]]="Checklist",changes[[#This Row],[Type]]="checklist-flat"),1+IF(changes[[#This Row],[Type of change]] = "Edit",COUNTIFS($I$4:changes[[#This Row],[Name]],changes[[#This Row],[Name]], $E$4:changes[[#This Row],[Type of change]], "Edit")),B2269)</f>
        <v>2</v>
      </c>
      <c r="C2270" s="20">
        <v>44841</v>
      </c>
      <c r="D2270" s="2" t="s">
        <v>2434</v>
      </c>
      <c r="E2270" t="s">
        <v>15</v>
      </c>
      <c r="F2270" s="14" t="s">
        <v>9</v>
      </c>
      <c r="G2270" s="14" t="s">
        <v>733</v>
      </c>
      <c r="H2270" s="30" t="s">
        <v>120</v>
      </c>
      <c r="I2270" s="38" t="s">
        <v>685</v>
      </c>
      <c r="J2270" s="39"/>
      <c r="K2270" s="3" t="s">
        <v>2431</v>
      </c>
      <c r="L2270" s="3" t="s">
        <v>2435</v>
      </c>
      <c r="M2270" s="3"/>
    </row>
    <row r="2271" spans="1:13" ht="15.75">
      <c r="A2271" t="s">
        <v>16</v>
      </c>
      <c r="B2271">
        <f ca="1">IF(OR(changes[[#This Row],[Type]]="Checklist",changes[[#This Row],[Type]]="checklist-flat"),1+IF(changes[[#This Row],[Type of change]] = "Edit",COUNTIFS($I$4:changes[[#This Row],[Name]],changes[[#This Row],[Name]], $E$4:changes[[#This Row],[Type of change]], "Edit")),B2270)</f>
        <v>2</v>
      </c>
      <c r="C2271" s="20">
        <v>44841</v>
      </c>
      <c r="D2271" s="2" t="s">
        <v>2434</v>
      </c>
      <c r="E2271" t="s">
        <v>15</v>
      </c>
      <c r="F2271" s="14" t="s">
        <v>9</v>
      </c>
      <c r="G2271" s="14" t="s">
        <v>733</v>
      </c>
      <c r="H2271" s="30" t="s">
        <v>49</v>
      </c>
      <c r="I2271" s="38" t="s">
        <v>2438</v>
      </c>
      <c r="J2271" s="39"/>
      <c r="K2271" s="3" t="s">
        <v>2431</v>
      </c>
      <c r="L2271" s="3" t="s">
        <v>2435</v>
      </c>
      <c r="M2271" s="3"/>
    </row>
    <row r="2272" spans="1:13" ht="15.75">
      <c r="A2272" t="s">
        <v>16</v>
      </c>
      <c r="B2272">
        <f ca="1">IF(OR(changes[[#This Row],[Type]]="Checklist",changes[[#This Row],[Type]]="checklist-flat"),1+IF(changes[[#This Row],[Type of change]] = "Edit",COUNTIFS($I$4:changes[[#This Row],[Name]],changes[[#This Row],[Name]], $E$4:changes[[#This Row],[Type of change]], "Edit")),B2271)</f>
        <v>2</v>
      </c>
      <c r="C2272" s="20">
        <v>44841</v>
      </c>
      <c r="D2272" s="2" t="s">
        <v>2434</v>
      </c>
      <c r="E2272" t="s">
        <v>15</v>
      </c>
      <c r="F2272" s="14" t="s">
        <v>9</v>
      </c>
      <c r="G2272" s="14" t="s">
        <v>733</v>
      </c>
      <c r="H2272" s="3" t="s">
        <v>49</v>
      </c>
      <c r="I2272" s="24" t="s">
        <v>741</v>
      </c>
      <c r="J2272" s="40"/>
      <c r="K2272" s="3" t="s">
        <v>2431</v>
      </c>
      <c r="L2272" s="3" t="s">
        <v>2435</v>
      </c>
      <c r="M2272" s="3"/>
    </row>
    <row r="2273" spans="1:13" ht="15.75">
      <c r="A2273" t="s">
        <v>16</v>
      </c>
      <c r="B2273">
        <f ca="1">IF(OR(changes[[#This Row],[Type]]="Checklist",changes[[#This Row],[Type]]="checklist-flat"),1+IF(changes[[#This Row],[Type of change]] = "Edit",COUNTIFS($I$4:changes[[#This Row],[Name]],changes[[#This Row],[Name]], $E$4:changes[[#This Row],[Type of change]], "Edit")),B2272)</f>
        <v>2</v>
      </c>
      <c r="C2273" s="20">
        <v>44841</v>
      </c>
      <c r="D2273" s="2" t="s">
        <v>2434</v>
      </c>
      <c r="E2273" t="s">
        <v>15</v>
      </c>
      <c r="F2273" s="14" t="s">
        <v>9</v>
      </c>
      <c r="G2273" s="14" t="s">
        <v>733</v>
      </c>
      <c r="H2273" s="3" t="s">
        <v>49</v>
      </c>
      <c r="I2273" s="24" t="s">
        <v>736</v>
      </c>
      <c r="J2273" s="40"/>
      <c r="K2273" s="3" t="s">
        <v>2431</v>
      </c>
      <c r="L2273" s="3" t="s">
        <v>2435</v>
      </c>
      <c r="M2273" s="3"/>
    </row>
    <row r="2274" spans="1:13" ht="15.75">
      <c r="A2274" t="s">
        <v>16</v>
      </c>
      <c r="B2274">
        <f ca="1">IF(OR(changes[[#This Row],[Type]]="Checklist",changes[[#This Row],[Type]]="checklist-flat"),1+IF(changes[[#This Row],[Type of change]] = "Edit",COUNTIFS($I$4:changes[[#This Row],[Name]],changes[[#This Row],[Name]], $E$4:changes[[#This Row],[Type of change]], "Edit")),B2273)</f>
        <v>2</v>
      </c>
      <c r="C2274" s="20">
        <v>44841</v>
      </c>
      <c r="D2274" s="2" t="s">
        <v>2434</v>
      </c>
      <c r="E2274" t="s">
        <v>15</v>
      </c>
      <c r="F2274" s="14" t="s">
        <v>9</v>
      </c>
      <c r="G2274" s="14" t="s">
        <v>733</v>
      </c>
      <c r="H2274" s="30" t="s">
        <v>120</v>
      </c>
      <c r="I2274" s="38" t="s">
        <v>690</v>
      </c>
      <c r="J2274" s="39"/>
      <c r="K2274" s="3" t="s">
        <v>2431</v>
      </c>
      <c r="L2274" s="3" t="s">
        <v>2435</v>
      </c>
      <c r="M2274" s="3"/>
    </row>
    <row r="2275" spans="1:13" ht="15.75">
      <c r="A2275" t="s">
        <v>16</v>
      </c>
      <c r="B2275">
        <f ca="1">IF(OR(changes[[#This Row],[Type]]="Checklist",changes[[#This Row],[Type]]="checklist-flat"),1+IF(changes[[#This Row],[Type of change]] = "Edit",COUNTIFS($I$4:changes[[#This Row],[Name]],changes[[#This Row],[Name]], $E$4:changes[[#This Row],[Type of change]], "Edit")),B2274)</f>
        <v>2</v>
      </c>
      <c r="C2275" s="20">
        <v>44841</v>
      </c>
      <c r="D2275" s="2" t="s">
        <v>2434</v>
      </c>
      <c r="E2275" t="s">
        <v>15</v>
      </c>
      <c r="F2275" s="14" t="s">
        <v>9</v>
      </c>
      <c r="G2275" s="14" t="s">
        <v>733</v>
      </c>
      <c r="H2275" s="3" t="s">
        <v>49</v>
      </c>
      <c r="I2275" s="24" t="s">
        <v>737</v>
      </c>
      <c r="J2275" s="40"/>
      <c r="K2275" s="3" t="s">
        <v>2431</v>
      </c>
      <c r="L2275" s="3" t="s">
        <v>2435</v>
      </c>
      <c r="M2275" s="3"/>
    </row>
    <row r="2276" spans="1:13" ht="15.75">
      <c r="A2276" t="s">
        <v>16</v>
      </c>
      <c r="B2276">
        <f ca="1">IF(OR(changes[[#This Row],[Type]]="Checklist",changes[[#This Row],[Type]]="checklist-flat"),1+IF(changes[[#This Row],[Type of change]] = "Edit",COUNTIFS($I$4:changes[[#This Row],[Name]],changes[[#This Row],[Name]], $E$4:changes[[#This Row],[Type of change]], "Edit")),B2275)</f>
        <v>2</v>
      </c>
      <c r="C2276" s="20">
        <v>44841</v>
      </c>
      <c r="D2276" s="2" t="s">
        <v>2434</v>
      </c>
      <c r="E2276" t="s">
        <v>15</v>
      </c>
      <c r="F2276" s="14" t="s">
        <v>9</v>
      </c>
      <c r="G2276" s="14" t="s">
        <v>733</v>
      </c>
      <c r="H2276" s="3" t="s">
        <v>49</v>
      </c>
      <c r="I2276" s="24" t="s">
        <v>1702</v>
      </c>
      <c r="J2276" s="40"/>
      <c r="K2276" s="3" t="s">
        <v>2431</v>
      </c>
      <c r="L2276" s="3" t="s">
        <v>2435</v>
      </c>
      <c r="M2276" s="3"/>
    </row>
    <row r="2277" spans="1:13" ht="15.75">
      <c r="A2277" t="s">
        <v>16</v>
      </c>
      <c r="B2277">
        <f ca="1">IF(OR(changes[[#This Row],[Type]]="Checklist",changes[[#This Row],[Type]]="checklist-flat"),1+IF(changes[[#This Row],[Type of change]] = "Edit",COUNTIFS($I$4:changes[[#This Row],[Name]],changes[[#This Row],[Name]], $E$4:changes[[#This Row],[Type of change]], "Edit")),B2276)</f>
        <v>2</v>
      </c>
      <c r="C2277" s="20">
        <v>44841</v>
      </c>
      <c r="D2277" s="2" t="s">
        <v>2434</v>
      </c>
      <c r="E2277" t="s">
        <v>15</v>
      </c>
      <c r="F2277" s="14" t="s">
        <v>9</v>
      </c>
      <c r="G2277" s="14" t="s">
        <v>733</v>
      </c>
      <c r="H2277" s="3" t="s">
        <v>49</v>
      </c>
      <c r="I2277" s="24" t="s">
        <v>719</v>
      </c>
      <c r="J2277" s="40"/>
      <c r="K2277" s="3" t="s">
        <v>2431</v>
      </c>
      <c r="L2277" s="3" t="s">
        <v>2435</v>
      </c>
      <c r="M2277" s="3"/>
    </row>
    <row r="2278" spans="1:13" ht="15.75">
      <c r="A2278" t="s">
        <v>16</v>
      </c>
      <c r="B2278">
        <f ca="1">IF(OR(changes[[#This Row],[Type]]="Checklist",changes[[#This Row],[Type]]="checklist-flat"),1+IF(changes[[#This Row],[Type of change]] = "Edit",COUNTIFS($I$4:changes[[#This Row],[Name]],changes[[#This Row],[Name]], $E$4:changes[[#This Row],[Type of change]], "Edit")),B2277)</f>
        <v>2</v>
      </c>
      <c r="C2278" s="20">
        <v>44841</v>
      </c>
      <c r="D2278" s="2" t="s">
        <v>2434</v>
      </c>
      <c r="E2278" t="s">
        <v>15</v>
      </c>
      <c r="F2278" s="14" t="s">
        <v>9</v>
      </c>
      <c r="G2278" s="14" t="s">
        <v>733</v>
      </c>
      <c r="H2278" s="3" t="s">
        <v>49</v>
      </c>
      <c r="I2278" s="24" t="s">
        <v>722</v>
      </c>
      <c r="J2278" s="40"/>
      <c r="K2278" s="3" t="s">
        <v>2431</v>
      </c>
      <c r="L2278" s="3" t="s">
        <v>2435</v>
      </c>
      <c r="M2278" s="3"/>
    </row>
    <row r="2279" spans="1:13" ht="15.75">
      <c r="A2279" t="s">
        <v>16</v>
      </c>
      <c r="B2279">
        <f ca="1">IF(OR(changes[[#This Row],[Type]]="Checklist",changes[[#This Row],[Type]]="checklist-flat"),1+IF(changes[[#This Row],[Type of change]] = "Edit",COUNTIFS($I$4:changes[[#This Row],[Name]],changes[[#This Row],[Name]], $E$4:changes[[#This Row],[Type of change]], "Edit")),B2278)</f>
        <v>2</v>
      </c>
      <c r="C2279" s="20">
        <v>44841</v>
      </c>
      <c r="D2279" s="2" t="s">
        <v>2434</v>
      </c>
      <c r="E2279" t="s">
        <v>15</v>
      </c>
      <c r="F2279" s="14" t="s">
        <v>9</v>
      </c>
      <c r="G2279" s="14" t="s">
        <v>733</v>
      </c>
      <c r="H2279" s="30" t="s">
        <v>120</v>
      </c>
      <c r="I2279" s="38" t="s">
        <v>697</v>
      </c>
      <c r="J2279" s="39"/>
      <c r="K2279" s="3" t="s">
        <v>2431</v>
      </c>
      <c r="L2279" s="3" t="s">
        <v>2435</v>
      </c>
      <c r="M2279" s="3"/>
    </row>
    <row r="2280" spans="1:13" ht="15.75">
      <c r="A2280" t="s">
        <v>16</v>
      </c>
      <c r="B2280">
        <f ca="1">IF(OR(changes[[#This Row],[Type]]="Checklist",changes[[#This Row],[Type]]="checklist-flat"),1+IF(changes[[#This Row],[Type of change]] = "Edit",COUNTIFS($I$4:changes[[#This Row],[Name]],changes[[#This Row],[Name]], $E$4:changes[[#This Row],[Type of change]], "Edit")),B2279)</f>
        <v>2</v>
      </c>
      <c r="C2280" s="20">
        <v>44841</v>
      </c>
      <c r="D2280" s="2" t="s">
        <v>2434</v>
      </c>
      <c r="E2280" t="s">
        <v>15</v>
      </c>
      <c r="F2280" s="14" t="s">
        <v>9</v>
      </c>
      <c r="G2280" s="14" t="s">
        <v>733</v>
      </c>
      <c r="H2280" s="3" t="s">
        <v>49</v>
      </c>
      <c r="I2280" s="24" t="s">
        <v>1703</v>
      </c>
      <c r="J2280" s="40"/>
      <c r="K2280" s="3" t="s">
        <v>2431</v>
      </c>
      <c r="L2280" s="3" t="s">
        <v>2435</v>
      </c>
      <c r="M2280" s="3"/>
    </row>
    <row r="2281" spans="1:13" ht="15.75">
      <c r="A2281" t="s">
        <v>16</v>
      </c>
      <c r="B2281">
        <f ca="1">IF(OR(changes[[#This Row],[Type]]="Checklist",changes[[#This Row],[Type]]="checklist-flat"),1+IF(changes[[#This Row],[Type of change]] = "Edit",COUNTIFS($I$4:changes[[#This Row],[Name]],changes[[#This Row],[Name]], $E$4:changes[[#This Row],[Type of change]], "Edit")),B2280)</f>
        <v>2</v>
      </c>
      <c r="C2281" s="20">
        <v>44841</v>
      </c>
      <c r="D2281" s="2" t="s">
        <v>2434</v>
      </c>
      <c r="E2281" t="s">
        <v>15</v>
      </c>
      <c r="F2281" s="14" t="s">
        <v>9</v>
      </c>
      <c r="G2281" s="14" t="s">
        <v>733</v>
      </c>
      <c r="H2281" s="3" t="s">
        <v>49</v>
      </c>
      <c r="I2281" s="24" t="s">
        <v>729</v>
      </c>
      <c r="J2281" s="40"/>
      <c r="K2281" s="3" t="s">
        <v>2431</v>
      </c>
      <c r="L2281" s="3" t="s">
        <v>2435</v>
      </c>
      <c r="M2281" s="3"/>
    </row>
    <row r="2282" spans="1:13" ht="15.75">
      <c r="A2282" t="s">
        <v>16</v>
      </c>
      <c r="B2282">
        <f ca="1">IF(OR(changes[[#This Row],[Type]]="Checklist",changes[[#This Row],[Type]]="checklist-flat"),1+IF(changes[[#This Row],[Type of change]] = "Edit",COUNTIFS($I$4:changes[[#This Row],[Name]],changes[[#This Row],[Name]], $E$4:changes[[#This Row],[Type of change]], "Edit")),B2281)</f>
        <v>2</v>
      </c>
      <c r="C2282" s="20">
        <v>44841</v>
      </c>
      <c r="D2282" s="2" t="s">
        <v>2434</v>
      </c>
      <c r="E2282" t="s">
        <v>15</v>
      </c>
      <c r="F2282" s="14" t="s">
        <v>9</v>
      </c>
      <c r="G2282" s="14" t="s">
        <v>733</v>
      </c>
      <c r="H2282" s="30" t="s">
        <v>120</v>
      </c>
      <c r="I2282" s="38" t="s">
        <v>705</v>
      </c>
      <c r="J2282" s="39"/>
      <c r="K2282" s="3" t="s">
        <v>2431</v>
      </c>
      <c r="L2282" s="3" t="s">
        <v>2435</v>
      </c>
      <c r="M2282" s="3"/>
    </row>
    <row r="2283" spans="1:13" ht="15.75">
      <c r="A2283" t="s">
        <v>16</v>
      </c>
      <c r="B2283">
        <f ca="1">IF(OR(changes[[#This Row],[Type]]="Checklist",changes[[#This Row],[Type]]="checklist-flat"),1+IF(changes[[#This Row],[Type of change]] = "Edit",COUNTIFS($I$4:changes[[#This Row],[Name]],changes[[#This Row],[Name]], $E$4:changes[[#This Row],[Type of change]], "Edit")),B2282)</f>
        <v>2</v>
      </c>
      <c r="C2283" s="20">
        <v>44841</v>
      </c>
      <c r="D2283" s="2" t="s">
        <v>2434</v>
      </c>
      <c r="E2283" t="s">
        <v>15</v>
      </c>
      <c r="F2283" s="14" t="s">
        <v>9</v>
      </c>
      <c r="G2283" s="14" t="s">
        <v>733</v>
      </c>
      <c r="H2283" s="30" t="s">
        <v>49</v>
      </c>
      <c r="I2283" s="38" t="s">
        <v>732</v>
      </c>
      <c r="J2283" s="39"/>
      <c r="K2283" s="3" t="s">
        <v>2431</v>
      </c>
      <c r="L2283" s="3" t="s">
        <v>2435</v>
      </c>
      <c r="M2283" s="3"/>
    </row>
    <row r="2284" spans="1:13" ht="15.75">
      <c r="A2284" t="s">
        <v>16</v>
      </c>
      <c r="B2284">
        <f ca="1">IF(OR(changes[[#This Row],[Type]]="Checklist",changes[[#This Row],[Type]]="checklist-flat"),1+IF(changes[[#This Row],[Type of change]] = "Edit",COUNTIFS($I$4:changes[[#This Row],[Name]],changes[[#This Row],[Name]], $E$4:changes[[#This Row],[Type of change]], "Edit")),B2283)</f>
        <v>2</v>
      </c>
      <c r="C2284" s="20">
        <v>44841</v>
      </c>
      <c r="D2284" s="2" t="s">
        <v>2434</v>
      </c>
      <c r="E2284" t="s">
        <v>15</v>
      </c>
      <c r="F2284" s="14" t="s">
        <v>9</v>
      </c>
      <c r="G2284" s="14" t="s">
        <v>733</v>
      </c>
      <c r="H2284" s="30" t="s">
        <v>49</v>
      </c>
      <c r="I2284" s="38" t="s">
        <v>57</v>
      </c>
      <c r="J2284" s="39"/>
      <c r="K2284" s="3" t="s">
        <v>2431</v>
      </c>
      <c r="L2284" s="3" t="s">
        <v>2435</v>
      </c>
      <c r="M2284" s="3"/>
    </row>
    <row r="2285" spans="1:13" ht="15.75">
      <c r="A2285" t="s">
        <v>16</v>
      </c>
      <c r="B2285">
        <f ca="1">IF(OR(changes[[#This Row],[Type]]="Checklist",changes[[#This Row],[Type]]="checklist-flat"),1+IF(changes[[#This Row],[Type of change]] = "Edit",COUNTIFS($I$4:changes[[#This Row],[Name]],changes[[#This Row],[Name]], $E$4:changes[[#This Row],[Type of change]], "Edit")),B2284)</f>
        <v>2</v>
      </c>
      <c r="C2285" s="20">
        <v>44841</v>
      </c>
      <c r="D2285" s="2" t="s">
        <v>2434</v>
      </c>
      <c r="E2285" t="s">
        <v>15</v>
      </c>
      <c r="F2285" s="14" t="s">
        <v>9</v>
      </c>
      <c r="G2285" s="14" t="s">
        <v>733</v>
      </c>
      <c r="H2285" s="30" t="s">
        <v>58</v>
      </c>
      <c r="I2285" s="38" t="s">
        <v>59</v>
      </c>
      <c r="J2285" s="39"/>
      <c r="K2285" s="3" t="s">
        <v>2431</v>
      </c>
      <c r="L2285" s="3" t="s">
        <v>2435</v>
      </c>
      <c r="M2285" s="3"/>
    </row>
    <row r="2286" spans="1:13" ht="15.75">
      <c r="A2286" t="s">
        <v>16</v>
      </c>
      <c r="B2286">
        <f ca="1">IF(OR(changes[[#This Row],[Type]]="Checklist",changes[[#This Row],[Type]]="checklist-flat"),1+IF(changes[[#This Row],[Type of change]] = "Edit",COUNTIFS($I$4:changes[[#This Row],[Name]],changes[[#This Row],[Name]], $E$4:changes[[#This Row],[Type of change]], "Edit")),B2285)</f>
        <v>2</v>
      </c>
      <c r="C2286" s="20">
        <v>44861</v>
      </c>
      <c r="D2286" s="2" t="s">
        <v>2009</v>
      </c>
      <c r="E2286" t="s">
        <v>15</v>
      </c>
      <c r="F2286" s="14" t="s">
        <v>1998</v>
      </c>
      <c r="G2286" s="38" t="s">
        <v>1890</v>
      </c>
      <c r="H2286" s="30" t="s">
        <v>119</v>
      </c>
      <c r="I2286" s="38" t="s">
        <v>1890</v>
      </c>
      <c r="J2286" s="39"/>
      <c r="K2286" s="3"/>
      <c r="M2286" s="3"/>
    </row>
    <row r="2287" spans="1:13" ht="15.75">
      <c r="A2287" t="s">
        <v>16</v>
      </c>
      <c r="B2287">
        <f ca="1">IF(OR(changes[[#This Row],[Type]]="Checklist",changes[[#This Row],[Type]]="checklist-flat"),1+IF(changes[[#This Row],[Type of change]] = "Edit",COUNTIFS($I$4:changes[[#This Row],[Name]],changes[[#This Row],[Name]], $E$4:changes[[#This Row],[Type of change]], "Edit")),B2286)</f>
        <v>2</v>
      </c>
      <c r="C2287" s="20">
        <v>44861</v>
      </c>
      <c r="D2287" s="2" t="s">
        <v>2009</v>
      </c>
      <c r="E2287" t="s">
        <v>15</v>
      </c>
      <c r="F2287" s="14" t="s">
        <v>1998</v>
      </c>
      <c r="G2287" s="38" t="s">
        <v>1890</v>
      </c>
      <c r="H2287" s="3" t="s">
        <v>120</v>
      </c>
      <c r="I2287" s="24" t="s">
        <v>1891</v>
      </c>
      <c r="J2287" s="40"/>
      <c r="K2287" s="3"/>
      <c r="M2287" s="3"/>
    </row>
    <row r="2288" spans="1:13" ht="15.75">
      <c r="A2288" t="s">
        <v>16</v>
      </c>
      <c r="B2288">
        <f ca="1">IF(OR(changes[[#This Row],[Type]]="Checklist",changes[[#This Row],[Type]]="checklist-flat"),1+IF(changes[[#This Row],[Type of change]] = "Edit",COUNTIFS($I$4:changes[[#This Row],[Name]],changes[[#This Row],[Name]], $E$4:changes[[#This Row],[Type of change]], "Edit")),B2287)</f>
        <v>2</v>
      </c>
      <c r="C2288" s="20">
        <v>44861</v>
      </c>
      <c r="D2288" s="2" t="s">
        <v>2009</v>
      </c>
      <c r="E2288" t="s">
        <v>15</v>
      </c>
      <c r="F2288" s="14" t="s">
        <v>1998</v>
      </c>
      <c r="G2288" s="38" t="s">
        <v>1890</v>
      </c>
      <c r="H2288" s="3" t="s">
        <v>1879</v>
      </c>
      <c r="I2288" s="24" t="s">
        <v>1891</v>
      </c>
      <c r="J2288" s="40"/>
      <c r="K2288" s="3"/>
      <c r="M2288" s="3"/>
    </row>
    <row r="2289" spans="1:13" ht="15.75">
      <c r="A2289" t="s">
        <v>16</v>
      </c>
      <c r="B2289">
        <f ca="1">IF(OR(changes[[#This Row],[Type]]="Checklist",changes[[#This Row],[Type]]="checklist-flat"),1+IF(changes[[#This Row],[Type of change]] = "Edit",COUNTIFS($I$4:changes[[#This Row],[Name]],changes[[#This Row],[Name]], $E$4:changes[[#This Row],[Type of change]], "Edit")),B2288)</f>
        <v>2</v>
      </c>
      <c r="C2289" s="20">
        <v>44861</v>
      </c>
      <c r="D2289" s="2" t="s">
        <v>2009</v>
      </c>
      <c r="E2289" t="s">
        <v>15</v>
      </c>
      <c r="F2289" s="14" t="s">
        <v>1998</v>
      </c>
      <c r="G2289" s="38" t="s">
        <v>1890</v>
      </c>
      <c r="H2289" s="3" t="s">
        <v>124</v>
      </c>
      <c r="I2289" s="24" t="s">
        <v>1892</v>
      </c>
      <c r="J2289" s="40"/>
      <c r="K2289" s="3"/>
      <c r="M2289" s="3"/>
    </row>
    <row r="2290" spans="1:13" ht="15.75">
      <c r="A2290" t="s">
        <v>16</v>
      </c>
      <c r="B2290">
        <f ca="1">IF(OR(changes[[#This Row],[Type]]="Checklist",changes[[#This Row],[Type]]="checklist-flat"),1+IF(changes[[#This Row],[Type of change]] = "Edit",COUNTIFS($I$4:changes[[#This Row],[Name]],changes[[#This Row],[Name]], $E$4:changes[[#This Row],[Type of change]], "Edit")),B2289)</f>
        <v>2</v>
      </c>
      <c r="C2290" s="20">
        <v>44861</v>
      </c>
      <c r="D2290" s="2" t="s">
        <v>2009</v>
      </c>
      <c r="E2290" t="s">
        <v>15</v>
      </c>
      <c r="F2290" s="14" t="s">
        <v>1998</v>
      </c>
      <c r="G2290" s="38" t="s">
        <v>1890</v>
      </c>
      <c r="H2290" s="3" t="s">
        <v>66</v>
      </c>
      <c r="I2290" s="24" t="s">
        <v>1893</v>
      </c>
      <c r="J2290" s="40"/>
      <c r="K2290" s="3"/>
      <c r="M2290" s="3"/>
    </row>
    <row r="2291" spans="1:13" ht="15.75">
      <c r="A2291" t="s">
        <v>16</v>
      </c>
      <c r="B2291">
        <f ca="1">IF(OR(changes[[#This Row],[Type]]="Checklist",changes[[#This Row],[Type]]="checklist-flat"),1+IF(changes[[#This Row],[Type of change]] = "Edit",COUNTIFS($I$4:changes[[#This Row],[Name]],changes[[#This Row],[Name]], $E$4:changes[[#This Row],[Type of change]], "Edit")),B2290)</f>
        <v>2</v>
      </c>
      <c r="C2291" s="20">
        <v>44861</v>
      </c>
      <c r="D2291" s="2" t="s">
        <v>2009</v>
      </c>
      <c r="E2291" t="s">
        <v>15</v>
      </c>
      <c r="F2291" s="14" t="s">
        <v>1998</v>
      </c>
      <c r="G2291" s="38" t="s">
        <v>1890</v>
      </c>
      <c r="H2291" s="3" t="s">
        <v>66</v>
      </c>
      <c r="I2291" s="24" t="s">
        <v>1894</v>
      </c>
      <c r="J2291" s="40"/>
      <c r="K2291" s="3"/>
      <c r="M2291" s="3"/>
    </row>
    <row r="2292" spans="1:13" ht="15.75">
      <c r="A2292" t="s">
        <v>16</v>
      </c>
      <c r="B2292">
        <f ca="1">IF(OR(changes[[#This Row],[Type]]="Checklist",changes[[#This Row],[Type]]="checklist-flat"),1+IF(changes[[#This Row],[Type of change]] = "Edit",COUNTIFS($I$4:changes[[#This Row],[Name]],changes[[#This Row],[Name]], $E$4:changes[[#This Row],[Type of change]], "Edit")),B2291)</f>
        <v>2</v>
      </c>
      <c r="C2292" s="20">
        <v>44861</v>
      </c>
      <c r="D2292" s="2" t="s">
        <v>2009</v>
      </c>
      <c r="E2292" t="s">
        <v>15</v>
      </c>
      <c r="F2292" s="14" t="s">
        <v>1998</v>
      </c>
      <c r="G2292" s="38" t="s">
        <v>1890</v>
      </c>
      <c r="H2292" s="3" t="s">
        <v>49</v>
      </c>
      <c r="I2292" s="24" t="s">
        <v>1895</v>
      </c>
      <c r="J2292" s="40"/>
      <c r="K2292" s="3"/>
      <c r="M2292" s="3"/>
    </row>
    <row r="2293" spans="1:13" ht="15.75">
      <c r="A2293" t="s">
        <v>16</v>
      </c>
      <c r="B2293">
        <f ca="1">IF(OR(changes[[#This Row],[Type]]="Checklist",changes[[#This Row],[Type]]="checklist-flat"),1+IF(changes[[#This Row],[Type of change]] = "Edit",COUNTIFS($I$4:changes[[#This Row],[Name]],changes[[#This Row],[Name]], $E$4:changes[[#This Row],[Type of change]], "Edit")),B2292)</f>
        <v>2</v>
      </c>
      <c r="C2293" s="20">
        <v>44861</v>
      </c>
      <c r="D2293" s="2" t="s">
        <v>2009</v>
      </c>
      <c r="E2293" t="s">
        <v>15</v>
      </c>
      <c r="F2293" s="14" t="s">
        <v>1998</v>
      </c>
      <c r="G2293" s="38" t="s">
        <v>1890</v>
      </c>
      <c r="H2293" s="3" t="s">
        <v>49</v>
      </c>
      <c r="I2293" s="24" t="s">
        <v>1896</v>
      </c>
      <c r="J2293" s="40"/>
      <c r="K2293" s="3"/>
      <c r="M2293" s="3"/>
    </row>
    <row r="2294" spans="1:13" ht="15.75">
      <c r="A2294" t="s">
        <v>16</v>
      </c>
      <c r="B2294">
        <f ca="1">IF(OR(changes[[#This Row],[Type]]="Checklist",changes[[#This Row],[Type]]="checklist-flat"),1+IF(changes[[#This Row],[Type of change]] = "Edit",COUNTIFS($I$4:changes[[#This Row],[Name]],changes[[#This Row],[Name]], $E$4:changes[[#This Row],[Type of change]], "Edit")),B2293)</f>
        <v>2</v>
      </c>
      <c r="C2294" s="20">
        <v>44861</v>
      </c>
      <c r="D2294" s="2" t="s">
        <v>2009</v>
      </c>
      <c r="E2294" t="s">
        <v>15</v>
      </c>
      <c r="F2294" s="14" t="s">
        <v>1998</v>
      </c>
      <c r="G2294" s="38" t="s">
        <v>1890</v>
      </c>
      <c r="H2294" s="3" t="s">
        <v>49</v>
      </c>
      <c r="I2294" s="24" t="s">
        <v>1897</v>
      </c>
      <c r="J2294" s="40"/>
      <c r="K2294" s="3"/>
      <c r="M2294" s="3"/>
    </row>
    <row r="2295" spans="1:13" ht="15.75">
      <c r="A2295" t="s">
        <v>16</v>
      </c>
      <c r="B2295">
        <f ca="1">IF(OR(changes[[#This Row],[Type]]="Checklist",changes[[#This Row],[Type]]="checklist-flat"),1+IF(changes[[#This Row],[Type of change]] = "Edit",COUNTIFS($I$4:changes[[#This Row],[Name]],changes[[#This Row],[Name]], $E$4:changes[[#This Row],[Type of change]], "Edit")),B2294)</f>
        <v>2</v>
      </c>
      <c r="C2295" s="20">
        <v>44861</v>
      </c>
      <c r="D2295" s="2" t="s">
        <v>2009</v>
      </c>
      <c r="E2295" t="s">
        <v>15</v>
      </c>
      <c r="F2295" s="14" t="s">
        <v>1998</v>
      </c>
      <c r="G2295" s="38" t="s">
        <v>1890</v>
      </c>
      <c r="H2295" s="3" t="s">
        <v>49</v>
      </c>
      <c r="I2295" s="24" t="s">
        <v>1898</v>
      </c>
      <c r="J2295" s="40"/>
      <c r="K2295" s="3"/>
      <c r="M2295" s="3"/>
    </row>
    <row r="2296" spans="1:13" ht="15.75">
      <c r="A2296" t="s">
        <v>16</v>
      </c>
      <c r="B2296">
        <f ca="1">IF(OR(changes[[#This Row],[Type]]="Checklist",changes[[#This Row],[Type]]="checklist-flat"),1+IF(changes[[#This Row],[Type of change]] = "Edit",COUNTIFS($I$4:changes[[#This Row],[Name]],changes[[#This Row],[Name]], $E$4:changes[[#This Row],[Type of change]], "Edit")),B2295)</f>
        <v>2</v>
      </c>
      <c r="C2296" s="20">
        <v>44861</v>
      </c>
      <c r="D2296" s="2" t="s">
        <v>2009</v>
      </c>
      <c r="E2296" t="s">
        <v>15</v>
      </c>
      <c r="F2296" s="14" t="s">
        <v>1998</v>
      </c>
      <c r="G2296" s="38" t="s">
        <v>1890</v>
      </c>
      <c r="H2296" s="3" t="s">
        <v>49</v>
      </c>
      <c r="I2296" s="24" t="s">
        <v>1899</v>
      </c>
      <c r="J2296" s="40"/>
      <c r="K2296" s="3"/>
      <c r="M2296" s="3"/>
    </row>
    <row r="2297" spans="1:13" ht="15.75">
      <c r="A2297" t="s">
        <v>16</v>
      </c>
      <c r="B2297">
        <f ca="1">IF(OR(changes[[#This Row],[Type]]="Checklist",changes[[#This Row],[Type]]="checklist-flat"),1+IF(changes[[#This Row],[Type of change]] = "Edit",COUNTIFS($I$4:changes[[#This Row],[Name]],changes[[#This Row],[Name]], $E$4:changes[[#This Row],[Type of change]], "Edit")),B2296)</f>
        <v>2</v>
      </c>
      <c r="C2297" s="20">
        <v>44861</v>
      </c>
      <c r="D2297" s="2" t="s">
        <v>2009</v>
      </c>
      <c r="E2297" t="s">
        <v>15</v>
      </c>
      <c r="F2297" s="14" t="s">
        <v>1998</v>
      </c>
      <c r="G2297" s="78" t="s">
        <v>1890</v>
      </c>
      <c r="H2297" s="30" t="s">
        <v>49</v>
      </c>
      <c r="I2297" s="38" t="s">
        <v>2439</v>
      </c>
      <c r="J2297" s="39"/>
      <c r="K2297" s="3"/>
      <c r="M2297" s="3"/>
    </row>
    <row r="2298" spans="1:13" ht="15.75">
      <c r="A2298" t="s">
        <v>16</v>
      </c>
      <c r="B2298">
        <f ca="1">IF(OR(changes[[#This Row],[Type]]="Checklist",changes[[#This Row],[Type]]="checklist-flat"),1+IF(changes[[#This Row],[Type of change]] = "Edit",COUNTIFS($I$4:changes[[#This Row],[Name]],changes[[#This Row],[Name]], $E$4:changes[[#This Row],[Type of change]], "Edit")),B2296)</f>
        <v>2</v>
      </c>
      <c r="C2298" s="20">
        <v>44861</v>
      </c>
      <c r="D2298" s="2" t="s">
        <v>2009</v>
      </c>
      <c r="E2298" t="s">
        <v>15</v>
      </c>
      <c r="F2298" s="14" t="s">
        <v>1998</v>
      </c>
      <c r="G2298" s="38" t="s">
        <v>1890</v>
      </c>
      <c r="H2298" s="3" t="s">
        <v>120</v>
      </c>
      <c r="I2298" s="24" t="s">
        <v>1900</v>
      </c>
      <c r="J2298" s="40"/>
      <c r="K2298" s="3"/>
      <c r="M2298" s="3"/>
    </row>
    <row r="2299" spans="1:13" ht="15.75">
      <c r="A2299" t="s">
        <v>16</v>
      </c>
      <c r="B2299">
        <f ca="1">IF(OR(changes[[#This Row],[Type]]="Checklist",changes[[#This Row],[Type]]="checklist-flat"),1+IF(changes[[#This Row],[Type of change]] = "Edit",COUNTIFS($I$4:changes[[#This Row],[Name]],changes[[#This Row],[Name]], $E$4:changes[[#This Row],[Type of change]], "Edit")),B2298)</f>
        <v>2</v>
      </c>
      <c r="C2299" s="20">
        <v>44861</v>
      </c>
      <c r="D2299" s="2" t="s">
        <v>2009</v>
      </c>
      <c r="E2299" t="s">
        <v>15</v>
      </c>
      <c r="F2299" s="14" t="s">
        <v>1998</v>
      </c>
      <c r="G2299" s="38" t="s">
        <v>1890</v>
      </c>
      <c r="H2299" s="3" t="s">
        <v>49</v>
      </c>
      <c r="I2299" s="24" t="s">
        <v>1901</v>
      </c>
      <c r="J2299" s="40"/>
      <c r="K2299" s="3"/>
      <c r="M2299" s="3"/>
    </row>
    <row r="2300" spans="1:13" ht="15.75">
      <c r="A2300" t="s">
        <v>16</v>
      </c>
      <c r="B2300">
        <f ca="1">IF(OR(changes[[#This Row],[Type]]="Checklist",changes[[#This Row],[Type]]="checklist-flat"),1+IF(changes[[#This Row],[Type of change]] = "Edit",COUNTIFS($I$4:changes[[#This Row],[Name]],changes[[#This Row],[Name]], $E$4:changes[[#This Row],[Type of change]], "Edit")),B2299)</f>
        <v>2</v>
      </c>
      <c r="C2300" s="20">
        <v>44861</v>
      </c>
      <c r="D2300" s="2" t="s">
        <v>2009</v>
      </c>
      <c r="E2300" t="s">
        <v>15</v>
      </c>
      <c r="F2300" s="14" t="s">
        <v>1998</v>
      </c>
      <c r="G2300" s="38" t="s">
        <v>1890</v>
      </c>
      <c r="H2300" s="3" t="s">
        <v>49</v>
      </c>
      <c r="I2300" s="24" t="s">
        <v>1902</v>
      </c>
      <c r="J2300" s="40"/>
      <c r="K2300" s="3"/>
      <c r="M2300" s="3"/>
    </row>
    <row r="2301" spans="1:13" ht="15.75">
      <c r="A2301" t="s">
        <v>16</v>
      </c>
      <c r="B2301">
        <f ca="1">IF(OR(changes[[#This Row],[Type]]="Checklist",changes[[#This Row],[Type]]="checklist-flat"),1+IF(changes[[#This Row],[Type of change]] = "Edit",COUNTIFS($I$4:changes[[#This Row],[Name]],changes[[#This Row],[Name]], $E$4:changes[[#This Row],[Type of change]], "Edit")),B2300)</f>
        <v>2</v>
      </c>
      <c r="C2301" s="20">
        <v>44861</v>
      </c>
      <c r="D2301" s="2" t="s">
        <v>2009</v>
      </c>
      <c r="E2301" t="s">
        <v>15</v>
      </c>
      <c r="F2301" s="14" t="s">
        <v>1998</v>
      </c>
      <c r="G2301" s="38" t="s">
        <v>1890</v>
      </c>
      <c r="H2301" s="3" t="s">
        <v>49</v>
      </c>
      <c r="I2301" s="24" t="s">
        <v>1903</v>
      </c>
      <c r="J2301" s="40"/>
      <c r="K2301" s="3"/>
      <c r="M2301" s="3"/>
    </row>
    <row r="2302" spans="1:13" ht="15.75">
      <c r="A2302" t="s">
        <v>16</v>
      </c>
      <c r="B2302">
        <f ca="1">IF(OR(changes[[#This Row],[Type]]="Checklist",changes[[#This Row],[Type]]="checklist-flat"),1+IF(changes[[#This Row],[Type of change]] = "Edit",COUNTIFS($I$4:changes[[#This Row],[Name]],changes[[#This Row],[Name]], $E$4:changes[[#This Row],[Type of change]], "Edit")),B2301)</f>
        <v>2</v>
      </c>
      <c r="C2302" s="20">
        <v>44861</v>
      </c>
      <c r="D2302" s="2" t="s">
        <v>2009</v>
      </c>
      <c r="E2302" t="s">
        <v>15</v>
      </c>
      <c r="F2302" s="14" t="s">
        <v>1998</v>
      </c>
      <c r="G2302" s="38" t="s">
        <v>1890</v>
      </c>
      <c r="H2302" s="3" t="s">
        <v>49</v>
      </c>
      <c r="I2302" s="24" t="s">
        <v>1904</v>
      </c>
      <c r="J2302" s="40"/>
      <c r="K2302" s="3"/>
      <c r="M2302" s="3"/>
    </row>
    <row r="2303" spans="1:13" ht="15.75">
      <c r="A2303" t="s">
        <v>16</v>
      </c>
      <c r="B2303">
        <f ca="1">IF(OR(changes[[#This Row],[Type]]="Checklist",changes[[#This Row],[Type]]="checklist-flat"),1+IF(changes[[#This Row],[Type of change]] = "Edit",COUNTIFS($I$4:changes[[#This Row],[Name]],changes[[#This Row],[Name]], $E$4:changes[[#This Row],[Type of change]], "Edit")),B2302)</f>
        <v>2</v>
      </c>
      <c r="C2303" s="20">
        <v>44861</v>
      </c>
      <c r="D2303" s="2" t="s">
        <v>2009</v>
      </c>
      <c r="E2303" t="s">
        <v>15</v>
      </c>
      <c r="F2303" s="14" t="s">
        <v>1998</v>
      </c>
      <c r="G2303" s="38" t="s">
        <v>1890</v>
      </c>
      <c r="H2303" s="3" t="s">
        <v>49</v>
      </c>
      <c r="I2303" s="24" t="s">
        <v>1905</v>
      </c>
      <c r="J2303" s="40"/>
      <c r="K2303" s="3"/>
      <c r="M2303" s="3"/>
    </row>
    <row r="2304" spans="1:13" ht="15.75">
      <c r="A2304" t="s">
        <v>16</v>
      </c>
      <c r="B2304">
        <f ca="1">IF(OR(changes[[#This Row],[Type]]="Checklist",changes[[#This Row],[Type]]="checklist-flat"),1+IF(changes[[#This Row],[Type of change]] = "Edit",COUNTIFS($I$4:changes[[#This Row],[Name]],changes[[#This Row],[Name]], $E$4:changes[[#This Row],[Type of change]], "Edit")),B2303)</f>
        <v>2</v>
      </c>
      <c r="C2304" s="20">
        <v>44861</v>
      </c>
      <c r="D2304" s="2" t="s">
        <v>2009</v>
      </c>
      <c r="E2304" t="s">
        <v>15</v>
      </c>
      <c r="F2304" s="14" t="s">
        <v>1998</v>
      </c>
      <c r="G2304" s="38" t="s">
        <v>1890</v>
      </c>
      <c r="H2304" s="3" t="s">
        <v>49</v>
      </c>
      <c r="I2304" s="24" t="s">
        <v>1906</v>
      </c>
      <c r="J2304" s="40"/>
      <c r="K2304" s="3"/>
      <c r="M2304" s="3"/>
    </row>
    <row r="2305" spans="1:13" ht="15.75">
      <c r="A2305" t="s">
        <v>16</v>
      </c>
      <c r="B2305">
        <f ca="1">IF(OR(changes[[#This Row],[Type]]="Checklist",changes[[#This Row],[Type]]="checklist-flat"),1+IF(changes[[#This Row],[Type of change]] = "Edit",COUNTIFS($I$4:changes[[#This Row],[Name]],changes[[#This Row],[Name]], $E$4:changes[[#This Row],[Type of change]], "Edit")),B2304)</f>
        <v>2</v>
      </c>
      <c r="C2305" s="20">
        <v>44861</v>
      </c>
      <c r="D2305" s="2" t="s">
        <v>2009</v>
      </c>
      <c r="E2305" t="s">
        <v>15</v>
      </c>
      <c r="F2305" s="14" t="s">
        <v>1998</v>
      </c>
      <c r="G2305" s="38" t="s">
        <v>1890</v>
      </c>
      <c r="H2305" s="3" t="s">
        <v>49</v>
      </c>
      <c r="I2305" s="24" t="s">
        <v>1907</v>
      </c>
      <c r="J2305" s="40"/>
      <c r="K2305" s="3"/>
      <c r="M2305" s="3"/>
    </row>
    <row r="2306" spans="1:13" ht="15.75">
      <c r="A2306" t="s">
        <v>16</v>
      </c>
      <c r="B2306">
        <f ca="1">IF(OR(changes[[#This Row],[Type]]="Checklist",changes[[#This Row],[Type]]="checklist-flat"),1+IF(changes[[#This Row],[Type of change]] = "Edit",COUNTIFS($I$4:changes[[#This Row],[Name]],changes[[#This Row],[Name]], $E$4:changes[[#This Row],[Type of change]], "Edit")),B2305)</f>
        <v>2</v>
      </c>
      <c r="C2306" s="20">
        <v>44861</v>
      </c>
      <c r="D2306" s="2" t="s">
        <v>2009</v>
      </c>
      <c r="E2306" t="s">
        <v>15</v>
      </c>
      <c r="F2306" s="14" t="s">
        <v>1998</v>
      </c>
      <c r="G2306" s="38" t="s">
        <v>1890</v>
      </c>
      <c r="H2306" s="3" t="s">
        <v>49</v>
      </c>
      <c r="I2306" s="24" t="s">
        <v>1908</v>
      </c>
      <c r="J2306" s="40"/>
      <c r="K2306" s="3"/>
      <c r="M2306" s="3"/>
    </row>
    <row r="2307" spans="1:13" ht="15.75">
      <c r="A2307" t="s">
        <v>16</v>
      </c>
      <c r="B2307">
        <f ca="1">IF(OR(changes[[#This Row],[Type]]="Checklist",changes[[#This Row],[Type]]="checklist-flat"),1+IF(changes[[#This Row],[Type of change]] = "Edit",COUNTIFS($I$4:changes[[#This Row],[Name]],changes[[#This Row],[Name]], $E$4:changes[[#This Row],[Type of change]], "Edit")),B2306)</f>
        <v>2</v>
      </c>
      <c r="C2307" s="20">
        <v>44861</v>
      </c>
      <c r="D2307" s="2" t="s">
        <v>2009</v>
      </c>
      <c r="E2307" t="s">
        <v>15</v>
      </c>
      <c r="F2307" s="14" t="s">
        <v>1998</v>
      </c>
      <c r="G2307" s="38" t="s">
        <v>1890</v>
      </c>
      <c r="H2307" s="3" t="s">
        <v>120</v>
      </c>
      <c r="I2307" s="24" t="s">
        <v>1909</v>
      </c>
      <c r="J2307" s="40"/>
      <c r="K2307" s="3"/>
      <c r="M2307" s="3"/>
    </row>
    <row r="2308" spans="1:13" ht="15.75">
      <c r="A2308" t="s">
        <v>16</v>
      </c>
      <c r="B2308">
        <f ca="1">IF(OR(changes[[#This Row],[Type]]="Checklist",changes[[#This Row],[Type]]="checklist-flat"),1+IF(changes[[#This Row],[Type of change]] = "Edit",COUNTIFS($I$4:changes[[#This Row],[Name]],changes[[#This Row],[Name]], $E$4:changes[[#This Row],[Type of change]], "Edit")),B2307)</f>
        <v>2</v>
      </c>
      <c r="C2308" s="20">
        <v>44861</v>
      </c>
      <c r="D2308" s="2" t="s">
        <v>2009</v>
      </c>
      <c r="E2308" t="s">
        <v>15</v>
      </c>
      <c r="F2308" s="14" t="s">
        <v>1998</v>
      </c>
      <c r="G2308" s="38" t="s">
        <v>1890</v>
      </c>
      <c r="H2308" s="3" t="s">
        <v>1879</v>
      </c>
      <c r="I2308" s="24" t="s">
        <v>1909</v>
      </c>
      <c r="J2308" s="40"/>
      <c r="K2308" s="3"/>
      <c r="M2308" s="3"/>
    </row>
    <row r="2309" spans="1:13" ht="15.75">
      <c r="A2309" t="s">
        <v>16</v>
      </c>
      <c r="B2309">
        <f ca="1">IF(OR(changes[[#This Row],[Type]]="Checklist",changes[[#This Row],[Type]]="checklist-flat"),1+IF(changes[[#This Row],[Type of change]] = "Edit",COUNTIFS($I$4:changes[[#This Row],[Name]],changes[[#This Row],[Name]], $E$4:changes[[#This Row],[Type of change]], "Edit")),B2308)</f>
        <v>2</v>
      </c>
      <c r="C2309" s="20">
        <v>44861</v>
      </c>
      <c r="D2309" s="2" t="s">
        <v>2009</v>
      </c>
      <c r="E2309" t="s">
        <v>15</v>
      </c>
      <c r="F2309" s="14" t="s">
        <v>1998</v>
      </c>
      <c r="G2309" s="38" t="s">
        <v>1890</v>
      </c>
      <c r="H2309" s="3" t="s">
        <v>124</v>
      </c>
      <c r="I2309" s="24" t="s">
        <v>1910</v>
      </c>
      <c r="J2309" s="40"/>
      <c r="K2309" s="3"/>
      <c r="M2309" s="3"/>
    </row>
    <row r="2310" spans="1:13" ht="15.75">
      <c r="A2310" t="s">
        <v>16</v>
      </c>
      <c r="B2310">
        <f ca="1">IF(OR(changes[[#This Row],[Type]]="Checklist",changes[[#This Row],[Type]]="checklist-flat"),1+IF(changes[[#This Row],[Type of change]] = "Edit",COUNTIFS($I$4:changes[[#This Row],[Name]],changes[[#This Row],[Name]], $E$4:changes[[#This Row],[Type of change]], "Edit")),B2309)</f>
        <v>2</v>
      </c>
      <c r="C2310" s="20">
        <v>44861</v>
      </c>
      <c r="D2310" s="2" t="s">
        <v>2009</v>
      </c>
      <c r="E2310" t="s">
        <v>15</v>
      </c>
      <c r="F2310" s="14" t="s">
        <v>1998</v>
      </c>
      <c r="G2310" s="38" t="s">
        <v>1890</v>
      </c>
      <c r="H2310" s="3" t="s">
        <v>49</v>
      </c>
      <c r="I2310" s="24" t="s">
        <v>1911</v>
      </c>
      <c r="J2310" s="40"/>
      <c r="K2310" s="3"/>
      <c r="M2310" s="3"/>
    </row>
    <row r="2311" spans="1:13" ht="15.75">
      <c r="A2311" t="s">
        <v>16</v>
      </c>
      <c r="B2311">
        <f ca="1">IF(OR(changes[[#This Row],[Type]]="Checklist",changes[[#This Row],[Type]]="checklist-flat"),1+IF(changes[[#This Row],[Type of change]] = "Edit",COUNTIFS($I$4:changes[[#This Row],[Name]],changes[[#This Row],[Name]], $E$4:changes[[#This Row],[Type of change]], "Edit")),B2310)</f>
        <v>2</v>
      </c>
      <c r="C2311" s="20">
        <v>44861</v>
      </c>
      <c r="D2311" s="2" t="s">
        <v>2009</v>
      </c>
      <c r="E2311" t="s">
        <v>15</v>
      </c>
      <c r="F2311" s="14" t="s">
        <v>1998</v>
      </c>
      <c r="G2311" s="38" t="s">
        <v>1890</v>
      </c>
      <c r="H2311" s="3" t="s">
        <v>49</v>
      </c>
      <c r="I2311" s="24" t="s">
        <v>1912</v>
      </c>
      <c r="J2311" s="40"/>
      <c r="K2311" s="3"/>
      <c r="M2311" s="3"/>
    </row>
    <row r="2312" spans="1:13" ht="15.75">
      <c r="A2312" t="s">
        <v>16</v>
      </c>
      <c r="B2312">
        <f ca="1">IF(OR(changes[[#This Row],[Type]]="Checklist",changes[[#This Row],[Type]]="checklist-flat"),1+IF(changes[[#This Row],[Type of change]] = "Edit",COUNTIFS($I$4:changes[[#This Row],[Name]],changes[[#This Row],[Name]], $E$4:changes[[#This Row],[Type of change]], "Edit")),B2311)</f>
        <v>2</v>
      </c>
      <c r="C2312" s="20">
        <v>44861</v>
      </c>
      <c r="D2312" s="2" t="s">
        <v>2009</v>
      </c>
      <c r="E2312" t="s">
        <v>15</v>
      </c>
      <c r="F2312" s="14" t="s">
        <v>1998</v>
      </c>
      <c r="G2312" s="38" t="s">
        <v>1890</v>
      </c>
      <c r="H2312" s="3" t="s">
        <v>49</v>
      </c>
      <c r="I2312" s="24" t="s">
        <v>1913</v>
      </c>
      <c r="J2312" s="40"/>
      <c r="K2312" s="3"/>
      <c r="M2312" s="3"/>
    </row>
    <row r="2313" spans="1:13" ht="15.75">
      <c r="A2313" t="s">
        <v>16</v>
      </c>
      <c r="B2313">
        <f ca="1">IF(OR(changes[[#This Row],[Type]]="Checklist",changes[[#This Row],[Type]]="checklist-flat"),1+IF(changes[[#This Row],[Type of change]] = "Edit",COUNTIFS($I$4:changes[[#This Row],[Name]],changes[[#This Row],[Name]], $E$4:changes[[#This Row],[Type of change]], "Edit")),B2312)</f>
        <v>2</v>
      </c>
      <c r="C2313" s="20">
        <v>44861</v>
      </c>
      <c r="D2313" s="2" t="s">
        <v>2009</v>
      </c>
      <c r="E2313" t="s">
        <v>15</v>
      </c>
      <c r="F2313" s="14" t="s">
        <v>9</v>
      </c>
      <c r="G2313" s="38" t="s">
        <v>1890</v>
      </c>
      <c r="H2313" s="3" t="s">
        <v>58</v>
      </c>
      <c r="I2313" s="24" t="s">
        <v>1889</v>
      </c>
      <c r="J2313" s="40"/>
      <c r="K2313" s="3"/>
      <c r="M2313" s="3"/>
    </row>
    <row r="2314" spans="1:13" ht="15.75">
      <c r="A2314" t="s">
        <v>16</v>
      </c>
      <c r="B2314">
        <f ca="1">IF(OR(changes[[#This Row],[Type]]="Checklist",changes[[#This Row],[Type]]="checklist-flat"),1+IF(changes[[#This Row],[Type of change]] = "Edit",COUNTIFS($I$4:changes[[#This Row],[Name]],changes[[#This Row],[Name]], $E$4:changes[[#This Row],[Type of change]], "Edit")),B2313)</f>
        <v>1</v>
      </c>
      <c r="C2314" s="20">
        <v>44861</v>
      </c>
      <c r="D2314" s="2" t="s">
        <v>2009</v>
      </c>
      <c r="E2314" t="s">
        <v>27</v>
      </c>
      <c r="F2314" s="14" t="s">
        <v>9</v>
      </c>
      <c r="G2314" s="38" t="s">
        <v>2440</v>
      </c>
      <c r="H2314" s="30" t="s">
        <v>43</v>
      </c>
      <c r="I2314" s="38" t="s">
        <v>2440</v>
      </c>
      <c r="J2314" s="39"/>
      <c r="K2314" s="3"/>
      <c r="M2314" s="3"/>
    </row>
    <row r="2315" spans="1:13" ht="15.75">
      <c r="A2315" t="s">
        <v>16</v>
      </c>
      <c r="B2315">
        <f ca="1">IF(OR(changes[[#This Row],[Type]]="Checklist",changes[[#This Row],[Type]]="checklist-flat"),1+IF(changes[[#This Row],[Type of change]] = "Edit",COUNTIFS($I$4:changes[[#This Row],[Name]],changes[[#This Row],[Name]], $E$4:changes[[#This Row],[Type of change]], "Edit")),B2314)</f>
        <v>1</v>
      </c>
      <c r="C2315" s="20">
        <v>44861</v>
      </c>
      <c r="D2315" s="2" t="s">
        <v>2009</v>
      </c>
      <c r="E2315" t="s">
        <v>27</v>
      </c>
      <c r="F2315" s="14" t="s">
        <v>9</v>
      </c>
      <c r="G2315" s="38" t="s">
        <v>2440</v>
      </c>
      <c r="H2315" s="3" t="s">
        <v>831</v>
      </c>
      <c r="I2315" s="24" t="s">
        <v>2441</v>
      </c>
      <c r="J2315" s="40"/>
      <c r="K2315" s="3"/>
      <c r="M2315" s="3"/>
    </row>
    <row r="2316" spans="1:13" ht="15.75">
      <c r="A2316" t="s">
        <v>16</v>
      </c>
      <c r="B2316">
        <f ca="1">IF(OR(changes[[#This Row],[Type]]="Checklist",changes[[#This Row],[Type]]="checklist-flat"),1+IF(changes[[#This Row],[Type of change]] = "Edit",COUNTIFS($I$4:changes[[#This Row],[Name]],changes[[#This Row],[Name]], $E$4:changes[[#This Row],[Type of change]], "Edit")),B2315)</f>
        <v>1</v>
      </c>
      <c r="C2316" s="20">
        <v>44861</v>
      </c>
      <c r="D2316" s="2" t="s">
        <v>2009</v>
      </c>
      <c r="E2316" t="s">
        <v>27</v>
      </c>
      <c r="F2316" s="14" t="s">
        <v>9</v>
      </c>
      <c r="G2316" s="38" t="s">
        <v>2440</v>
      </c>
      <c r="H2316" s="3" t="s">
        <v>124</v>
      </c>
      <c r="I2316" s="24"/>
      <c r="J2316" s="40"/>
      <c r="K2316" s="3"/>
      <c r="M2316" s="3"/>
    </row>
    <row r="2317" spans="1:13" ht="15.75">
      <c r="A2317" t="s">
        <v>16</v>
      </c>
      <c r="B2317">
        <f ca="1">IF(OR(changes[[#This Row],[Type]]="Checklist",changes[[#This Row],[Type]]="checklist-flat"),1+IF(changes[[#This Row],[Type of change]] = "Edit",COUNTIFS($I$4:changes[[#This Row],[Name]],changes[[#This Row],[Name]], $E$4:changes[[#This Row],[Type of change]], "Edit")),B2316)</f>
        <v>1</v>
      </c>
      <c r="C2317" s="20">
        <v>44861</v>
      </c>
      <c r="D2317" s="2" t="s">
        <v>2009</v>
      </c>
      <c r="E2317" t="s">
        <v>27</v>
      </c>
      <c r="F2317" s="14" t="s">
        <v>9</v>
      </c>
      <c r="G2317" s="38" t="s">
        <v>2440</v>
      </c>
      <c r="H2317" s="3" t="s">
        <v>831</v>
      </c>
      <c r="I2317" s="24" t="s">
        <v>2442</v>
      </c>
      <c r="J2317" s="40"/>
      <c r="K2317" s="3"/>
      <c r="M2317" s="3"/>
    </row>
    <row r="2318" spans="1:13" ht="15.75">
      <c r="A2318" t="s">
        <v>16</v>
      </c>
      <c r="B2318">
        <f ca="1">IF(OR(changes[[#This Row],[Type]]="Checklist",changes[[#This Row],[Type]]="checklist-flat"),1+IF(changes[[#This Row],[Type of change]] = "Edit",COUNTIFS($I$4:changes[[#This Row],[Name]],changes[[#This Row],[Name]], $E$4:changes[[#This Row],[Type of change]], "Edit")),B2317)</f>
        <v>1</v>
      </c>
      <c r="C2318" s="20">
        <v>44861</v>
      </c>
      <c r="D2318" s="2" t="s">
        <v>2009</v>
      </c>
      <c r="E2318" t="s">
        <v>27</v>
      </c>
      <c r="F2318" s="14" t="s">
        <v>9</v>
      </c>
      <c r="G2318" s="38" t="s">
        <v>2440</v>
      </c>
      <c r="H2318" s="3" t="s">
        <v>831</v>
      </c>
      <c r="I2318" s="24" t="s">
        <v>2443</v>
      </c>
      <c r="J2318" s="40"/>
      <c r="K2318" s="3"/>
      <c r="M2318" s="3"/>
    </row>
    <row r="2319" spans="1:13" ht="15.75">
      <c r="A2319" t="s">
        <v>16</v>
      </c>
      <c r="B2319">
        <f ca="1">IF(OR(changes[[#This Row],[Type]]="Checklist",changes[[#This Row],[Type]]="checklist-flat"),1+IF(changes[[#This Row],[Type of change]] = "Edit",COUNTIFS($I$4:changes[[#This Row],[Name]],changes[[#This Row],[Name]], $E$4:changes[[#This Row],[Type of change]], "Edit")),B2318)</f>
        <v>1</v>
      </c>
      <c r="C2319" s="20">
        <v>44861</v>
      </c>
      <c r="D2319" s="2" t="s">
        <v>2009</v>
      </c>
      <c r="E2319" t="s">
        <v>27</v>
      </c>
      <c r="F2319" s="14" t="s">
        <v>9</v>
      </c>
      <c r="G2319" s="38" t="s">
        <v>2440</v>
      </c>
      <c r="H2319" s="3" t="s">
        <v>1824</v>
      </c>
      <c r="I2319" s="24" t="s">
        <v>2444</v>
      </c>
      <c r="J2319" s="40"/>
      <c r="K2319" s="3"/>
      <c r="M2319" s="3"/>
    </row>
    <row r="2320" spans="1:13" ht="15.75">
      <c r="A2320" t="s">
        <v>16</v>
      </c>
      <c r="B2320">
        <f ca="1">IF(OR(changes[[#This Row],[Type]]="Checklist",changes[[#This Row],[Type]]="checklist-flat"),1+IF(changes[[#This Row],[Type of change]] = "Edit",COUNTIFS($I$4:changes[[#This Row],[Name]],changes[[#This Row],[Name]], $E$4:changes[[#This Row],[Type of change]], "Edit")),B2319)</f>
        <v>1</v>
      </c>
      <c r="C2320" s="20">
        <v>44861</v>
      </c>
      <c r="D2320" s="2" t="s">
        <v>2009</v>
      </c>
      <c r="E2320" t="s">
        <v>27</v>
      </c>
      <c r="F2320" s="14" t="s">
        <v>9</v>
      </c>
      <c r="G2320" s="38" t="s">
        <v>2440</v>
      </c>
      <c r="H2320" s="3" t="s">
        <v>58</v>
      </c>
      <c r="I2320" s="24" t="s">
        <v>2445</v>
      </c>
      <c r="J2320" s="40"/>
      <c r="K2320" s="3"/>
      <c r="M2320" s="3"/>
    </row>
    <row r="2321" spans="1:13" ht="15.75">
      <c r="A2321" t="s">
        <v>16</v>
      </c>
      <c r="B2321">
        <f ca="1">IF(OR(changes[[#This Row],[Type]]="Checklist",changes[[#This Row],[Type]]="checklist-flat"),1+IF(changes[[#This Row],[Type of change]] = "Edit",COUNTIFS($I$4:changes[[#This Row],[Name]],changes[[#This Row],[Name]], $E$4:changes[[#This Row],[Type of change]], "Edit")),B2320)</f>
        <v>1</v>
      </c>
      <c r="C2321" s="20">
        <v>44867</v>
      </c>
      <c r="D2321" s="2" t="s">
        <v>2446</v>
      </c>
      <c r="E2321" t="s">
        <v>27</v>
      </c>
      <c r="F2321" s="14" t="s">
        <v>9</v>
      </c>
      <c r="G2321" s="82" t="s">
        <v>2447</v>
      </c>
      <c r="H2321" s="30" t="s">
        <v>43</v>
      </c>
      <c r="I2321" s="82" t="s">
        <v>2447</v>
      </c>
      <c r="J2321" s="39"/>
      <c r="K2321" s="3" t="s">
        <v>6</v>
      </c>
      <c r="L2321" t="s">
        <v>2448</v>
      </c>
      <c r="M2321" s="3"/>
    </row>
    <row r="2322" spans="1:13" ht="15.75">
      <c r="A2322" t="s">
        <v>16</v>
      </c>
      <c r="B2322">
        <f ca="1">IF(OR(changes[[#This Row],[Type]]="Checklist",changes[[#This Row],[Type]]="checklist-flat"),1+IF(changes[[#This Row],[Type of change]] = "Edit",COUNTIFS($I$4:changes[[#This Row],[Name]],changes[[#This Row],[Name]], $E$4:changes[[#This Row],[Type of change]], "Edit")),B2321)</f>
        <v>1</v>
      </c>
      <c r="C2322" s="20">
        <v>44867</v>
      </c>
      <c r="D2322" s="2" t="s">
        <v>2446</v>
      </c>
      <c r="E2322" t="s">
        <v>27</v>
      </c>
      <c r="F2322" s="14" t="s">
        <v>9</v>
      </c>
      <c r="G2322" s="82" t="s">
        <v>2447</v>
      </c>
      <c r="H2322" s="3"/>
      <c r="I2322" s="83" t="s">
        <v>2449</v>
      </c>
      <c r="J2322" s="40"/>
      <c r="K2322" s="3" t="s">
        <v>6</v>
      </c>
      <c r="L2322" t="s">
        <v>2448</v>
      </c>
      <c r="M2322" s="3"/>
    </row>
    <row r="2323" spans="1:13" ht="15.75">
      <c r="A2323" t="s">
        <v>16</v>
      </c>
      <c r="B2323">
        <f ca="1">IF(OR(changes[[#This Row],[Type]]="Checklist",changes[[#This Row],[Type]]="checklist-flat"),1+IF(changes[[#This Row],[Type of change]] = "Edit",COUNTIFS($I$4:changes[[#This Row],[Name]],changes[[#This Row],[Name]], $E$4:changes[[#This Row],[Type of change]], "Edit")),B2322)</f>
        <v>1</v>
      </c>
      <c r="C2323" s="20">
        <v>44867</v>
      </c>
      <c r="D2323" s="2" t="s">
        <v>2446</v>
      </c>
      <c r="E2323" t="s">
        <v>27</v>
      </c>
      <c r="F2323" s="14" t="s">
        <v>9</v>
      </c>
      <c r="G2323" s="82" t="s">
        <v>2447</v>
      </c>
      <c r="H2323" s="3"/>
      <c r="I2323" s="83" t="s">
        <v>2450</v>
      </c>
      <c r="J2323" s="40"/>
      <c r="K2323" s="3" t="s">
        <v>6</v>
      </c>
      <c r="L2323" t="s">
        <v>2448</v>
      </c>
      <c r="M2323" s="3"/>
    </row>
    <row r="2324" spans="1:13" ht="15.75">
      <c r="A2324" t="s">
        <v>16</v>
      </c>
      <c r="B2324">
        <f ca="1">IF(OR(changes[[#This Row],[Type]]="Checklist",changes[[#This Row],[Type]]="checklist-flat"),1+IF(changes[[#This Row],[Type of change]] = "Edit",COUNTIFS($I$4:changes[[#This Row],[Name]],changes[[#This Row],[Name]], $E$4:changes[[#This Row],[Type of change]], "Edit")),B2323)</f>
        <v>1</v>
      </c>
      <c r="C2324" s="20">
        <v>44867</v>
      </c>
      <c r="D2324" s="2" t="s">
        <v>2446</v>
      </c>
      <c r="E2324" t="s">
        <v>27</v>
      </c>
      <c r="F2324" s="14" t="s">
        <v>9</v>
      </c>
      <c r="G2324" s="82" t="s">
        <v>2447</v>
      </c>
      <c r="H2324" s="3"/>
      <c r="I2324" s="84" t="s">
        <v>2451</v>
      </c>
      <c r="J2324" s="40"/>
      <c r="K2324" s="3" t="s">
        <v>6</v>
      </c>
      <c r="L2324" t="s">
        <v>2448</v>
      </c>
      <c r="M2324" s="3"/>
    </row>
    <row r="2325" spans="1:13" ht="15.75">
      <c r="A2325" t="s">
        <v>16</v>
      </c>
      <c r="B2325">
        <f ca="1">IF(OR(changes[[#This Row],[Type]]="Checklist",changes[[#This Row],[Type]]="checklist-flat"),1+IF(changes[[#This Row],[Type of change]] = "Edit",COUNTIFS($I$4:changes[[#This Row],[Name]],changes[[#This Row],[Name]], $E$4:changes[[#This Row],[Type of change]], "Edit")),B2324)</f>
        <v>1</v>
      </c>
      <c r="C2325" s="20">
        <v>44867</v>
      </c>
      <c r="D2325" s="2" t="s">
        <v>2446</v>
      </c>
      <c r="E2325" t="s">
        <v>27</v>
      </c>
      <c r="F2325" s="14" t="s">
        <v>9</v>
      </c>
      <c r="G2325" s="82" t="s">
        <v>2447</v>
      </c>
      <c r="H2325" s="3"/>
      <c r="I2325" s="83" t="s">
        <v>2452</v>
      </c>
      <c r="J2325" s="40"/>
      <c r="K2325" s="3" t="s">
        <v>6</v>
      </c>
      <c r="L2325" t="s">
        <v>2448</v>
      </c>
      <c r="M2325" s="3"/>
    </row>
    <row r="2326" spans="1:13" ht="15.75">
      <c r="A2326" t="s">
        <v>16</v>
      </c>
      <c r="B2326">
        <f ca="1">IF(OR(changes[[#This Row],[Type]]="Checklist",changes[[#This Row],[Type]]="checklist-flat"),1+IF(changes[[#This Row],[Type of change]] = "Edit",COUNTIFS($I$4:changes[[#This Row],[Name]],changes[[#This Row],[Name]], $E$4:changes[[#This Row],[Type of change]], "Edit")),B2325)</f>
        <v>1</v>
      </c>
      <c r="C2326" s="20">
        <v>44867</v>
      </c>
      <c r="D2326" s="2" t="s">
        <v>2446</v>
      </c>
      <c r="E2326" t="s">
        <v>27</v>
      </c>
      <c r="F2326" s="14" t="s">
        <v>9</v>
      </c>
      <c r="G2326" s="82" t="s">
        <v>2447</v>
      </c>
      <c r="H2326" s="3"/>
      <c r="I2326" s="83" t="s">
        <v>2453</v>
      </c>
      <c r="J2326" s="40"/>
      <c r="K2326" s="3" t="s">
        <v>6</v>
      </c>
      <c r="L2326" t="s">
        <v>2448</v>
      </c>
      <c r="M2326" s="3"/>
    </row>
    <row r="2327" spans="1:13" ht="15.75">
      <c r="A2327" t="s">
        <v>16</v>
      </c>
      <c r="B2327">
        <f ca="1">IF(OR(changes[[#This Row],[Type]]="Checklist",changes[[#This Row],[Type]]="checklist-flat"),1+IF(changes[[#This Row],[Type of change]] = "Edit",COUNTIFS($I$4:changes[[#This Row],[Name]],changes[[#This Row],[Name]], $E$4:changes[[#This Row],[Type of change]], "Edit")),B2326)</f>
        <v>1</v>
      </c>
      <c r="C2327" s="20">
        <v>44867</v>
      </c>
      <c r="D2327" s="2" t="s">
        <v>2446</v>
      </c>
      <c r="E2327" t="s">
        <v>27</v>
      </c>
      <c r="F2327" s="14" t="s">
        <v>9</v>
      </c>
      <c r="G2327" s="82" t="s">
        <v>2447</v>
      </c>
      <c r="H2327" s="3"/>
      <c r="I2327" s="83" t="s">
        <v>2454</v>
      </c>
      <c r="J2327" s="40"/>
      <c r="K2327" s="3" t="s">
        <v>6</v>
      </c>
      <c r="L2327" t="s">
        <v>2448</v>
      </c>
      <c r="M2327" s="3"/>
    </row>
    <row r="2328" spans="1:13" ht="15.75">
      <c r="A2328" t="s">
        <v>16</v>
      </c>
      <c r="B2328">
        <f ca="1">IF(OR(changes[[#This Row],[Type]]="Checklist",changes[[#This Row],[Type]]="checklist-flat"),1+IF(changes[[#This Row],[Type of change]] = "Edit",COUNTIFS($I$4:changes[[#This Row],[Name]],changes[[#This Row],[Name]], $E$4:changes[[#This Row],[Type of change]], "Edit")),B2327)</f>
        <v>1</v>
      </c>
      <c r="C2328" s="20">
        <v>44867</v>
      </c>
      <c r="D2328" s="2" t="s">
        <v>2446</v>
      </c>
      <c r="E2328" t="s">
        <v>27</v>
      </c>
      <c r="F2328" s="14" t="s">
        <v>9</v>
      </c>
      <c r="G2328" s="82" t="s">
        <v>2447</v>
      </c>
      <c r="H2328" s="3"/>
      <c r="I2328" s="83" t="s">
        <v>2455</v>
      </c>
      <c r="J2328" s="40"/>
      <c r="K2328" s="3" t="s">
        <v>6</v>
      </c>
      <c r="L2328" t="s">
        <v>2448</v>
      </c>
      <c r="M2328" s="3"/>
    </row>
    <row r="2329" spans="1:13" ht="15.75">
      <c r="A2329" t="s">
        <v>16</v>
      </c>
      <c r="B2329">
        <f ca="1">IF(OR(changes[[#This Row],[Type]]="Checklist",changes[[#This Row],[Type]]="checklist-flat"),1+IF(changes[[#This Row],[Type of change]] = "Edit",COUNTIFS($I$4:changes[[#This Row],[Name]],changes[[#This Row],[Name]], $E$4:changes[[#This Row],[Type of change]], "Edit")),B2328)</f>
        <v>1</v>
      </c>
      <c r="C2329" s="20">
        <v>44867</v>
      </c>
      <c r="D2329" s="2" t="s">
        <v>2446</v>
      </c>
      <c r="E2329" t="s">
        <v>27</v>
      </c>
      <c r="F2329" s="14" t="s">
        <v>9</v>
      </c>
      <c r="G2329" s="82" t="s">
        <v>2447</v>
      </c>
      <c r="H2329" s="3"/>
      <c r="I2329" s="83" t="s">
        <v>2456</v>
      </c>
      <c r="J2329" s="40"/>
      <c r="K2329" s="3" t="s">
        <v>6</v>
      </c>
      <c r="L2329" t="s">
        <v>2448</v>
      </c>
      <c r="M2329" s="3"/>
    </row>
    <row r="2330" spans="1:13" ht="15.75">
      <c r="A2330" t="s">
        <v>16</v>
      </c>
      <c r="B2330">
        <f ca="1">IF(OR(changes[[#This Row],[Type]]="Checklist",changes[[#This Row],[Type]]="checklist-flat"),1+IF(changes[[#This Row],[Type of change]] = "Edit",COUNTIFS($I$4:changes[[#This Row],[Name]],changes[[#This Row],[Name]], $E$4:changes[[#This Row],[Type of change]], "Edit")),B2329)</f>
        <v>1</v>
      </c>
      <c r="C2330" s="20">
        <v>44867</v>
      </c>
      <c r="D2330" s="2" t="s">
        <v>2446</v>
      </c>
      <c r="E2330" t="s">
        <v>27</v>
      </c>
      <c r="F2330" s="14" t="s">
        <v>9</v>
      </c>
      <c r="G2330" s="82" t="s">
        <v>2447</v>
      </c>
      <c r="H2330" s="3"/>
      <c r="I2330" s="83" t="s">
        <v>2457</v>
      </c>
      <c r="J2330" s="40"/>
      <c r="K2330" s="3" t="s">
        <v>6</v>
      </c>
      <c r="L2330" t="s">
        <v>2448</v>
      </c>
      <c r="M2330" s="3"/>
    </row>
    <row r="2331" spans="1:13" ht="15.75">
      <c r="A2331" t="s">
        <v>16</v>
      </c>
      <c r="B2331">
        <f ca="1">IF(OR(changes[[#This Row],[Type]]="Checklist",changes[[#This Row],[Type]]="checklist-flat"),1+IF(changes[[#This Row],[Type of change]] = "Edit",COUNTIFS($I$4:changes[[#This Row],[Name]],changes[[#This Row],[Name]], $E$4:changes[[#This Row],[Type of change]], "Edit")),B2330)</f>
        <v>1</v>
      </c>
      <c r="C2331" s="20">
        <v>44867</v>
      </c>
      <c r="D2331" s="2" t="s">
        <v>2446</v>
      </c>
      <c r="E2331" t="s">
        <v>27</v>
      </c>
      <c r="F2331" s="14" t="s">
        <v>9</v>
      </c>
      <c r="G2331" s="82" t="s">
        <v>2447</v>
      </c>
      <c r="H2331" s="3"/>
      <c r="I2331" s="83" t="s">
        <v>2458</v>
      </c>
      <c r="J2331" s="40"/>
      <c r="K2331" s="3" t="s">
        <v>6</v>
      </c>
      <c r="L2331" t="s">
        <v>2448</v>
      </c>
      <c r="M2331" s="3"/>
    </row>
    <row r="2332" spans="1:13" ht="15.75">
      <c r="A2332" t="s">
        <v>16</v>
      </c>
      <c r="B2332">
        <f ca="1">IF(OR(changes[[#This Row],[Type]]="Checklist",changes[[#This Row],[Type]]="checklist-flat"),1+IF(changes[[#This Row],[Type of change]] = "Edit",COUNTIFS($I$4:changes[[#This Row],[Name]],changes[[#This Row],[Name]], $E$4:changes[[#This Row],[Type of change]], "Edit")),B2331)</f>
        <v>1</v>
      </c>
      <c r="C2332" s="20">
        <v>44867</v>
      </c>
      <c r="D2332" s="2" t="s">
        <v>2446</v>
      </c>
      <c r="E2332" t="s">
        <v>27</v>
      </c>
      <c r="F2332" s="14" t="s">
        <v>9</v>
      </c>
      <c r="G2332" s="82" t="s">
        <v>2447</v>
      </c>
      <c r="H2332" s="3"/>
      <c r="I2332" s="83" t="s">
        <v>2459</v>
      </c>
      <c r="J2332" s="40"/>
      <c r="K2332" s="3" t="s">
        <v>6</v>
      </c>
      <c r="L2332" t="s">
        <v>2448</v>
      </c>
      <c r="M2332" s="3"/>
    </row>
    <row r="2333" spans="1:13" ht="15.75">
      <c r="A2333" t="s">
        <v>16</v>
      </c>
      <c r="B2333">
        <f ca="1">IF(OR(changes[[#This Row],[Type]]="Checklist",changes[[#This Row],[Type]]="checklist-flat"),1+IF(changes[[#This Row],[Type of change]] = "Edit",COUNTIFS($I$4:changes[[#This Row],[Name]],changes[[#This Row],[Name]], $E$4:changes[[#This Row],[Type of change]], "Edit")),B2332)</f>
        <v>1</v>
      </c>
      <c r="C2333" s="20">
        <v>44867</v>
      </c>
      <c r="D2333" s="2" t="s">
        <v>2446</v>
      </c>
      <c r="E2333" t="s">
        <v>27</v>
      </c>
      <c r="F2333" s="14" t="s">
        <v>9</v>
      </c>
      <c r="G2333" s="82" t="s">
        <v>2447</v>
      </c>
      <c r="H2333" s="3"/>
      <c r="I2333" s="83" t="s">
        <v>2460</v>
      </c>
      <c r="J2333" s="40"/>
      <c r="K2333" s="3" t="s">
        <v>6</v>
      </c>
      <c r="L2333" t="s">
        <v>2448</v>
      </c>
      <c r="M2333" s="3"/>
    </row>
    <row r="2334" spans="1:13" ht="15.75">
      <c r="A2334" t="s">
        <v>16</v>
      </c>
      <c r="B2334">
        <f ca="1">IF(OR(changes[[#This Row],[Type]]="Checklist",changes[[#This Row],[Type]]="checklist-flat"),1+IF(changes[[#This Row],[Type of change]] = "Edit",COUNTIFS($I$4:changes[[#This Row],[Name]],changes[[#This Row],[Name]], $E$4:changes[[#This Row],[Type of change]], "Edit")),B2333)</f>
        <v>1</v>
      </c>
      <c r="C2334" s="20">
        <v>44867</v>
      </c>
      <c r="D2334" s="2" t="s">
        <v>2446</v>
      </c>
      <c r="E2334" t="s">
        <v>27</v>
      </c>
      <c r="F2334" s="14" t="s">
        <v>9</v>
      </c>
      <c r="G2334" s="82" t="s">
        <v>2447</v>
      </c>
      <c r="H2334" s="3"/>
      <c r="I2334" s="83" t="s">
        <v>2461</v>
      </c>
      <c r="J2334" s="40"/>
      <c r="K2334" s="3" t="s">
        <v>6</v>
      </c>
      <c r="L2334" t="s">
        <v>2448</v>
      </c>
      <c r="M2334" s="3"/>
    </row>
    <row r="2335" spans="1:13" ht="15.75">
      <c r="A2335" t="s">
        <v>16</v>
      </c>
      <c r="B2335">
        <f ca="1">IF(OR(changes[[#This Row],[Type]]="Checklist",changes[[#This Row],[Type]]="checklist-flat"),1+IF(changes[[#This Row],[Type of change]] = "Edit",COUNTIFS($I$4:changes[[#This Row],[Name]],changes[[#This Row],[Name]], $E$4:changes[[#This Row],[Type of change]], "Edit")),B2334)</f>
        <v>1</v>
      </c>
      <c r="C2335" s="20">
        <v>44867</v>
      </c>
      <c r="D2335" s="2" t="s">
        <v>2446</v>
      </c>
      <c r="E2335" t="s">
        <v>27</v>
      </c>
      <c r="F2335" s="14" t="s">
        <v>9</v>
      </c>
      <c r="G2335" s="82" t="s">
        <v>2447</v>
      </c>
      <c r="H2335" s="3"/>
      <c r="I2335" s="83" t="s">
        <v>2462</v>
      </c>
      <c r="J2335" s="40"/>
      <c r="K2335" s="3" t="s">
        <v>6</v>
      </c>
      <c r="L2335" t="s">
        <v>2448</v>
      </c>
      <c r="M2335" s="3"/>
    </row>
    <row r="2336" spans="1:13" ht="15.75">
      <c r="A2336" t="s">
        <v>16</v>
      </c>
      <c r="B2336">
        <f ca="1">IF(OR(changes[[#This Row],[Type]]="Checklist",changes[[#This Row],[Type]]="checklist-flat"),1+IF(changes[[#This Row],[Type of change]] = "Edit",COUNTIFS($I$4:changes[[#This Row],[Name]],changes[[#This Row],[Name]], $E$4:changes[[#This Row],[Type of change]], "Edit")),B2335)</f>
        <v>1</v>
      </c>
      <c r="C2336" s="20">
        <v>44867</v>
      </c>
      <c r="D2336" s="2" t="s">
        <v>2446</v>
      </c>
      <c r="E2336" t="s">
        <v>27</v>
      </c>
      <c r="F2336" s="14" t="s">
        <v>9</v>
      </c>
      <c r="G2336" s="82" t="s">
        <v>2447</v>
      </c>
      <c r="H2336" s="3"/>
      <c r="I2336" s="83" t="s">
        <v>2463</v>
      </c>
      <c r="J2336" s="40"/>
      <c r="K2336" s="3" t="s">
        <v>6</v>
      </c>
      <c r="L2336" t="s">
        <v>2448</v>
      </c>
      <c r="M2336" s="3"/>
    </row>
    <row r="2337" spans="1:13" ht="15.75">
      <c r="A2337" t="s">
        <v>16</v>
      </c>
      <c r="B2337">
        <f ca="1">IF(OR(changes[[#This Row],[Type]]="Checklist",changes[[#This Row],[Type]]="checklist-flat"),1+IF(changes[[#This Row],[Type of change]] = "Edit",COUNTIFS($I$4:changes[[#This Row],[Name]],changes[[#This Row],[Name]], $E$4:changes[[#This Row],[Type of change]], "Edit")),B2336)</f>
        <v>1</v>
      </c>
      <c r="C2337" s="20">
        <v>44867</v>
      </c>
      <c r="D2337" s="2" t="s">
        <v>2446</v>
      </c>
      <c r="E2337" t="s">
        <v>27</v>
      </c>
      <c r="F2337" s="14" t="s">
        <v>9</v>
      </c>
      <c r="G2337" s="82" t="s">
        <v>2447</v>
      </c>
      <c r="H2337" s="3"/>
      <c r="I2337" s="83" t="s">
        <v>2464</v>
      </c>
      <c r="J2337" s="40"/>
      <c r="K2337" s="3" t="s">
        <v>6</v>
      </c>
      <c r="L2337" t="s">
        <v>2448</v>
      </c>
      <c r="M2337" s="3"/>
    </row>
    <row r="2338" spans="1:13" ht="15.75">
      <c r="A2338" t="s">
        <v>16</v>
      </c>
      <c r="B2338">
        <f ca="1">IF(OR(changes[[#This Row],[Type]]="Checklist",changes[[#This Row],[Type]]="checklist-flat"),1+IF(changes[[#This Row],[Type of change]] = "Edit",COUNTIFS($I$4:changes[[#This Row],[Name]],changes[[#This Row],[Name]], $E$4:changes[[#This Row],[Type of change]], "Edit")),B2337)</f>
        <v>1</v>
      </c>
      <c r="C2338" s="20">
        <v>44867</v>
      </c>
      <c r="D2338" s="2" t="s">
        <v>2446</v>
      </c>
      <c r="E2338" t="s">
        <v>27</v>
      </c>
      <c r="F2338" s="14" t="s">
        <v>9</v>
      </c>
      <c r="G2338" s="82" t="s">
        <v>2447</v>
      </c>
      <c r="H2338" s="3"/>
      <c r="I2338" s="83" t="s">
        <v>2465</v>
      </c>
      <c r="J2338" s="40"/>
      <c r="K2338" s="3" t="s">
        <v>6</v>
      </c>
      <c r="L2338" t="s">
        <v>2448</v>
      </c>
      <c r="M2338" s="3"/>
    </row>
    <row r="2339" spans="1:13" ht="15.75">
      <c r="A2339" t="s">
        <v>16</v>
      </c>
      <c r="B2339">
        <f ca="1">IF(OR(changes[[#This Row],[Type]]="Checklist",changes[[#This Row],[Type]]="checklist-flat"),1+IF(changes[[#This Row],[Type of change]] = "Edit",COUNTIFS($I$4:changes[[#This Row],[Name]],changes[[#This Row],[Name]], $E$4:changes[[#This Row],[Type of change]], "Edit")),B2338)</f>
        <v>1</v>
      </c>
      <c r="C2339" s="20">
        <v>44867</v>
      </c>
      <c r="D2339" s="2" t="s">
        <v>2446</v>
      </c>
      <c r="E2339" t="s">
        <v>27</v>
      </c>
      <c r="F2339" s="14" t="s">
        <v>9</v>
      </c>
      <c r="G2339" s="82" t="s">
        <v>2447</v>
      </c>
      <c r="H2339" s="3"/>
      <c r="I2339" s="83" t="s">
        <v>2466</v>
      </c>
      <c r="J2339" s="40"/>
      <c r="K2339" s="3" t="s">
        <v>6</v>
      </c>
      <c r="L2339" t="s">
        <v>2448</v>
      </c>
      <c r="M2339" s="3"/>
    </row>
    <row r="2340" spans="1:13" ht="15.75">
      <c r="A2340" t="s">
        <v>16</v>
      </c>
      <c r="B2340">
        <f ca="1">IF(OR(changes[[#This Row],[Type]]="Checklist",changes[[#This Row],[Type]]="checklist-flat"),1+IF(changes[[#This Row],[Type of change]] = "Edit",COUNTIFS($I$4:changes[[#This Row],[Name]],changes[[#This Row],[Name]], $E$4:changes[[#This Row],[Type of change]], "Edit")),B2339)</f>
        <v>1</v>
      </c>
      <c r="C2340" s="20">
        <v>44867</v>
      </c>
      <c r="D2340" s="2" t="s">
        <v>2446</v>
      </c>
      <c r="E2340" t="s">
        <v>27</v>
      </c>
      <c r="F2340" s="14" t="s">
        <v>9</v>
      </c>
      <c r="G2340" s="82" t="s">
        <v>2447</v>
      </c>
      <c r="H2340" s="3"/>
      <c r="I2340" s="84" t="s">
        <v>2467</v>
      </c>
      <c r="J2340" s="40"/>
      <c r="K2340" s="3" t="s">
        <v>6</v>
      </c>
      <c r="L2340" t="s">
        <v>2448</v>
      </c>
      <c r="M2340" s="3"/>
    </row>
    <row r="2341" spans="1:13" ht="15.75">
      <c r="A2341" t="s">
        <v>16</v>
      </c>
      <c r="B2341">
        <f ca="1">IF(OR(changes[[#This Row],[Type]]="Checklist",changes[[#This Row],[Type]]="checklist-flat"),1+IF(changes[[#This Row],[Type of change]] = "Edit",COUNTIFS($I$4:changes[[#This Row],[Name]],changes[[#This Row],[Name]], $E$4:changes[[#This Row],[Type of change]], "Edit")),B2340)</f>
        <v>1</v>
      </c>
      <c r="C2341" s="20">
        <v>44867</v>
      </c>
      <c r="D2341" s="2" t="s">
        <v>2446</v>
      </c>
      <c r="E2341" t="s">
        <v>27</v>
      </c>
      <c r="F2341" s="14" t="s">
        <v>9</v>
      </c>
      <c r="G2341" s="82" t="s">
        <v>2447</v>
      </c>
      <c r="H2341" s="3"/>
      <c r="I2341" s="83" t="s">
        <v>2468</v>
      </c>
      <c r="J2341" s="40"/>
      <c r="K2341" s="3" t="s">
        <v>6</v>
      </c>
      <c r="L2341" t="s">
        <v>2448</v>
      </c>
      <c r="M2341" s="3"/>
    </row>
    <row r="2342" spans="1:13" ht="15.75">
      <c r="A2342" t="s">
        <v>16</v>
      </c>
      <c r="B2342">
        <f ca="1">IF(OR(changes[[#This Row],[Type]]="Checklist",changes[[#This Row],[Type]]="checklist-flat"),1+IF(changes[[#This Row],[Type of change]] = "Edit",COUNTIFS($I$4:changes[[#This Row],[Name]],changes[[#This Row],[Name]], $E$4:changes[[#This Row],[Type of change]], "Edit")),B2341)</f>
        <v>1</v>
      </c>
      <c r="C2342" s="20">
        <v>44867</v>
      </c>
      <c r="D2342" s="2" t="s">
        <v>2446</v>
      </c>
      <c r="E2342" t="s">
        <v>27</v>
      </c>
      <c r="F2342" s="14" t="s">
        <v>9</v>
      </c>
      <c r="G2342" s="82" t="s">
        <v>2447</v>
      </c>
      <c r="H2342" s="3"/>
      <c r="I2342" s="83" t="s">
        <v>2469</v>
      </c>
      <c r="J2342" s="40"/>
      <c r="K2342" s="3" t="s">
        <v>6</v>
      </c>
      <c r="L2342" t="s">
        <v>2448</v>
      </c>
      <c r="M2342" s="3"/>
    </row>
    <row r="2343" spans="1:13" ht="15.75">
      <c r="A2343" t="s">
        <v>16</v>
      </c>
      <c r="B2343">
        <f ca="1">IF(OR(changes[[#This Row],[Type]]="Checklist",changes[[#This Row],[Type]]="checklist-flat"),1+IF(changes[[#This Row],[Type of change]] = "Edit",COUNTIFS($I$4:changes[[#This Row],[Name]],changes[[#This Row],[Name]], $E$4:changes[[#This Row],[Type of change]], "Edit")),B2342)</f>
        <v>1</v>
      </c>
      <c r="C2343" s="20">
        <v>44867</v>
      </c>
      <c r="D2343" s="2" t="s">
        <v>2446</v>
      </c>
      <c r="E2343" t="s">
        <v>27</v>
      </c>
      <c r="F2343" s="14" t="s">
        <v>9</v>
      </c>
      <c r="G2343" s="82" t="s">
        <v>2447</v>
      </c>
      <c r="H2343" s="3"/>
      <c r="I2343" s="83" t="s">
        <v>2470</v>
      </c>
      <c r="J2343" s="40"/>
      <c r="K2343" s="3" t="s">
        <v>6</v>
      </c>
      <c r="L2343" t="s">
        <v>2448</v>
      </c>
      <c r="M2343" s="3"/>
    </row>
    <row r="2344" spans="1:13" ht="15.75">
      <c r="A2344" t="s">
        <v>16</v>
      </c>
      <c r="B2344">
        <f ca="1">IF(OR(changes[[#This Row],[Type]]="Checklist",changes[[#This Row],[Type]]="checklist-flat"),1+IF(changes[[#This Row],[Type of change]] = "Edit",COUNTIFS($I$4:changes[[#This Row],[Name]],changes[[#This Row],[Name]], $E$4:changes[[#This Row],[Type of change]], "Edit")),B2343)</f>
        <v>1</v>
      </c>
      <c r="C2344" s="20">
        <v>44867</v>
      </c>
      <c r="D2344" s="2" t="s">
        <v>2446</v>
      </c>
      <c r="E2344" t="s">
        <v>27</v>
      </c>
      <c r="F2344" s="14" t="s">
        <v>9</v>
      </c>
      <c r="G2344" s="82" t="s">
        <v>2447</v>
      </c>
      <c r="H2344" s="3"/>
      <c r="I2344" s="83" t="s">
        <v>2471</v>
      </c>
      <c r="J2344" s="40"/>
      <c r="K2344" s="3" t="s">
        <v>6</v>
      </c>
      <c r="L2344" t="s">
        <v>2448</v>
      </c>
      <c r="M2344" s="3"/>
    </row>
    <row r="2345" spans="1:13" ht="15.75">
      <c r="A2345" t="s">
        <v>16</v>
      </c>
      <c r="B2345">
        <f ca="1">IF(OR(changes[[#This Row],[Type]]="Checklist",changes[[#This Row],[Type]]="checklist-flat"),1+IF(changes[[#This Row],[Type of change]] = "Edit",COUNTIFS($I$4:changes[[#This Row],[Name]],changes[[#This Row],[Name]], $E$4:changes[[#This Row],[Type of change]], "Edit")),B2344)</f>
        <v>1</v>
      </c>
      <c r="C2345" s="20">
        <v>44867</v>
      </c>
      <c r="D2345" s="2" t="s">
        <v>2446</v>
      </c>
      <c r="E2345" t="s">
        <v>27</v>
      </c>
      <c r="F2345" s="14" t="s">
        <v>9</v>
      </c>
      <c r="G2345" s="82" t="s">
        <v>2447</v>
      </c>
      <c r="H2345" s="3"/>
      <c r="I2345" s="83" t="s">
        <v>2472</v>
      </c>
      <c r="J2345" s="40"/>
      <c r="K2345" s="3" t="s">
        <v>6</v>
      </c>
      <c r="L2345" t="s">
        <v>2448</v>
      </c>
      <c r="M2345" s="3"/>
    </row>
    <row r="2346" spans="1:13" ht="15.75">
      <c r="A2346" t="s">
        <v>16</v>
      </c>
      <c r="B2346">
        <f ca="1">IF(OR(changes[[#This Row],[Type]]="Checklist",changes[[#This Row],[Type]]="checklist-flat"),1+IF(changes[[#This Row],[Type of change]] = "Edit",COUNTIFS($I$4:changes[[#This Row],[Name]],changes[[#This Row],[Name]], $E$4:changes[[#This Row],[Type of change]], "Edit")),B2345)</f>
        <v>1</v>
      </c>
      <c r="C2346" s="20">
        <v>44867</v>
      </c>
      <c r="D2346" s="2" t="s">
        <v>2446</v>
      </c>
      <c r="E2346" t="s">
        <v>27</v>
      </c>
      <c r="F2346" s="14" t="s">
        <v>9</v>
      </c>
      <c r="G2346" s="82" t="s">
        <v>2447</v>
      </c>
      <c r="H2346" s="3"/>
      <c r="I2346" s="83" t="s">
        <v>2473</v>
      </c>
      <c r="J2346" s="40"/>
      <c r="K2346" s="3" t="s">
        <v>6</v>
      </c>
      <c r="L2346" t="s">
        <v>2448</v>
      </c>
      <c r="M2346" s="3"/>
    </row>
    <row r="2347" spans="1:13" ht="15.75">
      <c r="A2347" t="s">
        <v>16</v>
      </c>
      <c r="B2347">
        <f ca="1">IF(OR(changes[[#This Row],[Type]]="Checklist",changes[[#This Row],[Type]]="checklist-flat"),1+IF(changes[[#This Row],[Type of change]] = "Edit",COUNTIFS($I$4:changes[[#This Row],[Name]],changes[[#This Row],[Name]], $E$4:changes[[#This Row],[Type of change]], "Edit")),B2346)</f>
        <v>1</v>
      </c>
      <c r="C2347" s="20">
        <v>44867</v>
      </c>
      <c r="D2347" s="2" t="s">
        <v>2446</v>
      </c>
      <c r="E2347" t="s">
        <v>27</v>
      </c>
      <c r="F2347" s="14" t="s">
        <v>9</v>
      </c>
      <c r="G2347" s="82" t="s">
        <v>2447</v>
      </c>
      <c r="H2347" s="3"/>
      <c r="I2347" s="83" t="s">
        <v>2474</v>
      </c>
      <c r="J2347" s="40"/>
      <c r="K2347" s="3" t="s">
        <v>6</v>
      </c>
      <c r="L2347" t="s">
        <v>2448</v>
      </c>
      <c r="M2347" s="3"/>
    </row>
    <row r="2348" spans="1:13" ht="15.75">
      <c r="A2348" t="s">
        <v>16</v>
      </c>
      <c r="B2348">
        <f ca="1">IF(OR(changes[[#This Row],[Type]]="Checklist",changes[[#This Row],[Type]]="checklist-flat"),1+IF(changes[[#This Row],[Type of change]] = "Edit",COUNTIFS($I$4:changes[[#This Row],[Name]],changes[[#This Row],[Name]], $E$4:changes[[#This Row],[Type of change]], "Edit")),B2347)</f>
        <v>1</v>
      </c>
      <c r="C2348" s="20">
        <v>44867</v>
      </c>
      <c r="D2348" s="2" t="s">
        <v>2446</v>
      </c>
      <c r="E2348" t="s">
        <v>27</v>
      </c>
      <c r="F2348" s="14" t="s">
        <v>9</v>
      </c>
      <c r="G2348" s="82" t="s">
        <v>2447</v>
      </c>
      <c r="H2348" s="3"/>
      <c r="I2348" s="83" t="s">
        <v>2475</v>
      </c>
      <c r="J2348" s="40"/>
      <c r="K2348" s="3" t="s">
        <v>6</v>
      </c>
      <c r="L2348" t="s">
        <v>2448</v>
      </c>
      <c r="M2348" s="3"/>
    </row>
    <row r="2349" spans="1:13" ht="15.75">
      <c r="A2349" t="s">
        <v>16</v>
      </c>
      <c r="B2349">
        <f ca="1">IF(OR(changes[[#This Row],[Type]]="Checklist",changes[[#This Row],[Type]]="checklist-flat"),1+IF(changes[[#This Row],[Type of change]] = "Edit",COUNTIFS($I$4:changes[[#This Row],[Name]],changes[[#This Row],[Name]], $E$4:changes[[#This Row],[Type of change]], "Edit")),B2348)</f>
        <v>1</v>
      </c>
      <c r="C2349" s="20">
        <v>44867</v>
      </c>
      <c r="D2349" s="2" t="s">
        <v>2446</v>
      </c>
      <c r="E2349" t="s">
        <v>27</v>
      </c>
      <c r="F2349" s="14" t="s">
        <v>9</v>
      </c>
      <c r="G2349" s="82" t="s">
        <v>2447</v>
      </c>
      <c r="H2349" s="3"/>
      <c r="I2349" s="83" t="s">
        <v>2476</v>
      </c>
      <c r="J2349" s="40"/>
      <c r="K2349" s="3" t="s">
        <v>6</v>
      </c>
      <c r="L2349" t="s">
        <v>2448</v>
      </c>
      <c r="M2349" s="3"/>
    </row>
    <row r="2350" spans="1:13" ht="15.75">
      <c r="A2350" t="s">
        <v>16</v>
      </c>
      <c r="B2350">
        <f ca="1">IF(OR(changes[[#This Row],[Type]]="Checklist",changes[[#This Row],[Type]]="checklist-flat"),1+IF(changes[[#This Row],[Type of change]] = "Edit",COUNTIFS($I$4:changes[[#This Row],[Name]],changes[[#This Row],[Name]], $E$4:changes[[#This Row],[Type of change]], "Edit")),B2349)</f>
        <v>1</v>
      </c>
      <c r="C2350" s="20">
        <v>44867</v>
      </c>
      <c r="D2350" s="2" t="s">
        <v>2446</v>
      </c>
      <c r="E2350" t="s">
        <v>27</v>
      </c>
      <c r="F2350" s="14" t="s">
        <v>9</v>
      </c>
      <c r="G2350" s="82" t="s">
        <v>2447</v>
      </c>
      <c r="H2350" s="3"/>
      <c r="I2350" s="83" t="s">
        <v>2477</v>
      </c>
      <c r="J2350" s="40"/>
      <c r="K2350" s="3" t="s">
        <v>6</v>
      </c>
      <c r="L2350" t="s">
        <v>2448</v>
      </c>
      <c r="M2350" s="3"/>
    </row>
    <row r="2351" spans="1:13" ht="15.75">
      <c r="A2351" t="s">
        <v>16</v>
      </c>
      <c r="B2351">
        <f ca="1">IF(OR(changes[[#This Row],[Type]]="Checklist",changes[[#This Row],[Type]]="checklist-flat"),1+IF(changes[[#This Row],[Type of change]] = "Edit",COUNTIFS($I$4:changes[[#This Row],[Name]],changes[[#This Row],[Name]], $E$4:changes[[#This Row],[Type of change]], "Edit")),B2350)</f>
        <v>1</v>
      </c>
      <c r="C2351" s="20">
        <v>44867</v>
      </c>
      <c r="D2351" s="2" t="s">
        <v>2446</v>
      </c>
      <c r="E2351" t="s">
        <v>27</v>
      </c>
      <c r="F2351" s="14" t="s">
        <v>9</v>
      </c>
      <c r="G2351" s="82" t="s">
        <v>2447</v>
      </c>
      <c r="H2351" s="3"/>
      <c r="I2351" s="84" t="s">
        <v>2478</v>
      </c>
      <c r="J2351" s="40"/>
      <c r="K2351" s="3" t="s">
        <v>6</v>
      </c>
      <c r="L2351" t="s">
        <v>2448</v>
      </c>
      <c r="M2351" s="3"/>
    </row>
    <row r="2352" spans="1:13" ht="15.75">
      <c r="A2352" t="s">
        <v>16</v>
      </c>
      <c r="B2352">
        <f ca="1">IF(OR(changes[[#This Row],[Type]]="Checklist",changes[[#This Row],[Type]]="checklist-flat"),1+IF(changes[[#This Row],[Type of change]] = "Edit",COUNTIFS($I$4:changes[[#This Row],[Name]],changes[[#This Row],[Name]], $E$4:changes[[#This Row],[Type of change]], "Edit")),B2351)</f>
        <v>1</v>
      </c>
      <c r="C2352" s="20">
        <v>44867</v>
      </c>
      <c r="D2352" s="2" t="s">
        <v>2446</v>
      </c>
      <c r="E2352" t="s">
        <v>27</v>
      </c>
      <c r="F2352" s="14" t="s">
        <v>9</v>
      </c>
      <c r="G2352" s="82" t="s">
        <v>2447</v>
      </c>
      <c r="H2352" s="3"/>
      <c r="I2352" s="83" t="s">
        <v>2479</v>
      </c>
      <c r="J2352" s="40"/>
      <c r="K2352" s="3" t="s">
        <v>6</v>
      </c>
      <c r="L2352" t="s">
        <v>2448</v>
      </c>
      <c r="M2352" s="3"/>
    </row>
    <row r="2353" spans="1:13" ht="15.75">
      <c r="A2353" t="s">
        <v>16</v>
      </c>
      <c r="B2353">
        <f ca="1">IF(OR(changes[[#This Row],[Type]]="Checklist",changes[[#This Row],[Type]]="checklist-flat"),1+IF(changes[[#This Row],[Type of change]] = "Edit",COUNTIFS($I$4:changes[[#This Row],[Name]],changes[[#This Row],[Name]], $E$4:changes[[#This Row],[Type of change]], "Edit")),B2352)</f>
        <v>1</v>
      </c>
      <c r="C2353" s="20">
        <v>44867</v>
      </c>
      <c r="D2353" s="2" t="s">
        <v>2446</v>
      </c>
      <c r="E2353" t="s">
        <v>27</v>
      </c>
      <c r="F2353" s="14" t="s">
        <v>9</v>
      </c>
      <c r="G2353" s="82" t="s">
        <v>2447</v>
      </c>
      <c r="H2353" s="3"/>
      <c r="I2353" s="83" t="s">
        <v>2480</v>
      </c>
      <c r="J2353" s="40"/>
      <c r="K2353" s="3" t="s">
        <v>6</v>
      </c>
      <c r="L2353" t="s">
        <v>2448</v>
      </c>
      <c r="M2353" s="3"/>
    </row>
    <row r="2354" spans="1:13" ht="15.75">
      <c r="A2354" t="s">
        <v>16</v>
      </c>
      <c r="B2354">
        <f ca="1">IF(OR(changes[[#This Row],[Type]]="Checklist",changes[[#This Row],[Type]]="checklist-flat"),1+IF(changes[[#This Row],[Type of change]] = "Edit",COUNTIFS($I$4:changes[[#This Row],[Name]],changes[[#This Row],[Name]], $E$4:changes[[#This Row],[Type of change]], "Edit")),B2353)</f>
        <v>1</v>
      </c>
      <c r="C2354" s="20">
        <v>44867</v>
      </c>
      <c r="D2354" s="2" t="s">
        <v>2446</v>
      </c>
      <c r="E2354" t="s">
        <v>27</v>
      </c>
      <c r="F2354" s="14" t="s">
        <v>9</v>
      </c>
      <c r="G2354" s="82" t="s">
        <v>2447</v>
      </c>
      <c r="H2354" s="3"/>
      <c r="I2354" s="83" t="s">
        <v>2481</v>
      </c>
      <c r="J2354" s="40"/>
      <c r="K2354" s="3" t="s">
        <v>6</v>
      </c>
      <c r="L2354" t="s">
        <v>2448</v>
      </c>
      <c r="M2354" s="3"/>
    </row>
    <row r="2355" spans="1:13" ht="15.75">
      <c r="A2355" t="s">
        <v>16</v>
      </c>
      <c r="B2355">
        <f ca="1">IF(OR(changes[[#This Row],[Type]]="Checklist",changes[[#This Row],[Type]]="checklist-flat"),1+IF(changes[[#This Row],[Type of change]] = "Edit",COUNTIFS($I$4:changes[[#This Row],[Name]],changes[[#This Row],[Name]], $E$4:changes[[#This Row],[Type of change]], "Edit")),B2354)</f>
        <v>1</v>
      </c>
      <c r="C2355" s="20">
        <v>44867</v>
      </c>
      <c r="D2355" s="2" t="s">
        <v>2446</v>
      </c>
      <c r="E2355" t="s">
        <v>27</v>
      </c>
      <c r="F2355" s="14" t="s">
        <v>9</v>
      </c>
      <c r="G2355" s="82" t="s">
        <v>2447</v>
      </c>
      <c r="H2355" s="3"/>
      <c r="I2355" s="83" t="s">
        <v>2482</v>
      </c>
      <c r="J2355" s="40"/>
      <c r="K2355" s="3" t="s">
        <v>6</v>
      </c>
      <c r="L2355" t="s">
        <v>2448</v>
      </c>
      <c r="M2355" s="3"/>
    </row>
    <row r="2356" spans="1:13" ht="15.75">
      <c r="A2356" t="s">
        <v>16</v>
      </c>
      <c r="B2356">
        <f ca="1">IF(OR(changes[[#This Row],[Type]]="Checklist",changes[[#This Row],[Type]]="checklist-flat"),1+IF(changes[[#This Row],[Type of change]] = "Edit",COUNTIFS($I$4:changes[[#This Row],[Name]],changes[[#This Row],[Name]], $E$4:changes[[#This Row],[Type of change]], "Edit")),B2355)</f>
        <v>1</v>
      </c>
      <c r="C2356" s="20">
        <v>44867</v>
      </c>
      <c r="D2356" s="2" t="s">
        <v>2446</v>
      </c>
      <c r="E2356" t="s">
        <v>27</v>
      </c>
      <c r="F2356" s="14" t="s">
        <v>9</v>
      </c>
      <c r="G2356" s="82" t="s">
        <v>2447</v>
      </c>
      <c r="H2356" s="3"/>
      <c r="I2356" s="83" t="s">
        <v>2483</v>
      </c>
      <c r="J2356" s="40"/>
      <c r="K2356" s="3" t="s">
        <v>6</v>
      </c>
      <c r="L2356" t="s">
        <v>2448</v>
      </c>
      <c r="M2356" s="3"/>
    </row>
    <row r="2357" spans="1:13" ht="15.75">
      <c r="A2357" t="s">
        <v>16</v>
      </c>
      <c r="B2357">
        <f ca="1">IF(OR(changes[[#This Row],[Type]]="Checklist",changes[[#This Row],[Type]]="checklist-flat"),1+IF(changes[[#This Row],[Type of change]] = "Edit",COUNTIFS($I$4:changes[[#This Row],[Name]],changes[[#This Row],[Name]], $E$4:changes[[#This Row],[Type of change]], "Edit")),B2356)</f>
        <v>1</v>
      </c>
      <c r="C2357" s="20">
        <v>44867</v>
      </c>
      <c r="D2357" s="2" t="s">
        <v>2446</v>
      </c>
      <c r="E2357" t="s">
        <v>27</v>
      </c>
      <c r="F2357" s="14" t="s">
        <v>9</v>
      </c>
      <c r="G2357" s="82" t="s">
        <v>2447</v>
      </c>
      <c r="H2357" s="3"/>
      <c r="I2357" s="83" t="s">
        <v>2484</v>
      </c>
      <c r="J2357" s="40"/>
      <c r="K2357" s="3" t="s">
        <v>6</v>
      </c>
      <c r="L2357" t="s">
        <v>2448</v>
      </c>
      <c r="M2357" s="3"/>
    </row>
    <row r="2358" spans="1:13" ht="15.75">
      <c r="A2358" t="s">
        <v>16</v>
      </c>
      <c r="B2358">
        <f ca="1">IF(OR(changes[[#This Row],[Type]]="Checklist",changes[[#This Row],[Type]]="checklist-flat"),1+IF(changes[[#This Row],[Type of change]] = "Edit",COUNTIFS($I$4:changes[[#This Row],[Name]],changes[[#This Row],[Name]], $E$4:changes[[#This Row],[Type of change]], "Edit")),B2357)</f>
        <v>1</v>
      </c>
      <c r="C2358" s="20">
        <v>44867</v>
      </c>
      <c r="D2358" s="2" t="s">
        <v>2446</v>
      </c>
      <c r="E2358" t="s">
        <v>27</v>
      </c>
      <c r="F2358" s="14" t="s">
        <v>9</v>
      </c>
      <c r="G2358" s="82" t="s">
        <v>2447</v>
      </c>
      <c r="H2358" s="3"/>
      <c r="I2358" s="83" t="s">
        <v>2485</v>
      </c>
      <c r="J2358" s="40"/>
      <c r="K2358" s="3" t="s">
        <v>6</v>
      </c>
      <c r="L2358" t="s">
        <v>2448</v>
      </c>
      <c r="M2358" s="3"/>
    </row>
    <row r="2359" spans="1:13" ht="15.75">
      <c r="A2359" t="s">
        <v>16</v>
      </c>
      <c r="B2359">
        <f ca="1">IF(OR(changes[[#This Row],[Type]]="Checklist",changes[[#This Row],[Type]]="checklist-flat"),1+IF(changes[[#This Row],[Type of change]] = "Edit",COUNTIFS($I$4:changes[[#This Row],[Name]],changes[[#This Row],[Name]], $E$4:changes[[#This Row],[Type of change]], "Edit")),B2358)</f>
        <v>1</v>
      </c>
      <c r="C2359" s="20">
        <v>44867</v>
      </c>
      <c r="D2359" s="2" t="s">
        <v>2446</v>
      </c>
      <c r="E2359" t="s">
        <v>27</v>
      </c>
      <c r="F2359" s="14" t="s">
        <v>9</v>
      </c>
      <c r="G2359" s="82" t="s">
        <v>2447</v>
      </c>
      <c r="H2359" s="3"/>
      <c r="I2359" s="83" t="s">
        <v>2486</v>
      </c>
      <c r="J2359" s="40"/>
      <c r="K2359" s="3" t="s">
        <v>6</v>
      </c>
      <c r="L2359" t="s">
        <v>2448</v>
      </c>
      <c r="M2359" s="3"/>
    </row>
    <row r="2360" spans="1:13" ht="15.75">
      <c r="A2360" t="s">
        <v>16</v>
      </c>
      <c r="B2360">
        <f ca="1">IF(OR(changes[[#This Row],[Type]]="Checklist",changes[[#This Row],[Type]]="checklist-flat"),1+IF(changes[[#This Row],[Type of change]] = "Edit",COUNTIFS($I$4:changes[[#This Row],[Name]],changes[[#This Row],[Name]], $E$4:changes[[#This Row],[Type of change]], "Edit")),B2359)</f>
        <v>1</v>
      </c>
      <c r="C2360" s="20">
        <v>44867</v>
      </c>
      <c r="D2360" s="2" t="s">
        <v>2446</v>
      </c>
      <c r="E2360" t="s">
        <v>27</v>
      </c>
      <c r="F2360" s="14" t="s">
        <v>9</v>
      </c>
      <c r="G2360" s="82" t="s">
        <v>2447</v>
      </c>
      <c r="H2360" s="3"/>
      <c r="I2360" s="83" t="s">
        <v>2487</v>
      </c>
      <c r="J2360" s="40"/>
      <c r="K2360" s="3" t="s">
        <v>6</v>
      </c>
      <c r="L2360" t="s">
        <v>2448</v>
      </c>
      <c r="M2360" s="3"/>
    </row>
    <row r="2361" spans="1:13" ht="15.75">
      <c r="A2361" t="s">
        <v>16</v>
      </c>
      <c r="B2361">
        <f ca="1">IF(OR(changes[[#This Row],[Type]]="Checklist",changes[[#This Row],[Type]]="checklist-flat"),1+IF(changes[[#This Row],[Type of change]] = "Edit",COUNTIFS($I$4:changes[[#This Row],[Name]],changes[[#This Row],[Name]], $E$4:changes[[#This Row],[Type of change]], "Edit")),B2360)</f>
        <v>1</v>
      </c>
      <c r="C2361" s="20">
        <v>44867</v>
      </c>
      <c r="D2361" s="2" t="s">
        <v>2446</v>
      </c>
      <c r="E2361" t="s">
        <v>27</v>
      </c>
      <c r="F2361" s="14" t="s">
        <v>9</v>
      </c>
      <c r="G2361" s="82" t="s">
        <v>2447</v>
      </c>
      <c r="H2361" s="3"/>
      <c r="I2361" s="83" t="s">
        <v>2488</v>
      </c>
      <c r="J2361" s="40"/>
      <c r="K2361" s="3" t="s">
        <v>6</v>
      </c>
      <c r="L2361" t="s">
        <v>2448</v>
      </c>
      <c r="M2361" s="3"/>
    </row>
    <row r="2362" spans="1:13" ht="15.75">
      <c r="A2362" t="s">
        <v>16</v>
      </c>
      <c r="B2362">
        <f ca="1">IF(OR(changes[[#This Row],[Type]]="Checklist",changes[[#This Row],[Type]]="checklist-flat"),1+IF(changes[[#This Row],[Type of change]] = "Edit",COUNTIFS($I$4:changes[[#This Row],[Name]],changes[[#This Row],[Name]], $E$4:changes[[#This Row],[Type of change]], "Edit")),B2361)</f>
        <v>1</v>
      </c>
      <c r="C2362" s="20">
        <v>44867</v>
      </c>
      <c r="D2362" s="2" t="s">
        <v>2446</v>
      </c>
      <c r="E2362" t="s">
        <v>27</v>
      </c>
      <c r="F2362" s="14" t="s">
        <v>9</v>
      </c>
      <c r="G2362" s="82" t="s">
        <v>2447</v>
      </c>
      <c r="H2362" s="3"/>
      <c r="I2362" s="83" t="s">
        <v>2489</v>
      </c>
      <c r="J2362" s="40"/>
      <c r="K2362" s="3" t="s">
        <v>6</v>
      </c>
      <c r="L2362" t="s">
        <v>2448</v>
      </c>
      <c r="M2362" s="3"/>
    </row>
    <row r="2363" spans="1:13" ht="15.75">
      <c r="A2363" t="s">
        <v>16</v>
      </c>
      <c r="B2363">
        <f ca="1">IF(OR(changes[[#This Row],[Type]]="Checklist",changes[[#This Row],[Type]]="checklist-flat"),1+IF(changes[[#This Row],[Type of change]] = "Edit",COUNTIFS($I$4:changes[[#This Row],[Name]],changes[[#This Row],[Name]], $E$4:changes[[#This Row],[Type of change]], "Edit")),B2362)</f>
        <v>1</v>
      </c>
      <c r="C2363" s="20">
        <v>44867</v>
      </c>
      <c r="D2363" s="2" t="s">
        <v>2446</v>
      </c>
      <c r="E2363" t="s">
        <v>27</v>
      </c>
      <c r="F2363" s="14" t="s">
        <v>9</v>
      </c>
      <c r="G2363" s="82" t="s">
        <v>2447</v>
      </c>
      <c r="H2363" s="3"/>
      <c r="I2363" s="84" t="s">
        <v>2490</v>
      </c>
      <c r="J2363" s="40"/>
      <c r="K2363" s="3" t="s">
        <v>6</v>
      </c>
      <c r="L2363" t="s">
        <v>2448</v>
      </c>
      <c r="M2363" s="3"/>
    </row>
    <row r="2364" spans="1:13" ht="15.75">
      <c r="A2364" t="s">
        <v>16</v>
      </c>
      <c r="B2364">
        <f ca="1">IF(OR(changes[[#This Row],[Type]]="Checklist",changes[[#This Row],[Type]]="checklist-flat"),1+IF(changes[[#This Row],[Type of change]] = "Edit",COUNTIFS($I$4:changes[[#This Row],[Name]],changes[[#This Row],[Name]], $E$4:changes[[#This Row],[Type of change]], "Edit")),B2363)</f>
        <v>1</v>
      </c>
      <c r="C2364" s="20">
        <v>44867</v>
      </c>
      <c r="D2364" s="2" t="s">
        <v>2446</v>
      </c>
      <c r="E2364" t="s">
        <v>27</v>
      </c>
      <c r="F2364" s="14" t="s">
        <v>9</v>
      </c>
      <c r="G2364" s="82" t="s">
        <v>2447</v>
      </c>
      <c r="H2364" s="3"/>
      <c r="I2364" s="85" t="s">
        <v>2491</v>
      </c>
      <c r="J2364" s="40"/>
      <c r="K2364" s="3" t="s">
        <v>6</v>
      </c>
      <c r="L2364" t="s">
        <v>2448</v>
      </c>
      <c r="M2364" s="3"/>
    </row>
    <row r="2365" spans="1:13" ht="15.75">
      <c r="A2365" t="s">
        <v>16</v>
      </c>
      <c r="B2365">
        <f ca="1">IF(OR(changes[[#This Row],[Type]]="Checklist",changes[[#This Row],[Type]]="checklist-flat"),1+IF(changes[[#This Row],[Type of change]] = "Edit",COUNTIFS($I$4:changes[[#This Row],[Name]],changes[[#This Row],[Name]], $E$4:changes[[#This Row],[Type of change]], "Edit")),B2364)</f>
        <v>1</v>
      </c>
      <c r="C2365" s="20">
        <v>44867</v>
      </c>
      <c r="D2365" s="2" t="s">
        <v>2446</v>
      </c>
      <c r="E2365" t="s">
        <v>27</v>
      </c>
      <c r="F2365" s="14" t="s">
        <v>9</v>
      </c>
      <c r="G2365" s="82" t="s">
        <v>2447</v>
      </c>
      <c r="H2365" s="3"/>
      <c r="I2365" s="85" t="s">
        <v>2492</v>
      </c>
      <c r="J2365" s="40"/>
      <c r="K2365" s="3" t="s">
        <v>6</v>
      </c>
      <c r="L2365" t="s">
        <v>2448</v>
      </c>
      <c r="M2365" s="3"/>
    </row>
    <row r="2366" spans="1:13" ht="15.75">
      <c r="A2366" t="s">
        <v>16</v>
      </c>
      <c r="B2366">
        <f ca="1">IF(OR(changes[[#This Row],[Type]]="Checklist",changes[[#This Row],[Type]]="checklist-flat"),1+IF(changes[[#This Row],[Type of change]] = "Edit",COUNTIFS($I$4:changes[[#This Row],[Name]],changes[[#This Row],[Name]], $E$4:changes[[#This Row],[Type of change]], "Edit")),B2365)</f>
        <v>1</v>
      </c>
      <c r="C2366" s="20">
        <v>44867</v>
      </c>
      <c r="D2366" s="2" t="s">
        <v>2446</v>
      </c>
      <c r="E2366" t="s">
        <v>27</v>
      </c>
      <c r="F2366" s="14" t="s">
        <v>9</v>
      </c>
      <c r="G2366" s="82" t="s">
        <v>2447</v>
      </c>
      <c r="H2366" s="3"/>
      <c r="I2366" s="85" t="s">
        <v>2493</v>
      </c>
      <c r="J2366" s="40"/>
      <c r="K2366" s="3" t="s">
        <v>6</v>
      </c>
      <c r="L2366" t="s">
        <v>2448</v>
      </c>
      <c r="M2366" s="3"/>
    </row>
    <row r="2367" spans="1:13" ht="15.75">
      <c r="A2367" t="s">
        <v>16</v>
      </c>
      <c r="B2367">
        <f ca="1">IF(OR(changes[[#This Row],[Type]]="Checklist",changes[[#This Row],[Type]]="checklist-flat"),1+IF(changes[[#This Row],[Type of change]] = "Edit",COUNTIFS($I$4:changes[[#This Row],[Name]],changes[[#This Row],[Name]], $E$4:changes[[#This Row],[Type of change]], "Edit")),B2366)</f>
        <v>1</v>
      </c>
      <c r="C2367" s="20">
        <v>44867</v>
      </c>
      <c r="D2367" s="2" t="s">
        <v>2446</v>
      </c>
      <c r="E2367" t="s">
        <v>27</v>
      </c>
      <c r="F2367" s="14" t="s">
        <v>9</v>
      </c>
      <c r="G2367" s="82" t="s">
        <v>2447</v>
      </c>
      <c r="H2367" s="3"/>
      <c r="I2367" s="85" t="s">
        <v>2494</v>
      </c>
      <c r="J2367" s="40"/>
      <c r="K2367" s="3" t="s">
        <v>6</v>
      </c>
      <c r="L2367" t="s">
        <v>2448</v>
      </c>
      <c r="M2367" s="3"/>
    </row>
    <row r="2368" spans="1:13" ht="15.75">
      <c r="A2368" t="s">
        <v>16</v>
      </c>
      <c r="B2368">
        <f ca="1">IF(OR(changes[[#This Row],[Type]]="Checklist",changes[[#This Row],[Type]]="checklist-flat"),1+IF(changes[[#This Row],[Type of change]] = "Edit",COUNTIFS($I$4:changes[[#This Row],[Name]],changes[[#This Row],[Name]], $E$4:changes[[#This Row],[Type of change]], "Edit")),B2367)</f>
        <v>1</v>
      </c>
      <c r="C2368" s="20">
        <v>44867</v>
      </c>
      <c r="D2368" s="2" t="s">
        <v>2446</v>
      </c>
      <c r="E2368" t="s">
        <v>27</v>
      </c>
      <c r="F2368" s="14" t="s">
        <v>9</v>
      </c>
      <c r="G2368" s="82" t="s">
        <v>2447</v>
      </c>
      <c r="H2368" s="3"/>
      <c r="I2368" s="85" t="s">
        <v>2495</v>
      </c>
      <c r="J2368" s="40"/>
      <c r="K2368" s="3" t="s">
        <v>6</v>
      </c>
      <c r="L2368" t="s">
        <v>2448</v>
      </c>
      <c r="M2368" s="3"/>
    </row>
    <row r="2369" spans="1:13" ht="15.75">
      <c r="A2369" t="s">
        <v>16</v>
      </c>
      <c r="B2369">
        <f ca="1">IF(OR(changes[[#This Row],[Type]]="Checklist",changes[[#This Row],[Type]]="checklist-flat"),1+IF(changes[[#This Row],[Type of change]] = "Edit",COUNTIFS($I$4:changes[[#This Row],[Name]],changes[[#This Row],[Name]], $E$4:changes[[#This Row],[Type of change]], "Edit")),B2368)</f>
        <v>1</v>
      </c>
      <c r="C2369" s="20">
        <v>44867</v>
      </c>
      <c r="D2369" s="2" t="s">
        <v>2446</v>
      </c>
      <c r="E2369" t="s">
        <v>27</v>
      </c>
      <c r="F2369" s="14" t="s">
        <v>9</v>
      </c>
      <c r="G2369" s="82" t="s">
        <v>2447</v>
      </c>
      <c r="H2369" s="3"/>
      <c r="I2369" s="85" t="s">
        <v>2496</v>
      </c>
      <c r="J2369" s="40"/>
      <c r="K2369" s="3" t="s">
        <v>6</v>
      </c>
      <c r="L2369" t="s">
        <v>2448</v>
      </c>
      <c r="M2369" s="3"/>
    </row>
    <row r="2370" spans="1:13" ht="15.75">
      <c r="A2370" t="s">
        <v>16</v>
      </c>
      <c r="B2370">
        <f ca="1">IF(OR(changes[[#This Row],[Type]]="Checklist",changes[[#This Row],[Type]]="checklist-flat"),1+IF(changes[[#This Row],[Type of change]] = "Edit",COUNTIFS($I$4:changes[[#This Row],[Name]],changes[[#This Row],[Name]], $E$4:changes[[#This Row],[Type of change]], "Edit")),B2369)</f>
        <v>1</v>
      </c>
      <c r="C2370" s="20">
        <v>44867</v>
      </c>
      <c r="D2370" s="2" t="s">
        <v>2446</v>
      </c>
      <c r="E2370" t="s">
        <v>27</v>
      </c>
      <c r="F2370" s="14" t="s">
        <v>9</v>
      </c>
      <c r="G2370" s="82" t="s">
        <v>2447</v>
      </c>
      <c r="H2370" s="3"/>
      <c r="I2370" s="85" t="s">
        <v>2497</v>
      </c>
      <c r="J2370" s="40"/>
      <c r="K2370" s="3" t="s">
        <v>6</v>
      </c>
      <c r="L2370" t="s">
        <v>2448</v>
      </c>
      <c r="M2370" s="3"/>
    </row>
    <row r="2371" spans="1:13" ht="15.75">
      <c r="A2371" t="s">
        <v>16</v>
      </c>
      <c r="B2371">
        <f ca="1">IF(OR(changes[[#This Row],[Type]]="Checklist",changes[[#This Row],[Type]]="checklist-flat"),1+IF(changes[[#This Row],[Type of change]] = "Edit",COUNTIFS($I$4:changes[[#This Row],[Name]],changes[[#This Row],[Name]], $E$4:changes[[#This Row],[Type of change]], "Edit")),B2370)</f>
        <v>1</v>
      </c>
      <c r="C2371" s="20">
        <v>44867</v>
      </c>
      <c r="D2371" s="2" t="s">
        <v>2446</v>
      </c>
      <c r="E2371" t="s">
        <v>27</v>
      </c>
      <c r="F2371" s="14" t="s">
        <v>9</v>
      </c>
      <c r="G2371" s="82" t="s">
        <v>2447</v>
      </c>
      <c r="H2371" s="3"/>
      <c r="I2371" s="85" t="s">
        <v>2498</v>
      </c>
      <c r="J2371" s="40"/>
      <c r="K2371" s="3" t="s">
        <v>6</v>
      </c>
      <c r="L2371" t="s">
        <v>2448</v>
      </c>
      <c r="M2371" s="3"/>
    </row>
    <row r="2372" spans="1:13" ht="15.75">
      <c r="A2372" t="s">
        <v>16</v>
      </c>
      <c r="B2372">
        <f ca="1">IF(OR(changes[[#This Row],[Type]]="Checklist",changes[[#This Row],[Type]]="checklist-flat"),1+IF(changes[[#This Row],[Type of change]] = "Edit",COUNTIFS($I$4:changes[[#This Row],[Name]],changes[[#This Row],[Name]], $E$4:changes[[#This Row],[Type of change]], "Edit")),B2371)</f>
        <v>1</v>
      </c>
      <c r="C2372" s="20">
        <v>44867</v>
      </c>
      <c r="D2372" s="2" t="s">
        <v>2446</v>
      </c>
      <c r="E2372" t="s">
        <v>27</v>
      </c>
      <c r="F2372" s="14" t="s">
        <v>9</v>
      </c>
      <c r="G2372" s="82" t="s">
        <v>2447</v>
      </c>
      <c r="H2372" s="3"/>
      <c r="I2372" s="85" t="s">
        <v>2499</v>
      </c>
      <c r="J2372" s="40"/>
      <c r="K2372" s="3" t="s">
        <v>6</v>
      </c>
      <c r="L2372" t="s">
        <v>2448</v>
      </c>
      <c r="M2372" s="3"/>
    </row>
    <row r="2373" spans="1:13" ht="15.75">
      <c r="A2373" t="s">
        <v>16</v>
      </c>
      <c r="B2373">
        <f ca="1">IF(OR(changes[[#This Row],[Type]]="Checklist",changes[[#This Row],[Type]]="checklist-flat"),1+IF(changes[[#This Row],[Type of change]] = "Edit",COUNTIFS($I$4:changes[[#This Row],[Name]],changes[[#This Row],[Name]], $E$4:changes[[#This Row],[Type of change]], "Edit")),B2372)</f>
        <v>1</v>
      </c>
      <c r="C2373" s="20">
        <v>44867</v>
      </c>
      <c r="D2373" s="2" t="s">
        <v>2446</v>
      </c>
      <c r="E2373" t="s">
        <v>27</v>
      </c>
      <c r="F2373" s="14" t="s">
        <v>9</v>
      </c>
      <c r="G2373" s="82" t="s">
        <v>2447</v>
      </c>
      <c r="H2373" s="3"/>
      <c r="I2373" s="85" t="s">
        <v>2500</v>
      </c>
      <c r="J2373" s="40"/>
      <c r="K2373" s="3" t="s">
        <v>6</v>
      </c>
      <c r="L2373" t="s">
        <v>2448</v>
      </c>
      <c r="M2373" s="3"/>
    </row>
    <row r="2374" spans="1:13" ht="15.75">
      <c r="A2374" t="s">
        <v>16</v>
      </c>
      <c r="B2374">
        <f ca="1">IF(OR(changes[[#This Row],[Type]]="Checklist",changes[[#This Row],[Type]]="checklist-flat"),1+IF(changes[[#This Row],[Type of change]] = "Edit",COUNTIFS($I$4:changes[[#This Row],[Name]],changes[[#This Row],[Name]], $E$4:changes[[#This Row],[Type of change]], "Edit")),B2373)</f>
        <v>1</v>
      </c>
      <c r="C2374" s="20">
        <v>44867</v>
      </c>
      <c r="D2374" s="2" t="s">
        <v>2446</v>
      </c>
      <c r="E2374" t="s">
        <v>27</v>
      </c>
      <c r="F2374" s="14" t="s">
        <v>9</v>
      </c>
      <c r="G2374" s="82" t="s">
        <v>2447</v>
      </c>
      <c r="H2374" s="3"/>
      <c r="I2374" s="83" t="s">
        <v>2501</v>
      </c>
      <c r="J2374" s="40"/>
      <c r="K2374" s="3" t="s">
        <v>6</v>
      </c>
      <c r="L2374" t="s">
        <v>2448</v>
      </c>
      <c r="M2374" s="3"/>
    </row>
  </sheetData>
  <sheetProtection sheet="1" objects="1" scenarios="1" sort="0" autoFilter="0" pivotTables="0"/>
  <protectedRanges>
    <protectedRange sqref="C3:K3 M3 C1973:J2021 N1973:N2063 E1813:E1972 N2211:N1048576 N2065:N2209 C2022:K1048576"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s>
  <phoneticPr fontId="2" type="noConversion"/>
  <conditionalFormatting sqref="A1:A3 A1:M2 A1973:A1048576">
    <cfRule type="cellIs" dxfId="239" priority="328" operator="equal">
      <formula>"Processing"</formula>
    </cfRule>
    <cfRule type="cellIs" dxfId="238" priority="329" operator="equal">
      <formula>"Implemented"</formula>
    </cfRule>
    <cfRule type="cellIs" dxfId="237" priority="330" operator="equal">
      <formula>"Denied"</formula>
    </cfRule>
    <cfRule type="cellIs" dxfId="236" priority="331"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59 J2261 G2261:H2261 G2259:H2259 G2260:J2260 G2251:J2258 G2262:J2269 H2278 H2274:I2277 J2274:J2281 H2280 H2279:I2279 H2281:I2282 J2285 H2282:J2284 H2285 H2270:J2273 K2210:M2285 G2270:G2313 D2251:F2285 B2250:B2285 D2250:J2250 B2286:M1048576">
    <cfRule type="expression" dxfId="235" priority="1145">
      <formula>$H1= "section"</formula>
    </cfRule>
    <cfRule type="expression" dxfId="234" priority="1146">
      <formula>OR($H1 = "checklist",$H1= "checklist-flat")</formula>
    </cfRule>
  </conditionalFormatting>
  <conditionalFormatting sqref="A4:A7 A9:A1704 A1729:A2087">
    <cfRule type="cellIs" dxfId="233" priority="241" operator="equal">
      <formula>"Processing"</formula>
    </cfRule>
    <cfRule type="cellIs" dxfId="232" priority="242" operator="equal">
      <formula>"Implemented"</formula>
    </cfRule>
    <cfRule type="cellIs" dxfId="231" priority="243" operator="equal">
      <formula>"Denied"</formula>
    </cfRule>
    <cfRule type="cellIs" dxfId="230" priority="244" operator="equal">
      <formula>"Approved"</formula>
    </cfRule>
  </conditionalFormatting>
  <conditionalFormatting sqref="B4:M5 B1709:M1729 B1730:H1731 J1730:M1731 B1732:M1812 B1813:D1813 H1813:J1829 B7:M1707 C6:M6 K1973:K2021 G1830:J1972 K1813:M1972 F1813">
    <cfRule type="expression" dxfId="229" priority="245">
      <formula>$H4= "section"</formula>
    </cfRule>
    <cfRule type="expression" dxfId="228" priority="246">
      <formula>OR($H4 = "checklist",$H4= "checklist-flat")</formula>
    </cfRule>
  </conditionalFormatting>
  <conditionalFormatting sqref="A1711:A1716">
    <cfRule type="cellIs" dxfId="227" priority="231" operator="equal">
      <formula>"Processing"</formula>
    </cfRule>
    <cfRule type="cellIs" dxfId="226" priority="232" operator="equal">
      <formula>"Implemented"</formula>
    </cfRule>
    <cfRule type="cellIs" dxfId="225" priority="233" operator="equal">
      <formula>"Denied"</formula>
    </cfRule>
    <cfRule type="cellIs" dxfId="224" priority="234" operator="equal">
      <formula>"Approved"</formula>
    </cfRule>
  </conditionalFormatting>
  <conditionalFormatting sqref="B1708:M1708">
    <cfRule type="expression" dxfId="223" priority="239">
      <formula>$H1708= "section"</formula>
    </cfRule>
    <cfRule type="expression" dxfId="222" priority="240">
      <formula>OR($H1708 = "checklist",$H1708= "checklist-flat")</formula>
    </cfRule>
  </conditionalFormatting>
  <conditionalFormatting sqref="A1705:A1710">
    <cfRule type="cellIs" dxfId="221" priority="235" operator="equal">
      <formula>"Processing"</formula>
    </cfRule>
    <cfRule type="cellIs" dxfId="220" priority="236" operator="equal">
      <formula>"Implemented"</formula>
    </cfRule>
    <cfRule type="cellIs" dxfId="219" priority="237" operator="equal">
      <formula>"Denied"</formula>
    </cfRule>
    <cfRule type="cellIs" dxfId="218" priority="238" operator="equal">
      <formula>"Approved"</formula>
    </cfRule>
  </conditionalFormatting>
  <conditionalFormatting sqref="A1717:A1812">
    <cfRule type="cellIs" dxfId="217" priority="227" operator="equal">
      <formula>"Processing"</formula>
    </cfRule>
    <cfRule type="cellIs" dxfId="216" priority="228" operator="equal">
      <formula>"Implemented"</formula>
    </cfRule>
    <cfRule type="cellIs" dxfId="215" priority="229" operator="equal">
      <formula>"Denied"</formula>
    </cfRule>
    <cfRule type="cellIs" dxfId="214" priority="230" operator="equal">
      <formula>"Approved"</formula>
    </cfRule>
  </conditionalFormatting>
  <conditionalFormatting sqref="A4:A7 A9:A2167 A2250:A2374">
    <cfRule type="containsText" dxfId="213" priority="226" operator="containsText" text="Updated in ConQA">
      <formula>NOT(ISERROR(SEARCH("Updated in ConQA",A4)))</formula>
    </cfRule>
  </conditionalFormatting>
  <conditionalFormatting sqref="A1814:A2087">
    <cfRule type="cellIs" dxfId="212" priority="220" operator="equal">
      <formula>"Processing"</formula>
    </cfRule>
    <cfRule type="cellIs" dxfId="211" priority="221" operator="equal">
      <formula>"Implemented"</formula>
    </cfRule>
    <cfRule type="cellIs" dxfId="210" priority="222" operator="equal">
      <formula>"Denied"</formula>
    </cfRule>
    <cfRule type="cellIs" dxfId="209" priority="223" operator="equal">
      <formula>"Approved"</formula>
    </cfRule>
  </conditionalFormatting>
  <conditionalFormatting sqref="B1814:D1972 F1814:F1972">
    <cfRule type="expression" dxfId="208" priority="224">
      <formula>$H1814= "section"</formula>
    </cfRule>
    <cfRule type="expression" dxfId="207" priority="225">
      <formula>OR($H1814 = "checklist",$H1814= "checklist-flat")</formula>
    </cfRule>
  </conditionalFormatting>
  <conditionalFormatting sqref="A1814:A2087">
    <cfRule type="containsText" dxfId="206" priority="219" operator="containsText" text="Updated in ConQA">
      <formula>NOT(ISERROR(SEARCH("Updated in ConQA",A1814)))</formula>
    </cfRule>
  </conditionalFormatting>
  <conditionalFormatting sqref="G1813:G1829">
    <cfRule type="expression" dxfId="205" priority="217">
      <formula>$H1813= "section"</formula>
    </cfRule>
    <cfRule type="expression" dxfId="204" priority="218">
      <formula>OR($H1813 = "checklist",$H1813= "checklist-flat")</formula>
    </cfRule>
  </conditionalFormatting>
  <conditionalFormatting sqref="B6">
    <cfRule type="expression" dxfId="203" priority="215">
      <formula>$H6= "section"</formula>
    </cfRule>
    <cfRule type="expression" dxfId="202" priority="216">
      <formula>OR($H6 = "checklist",$H6= "checklist-flat")</formula>
    </cfRule>
  </conditionalFormatting>
  <conditionalFormatting sqref="A2088:A2106">
    <cfRule type="cellIs" dxfId="201" priority="211" operator="equal">
      <formula>"Processing"</formula>
    </cfRule>
    <cfRule type="cellIs" dxfId="200" priority="212" operator="equal">
      <formula>"Implemented"</formula>
    </cfRule>
    <cfRule type="cellIs" dxfId="199" priority="213" operator="equal">
      <formula>"Denied"</formula>
    </cfRule>
    <cfRule type="cellIs" dxfId="198" priority="214" operator="equal">
      <formula>"Approved"</formula>
    </cfRule>
  </conditionalFormatting>
  <conditionalFormatting sqref="A2088:A2106">
    <cfRule type="cellIs" dxfId="197" priority="207" operator="equal">
      <formula>"Processing"</formula>
    </cfRule>
    <cfRule type="cellIs" dxfId="196" priority="208" operator="equal">
      <formula>"Implemented"</formula>
    </cfRule>
    <cfRule type="cellIs" dxfId="195" priority="209" operator="equal">
      <formula>"Denied"</formula>
    </cfRule>
    <cfRule type="cellIs" dxfId="194" priority="210" operator="equal">
      <formula>"Approved"</formula>
    </cfRule>
  </conditionalFormatting>
  <conditionalFormatting sqref="A2088:A2106">
    <cfRule type="containsText" dxfId="193" priority="206" operator="containsText" text="Updated in ConQA">
      <formula>NOT(ISERROR(SEARCH("Updated in ConQA",A2088)))</formula>
    </cfRule>
  </conditionalFormatting>
  <conditionalFormatting sqref="B2113:G2113">
    <cfRule type="expression" dxfId="192" priority="204">
      <formula>$H2113= "section"</formula>
    </cfRule>
    <cfRule type="expression" dxfId="191" priority="205">
      <formula>OR($H2113 = "checklist",$H2113= "checklist-flat")</formula>
    </cfRule>
  </conditionalFormatting>
  <conditionalFormatting sqref="B2114">
    <cfRule type="expression" dxfId="190" priority="197">
      <formula>$H2114= "section"</formula>
    </cfRule>
    <cfRule type="expression" dxfId="189" priority="198">
      <formula>OR($H2114 = "checklist",$H2114= "checklist-flat")</formula>
    </cfRule>
  </conditionalFormatting>
  <conditionalFormatting sqref="E1813:E1972">
    <cfRule type="expression" dxfId="188" priority="195">
      <formula>$H1813= "section"</formula>
    </cfRule>
    <cfRule type="expression" dxfId="187" priority="196">
      <formula>OR($H1813 = "checklist",$H1813= "checklist-flat")</formula>
    </cfRule>
  </conditionalFormatting>
  <conditionalFormatting sqref="M4:M2374">
    <cfRule type="notContainsBlanks" dxfId="186" priority="194">
      <formula>LEN(TRIM(M4))&gt;0</formula>
    </cfRule>
  </conditionalFormatting>
  <conditionalFormatting sqref="A2148:A2167">
    <cfRule type="cellIs" dxfId="185" priority="190" operator="equal">
      <formula>"Processing"</formula>
    </cfRule>
    <cfRule type="cellIs" dxfId="184" priority="191" operator="equal">
      <formula>"Implemented"</formula>
    </cfRule>
    <cfRule type="cellIs" dxfId="183" priority="192" operator="equal">
      <formula>"Denied"</formula>
    </cfRule>
    <cfRule type="cellIs" dxfId="182" priority="193" operator="equal">
      <formula>"Approved"</formula>
    </cfRule>
  </conditionalFormatting>
  <conditionalFormatting sqref="A2148:A2167">
    <cfRule type="cellIs" dxfId="181" priority="186" operator="equal">
      <formula>"Processing"</formula>
    </cfRule>
    <cfRule type="cellIs" dxfId="180" priority="187" operator="equal">
      <formula>"Implemented"</formula>
    </cfRule>
    <cfRule type="cellIs" dxfId="179" priority="188" operator="equal">
      <formula>"Denied"</formula>
    </cfRule>
    <cfRule type="cellIs" dxfId="178" priority="189" operator="equal">
      <formula>"Approved"</formula>
    </cfRule>
  </conditionalFormatting>
  <conditionalFormatting sqref="A2148:A2167">
    <cfRule type="containsText" dxfId="177" priority="185" operator="containsText" text="Updated in ConQA">
      <formula>NOT(ISERROR(SEARCH("Updated in ConQA",A2148)))</formula>
    </cfRule>
  </conditionalFormatting>
  <conditionalFormatting sqref="A2088:A2106 A2148:A2167">
    <cfRule type="cellIs" dxfId="176" priority="181" operator="equal">
      <formula>"Processing"</formula>
    </cfRule>
    <cfRule type="cellIs" dxfId="175" priority="182" operator="equal">
      <formula>"Implemented"</formula>
    </cfRule>
    <cfRule type="cellIs" dxfId="174" priority="183" operator="equal">
      <formula>"Denied"</formula>
    </cfRule>
    <cfRule type="cellIs" dxfId="173" priority="184" operator="equal">
      <formula>"Approved"</formula>
    </cfRule>
  </conditionalFormatting>
  <conditionalFormatting sqref="A2088:A2106 A2148:A2167">
    <cfRule type="cellIs" dxfId="172" priority="177" operator="equal">
      <formula>"Processing"</formula>
    </cfRule>
    <cfRule type="cellIs" dxfId="171" priority="178" operator="equal">
      <formula>"Implemented"</formula>
    </cfRule>
    <cfRule type="cellIs" dxfId="170" priority="179" operator="equal">
      <formula>"Denied"</formula>
    </cfRule>
    <cfRule type="cellIs" dxfId="169" priority="180" operator="equal">
      <formula>"Approved"</formula>
    </cfRule>
  </conditionalFormatting>
  <conditionalFormatting sqref="A2088:A2106 A2148:A2167">
    <cfRule type="containsText" dxfId="168" priority="176" operator="containsText" text="Updated in ConQA">
      <formula>NOT(ISERROR(SEARCH("Updated in ConQA",A2088)))</formula>
    </cfRule>
  </conditionalFormatting>
  <conditionalFormatting sqref="A8">
    <cfRule type="cellIs" dxfId="167" priority="172" operator="equal">
      <formula>"Processing"</formula>
    </cfRule>
    <cfRule type="cellIs" dxfId="166" priority="173" operator="equal">
      <formula>"Implemented"</formula>
    </cfRule>
    <cfRule type="cellIs" dxfId="165" priority="174" operator="equal">
      <formula>"Denied"</formula>
    </cfRule>
    <cfRule type="cellIs" dxfId="164" priority="175" operator="equal">
      <formula>"Approved"</formula>
    </cfRule>
  </conditionalFormatting>
  <conditionalFormatting sqref="A8">
    <cfRule type="containsText" dxfId="163" priority="171" operator="containsText" text="Updated in ConQA">
      <formula>NOT(ISERROR(SEARCH("Updated in ConQA",A8)))</formula>
    </cfRule>
  </conditionalFormatting>
  <conditionalFormatting sqref="A2161:A2249">
    <cfRule type="containsText" dxfId="162" priority="170" operator="containsText" text="Updated in ConQA">
      <formula>NOT(ISERROR(SEARCH("Updated in ConQA",A2161)))</formula>
    </cfRule>
  </conditionalFormatting>
  <conditionalFormatting sqref="I2179">
    <cfRule type="expression" dxfId="161" priority="168">
      <formula>OR($D2179 = "checklist",$D2179 ="checklist-flat")</formula>
    </cfRule>
  </conditionalFormatting>
  <conditionalFormatting sqref="I2179">
    <cfRule type="expression" dxfId="160" priority="169">
      <formula>$D2179="Section"</formula>
    </cfRule>
  </conditionalFormatting>
  <conditionalFormatting sqref="I2180">
    <cfRule type="expression" dxfId="159" priority="166">
      <formula>OR($D2180 = "checklist",$D2180 ="checklist-flat")</formula>
    </cfRule>
  </conditionalFormatting>
  <conditionalFormatting sqref="I2180">
    <cfRule type="expression" dxfId="158" priority="167">
      <formula>$D2180="Section"</formula>
    </cfRule>
  </conditionalFormatting>
  <conditionalFormatting sqref="A2107:A2117">
    <cfRule type="cellIs" dxfId="157" priority="162" operator="equal">
      <formula>"Processing"</formula>
    </cfRule>
    <cfRule type="cellIs" dxfId="156" priority="163" operator="equal">
      <formula>"Implemented"</formula>
    </cfRule>
    <cfRule type="cellIs" dxfId="155" priority="164" operator="equal">
      <formula>"Denied"</formula>
    </cfRule>
    <cfRule type="cellIs" dxfId="154" priority="165" operator="equal">
      <formula>"Approved"</formula>
    </cfRule>
  </conditionalFormatting>
  <conditionalFormatting sqref="A2107:A2117">
    <cfRule type="cellIs" dxfId="153" priority="158" operator="equal">
      <formula>"Processing"</formula>
    </cfRule>
    <cfRule type="cellIs" dxfId="152" priority="159" operator="equal">
      <formula>"Implemented"</formula>
    </cfRule>
    <cfRule type="cellIs" dxfId="151" priority="160" operator="equal">
      <formula>"Denied"</formula>
    </cfRule>
    <cfRule type="cellIs" dxfId="150" priority="161" operator="equal">
      <formula>"Approved"</formula>
    </cfRule>
  </conditionalFormatting>
  <conditionalFormatting sqref="A2107:A2117">
    <cfRule type="containsText" dxfId="149" priority="157" operator="containsText" text="Updated in ConQA">
      <formula>NOT(ISERROR(SEARCH("Updated in ConQA",A2107)))</formula>
    </cfRule>
  </conditionalFormatting>
  <conditionalFormatting sqref="A2118:A2130">
    <cfRule type="cellIs" dxfId="148" priority="153" operator="equal">
      <formula>"Processing"</formula>
    </cfRule>
    <cfRule type="cellIs" dxfId="147" priority="154" operator="equal">
      <formula>"Implemented"</formula>
    </cfRule>
    <cfRule type="cellIs" dxfId="146" priority="155" operator="equal">
      <formula>"Denied"</formula>
    </cfRule>
    <cfRule type="cellIs" dxfId="145" priority="156" operator="equal">
      <formula>"Approved"</formula>
    </cfRule>
  </conditionalFormatting>
  <conditionalFormatting sqref="A2118:A2130">
    <cfRule type="cellIs" dxfId="144" priority="149" operator="equal">
      <formula>"Processing"</formula>
    </cfRule>
    <cfRule type="cellIs" dxfId="143" priority="150" operator="equal">
      <formula>"Implemented"</formula>
    </cfRule>
    <cfRule type="cellIs" dxfId="142" priority="151" operator="equal">
      <formula>"Denied"</formula>
    </cfRule>
    <cfRule type="cellIs" dxfId="141" priority="152" operator="equal">
      <formula>"Approved"</formula>
    </cfRule>
  </conditionalFormatting>
  <conditionalFormatting sqref="A2118:A2130">
    <cfRule type="containsText" dxfId="140" priority="148" operator="containsText" text="Updated in ConQA">
      <formula>NOT(ISERROR(SEARCH("Updated in ConQA",A2118)))</formula>
    </cfRule>
  </conditionalFormatting>
  <conditionalFormatting sqref="A2131:A2147">
    <cfRule type="cellIs" dxfId="139" priority="144" operator="equal">
      <formula>"Processing"</formula>
    </cfRule>
    <cfRule type="cellIs" dxfId="138" priority="145" operator="equal">
      <formula>"Implemented"</formula>
    </cfRule>
    <cfRule type="cellIs" dxfId="137" priority="146" operator="equal">
      <formula>"Denied"</formula>
    </cfRule>
    <cfRule type="cellIs" dxfId="136" priority="147" operator="equal">
      <formula>"Approved"</formula>
    </cfRule>
  </conditionalFormatting>
  <conditionalFormatting sqref="A2131:A2147">
    <cfRule type="cellIs" dxfId="135" priority="140" operator="equal">
      <formula>"Processing"</formula>
    </cfRule>
    <cfRule type="cellIs" dxfId="134" priority="141" operator="equal">
      <formula>"Implemented"</formula>
    </cfRule>
    <cfRule type="cellIs" dxfId="133" priority="142" operator="equal">
      <formula>"Denied"</formula>
    </cfRule>
    <cfRule type="cellIs" dxfId="132" priority="143" operator="equal">
      <formula>"Approved"</formula>
    </cfRule>
  </conditionalFormatting>
  <conditionalFormatting sqref="A2131:A2147">
    <cfRule type="containsText" dxfId="131" priority="139" operator="containsText" text="Updated in ConQA">
      <formula>NOT(ISERROR(SEARCH("Updated in ConQA",A2131)))</formula>
    </cfRule>
  </conditionalFormatting>
  <conditionalFormatting sqref="H2210:H2214">
    <cfRule type="expression" dxfId="130" priority="137">
      <formula>$H2210= "section"</formula>
    </cfRule>
    <cfRule type="expression" dxfId="129" priority="138">
      <formula>OR($H2210 = "checklist",$H2210= "checklist-flat")</formula>
    </cfRule>
  </conditionalFormatting>
  <conditionalFormatting sqref="A2190:A2374">
    <cfRule type="containsText" dxfId="128" priority="118" operator="containsText" text="Updated in ConQA">
      <formula>NOT(ISERROR(SEARCH("Updated in ConQA",A2190)))</formula>
    </cfRule>
  </conditionalFormatting>
  <conditionalFormatting sqref="A2181:A2188">
    <cfRule type="containsText" dxfId="127" priority="117" operator="containsText" text="Updated in ConQA">
      <formula>NOT(ISERROR(SEARCH("Updated in ConQA",A2181)))</formula>
    </cfRule>
  </conditionalFormatting>
  <conditionalFormatting sqref="A2181:A2188">
    <cfRule type="cellIs" dxfId="126" priority="113" operator="equal">
      <formula>"Processing"</formula>
    </cfRule>
    <cfRule type="cellIs" dxfId="125" priority="114" operator="equal">
      <formula>"Implemented"</formula>
    </cfRule>
    <cfRule type="cellIs" dxfId="124" priority="115" operator="equal">
      <formula>"Denied"</formula>
    </cfRule>
    <cfRule type="cellIs" dxfId="123" priority="116" operator="equal">
      <formula>"Approved"</formula>
    </cfRule>
  </conditionalFormatting>
  <conditionalFormatting sqref="A2181:A2188">
    <cfRule type="cellIs" dxfId="122" priority="109" operator="equal">
      <formula>"Processing"</formula>
    </cfRule>
    <cfRule type="cellIs" dxfId="121" priority="110" operator="equal">
      <formula>"Implemented"</formula>
    </cfRule>
    <cfRule type="cellIs" dxfId="120" priority="111" operator="equal">
      <formula>"Denied"</formula>
    </cfRule>
    <cfRule type="cellIs" dxfId="119" priority="112" operator="equal">
      <formula>"Approved"</formula>
    </cfRule>
  </conditionalFormatting>
  <conditionalFormatting sqref="A2181:A2188">
    <cfRule type="containsText" dxfId="118" priority="108" operator="containsText" text="Updated in ConQA">
      <formula>NOT(ISERROR(SEARCH("Updated in ConQA",A2181)))</formula>
    </cfRule>
  </conditionalFormatting>
  <conditionalFormatting sqref="A2181:A2188">
    <cfRule type="cellIs" dxfId="117" priority="104" operator="equal">
      <formula>"Processing"</formula>
    </cfRule>
    <cfRule type="cellIs" dxfId="116" priority="105" operator="equal">
      <formula>"Implemented"</formula>
    </cfRule>
    <cfRule type="cellIs" dxfId="115" priority="106" operator="equal">
      <formula>"Denied"</formula>
    </cfRule>
    <cfRule type="cellIs" dxfId="114" priority="107" operator="equal">
      <formula>"Approved"</formula>
    </cfRule>
  </conditionalFormatting>
  <conditionalFormatting sqref="A2181:A2188">
    <cfRule type="cellIs" dxfId="113" priority="100" operator="equal">
      <formula>"Processing"</formula>
    </cfRule>
    <cfRule type="cellIs" dxfId="112" priority="101" operator="equal">
      <formula>"Implemented"</formula>
    </cfRule>
    <cfRule type="cellIs" dxfId="111" priority="102" operator="equal">
      <formula>"Denied"</formula>
    </cfRule>
    <cfRule type="cellIs" dxfId="110" priority="103" operator="equal">
      <formula>"Approved"</formula>
    </cfRule>
  </conditionalFormatting>
  <conditionalFormatting sqref="A2181:A2188">
    <cfRule type="containsText" dxfId="109" priority="99" operator="containsText" text="Updated in ConQA">
      <formula>NOT(ISERROR(SEARCH("Updated in ConQA",A2181)))</formula>
    </cfRule>
  </conditionalFormatting>
  <conditionalFormatting sqref="A2189:A2200">
    <cfRule type="containsText" dxfId="108" priority="98" operator="containsText" text="Updated in ConQA">
      <formula>NOT(ISERROR(SEARCH("Updated in ConQA",A2189)))</formula>
    </cfRule>
  </conditionalFormatting>
  <conditionalFormatting sqref="A2189:A2200">
    <cfRule type="cellIs" dxfId="107" priority="94" operator="equal">
      <formula>"Processing"</formula>
    </cfRule>
    <cfRule type="cellIs" dxfId="106" priority="95" operator="equal">
      <formula>"Implemented"</formula>
    </cfRule>
    <cfRule type="cellIs" dxfId="105" priority="96" operator="equal">
      <formula>"Denied"</formula>
    </cfRule>
    <cfRule type="cellIs" dxfId="104" priority="97" operator="equal">
      <formula>"Approved"</formula>
    </cfRule>
  </conditionalFormatting>
  <conditionalFormatting sqref="A2189:A2200">
    <cfRule type="cellIs" dxfId="103" priority="90" operator="equal">
      <formula>"Processing"</formula>
    </cfRule>
    <cfRule type="cellIs" dxfId="102" priority="91" operator="equal">
      <formula>"Implemented"</formula>
    </cfRule>
    <cfRule type="cellIs" dxfId="101" priority="92" operator="equal">
      <formula>"Denied"</formula>
    </cfRule>
    <cfRule type="cellIs" dxfId="100" priority="93" operator="equal">
      <formula>"Approved"</formula>
    </cfRule>
  </conditionalFormatting>
  <conditionalFormatting sqref="A2189:A2200">
    <cfRule type="containsText" dxfId="99" priority="89" operator="containsText" text="Updated in ConQA">
      <formula>NOT(ISERROR(SEARCH("Updated in ConQA",A2189)))</formula>
    </cfRule>
  </conditionalFormatting>
  <conditionalFormatting sqref="A2189:A2200">
    <cfRule type="cellIs" dxfId="98" priority="85" operator="equal">
      <formula>"Processing"</formula>
    </cfRule>
    <cfRule type="cellIs" dxfId="97" priority="86" operator="equal">
      <formula>"Implemented"</formula>
    </cfRule>
    <cfRule type="cellIs" dxfId="96" priority="87" operator="equal">
      <formula>"Denied"</formula>
    </cfRule>
    <cfRule type="cellIs" dxfId="95" priority="88" operator="equal">
      <formula>"Approved"</formula>
    </cfRule>
  </conditionalFormatting>
  <conditionalFormatting sqref="A2189:A2200">
    <cfRule type="cellIs" dxfId="94" priority="81" operator="equal">
      <formula>"Processing"</formula>
    </cfRule>
    <cfRule type="cellIs" dxfId="93" priority="82" operator="equal">
      <formula>"Implemented"</formula>
    </cfRule>
    <cfRule type="cellIs" dxfId="92" priority="83" operator="equal">
      <formula>"Denied"</formula>
    </cfRule>
    <cfRule type="cellIs" dxfId="91" priority="84" operator="equal">
      <formula>"Approved"</formula>
    </cfRule>
  </conditionalFormatting>
  <conditionalFormatting sqref="A2189:A2200">
    <cfRule type="containsText" dxfId="90" priority="80" operator="containsText" text="Updated in ConQA">
      <formula>NOT(ISERROR(SEARCH("Updated in ConQA",A2189)))</formula>
    </cfRule>
  </conditionalFormatting>
  <conditionalFormatting sqref="A2201:A2205">
    <cfRule type="containsText" dxfId="89" priority="79" operator="containsText" text="Updated in ConQA">
      <formula>NOT(ISERROR(SEARCH("Updated in ConQA",A2201)))</formula>
    </cfRule>
  </conditionalFormatting>
  <conditionalFormatting sqref="A2201:A2205">
    <cfRule type="cellIs" dxfId="88" priority="75" operator="equal">
      <formula>"Processing"</formula>
    </cfRule>
    <cfRule type="cellIs" dxfId="87" priority="76" operator="equal">
      <formula>"Implemented"</formula>
    </cfRule>
    <cfRule type="cellIs" dxfId="86" priority="77" operator="equal">
      <formula>"Denied"</formula>
    </cfRule>
    <cfRule type="cellIs" dxfId="85" priority="78" operator="equal">
      <formula>"Approved"</formula>
    </cfRule>
  </conditionalFormatting>
  <conditionalFormatting sqref="A2201:A2205">
    <cfRule type="cellIs" dxfId="84" priority="71" operator="equal">
      <formula>"Processing"</formula>
    </cfRule>
    <cfRule type="cellIs" dxfId="83" priority="72" operator="equal">
      <formula>"Implemented"</formula>
    </cfRule>
    <cfRule type="cellIs" dxfId="82" priority="73" operator="equal">
      <formula>"Denied"</formula>
    </cfRule>
    <cfRule type="cellIs" dxfId="81" priority="74" operator="equal">
      <formula>"Approved"</formula>
    </cfRule>
  </conditionalFormatting>
  <conditionalFormatting sqref="A2201:A2205">
    <cfRule type="containsText" dxfId="80" priority="70" operator="containsText" text="Updated in ConQA">
      <formula>NOT(ISERROR(SEARCH("Updated in ConQA",A2201)))</formula>
    </cfRule>
  </conditionalFormatting>
  <conditionalFormatting sqref="A2201:A2205">
    <cfRule type="cellIs" dxfId="79" priority="66" operator="equal">
      <formula>"Processing"</formula>
    </cfRule>
    <cfRule type="cellIs" dxfId="78" priority="67" operator="equal">
      <formula>"Implemented"</formula>
    </cfRule>
    <cfRule type="cellIs" dxfId="77" priority="68" operator="equal">
      <formula>"Denied"</formula>
    </cfRule>
    <cfRule type="cellIs" dxfId="76" priority="69" operator="equal">
      <formula>"Approved"</formula>
    </cfRule>
  </conditionalFormatting>
  <conditionalFormatting sqref="A2201:A2205">
    <cfRule type="cellIs" dxfId="75" priority="62" operator="equal">
      <formula>"Processing"</formula>
    </cfRule>
    <cfRule type="cellIs" dxfId="74" priority="63" operator="equal">
      <formula>"Implemented"</formula>
    </cfRule>
    <cfRule type="cellIs" dxfId="73" priority="64" operator="equal">
      <formula>"Denied"</formula>
    </cfRule>
    <cfRule type="cellIs" dxfId="72" priority="65" operator="equal">
      <formula>"Approved"</formula>
    </cfRule>
  </conditionalFormatting>
  <conditionalFormatting sqref="A2201:A2205">
    <cfRule type="containsText" dxfId="71" priority="61" operator="containsText" text="Updated in ConQA">
      <formula>NOT(ISERROR(SEARCH("Updated in ConQA",A2201)))</formula>
    </cfRule>
  </conditionalFormatting>
  <conditionalFormatting sqref="A2206:A2242">
    <cfRule type="containsText" dxfId="70" priority="60" operator="containsText" text="Updated in ConQA">
      <formula>NOT(ISERROR(SEARCH("Updated in ConQA",A2206)))</formula>
    </cfRule>
  </conditionalFormatting>
  <conditionalFormatting sqref="A2206:A2242">
    <cfRule type="cellIs" dxfId="69" priority="56" operator="equal">
      <formula>"Processing"</formula>
    </cfRule>
    <cfRule type="cellIs" dxfId="68" priority="57" operator="equal">
      <formula>"Implemented"</formula>
    </cfRule>
    <cfRule type="cellIs" dxfId="67" priority="58" operator="equal">
      <formula>"Denied"</formula>
    </cfRule>
    <cfRule type="cellIs" dxfId="66" priority="59" operator="equal">
      <formula>"Approved"</formula>
    </cfRule>
  </conditionalFormatting>
  <conditionalFormatting sqref="A2206:A2242">
    <cfRule type="cellIs" dxfId="65" priority="52" operator="equal">
      <formula>"Processing"</formula>
    </cfRule>
    <cfRule type="cellIs" dxfId="64" priority="53" operator="equal">
      <formula>"Implemented"</formula>
    </cfRule>
    <cfRule type="cellIs" dxfId="63" priority="54" operator="equal">
      <formula>"Denied"</formula>
    </cfRule>
    <cfRule type="cellIs" dxfId="62" priority="55" operator="equal">
      <formula>"Approved"</formula>
    </cfRule>
  </conditionalFormatting>
  <conditionalFormatting sqref="A2206:A2242">
    <cfRule type="containsText" dxfId="61" priority="51" operator="containsText" text="Updated in ConQA">
      <formula>NOT(ISERROR(SEARCH("Updated in ConQA",A2206)))</formula>
    </cfRule>
  </conditionalFormatting>
  <conditionalFormatting sqref="A2206:A2242">
    <cfRule type="cellIs" dxfId="60" priority="47" operator="equal">
      <formula>"Processing"</formula>
    </cfRule>
    <cfRule type="cellIs" dxfId="59" priority="48" operator="equal">
      <formula>"Implemented"</formula>
    </cfRule>
    <cfRule type="cellIs" dxfId="58" priority="49" operator="equal">
      <formula>"Denied"</formula>
    </cfRule>
    <cfRule type="cellIs" dxfId="57" priority="50" operator="equal">
      <formula>"Approved"</formula>
    </cfRule>
  </conditionalFormatting>
  <conditionalFormatting sqref="A2206:A2242">
    <cfRule type="cellIs" dxfId="56" priority="43" operator="equal">
      <formula>"Processing"</formula>
    </cfRule>
    <cfRule type="cellIs" dxfId="55" priority="44" operator="equal">
      <formula>"Implemented"</formula>
    </cfRule>
    <cfRule type="cellIs" dxfId="54" priority="45" operator="equal">
      <formula>"Denied"</formula>
    </cfRule>
    <cfRule type="cellIs" dxfId="53" priority="46" operator="equal">
      <formula>"Approved"</formula>
    </cfRule>
  </conditionalFormatting>
  <conditionalFormatting sqref="A2206:A2242">
    <cfRule type="containsText" dxfId="52" priority="42" operator="containsText" text="Updated in ConQA">
      <formula>NOT(ISERROR(SEARCH("Updated in ConQA",A2206)))</formula>
    </cfRule>
  </conditionalFormatting>
  <conditionalFormatting sqref="A2243:A2374">
    <cfRule type="containsText" dxfId="51" priority="41" operator="containsText" text="Updated in ConQA">
      <formula>NOT(ISERROR(SEARCH("Updated in ConQA",A2243)))</formula>
    </cfRule>
  </conditionalFormatting>
  <conditionalFormatting sqref="A2243:A2374">
    <cfRule type="containsText" dxfId="50" priority="40" operator="containsText" text="Updated in ConQA">
      <formula>NOT(ISERROR(SEARCH("Updated in ConQA",A2243)))</formula>
    </cfRule>
  </conditionalFormatting>
  <conditionalFormatting sqref="A2243:A2374">
    <cfRule type="cellIs" dxfId="49" priority="36" operator="equal">
      <formula>"Processing"</formula>
    </cfRule>
    <cfRule type="cellIs" dxfId="48" priority="37" operator="equal">
      <formula>"Implemented"</formula>
    </cfRule>
    <cfRule type="cellIs" dxfId="47" priority="38" operator="equal">
      <formula>"Denied"</formula>
    </cfRule>
    <cfRule type="cellIs" dxfId="46" priority="39" operator="equal">
      <formula>"Approved"</formula>
    </cfRule>
  </conditionalFormatting>
  <conditionalFormatting sqref="A2243:A2374">
    <cfRule type="cellIs" dxfId="45" priority="32" operator="equal">
      <formula>"Processing"</formula>
    </cfRule>
    <cfRule type="cellIs" dxfId="44" priority="33" operator="equal">
      <formula>"Implemented"</formula>
    </cfRule>
    <cfRule type="cellIs" dxfId="43" priority="34" operator="equal">
      <formula>"Denied"</formula>
    </cfRule>
    <cfRule type="cellIs" dxfId="42" priority="35" operator="equal">
      <formula>"Approved"</formula>
    </cfRule>
  </conditionalFormatting>
  <conditionalFormatting sqref="A2243:A2374">
    <cfRule type="containsText" dxfId="41" priority="31" operator="containsText" text="Updated in ConQA">
      <formula>NOT(ISERROR(SEARCH("Updated in ConQA",A2243)))</formula>
    </cfRule>
  </conditionalFormatting>
  <conditionalFormatting sqref="A2243:A2374">
    <cfRule type="cellIs" dxfId="40" priority="27" operator="equal">
      <formula>"Processing"</formula>
    </cfRule>
    <cfRule type="cellIs" dxfId="39" priority="28" operator="equal">
      <formula>"Implemented"</formula>
    </cfRule>
    <cfRule type="cellIs" dxfId="38" priority="29" operator="equal">
      <formula>"Denied"</formula>
    </cfRule>
    <cfRule type="cellIs" dxfId="37" priority="30" operator="equal">
      <formula>"Approved"</formula>
    </cfRule>
  </conditionalFormatting>
  <conditionalFormatting sqref="A2243:A2374">
    <cfRule type="cellIs" dxfId="36" priority="23" operator="equal">
      <formula>"Processing"</formula>
    </cfRule>
    <cfRule type="cellIs" dxfId="35" priority="24" operator="equal">
      <formula>"Implemented"</formula>
    </cfRule>
    <cfRule type="cellIs" dxfId="34" priority="25" operator="equal">
      <formula>"Denied"</formula>
    </cfRule>
    <cfRule type="cellIs" dxfId="33" priority="26" operator="equal">
      <formula>"Approved"</formula>
    </cfRule>
  </conditionalFormatting>
  <conditionalFormatting sqref="A2243:A2374">
    <cfRule type="containsText" dxfId="32" priority="22" operator="containsText" text="Updated in ConQA">
      <formula>NOT(ISERROR(SEARCH("Updated in ConQA",A2243)))</formula>
    </cfRule>
  </conditionalFormatting>
  <conditionalFormatting sqref="A2178:A2181">
    <cfRule type="containsText" dxfId="31" priority="21" operator="containsText" text="Updated in ConQA">
      <formula>NOT(ISERROR(SEARCH("Updated in ConQA",A2178)))</formula>
    </cfRule>
  </conditionalFormatting>
  <conditionalFormatting sqref="A2178:A2181">
    <cfRule type="cellIs" dxfId="30" priority="17" operator="equal">
      <formula>"Processing"</formula>
    </cfRule>
    <cfRule type="cellIs" dxfId="29" priority="18" operator="equal">
      <formula>"Implemented"</formula>
    </cfRule>
    <cfRule type="cellIs" dxfId="28" priority="19" operator="equal">
      <formula>"Denied"</formula>
    </cfRule>
    <cfRule type="cellIs" dxfId="27" priority="20" operator="equal">
      <formula>"Approved"</formula>
    </cfRule>
  </conditionalFormatting>
  <conditionalFormatting sqref="A2178:A2181">
    <cfRule type="cellIs" dxfId="26" priority="13" operator="equal">
      <formula>"Processing"</formula>
    </cfRule>
    <cfRule type="cellIs" dxfId="25" priority="14" operator="equal">
      <formula>"Implemented"</formula>
    </cfRule>
    <cfRule type="cellIs" dxfId="24" priority="15" operator="equal">
      <formula>"Denied"</formula>
    </cfRule>
    <cfRule type="cellIs" dxfId="23" priority="16" operator="equal">
      <formula>"Approved"</formula>
    </cfRule>
  </conditionalFormatting>
  <conditionalFormatting sqref="A2178:A2181">
    <cfRule type="containsText" dxfId="22" priority="12" operator="containsText" text="Updated in ConQA">
      <formula>NOT(ISERROR(SEARCH("Updated in ConQA",A2178)))</formula>
    </cfRule>
  </conditionalFormatting>
  <conditionalFormatting sqref="A2178:A2181">
    <cfRule type="cellIs" dxfId="21" priority="8" operator="equal">
      <formula>"Processing"</formula>
    </cfRule>
    <cfRule type="cellIs" dxfId="20" priority="9" operator="equal">
      <formula>"Implemented"</formula>
    </cfRule>
    <cfRule type="cellIs" dxfId="19" priority="10" operator="equal">
      <formula>"Denied"</formula>
    </cfRule>
    <cfRule type="cellIs" dxfId="18" priority="11" operator="equal">
      <formula>"Approved"</formula>
    </cfRule>
  </conditionalFormatting>
  <conditionalFormatting sqref="A2178:A2181">
    <cfRule type="cellIs" dxfId="17" priority="4" operator="equal">
      <formula>"Processing"</formula>
    </cfRule>
    <cfRule type="cellIs" dxfId="16" priority="5" operator="equal">
      <formula>"Implemented"</formula>
    </cfRule>
    <cfRule type="cellIs" dxfId="15" priority="6" operator="equal">
      <formula>"Denied"</formula>
    </cfRule>
    <cfRule type="cellIs" dxfId="14" priority="7" operator="equal">
      <formula>"Approved"</formula>
    </cfRule>
  </conditionalFormatting>
  <conditionalFormatting sqref="A2178:A2181">
    <cfRule type="containsText" dxfId="13" priority="3" operator="containsText" text="Updated in ConQA">
      <formula>NOT(ISERROR(SEARCH("Updated in ConQA",A2178)))</formula>
    </cfRule>
  </conditionalFormatting>
  <conditionalFormatting sqref="C2250:C2285">
    <cfRule type="expression" dxfId="12" priority="1">
      <formula>$H2250= "section"</formula>
    </cfRule>
    <cfRule type="expression" dxfId="11" priority="2">
      <formula>OR($H2250 = "checklist",$H2250= "checklist-flat")</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A4:A2374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1" ma:contentTypeDescription="Create a new document." ma:contentTypeScope="" ma:versionID="f03185330b9823057fdffd97e8d3186c">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8be92ea8b50ddc061b8cfbf1ab348b5b"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DocumentLibraryForm</Display>
  <Edit>DocumentLibraryForm</Edit>
  <New>DocumentLibraryForm</New>
</FormTemplates>
</file>

<file path=customXml/item7.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Props1.xml><?xml version="1.0" encoding="utf-8"?>
<ds:datastoreItem xmlns:ds="http://schemas.openxmlformats.org/officeDocument/2006/customXml" ds:itemID="{59AD40B2-FC22-4A1F-A61D-4203F896E7F1}"/>
</file>

<file path=customXml/itemProps2.xml><?xml version="1.0" encoding="utf-8"?>
<ds:datastoreItem xmlns:ds="http://schemas.openxmlformats.org/officeDocument/2006/customXml" ds:itemID="{810741DF-98C5-4CA7-8B19-9CF53098BE73}"/>
</file>

<file path=customXml/itemProps3.xml><?xml version="1.0" encoding="utf-8"?>
<ds:datastoreItem xmlns:ds="http://schemas.openxmlformats.org/officeDocument/2006/customXml" ds:itemID="{5066C9C3-944B-4E05-8F9C-481548721D5F}"/>
</file>

<file path=customXml/itemProps4.xml><?xml version="1.0" encoding="utf-8"?>
<ds:datastoreItem xmlns:ds="http://schemas.openxmlformats.org/officeDocument/2006/customXml" ds:itemID="{4861D3DC-88ED-402E-9193-749243672E8E}"/>
</file>

<file path=customXml/itemProps5.xml><?xml version="1.0" encoding="utf-8"?>
<ds:datastoreItem xmlns:ds="http://schemas.openxmlformats.org/officeDocument/2006/customXml" ds:itemID="{989E59A0-362A-4364-B757-6EECB0843A96}"/>
</file>

<file path=customXml/itemProps6.xml><?xml version="1.0" encoding="utf-8"?>
<ds:datastoreItem xmlns:ds="http://schemas.openxmlformats.org/officeDocument/2006/customXml" ds:itemID="{1BE29FD9-8371-4DD1-9C1B-FC2CD74CA0F8}"/>
</file>

<file path=customXml/itemProps7.xml><?xml version="1.0" encoding="utf-8"?>
<ds:datastoreItem xmlns:ds="http://schemas.openxmlformats.org/officeDocument/2006/customXml" ds:itemID="{DC97F2A5-5974-4BB7-B081-D1CEDB8FAD6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
  <cp:revision/>
  <dcterms:created xsi:type="dcterms:W3CDTF">2021-10-05T01:59:14Z</dcterms:created>
  <dcterms:modified xsi:type="dcterms:W3CDTF">2022-11-03T00:00:55Z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